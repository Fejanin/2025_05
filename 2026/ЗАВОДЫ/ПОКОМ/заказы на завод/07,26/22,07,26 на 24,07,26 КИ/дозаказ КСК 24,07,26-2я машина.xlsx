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9914E66-F4F8-40B2-A29F-6BF8790C819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Z526" i="2"/>
  <c r="Z527" i="2" s="1"/>
  <c r="Y526" i="2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P516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N457" i="2"/>
  <c r="BM457" i="2"/>
  <c r="Z457" i="2"/>
  <c r="Z458" i="2" s="1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P440" i="2"/>
  <c r="BO440" i="2"/>
  <c r="BM440" i="2"/>
  <c r="Y440" i="2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Z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Y412" i="2" s="1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N402" i="2"/>
  <c r="BM402" i="2"/>
  <c r="Z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N373" i="2"/>
  <c r="BM373" i="2"/>
  <c r="Z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Z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Z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P304" i="2"/>
  <c r="BO304" i="2"/>
  <c r="BN304" i="2"/>
  <c r="BM304" i="2"/>
  <c r="Z304" i="2"/>
  <c r="Y304" i="2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Z301" i="2"/>
  <c r="Y301" i="2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N290" i="2"/>
  <c r="BM290" i="2"/>
  <c r="Z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Z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P274" i="2"/>
  <c r="BP273" i="2"/>
  <c r="BO273" i="2"/>
  <c r="BM273" i="2"/>
  <c r="Y273" i="2"/>
  <c r="P273" i="2"/>
  <c r="BO272" i="2"/>
  <c r="BM272" i="2"/>
  <c r="Y272" i="2"/>
  <c r="BN272" i="2" s="1"/>
  <c r="P272" i="2"/>
  <c r="BP271" i="2"/>
  <c r="BO271" i="2"/>
  <c r="BM271" i="2"/>
  <c r="Y271" i="2"/>
  <c r="P271" i="2"/>
  <c r="BO270" i="2"/>
  <c r="BM270" i="2"/>
  <c r="Y270" i="2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P264" i="2"/>
  <c r="BO264" i="2"/>
  <c r="BN264" i="2"/>
  <c r="BM264" i="2"/>
  <c r="Z264" i="2"/>
  <c r="Y264" i="2"/>
  <c r="P264" i="2"/>
  <c r="X262" i="2"/>
  <c r="X261" i="2"/>
  <c r="BO260" i="2"/>
  <c r="BM260" i="2"/>
  <c r="Y260" i="2"/>
  <c r="BN260" i="2" s="1"/>
  <c r="P260" i="2"/>
  <c r="BO259" i="2"/>
  <c r="BM259" i="2"/>
  <c r="Y259" i="2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Z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Z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P231" i="2"/>
  <c r="BO230" i="2"/>
  <c r="BM230" i="2"/>
  <c r="Z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P202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P193" i="2"/>
  <c r="BO193" i="2"/>
  <c r="BM193" i="2"/>
  <c r="Y193" i="2"/>
  <c r="P193" i="2"/>
  <c r="BO192" i="2"/>
  <c r="BM192" i="2"/>
  <c r="Y192" i="2"/>
  <c r="P192" i="2"/>
  <c r="BO191" i="2"/>
  <c r="BM191" i="2"/>
  <c r="Y191" i="2"/>
  <c r="P191" i="2"/>
  <c r="X189" i="2"/>
  <c r="X188" i="2"/>
  <c r="BP187" i="2"/>
  <c r="BO187" i="2"/>
  <c r="BM187" i="2"/>
  <c r="Y187" i="2"/>
  <c r="Z187" i="2" s="1"/>
  <c r="P187" i="2"/>
  <c r="BO186" i="2"/>
  <c r="BM186" i="2"/>
  <c r="Y186" i="2"/>
  <c r="BP186" i="2" s="1"/>
  <c r="P186" i="2"/>
  <c r="BP185" i="2"/>
  <c r="BO185" i="2"/>
  <c r="BM185" i="2"/>
  <c r="Y185" i="2"/>
  <c r="P185" i="2"/>
  <c r="BO184" i="2"/>
  <c r="BM184" i="2"/>
  <c r="Y184" i="2"/>
  <c r="BN184" i="2" s="1"/>
  <c r="P184" i="2"/>
  <c r="BP183" i="2"/>
  <c r="BO183" i="2"/>
  <c r="BM183" i="2"/>
  <c r="Y183" i="2"/>
  <c r="P183" i="2"/>
  <c r="BO182" i="2"/>
  <c r="BM182" i="2"/>
  <c r="Y182" i="2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Z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Z157" i="2"/>
  <c r="Y157" i="2"/>
  <c r="BP157" i="2" s="1"/>
  <c r="P157" i="2"/>
  <c r="BO156" i="2"/>
  <c r="BM156" i="2"/>
  <c r="Y156" i="2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Y151" i="2" s="1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Z134" i="2"/>
  <c r="Y134" i="2"/>
  <c r="BN134" i="2" s="1"/>
  <c r="P134" i="2"/>
  <c r="BO133" i="2"/>
  <c r="BM133" i="2"/>
  <c r="Y133" i="2"/>
  <c r="BN133" i="2" s="1"/>
  <c r="P133" i="2"/>
  <c r="BO132" i="2"/>
  <c r="BN132" i="2"/>
  <c r="BM132" i="2"/>
  <c r="Z132" i="2"/>
  <c r="Y132" i="2"/>
  <c r="P132" i="2"/>
  <c r="X129" i="2"/>
  <c r="Y128" i="2"/>
  <c r="X128" i="2"/>
  <c r="BP127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Z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P90" i="2"/>
  <c r="BO89" i="2"/>
  <c r="BM89" i="2"/>
  <c r="Y89" i="2"/>
  <c r="BN89" i="2" s="1"/>
  <c r="P89" i="2"/>
  <c r="BO88" i="2"/>
  <c r="BM88" i="2"/>
  <c r="Y88" i="2"/>
  <c r="F561" i="2" s="1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Z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Y55" i="2" s="1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P41" i="2"/>
  <c r="Y37" i="2"/>
  <c r="X37" i="2"/>
  <c r="X36" i="2"/>
  <c r="BO35" i="2"/>
  <c r="BM35" i="2"/>
  <c r="Z35" i="2"/>
  <c r="Z36" i="2" s="1"/>
  <c r="Y35" i="2"/>
  <c r="Y36" i="2" s="1"/>
  <c r="P35" i="2"/>
  <c r="X33" i="2"/>
  <c r="X32" i="2"/>
  <c r="BO31" i="2"/>
  <c r="BM31" i="2"/>
  <c r="Y31" i="2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Z22" i="2"/>
  <c r="Y22" i="2"/>
  <c r="P22" i="2"/>
  <c r="H10" i="2"/>
  <c r="A9" i="2"/>
  <c r="J9" i="2" s="1"/>
  <c r="D7" i="2"/>
  <c r="Q6" i="2"/>
  <c r="P2" i="2"/>
  <c r="BP31" i="2" l="1"/>
  <c r="Z31" i="2"/>
  <c r="BN43" i="2"/>
  <c r="Z43" i="2"/>
  <c r="BN77" i="2"/>
  <c r="BN115" i="2"/>
  <c r="BN148" i="2"/>
  <c r="BN173" i="2"/>
  <c r="Z173" i="2"/>
  <c r="BN182" i="2"/>
  <c r="Z182" i="2"/>
  <c r="BN186" i="2"/>
  <c r="BN192" i="2"/>
  <c r="Z192" i="2"/>
  <c r="BN226" i="2"/>
  <c r="BP231" i="2"/>
  <c r="BN231" i="2"/>
  <c r="Z231" i="2"/>
  <c r="Z259" i="2"/>
  <c r="Y262" i="2"/>
  <c r="BN259" i="2"/>
  <c r="BN270" i="2"/>
  <c r="Z270" i="2"/>
  <c r="BP274" i="2"/>
  <c r="BN274" i="2"/>
  <c r="BN28" i="2"/>
  <c r="BN61" i="2"/>
  <c r="BN90" i="2"/>
  <c r="Z90" i="2"/>
  <c r="BP122" i="2"/>
  <c r="Z122" i="2"/>
  <c r="BP156" i="2"/>
  <c r="Z156" i="2"/>
  <c r="BN185" i="2"/>
  <c r="Z185" i="2"/>
  <c r="BN273" i="2"/>
  <c r="Z273" i="2"/>
  <c r="BP283" i="2"/>
  <c r="BN284" i="2"/>
  <c r="BP363" i="2"/>
  <c r="BN368" i="2"/>
  <c r="BN383" i="2"/>
  <c r="BN396" i="2"/>
  <c r="BN441" i="2"/>
  <c r="BN463" i="2"/>
  <c r="BN473" i="2"/>
  <c r="BN515" i="2"/>
  <c r="BN517" i="2"/>
  <c r="Y25" i="2"/>
  <c r="BN30" i="2"/>
  <c r="BP35" i="2"/>
  <c r="BN72" i="2"/>
  <c r="Y79" i="2"/>
  <c r="BN82" i="2"/>
  <c r="BN106" i="2"/>
  <c r="BN120" i="2"/>
  <c r="Y137" i="2"/>
  <c r="Y158" i="2"/>
  <c r="BN155" i="2"/>
  <c r="BN209" i="2"/>
  <c r="BN214" i="2"/>
  <c r="BN235" i="2"/>
  <c r="Z283" i="2"/>
  <c r="BN288" i="2"/>
  <c r="Z302" i="2"/>
  <c r="Y323" i="2"/>
  <c r="Z336" i="2"/>
  <c r="Z346" i="2"/>
  <c r="BN351" i="2"/>
  <c r="Z356" i="2"/>
  <c r="Y360" i="2"/>
  <c r="BN358" i="2"/>
  <c r="Z363" i="2"/>
  <c r="Z364" i="2"/>
  <c r="BN364" i="2"/>
  <c r="BN374" i="2"/>
  <c r="BN389" i="2"/>
  <c r="BN416" i="2"/>
  <c r="Z425" i="2"/>
  <c r="BP428" i="2"/>
  <c r="BN429" i="2"/>
  <c r="BN446" i="2"/>
  <c r="Y458" i="2"/>
  <c r="BN470" i="2"/>
  <c r="Z472" i="2"/>
  <c r="BN472" i="2"/>
  <c r="BN498" i="2"/>
  <c r="Z504" i="2"/>
  <c r="Y532" i="2"/>
  <c r="X555" i="2"/>
  <c r="BN424" i="2"/>
  <c r="BP44" i="2"/>
  <c r="BP121" i="2"/>
  <c r="Y125" i="2"/>
  <c r="BP133" i="2"/>
  <c r="Y170" i="2"/>
  <c r="Y169" i="2"/>
  <c r="Z166" i="2"/>
  <c r="BN172" i="2"/>
  <c r="Z172" i="2"/>
  <c r="Z174" i="2" s="1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X554" i="2" s="1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BP90" i="2"/>
  <c r="Y99" i="2"/>
  <c r="Z103" i="2"/>
  <c r="Y109" i="2"/>
  <c r="Z112" i="2"/>
  <c r="BN113" i="2"/>
  <c r="Z124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BP302" i="2"/>
  <c r="BP327" i="2"/>
  <c r="Z327" i="2"/>
  <c r="BP357" i="2"/>
  <c r="Y380" i="2"/>
  <c r="BP377" i="2"/>
  <c r="Z377" i="2"/>
  <c r="BP447" i="2"/>
  <c r="BN447" i="2"/>
  <c r="Z447" i="2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Z448" i="2"/>
  <c r="BP446" i="2"/>
  <c r="Z452" i="2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Z261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84" i="2"/>
  <c r="Z266" i="2"/>
  <c r="Z454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Z158" i="2" s="1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Z245" i="2" s="1"/>
  <c r="Y256" i="2"/>
  <c r="Z276" i="2"/>
  <c r="Z286" i="2"/>
  <c r="Z296" i="2"/>
  <c r="Z297" i="2" s="1"/>
  <c r="Z307" i="2"/>
  <c r="Y312" i="2"/>
  <c r="Z319" i="2"/>
  <c r="Z322" i="2" s="1"/>
  <c r="Z330" i="2"/>
  <c r="BN344" i="2"/>
  <c r="Y347" i="2"/>
  <c r="Z366" i="2"/>
  <c r="Z376" i="2"/>
  <c r="BN398" i="2"/>
  <c r="Z408" i="2"/>
  <c r="Z411" i="2" s="1"/>
  <c r="BN423" i="2"/>
  <c r="Z478" i="2"/>
  <c r="Z480" i="2" s="1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Z117" i="2" s="1"/>
  <c r="BP139" i="2"/>
  <c r="Z147" i="2"/>
  <c r="Z150" i="2" s="1"/>
  <c r="BP223" i="2"/>
  <c r="Y252" i="2"/>
  <c r="Y277" i="2"/>
  <c r="Y297" i="2"/>
  <c r="Y308" i="2"/>
  <c r="Z315" i="2"/>
  <c r="Z316" i="2" s="1"/>
  <c r="Y331" i="2"/>
  <c r="Z350" i="2"/>
  <c r="Z352" i="2" s="1"/>
  <c r="Z404" i="2"/>
  <c r="Z462" i="2"/>
  <c r="Z464" i="2" s="1"/>
  <c r="Z474" i="2"/>
  <c r="Z475" i="2" s="1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5" i="2" s="1"/>
  <c r="Z219" i="2"/>
  <c r="Z220" i="2" s="1"/>
  <c r="Z229" i="2"/>
  <c r="Z249" i="2"/>
  <c r="Z251" i="2" s="1"/>
  <c r="Z272" i="2"/>
  <c r="Z277" i="2" s="1"/>
  <c r="Z282" i="2"/>
  <c r="Y293" i="2"/>
  <c r="Z303" i="2"/>
  <c r="BN315" i="2"/>
  <c r="Z326" i="2"/>
  <c r="Z337" i="2"/>
  <c r="Z338" i="2" s="1"/>
  <c r="BN350" i="2"/>
  <c r="Z372" i="2"/>
  <c r="Z382" i="2"/>
  <c r="BN404" i="2"/>
  <c r="Z415" i="2"/>
  <c r="Z418" i="2" s="1"/>
  <c r="Z427" i="2"/>
  <c r="BN462" i="2"/>
  <c r="BN474" i="2"/>
  <c r="BN499" i="2"/>
  <c r="BN509" i="2"/>
  <c r="BN519" i="2"/>
  <c r="Z543" i="2"/>
  <c r="Z544" i="2" s="1"/>
  <c r="Y549" i="2"/>
  <c r="X561" i="2"/>
  <c r="Z42" i="2"/>
  <c r="Z65" i="2"/>
  <c r="BN42" i="2"/>
  <c r="BN88" i="2"/>
  <c r="Z45" i="2"/>
  <c r="Z135" i="2"/>
  <c r="Z136" i="2" s="1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386" i="2" l="1"/>
  <c r="Z292" i="2"/>
  <c r="Z405" i="2"/>
  <c r="Z369" i="2"/>
  <c r="Z32" i="2"/>
  <c r="Z359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<sst xmlns="http://schemas.openxmlformats.org/spreadsheetml/2006/main" count="4194" uniqueCount="891">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</sst>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424" sqref="AA42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66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67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 t="s">
        <v>890</v>
      </c>
      <c r="I5" s="643"/>
      <c r="J5" s="643"/>
      <c r="K5" s="643"/>
      <c r="L5" s="643"/>
      <c r="M5" s="643"/>
      <c r="N5" s="72"/>
      <c r="P5" s="27" t="s">
        <v>4</v>
      </c>
      <c r="Q5" s="645">
        <v>46227</v>
      </c>
      <c r="R5" s="645"/>
      <c r="T5" s="646" t="s">
        <v>3</v>
      </c>
      <c r="U5" s="647"/>
      <c r="V5" s="648" t="s">
        <v>870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871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Пятница</v>
      </c>
      <c r="R6" s="651"/>
      <c r="T6" s="652" t="s">
        <v>5</v>
      </c>
      <c r="U6" s="653"/>
      <c r="V6" s="654" t="s">
        <v>69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1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57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0.41666666666666669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70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889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71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72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73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74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60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58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65</v>
      </c>
      <c r="L17" s="684" t="s">
        <v>63</v>
      </c>
      <c r="M17" s="684" t="s">
        <v>2</v>
      </c>
      <c r="N17" s="684" t="s">
        <v>62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55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59</v>
      </c>
      <c r="AB17" s="698" t="s">
        <v>19</v>
      </c>
      <c r="AC17" s="698" t="s">
        <v>64</v>
      </c>
      <c r="AD17" s="700" t="s">
        <v>56</v>
      </c>
      <c r="AE17" s="701"/>
      <c r="AF17" s="702"/>
      <c r="AG17" s="82"/>
      <c r="BD17" s="81" t="s">
        <v>61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hidden="1" customHeight="1" x14ac:dyDescent="0.2">
      <c r="A19" s="706" t="s">
        <v>75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hidden="1" customHeight="1" x14ac:dyDescent="0.25">
      <c r="A20" s="707" t="s">
        <v>75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hidden="1" customHeight="1" x14ac:dyDescent="0.25">
      <c r="A21" s="708" t="s">
        <v>76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08" t="s">
        <v>85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708" t="s">
        <v>103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hidden="1" customHeight="1" x14ac:dyDescent="0.25">
      <c r="A35" s="63" t="s">
        <v>104</v>
      </c>
      <c r="B35" s="63" t="s">
        <v>105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90</v>
      </c>
      <c r="L35" s="37" t="s">
        <v>46</v>
      </c>
      <c r="M35" s="38" t="s">
        <v>108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106</v>
      </c>
      <c r="AG35" s="78"/>
      <c r="AJ35" s="84" t="s">
        <v>46</v>
      </c>
      <c r="AK35" s="84">
        <v>0</v>
      </c>
      <c r="BB35" s="101" t="s">
        <v>107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hidden="1" customHeight="1" x14ac:dyDescent="0.25">
      <c r="A39" s="707" t="s">
        <v>109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hidden="1" customHeight="1" x14ac:dyDescent="0.25">
      <c r="A40" s="708" t="s">
        <v>85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hidden="1" customHeight="1" x14ac:dyDescent="0.25">
      <c r="A41" s="63" t="s">
        <v>110</v>
      </c>
      <c r="B41" s="63" t="s">
        <v>111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96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112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113</v>
      </c>
      <c r="B42" s="63" t="s">
        <v>114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115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116</v>
      </c>
      <c r="B43" s="63" t="s">
        <v>117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90</v>
      </c>
      <c r="L43" s="37" t="s">
        <v>46</v>
      </c>
      <c r="M43" s="38" t="s">
        <v>89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118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119</v>
      </c>
      <c r="B44" s="63" t="s">
        <v>120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90</v>
      </c>
      <c r="L44" s="37" t="s">
        <v>46</v>
      </c>
      <c r="M44" s="38" t="s">
        <v>89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121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122</v>
      </c>
      <c r="B45" s="63" t="s">
        <v>123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90</v>
      </c>
      <c r="L45" s="37" t="s">
        <v>46</v>
      </c>
      <c r="M45" s="38" t="s">
        <v>89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124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06" t="s">
        <v>125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hidden="1" customHeight="1" x14ac:dyDescent="0.25">
      <c r="A49" s="707" t="s">
        <v>126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hidden="1" customHeight="1" x14ac:dyDescent="0.25">
      <c r="A50" s="708" t="s">
        <v>127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hidden="1" customHeight="1" x14ac:dyDescent="0.25">
      <c r="A51" s="63" t="s">
        <v>128</v>
      </c>
      <c r="B51" s="63" t="s">
        <v>129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132</v>
      </c>
      <c r="L51" s="37" t="s">
        <v>46</v>
      </c>
      <c r="M51" s="38" t="s">
        <v>131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130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133</v>
      </c>
      <c r="B52" s="63" t="s">
        <v>134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136</v>
      </c>
      <c r="L52" s="37" t="s">
        <v>46</v>
      </c>
      <c r="M52" s="38" t="s">
        <v>80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137</v>
      </c>
      <c r="B53" s="63" t="s">
        <v>138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139</v>
      </c>
      <c r="L53" s="37" t="s">
        <v>46</v>
      </c>
      <c r="M53" s="38" t="s">
        <v>89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130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140</v>
      </c>
      <c r="B54" s="63" t="s">
        <v>141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139</v>
      </c>
      <c r="L54" s="37" t="s">
        <v>46</v>
      </c>
      <c r="M54" s="38" t="s">
        <v>89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130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707" t="s">
        <v>142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hidden="1" customHeight="1" x14ac:dyDescent="0.25">
      <c r="A58" s="708" t="s">
        <v>127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hidden="1" customHeight="1" x14ac:dyDescent="0.25">
      <c r="A59" s="63" t="s">
        <v>143</v>
      </c>
      <c r="B59" s="63" t="s">
        <v>144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132</v>
      </c>
      <c r="L59" s="37" t="s">
        <v>46</v>
      </c>
      <c r="M59" s="38" t="s">
        <v>89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145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143</v>
      </c>
      <c r="B60" s="63" t="s">
        <v>146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132</v>
      </c>
      <c r="L60" s="37" t="s">
        <v>46</v>
      </c>
      <c r="M60" s="38" t="s">
        <v>131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147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148</v>
      </c>
      <c r="B61" s="63" t="s">
        <v>149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132</v>
      </c>
      <c r="L61" s="37" t="s">
        <v>46</v>
      </c>
      <c r="M61" s="38" t="s">
        <v>131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150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151</v>
      </c>
      <c r="B62" s="63" t="s">
        <v>152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139</v>
      </c>
      <c r="L62" s="37" t="s">
        <v>46</v>
      </c>
      <c r="M62" s="38" t="s">
        <v>131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153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151</v>
      </c>
      <c r="B63" s="63" t="s">
        <v>154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139</v>
      </c>
      <c r="L63" s="37" t="s">
        <v>46</v>
      </c>
      <c r="M63" s="38" t="s">
        <v>131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153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155</v>
      </c>
      <c r="B64" s="63" t="s">
        <v>156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139</v>
      </c>
      <c r="L64" s="37" t="s">
        <v>46</v>
      </c>
      <c r="M64" s="38" t="s">
        <v>131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158</v>
      </c>
      <c r="B65" s="63" t="s">
        <v>159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90</v>
      </c>
      <c r="L65" s="37" t="s">
        <v>46</v>
      </c>
      <c r="M65" s="38" t="s">
        <v>131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147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160</v>
      </c>
      <c r="B66" s="63" t="s">
        <v>161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139</v>
      </c>
      <c r="L66" s="37" t="s">
        <v>46</v>
      </c>
      <c r="M66" s="38" t="s">
        <v>131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708" t="s">
        <v>163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hidden="1" customHeight="1" x14ac:dyDescent="0.25">
      <c r="A70" s="63" t="s">
        <v>164</v>
      </c>
      <c r="B70" s="63" t="s">
        <v>165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132</v>
      </c>
      <c r="L70" s="37" t="s">
        <v>46</v>
      </c>
      <c r="M70" s="38" t="s">
        <v>131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167</v>
      </c>
      <c r="B71" s="63" t="s">
        <v>168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166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169</v>
      </c>
      <c r="B72" s="63" t="s">
        <v>170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136</v>
      </c>
      <c r="L72" s="37" t="s">
        <v>46</v>
      </c>
      <c r="M72" s="38" t="s">
        <v>80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172</v>
      </c>
      <c r="B73" s="63" t="s">
        <v>173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90</v>
      </c>
      <c r="L73" s="37" t="s">
        <v>46</v>
      </c>
      <c r="M73" s="38" t="s">
        <v>131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166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708" t="s">
        <v>85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hidden="1" customHeight="1" x14ac:dyDescent="0.25">
      <c r="A77" s="63" t="s">
        <v>174</v>
      </c>
      <c r="B77" s="63" t="s">
        <v>175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90</v>
      </c>
      <c r="L77" s="37" t="s">
        <v>46</v>
      </c>
      <c r="M77" s="38" t="s">
        <v>89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90</v>
      </c>
      <c r="L78" s="37" t="s">
        <v>46</v>
      </c>
      <c r="M78" s="38" t="s">
        <v>89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08" t="s">
        <v>180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hidden="1" customHeight="1" x14ac:dyDescent="0.25">
      <c r="A82" s="63" t="s">
        <v>181</v>
      </c>
      <c r="B82" s="63" t="s">
        <v>182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132</v>
      </c>
      <c r="L82" s="37" t="s">
        <v>46</v>
      </c>
      <c r="M82" s="38" t="s">
        <v>96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183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185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139</v>
      </c>
      <c r="L83" s="37" t="s">
        <v>46</v>
      </c>
      <c r="M83" s="38" t="s">
        <v>89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707" t="s">
        <v>187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hidden="1" customHeight="1" x14ac:dyDescent="0.25">
      <c r="A87" s="708" t="s">
        <v>127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hidden="1" customHeight="1" x14ac:dyDescent="0.25">
      <c r="A88" s="63" t="s">
        <v>188</v>
      </c>
      <c r="B88" s="63" t="s">
        <v>189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132</v>
      </c>
      <c r="L88" s="37" t="s">
        <v>46</v>
      </c>
      <c r="M88" s="38" t="s">
        <v>96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190</v>
      </c>
      <c r="AG88" s="78"/>
      <c r="AJ88" s="84" t="s">
        <v>46</v>
      </c>
      <c r="AK88" s="84">
        <v>0</v>
      </c>
      <c r="BB88" s="153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136</v>
      </c>
      <c r="L89" s="37" t="s">
        <v>46</v>
      </c>
      <c r="M89" s="38" t="s">
        <v>80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193</v>
      </c>
      <c r="AG89" s="78"/>
      <c r="AJ89" s="84" t="s">
        <v>46</v>
      </c>
      <c r="AK89" s="84">
        <v>0</v>
      </c>
      <c r="BB89" s="155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139</v>
      </c>
      <c r="L90" s="37" t="s">
        <v>46</v>
      </c>
      <c r="M90" s="38" t="s">
        <v>89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139</v>
      </c>
      <c r="L91" s="37" t="s">
        <v>46</v>
      </c>
      <c r="M91" s="38" t="s">
        <v>96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190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708" t="s">
        <v>85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hidden="1" customHeight="1" x14ac:dyDescent="0.25">
      <c r="A95" s="63" t="s">
        <v>198</v>
      </c>
      <c r="B95" s="63" t="s">
        <v>199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132</v>
      </c>
      <c r="L95" s="37" t="s">
        <v>46</v>
      </c>
      <c r="M95" s="38" t="s">
        <v>96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203</v>
      </c>
      <c r="B97" s="63" t="s">
        <v>204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200</v>
      </c>
      <c r="AG97" s="78"/>
      <c r="AJ97" s="84" t="s">
        <v>46</v>
      </c>
      <c r="AK97" s="84">
        <v>0</v>
      </c>
      <c r="BB97" s="165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707" t="s">
        <v>208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hidden="1" customHeight="1" x14ac:dyDescent="0.25">
      <c r="A102" s="708" t="s">
        <v>127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132</v>
      </c>
      <c r="L103" s="37" t="s">
        <v>46</v>
      </c>
      <c r="M103" s="38" t="s">
        <v>131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211</v>
      </c>
      <c r="AG103" s="78"/>
      <c r="AJ103" s="84" t="s">
        <v>46</v>
      </c>
      <c r="AK103" s="84">
        <v>0</v>
      </c>
      <c r="BB103" s="169" t="s">
        <v>66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136</v>
      </c>
      <c r="L104" s="37" t="s">
        <v>46</v>
      </c>
      <c r="M104" s="38" t="s">
        <v>80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136</v>
      </c>
      <c r="L105" s="37" t="s">
        <v>46</v>
      </c>
      <c r="M105" s="38" t="s">
        <v>80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216</v>
      </c>
      <c r="B106" s="63" t="s">
        <v>217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139</v>
      </c>
      <c r="L106" s="37" t="s">
        <v>46</v>
      </c>
      <c r="M106" s="38" t="s">
        <v>89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139</v>
      </c>
      <c r="L107" s="37" t="s">
        <v>46</v>
      </c>
      <c r="M107" s="38" t="s">
        <v>89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139</v>
      </c>
      <c r="L108" s="37" t="s">
        <v>46</v>
      </c>
      <c r="M108" s="38" t="s">
        <v>89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708" t="s">
        <v>163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hidden="1" customHeight="1" x14ac:dyDescent="0.25">
      <c r="A112" s="63" t="s">
        <v>222</v>
      </c>
      <c r="B112" s="63" t="s">
        <v>223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132</v>
      </c>
      <c r="L112" s="37" t="s">
        <v>46</v>
      </c>
      <c r="M112" s="38" t="s">
        <v>131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224</v>
      </c>
      <c r="AG112" s="78"/>
      <c r="AJ112" s="84" t="s">
        <v>46</v>
      </c>
      <c r="AK112" s="84">
        <v>0</v>
      </c>
      <c r="BB112" s="181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226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228</v>
      </c>
      <c r="L113" s="37" t="s">
        <v>46</v>
      </c>
      <c r="M113" s="38" t="s">
        <v>80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227</v>
      </c>
      <c r="AG113" s="78"/>
      <c r="AJ113" s="84" t="s">
        <v>46</v>
      </c>
      <c r="AK113" s="84">
        <v>0</v>
      </c>
      <c r="BB113" s="183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225</v>
      </c>
      <c r="B114" s="63" t="s">
        <v>229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228</v>
      </c>
      <c r="L114" s="37" t="s">
        <v>46</v>
      </c>
      <c r="M114" s="38" t="s">
        <v>80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227</v>
      </c>
      <c r="AG114" s="78"/>
      <c r="AJ114" s="84" t="s">
        <v>46</v>
      </c>
      <c r="AK114" s="84">
        <v>0</v>
      </c>
      <c r="BB114" s="185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81</v>
      </c>
      <c r="L115" s="37" t="s">
        <v>46</v>
      </c>
      <c r="M115" s="38" t="s">
        <v>131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224</v>
      </c>
      <c r="AG115" s="78"/>
      <c r="AJ115" s="84" t="s">
        <v>46</v>
      </c>
      <c r="AK115" s="84">
        <v>0</v>
      </c>
      <c r="BB115" s="187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90</v>
      </c>
      <c r="L116" s="37" t="s">
        <v>46</v>
      </c>
      <c r="M116" s="38" t="s">
        <v>131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224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08" t="s">
        <v>85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hidden="1" customHeight="1" x14ac:dyDescent="0.25">
      <c r="A120" s="63" t="s">
        <v>234</v>
      </c>
      <c r="B120" s="63" t="s">
        <v>235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132</v>
      </c>
      <c r="L120" s="37" t="s">
        <v>46</v>
      </c>
      <c r="M120" s="38" t="s">
        <v>96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236</v>
      </c>
      <c r="AG120" s="78"/>
      <c r="AJ120" s="84" t="s">
        <v>46</v>
      </c>
      <c r="AK120" s="84">
        <v>0</v>
      </c>
      <c r="BB120" s="191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237</v>
      </c>
      <c r="B121" s="63" t="s">
        <v>238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90</v>
      </c>
      <c r="L121" s="37" t="s">
        <v>46</v>
      </c>
      <c r="M121" s="38" t="s">
        <v>96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236</v>
      </c>
      <c r="AG121" s="78"/>
      <c r="AJ121" s="84" t="s">
        <v>46</v>
      </c>
      <c r="AK121" s="84">
        <v>0</v>
      </c>
      <c r="BB121" s="193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90</v>
      </c>
      <c r="L122" s="37" t="s">
        <v>46</v>
      </c>
      <c r="M122" s="38" t="s">
        <v>96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236</v>
      </c>
      <c r="AG122" s="78"/>
      <c r="AJ122" s="84" t="s">
        <v>46</v>
      </c>
      <c r="AK122" s="84">
        <v>0</v>
      </c>
      <c r="BB122" s="195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241</v>
      </c>
      <c r="B123" s="63" t="s">
        <v>242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243</v>
      </c>
      <c r="AG123" s="78"/>
      <c r="AJ123" s="84" t="s">
        <v>46</v>
      </c>
      <c r="AK123" s="84">
        <v>0</v>
      </c>
      <c r="BB123" s="197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708" t="s">
        <v>180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hidden="1" customHeight="1" x14ac:dyDescent="0.25">
      <c r="A127" s="63" t="s">
        <v>244</v>
      </c>
      <c r="B127" s="63" t="s">
        <v>245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246</v>
      </c>
      <c r="AG127" s="78"/>
      <c r="AJ127" s="84" t="s">
        <v>46</v>
      </c>
      <c r="AK127" s="84">
        <v>0</v>
      </c>
      <c r="BB127" s="19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07" t="s">
        <v>247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hidden="1" customHeight="1" x14ac:dyDescent="0.25">
      <c r="A131" s="708" t="s">
        <v>127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hidden="1" customHeight="1" x14ac:dyDescent="0.25">
      <c r="A132" s="63" t="s">
        <v>248</v>
      </c>
      <c r="B132" s="63" t="s">
        <v>249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132</v>
      </c>
      <c r="L132" s="37" t="s">
        <v>46</v>
      </c>
      <c r="M132" s="38" t="s">
        <v>252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251</v>
      </c>
      <c r="AC132" s="200" t="s">
        <v>250</v>
      </c>
      <c r="AG132" s="78"/>
      <c r="AJ132" s="84" t="s">
        <v>46</v>
      </c>
      <c r="AK132" s="84">
        <v>0</v>
      </c>
      <c r="BB132" s="201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253</v>
      </c>
      <c r="B133" s="63" t="s">
        <v>254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139</v>
      </c>
      <c r="L133" s="37" t="s">
        <v>46</v>
      </c>
      <c r="M133" s="38" t="s">
        <v>252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251</v>
      </c>
      <c r="AC133" s="202" t="s">
        <v>250</v>
      </c>
      <c r="AG133" s="78"/>
      <c r="AJ133" s="84" t="s">
        <v>46</v>
      </c>
      <c r="AK133" s="84">
        <v>0</v>
      </c>
      <c r="BB133" s="203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255</v>
      </c>
      <c r="B134" s="63" t="s">
        <v>256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90</v>
      </c>
      <c r="L134" s="37" t="s">
        <v>46</v>
      </c>
      <c r="M134" s="38" t="s">
        <v>108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257</v>
      </c>
      <c r="AG134" s="78"/>
      <c r="AJ134" s="84" t="s">
        <v>46</v>
      </c>
      <c r="AK134" s="84">
        <v>0</v>
      </c>
      <c r="BB134" s="205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255</v>
      </c>
      <c r="B135" s="63" t="s">
        <v>258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108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257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708" t="s">
        <v>76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hidden="1" customHeight="1" x14ac:dyDescent="0.25">
      <c r="A139" s="63" t="s">
        <v>259</v>
      </c>
      <c r="B139" s="63" t="s">
        <v>260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132</v>
      </c>
      <c r="L139" s="37" t="s">
        <v>46</v>
      </c>
      <c r="M139" s="38" t="s">
        <v>252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251</v>
      </c>
      <c r="AC139" s="208" t="s">
        <v>261</v>
      </c>
      <c r="AG139" s="78"/>
      <c r="AJ139" s="84" t="s">
        <v>46</v>
      </c>
      <c r="AK139" s="84">
        <v>0</v>
      </c>
      <c r="BB139" s="209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262</v>
      </c>
      <c r="B140" s="63" t="s">
        <v>263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81</v>
      </c>
      <c r="L140" s="37" t="s">
        <v>46</v>
      </c>
      <c r="M140" s="38" t="s">
        <v>252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251</v>
      </c>
      <c r="AC140" s="210" t="s">
        <v>261</v>
      </c>
      <c r="AG140" s="78"/>
      <c r="AJ140" s="84" t="s">
        <v>46</v>
      </c>
      <c r="AK140" s="84">
        <v>0</v>
      </c>
      <c r="BB140" s="211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264</v>
      </c>
      <c r="B141" s="63" t="s">
        <v>265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90</v>
      </c>
      <c r="L141" s="37" t="s">
        <v>46</v>
      </c>
      <c r="M141" s="38" t="s">
        <v>108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266</v>
      </c>
      <c r="AG141" s="78"/>
      <c r="AJ141" s="84" t="s">
        <v>46</v>
      </c>
      <c r="AK141" s="84">
        <v>0</v>
      </c>
      <c r="BB141" s="213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264</v>
      </c>
      <c r="B142" s="63" t="s">
        <v>267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90</v>
      </c>
      <c r="L142" s="37" t="s">
        <v>46</v>
      </c>
      <c r="M142" s="38" t="s">
        <v>108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266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08" t="s">
        <v>85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hidden="1" customHeight="1" x14ac:dyDescent="0.25">
      <c r="A146" s="63" t="s">
        <v>268</v>
      </c>
      <c r="B146" s="63" t="s">
        <v>269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132</v>
      </c>
      <c r="L146" s="37" t="s">
        <v>46</v>
      </c>
      <c r="M146" s="38" t="s">
        <v>252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251</v>
      </c>
      <c r="AC146" s="216" t="s">
        <v>250</v>
      </c>
      <c r="AG146" s="78"/>
      <c r="AJ146" s="84" t="s">
        <v>46</v>
      </c>
      <c r="AK146" s="84">
        <v>0</v>
      </c>
      <c r="BB146" s="217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270</v>
      </c>
      <c r="B147" s="63" t="s">
        <v>271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90</v>
      </c>
      <c r="L147" s="37" t="s">
        <v>46</v>
      </c>
      <c r="M147" s="38" t="s">
        <v>252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251</v>
      </c>
      <c r="AC147" s="218" t="s">
        <v>250</v>
      </c>
      <c r="AG147" s="78"/>
      <c r="AJ147" s="84" t="s">
        <v>46</v>
      </c>
      <c r="AK147" s="84">
        <v>0</v>
      </c>
      <c r="BB147" s="219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272</v>
      </c>
      <c r="B148" s="63" t="s">
        <v>273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108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257</v>
      </c>
      <c r="AG148" s="78"/>
      <c r="AJ148" s="84" t="s">
        <v>46</v>
      </c>
      <c r="AK148" s="84">
        <v>0</v>
      </c>
      <c r="BB148" s="221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272</v>
      </c>
      <c r="B149" s="63" t="s">
        <v>274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108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257</v>
      </c>
      <c r="AG149" s="78"/>
      <c r="AJ149" s="84" t="s">
        <v>46</v>
      </c>
      <c r="AK149" s="84">
        <v>0</v>
      </c>
      <c r="BB149" s="223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07" t="s">
        <v>275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hidden="1" customHeight="1" x14ac:dyDescent="0.25">
      <c r="A153" s="708" t="s">
        <v>85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hidden="1" customHeight="1" x14ac:dyDescent="0.25">
      <c r="A154" s="63" t="s">
        <v>276</v>
      </c>
      <c r="B154" s="63" t="s">
        <v>277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278</v>
      </c>
      <c r="AG154" s="78"/>
      <c r="AJ154" s="84" t="s">
        <v>46</v>
      </c>
      <c r="AK154" s="84">
        <v>0</v>
      </c>
      <c r="BB154" s="225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279</v>
      </c>
      <c r="B155" s="63" t="s">
        <v>280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281</v>
      </c>
      <c r="AG155" s="78"/>
      <c r="AJ155" s="84" t="s">
        <v>46</v>
      </c>
      <c r="AK155" s="84">
        <v>0</v>
      </c>
      <c r="BB155" s="227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282</v>
      </c>
      <c r="B156" s="63" t="s">
        <v>283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284</v>
      </c>
      <c r="AG156" s="78"/>
      <c r="AJ156" s="84" t="s">
        <v>46</v>
      </c>
      <c r="AK156" s="84">
        <v>0</v>
      </c>
      <c r="BB156" s="229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285</v>
      </c>
      <c r="B157" s="63" t="s">
        <v>286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287</v>
      </c>
      <c r="AG157" s="78"/>
      <c r="AJ157" s="84" t="s">
        <v>46</v>
      </c>
      <c r="AK157" s="84">
        <v>0</v>
      </c>
      <c r="BB157" s="231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708" t="s">
        <v>103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hidden="1" customHeight="1" x14ac:dyDescent="0.25">
      <c r="A161" s="63" t="s">
        <v>288</v>
      </c>
      <c r="B161" s="63" t="s">
        <v>289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292</v>
      </c>
      <c r="L161" s="37" t="s">
        <v>46</v>
      </c>
      <c r="M161" s="38" t="s">
        <v>291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290</v>
      </c>
      <c r="AG161" s="78"/>
      <c r="AJ161" s="84" t="s">
        <v>46</v>
      </c>
      <c r="AK161" s="84">
        <v>0</v>
      </c>
      <c r="BB161" s="233" t="s">
        <v>107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707" t="s">
        <v>125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hidden="1" customHeight="1" x14ac:dyDescent="0.25">
      <c r="A165" s="708" t="s">
        <v>127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90</v>
      </c>
      <c r="L166" s="37" t="s">
        <v>46</v>
      </c>
      <c r="M166" s="38" t="s">
        <v>89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251</v>
      </c>
      <c r="AC166" s="234" t="s">
        <v>295</v>
      </c>
      <c r="AG166" s="78"/>
      <c r="AJ166" s="84" t="s">
        <v>46</v>
      </c>
      <c r="AK166" s="84">
        <v>0</v>
      </c>
      <c r="BB166" s="235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296</v>
      </c>
      <c r="B167" s="63" t="s">
        <v>297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132</v>
      </c>
      <c r="L167" s="37" t="s">
        <v>46</v>
      </c>
      <c r="M167" s="38" t="s">
        <v>131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298</v>
      </c>
      <c r="AG167" s="78"/>
      <c r="AJ167" s="84" t="s">
        <v>46</v>
      </c>
      <c r="AK167" s="84">
        <v>0</v>
      </c>
      <c r="BB167" s="237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299</v>
      </c>
      <c r="B168" s="63" t="s">
        <v>300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139</v>
      </c>
      <c r="L168" s="37" t="s">
        <v>46</v>
      </c>
      <c r="M168" s="38" t="s">
        <v>131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301</v>
      </c>
      <c r="AG168" s="78"/>
      <c r="AJ168" s="84" t="s">
        <v>46</v>
      </c>
      <c r="AK168" s="84">
        <v>0</v>
      </c>
      <c r="BB168" s="239" t="s">
        <v>66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08" t="s">
        <v>163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hidden="1" customHeight="1" x14ac:dyDescent="0.25">
      <c r="A172" s="63" t="s">
        <v>302</v>
      </c>
      <c r="B172" s="63" t="s">
        <v>303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131</v>
      </c>
      <c r="N172" s="38"/>
      <c r="O172" s="37">
        <v>55</v>
      </c>
      <c r="P172" s="794" t="s">
        <v>304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251</v>
      </c>
      <c r="AC172" s="240" t="s">
        <v>305</v>
      </c>
      <c r="AG172" s="78"/>
      <c r="AJ172" s="84" t="s">
        <v>46</v>
      </c>
      <c r="AK172" s="84">
        <v>0</v>
      </c>
      <c r="BB172" s="241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306</v>
      </c>
      <c r="B173" s="63" t="s">
        <v>307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81</v>
      </c>
      <c r="L173" s="37" t="s">
        <v>46</v>
      </c>
      <c r="M173" s="38" t="s">
        <v>80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08" t="s">
        <v>76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hidden="1" customHeight="1" x14ac:dyDescent="0.25">
      <c r="A177" s="63" t="s">
        <v>309</v>
      </c>
      <c r="B177" s="63" t="s">
        <v>310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139</v>
      </c>
      <c r="L177" s="37" t="s">
        <v>46</v>
      </c>
      <c r="M177" s="38" t="s">
        <v>80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311</v>
      </c>
      <c r="AG177" s="78"/>
      <c r="AJ177" s="84" t="s">
        <v>46</v>
      </c>
      <c r="AK177" s="84">
        <v>0</v>
      </c>
      <c r="BB177" s="245" t="s">
        <v>66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312</v>
      </c>
      <c r="B178" s="63" t="s">
        <v>313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139</v>
      </c>
      <c r="L178" s="37" t="s">
        <v>46</v>
      </c>
      <c r="M178" s="38" t="s">
        <v>80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314</v>
      </c>
      <c r="AG178" s="78"/>
      <c r="AJ178" s="84" t="s">
        <v>46</v>
      </c>
      <c r="AK178" s="84">
        <v>0</v>
      </c>
      <c r="BB178" s="247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139</v>
      </c>
      <c r="L179" s="37" t="s">
        <v>46</v>
      </c>
      <c r="M179" s="38" t="s">
        <v>80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317</v>
      </c>
      <c r="AG179" s="78"/>
      <c r="AJ179" s="84" t="s">
        <v>46</v>
      </c>
      <c r="AK179" s="84">
        <v>0</v>
      </c>
      <c r="BB179" s="249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139</v>
      </c>
      <c r="L180" s="37" t="s">
        <v>46</v>
      </c>
      <c r="M180" s="38" t="s">
        <v>80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320</v>
      </c>
      <c r="AG180" s="78"/>
      <c r="AJ180" s="84" t="s">
        <v>46</v>
      </c>
      <c r="AK180" s="84">
        <v>0</v>
      </c>
      <c r="BB180" s="251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321</v>
      </c>
      <c r="B181" s="63" t="s">
        <v>322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136</v>
      </c>
      <c r="L181" s="37" t="s">
        <v>46</v>
      </c>
      <c r="M181" s="38" t="s">
        <v>80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323</v>
      </c>
      <c r="AG181" s="78"/>
      <c r="AJ181" s="84" t="s">
        <v>46</v>
      </c>
      <c r="AK181" s="84">
        <v>0</v>
      </c>
      <c r="BB181" s="253" t="s">
        <v>66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311</v>
      </c>
      <c r="AG182" s="78"/>
      <c r="AJ182" s="84" t="s">
        <v>46</v>
      </c>
      <c r="AK182" s="84">
        <v>0</v>
      </c>
      <c r="BB182" s="255" t="s">
        <v>66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136</v>
      </c>
      <c r="L183" s="37" t="s">
        <v>46</v>
      </c>
      <c r="M183" s="38" t="s">
        <v>80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328</v>
      </c>
      <c r="AG183" s="78"/>
      <c r="AJ183" s="84" t="s">
        <v>46</v>
      </c>
      <c r="AK183" s="84">
        <v>0</v>
      </c>
      <c r="BB183" s="257" t="s">
        <v>66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326</v>
      </c>
      <c r="B184" s="63" t="s">
        <v>329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136</v>
      </c>
      <c r="L184" s="37" t="s">
        <v>46</v>
      </c>
      <c r="M184" s="38" t="s">
        <v>80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66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330</v>
      </c>
      <c r="B185" s="63" t="s">
        <v>331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317</v>
      </c>
      <c r="AG185" s="78"/>
      <c r="AJ185" s="84" t="s">
        <v>46</v>
      </c>
      <c r="AK185" s="84">
        <v>0</v>
      </c>
      <c r="BB185" s="261" t="s">
        <v>66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136</v>
      </c>
      <c r="L186" s="37" t="s">
        <v>46</v>
      </c>
      <c r="M186" s="38" t="s">
        <v>80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334</v>
      </c>
      <c r="AG186" s="78"/>
      <c r="AJ186" s="84" t="s">
        <v>46</v>
      </c>
      <c r="AK186" s="84">
        <v>0</v>
      </c>
      <c r="BB186" s="263" t="s">
        <v>66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335</v>
      </c>
      <c r="B187" s="63" t="s">
        <v>336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320</v>
      </c>
      <c r="AG187" s="78"/>
      <c r="AJ187" s="84" t="s">
        <v>46</v>
      </c>
      <c r="AK187" s="84">
        <v>0</v>
      </c>
      <c r="BB187" s="265" t="s">
        <v>66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708" t="s">
        <v>85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hidden="1" customHeight="1" x14ac:dyDescent="0.25">
      <c r="A191" s="63" t="s">
        <v>337</v>
      </c>
      <c r="B191" s="63" t="s">
        <v>338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340</v>
      </c>
      <c r="B192" s="63" t="s">
        <v>341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90</v>
      </c>
      <c r="L192" s="37" t="s">
        <v>46</v>
      </c>
      <c r="M192" s="38" t="s">
        <v>96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342</v>
      </c>
      <c r="AG192" s="78"/>
      <c r="AJ192" s="84" t="s">
        <v>46</v>
      </c>
      <c r="AK192" s="84">
        <v>0</v>
      </c>
      <c r="BB192" s="269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343</v>
      </c>
      <c r="B193" s="63" t="s">
        <v>344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90</v>
      </c>
      <c r="L193" s="37" t="s">
        <v>46</v>
      </c>
      <c r="M193" s="38" t="s">
        <v>89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345</v>
      </c>
      <c r="AG193" s="78"/>
      <c r="AJ193" s="84" t="s">
        <v>46</v>
      </c>
      <c r="AK193" s="84">
        <v>0</v>
      </c>
      <c r="BB193" s="271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08" t="s">
        <v>103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hidden="1" customHeight="1" x14ac:dyDescent="0.25">
      <c r="A197" s="63" t="s">
        <v>346</v>
      </c>
      <c r="B197" s="63" t="s">
        <v>347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349</v>
      </c>
      <c r="L197" s="37" t="s">
        <v>46</v>
      </c>
      <c r="M197" s="38" t="s">
        <v>291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348</v>
      </c>
      <c r="AG197" s="78"/>
      <c r="AJ197" s="84" t="s">
        <v>46</v>
      </c>
      <c r="AK197" s="84">
        <v>0</v>
      </c>
      <c r="BB197" s="273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350</v>
      </c>
      <c r="B198" s="63" t="s">
        <v>351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349</v>
      </c>
      <c r="L198" s="37" t="s">
        <v>46</v>
      </c>
      <c r="M198" s="38" t="s">
        <v>291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352</v>
      </c>
      <c r="AG198" s="78"/>
      <c r="AJ198" s="84" t="s">
        <v>46</v>
      </c>
      <c r="AK198" s="84">
        <v>0</v>
      </c>
      <c r="BB198" s="275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708" t="s">
        <v>353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hidden="1" customHeight="1" x14ac:dyDescent="0.25">
      <c r="A202" s="63" t="s">
        <v>354</v>
      </c>
      <c r="B202" s="63" t="s">
        <v>355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349</v>
      </c>
      <c r="L202" s="37" t="s">
        <v>46</v>
      </c>
      <c r="M202" s="38" t="s">
        <v>291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356</v>
      </c>
      <c r="AG202" s="78"/>
      <c r="AJ202" s="84" t="s">
        <v>46</v>
      </c>
      <c r="AK202" s="84">
        <v>0</v>
      </c>
      <c r="BB202" s="277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706" t="s">
        <v>357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hidden="1" customHeight="1" x14ac:dyDescent="0.25">
      <c r="A206" s="707" t="s">
        <v>358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hidden="1" customHeight="1" x14ac:dyDescent="0.25">
      <c r="A207" s="708" t="s">
        <v>127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hidden="1" customHeight="1" x14ac:dyDescent="0.25">
      <c r="A208" s="63" t="s">
        <v>359</v>
      </c>
      <c r="B208" s="63" t="s">
        <v>360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132</v>
      </c>
      <c r="L208" s="37" t="s">
        <v>46</v>
      </c>
      <c r="M208" s="38" t="s">
        <v>89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130</v>
      </c>
      <c r="AG208" s="78"/>
      <c r="AJ208" s="84" t="s">
        <v>46</v>
      </c>
      <c r="AK208" s="84">
        <v>0</v>
      </c>
      <c r="BB208" s="279" t="s">
        <v>66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361</v>
      </c>
      <c r="B209" s="63" t="s">
        <v>362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132</v>
      </c>
      <c r="L209" s="37" t="s">
        <v>46</v>
      </c>
      <c r="M209" s="38" t="s">
        <v>89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132</v>
      </c>
      <c r="L210" s="37" t="s">
        <v>46</v>
      </c>
      <c r="M210" s="38" t="s">
        <v>89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132</v>
      </c>
      <c r="L211" s="37" t="s">
        <v>46</v>
      </c>
      <c r="M211" s="38" t="s">
        <v>89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370</v>
      </c>
      <c r="B212" s="63" t="s">
        <v>371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132</v>
      </c>
      <c r="L212" s="37" t="s">
        <v>46</v>
      </c>
      <c r="M212" s="38" t="s">
        <v>89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372</v>
      </c>
      <c r="AG212" s="78"/>
      <c r="AJ212" s="84" t="s">
        <v>46</v>
      </c>
      <c r="AK212" s="84">
        <v>0</v>
      </c>
      <c r="BB212" s="287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373</v>
      </c>
      <c r="B213" s="63" t="s">
        <v>374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132</v>
      </c>
      <c r="L213" s="37" t="s">
        <v>46</v>
      </c>
      <c r="M213" s="38" t="s">
        <v>89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375</v>
      </c>
      <c r="AG213" s="78"/>
      <c r="AJ213" s="84" t="s">
        <v>46</v>
      </c>
      <c r="AK213" s="84">
        <v>0</v>
      </c>
      <c r="BB213" s="289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376</v>
      </c>
      <c r="B214" s="63" t="s">
        <v>377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132</v>
      </c>
      <c r="L214" s="37" t="s">
        <v>46</v>
      </c>
      <c r="M214" s="38" t="s">
        <v>89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378</v>
      </c>
      <c r="AG214" s="78"/>
      <c r="AJ214" s="84" t="s">
        <v>46</v>
      </c>
      <c r="AK214" s="84">
        <v>0</v>
      </c>
      <c r="BB214" s="291" t="s">
        <v>66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707" t="s">
        <v>379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hidden="1" customHeight="1" x14ac:dyDescent="0.25">
      <c r="A218" s="708" t="s">
        <v>163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hidden="1" customHeight="1" x14ac:dyDescent="0.25">
      <c r="A219" s="63" t="s">
        <v>380</v>
      </c>
      <c r="B219" s="63" t="s">
        <v>381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81</v>
      </c>
      <c r="L219" s="37" t="s">
        <v>46</v>
      </c>
      <c r="M219" s="38" t="s">
        <v>80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708" t="s">
        <v>76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hidden="1" customHeight="1" x14ac:dyDescent="0.25">
      <c r="A223" s="63" t="s">
        <v>383</v>
      </c>
      <c r="B223" s="63" t="s">
        <v>384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139</v>
      </c>
      <c r="L223" s="37" t="s">
        <v>46</v>
      </c>
      <c r="M223" s="38" t="s">
        <v>80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66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386</v>
      </c>
      <c r="B224" s="63" t="s">
        <v>387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139</v>
      </c>
      <c r="L224" s="37" t="s">
        <v>46</v>
      </c>
      <c r="M224" s="38" t="s">
        <v>80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388</v>
      </c>
      <c r="AG224" s="78"/>
      <c r="AJ224" s="84" t="s">
        <v>46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139</v>
      </c>
      <c r="L225" s="37" t="s">
        <v>46</v>
      </c>
      <c r="M225" s="38" t="s">
        <v>80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391</v>
      </c>
      <c r="AG225" s="78"/>
      <c r="AJ225" s="84" t="s">
        <v>46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392</v>
      </c>
      <c r="B226" s="63" t="s">
        <v>393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394</v>
      </c>
      <c r="AG226" s="78"/>
      <c r="AJ226" s="84" t="s">
        <v>46</v>
      </c>
      <c r="AK226" s="84">
        <v>0</v>
      </c>
      <c r="BB226" s="301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385</v>
      </c>
      <c r="AG227" s="78"/>
      <c r="AJ227" s="84" t="s">
        <v>46</v>
      </c>
      <c r="AK227" s="84">
        <v>0</v>
      </c>
      <c r="BB227" s="303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397</v>
      </c>
      <c r="B228" s="63" t="s">
        <v>398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399</v>
      </c>
      <c r="AG228" s="78"/>
      <c r="AJ228" s="84" t="s">
        <v>46</v>
      </c>
      <c r="AK228" s="84">
        <v>0</v>
      </c>
      <c r="BB228" s="305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400</v>
      </c>
      <c r="B229" s="63" t="s">
        <v>401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388</v>
      </c>
      <c r="AG229" s="78"/>
      <c r="AJ229" s="84" t="s">
        <v>46</v>
      </c>
      <c r="AK229" s="84">
        <v>0</v>
      </c>
      <c r="BB229" s="307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402</v>
      </c>
      <c r="B230" s="63" t="s">
        <v>403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404</v>
      </c>
      <c r="AG230" s="78"/>
      <c r="AJ230" s="84" t="s">
        <v>46</v>
      </c>
      <c r="AK230" s="84">
        <v>0</v>
      </c>
      <c r="BB230" s="309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405</v>
      </c>
      <c r="B231" s="63" t="s">
        <v>406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136</v>
      </c>
      <c r="L233" s="37" t="s">
        <v>46</v>
      </c>
      <c r="M233" s="38" t="s">
        <v>80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414</v>
      </c>
      <c r="B234" s="63" t="s">
        <v>415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391</v>
      </c>
      <c r="AG234" s="78"/>
      <c r="AJ234" s="84" t="s">
        <v>46</v>
      </c>
      <c r="AK234" s="84">
        <v>0</v>
      </c>
      <c r="BB234" s="317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416</v>
      </c>
      <c r="B235" s="63" t="s">
        <v>417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90</v>
      </c>
      <c r="L235" s="37" t="s">
        <v>46</v>
      </c>
      <c r="M235" s="38" t="s">
        <v>80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391</v>
      </c>
      <c r="AG235" s="78"/>
      <c r="AJ235" s="84" t="s">
        <v>46</v>
      </c>
      <c r="AK235" s="84">
        <v>0</v>
      </c>
      <c r="BB235" s="319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418</v>
      </c>
      <c r="B236" s="63" t="s">
        <v>419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420</v>
      </c>
      <c r="AG236" s="78"/>
      <c r="AJ236" s="84" t="s">
        <v>46</v>
      </c>
      <c r="AK236" s="84">
        <v>0</v>
      </c>
      <c r="BB236" s="321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708" t="s">
        <v>85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hidden="1" customHeight="1" x14ac:dyDescent="0.25">
      <c r="A240" s="63" t="s">
        <v>421</v>
      </c>
      <c r="B240" s="63" t="s">
        <v>422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132</v>
      </c>
      <c r="L240" s="37" t="s">
        <v>46</v>
      </c>
      <c r="M240" s="38" t="s">
        <v>96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423</v>
      </c>
      <c r="AG240" s="78"/>
      <c r="AJ240" s="84" t="s">
        <v>46</v>
      </c>
      <c r="AK240" s="84">
        <v>0</v>
      </c>
      <c r="BB240" s="323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424</v>
      </c>
      <c r="B241" s="63" t="s">
        <v>425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132</v>
      </c>
      <c r="L241" s="37" t="s">
        <v>46</v>
      </c>
      <c r="M241" s="38" t="s">
        <v>96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426</v>
      </c>
      <c r="AG241" s="78"/>
      <c r="AJ241" s="84" t="s">
        <v>46</v>
      </c>
      <c r="AK241" s="84">
        <v>0</v>
      </c>
      <c r="BB241" s="32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427</v>
      </c>
      <c r="B242" s="63" t="s">
        <v>428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139</v>
      </c>
      <c r="L242" s="37" t="s">
        <v>46</v>
      </c>
      <c r="M242" s="38" t="s">
        <v>96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429</v>
      </c>
      <c r="AG242" s="78"/>
      <c r="AJ242" s="84" t="s">
        <v>46</v>
      </c>
      <c r="AK242" s="84">
        <v>0</v>
      </c>
      <c r="BB242" s="32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430</v>
      </c>
      <c r="B243" s="63" t="s">
        <v>431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139</v>
      </c>
      <c r="L243" s="37" t="s">
        <v>46</v>
      </c>
      <c r="M243" s="38" t="s">
        <v>96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432</v>
      </c>
      <c r="AG243" s="78"/>
      <c r="AJ243" s="84" t="s">
        <v>46</v>
      </c>
      <c r="AK243" s="84">
        <v>0</v>
      </c>
      <c r="BB243" s="329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433</v>
      </c>
      <c r="B244" s="63" t="s">
        <v>434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139</v>
      </c>
      <c r="L244" s="37" t="s">
        <v>46</v>
      </c>
      <c r="M244" s="38" t="s">
        <v>96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426</v>
      </c>
      <c r="AG244" s="78"/>
      <c r="AJ244" s="84" t="s">
        <v>46</v>
      </c>
      <c r="AK244" s="84">
        <v>0</v>
      </c>
      <c r="BB244" s="331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08" t="s">
        <v>103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hidden="1" customHeight="1" x14ac:dyDescent="0.25">
      <c r="A248" s="63" t="s">
        <v>435</v>
      </c>
      <c r="B248" s="63" t="s">
        <v>436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349</v>
      </c>
      <c r="L248" s="37" t="s">
        <v>46</v>
      </c>
      <c r="M248" s="38" t="s">
        <v>291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437</v>
      </c>
      <c r="AG248" s="78"/>
      <c r="AJ248" s="84" t="s">
        <v>46</v>
      </c>
      <c r="AK248" s="84">
        <v>0</v>
      </c>
      <c r="BB248" s="33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438</v>
      </c>
      <c r="B249" s="63" t="s">
        <v>439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349</v>
      </c>
      <c r="L249" s="37" t="s">
        <v>46</v>
      </c>
      <c r="M249" s="38" t="s">
        <v>291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440</v>
      </c>
      <c r="AG249" s="78"/>
      <c r="AJ249" s="84" t="s">
        <v>46</v>
      </c>
      <c r="AK249" s="84">
        <v>0</v>
      </c>
      <c r="BB249" s="33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441</v>
      </c>
      <c r="B250" s="63" t="s">
        <v>442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349</v>
      </c>
      <c r="L250" s="37" t="s">
        <v>46</v>
      </c>
      <c r="M250" s="38" t="s">
        <v>291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440</v>
      </c>
      <c r="AG250" s="78"/>
      <c r="AJ250" s="84" t="s">
        <v>46</v>
      </c>
      <c r="AK250" s="84">
        <v>0</v>
      </c>
      <c r="BB250" s="33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08" t="s">
        <v>443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hidden="1" customHeight="1" x14ac:dyDescent="0.25">
      <c r="A254" s="63" t="s">
        <v>444</v>
      </c>
      <c r="B254" s="63" t="s">
        <v>445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349</v>
      </c>
      <c r="L254" s="37" t="s">
        <v>46</v>
      </c>
      <c r="M254" s="38" t="s">
        <v>291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440</v>
      </c>
      <c r="AG254" s="78"/>
      <c r="AJ254" s="84" t="s">
        <v>46</v>
      </c>
      <c r="AK254" s="84">
        <v>0</v>
      </c>
      <c r="BB254" s="339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07" t="s">
        <v>446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hidden="1" customHeight="1" x14ac:dyDescent="0.25">
      <c r="A258" s="708" t="s">
        <v>127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hidden="1" customHeight="1" x14ac:dyDescent="0.25">
      <c r="A259" s="63" t="s">
        <v>447</v>
      </c>
      <c r="B259" s="63" t="s">
        <v>448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132</v>
      </c>
      <c r="L259" s="37" t="s">
        <v>46</v>
      </c>
      <c r="M259" s="38" t="s">
        <v>131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449</v>
      </c>
      <c r="AG259" s="78"/>
      <c r="AJ259" s="84" t="s">
        <v>46</v>
      </c>
      <c r="AK259" s="84">
        <v>0</v>
      </c>
      <c r="BB259" s="341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450</v>
      </c>
      <c r="B260" s="63" t="s">
        <v>451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90</v>
      </c>
      <c r="L260" s="37" t="s">
        <v>46</v>
      </c>
      <c r="M260" s="38" t="s">
        <v>131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449</v>
      </c>
      <c r="AG260" s="78"/>
      <c r="AJ260" s="84" t="s">
        <v>46</v>
      </c>
      <c r="AK260" s="84">
        <v>0</v>
      </c>
      <c r="BB260" s="343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08" t="s">
        <v>163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hidden="1" customHeight="1" x14ac:dyDescent="0.25">
      <c r="A264" s="63" t="s">
        <v>452</v>
      </c>
      <c r="B264" s="63" t="s">
        <v>453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132</v>
      </c>
      <c r="L264" s="37" t="s">
        <v>46</v>
      </c>
      <c r="M264" s="38" t="s">
        <v>131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454</v>
      </c>
      <c r="AG264" s="78"/>
      <c r="AJ264" s="84" t="s">
        <v>46</v>
      </c>
      <c r="AK264" s="84">
        <v>0</v>
      </c>
      <c r="BB264" s="345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455</v>
      </c>
      <c r="B265" s="63" t="s">
        <v>456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90</v>
      </c>
      <c r="L265" s="37" t="s">
        <v>46</v>
      </c>
      <c r="M265" s="38" t="s">
        <v>131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454</v>
      </c>
      <c r="AG265" s="78"/>
      <c r="AJ265" s="84" t="s">
        <v>46</v>
      </c>
      <c r="AK265" s="84">
        <v>0</v>
      </c>
      <c r="BB265" s="347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08" t="s">
        <v>76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hidden="1" customHeight="1" x14ac:dyDescent="0.25">
      <c r="A269" s="63" t="s">
        <v>457</v>
      </c>
      <c r="B269" s="63" t="s">
        <v>458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139</v>
      </c>
      <c r="L269" s="37" t="s">
        <v>46</v>
      </c>
      <c r="M269" s="38" t="s">
        <v>80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459</v>
      </c>
      <c r="AG269" s="78"/>
      <c r="AJ269" s="84" t="s">
        <v>46</v>
      </c>
      <c r="AK269" s="84">
        <v>0</v>
      </c>
      <c r="BB269" s="349" t="s">
        <v>66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460</v>
      </c>
      <c r="B270" s="63" t="s">
        <v>461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139</v>
      </c>
      <c r="L270" s="37" t="s">
        <v>46</v>
      </c>
      <c r="M270" s="38" t="s">
        <v>80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462</v>
      </c>
      <c r="AG270" s="78"/>
      <c r="AJ270" s="84" t="s">
        <v>46</v>
      </c>
      <c r="AK270" s="84">
        <v>0</v>
      </c>
      <c r="BB270" s="351" t="s">
        <v>66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463</v>
      </c>
      <c r="B271" s="63" t="s">
        <v>464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139</v>
      </c>
      <c r="L271" s="37" t="s">
        <v>46</v>
      </c>
      <c r="M271" s="38" t="s">
        <v>80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465</v>
      </c>
      <c r="AG271" s="78"/>
      <c r="AJ271" s="84" t="s">
        <v>46</v>
      </c>
      <c r="AK271" s="84">
        <v>0</v>
      </c>
      <c r="BB271" s="353" t="s">
        <v>66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466</v>
      </c>
      <c r="B272" s="63" t="s">
        <v>467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139</v>
      </c>
      <c r="L272" s="37" t="s">
        <v>46</v>
      </c>
      <c r="M272" s="38" t="s">
        <v>80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468</v>
      </c>
      <c r="AG272" s="78"/>
      <c r="AJ272" s="84" t="s">
        <v>46</v>
      </c>
      <c r="AK272" s="84">
        <v>0</v>
      </c>
      <c r="BB272" s="355" t="s">
        <v>66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81</v>
      </c>
      <c r="L273" s="37" t="s">
        <v>46</v>
      </c>
      <c r="M273" s="38" t="s">
        <v>80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459</v>
      </c>
      <c r="AG273" s="78"/>
      <c r="AJ273" s="84" t="s">
        <v>46</v>
      </c>
      <c r="AK273" s="84">
        <v>0</v>
      </c>
      <c r="BB273" s="357" t="s">
        <v>66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81</v>
      </c>
      <c r="L274" s="37" t="s">
        <v>46</v>
      </c>
      <c r="M274" s="38" t="s">
        <v>80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66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473</v>
      </c>
      <c r="B275" s="63" t="s">
        <v>474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81</v>
      </c>
      <c r="L275" s="37" t="s">
        <v>46</v>
      </c>
      <c r="M275" s="38" t="s">
        <v>80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465</v>
      </c>
      <c r="AG275" s="78"/>
      <c r="AJ275" s="84" t="s">
        <v>46</v>
      </c>
      <c r="AK275" s="84">
        <v>0</v>
      </c>
      <c r="BB275" s="361" t="s">
        <v>66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475</v>
      </c>
      <c r="B276" s="63" t="s">
        <v>476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468</v>
      </c>
      <c r="AG276" s="78"/>
      <c r="AJ276" s="84" t="s">
        <v>46</v>
      </c>
      <c r="AK276" s="84">
        <v>0</v>
      </c>
      <c r="BB276" s="363" t="s">
        <v>66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708" t="s">
        <v>85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hidden="1" customHeight="1" x14ac:dyDescent="0.25">
      <c r="A280" s="63" t="s">
        <v>477</v>
      </c>
      <c r="B280" s="63" t="s">
        <v>478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132</v>
      </c>
      <c r="L280" s="37" t="s">
        <v>46</v>
      </c>
      <c r="M280" s="38" t="s">
        <v>89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479</v>
      </c>
      <c r="AG280" s="78"/>
      <c r="AJ280" s="84" t="s">
        <v>46</v>
      </c>
      <c r="AK280" s="84">
        <v>0</v>
      </c>
      <c r="BB280" s="365" t="s">
        <v>66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480</v>
      </c>
      <c r="B281" s="63" t="s">
        <v>481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132</v>
      </c>
      <c r="L281" s="37" t="s">
        <v>46</v>
      </c>
      <c r="M281" s="38" t="s">
        <v>89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482</v>
      </c>
      <c r="AG281" s="78"/>
      <c r="AJ281" s="84" t="s">
        <v>46</v>
      </c>
      <c r="AK281" s="84">
        <v>0</v>
      </c>
      <c r="BB281" s="367" t="s">
        <v>66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483</v>
      </c>
      <c r="B282" s="63" t="s">
        <v>484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132</v>
      </c>
      <c r="L282" s="37" t="s">
        <v>46</v>
      </c>
      <c r="M282" s="38" t="s">
        <v>89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485</v>
      </c>
      <c r="AG282" s="78"/>
      <c r="AJ282" s="84" t="s">
        <v>46</v>
      </c>
      <c r="AK282" s="84">
        <v>0</v>
      </c>
      <c r="BB282" s="369" t="s">
        <v>66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90</v>
      </c>
      <c r="L283" s="37" t="s">
        <v>46</v>
      </c>
      <c r="M283" s="38" t="s">
        <v>89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479</v>
      </c>
      <c r="AG283" s="78"/>
      <c r="AJ283" s="84" t="s">
        <v>46</v>
      </c>
      <c r="AK283" s="84">
        <v>0</v>
      </c>
      <c r="BB283" s="371" t="s">
        <v>66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488</v>
      </c>
      <c r="B284" s="63" t="s">
        <v>489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90</v>
      </c>
      <c r="L284" s="37" t="s">
        <v>46</v>
      </c>
      <c r="M284" s="38" t="s">
        <v>96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66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490</v>
      </c>
      <c r="B285" s="63" t="s">
        <v>491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139</v>
      </c>
      <c r="L285" s="37" t="s">
        <v>46</v>
      </c>
      <c r="M285" s="38" t="s">
        <v>89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492</v>
      </c>
      <c r="AG285" s="78"/>
      <c r="AJ285" s="84" t="s">
        <v>46</v>
      </c>
      <c r="AK285" s="84">
        <v>0</v>
      </c>
      <c r="BB285" s="375" t="s">
        <v>66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485</v>
      </c>
      <c r="AG286" s="78"/>
      <c r="AJ286" s="84" t="s">
        <v>46</v>
      </c>
      <c r="AK286" s="84">
        <v>0</v>
      </c>
      <c r="BB286" s="377" t="s">
        <v>66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132</v>
      </c>
      <c r="L287" s="37" t="s">
        <v>46</v>
      </c>
      <c r="M287" s="38" t="s">
        <v>89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492</v>
      </c>
      <c r="AG287" s="78"/>
      <c r="AJ287" s="84" t="s">
        <v>46</v>
      </c>
      <c r="AK287" s="84">
        <v>0</v>
      </c>
      <c r="BB287" s="379" t="s">
        <v>66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497</v>
      </c>
      <c r="B288" s="63" t="s">
        <v>498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90</v>
      </c>
      <c r="L288" s="37" t="s">
        <v>46</v>
      </c>
      <c r="M288" s="38" t="s">
        <v>89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485</v>
      </c>
      <c r="AG288" s="78"/>
      <c r="AJ288" s="84" t="s">
        <v>46</v>
      </c>
      <c r="AK288" s="84">
        <v>0</v>
      </c>
      <c r="BB288" s="381" t="s">
        <v>66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499</v>
      </c>
      <c r="B289" s="63" t="s">
        <v>500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96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501</v>
      </c>
      <c r="AG289" s="78"/>
      <c r="AJ289" s="84" t="s">
        <v>46</v>
      </c>
      <c r="AK289" s="84">
        <v>0</v>
      </c>
      <c r="BB289" s="383" t="s">
        <v>66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502</v>
      </c>
      <c r="B290" s="63" t="s">
        <v>503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504</v>
      </c>
      <c r="AG290" s="78"/>
      <c r="AJ290" s="84" t="s">
        <v>46</v>
      </c>
      <c r="AK290" s="84">
        <v>0</v>
      </c>
      <c r="BB290" s="385" t="s">
        <v>66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505</v>
      </c>
      <c r="B291" s="63" t="s">
        <v>506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507</v>
      </c>
      <c r="AG291" s="78"/>
      <c r="AJ291" s="84" t="s">
        <v>46</v>
      </c>
      <c r="AK291" s="84">
        <v>0</v>
      </c>
      <c r="BB291" s="387" t="s">
        <v>66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idden="1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708" t="s">
        <v>180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hidden="1" customHeight="1" x14ac:dyDescent="0.25">
      <c r="A295" s="63" t="s">
        <v>508</v>
      </c>
      <c r="B295" s="63" t="s">
        <v>509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96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510</v>
      </c>
      <c r="AG295" s="78"/>
      <c r="AJ295" s="84" t="s">
        <v>46</v>
      </c>
      <c r="AK295" s="84">
        <v>0</v>
      </c>
      <c r="BB295" s="389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511</v>
      </c>
      <c r="B296" s="63" t="s">
        <v>512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90</v>
      </c>
      <c r="L296" s="37" t="s">
        <v>46</v>
      </c>
      <c r="M296" s="38" t="s">
        <v>89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513</v>
      </c>
      <c r="AG296" s="78"/>
      <c r="AJ296" s="84" t="s">
        <v>46</v>
      </c>
      <c r="AK296" s="84">
        <v>0</v>
      </c>
      <c r="BB296" s="391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07" t="s">
        <v>514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hidden="1" customHeight="1" x14ac:dyDescent="0.25">
      <c r="A300" s="708" t="s">
        <v>127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hidden="1" customHeight="1" x14ac:dyDescent="0.25">
      <c r="A301" s="63" t="s">
        <v>515</v>
      </c>
      <c r="B301" s="63" t="s">
        <v>516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132</v>
      </c>
      <c r="L301" s="37" t="s">
        <v>46</v>
      </c>
      <c r="M301" s="38" t="s">
        <v>131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517</v>
      </c>
      <c r="AG301" s="78"/>
      <c r="AJ301" s="84" t="s">
        <v>46</v>
      </c>
      <c r="AK301" s="84">
        <v>0</v>
      </c>
      <c r="BB301" s="393" t="s">
        <v>66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518</v>
      </c>
      <c r="B302" s="63" t="s">
        <v>519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132</v>
      </c>
      <c r="L302" s="37" t="s">
        <v>46</v>
      </c>
      <c r="M302" s="38" t="s">
        <v>131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520</v>
      </c>
      <c r="AG302" s="78"/>
      <c r="AJ302" s="84" t="s">
        <v>46</v>
      </c>
      <c r="AK302" s="84">
        <v>0</v>
      </c>
      <c r="BB302" s="395" t="s">
        <v>66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132</v>
      </c>
      <c r="L303" s="37" t="s">
        <v>46</v>
      </c>
      <c r="M303" s="38" t="s">
        <v>131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375</v>
      </c>
      <c r="AG303" s="78"/>
      <c r="AJ303" s="84" t="s">
        <v>46</v>
      </c>
      <c r="AK303" s="84">
        <v>0</v>
      </c>
      <c r="BB303" s="397" t="s">
        <v>66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523</v>
      </c>
      <c r="B304" s="63" t="s">
        <v>524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139</v>
      </c>
      <c r="L304" s="37" t="s">
        <v>46</v>
      </c>
      <c r="M304" s="38" t="s">
        <v>131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517</v>
      </c>
      <c r="AG304" s="78"/>
      <c r="AJ304" s="84" t="s">
        <v>46</v>
      </c>
      <c r="AK304" s="84">
        <v>0</v>
      </c>
      <c r="BB304" s="399" t="s">
        <v>66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525</v>
      </c>
      <c r="B305" s="63" t="s">
        <v>526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139</v>
      </c>
      <c r="L305" s="37" t="s">
        <v>46</v>
      </c>
      <c r="M305" s="38" t="s">
        <v>131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527</v>
      </c>
      <c r="AG305" s="78"/>
      <c r="AJ305" s="84" t="s">
        <v>46</v>
      </c>
      <c r="AK305" s="84">
        <v>0</v>
      </c>
      <c r="BB305" s="401" t="s">
        <v>66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528</v>
      </c>
      <c r="B306" s="63" t="s">
        <v>529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90</v>
      </c>
      <c r="L306" s="37" t="s">
        <v>46</v>
      </c>
      <c r="M306" s="38" t="s">
        <v>131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530</v>
      </c>
      <c r="AG306" s="78"/>
      <c r="AJ306" s="84" t="s">
        <v>46</v>
      </c>
      <c r="AK306" s="84">
        <v>0</v>
      </c>
      <c r="BB306" s="403" t="s">
        <v>66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531</v>
      </c>
      <c r="B307" s="63" t="s">
        <v>532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139</v>
      </c>
      <c r="L307" s="37" t="s">
        <v>46</v>
      </c>
      <c r="M307" s="38" t="s">
        <v>131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375</v>
      </c>
      <c r="AG307" s="78"/>
      <c r="AJ307" s="84" t="s">
        <v>46</v>
      </c>
      <c r="AK307" s="84">
        <v>0</v>
      </c>
      <c r="BB307" s="405" t="s">
        <v>66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08" t="s">
        <v>163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hidden="1" customHeight="1" x14ac:dyDescent="0.25">
      <c r="A311" s="63" t="s">
        <v>533</v>
      </c>
      <c r="B311" s="63" t="s">
        <v>534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81</v>
      </c>
      <c r="L311" s="37" t="s">
        <v>46</v>
      </c>
      <c r="M311" s="38" t="s">
        <v>89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535</v>
      </c>
      <c r="AG311" s="78"/>
      <c r="AJ311" s="84" t="s">
        <v>46</v>
      </c>
      <c r="AK311" s="84">
        <v>0</v>
      </c>
      <c r="BB311" s="407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08" t="s">
        <v>536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hidden="1" customHeight="1" x14ac:dyDescent="0.25">
      <c r="A315" s="63" t="s">
        <v>537</v>
      </c>
      <c r="B315" s="63" t="s">
        <v>538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349</v>
      </c>
      <c r="L315" s="37" t="s">
        <v>46</v>
      </c>
      <c r="M315" s="38" t="s">
        <v>291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539</v>
      </c>
      <c r="AG315" s="78"/>
      <c r="AJ315" s="84" t="s">
        <v>46</v>
      </c>
      <c r="AK315" s="84">
        <v>0</v>
      </c>
      <c r="BB315" s="40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08" t="s">
        <v>353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hidden="1" customHeight="1" x14ac:dyDescent="0.25">
      <c r="A319" s="63" t="s">
        <v>540</v>
      </c>
      <c r="B319" s="63" t="s">
        <v>541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349</v>
      </c>
      <c r="L319" s="37" t="s">
        <v>46</v>
      </c>
      <c r="M319" s="38" t="s">
        <v>291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542</v>
      </c>
      <c r="AG319" s="78"/>
      <c r="AJ319" s="84" t="s">
        <v>46</v>
      </c>
      <c r="AK319" s="84">
        <v>0</v>
      </c>
      <c r="BB319" s="41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543</v>
      </c>
      <c r="B320" s="63" t="s">
        <v>544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349</v>
      </c>
      <c r="L320" s="37" t="s">
        <v>46</v>
      </c>
      <c r="M320" s="38" t="s">
        <v>291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542</v>
      </c>
      <c r="AG320" s="78"/>
      <c r="AJ320" s="84" t="s">
        <v>46</v>
      </c>
      <c r="AK320" s="84">
        <v>0</v>
      </c>
      <c r="BB320" s="41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545</v>
      </c>
      <c r="B321" s="63" t="s">
        <v>546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349</v>
      </c>
      <c r="L321" s="37" t="s">
        <v>46</v>
      </c>
      <c r="M321" s="38" t="s">
        <v>291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542</v>
      </c>
      <c r="AG321" s="78"/>
      <c r="AJ321" s="84" t="s">
        <v>46</v>
      </c>
      <c r="AK321" s="84">
        <v>0</v>
      </c>
      <c r="BB321" s="41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07" t="s">
        <v>547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hidden="1" customHeight="1" x14ac:dyDescent="0.25">
      <c r="A325" s="708" t="s">
        <v>127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hidden="1" customHeight="1" x14ac:dyDescent="0.25">
      <c r="A326" s="63" t="s">
        <v>548</v>
      </c>
      <c r="B326" s="63" t="s">
        <v>549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132</v>
      </c>
      <c r="L326" s="37" t="s">
        <v>46</v>
      </c>
      <c r="M326" s="38" t="s">
        <v>131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550</v>
      </c>
      <c r="AG326" s="78"/>
      <c r="AJ326" s="84" t="s">
        <v>46</v>
      </c>
      <c r="AK326" s="84">
        <v>0</v>
      </c>
      <c r="BB326" s="417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551</v>
      </c>
      <c r="B327" s="63" t="s">
        <v>552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132</v>
      </c>
      <c r="L327" s="37" t="s">
        <v>46</v>
      </c>
      <c r="M327" s="38" t="s">
        <v>131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553</v>
      </c>
      <c r="AG327" s="78"/>
      <c r="AJ327" s="84" t="s">
        <v>46</v>
      </c>
      <c r="AK327" s="84">
        <v>0</v>
      </c>
      <c r="BB327" s="419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554</v>
      </c>
      <c r="B328" s="63" t="s">
        <v>555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132</v>
      </c>
      <c r="L328" s="37" t="s">
        <v>46</v>
      </c>
      <c r="M328" s="38" t="s">
        <v>131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556</v>
      </c>
      <c r="AG328" s="78"/>
      <c r="AJ328" s="84" t="s">
        <v>46</v>
      </c>
      <c r="AK328" s="84">
        <v>0</v>
      </c>
      <c r="BB328" s="421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557</v>
      </c>
      <c r="B329" s="63" t="s">
        <v>558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139</v>
      </c>
      <c r="L329" s="37" t="s">
        <v>46</v>
      </c>
      <c r="M329" s="38" t="s">
        <v>131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559</v>
      </c>
      <c r="AG329" s="78"/>
      <c r="AJ329" s="84" t="s">
        <v>46</v>
      </c>
      <c r="AK329" s="84">
        <v>0</v>
      </c>
      <c r="BB329" s="423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560</v>
      </c>
      <c r="B330" s="63" t="s">
        <v>561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139</v>
      </c>
      <c r="L330" s="37" t="s">
        <v>46</v>
      </c>
      <c r="M330" s="38" t="s">
        <v>131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562</v>
      </c>
      <c r="AG330" s="78"/>
      <c r="AJ330" s="84" t="s">
        <v>46</v>
      </c>
      <c r="AK330" s="84">
        <v>0</v>
      </c>
      <c r="BB330" s="425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707" t="s">
        <v>563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hidden="1" customHeight="1" x14ac:dyDescent="0.25">
      <c r="A334" s="708" t="s">
        <v>85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hidden="1" customHeight="1" x14ac:dyDescent="0.25">
      <c r="A335" s="63" t="s">
        <v>564</v>
      </c>
      <c r="B335" s="63" t="s">
        <v>565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90</v>
      </c>
      <c r="L335" s="37" t="s">
        <v>46</v>
      </c>
      <c r="M335" s="38" t="s">
        <v>89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566</v>
      </c>
      <c r="AG335" s="78"/>
      <c r="AJ335" s="84" t="s">
        <v>46</v>
      </c>
      <c r="AK335" s="84">
        <v>0</v>
      </c>
      <c r="BB335" s="427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567</v>
      </c>
      <c r="B336" s="63" t="s">
        <v>568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90</v>
      </c>
      <c r="L336" s="37" t="s">
        <v>46</v>
      </c>
      <c r="M336" s="38" t="s">
        <v>96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569</v>
      </c>
      <c r="AG336" s="78"/>
      <c r="AJ336" s="84" t="s">
        <v>46</v>
      </c>
      <c r="AK336" s="84">
        <v>0</v>
      </c>
      <c r="BB336" s="429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570</v>
      </c>
      <c r="B337" s="63" t="s">
        <v>571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90</v>
      </c>
      <c r="L337" s="37" t="s">
        <v>46</v>
      </c>
      <c r="M337" s="38" t="s">
        <v>89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566</v>
      </c>
      <c r="AG337" s="78"/>
      <c r="AJ337" s="84" t="s">
        <v>46</v>
      </c>
      <c r="AK337" s="84">
        <v>0</v>
      </c>
      <c r="BB337" s="431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07" t="s">
        <v>572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hidden="1" customHeight="1" x14ac:dyDescent="0.25">
      <c r="A341" s="708" t="s">
        <v>76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hidden="1" customHeight="1" x14ac:dyDescent="0.25">
      <c r="A342" s="63" t="s">
        <v>573</v>
      </c>
      <c r="B342" s="63" t="s">
        <v>574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407</v>
      </c>
      <c r="AG342" s="78"/>
      <c r="AJ342" s="84" t="s">
        <v>46</v>
      </c>
      <c r="AK342" s="84">
        <v>0</v>
      </c>
      <c r="BB342" s="433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81</v>
      </c>
      <c r="L343" s="37" t="s">
        <v>46</v>
      </c>
      <c r="M343" s="38" t="s">
        <v>80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81</v>
      </c>
      <c r="L344" s="37" t="s">
        <v>46</v>
      </c>
      <c r="M344" s="38" t="s">
        <v>80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581</v>
      </c>
      <c r="B345" s="63" t="s">
        <v>582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90</v>
      </c>
      <c r="L345" s="37" t="s">
        <v>46</v>
      </c>
      <c r="M345" s="38" t="s">
        <v>80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584</v>
      </c>
      <c r="B346" s="63" t="s">
        <v>585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08" t="s">
        <v>85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hidden="1" customHeight="1" x14ac:dyDescent="0.25">
      <c r="A350" s="63" t="s">
        <v>587</v>
      </c>
      <c r="B350" s="63" t="s">
        <v>588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139</v>
      </c>
      <c r="L350" s="37" t="s">
        <v>46</v>
      </c>
      <c r="M350" s="38" t="s">
        <v>89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590</v>
      </c>
      <c r="B351" s="63" t="s">
        <v>591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139</v>
      </c>
      <c r="L351" s="37" t="s">
        <v>46</v>
      </c>
      <c r="M351" s="38" t="s">
        <v>89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592</v>
      </c>
      <c r="AG351" s="78"/>
      <c r="AJ351" s="84" t="s">
        <v>46</v>
      </c>
      <c r="AK351" s="84">
        <v>0</v>
      </c>
      <c r="BB351" s="445" t="s">
        <v>66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07" t="s">
        <v>593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hidden="1" customHeight="1" x14ac:dyDescent="0.25">
      <c r="A355" s="708" t="s">
        <v>127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hidden="1" customHeight="1" x14ac:dyDescent="0.25">
      <c r="A356" s="63" t="s">
        <v>594</v>
      </c>
      <c r="B356" s="63" t="s">
        <v>595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132</v>
      </c>
      <c r="L356" s="37" t="s">
        <v>46</v>
      </c>
      <c r="M356" s="38" t="s">
        <v>89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366</v>
      </c>
      <c r="AG356" s="78"/>
      <c r="AJ356" s="84" t="s">
        <v>46</v>
      </c>
      <c r="AK356" s="84">
        <v>0</v>
      </c>
      <c r="BB356" s="447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596</v>
      </c>
      <c r="B357" s="63" t="s">
        <v>597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132</v>
      </c>
      <c r="L357" s="37" t="s">
        <v>46</v>
      </c>
      <c r="M357" s="38" t="s">
        <v>89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598</v>
      </c>
      <c r="AG357" s="78"/>
      <c r="AJ357" s="84" t="s">
        <v>46</v>
      </c>
      <c r="AK357" s="84">
        <v>0</v>
      </c>
      <c r="BB357" s="449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599</v>
      </c>
      <c r="B358" s="63" t="s">
        <v>600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132</v>
      </c>
      <c r="L358" s="37" t="s">
        <v>46</v>
      </c>
      <c r="M358" s="38" t="s">
        <v>89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601</v>
      </c>
      <c r="AG358" s="78"/>
      <c r="AJ358" s="84" t="s">
        <v>46</v>
      </c>
      <c r="AK358" s="84">
        <v>0</v>
      </c>
      <c r="BB358" s="451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07" t="s">
        <v>602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hidden="1" customHeight="1" x14ac:dyDescent="0.25">
      <c r="A362" s="708" t="s">
        <v>127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hidden="1" customHeight="1" x14ac:dyDescent="0.25">
      <c r="A363" s="63" t="s">
        <v>603</v>
      </c>
      <c r="B363" s="63" t="s">
        <v>604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132</v>
      </c>
      <c r="L363" s="37" t="s">
        <v>46</v>
      </c>
      <c r="M363" s="38" t="s">
        <v>131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605</v>
      </c>
      <c r="AG363" s="78"/>
      <c r="AJ363" s="84" t="s">
        <v>46</v>
      </c>
      <c r="AK363" s="84">
        <v>0</v>
      </c>
      <c r="BB363" s="453" t="s">
        <v>66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606</v>
      </c>
      <c r="B364" s="63" t="s">
        <v>607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132</v>
      </c>
      <c r="L364" s="37" t="s">
        <v>46</v>
      </c>
      <c r="M364" s="38" t="s">
        <v>131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608</v>
      </c>
      <c r="AG364" s="78"/>
      <c r="AJ364" s="84" t="s">
        <v>46</v>
      </c>
      <c r="AK364" s="84">
        <v>0</v>
      </c>
      <c r="BB364" s="455" t="s">
        <v>66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609</v>
      </c>
      <c r="B365" s="63" t="s">
        <v>610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132</v>
      </c>
      <c r="L365" s="37" t="s">
        <v>46</v>
      </c>
      <c r="M365" s="38" t="s">
        <v>131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611</v>
      </c>
      <c r="AG365" s="78"/>
      <c r="AJ365" s="84" t="s">
        <v>46</v>
      </c>
      <c r="AK365" s="84">
        <v>0</v>
      </c>
      <c r="BB365" s="457" t="s">
        <v>66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612</v>
      </c>
      <c r="B366" s="63" t="s">
        <v>613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132</v>
      </c>
      <c r="L366" s="37" t="s">
        <v>46</v>
      </c>
      <c r="M366" s="38" t="s">
        <v>89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66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615</v>
      </c>
      <c r="B367" s="63" t="s">
        <v>616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139</v>
      </c>
      <c r="L367" s="37" t="s">
        <v>46</v>
      </c>
      <c r="M367" s="38" t="s">
        <v>131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608</v>
      </c>
      <c r="AG367" s="78"/>
      <c r="AJ367" s="84" t="s">
        <v>46</v>
      </c>
      <c r="AK367" s="84">
        <v>0</v>
      </c>
      <c r="BB367" s="461" t="s">
        <v>66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617</v>
      </c>
      <c r="B368" s="63" t="s">
        <v>618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139</v>
      </c>
      <c r="L368" s="37" t="s">
        <v>46</v>
      </c>
      <c r="M368" s="38" t="s">
        <v>131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66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hidden="1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708" t="s">
        <v>76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hidden="1" customHeight="1" x14ac:dyDescent="0.25">
      <c r="A372" s="63" t="s">
        <v>620</v>
      </c>
      <c r="B372" s="63" t="s">
        <v>621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139</v>
      </c>
      <c r="L372" s="37" t="s">
        <v>46</v>
      </c>
      <c r="M372" s="38" t="s">
        <v>80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66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139</v>
      </c>
      <c r="L373" s="37" t="s">
        <v>46</v>
      </c>
      <c r="M373" s="38" t="s">
        <v>80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66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139</v>
      </c>
      <c r="L374" s="37" t="s">
        <v>46</v>
      </c>
      <c r="M374" s="38" t="s">
        <v>80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66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629</v>
      </c>
      <c r="B375" s="63" t="s">
        <v>630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81</v>
      </c>
      <c r="L375" s="37" t="s">
        <v>46</v>
      </c>
      <c r="M375" s="38" t="s">
        <v>80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625</v>
      </c>
      <c r="AG375" s="78"/>
      <c r="AJ375" s="84" t="s">
        <v>46</v>
      </c>
      <c r="AK375" s="84">
        <v>0</v>
      </c>
      <c r="BB375" s="471" t="s">
        <v>66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631</v>
      </c>
      <c r="B376" s="63" t="s">
        <v>632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81</v>
      </c>
      <c r="L376" s="37" t="s">
        <v>46</v>
      </c>
      <c r="M376" s="38" t="s">
        <v>80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633</v>
      </c>
      <c r="AG376" s="78"/>
      <c r="AJ376" s="84" t="s">
        <v>46</v>
      </c>
      <c r="AK376" s="84">
        <v>0</v>
      </c>
      <c r="BB376" s="473" t="s">
        <v>66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634</v>
      </c>
      <c r="B377" s="63" t="s">
        <v>635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139</v>
      </c>
      <c r="L377" s="37" t="s">
        <v>46</v>
      </c>
      <c r="M377" s="38" t="s">
        <v>80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628</v>
      </c>
      <c r="AG377" s="78"/>
      <c r="AJ377" s="84" t="s">
        <v>46</v>
      </c>
      <c r="AK377" s="84">
        <v>0</v>
      </c>
      <c r="BB377" s="475" t="s">
        <v>66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636</v>
      </c>
      <c r="B378" s="63" t="s">
        <v>637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90</v>
      </c>
      <c r="L378" s="37" t="s">
        <v>46</v>
      </c>
      <c r="M378" s="38" t="s">
        <v>80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638</v>
      </c>
      <c r="AG378" s="78"/>
      <c r="AJ378" s="84" t="s">
        <v>46</v>
      </c>
      <c r="AK378" s="84">
        <v>0</v>
      </c>
      <c r="BB378" s="477" t="s">
        <v>66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hidden="1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708" t="s">
        <v>85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hidden="1" customHeight="1" x14ac:dyDescent="0.25">
      <c r="A382" s="63" t="s">
        <v>639</v>
      </c>
      <c r="B382" s="63" t="s">
        <v>640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132</v>
      </c>
      <c r="L382" s="37" t="s">
        <v>46</v>
      </c>
      <c r="M382" s="38" t="s">
        <v>89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641</v>
      </c>
      <c r="AG382" s="78"/>
      <c r="AJ382" s="84" t="s">
        <v>46</v>
      </c>
      <c r="AK382" s="84">
        <v>0</v>
      </c>
      <c r="BB382" s="47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642</v>
      </c>
      <c r="B383" s="63" t="s">
        <v>643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132</v>
      </c>
      <c r="L383" s="37" t="s">
        <v>46</v>
      </c>
      <c r="M383" s="38" t="s">
        <v>89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644</v>
      </c>
      <c r="AG383" s="78"/>
      <c r="AJ383" s="84" t="s">
        <v>46</v>
      </c>
      <c r="AK383" s="84">
        <v>0</v>
      </c>
      <c r="BB383" s="48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645</v>
      </c>
      <c r="B384" s="63" t="s">
        <v>646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132</v>
      </c>
      <c r="L384" s="37" t="s">
        <v>46</v>
      </c>
      <c r="M384" s="38" t="s">
        <v>89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647</v>
      </c>
      <c r="AG384" s="78"/>
      <c r="AJ384" s="84" t="s">
        <v>46</v>
      </c>
      <c r="AK384" s="84">
        <v>0</v>
      </c>
      <c r="BB384" s="48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648</v>
      </c>
      <c r="B385" s="63" t="s">
        <v>649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90</v>
      </c>
      <c r="L385" s="37" t="s">
        <v>46</v>
      </c>
      <c r="M385" s="38" t="s">
        <v>89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641</v>
      </c>
      <c r="AG385" s="78"/>
      <c r="AJ385" s="84" t="s">
        <v>46</v>
      </c>
      <c r="AK385" s="84">
        <v>0</v>
      </c>
      <c r="BB385" s="48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708" t="s">
        <v>180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hidden="1" customHeight="1" x14ac:dyDescent="0.25">
      <c r="A389" s="63" t="s">
        <v>650</v>
      </c>
      <c r="B389" s="63" t="s">
        <v>651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132</v>
      </c>
      <c r="L389" s="37" t="s">
        <v>46</v>
      </c>
      <c r="M389" s="38" t="s">
        <v>89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652</v>
      </c>
      <c r="AG389" s="78"/>
      <c r="AJ389" s="84" t="s">
        <v>46</v>
      </c>
      <c r="AK389" s="84">
        <v>0</v>
      </c>
      <c r="BB389" s="487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653</v>
      </c>
      <c r="B390" s="63" t="s">
        <v>654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132</v>
      </c>
      <c r="L390" s="37" t="s">
        <v>46</v>
      </c>
      <c r="M390" s="38" t="s">
        <v>89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655</v>
      </c>
      <c r="AG390" s="78"/>
      <c r="AJ390" s="84" t="s">
        <v>46</v>
      </c>
      <c r="AK390" s="84">
        <v>0</v>
      </c>
      <c r="BB390" s="489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hidden="1" customHeight="1" x14ac:dyDescent="0.25">
      <c r="A391" s="63" t="s">
        <v>656</v>
      </c>
      <c r="B391" s="63" t="s">
        <v>657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132</v>
      </c>
      <c r="L391" s="37" t="s">
        <v>46</v>
      </c>
      <c r="M391" s="38" t="s">
        <v>96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658</v>
      </c>
      <c r="AG391" s="78"/>
      <c r="AJ391" s="84" t="s">
        <v>46</v>
      </c>
      <c r="AK391" s="84">
        <v>0</v>
      </c>
      <c r="BB391" s="491" t="s">
        <v>66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708" t="s">
        <v>103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hidden="1" customHeight="1" x14ac:dyDescent="0.25">
      <c r="A395" s="63" t="s">
        <v>659</v>
      </c>
      <c r="B395" s="63" t="s">
        <v>660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139</v>
      </c>
      <c r="L395" s="37" t="s">
        <v>46</v>
      </c>
      <c r="M395" s="38" t="s">
        <v>108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661</v>
      </c>
      <c r="AG395" s="78"/>
      <c r="AJ395" s="84" t="s">
        <v>46</v>
      </c>
      <c r="AK395" s="84">
        <v>0</v>
      </c>
      <c r="BB395" s="493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139</v>
      </c>
      <c r="L396" s="37" t="s">
        <v>46</v>
      </c>
      <c r="M396" s="38" t="s">
        <v>108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661</v>
      </c>
      <c r="AG396" s="78"/>
      <c r="AJ396" s="84" t="s">
        <v>46</v>
      </c>
      <c r="AK396" s="84">
        <v>0</v>
      </c>
      <c r="BB396" s="495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664</v>
      </c>
      <c r="B397" s="63" t="s">
        <v>665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90</v>
      </c>
      <c r="L397" s="37" t="s">
        <v>46</v>
      </c>
      <c r="M397" s="38" t="s">
        <v>108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661</v>
      </c>
      <c r="AG397" s="78"/>
      <c r="AJ397" s="84" t="s">
        <v>46</v>
      </c>
      <c r="AK397" s="84">
        <v>0</v>
      </c>
      <c r="BB397" s="497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666</v>
      </c>
      <c r="B398" s="63" t="s">
        <v>667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90</v>
      </c>
      <c r="L398" s="37" t="s">
        <v>46</v>
      </c>
      <c r="M398" s="38" t="s">
        <v>108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661</v>
      </c>
      <c r="AG398" s="78"/>
      <c r="AJ398" s="84" t="s">
        <v>46</v>
      </c>
      <c r="AK398" s="84">
        <v>0</v>
      </c>
      <c r="BB398" s="499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08" t="s">
        <v>668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hidden="1" customHeight="1" x14ac:dyDescent="0.25">
      <c r="A402" s="63" t="s">
        <v>669</v>
      </c>
      <c r="B402" s="63" t="s">
        <v>670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90</v>
      </c>
      <c r="L402" s="37" t="s">
        <v>46</v>
      </c>
      <c r="M402" s="38" t="s">
        <v>672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671</v>
      </c>
      <c r="AG402" s="78"/>
      <c r="AJ402" s="84" t="s">
        <v>46</v>
      </c>
      <c r="AK402" s="84">
        <v>0</v>
      </c>
      <c r="BB402" s="501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673</v>
      </c>
      <c r="B403" s="63" t="s">
        <v>674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90</v>
      </c>
      <c r="L403" s="37" t="s">
        <v>46</v>
      </c>
      <c r="M403" s="38" t="s">
        <v>672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671</v>
      </c>
      <c r="AG403" s="78"/>
      <c r="AJ403" s="84" t="s">
        <v>46</v>
      </c>
      <c r="AK403" s="84">
        <v>0</v>
      </c>
      <c r="BB403" s="503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675</v>
      </c>
      <c r="B404" s="63" t="s">
        <v>676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90</v>
      </c>
      <c r="L404" s="37" t="s">
        <v>46</v>
      </c>
      <c r="M404" s="38" t="s">
        <v>672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671</v>
      </c>
      <c r="AG404" s="78"/>
      <c r="AJ404" s="84" t="s">
        <v>46</v>
      </c>
      <c r="AK404" s="84">
        <v>0</v>
      </c>
      <c r="BB404" s="505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708" t="s">
        <v>677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hidden="1" customHeight="1" x14ac:dyDescent="0.25">
      <c r="A408" s="63" t="s">
        <v>678</v>
      </c>
      <c r="B408" s="63" t="s">
        <v>679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90</v>
      </c>
      <c r="L408" s="37" t="s">
        <v>46</v>
      </c>
      <c r="M408" s="38" t="s">
        <v>672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251</v>
      </c>
      <c r="AC408" s="506" t="s">
        <v>680</v>
      </c>
      <c r="AG408" s="78"/>
      <c r="AJ408" s="84" t="s">
        <v>46</v>
      </c>
      <c r="AK408" s="84">
        <v>0</v>
      </c>
      <c r="BB408" s="507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681</v>
      </c>
      <c r="B409" s="63" t="s">
        <v>682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139</v>
      </c>
      <c r="L409" s="37" t="s">
        <v>46</v>
      </c>
      <c r="M409" s="38" t="s">
        <v>672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251</v>
      </c>
      <c r="AC409" s="508" t="s">
        <v>683</v>
      </c>
      <c r="AG409" s="78"/>
      <c r="AJ409" s="84" t="s">
        <v>46</v>
      </c>
      <c r="AK409" s="84">
        <v>0</v>
      </c>
      <c r="BB409" s="50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684</v>
      </c>
      <c r="B410" s="63" t="s">
        <v>685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90</v>
      </c>
      <c r="L410" s="37" t="s">
        <v>46</v>
      </c>
      <c r="M410" s="38" t="s">
        <v>672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251</v>
      </c>
      <c r="AC410" s="510" t="s">
        <v>680</v>
      </c>
      <c r="AG410" s="78"/>
      <c r="AJ410" s="84" t="s">
        <v>46</v>
      </c>
      <c r="AK410" s="84">
        <v>0</v>
      </c>
      <c r="BB410" s="51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707" t="s">
        <v>686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hidden="1" customHeight="1" x14ac:dyDescent="0.25">
      <c r="A414" s="708" t="s">
        <v>85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hidden="1" customHeight="1" x14ac:dyDescent="0.25">
      <c r="A415" s="63" t="s">
        <v>687</v>
      </c>
      <c r="B415" s="63" t="s">
        <v>688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132</v>
      </c>
      <c r="L415" s="37" t="s">
        <v>46</v>
      </c>
      <c r="M415" s="38" t="s">
        <v>96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689</v>
      </c>
      <c r="AG415" s="78"/>
      <c r="AJ415" s="84" t="s">
        <v>46</v>
      </c>
      <c r="AK415" s="84">
        <v>0</v>
      </c>
      <c r="BB415" s="513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690</v>
      </c>
      <c r="B416" s="63" t="s">
        <v>691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90</v>
      </c>
      <c r="L416" s="37" t="s">
        <v>46</v>
      </c>
      <c r="M416" s="38" t="s">
        <v>89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692</v>
      </c>
      <c r="AG416" s="78"/>
      <c r="AJ416" s="84" t="s">
        <v>46</v>
      </c>
      <c r="AK416" s="84">
        <v>0</v>
      </c>
      <c r="BB416" s="515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693</v>
      </c>
      <c r="B417" s="63" t="s">
        <v>694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90</v>
      </c>
      <c r="L417" s="37" t="s">
        <v>46</v>
      </c>
      <c r="M417" s="38" t="s">
        <v>96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695</v>
      </c>
      <c r="AG417" s="78"/>
      <c r="AJ417" s="84" t="s">
        <v>46</v>
      </c>
      <c r="AK417" s="84">
        <v>0</v>
      </c>
      <c r="BB417" s="517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27.75" hidden="1" customHeight="1" x14ac:dyDescent="0.2">
      <c r="A420" s="706" t="s">
        <v>696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hidden="1" customHeight="1" x14ac:dyDescent="0.25">
      <c r="A421" s="707" t="s">
        <v>697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hidden="1" customHeight="1" x14ac:dyDescent="0.25">
      <c r="A422" s="708" t="s">
        <v>127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hidden="1" customHeight="1" x14ac:dyDescent="0.25">
      <c r="A423" s="63" t="s">
        <v>698</v>
      </c>
      <c r="B423" s="63" t="s">
        <v>699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132</v>
      </c>
      <c r="L423" s="37" t="s">
        <v>46</v>
      </c>
      <c r="M423" s="38" t="s">
        <v>96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700</v>
      </c>
      <c r="AG423" s="78"/>
      <c r="AJ423" s="84" t="s">
        <v>46</v>
      </c>
      <c r="AK423" s="84">
        <v>0</v>
      </c>
      <c r="BB423" s="519" t="s">
        <v>66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customHeight="1" x14ac:dyDescent="0.25">
      <c r="A424" s="63" t="s">
        <v>701</v>
      </c>
      <c r="B424" s="63" t="s">
        <v>702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132</v>
      </c>
      <c r="L424" s="37" t="s">
        <v>46</v>
      </c>
      <c r="M424" s="38" t="s">
        <v>80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750</v>
      </c>
      <c r="Y424" s="55">
        <f t="shared" si="52"/>
        <v>750</v>
      </c>
      <c r="Z424" s="41">
        <f>IFERROR(IF(Y424=0,"",ROUNDUP(Y424/H424,0)*0.02175),"")</f>
        <v>1.0874999999999999</v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66</v>
      </c>
      <c r="BM424" s="78">
        <f t="shared" si="53"/>
        <v>773.5</v>
      </c>
      <c r="BN424" s="78">
        <f t="shared" si="54"/>
        <v>773.5</v>
      </c>
      <c r="BO424" s="78">
        <f t="shared" si="55"/>
        <v>1.0416666666666665</v>
      </c>
      <c r="BP424" s="78">
        <f t="shared" si="56"/>
        <v>1.0416666666666665</v>
      </c>
    </row>
    <row r="425" spans="1:68" ht="27" hidden="1" customHeight="1" x14ac:dyDescent="0.25">
      <c r="A425" s="63" t="s">
        <v>704</v>
      </c>
      <c r="B425" s="63" t="s">
        <v>705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132</v>
      </c>
      <c r="L425" s="37" t="s">
        <v>46</v>
      </c>
      <c r="M425" s="38" t="s">
        <v>131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66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customHeight="1" x14ac:dyDescent="0.25">
      <c r="A426" s="63" t="s">
        <v>707</v>
      </c>
      <c r="B426" s="63" t="s">
        <v>708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132</v>
      </c>
      <c r="L426" s="37" t="s">
        <v>46</v>
      </c>
      <c r="M426" s="38" t="s">
        <v>80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750</v>
      </c>
      <c r="Y426" s="55">
        <f t="shared" si="52"/>
        <v>750</v>
      </c>
      <c r="Z426" s="41">
        <f>IFERROR(IF(Y426=0,"",ROUNDUP(Y426/H426,0)*0.02175),"")</f>
        <v>1.0874999999999999</v>
      </c>
      <c r="AA426" s="68" t="s">
        <v>46</v>
      </c>
      <c r="AB426" s="69" t="s">
        <v>46</v>
      </c>
      <c r="AC426" s="524" t="s">
        <v>709</v>
      </c>
      <c r="AG426" s="78"/>
      <c r="AJ426" s="84" t="s">
        <v>46</v>
      </c>
      <c r="AK426" s="84">
        <v>0</v>
      </c>
      <c r="BB426" s="525" t="s">
        <v>66</v>
      </c>
      <c r="BM426" s="78">
        <f t="shared" si="53"/>
        <v>773.5</v>
      </c>
      <c r="BN426" s="78">
        <f t="shared" si="54"/>
        <v>773.5</v>
      </c>
      <c r="BO426" s="78">
        <f t="shared" si="55"/>
        <v>1.0416666666666665</v>
      </c>
      <c r="BP426" s="78">
        <f t="shared" si="56"/>
        <v>1.0416666666666665</v>
      </c>
    </row>
    <row r="427" spans="1:68" ht="27" hidden="1" customHeight="1" x14ac:dyDescent="0.25">
      <c r="A427" s="63" t="s">
        <v>710</v>
      </c>
      <c r="B427" s="63" t="s">
        <v>711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132</v>
      </c>
      <c r="L427" s="37" t="s">
        <v>46</v>
      </c>
      <c r="M427" s="38" t="s">
        <v>96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712</v>
      </c>
      <c r="AG427" s="78"/>
      <c r="AJ427" s="84" t="s">
        <v>46</v>
      </c>
      <c r="AK427" s="84">
        <v>0</v>
      </c>
      <c r="BB427" s="527" t="s">
        <v>66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hidden="1" customHeight="1" x14ac:dyDescent="0.25">
      <c r="A428" s="63" t="s">
        <v>713</v>
      </c>
      <c r="B428" s="63" t="s">
        <v>714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139</v>
      </c>
      <c r="L428" s="37" t="s">
        <v>46</v>
      </c>
      <c r="M428" s="38" t="s">
        <v>131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715</v>
      </c>
      <c r="AG428" s="78"/>
      <c r="AJ428" s="84" t="s">
        <v>46</v>
      </c>
      <c r="AK428" s="84">
        <v>0</v>
      </c>
      <c r="BB428" s="529" t="s">
        <v>66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716</v>
      </c>
      <c r="B429" s="63" t="s">
        <v>717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139</v>
      </c>
      <c r="L429" s="37" t="s">
        <v>46</v>
      </c>
      <c r="M429" s="38" t="s">
        <v>80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718</v>
      </c>
      <c r="AG429" s="78"/>
      <c r="AJ429" s="84" t="s">
        <v>46</v>
      </c>
      <c r="AK429" s="84">
        <v>0</v>
      </c>
      <c r="BB429" s="531" t="s">
        <v>66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719</v>
      </c>
      <c r="B430" s="63" t="s">
        <v>720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139</v>
      </c>
      <c r="L430" s="37" t="s">
        <v>46</v>
      </c>
      <c r="M430" s="38" t="s">
        <v>80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721</v>
      </c>
      <c r="AG430" s="78"/>
      <c r="AJ430" s="84" t="s">
        <v>46</v>
      </c>
      <c r="AK430" s="84">
        <v>0</v>
      </c>
      <c r="BB430" s="533" t="s">
        <v>66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100</v>
      </c>
      <c r="Y431" s="43">
        <f>IFERROR(Y423/H423,"0")+IFERROR(Y424/H424,"0")+IFERROR(Y425/H425,"0")+IFERROR(Y426/H426,"0")+IFERROR(Y427/H427,"0")+IFERROR(Y428/H428,"0")+IFERROR(Y429/H429,"0")+IFERROR(Y430/H430,"0")</f>
        <v>100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2.1749999999999998</v>
      </c>
      <c r="AA431" s="67"/>
      <c r="AB431" s="67"/>
      <c r="AC431" s="67"/>
    </row>
    <row r="432" spans="1:68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1500</v>
      </c>
      <c r="Y432" s="43">
        <f>IFERROR(SUM(Y423:Y430),"0")</f>
        <v>1500</v>
      </c>
      <c r="Z432" s="42"/>
      <c r="AA432" s="67"/>
      <c r="AB432" s="67"/>
      <c r="AC432" s="67"/>
    </row>
    <row r="433" spans="1:68" ht="14.25" hidden="1" customHeight="1" x14ac:dyDescent="0.25">
      <c r="A433" s="708" t="s">
        <v>163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hidden="1" customHeight="1" x14ac:dyDescent="0.25">
      <c r="A434" s="63" t="s">
        <v>722</v>
      </c>
      <c r="B434" s="63" t="s">
        <v>723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132</v>
      </c>
      <c r="L434" s="37" t="s">
        <v>46</v>
      </c>
      <c r="M434" s="38" t="s">
        <v>131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724</v>
      </c>
      <c r="AG434" s="78"/>
      <c r="AJ434" s="84" t="s">
        <v>46</v>
      </c>
      <c r="AK434" s="84">
        <v>0</v>
      </c>
      <c r="BB434" s="535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hidden="1" customHeight="1" x14ac:dyDescent="0.25">
      <c r="A435" s="63" t="s">
        <v>725</v>
      </c>
      <c r="B435" s="63" t="s">
        <v>726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132</v>
      </c>
      <c r="L435" s="37" t="s">
        <v>46</v>
      </c>
      <c r="M435" s="38" t="s">
        <v>131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727</v>
      </c>
      <c r="AG435" s="78"/>
      <c r="AJ435" s="84" t="s">
        <v>46</v>
      </c>
      <c r="AK435" s="84">
        <v>0</v>
      </c>
      <c r="BB435" s="537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728</v>
      </c>
      <c r="B436" s="63" t="s">
        <v>729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139</v>
      </c>
      <c r="L436" s="37" t="s">
        <v>46</v>
      </c>
      <c r="M436" s="38" t="s">
        <v>131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730</v>
      </c>
      <c r="AG436" s="78"/>
      <c r="AJ436" s="84" t="s">
        <v>46</v>
      </c>
      <c r="AK436" s="84">
        <v>0</v>
      </c>
      <c r="BB436" s="539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idden="1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hidden="1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hidden="1" customHeight="1" x14ac:dyDescent="0.25">
      <c r="A439" s="708" t="s">
        <v>85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hidden="1" customHeight="1" x14ac:dyDescent="0.25">
      <c r="A440" s="63" t="s">
        <v>731</v>
      </c>
      <c r="B440" s="63" t="s">
        <v>732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132</v>
      </c>
      <c r="L440" s="37" t="s">
        <v>46</v>
      </c>
      <c r="M440" s="38" t="s">
        <v>89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733</v>
      </c>
      <c r="AG440" s="78"/>
      <c r="AJ440" s="84" t="s">
        <v>46</v>
      </c>
      <c r="AK440" s="84">
        <v>0</v>
      </c>
      <c r="BB440" s="541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734</v>
      </c>
      <c r="B441" s="63" t="s">
        <v>735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132</v>
      </c>
      <c r="L441" s="37" t="s">
        <v>46</v>
      </c>
      <c r="M441" s="38" t="s">
        <v>89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736</v>
      </c>
      <c r="AG441" s="78"/>
      <c r="AJ441" s="84" t="s">
        <v>46</v>
      </c>
      <c r="AK441" s="84">
        <v>0</v>
      </c>
      <c r="BB441" s="54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737</v>
      </c>
      <c r="B442" s="63" t="s">
        <v>738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132</v>
      </c>
      <c r="L442" s="37" t="s">
        <v>46</v>
      </c>
      <c r="M442" s="38" t="s">
        <v>89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739</v>
      </c>
      <c r="AG442" s="78"/>
      <c r="AJ442" s="84" t="s">
        <v>46</v>
      </c>
      <c r="AK442" s="84">
        <v>0</v>
      </c>
      <c r="BB442" s="54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708" t="s">
        <v>180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hidden="1" customHeight="1" x14ac:dyDescent="0.25">
      <c r="A446" s="63" t="s">
        <v>740</v>
      </c>
      <c r="B446" s="63" t="s">
        <v>741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132</v>
      </c>
      <c r="L446" s="37" t="s">
        <v>46</v>
      </c>
      <c r="M446" s="38" t="s">
        <v>89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742</v>
      </c>
      <c r="AG446" s="78"/>
      <c r="AJ446" s="84" t="s">
        <v>46</v>
      </c>
      <c r="AK446" s="84">
        <v>0</v>
      </c>
      <c r="BB446" s="54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743</v>
      </c>
      <c r="B447" s="63" t="s">
        <v>744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132</v>
      </c>
      <c r="L447" s="37" t="s">
        <v>46</v>
      </c>
      <c r="M447" s="38" t="s">
        <v>89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745</v>
      </c>
      <c r="AG447" s="78"/>
      <c r="AJ447" s="84" t="s">
        <v>46</v>
      </c>
      <c r="AK447" s="84">
        <v>0</v>
      </c>
      <c r="BB447" s="549" t="s">
        <v>66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707" t="s">
        <v>746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hidden="1" customHeight="1" x14ac:dyDescent="0.25">
      <c r="A451" s="708" t="s">
        <v>127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hidden="1" customHeight="1" x14ac:dyDescent="0.25">
      <c r="A452" s="63" t="s">
        <v>747</v>
      </c>
      <c r="B452" s="63" t="s">
        <v>748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132</v>
      </c>
      <c r="L452" s="37" t="s">
        <v>46</v>
      </c>
      <c r="M452" s="38" t="s">
        <v>80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749</v>
      </c>
      <c r="AG452" s="78"/>
      <c r="AJ452" s="84" t="s">
        <v>46</v>
      </c>
      <c r="AK452" s="84">
        <v>0</v>
      </c>
      <c r="BB452" s="551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750</v>
      </c>
      <c r="B453" s="63" t="s">
        <v>751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139</v>
      </c>
      <c r="L453" s="37" t="s">
        <v>46</v>
      </c>
      <c r="M453" s="38" t="s">
        <v>80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749</v>
      </c>
      <c r="AG453" s="78"/>
      <c r="AJ453" s="84" t="s">
        <v>46</v>
      </c>
      <c r="AK453" s="84">
        <v>0</v>
      </c>
      <c r="BB453" s="553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708" t="s">
        <v>76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hidden="1" customHeight="1" x14ac:dyDescent="0.25">
      <c r="A457" s="63" t="s">
        <v>752</v>
      </c>
      <c r="B457" s="63" t="s">
        <v>753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139</v>
      </c>
      <c r="L457" s="37" t="s">
        <v>46</v>
      </c>
      <c r="M457" s="38" t="s">
        <v>80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754</v>
      </c>
      <c r="AG457" s="78"/>
      <c r="AJ457" s="84" t="s">
        <v>46</v>
      </c>
      <c r="AK457" s="84">
        <v>0</v>
      </c>
      <c r="BB457" s="555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08" t="s">
        <v>85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hidden="1" customHeight="1" x14ac:dyDescent="0.25">
      <c r="A461" s="63" t="s">
        <v>755</v>
      </c>
      <c r="B461" s="63" t="s">
        <v>756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132</v>
      </c>
      <c r="L461" s="37" t="s">
        <v>46</v>
      </c>
      <c r="M461" s="38" t="s">
        <v>89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757</v>
      </c>
      <c r="AG461" s="78"/>
      <c r="AJ461" s="84" t="s">
        <v>46</v>
      </c>
      <c r="AK461" s="84">
        <v>0</v>
      </c>
      <c r="BB461" s="55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758</v>
      </c>
      <c r="B462" s="63" t="s">
        <v>759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90</v>
      </c>
      <c r="L462" s="37" t="s">
        <v>46</v>
      </c>
      <c r="M462" s="38" t="s">
        <v>89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757</v>
      </c>
      <c r="AG462" s="78"/>
      <c r="AJ462" s="84" t="s">
        <v>46</v>
      </c>
      <c r="AK462" s="84">
        <v>0</v>
      </c>
      <c r="BB462" s="55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758</v>
      </c>
      <c r="B463" s="63" t="s">
        <v>760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90</v>
      </c>
      <c r="L463" s="37" t="s">
        <v>46</v>
      </c>
      <c r="M463" s="38" t="s">
        <v>89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761</v>
      </c>
      <c r="AG463" s="78"/>
      <c r="AJ463" s="84" t="s">
        <v>46</v>
      </c>
      <c r="AK463" s="84">
        <v>0</v>
      </c>
      <c r="BB463" s="56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hidden="1" customHeight="1" x14ac:dyDescent="0.2">
      <c r="A466" s="706" t="s">
        <v>762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hidden="1" customHeight="1" x14ac:dyDescent="0.25">
      <c r="A467" s="707" t="s">
        <v>763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hidden="1" customHeight="1" x14ac:dyDescent="0.25">
      <c r="A468" s="708" t="s">
        <v>76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hidden="1" customHeight="1" x14ac:dyDescent="0.25">
      <c r="A469" s="63" t="s">
        <v>764</v>
      </c>
      <c r="B469" s="63" t="s">
        <v>765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139</v>
      </c>
      <c r="L469" s="37" t="s">
        <v>46</v>
      </c>
      <c r="M469" s="38" t="s">
        <v>80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66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767</v>
      </c>
      <c r="B470" s="63" t="s">
        <v>768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139</v>
      </c>
      <c r="L470" s="37" t="s">
        <v>46</v>
      </c>
      <c r="M470" s="38" t="s">
        <v>80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769</v>
      </c>
      <c r="AG470" s="78"/>
      <c r="AJ470" s="84" t="s">
        <v>46</v>
      </c>
      <c r="AK470" s="84">
        <v>0</v>
      </c>
      <c r="BB470" s="565" t="s">
        <v>66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770</v>
      </c>
      <c r="B471" s="63" t="s">
        <v>771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81</v>
      </c>
      <c r="L471" s="37" t="s">
        <v>46</v>
      </c>
      <c r="M471" s="38" t="s">
        <v>80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766</v>
      </c>
      <c r="AG471" s="78"/>
      <c r="AJ471" s="84" t="s">
        <v>46</v>
      </c>
      <c r="AK471" s="84">
        <v>0</v>
      </c>
      <c r="BB471" s="567" t="s">
        <v>66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772</v>
      </c>
      <c r="B472" s="63" t="s">
        <v>773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81</v>
      </c>
      <c r="L472" s="37" t="s">
        <v>46</v>
      </c>
      <c r="M472" s="38" t="s">
        <v>80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774</v>
      </c>
      <c r="AG472" s="78"/>
      <c r="AJ472" s="84" t="s">
        <v>46</v>
      </c>
      <c r="AK472" s="84">
        <v>0</v>
      </c>
      <c r="BB472" s="569" t="s">
        <v>66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775</v>
      </c>
      <c r="B473" s="63" t="s">
        <v>776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777</v>
      </c>
      <c r="AG473" s="78"/>
      <c r="AJ473" s="84" t="s">
        <v>46</v>
      </c>
      <c r="AK473" s="84">
        <v>0</v>
      </c>
      <c r="BB473" s="571" t="s">
        <v>66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778</v>
      </c>
      <c r="B474" s="63" t="s">
        <v>779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774</v>
      </c>
      <c r="AG474" s="78"/>
      <c r="AJ474" s="84" t="s">
        <v>46</v>
      </c>
      <c r="AK474" s="84">
        <v>0</v>
      </c>
      <c r="BB474" s="573" t="s">
        <v>66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idden="1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idden="1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708" t="s">
        <v>85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hidden="1" customHeight="1" x14ac:dyDescent="0.25">
      <c r="A478" s="63" t="s">
        <v>780</v>
      </c>
      <c r="B478" s="63" t="s">
        <v>781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139</v>
      </c>
      <c r="L478" s="37" t="s">
        <v>46</v>
      </c>
      <c r="M478" s="38" t="s">
        <v>89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782</v>
      </c>
      <c r="AG478" s="78"/>
      <c r="AJ478" s="84" t="s">
        <v>46</v>
      </c>
      <c r="AK478" s="84">
        <v>0</v>
      </c>
      <c r="BB478" s="575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783</v>
      </c>
      <c r="B479" s="63" t="s">
        <v>784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90</v>
      </c>
      <c r="L479" s="37" t="s">
        <v>46</v>
      </c>
      <c r="M479" s="38" t="s">
        <v>89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785</v>
      </c>
      <c r="AG479" s="78"/>
      <c r="AJ479" s="84" t="s">
        <v>46</v>
      </c>
      <c r="AK479" s="84">
        <v>0</v>
      </c>
      <c r="BB479" s="577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707" t="s">
        <v>786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hidden="1" customHeight="1" x14ac:dyDescent="0.25">
      <c r="A483" s="708" t="s">
        <v>163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hidden="1" customHeight="1" x14ac:dyDescent="0.25">
      <c r="A484" s="63" t="s">
        <v>787</v>
      </c>
      <c r="B484" s="63" t="s">
        <v>788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90</v>
      </c>
      <c r="L484" s="37" t="s">
        <v>46</v>
      </c>
      <c r="M484" s="38" t="s">
        <v>80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789</v>
      </c>
      <c r="AG484" s="78"/>
      <c r="AJ484" s="84" t="s">
        <v>46</v>
      </c>
      <c r="AK484" s="84">
        <v>0</v>
      </c>
      <c r="BB484" s="579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708" t="s">
        <v>76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hidden="1" customHeight="1" x14ac:dyDescent="0.25">
      <c r="A488" s="63" t="s">
        <v>790</v>
      </c>
      <c r="B488" s="63" t="s">
        <v>791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139</v>
      </c>
      <c r="L488" s="37" t="s">
        <v>46</v>
      </c>
      <c r="M488" s="38" t="s">
        <v>80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792</v>
      </c>
      <c r="AG488" s="78"/>
      <c r="AJ488" s="84" t="s">
        <v>46</v>
      </c>
      <c r="AK488" s="84">
        <v>0</v>
      </c>
      <c r="BB488" s="581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793</v>
      </c>
      <c r="B489" s="63" t="s">
        <v>794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81</v>
      </c>
      <c r="L489" s="37" t="s">
        <v>46</v>
      </c>
      <c r="M489" s="38" t="s">
        <v>80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795</v>
      </c>
      <c r="AG489" s="78"/>
      <c r="AJ489" s="84" t="s">
        <v>46</v>
      </c>
      <c r="AK489" s="84">
        <v>0</v>
      </c>
      <c r="BB489" s="583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796</v>
      </c>
      <c r="B490" s="63" t="s">
        <v>797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81</v>
      </c>
      <c r="L490" s="37" t="s">
        <v>46</v>
      </c>
      <c r="M490" s="38" t="s">
        <v>80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795</v>
      </c>
      <c r="AG490" s="78"/>
      <c r="AJ490" s="84" t="s">
        <v>46</v>
      </c>
      <c r="AK490" s="84">
        <v>0</v>
      </c>
      <c r="BB490" s="585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706" t="s">
        <v>798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hidden="1" customHeight="1" x14ac:dyDescent="0.25">
      <c r="A494" s="707" t="s">
        <v>798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hidden="1" customHeight="1" x14ac:dyDescent="0.25">
      <c r="A495" s="708" t="s">
        <v>127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hidden="1" customHeight="1" x14ac:dyDescent="0.25">
      <c r="A496" s="63" t="s">
        <v>799</v>
      </c>
      <c r="B496" s="63" t="s">
        <v>800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132</v>
      </c>
      <c r="L496" s="37" t="s">
        <v>46</v>
      </c>
      <c r="M496" s="38" t="s">
        <v>89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130</v>
      </c>
      <c r="AG496" s="78"/>
      <c r="AJ496" s="84" t="s">
        <v>46</v>
      </c>
      <c r="AK496" s="84">
        <v>0</v>
      </c>
      <c r="BB496" s="587" t="s">
        <v>66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801</v>
      </c>
      <c r="B497" s="63" t="s">
        <v>802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132</v>
      </c>
      <c r="L497" s="37" t="s">
        <v>46</v>
      </c>
      <c r="M497" s="38" t="s">
        <v>131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803</v>
      </c>
      <c r="AG497" s="78"/>
      <c r="AJ497" s="84" t="s">
        <v>46</v>
      </c>
      <c r="AK497" s="84">
        <v>0</v>
      </c>
      <c r="BB497" s="589" t="s">
        <v>66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804</v>
      </c>
      <c r="B498" s="63" t="s">
        <v>805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132</v>
      </c>
      <c r="L498" s="37" t="s">
        <v>46</v>
      </c>
      <c r="M498" s="38" t="s">
        <v>131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806</v>
      </c>
      <c r="AG498" s="78"/>
      <c r="AJ498" s="84" t="s">
        <v>46</v>
      </c>
      <c r="AK498" s="84">
        <v>0</v>
      </c>
      <c r="BB498" s="591" t="s">
        <v>66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807</v>
      </c>
      <c r="B499" s="63" t="s">
        <v>808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132</v>
      </c>
      <c r="L499" s="37" t="s">
        <v>46</v>
      </c>
      <c r="M499" s="38" t="s">
        <v>131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809</v>
      </c>
      <c r="AG499" s="78"/>
      <c r="AJ499" s="84" t="s">
        <v>46</v>
      </c>
      <c r="AK499" s="84">
        <v>0</v>
      </c>
      <c r="BB499" s="593" t="s">
        <v>66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810</v>
      </c>
      <c r="B500" s="63" t="s">
        <v>811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132</v>
      </c>
      <c r="L500" s="37" t="s">
        <v>46</v>
      </c>
      <c r="M500" s="38" t="s">
        <v>89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812</v>
      </c>
      <c r="AG500" s="78"/>
      <c r="AJ500" s="84" t="s">
        <v>46</v>
      </c>
      <c r="AK500" s="84">
        <v>0</v>
      </c>
      <c r="BB500" s="595" t="s">
        <v>66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813</v>
      </c>
      <c r="B501" s="63" t="s">
        <v>814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132</v>
      </c>
      <c r="L501" s="37" t="s">
        <v>46</v>
      </c>
      <c r="M501" s="38" t="s">
        <v>131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815</v>
      </c>
      <c r="AG501" s="78"/>
      <c r="AJ501" s="84" t="s">
        <v>46</v>
      </c>
      <c r="AK501" s="84">
        <v>0</v>
      </c>
      <c r="BB501" s="597" t="s">
        <v>66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816</v>
      </c>
      <c r="B502" s="63" t="s">
        <v>817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90</v>
      </c>
      <c r="L502" s="37" t="s">
        <v>46</v>
      </c>
      <c r="M502" s="38" t="s">
        <v>89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130</v>
      </c>
      <c r="AG502" s="78"/>
      <c r="AJ502" s="84" t="s">
        <v>46</v>
      </c>
      <c r="AK502" s="84">
        <v>0</v>
      </c>
      <c r="BB502" s="599" t="s">
        <v>66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818</v>
      </c>
      <c r="B503" s="63" t="s">
        <v>819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139</v>
      </c>
      <c r="L503" s="37" t="s">
        <v>46</v>
      </c>
      <c r="M503" s="38" t="s">
        <v>89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130</v>
      </c>
      <c r="AG503" s="78"/>
      <c r="AJ503" s="84" t="s">
        <v>46</v>
      </c>
      <c r="AK503" s="84">
        <v>0</v>
      </c>
      <c r="BB503" s="601" t="s">
        <v>66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820</v>
      </c>
      <c r="B504" s="63" t="s">
        <v>821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139</v>
      </c>
      <c r="L504" s="37" t="s">
        <v>46</v>
      </c>
      <c r="M504" s="38" t="s">
        <v>131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815</v>
      </c>
      <c r="AG504" s="78"/>
      <c r="AJ504" s="84" t="s">
        <v>46</v>
      </c>
      <c r="AK504" s="84">
        <v>0</v>
      </c>
      <c r="BB504" s="603" t="s">
        <v>66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hidden="1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hidden="1" customHeight="1" x14ac:dyDescent="0.25">
      <c r="A507" s="708" t="s">
        <v>163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hidden="1" customHeight="1" x14ac:dyDescent="0.25">
      <c r="A508" s="63" t="s">
        <v>822</v>
      </c>
      <c r="B508" s="63" t="s">
        <v>823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132</v>
      </c>
      <c r="L508" s="37" t="s">
        <v>46</v>
      </c>
      <c r="M508" s="38" t="s">
        <v>89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824</v>
      </c>
      <c r="AG508" s="78"/>
      <c r="AJ508" s="84" t="s">
        <v>46</v>
      </c>
      <c r="AK508" s="84">
        <v>0</v>
      </c>
      <c r="BB508" s="605" t="s">
        <v>66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825</v>
      </c>
      <c r="B509" s="63" t="s">
        <v>826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90</v>
      </c>
      <c r="L509" s="37" t="s">
        <v>46</v>
      </c>
      <c r="M509" s="38" t="s">
        <v>131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824</v>
      </c>
      <c r="AG509" s="78"/>
      <c r="AJ509" s="84" t="s">
        <v>46</v>
      </c>
      <c r="AK509" s="84">
        <v>0</v>
      </c>
      <c r="BB509" s="607" t="s">
        <v>66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827</v>
      </c>
      <c r="B510" s="63" t="s">
        <v>828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139</v>
      </c>
      <c r="L510" s="37" t="s">
        <v>46</v>
      </c>
      <c r="M510" s="38" t="s">
        <v>131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824</v>
      </c>
      <c r="AG510" s="78"/>
      <c r="AJ510" s="84" t="s">
        <v>46</v>
      </c>
      <c r="AK510" s="84">
        <v>0</v>
      </c>
      <c r="BB510" s="609" t="s">
        <v>66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idden="1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hidden="1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hidden="1" customHeight="1" x14ac:dyDescent="0.25">
      <c r="A513" s="708" t="s">
        <v>76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hidden="1" customHeight="1" x14ac:dyDescent="0.25">
      <c r="A514" s="63" t="s">
        <v>829</v>
      </c>
      <c r="B514" s="63" t="s">
        <v>830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132</v>
      </c>
      <c r="L514" s="37" t="s">
        <v>46</v>
      </c>
      <c r="M514" s="38" t="s">
        <v>131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831</v>
      </c>
      <c r="AG514" s="78"/>
      <c r="AJ514" s="84" t="s">
        <v>46</v>
      </c>
      <c r="AK514" s="84">
        <v>0</v>
      </c>
      <c r="BB514" s="611" t="s">
        <v>66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hidden="1" customHeight="1" x14ac:dyDescent="0.25">
      <c r="A515" s="63" t="s">
        <v>832</v>
      </c>
      <c r="B515" s="63" t="s">
        <v>833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132</v>
      </c>
      <c r="L515" s="37" t="s">
        <v>46</v>
      </c>
      <c r="M515" s="38" t="s">
        <v>80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834</v>
      </c>
      <c r="AG515" s="78"/>
      <c r="AJ515" s="84" t="s">
        <v>46</v>
      </c>
      <c r="AK515" s="84">
        <v>0</v>
      </c>
      <c r="BB515" s="613" t="s">
        <v>66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hidden="1" customHeight="1" x14ac:dyDescent="0.25">
      <c r="A516" s="63" t="s">
        <v>835</v>
      </c>
      <c r="B516" s="63" t="s">
        <v>836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132</v>
      </c>
      <c r="L516" s="37" t="s">
        <v>46</v>
      </c>
      <c r="M516" s="38" t="s">
        <v>80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837</v>
      </c>
      <c r="AG516" s="78"/>
      <c r="AJ516" s="84" t="s">
        <v>46</v>
      </c>
      <c r="AK516" s="84">
        <v>0</v>
      </c>
      <c r="BB516" s="615" t="s">
        <v>66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hidden="1" customHeight="1" x14ac:dyDescent="0.25">
      <c r="A517" s="63" t="s">
        <v>838</v>
      </c>
      <c r="B517" s="63" t="s">
        <v>839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139</v>
      </c>
      <c r="L517" s="37" t="s">
        <v>46</v>
      </c>
      <c r="M517" s="38" t="s">
        <v>131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831</v>
      </c>
      <c r="AG517" s="78"/>
      <c r="AJ517" s="84" t="s">
        <v>46</v>
      </c>
      <c r="AK517" s="84">
        <v>0</v>
      </c>
      <c r="BB517" s="617" t="s">
        <v>66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840</v>
      </c>
      <c r="B518" s="63" t="s">
        <v>841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139</v>
      </c>
      <c r="L518" s="37" t="s">
        <v>46</v>
      </c>
      <c r="M518" s="38" t="s">
        <v>80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834</v>
      </c>
      <c r="AG518" s="78"/>
      <c r="AJ518" s="84" t="s">
        <v>46</v>
      </c>
      <c r="AK518" s="84">
        <v>0</v>
      </c>
      <c r="BB518" s="619" t="s">
        <v>66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840</v>
      </c>
      <c r="B519" s="63" t="s">
        <v>842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139</v>
      </c>
      <c r="L519" s="37" t="s">
        <v>46</v>
      </c>
      <c r="M519" s="38" t="s">
        <v>80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834</v>
      </c>
      <c r="AG519" s="78"/>
      <c r="AJ519" s="84" t="s">
        <v>46</v>
      </c>
      <c r="AK519" s="84">
        <v>0</v>
      </c>
      <c r="BB519" s="621" t="s">
        <v>66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139</v>
      </c>
      <c r="L520" s="37" t="s">
        <v>46</v>
      </c>
      <c r="M520" s="38" t="s">
        <v>80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837</v>
      </c>
      <c r="AG520" s="78"/>
      <c r="AJ520" s="84" t="s">
        <v>46</v>
      </c>
      <c r="AK520" s="84">
        <v>0</v>
      </c>
      <c r="BB520" s="623" t="s">
        <v>66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hidden="1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hidden="1" customHeight="1" x14ac:dyDescent="0.2">
      <c r="A523" s="706" t="s">
        <v>845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hidden="1" customHeight="1" x14ac:dyDescent="0.25">
      <c r="A524" s="707" t="s">
        <v>845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hidden="1" customHeight="1" x14ac:dyDescent="0.25">
      <c r="A525" s="708" t="s">
        <v>127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hidden="1" customHeight="1" x14ac:dyDescent="0.25">
      <c r="A526" s="63" t="s">
        <v>846</v>
      </c>
      <c r="B526" s="63" t="s">
        <v>847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132</v>
      </c>
      <c r="L526" s="37" t="s">
        <v>46</v>
      </c>
      <c r="M526" s="38" t="s">
        <v>131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848</v>
      </c>
      <c r="AG526" s="78"/>
      <c r="AJ526" s="84" t="s">
        <v>46</v>
      </c>
      <c r="AK526" s="84">
        <v>0</v>
      </c>
      <c r="BB526" s="625" t="s">
        <v>66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708" t="s">
        <v>163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hidden="1" customHeight="1" x14ac:dyDescent="0.25">
      <c r="A530" s="63" t="s">
        <v>849</v>
      </c>
      <c r="B530" s="63" t="s">
        <v>850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132</v>
      </c>
      <c r="L530" s="37" t="s">
        <v>46</v>
      </c>
      <c r="M530" s="38" t="s">
        <v>131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851</v>
      </c>
      <c r="AG530" s="78"/>
      <c r="AJ530" s="84" t="s">
        <v>46</v>
      </c>
      <c r="AK530" s="84">
        <v>0</v>
      </c>
      <c r="BB530" s="627" t="s">
        <v>66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08" t="s">
        <v>76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hidden="1" customHeight="1" x14ac:dyDescent="0.25">
      <c r="A534" s="63" t="s">
        <v>852</v>
      </c>
      <c r="B534" s="63" t="s">
        <v>853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139</v>
      </c>
      <c r="L534" s="37" t="s">
        <v>46</v>
      </c>
      <c r="M534" s="38" t="s">
        <v>80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854</v>
      </c>
      <c r="AG534" s="78"/>
      <c r="AJ534" s="84" t="s">
        <v>46</v>
      </c>
      <c r="AK534" s="84">
        <v>0</v>
      </c>
      <c r="BB534" s="629" t="s">
        <v>66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08" t="s">
        <v>85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hidden="1" customHeight="1" x14ac:dyDescent="0.25">
      <c r="A538" s="63" t="s">
        <v>855</v>
      </c>
      <c r="B538" s="63" t="s">
        <v>856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132</v>
      </c>
      <c r="L538" s="37" t="s">
        <v>46</v>
      </c>
      <c r="M538" s="38" t="s">
        <v>89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857</v>
      </c>
      <c r="AG538" s="78"/>
      <c r="AJ538" s="84" t="s">
        <v>46</v>
      </c>
      <c r="AK538" s="84">
        <v>0</v>
      </c>
      <c r="BB538" s="631" t="s">
        <v>66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08" t="s">
        <v>180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hidden="1" customHeight="1" x14ac:dyDescent="0.25">
      <c r="A542" s="63" t="s">
        <v>858</v>
      </c>
      <c r="B542" s="63" t="s">
        <v>859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132</v>
      </c>
      <c r="L542" s="37" t="s">
        <v>46</v>
      </c>
      <c r="M542" s="38" t="s">
        <v>89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860</v>
      </c>
      <c r="AG542" s="78"/>
      <c r="AJ542" s="84" t="s">
        <v>46</v>
      </c>
      <c r="AK542" s="84">
        <v>0</v>
      </c>
      <c r="BB542" s="633" t="s">
        <v>66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861</v>
      </c>
      <c r="B543" s="63" t="s">
        <v>862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132</v>
      </c>
      <c r="L543" s="37" t="s">
        <v>46</v>
      </c>
      <c r="M543" s="38" t="s">
        <v>89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863</v>
      </c>
      <c r="AG543" s="78"/>
      <c r="AJ543" s="84" t="s">
        <v>46</v>
      </c>
      <c r="AK543" s="84">
        <v>0</v>
      </c>
      <c r="BB543" s="63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707" t="s">
        <v>864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hidden="1" customHeight="1" x14ac:dyDescent="0.25">
      <c r="A547" s="708" t="s">
        <v>163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hidden="1" customHeight="1" x14ac:dyDescent="0.25">
      <c r="A548" s="63" t="s">
        <v>865</v>
      </c>
      <c r="B548" s="63" t="s">
        <v>866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132</v>
      </c>
      <c r="L548" s="37" t="s">
        <v>46</v>
      </c>
      <c r="M548" s="38" t="s">
        <v>131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867</v>
      </c>
      <c r="AG548" s="78"/>
      <c r="AJ548" s="84" t="s">
        <v>46</v>
      </c>
      <c r="AK548" s="84">
        <v>0</v>
      </c>
      <c r="BB548" s="637" t="s">
        <v>66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1500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1500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1547</v>
      </c>
      <c r="Y552" s="43">
        <f>IFERROR(SUM(BN22:BN548),"0")</f>
        <v>1547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3</v>
      </c>
      <c r="Y553" s="44">
        <f>ROUNDUP(SUM(BP22:BP548),0)</f>
        <v>3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1622</v>
      </c>
      <c r="Y554" s="43">
        <f>GrossWeightTotalR+PalletQtyTotalR*25</f>
        <v>1622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100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100</v>
      </c>
      <c r="Z555" s="42"/>
      <c r="AA555" s="67"/>
      <c r="AB555" s="67"/>
      <c r="AC555" s="67"/>
    </row>
    <row r="556" spans="1:68" ht="14.25" hidden="1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2.1749999999999998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75</v>
      </c>
      <c r="C558" s="85" t="s">
        <v>45</v>
      </c>
      <c r="D558" s="999" t="s">
        <v>125</v>
      </c>
      <c r="E558" s="999" t="s">
        <v>125</v>
      </c>
      <c r="F558" s="999" t="s">
        <v>125</v>
      </c>
      <c r="G558" s="999" t="s">
        <v>125</v>
      </c>
      <c r="H558" s="999" t="s">
        <v>125</v>
      </c>
      <c r="I558" s="999" t="s">
        <v>125</v>
      </c>
      <c r="J558" s="999" t="s">
        <v>125</v>
      </c>
      <c r="K558" s="999" t="s">
        <v>357</v>
      </c>
      <c r="L558" s="999" t="s">
        <v>357</v>
      </c>
      <c r="M558" s="999" t="s">
        <v>357</v>
      </c>
      <c r="N558" s="1000"/>
      <c r="O558" s="999" t="s">
        <v>357</v>
      </c>
      <c r="P558" s="999" t="s">
        <v>357</v>
      </c>
      <c r="Q558" s="999" t="s">
        <v>357</v>
      </c>
      <c r="R558" s="999" t="s">
        <v>357</v>
      </c>
      <c r="S558" s="999" t="s">
        <v>357</v>
      </c>
      <c r="T558" s="999" t="s">
        <v>357</v>
      </c>
      <c r="U558" s="999" t="s">
        <v>357</v>
      </c>
      <c r="V558" s="999" t="s">
        <v>696</v>
      </c>
      <c r="W558" s="999" t="s">
        <v>696</v>
      </c>
      <c r="X558" s="999" t="s">
        <v>762</v>
      </c>
      <c r="Y558" s="999" t="s">
        <v>762</v>
      </c>
      <c r="Z558" s="85" t="s">
        <v>798</v>
      </c>
      <c r="AA558" s="999" t="s">
        <v>845</v>
      </c>
      <c r="AB558" s="999" t="s">
        <v>845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75</v>
      </c>
      <c r="C559" s="999" t="s">
        <v>109</v>
      </c>
      <c r="D559" s="999" t="s">
        <v>126</v>
      </c>
      <c r="E559" s="999" t="s">
        <v>142</v>
      </c>
      <c r="F559" s="999" t="s">
        <v>187</v>
      </c>
      <c r="G559" s="999" t="s">
        <v>208</v>
      </c>
      <c r="H559" s="999" t="s">
        <v>247</v>
      </c>
      <c r="I559" s="999" t="s">
        <v>275</v>
      </c>
      <c r="J559" s="999" t="s">
        <v>125</v>
      </c>
      <c r="K559" s="999" t="s">
        <v>358</v>
      </c>
      <c r="L559" s="999" t="s">
        <v>379</v>
      </c>
      <c r="M559" s="999" t="s">
        <v>446</v>
      </c>
      <c r="N559" s="1"/>
      <c r="O559" s="999" t="s">
        <v>514</v>
      </c>
      <c r="P559" s="999" t="s">
        <v>547</v>
      </c>
      <c r="Q559" s="999" t="s">
        <v>563</v>
      </c>
      <c r="R559" s="999" t="s">
        <v>572</v>
      </c>
      <c r="S559" s="999" t="s">
        <v>593</v>
      </c>
      <c r="T559" s="999" t="s">
        <v>602</v>
      </c>
      <c r="U559" s="999" t="s">
        <v>686</v>
      </c>
      <c r="V559" s="999" t="s">
        <v>697</v>
      </c>
      <c r="W559" s="999" t="s">
        <v>746</v>
      </c>
      <c r="X559" s="999" t="s">
        <v>763</v>
      </c>
      <c r="Y559" s="999" t="s">
        <v>786</v>
      </c>
      <c r="Z559" s="999" t="s">
        <v>798</v>
      </c>
      <c r="AA559" s="999" t="s">
        <v>845</v>
      </c>
      <c r="AB559" s="999" t="s">
        <v>864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2">
        <f>IFERROR(Y88*1,"0")+IFERROR(Y89*1,"0")+IFERROR(Y90*1,"0")+IFERROR(Y91*1,"0")+IFERROR(Y95*1,"0")+IFERROR(Y96*1,"0")+IFERROR(Y97*1,"0")+IFERROR(Y98*1,"0")</f>
        <v>0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2">
        <f>IFERROR(Y415*1,"0")+IFERROR(Y416*1,"0")+IFERROR(Y417*1,"0")</f>
        <v>0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1500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00,00"/>
        <filter val="1 547,00"/>
        <filter val="1 622,00"/>
        <filter val="100,00"/>
        <filter val="3"/>
        <filter val="750,00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868</v>
      </c>
      <c r="H1" s="9"/>
    </row>
    <row r="3" spans="2:8" x14ac:dyDescent="0.2">
      <c r="B3" s="53" t="s">
        <v>869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871</v>
      </c>
      <c r="C6" s="53" t="s">
        <v>872</v>
      </c>
      <c r="D6" s="53" t="s">
        <v>873</v>
      </c>
      <c r="E6" s="53" t="s">
        <v>46</v>
      </c>
    </row>
    <row r="7" spans="2:8" x14ac:dyDescent="0.2">
      <c r="B7" s="53" t="s">
        <v>874</v>
      </c>
      <c r="C7" s="53" t="s">
        <v>875</v>
      </c>
      <c r="D7" s="53" t="s">
        <v>876</v>
      </c>
      <c r="E7" s="53" t="s">
        <v>46</v>
      </c>
    </row>
    <row r="9" spans="2:8" x14ac:dyDescent="0.2">
      <c r="B9" s="53" t="s">
        <v>877</v>
      </c>
      <c r="C9" s="53" t="s">
        <v>872</v>
      </c>
      <c r="D9" s="53" t="s">
        <v>46</v>
      </c>
      <c r="E9" s="53" t="s">
        <v>46</v>
      </c>
    </row>
    <row r="11" spans="2:8" x14ac:dyDescent="0.2">
      <c r="B11" s="53" t="s">
        <v>877</v>
      </c>
      <c r="C11" s="53" t="s">
        <v>875</v>
      </c>
      <c r="D11" s="53" t="s">
        <v>46</v>
      </c>
      <c r="E11" s="53" t="s">
        <v>46</v>
      </c>
    </row>
    <row r="13" spans="2:8" x14ac:dyDescent="0.2">
      <c r="B13" s="53" t="s">
        <v>878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879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888</v>
      </c>
      <c r="C23" s="53" t="s">
        <v>46</v>
      </c>
      <c r="D23" s="53" t="s">
        <v>46</v>
      </c>
      <c r="E23" s="53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2026-07-24T06:21:10Z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