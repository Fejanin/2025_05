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475C3EB-0AEA-4352-8E1B-37F895F8F00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Z526" i="2"/>
  <c r="Z527" i="2" s="1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N457" i="2"/>
  <c r="BM457" i="2"/>
  <c r="Z457" i="2"/>
  <c r="Z458" i="2" s="1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P440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N402" i="2"/>
  <c r="BM402" i="2"/>
  <c r="Z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P304" i="2"/>
  <c r="BO304" i="2"/>
  <c r="BN304" i="2"/>
  <c r="BM304" i="2"/>
  <c r="Z304" i="2"/>
  <c r="Y304" i="2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N290" i="2"/>
  <c r="BM290" i="2"/>
  <c r="Z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Z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P274" i="2"/>
  <c r="BP273" i="2"/>
  <c r="BO273" i="2"/>
  <c r="BM273" i="2"/>
  <c r="Y273" i="2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P264" i="2"/>
  <c r="BO264" i="2"/>
  <c r="BN264" i="2"/>
  <c r="BM264" i="2"/>
  <c r="Z264" i="2"/>
  <c r="Y264" i="2"/>
  <c r="P264" i="2"/>
  <c r="X262" i="2"/>
  <c r="X261" i="2"/>
  <c r="BO260" i="2"/>
  <c r="BM260" i="2"/>
  <c r="Y260" i="2"/>
  <c r="BN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Z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Z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P202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P193" i="2"/>
  <c r="BO193" i="2"/>
  <c r="BM193" i="2"/>
  <c r="Y193" i="2"/>
  <c r="P193" i="2"/>
  <c r="BO192" i="2"/>
  <c r="BM192" i="2"/>
  <c r="Y192" i="2"/>
  <c r="P192" i="2"/>
  <c r="BO191" i="2"/>
  <c r="BM191" i="2"/>
  <c r="Y191" i="2"/>
  <c r="P191" i="2"/>
  <c r="X189" i="2"/>
  <c r="X188" i="2"/>
  <c r="BP187" i="2"/>
  <c r="BO187" i="2"/>
  <c r="BM187" i="2"/>
  <c r="Y187" i="2"/>
  <c r="Z187" i="2" s="1"/>
  <c r="P187" i="2"/>
  <c r="BO186" i="2"/>
  <c r="BM186" i="2"/>
  <c r="Y186" i="2"/>
  <c r="BP186" i="2" s="1"/>
  <c r="P186" i="2"/>
  <c r="BP185" i="2"/>
  <c r="BO185" i="2"/>
  <c r="BM185" i="2"/>
  <c r="Y185" i="2"/>
  <c r="P185" i="2"/>
  <c r="BO184" i="2"/>
  <c r="BM184" i="2"/>
  <c r="Y184" i="2"/>
  <c r="BN184" i="2" s="1"/>
  <c r="P184" i="2"/>
  <c r="BP183" i="2"/>
  <c r="BO183" i="2"/>
  <c r="BM183" i="2"/>
  <c r="Y183" i="2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Z157" i="2"/>
  <c r="Y157" i="2"/>
  <c r="BP157" i="2" s="1"/>
  <c r="P157" i="2"/>
  <c r="BO156" i="2"/>
  <c r="BM156" i="2"/>
  <c r="Y156" i="2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N132" i="2"/>
  <c r="BM132" i="2"/>
  <c r="Z132" i="2"/>
  <c r="Y132" i="2"/>
  <c r="P132" i="2"/>
  <c r="X129" i="2"/>
  <c r="Y128" i="2"/>
  <c r="X128" i="2"/>
  <c r="BP127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P90" i="2"/>
  <c r="BO89" i="2"/>
  <c r="BM89" i="2"/>
  <c r="Y89" i="2"/>
  <c r="BN89" i="2" s="1"/>
  <c r="P89" i="2"/>
  <c r="BO88" i="2"/>
  <c r="BM88" i="2"/>
  <c r="Y88" i="2"/>
  <c r="F561" i="2" s="1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Z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P41" i="2"/>
  <c r="Y37" i="2"/>
  <c r="X37" i="2"/>
  <c r="X36" i="2"/>
  <c r="BO35" i="2"/>
  <c r="BM35" i="2"/>
  <c r="Z35" i="2"/>
  <c r="Z36" i="2" s="1"/>
  <c r="Y35" i="2"/>
  <c r="Y36" i="2" s="1"/>
  <c r="P35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P31" i="2" l="1"/>
  <c r="Z31" i="2"/>
  <c r="BN43" i="2"/>
  <c r="Z43" i="2"/>
  <c r="BN77" i="2"/>
  <c r="BN115" i="2"/>
  <c r="BN148" i="2"/>
  <c r="BN173" i="2"/>
  <c r="Z173" i="2"/>
  <c r="BN182" i="2"/>
  <c r="Z182" i="2"/>
  <c r="BN186" i="2"/>
  <c r="BN192" i="2"/>
  <c r="Z192" i="2"/>
  <c r="BN226" i="2"/>
  <c r="BP231" i="2"/>
  <c r="BN231" i="2"/>
  <c r="Z231" i="2"/>
  <c r="Z259" i="2"/>
  <c r="Y262" i="2"/>
  <c r="BN259" i="2"/>
  <c r="BN270" i="2"/>
  <c r="Z270" i="2"/>
  <c r="BP274" i="2"/>
  <c r="BN274" i="2"/>
  <c r="BN28" i="2"/>
  <c r="BN61" i="2"/>
  <c r="BN90" i="2"/>
  <c r="Z90" i="2"/>
  <c r="BP122" i="2"/>
  <c r="Z122" i="2"/>
  <c r="BP156" i="2"/>
  <c r="Z156" i="2"/>
  <c r="BN185" i="2"/>
  <c r="Z185" i="2"/>
  <c r="BN273" i="2"/>
  <c r="Z273" i="2"/>
  <c r="BP283" i="2"/>
  <c r="BN284" i="2"/>
  <c r="BP363" i="2"/>
  <c r="BN368" i="2"/>
  <c r="BN383" i="2"/>
  <c r="BN396" i="2"/>
  <c r="BN441" i="2"/>
  <c r="BN463" i="2"/>
  <c r="BN473" i="2"/>
  <c r="BN515" i="2"/>
  <c r="BN517" i="2"/>
  <c r="Y25" i="2"/>
  <c r="BN30" i="2"/>
  <c r="BP35" i="2"/>
  <c r="BN72" i="2"/>
  <c r="Y79" i="2"/>
  <c r="BN82" i="2"/>
  <c r="BN106" i="2"/>
  <c r="BN120" i="2"/>
  <c r="Y137" i="2"/>
  <c r="Y158" i="2"/>
  <c r="BN155" i="2"/>
  <c r="BN209" i="2"/>
  <c r="BN214" i="2"/>
  <c r="BN235" i="2"/>
  <c r="Z283" i="2"/>
  <c r="BN288" i="2"/>
  <c r="Z302" i="2"/>
  <c r="Y323" i="2"/>
  <c r="Z336" i="2"/>
  <c r="Z346" i="2"/>
  <c r="BN351" i="2"/>
  <c r="Z356" i="2"/>
  <c r="Y360" i="2"/>
  <c r="BN358" i="2"/>
  <c r="Z363" i="2"/>
  <c r="Z364" i="2"/>
  <c r="BN364" i="2"/>
  <c r="BN374" i="2"/>
  <c r="BN389" i="2"/>
  <c r="BN416" i="2"/>
  <c r="Z425" i="2"/>
  <c r="BP428" i="2"/>
  <c r="BN429" i="2"/>
  <c r="BN446" i="2"/>
  <c r="Y458" i="2"/>
  <c r="BN470" i="2"/>
  <c r="Z472" i="2"/>
  <c r="BN472" i="2"/>
  <c r="BN498" i="2"/>
  <c r="Z504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X554" i="2" s="1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Z117" i="2" s="1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75" i="2" s="1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5" i="2" s="1"/>
  <c r="Z219" i="2"/>
  <c r="Z220" i="2" s="1"/>
  <c r="Z229" i="2"/>
  <c r="Z249" i="2"/>
  <c r="Z251" i="2" s="1"/>
  <c r="Z272" i="2"/>
  <c r="Z277" i="2" s="1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92" i="2"/>
  <c r="Z405" i="2"/>
  <c r="Z369" i="2"/>
  <c r="Z32" i="2"/>
  <c r="Z359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<sst xmlns="http://schemas.openxmlformats.org/spreadsheetml/2006/main" count="4194" uniqueCount="891">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</sst>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46227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Пятница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0.45833333333333331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1500</v>
      </c>
      <c r="Y426" s="55">
        <f t="shared" si="52"/>
        <v>1500</v>
      </c>
      <c r="Z426" s="41">
        <f>IFERROR(IF(Y426=0,"",ROUNDUP(Y426/H426,0)*0.02175),"")</f>
        <v>2.1749999999999998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1547</v>
      </c>
      <c r="BN426" s="78">
        <f t="shared" si="54"/>
        <v>1547</v>
      </c>
      <c r="BO426" s="78">
        <f t="shared" si="55"/>
        <v>2.083333333333333</v>
      </c>
      <c r="BP426" s="78">
        <f t="shared" si="56"/>
        <v>2.083333333333333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100</v>
      </c>
      <c r="Y431" s="43">
        <f>IFERROR(Y423/H423,"0")+IFERROR(Y424/H424,"0")+IFERROR(Y425/H425,"0")+IFERROR(Y426/H426,"0")+IFERROR(Y427/H427,"0")+IFERROR(Y428/H428,"0")+IFERROR(Y429/H429,"0")+IFERROR(Y430/H430,"0")</f>
        <v>100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2.1749999999999998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1500</v>
      </c>
      <c r="Y432" s="43">
        <f>IFERROR(SUM(Y423:Y430),"0")</f>
        <v>1500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1500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1500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1547</v>
      </c>
      <c r="Y552" s="43">
        <f>IFERROR(SUM(BN22:BN548),"0")</f>
        <v>1547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3</v>
      </c>
      <c r="Y553" s="44">
        <f>ROUNDUP(SUM(BP22:BP548),0)</f>
        <v>3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1622</v>
      </c>
      <c r="Y554" s="43">
        <f>GrossWeightTotalR+PalletQtyTotalR*25</f>
        <v>1622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100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100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2.1749999999999998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1500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547,00"/>
        <filter val="1 622,00"/>
        <filter val="100,00"/>
        <filter val="3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2026-07-24T06:23:07Z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