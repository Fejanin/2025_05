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E13698-6819-4D70-9262-6C1DB30725E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Z457" i="2"/>
  <c r="Z458" i="2" s="1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P440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Z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P304" i="2"/>
  <c r="BO304" i="2"/>
  <c r="BN304" i="2"/>
  <c r="BM304" i="2"/>
  <c r="Z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Z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N264" i="2"/>
  <c r="BM264" i="2"/>
  <c r="Z264" i="2"/>
  <c r="Y264" i="2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N231" i="2"/>
  <c r="BM231" i="2"/>
  <c r="Z231" i="2"/>
  <c r="Y231" i="2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Z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Z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P161" i="2"/>
  <c r="BO161" i="2"/>
  <c r="BM161" i="2"/>
  <c r="Y161" i="2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Y158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Z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Z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Z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Z22" i="2" l="1"/>
  <c r="BN28" i="2"/>
  <c r="Z35" i="2"/>
  <c r="Z36" i="2" s="1"/>
  <c r="Y37" i="2"/>
  <c r="Z59" i="2"/>
  <c r="BN61" i="2"/>
  <c r="BN77" i="2"/>
  <c r="BN115" i="2"/>
  <c r="BP127" i="2"/>
  <c r="Y128" i="2"/>
  <c r="Y151" i="2"/>
  <c r="BN148" i="2"/>
  <c r="Z157" i="2"/>
  <c r="Z167" i="2"/>
  <c r="BP185" i="2"/>
  <c r="BN186" i="2"/>
  <c r="BP187" i="2"/>
  <c r="BP202" i="2"/>
  <c r="BN226" i="2"/>
  <c r="Z230" i="2"/>
  <c r="BN259" i="2"/>
  <c r="BP273" i="2"/>
  <c r="BN274" i="2"/>
  <c r="BP283" i="2"/>
  <c r="BN284" i="2"/>
  <c r="BP363" i="2"/>
  <c r="BN368" i="2"/>
  <c r="BN383" i="2"/>
  <c r="BN396" i="2"/>
  <c r="BN441" i="2"/>
  <c r="BN463" i="2"/>
  <c r="BN473" i="2"/>
  <c r="BN515" i="2"/>
  <c r="BN517" i="2"/>
  <c r="BN30" i="2"/>
  <c r="BP35" i="2"/>
  <c r="BN72" i="2"/>
  <c r="Y79" i="2"/>
  <c r="BN82" i="2"/>
  <c r="Z90" i="2"/>
  <c r="BN106" i="2"/>
  <c r="BN120" i="2"/>
  <c r="BN155" i="2"/>
  <c r="BN209" i="2"/>
  <c r="BN214" i="2"/>
  <c r="BN235" i="2"/>
  <c r="Y262" i="2"/>
  <c r="Z270" i="2"/>
  <c r="Z273" i="2"/>
  <c r="Z283" i="2"/>
  <c r="BN288" i="2"/>
  <c r="Z302" i="2"/>
  <c r="Y323" i="2"/>
  <c r="Z336" i="2"/>
  <c r="Z346" i="2"/>
  <c r="BN351" i="2"/>
  <c r="Z356" i="2"/>
  <c r="Y360" i="2"/>
  <c r="BN358" i="2"/>
  <c r="Z363" i="2"/>
  <c r="Z364" i="2"/>
  <c r="BN364" i="2"/>
  <c r="BN374" i="2"/>
  <c r="BN389" i="2"/>
  <c r="BN416" i="2"/>
  <c r="BP428" i="2"/>
  <c r="BN429" i="2"/>
  <c r="BN446" i="2"/>
  <c r="Y458" i="2"/>
  <c r="BN470" i="2"/>
  <c r="Z472" i="2"/>
  <c r="BN472" i="2"/>
  <c r="BN498" i="2"/>
  <c r="Z504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X554" i="2" s="1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Z117" i="2" s="1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5" i="2" s="1"/>
  <c r="Z219" i="2"/>
  <c r="Z220" i="2" s="1"/>
  <c r="Z229" i="2"/>
  <c r="Z249" i="2"/>
  <c r="Z251" i="2" s="1"/>
  <c r="Z272" i="2"/>
  <c r="Z277" i="2" s="1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92" i="2"/>
  <c r="Z405" i="2"/>
  <c r="Z369" i="2"/>
  <c r="Z3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<sst xmlns="http://schemas.openxmlformats.org/spreadsheetml/2006/main" count="4194" uniqueCount="891">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</sst>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46227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600</v>
      </c>
      <c r="Y424" s="55">
        <f t="shared" si="52"/>
        <v>600</v>
      </c>
      <c r="Z424" s="41">
        <f>IFERROR(IF(Y424=0,"",ROUNDUP(Y424/H424,0)*0.02175),"")</f>
        <v>0.86999999999999988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618.79999999999995</v>
      </c>
      <c r="BN424" s="78">
        <f t="shared" si="54"/>
        <v>618.79999999999995</v>
      </c>
      <c r="BO424" s="78">
        <f t="shared" si="55"/>
        <v>0.83333333333333326</v>
      </c>
      <c r="BP424" s="78">
        <f t="shared" si="56"/>
        <v>0.83333333333333326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600</v>
      </c>
      <c r="Y426" s="55">
        <f t="shared" si="52"/>
        <v>600</v>
      </c>
      <c r="Z426" s="41">
        <f>IFERROR(IF(Y426=0,"",ROUNDUP(Y426/H426,0)*0.02175),"")</f>
        <v>0.86999999999999988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618.79999999999995</v>
      </c>
      <c r="BN426" s="78">
        <f t="shared" si="54"/>
        <v>618.79999999999995</v>
      </c>
      <c r="BO426" s="78">
        <f t="shared" si="55"/>
        <v>0.83333333333333326</v>
      </c>
      <c r="BP426" s="78">
        <f t="shared" si="56"/>
        <v>0.83333333333333326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80</v>
      </c>
      <c r="Y431" s="43">
        <f>IFERROR(Y423/H423,"0")+IFERROR(Y424/H424,"0")+IFERROR(Y425/H425,"0")+IFERROR(Y426/H426,"0")+IFERROR(Y427/H427,"0")+IFERROR(Y428/H428,"0")+IFERROR(Y429/H429,"0")+IFERROR(Y430/H430,"0")</f>
        <v>80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1.7399999999999998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1200</v>
      </c>
      <c r="Y432" s="43">
        <f>IFERROR(SUM(Y423:Y430),"0")</f>
        <v>1200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1200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1200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1237.5999999999999</v>
      </c>
      <c r="Y552" s="43">
        <f>IFERROR(SUM(BN22:BN548),"0")</f>
        <v>1237.5999999999999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</v>
      </c>
      <c r="Y553" s="44">
        <f>ROUNDUP(SUM(BP22:BP548),0)</f>
        <v>2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1287.5999999999999</v>
      </c>
      <c r="Y554" s="43">
        <f>GrossWeightTotalR+PalletQtyTotalR*25</f>
        <v>1287.5999999999999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1.7399999999999998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1200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37,60"/>
        <filter val="1 287,60"/>
        <filter val="2"/>
        <filter val="600,00"/>
        <filter val="8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2026-07-24T06:18:43Z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