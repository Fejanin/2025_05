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EDC2ED-A0DA-465A-B91D-35C5AC7CDF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N364" i="2"/>
  <c r="BM364" i="2"/>
  <c r="Z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Z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P289" i="2"/>
  <c r="BO289" i="2"/>
  <c r="BM289" i="2"/>
  <c r="Y289" i="2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P132" i="2"/>
  <c r="X129" i="2"/>
  <c r="Y128" i="2"/>
  <c r="X128" i="2"/>
  <c r="BP127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Z90" i="2" l="1"/>
  <c r="Z273" i="2"/>
  <c r="Z363" i="2"/>
  <c r="BN77" i="2"/>
  <c r="BN288" i="2"/>
  <c r="BN416" i="2"/>
  <c r="BN517" i="2"/>
  <c r="BN72" i="2"/>
  <c r="Z113" i="2"/>
  <c r="Z185" i="2"/>
  <c r="BN214" i="2"/>
  <c r="Z270" i="2"/>
  <c r="Z283" i="2"/>
  <c r="BN284" i="2"/>
  <c r="Z346" i="2"/>
  <c r="BP363" i="2"/>
  <c r="BN368" i="2"/>
  <c r="BP428" i="2"/>
  <c r="Z472" i="2"/>
  <c r="BN473" i="2"/>
  <c r="Z31" i="2"/>
  <c r="Z122" i="2"/>
  <c r="Z157" i="2"/>
  <c r="Z173" i="2"/>
  <c r="Z231" i="2"/>
  <c r="Z336" i="2"/>
  <c r="BN429" i="2"/>
  <c r="BN446" i="2"/>
  <c r="BP35" i="2"/>
  <c r="BN304" i="2"/>
  <c r="Y458" i="2"/>
  <c r="BN231" i="2"/>
  <c r="BP273" i="2"/>
  <c r="BP283" i="2"/>
  <c r="BP304" i="2"/>
  <c r="Z182" i="2"/>
  <c r="BP185" i="2"/>
  <c r="BN226" i="2"/>
  <c r="Z356" i="2"/>
  <c r="Z457" i="2"/>
  <c r="Z458" i="2" s="1"/>
  <c r="Z43" i="2"/>
  <c r="Y204" i="2"/>
  <c r="BN457" i="2"/>
  <c r="BN515" i="2"/>
  <c r="BN235" i="2"/>
  <c r="Y151" i="2"/>
  <c r="BN259" i="2"/>
  <c r="BP264" i="2"/>
  <c r="Z280" i="2"/>
  <c r="BN290" i="2"/>
  <c r="Z320" i="2"/>
  <c r="Z373" i="2"/>
  <c r="BN209" i="2"/>
  <c r="BN30" i="2"/>
  <c r="Y79" i="2"/>
  <c r="BN82" i="2"/>
  <c r="Y137" i="2"/>
  <c r="BN155" i="2"/>
  <c r="Y262" i="2"/>
  <c r="Z302" i="2"/>
  <c r="Y360" i="2"/>
  <c r="BN389" i="2"/>
  <c r="Y412" i="2"/>
  <c r="BN472" i="2"/>
  <c r="BN498" i="2"/>
  <c r="Z504" i="2"/>
  <c r="BN106" i="2"/>
  <c r="BN120" i="2"/>
  <c r="Z22" i="2"/>
  <c r="BN28" i="2"/>
  <c r="BN61" i="2"/>
  <c r="Y37" i="2"/>
  <c r="F561" i="2"/>
  <c r="BN148" i="2"/>
  <c r="BP187" i="2"/>
  <c r="Z244" i="2"/>
  <c r="Z250" i="2"/>
  <c r="BN274" i="2"/>
  <c r="BN373" i="2"/>
  <c r="BN383" i="2"/>
  <c r="Z402" i="2"/>
  <c r="BN441" i="2"/>
  <c r="Y158" i="2"/>
  <c r="Y323" i="2"/>
  <c r="Y532" i="2"/>
  <c r="Y55" i="2"/>
  <c r="Z35" i="2"/>
  <c r="Z36" i="2" s="1"/>
  <c r="BN115" i="2"/>
  <c r="Z134" i="2"/>
  <c r="Z167" i="2"/>
  <c r="BN186" i="2"/>
  <c r="Z264" i="2"/>
  <c r="Z328" i="2"/>
  <c r="BN396" i="2"/>
  <c r="BN402" i="2"/>
  <c r="Z428" i="2"/>
  <c r="BN463" i="2"/>
  <c r="Z59" i="2"/>
  <c r="Z230" i="2"/>
  <c r="Z290" i="2"/>
  <c r="BN351" i="2"/>
  <c r="BN358" i="2"/>
  <c r="BN374" i="2"/>
  <c r="BN470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24" i="2" s="1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77" i="2" s="1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51" i="2" l="1"/>
  <c r="Z405" i="2"/>
  <c r="Z369" i="2"/>
  <c r="Z359" i="2"/>
  <c r="X554" i="2"/>
  <c r="Z150" i="2"/>
  <c r="Z32" i="2"/>
  <c r="Z386" i="2"/>
  <c r="Z292" i="2"/>
  <c r="Z411" i="2"/>
  <c r="Z322" i="2"/>
  <c r="Z338" i="2"/>
  <c r="Z475" i="2"/>
  <c r="Z215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<sst xmlns="http://schemas.openxmlformats.org/spreadsheetml/2006/main" count="4194" uniqueCount="891">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</sst>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46227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250</v>
      </c>
      <c r="Y424" s="55">
        <f t="shared" si="52"/>
        <v>255</v>
      </c>
      <c r="Z424" s="41">
        <f>IFERROR(IF(Y424=0,"",ROUNDUP(Y424/H424,0)*0.02175),"")</f>
        <v>0.36974999999999997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257.83333333333331</v>
      </c>
      <c r="BN424" s="78">
        <f t="shared" si="54"/>
        <v>262.99</v>
      </c>
      <c r="BO424" s="78">
        <f t="shared" si="55"/>
        <v>0.34722222222222221</v>
      </c>
      <c r="BP424" s="78">
        <f t="shared" si="56"/>
        <v>0.35416666666666663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250</v>
      </c>
      <c r="Y426" s="55">
        <f t="shared" si="52"/>
        <v>255</v>
      </c>
      <c r="Z426" s="41">
        <f>IFERROR(IF(Y426=0,"",ROUNDUP(Y426/H426,0)*0.02175),"")</f>
        <v>0.36974999999999997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257.83333333333331</v>
      </c>
      <c r="BN426" s="78">
        <f t="shared" si="54"/>
        <v>262.99</v>
      </c>
      <c r="BO426" s="78">
        <f t="shared" si="55"/>
        <v>0.34722222222222221</v>
      </c>
      <c r="BP426" s="78">
        <f t="shared" si="56"/>
        <v>0.35416666666666663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33.333333333333336</v>
      </c>
      <c r="Y431" s="43">
        <f>IFERROR(Y423/H423,"0")+IFERROR(Y424/H424,"0")+IFERROR(Y425/H425,"0")+IFERROR(Y426/H426,"0")+IFERROR(Y427/H427,"0")+IFERROR(Y428/H428,"0")+IFERROR(Y429/H429,"0")+IFERROR(Y430/H430,"0")</f>
        <v>34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0.73949999999999994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500</v>
      </c>
      <c r="Y432" s="43">
        <f>IFERROR(SUM(Y423:Y430),"0")</f>
        <v>510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510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515.66666666666663</v>
      </c>
      <c r="Y552" s="43">
        <f>IFERROR(SUM(BN22:BN548),"0")</f>
        <v>525.98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540.66666666666663</v>
      </c>
      <c r="Y554" s="43">
        <f>GrossWeightTotalR+PalletQtyTotalR*25</f>
        <v>550.98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33.333333333333336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34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0.73949999999999994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50,00"/>
        <filter val="33,33"/>
        <filter val="500,00"/>
        <filter val="515,67"/>
        <filter val="540,6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bb0b2827-4eb3-461f-8866-28597c48f47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2026-07-24T11:18:26Z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