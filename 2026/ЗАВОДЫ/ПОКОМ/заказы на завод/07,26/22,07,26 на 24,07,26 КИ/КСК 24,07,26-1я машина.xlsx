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A88C12A-1326-40AA-A8E9-727C2D1A7F5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O425" i="2"/>
  <c r="BM425" i="2"/>
  <c r="Y425" i="2"/>
  <c r="BN425" i="2" s="1"/>
  <c r="P425" i="2"/>
  <c r="BO424" i="2"/>
  <c r="BM424" i="2"/>
  <c r="Y424" i="2"/>
  <c r="Y428" i="2" s="1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Z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Y242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P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N151" i="2"/>
  <c r="BM151" i="2"/>
  <c r="Z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P112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108" i="2" l="1"/>
  <c r="BN121" i="2"/>
  <c r="BP182" i="2"/>
  <c r="BN183" i="2"/>
  <c r="BN271" i="2"/>
  <c r="BN363" i="2"/>
  <c r="BN386" i="2"/>
  <c r="BN499" i="2"/>
  <c r="BN83" i="2"/>
  <c r="Z182" i="2"/>
  <c r="Z184" i="2" s="1"/>
  <c r="BN218" i="2"/>
  <c r="BN375" i="2"/>
  <c r="BN426" i="2"/>
  <c r="BN462" i="2"/>
  <c r="Z176" i="2"/>
  <c r="BN162" i="2"/>
  <c r="BP425" i="2"/>
  <c r="Z425" i="2"/>
  <c r="Z413" i="2"/>
  <c r="BN175" i="2"/>
  <c r="BN172" i="2"/>
  <c r="BN416" i="2"/>
  <c r="Z262" i="2"/>
  <c r="BN261" i="2"/>
  <c r="BN215" i="2"/>
  <c r="Z214" i="2"/>
  <c r="Z394" i="2"/>
  <c r="BN381" i="2"/>
  <c r="Y390" i="2"/>
  <c r="Y536" i="2"/>
  <c r="Y521" i="2"/>
  <c r="BN520" i="2"/>
  <c r="BP509" i="2"/>
  <c r="Z509" i="2"/>
  <c r="Z506" i="2"/>
  <c r="Z498" i="2"/>
  <c r="BN494" i="2"/>
  <c r="BN491" i="2"/>
  <c r="BN489" i="2"/>
  <c r="Z489" i="2"/>
  <c r="BN474" i="2"/>
  <c r="Y476" i="2"/>
  <c r="Y471" i="2"/>
  <c r="BN452" i="2"/>
  <c r="BN447" i="2"/>
  <c r="BN442" i="2"/>
  <c r="Y445" i="2"/>
  <c r="BP431" i="2"/>
  <c r="Z431" i="2"/>
  <c r="BN420" i="2"/>
  <c r="BP419" i="2"/>
  <c r="BN414" i="2"/>
  <c r="BP413" i="2"/>
  <c r="BP394" i="2"/>
  <c r="Y396" i="2"/>
  <c r="Z385" i="2"/>
  <c r="Y382" i="2"/>
  <c r="Z372" i="2"/>
  <c r="BN353" i="2"/>
  <c r="BN336" i="2"/>
  <c r="BN325" i="2"/>
  <c r="BN319" i="2"/>
  <c r="BN318" i="2"/>
  <c r="Z310" i="2"/>
  <c r="Y306" i="2"/>
  <c r="BN305" i="2"/>
  <c r="BP301" i="2"/>
  <c r="Z301" i="2"/>
  <c r="Z302" i="2" s="1"/>
  <c r="BN275" i="2"/>
  <c r="BN273" i="2"/>
  <c r="Z260" i="2"/>
  <c r="BP260" i="2"/>
  <c r="BN255" i="2"/>
  <c r="BN223" i="2"/>
  <c r="BN222" i="2"/>
  <c r="BN200" i="2"/>
  <c r="BN188" i="2"/>
  <c r="Z188" i="2"/>
  <c r="BN170" i="2"/>
  <c r="Z170" i="2"/>
  <c r="Y163" i="2"/>
  <c r="Z138" i="2"/>
  <c r="BP138" i="2"/>
  <c r="Z121" i="2"/>
  <c r="Z115" i="2"/>
  <c r="BN115" i="2"/>
  <c r="BP113" i="2"/>
  <c r="Z113" i="2"/>
  <c r="BN103" i="2"/>
  <c r="BN97" i="2"/>
  <c r="BN95" i="2"/>
  <c r="Y84" i="2"/>
  <c r="Z77" i="2"/>
  <c r="BN71" i="2"/>
  <c r="BN62" i="2"/>
  <c r="BN59" i="2"/>
  <c r="Z59" i="2"/>
  <c r="BP52" i="2"/>
  <c r="Z52" i="2"/>
  <c r="Y56" i="2"/>
  <c r="BN51" i="2"/>
  <c r="Z30" i="2"/>
  <c r="BP30" i="2"/>
  <c r="Z28" i="2"/>
  <c r="BP28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200" i="2"/>
  <c r="Z215" i="2"/>
  <c r="Z254" i="2"/>
  <c r="Z279" i="2"/>
  <c r="Z305" i="2"/>
  <c r="Z306" i="2" s="1"/>
  <c r="BP305" i="2"/>
  <c r="Z325" i="2"/>
  <c r="Z336" i="2"/>
  <c r="Z337" i="2" s="1"/>
  <c r="Y383" i="2"/>
  <c r="BP379" i="2"/>
  <c r="Z386" i="2"/>
  <c r="Y395" i="2"/>
  <c r="BP414" i="2"/>
  <c r="Y444" i="2"/>
  <c r="BP447" i="2"/>
  <c r="Z453" i="2"/>
  <c r="Z491" i="2"/>
  <c r="Z499" i="2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BP381" i="2"/>
  <c r="BP416" i="2"/>
  <c r="Z424" i="2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99" i="2" l="1"/>
  <c r="Z256" i="2"/>
  <c r="Z152" i="2"/>
  <c r="Z349" i="2"/>
  <c r="Z389" i="2"/>
  <c r="Z139" i="2"/>
  <c r="Z501" i="2"/>
  <c r="Z427" i="2"/>
  <c r="Z421" i="2"/>
  <c r="Z312" i="2"/>
  <c r="Z144" i="2"/>
  <c r="Z267" i="2"/>
  <c r="Z287" i="2"/>
  <c r="Z124" i="2"/>
  <c r="Z535" i="2"/>
  <c r="Z382" i="2"/>
  <c r="Z328" i="2"/>
  <c r="X545" i="2"/>
  <c r="Z67" i="2"/>
  <c r="Z46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<sst xmlns="http://schemas.openxmlformats.org/spreadsheetml/2006/main" count="4110" uniqueCount="873">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</sst>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872</v>
      </c>
      <c r="I5" s="631"/>
      <c r="J5" s="631"/>
      <c r="K5" s="631"/>
      <c r="L5" s="631"/>
      <c r="M5" s="631"/>
      <c r="N5" s="72"/>
      <c r="P5" s="27" t="s">
        <v>4</v>
      </c>
      <c r="Q5" s="633">
        <v>46227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854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Пятница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0.375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hidden="1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hidden="1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20</v>
      </c>
      <c r="Y44" s="55">
        <f>IFERROR(IF(X44="",0,CEILING((X44/$H44),1)*$H44),"")</f>
        <v>21.119999999999997</v>
      </c>
      <c r="Z44" s="41">
        <f>IFERROR(IF(Y44=0,"",ROUNDUP(Y44/H44,0)*0.00651),"")</f>
        <v>7.1610000000000007E-2</v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21.875</v>
      </c>
      <c r="BN44" s="78">
        <f>IFERROR(Y44*I44/H44,"0")</f>
        <v>23.099999999999998</v>
      </c>
      <c r="BO44" s="78">
        <f>IFERROR(1/J44*(X44/H44),"0")</f>
        <v>5.7234432234432246E-2</v>
      </c>
      <c r="BP44" s="78">
        <f>IFERROR(1/J44*(Y44/H44),"0")</f>
        <v>6.0439560439560433E-2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15</v>
      </c>
      <c r="Y45" s="55">
        <f>IFERROR(IF(X45="",0,CEILING((X45/$H45),1)*$H45),"")</f>
        <v>15.36</v>
      </c>
      <c r="Z45" s="41">
        <f>IFERROR(IF(Y45=0,"",ROUNDUP(Y45/H45,0)*0.00651),"")</f>
        <v>5.2080000000000001E-2</v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16.40625</v>
      </c>
      <c r="BN45" s="78">
        <f>IFERROR(Y45*I45/H45,"0")</f>
        <v>16.8</v>
      </c>
      <c r="BO45" s="78">
        <f>IFERROR(1/J45*(X45/H45),"0")</f>
        <v>4.2925824175824176E-2</v>
      </c>
      <c r="BP45" s="78">
        <f>IFERROR(1/J45*(Y45/H45),"0")</f>
        <v>4.3956043956043959E-2</v>
      </c>
    </row>
    <row r="46" spans="1:68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18.229166666666668</v>
      </c>
      <c r="Y46" s="43">
        <f>IFERROR(Y41/H41,"0")+IFERROR(Y42/H42,"0")+IFERROR(Y43/H43,"0")+IFERROR(Y44/H44,"0")+IFERROR(Y45/H45,"0")</f>
        <v>19</v>
      </c>
      <c r="Z46" s="43">
        <f>IFERROR(IF(Z41="",0,Z41),"0")+IFERROR(IF(Z42="",0,Z42),"0")+IFERROR(IF(Z43="",0,Z43),"0")+IFERROR(IF(Z44="",0,Z44),"0")+IFERROR(IF(Z45="",0,Z45),"0")</f>
        <v>0.12369000000000001</v>
      </c>
      <c r="AA46" s="67"/>
      <c r="AB46" s="67"/>
      <c r="AC46" s="67"/>
    </row>
    <row r="47" spans="1:68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35</v>
      </c>
      <c r="Y47" s="43">
        <f>IFERROR(SUM(Y41:Y45),"0")</f>
        <v>36.479999999999997</v>
      </c>
      <c r="Z47" s="42"/>
      <c r="AA47" s="67"/>
      <c r="AB47" s="67"/>
      <c r="AC47" s="67"/>
    </row>
    <row r="48" spans="1:68" ht="27.75" hidden="1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hidden="1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hidden="1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191</v>
      </c>
      <c r="Y51" s="55">
        <f>IFERROR(IF(X51="",0,CEILING((X51/$H51),1)*$H51),"")</f>
        <v>194.4</v>
      </c>
      <c r="Z51" s="41">
        <f>IFERROR(IF(Y51=0,"",ROUNDUP(Y51/H51,0)*0.01898),"")</f>
        <v>0.34164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198.25092592592591</v>
      </c>
      <c r="BN51" s="78">
        <f>IFERROR(Y51*I51/H51,"0")</f>
        <v>201.78</v>
      </c>
      <c r="BO51" s="78">
        <f>IFERROR(1/J51*(X51/H51),"0")</f>
        <v>0.27633101851851849</v>
      </c>
      <c r="BP51" s="78">
        <f>IFERROR(1/J51*(Y51/H51),"0")</f>
        <v>0.28125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273</v>
      </c>
      <c r="Y53" s="55">
        <f>IFERROR(IF(X53="",0,CEILING((X53/$H53),1)*$H53),"")</f>
        <v>276</v>
      </c>
      <c r="Z53" s="41">
        <f>IFERROR(IF(Y53=0,"",ROUNDUP(Y53/H53,0)*0.00902),"")</f>
        <v>0.62238000000000004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285.96750000000003</v>
      </c>
      <c r="BN53" s="78">
        <f>IFERROR(Y53*I53/H53,"0")</f>
        <v>289.11</v>
      </c>
      <c r="BO53" s="78">
        <f>IFERROR(1/J53*(X53/H53),"0")</f>
        <v>0.51704545454545459</v>
      </c>
      <c r="BP53" s="78">
        <f>IFERROR(1/J53*(Y53/H53),"0")</f>
        <v>0.52272727272727271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85.93518518518519</v>
      </c>
      <c r="Y55" s="43">
        <f>IFERROR(Y51/H51,"0")+IFERROR(Y52/H52,"0")+IFERROR(Y53/H53,"0")+IFERROR(Y54/H54,"0")</f>
        <v>87</v>
      </c>
      <c r="Z55" s="43">
        <f>IFERROR(IF(Z51="",0,Z51),"0")+IFERROR(IF(Z52="",0,Z52),"0")+IFERROR(IF(Z53="",0,Z53),"0")+IFERROR(IF(Z54="",0,Z54),"0")</f>
        <v>0.9640200000000001</v>
      </c>
      <c r="AA55" s="67"/>
      <c r="AB55" s="67"/>
      <c r="AC55" s="67"/>
    </row>
    <row r="56" spans="1:68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464</v>
      </c>
      <c r="Y56" s="43">
        <f>IFERROR(SUM(Y51:Y54),"0")</f>
        <v>470.4</v>
      </c>
      <c r="Z56" s="42"/>
      <c r="AA56" s="67"/>
      <c r="AB56" s="67"/>
      <c r="AC56" s="67"/>
    </row>
    <row r="57" spans="1:68" ht="16.5" hidden="1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hidden="1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145</v>
      </c>
      <c r="Y61" s="55">
        <f t="shared" si="0"/>
        <v>151.20000000000002</v>
      </c>
      <c r="Z61" s="41">
        <f>IFERROR(IF(Y61=0,"",ROUNDUP(Y61/H61,0)*0.01898),"")</f>
        <v>0.26572000000000001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150.50462962962962</v>
      </c>
      <c r="BN61" s="78">
        <f t="shared" si="2"/>
        <v>156.94</v>
      </c>
      <c r="BO61" s="78">
        <f t="shared" si="3"/>
        <v>0.20978009259259259</v>
      </c>
      <c r="BP61" s="78">
        <f t="shared" si="4"/>
        <v>0.21875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379</v>
      </c>
      <c r="Y66" s="55">
        <f t="shared" si="0"/>
        <v>382.5</v>
      </c>
      <c r="Z66" s="41">
        <f>IFERROR(IF(Y66=0,"",ROUNDUP(Y66/H66,0)*0.00902),"")</f>
        <v>0.76670000000000005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395.00222222222226</v>
      </c>
      <c r="BN66" s="78">
        <f t="shared" si="2"/>
        <v>398.65000000000003</v>
      </c>
      <c r="BO66" s="78">
        <f t="shared" si="3"/>
        <v>0.63804713804713808</v>
      </c>
      <c r="BP66" s="78">
        <f t="shared" si="4"/>
        <v>0.64393939393939392</v>
      </c>
    </row>
    <row r="67" spans="1:68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97.648148148148152</v>
      </c>
      <c r="Y67" s="43">
        <f>IFERROR(Y59/H59,"0")+IFERROR(Y60/H60,"0")+IFERROR(Y61/H61,"0")+IFERROR(Y62/H62,"0")+IFERROR(Y63/H63,"0")+IFERROR(Y64/H64,"0")+IFERROR(Y65/H65,"0")+IFERROR(Y66/H66,"0")</f>
        <v>99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1.0324200000000001</v>
      </c>
      <c r="AA67" s="67"/>
      <c r="AB67" s="67"/>
      <c r="AC67" s="67"/>
    </row>
    <row r="68" spans="1:68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524</v>
      </c>
      <c r="Y68" s="43">
        <f>IFERROR(SUM(Y59:Y66),"0")</f>
        <v>533.70000000000005</v>
      </c>
      <c r="Z68" s="42"/>
      <c r="AA68" s="67"/>
      <c r="AB68" s="67"/>
      <c r="AC68" s="67"/>
    </row>
    <row r="69" spans="1:68" ht="14.25" hidden="1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66</v>
      </c>
      <c r="Y70" s="55">
        <f>IFERROR(IF(X70="",0,CEILING((X70/$H70),1)*$H70),"")</f>
        <v>75.600000000000009</v>
      </c>
      <c r="Z70" s="41">
        <f>IFERROR(IF(Y70=0,"",ROUNDUP(Y70/H70,0)*0.01898),"")</f>
        <v>0.13286000000000001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68.505555555555546</v>
      </c>
      <c r="BN70" s="78">
        <f>IFERROR(Y70*I70/H70,"0")</f>
        <v>78.47</v>
      </c>
      <c r="BO70" s="78">
        <f>IFERROR(1/J70*(X70/H70),"0")</f>
        <v>9.5486111111111105E-2</v>
      </c>
      <c r="BP70" s="78">
        <f>IFERROR(1/J70*(Y70/H70),"0")</f>
        <v>0.109375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105</v>
      </c>
      <c r="Y73" s="55">
        <f>IFERROR(IF(X73="",0,CEILING((X73/$H73),1)*$H73),"")</f>
        <v>105.30000000000001</v>
      </c>
      <c r="Z73" s="41">
        <f>IFERROR(IF(Y73=0,"",ROUNDUP(Y73/H73,0)*0.00651),"")</f>
        <v>0.25389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111.99999999999999</v>
      </c>
      <c r="BN73" s="78">
        <f>IFERROR(Y73*I73/H73,"0")</f>
        <v>112.32</v>
      </c>
      <c r="BO73" s="78">
        <f>IFERROR(1/J73*(X73/H73),"0")</f>
        <v>0.21367521367521367</v>
      </c>
      <c r="BP73" s="78">
        <f>IFERROR(1/J73*(Y73/H73),"0")</f>
        <v>0.2142857142857143</v>
      </c>
    </row>
    <row r="74" spans="1:68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45</v>
      </c>
      <c r="Y74" s="43">
        <f>IFERROR(Y70/H70,"0")+IFERROR(Y71/H71,"0")+IFERROR(Y72/H72,"0")+IFERROR(Y73/H73,"0")</f>
        <v>46</v>
      </c>
      <c r="Z74" s="43">
        <f>IFERROR(IF(Z70="",0,Z70),"0")+IFERROR(IF(Z71="",0,Z71),"0")+IFERROR(IF(Z72="",0,Z72),"0")+IFERROR(IF(Z73="",0,Z73),"0")</f>
        <v>0.38675000000000004</v>
      </c>
      <c r="AA74" s="67"/>
      <c r="AB74" s="67"/>
      <c r="AC74" s="67"/>
    </row>
    <row r="75" spans="1:68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171</v>
      </c>
      <c r="Y75" s="43">
        <f>IFERROR(SUM(Y70:Y73),"0")</f>
        <v>180.90000000000003</v>
      </c>
      <c r="Z75" s="42"/>
      <c r="AA75" s="67"/>
      <c r="AB75" s="67"/>
      <c r="AC75" s="67"/>
    </row>
    <row r="76" spans="1:68" ht="14.25" hidden="1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28</v>
      </c>
      <c r="Y82" s="55">
        <f>IFERROR(IF(X82="",0,CEILING((X82/$H82),1)*$H82),"")</f>
        <v>31.2</v>
      </c>
      <c r="Z82" s="41">
        <f>IFERROR(IF(Y82=0,"",ROUNDUP(Y82/H82,0)*0.01898),"")</f>
        <v>7.5920000000000001E-2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29.471794871794877</v>
      </c>
      <c r="BN82" s="78">
        <f>IFERROR(Y82*I82/H82,"0")</f>
        <v>32.840000000000003</v>
      </c>
      <c r="BO82" s="78">
        <f>IFERROR(1/J82*(X82/H82),"0")</f>
        <v>5.6089743589743592E-2</v>
      </c>
      <c r="BP82" s="78">
        <f>IFERROR(1/J82*(Y82/H82),"0")</f>
        <v>6.25E-2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3.5897435897435899</v>
      </c>
      <c r="Y84" s="43">
        <f>IFERROR(Y82/H82,"0")+IFERROR(Y83/H83,"0")</f>
        <v>4</v>
      </c>
      <c r="Z84" s="43">
        <f>IFERROR(IF(Z82="",0,Z82),"0")+IFERROR(IF(Z83="",0,Z83),"0")</f>
        <v>7.5920000000000001E-2</v>
      </c>
      <c r="AA84" s="67"/>
      <c r="AB84" s="67"/>
      <c r="AC84" s="67"/>
    </row>
    <row r="85" spans="1:68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28</v>
      </c>
      <c r="Y85" s="43">
        <f>IFERROR(SUM(Y82:Y83),"0")</f>
        <v>31.2</v>
      </c>
      <c r="Z85" s="42"/>
      <c r="AA85" s="67"/>
      <c r="AB85" s="67"/>
      <c r="AC85" s="67"/>
    </row>
    <row r="86" spans="1:68" ht="16.5" hidden="1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hidden="1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124</v>
      </c>
      <c r="Y88" s="55">
        <f>IFERROR(IF(X88="",0,CEILING((X88/$H88),1)*$H88),"")</f>
        <v>129.60000000000002</v>
      </c>
      <c r="Z88" s="41">
        <f>IFERROR(IF(Y88=0,"",ROUNDUP(Y88/H88,0)*0.01898),"")</f>
        <v>0.22776000000000002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128.70740740740743</v>
      </c>
      <c r="BN88" s="78">
        <f>IFERROR(Y88*I88/H88,"0")</f>
        <v>134.52000000000001</v>
      </c>
      <c r="BO88" s="78">
        <f>IFERROR(1/J88*(X88/H88),"0")</f>
        <v>0.17939814814814814</v>
      </c>
      <c r="BP88" s="78">
        <f>IFERROR(1/J88*(Y88/H88),"0")</f>
        <v>0.18750000000000003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434</v>
      </c>
      <c r="Y91" s="55">
        <f>IFERROR(IF(X91="",0,CEILING((X91/$H91),1)*$H91),"")</f>
        <v>436.5</v>
      </c>
      <c r="Z91" s="41">
        <f>IFERROR(IF(Y91=0,"",ROUNDUP(Y91/H91,0)*0.00902),"")</f>
        <v>0.87494000000000005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452.32444444444451</v>
      </c>
      <c r="BN91" s="78">
        <f>IFERROR(Y91*I91/H91,"0")</f>
        <v>454.93000000000006</v>
      </c>
      <c r="BO91" s="78">
        <f>IFERROR(1/J91*(X91/H91),"0")</f>
        <v>0.73063973063973064</v>
      </c>
      <c r="BP91" s="78">
        <f>IFERROR(1/J91*(Y91/H91),"0")</f>
        <v>0.73484848484848486</v>
      </c>
    </row>
    <row r="92" spans="1:68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107.92592592592592</v>
      </c>
      <c r="Y92" s="43">
        <f>IFERROR(Y88/H88,"0")+IFERROR(Y89/H89,"0")+IFERROR(Y90/H90,"0")+IFERROR(Y91/H91,"0")</f>
        <v>109</v>
      </c>
      <c r="Z92" s="43">
        <f>IFERROR(IF(Z88="",0,Z88),"0")+IFERROR(IF(Z89="",0,Z89),"0")+IFERROR(IF(Z90="",0,Z90),"0")+IFERROR(IF(Z91="",0,Z91),"0")</f>
        <v>1.1027</v>
      </c>
      <c r="AA92" s="67"/>
      <c r="AB92" s="67"/>
      <c r="AC92" s="67"/>
    </row>
    <row r="93" spans="1:68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558</v>
      </c>
      <c r="Y93" s="43">
        <f>IFERROR(SUM(Y88:Y91),"0")</f>
        <v>566.1</v>
      </c>
      <c r="Z93" s="42"/>
      <c r="AA93" s="67"/>
      <c r="AB93" s="67"/>
      <c r="AC93" s="67"/>
    </row>
    <row r="94" spans="1:68" ht="14.25" hidden="1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185</v>
      </c>
      <c r="Y95" s="55">
        <f>IFERROR(IF(X95="",0,CEILING((X95/$H95),1)*$H95),"")</f>
        <v>186.29999999999998</v>
      </c>
      <c r="Z95" s="41">
        <f>IFERROR(IF(Y95=0,"",ROUNDUP(Y95/H95,0)*0.01898),"")</f>
        <v>0.43653999999999998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196.28271604938271</v>
      </c>
      <c r="BN95" s="78">
        <f>IFERROR(Y95*I95/H95,"0")</f>
        <v>197.66199999999998</v>
      </c>
      <c r="BO95" s="78">
        <f>IFERROR(1/J95*(X95/H95),"0")</f>
        <v>0.35686728395061729</v>
      </c>
      <c r="BP95" s="78">
        <f>IFERROR(1/J95*(Y95/H95),"0")</f>
        <v>0.359375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480.00000000000006</v>
      </c>
      <c r="Y97" s="55">
        <f>IFERROR(IF(X97="",0,CEILING((X97/$H97),1)*$H97),"")</f>
        <v>480.6</v>
      </c>
      <c r="Z97" s="41">
        <f>IFERROR(IF(Y97=0,"",ROUNDUP(Y97/H97,0)*0.00651),"")</f>
        <v>1.1587799999999999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524.79999999999995</v>
      </c>
      <c r="BN97" s="78">
        <f>IFERROR(Y97*I97/H97,"0")</f>
        <v>525.4559999999999</v>
      </c>
      <c r="BO97" s="78">
        <f>IFERROR(1/J97*(X97/H97),"0")</f>
        <v>0.97680097680097699</v>
      </c>
      <c r="BP97" s="78">
        <f>IFERROR(1/J97*(Y97/H97),"0")</f>
        <v>0.9780219780219781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200.61728395061732</v>
      </c>
      <c r="Y99" s="43">
        <f>IFERROR(Y95/H95,"0")+IFERROR(Y96/H96,"0")+IFERROR(Y97/H97,"0")+IFERROR(Y98/H98,"0")</f>
        <v>201</v>
      </c>
      <c r="Z99" s="43">
        <f>IFERROR(IF(Z95="",0,Z95),"0")+IFERROR(IF(Z96="",0,Z96),"0")+IFERROR(IF(Z97="",0,Z97),"0")+IFERROR(IF(Z98="",0,Z98),"0")</f>
        <v>1.5953199999999998</v>
      </c>
      <c r="AA99" s="67"/>
      <c r="AB99" s="67"/>
      <c r="AC99" s="67"/>
    </row>
    <row r="100" spans="1:68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665</v>
      </c>
      <c r="Y100" s="43">
        <f>IFERROR(SUM(Y95:Y98),"0")</f>
        <v>666.9</v>
      </c>
      <c r="Z100" s="42"/>
      <c r="AA100" s="67"/>
      <c r="AB100" s="67"/>
      <c r="AC100" s="67"/>
    </row>
    <row r="101" spans="1:68" ht="16.5" hidden="1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hidden="1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28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29.06296296296296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4.0509259259259259E-2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462.00000000000006</v>
      </c>
      <c r="Y107" s="55">
        <f t="shared" si="5"/>
        <v>463.5</v>
      </c>
      <c r="Z107" s="41">
        <f>IFERROR(IF(Y107=0,"",ROUNDUP(Y107/H107,0)*0.00902),"")</f>
        <v>0.92906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481.50666666666683</v>
      </c>
      <c r="BN107" s="78">
        <f t="shared" si="7"/>
        <v>483.07</v>
      </c>
      <c r="BO107" s="78">
        <f t="shared" si="8"/>
        <v>0.7777777777777779</v>
      </c>
      <c r="BP107" s="78">
        <f t="shared" si="9"/>
        <v>0.78030303030303028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105.25925925925928</v>
      </c>
      <c r="Y109" s="43">
        <f>IFERROR(Y103/H103,"0")+IFERROR(Y104/H104,"0")+IFERROR(Y105/H105,"0")+IFERROR(Y106/H106,"0")+IFERROR(Y107/H107,"0")+IFERROR(Y108/H108,"0")</f>
        <v>106</v>
      </c>
      <c r="Z109" s="43">
        <f>IFERROR(IF(Z103="",0,Z103),"0")+IFERROR(IF(Z104="",0,Z104),"0")+IFERROR(IF(Z105="",0,Z105),"0")+IFERROR(IF(Z106="",0,Z106),"0")+IFERROR(IF(Z107="",0,Z107),"0")+IFERROR(IF(Z108="",0,Z108),"0")</f>
        <v>0.98599999999999999</v>
      </c>
      <c r="AA109" s="67"/>
      <c r="AB109" s="67"/>
      <c r="AC109" s="67"/>
    </row>
    <row r="110" spans="1:68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490.00000000000006</v>
      </c>
      <c r="Y110" s="43">
        <f>IFERROR(SUM(Y103:Y108),"0")</f>
        <v>495.9</v>
      </c>
      <c r="Z110" s="42"/>
      <c r="AA110" s="67"/>
      <c r="AB110" s="67"/>
      <c r="AC110" s="67"/>
    </row>
    <row r="111" spans="1:68" ht="14.25" hidden="1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1</v>
      </c>
      <c r="Y113" s="55">
        <f>IFERROR(IF(X113="",0,CEILING((X113/$H113),1)*$H113),"")</f>
        <v>1</v>
      </c>
      <c r="Z113" s="41">
        <f>IFERROR(IF(Y113=0,"",ROUNDUP(Y113/H113,0)*0.00358),"")</f>
        <v>3.5799999999999998E-3</v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1.21</v>
      </c>
      <c r="BN113" s="78">
        <f>IFERROR(Y113*I113/H113,"0")</f>
        <v>1.21</v>
      </c>
      <c r="BO113" s="78">
        <f>IFERROR(1/J113*(X113/H113),"0")</f>
        <v>2.5510204081632651E-3</v>
      </c>
      <c r="BP113" s="78">
        <f>IFERROR(1/J113*(Y113/H113),"0")</f>
        <v>2.5510204081632651E-3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1</v>
      </c>
      <c r="Y117" s="43">
        <f>IFERROR(Y112/H112,"0")+IFERROR(Y113/H113,"0")+IFERROR(Y114/H114,"0")+IFERROR(Y115/H115,"0")+IFERROR(Y116/H116,"0")</f>
        <v>1</v>
      </c>
      <c r="Z117" s="43">
        <f>IFERROR(IF(Z112="",0,Z112),"0")+IFERROR(IF(Z113="",0,Z113),"0")+IFERROR(IF(Z114="",0,Z114),"0")+IFERROR(IF(Z115="",0,Z115),"0")+IFERROR(IF(Z116="",0,Z116),"0")</f>
        <v>3.5799999999999998E-3</v>
      </c>
      <c r="AA117" s="67"/>
      <c r="AB117" s="67"/>
      <c r="AC117" s="67"/>
    </row>
    <row r="118" spans="1:68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1</v>
      </c>
      <c r="Y118" s="43">
        <f>IFERROR(SUM(Y112:Y116),"0")</f>
        <v>1</v>
      </c>
      <c r="Z118" s="42"/>
      <c r="AA118" s="67"/>
      <c r="AB118" s="67"/>
      <c r="AC118" s="67"/>
    </row>
    <row r="119" spans="1:68" ht="14.25" hidden="1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409</v>
      </c>
      <c r="Y120" s="55">
        <f>IFERROR(IF(X120="",0,CEILING((X120/$H120),1)*$H120),"")</f>
        <v>413.09999999999997</v>
      </c>
      <c r="Z120" s="41">
        <f>IFERROR(IF(Y120=0,"",ROUNDUP(Y120/H120,0)*0.01898),"")</f>
        <v>0.96798000000000006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433.64098765432095</v>
      </c>
      <c r="BN120" s="78">
        <f>IFERROR(Y120*I120/H120,"0")</f>
        <v>437.98799999999994</v>
      </c>
      <c r="BO120" s="78">
        <f>IFERROR(1/J120*(X120/H120),"0")</f>
        <v>0.78896604938271608</v>
      </c>
      <c r="BP120" s="78">
        <f>IFERROR(1/J120*(Y120/H120),"0")</f>
        <v>0.796875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517</v>
      </c>
      <c r="Y122" s="55">
        <f>IFERROR(IF(X122="",0,CEILING((X122/$H122),1)*$H122),"")</f>
        <v>518.40000000000009</v>
      </c>
      <c r="Z122" s="41">
        <f>IFERROR(IF(Y122=0,"",ROUNDUP(Y122/H122,0)*0.00651),"")</f>
        <v>1.2499199999999999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565.25333333333333</v>
      </c>
      <c r="BN122" s="78">
        <f>IFERROR(Y122*I122/H122,"0")</f>
        <v>566.78400000000011</v>
      </c>
      <c r="BO122" s="78">
        <f>IFERROR(1/J122*(X122/H122),"0")</f>
        <v>1.0520960520960521</v>
      </c>
      <c r="BP122" s="78">
        <f>IFERROR(1/J122*(Y122/H122),"0")</f>
        <v>1.0549450549450552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31</v>
      </c>
      <c r="Y123" s="55">
        <f>IFERROR(IF(X123="",0,CEILING((X123/$H123),1)*$H123),"")</f>
        <v>32.4</v>
      </c>
      <c r="Z123" s="41">
        <f>IFERROR(IF(Y123=0,"",ROUNDUP(Y123/H123,0)*0.00651),"")</f>
        <v>0.11718000000000001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34.1</v>
      </c>
      <c r="BN123" s="78">
        <f>IFERROR(Y123*I123/H123,"0")</f>
        <v>35.64</v>
      </c>
      <c r="BO123" s="78">
        <f>IFERROR(1/J123*(X123/H123),"0")</f>
        <v>9.4627594627594624E-2</v>
      </c>
      <c r="BP123" s="78">
        <f>IFERROR(1/J123*(Y123/H123),"0")</f>
        <v>9.8901098901098911E-2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259.19753086419752</v>
      </c>
      <c r="Y124" s="43">
        <f>IFERROR(Y120/H120,"0")+IFERROR(Y121/H121,"0")+IFERROR(Y122/H122,"0")+IFERROR(Y123/H123,"0")</f>
        <v>261</v>
      </c>
      <c r="Z124" s="43">
        <f>IFERROR(IF(Z120="",0,Z120),"0")+IFERROR(IF(Z121="",0,Z121),"0")+IFERROR(IF(Z122="",0,Z122),"0")+IFERROR(IF(Z123="",0,Z123),"0")</f>
        <v>2.33508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957</v>
      </c>
      <c r="Y125" s="43">
        <f>IFERROR(SUM(Y120:Y123),"0")</f>
        <v>963.9</v>
      </c>
      <c r="Z125" s="42"/>
      <c r="AA125" s="67"/>
      <c r="AB125" s="67"/>
      <c r="AC125" s="67"/>
    </row>
    <row r="126" spans="1:68" ht="14.25" hidden="1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30</v>
      </c>
      <c r="Y127" s="55">
        <f>IFERROR(IF(X127="",0,CEILING((X127/$H127),1)*$H127),"")</f>
        <v>31.68</v>
      </c>
      <c r="Z127" s="41">
        <f>IFERROR(IF(Y127=0,"",ROUNDUP(Y127/H127,0)*0.00651),"")</f>
        <v>0.10416</v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33.909090909090907</v>
      </c>
      <c r="BN127" s="78">
        <f>IFERROR(Y127*I127/H127,"0")</f>
        <v>35.808</v>
      </c>
      <c r="BO127" s="78">
        <f>IFERROR(1/J127*(X127/H127),"0")</f>
        <v>8.3250083250083262E-2</v>
      </c>
      <c r="BP127" s="78">
        <f>IFERROR(1/J127*(Y127/H127),"0")</f>
        <v>8.7912087912087919E-2</v>
      </c>
    </row>
    <row r="128" spans="1:68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15.151515151515152</v>
      </c>
      <c r="Y128" s="43">
        <f>IFERROR(Y127/H127,"0")</f>
        <v>16</v>
      </c>
      <c r="Z128" s="43">
        <f>IFERROR(IF(Z127="",0,Z127),"0")</f>
        <v>0.10416</v>
      </c>
      <c r="AA128" s="67"/>
      <c r="AB128" s="67"/>
      <c r="AC128" s="67"/>
    </row>
    <row r="129" spans="1:68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30</v>
      </c>
      <c r="Y129" s="43">
        <f>IFERROR(SUM(Y127:Y127),"0")</f>
        <v>31.68</v>
      </c>
      <c r="Z129" s="42"/>
      <c r="AA129" s="67"/>
      <c r="AB129" s="67"/>
      <c r="AC129" s="67"/>
    </row>
    <row r="130" spans="1:68" ht="16.5" hidden="1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hidden="1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49</v>
      </c>
      <c r="Y133" s="55">
        <f>IFERROR(IF(X133="",0,CEILING((X133/$H133),1)*$H133),"")</f>
        <v>51.2</v>
      </c>
      <c r="Z133" s="41">
        <f>IFERROR(IF(Y133=0,"",ROUNDUP(Y133/H133,0)*0.00651),"")</f>
        <v>0.10416</v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51.756250000000001</v>
      </c>
      <c r="BN133" s="78">
        <f>IFERROR(Y133*I133/H133,"0")</f>
        <v>54.08</v>
      </c>
      <c r="BO133" s="78">
        <f>IFERROR(1/J133*(X133/H133),"0")</f>
        <v>8.4134615384615391E-2</v>
      </c>
      <c r="BP133" s="78">
        <f>IFERROR(1/J133*(Y133/H133),"0")</f>
        <v>8.7912087912087919E-2</v>
      </c>
    </row>
    <row r="134" spans="1:68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15.3125</v>
      </c>
      <c r="Y134" s="43">
        <f>IFERROR(Y132/H132,"0")+IFERROR(Y133/H133,"0")</f>
        <v>16</v>
      </c>
      <c r="Z134" s="43">
        <f>IFERROR(IF(Z132="",0,Z132),"0")+IFERROR(IF(Z133="",0,Z133),"0")</f>
        <v>0.10416</v>
      </c>
      <c r="AA134" s="67"/>
      <c r="AB134" s="67"/>
      <c r="AC134" s="67"/>
    </row>
    <row r="135" spans="1:68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49</v>
      </c>
      <c r="Y135" s="43">
        <f>IFERROR(SUM(Y132:Y133),"0")</f>
        <v>51.2</v>
      </c>
      <c r="Z135" s="42"/>
      <c r="AA135" s="67"/>
      <c r="AB135" s="67"/>
      <c r="AC135" s="67"/>
    </row>
    <row r="136" spans="1:68" ht="14.25" hidden="1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43</v>
      </c>
      <c r="Y137" s="55">
        <f>IFERROR(IF(X137="",0,CEILING((X137/$H137),1)*$H137),"")</f>
        <v>44.8</v>
      </c>
      <c r="Z137" s="41">
        <f>IFERROR(IF(Y137=0,"",ROUNDUP(Y137/H137,0)*0.00651),"")</f>
        <v>0.10416</v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47.11571428571429</v>
      </c>
      <c r="BN137" s="78">
        <f>IFERROR(Y137*I137/H137,"0")</f>
        <v>49.087999999999994</v>
      </c>
      <c r="BO137" s="78">
        <f>IFERROR(1/J137*(X137/H137),"0")</f>
        <v>8.4379905808477249E-2</v>
      </c>
      <c r="BP137" s="78">
        <f>IFERROR(1/J137*(Y137/H137),"0")</f>
        <v>8.7912087912087919E-2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15.357142857142858</v>
      </c>
      <c r="Y139" s="43">
        <f>IFERROR(Y137/H137,"0")+IFERROR(Y138/H138,"0")</f>
        <v>16</v>
      </c>
      <c r="Z139" s="43">
        <f>IFERROR(IF(Z137="",0,Z137),"0")+IFERROR(IF(Z138="",0,Z138),"0")</f>
        <v>0.10416</v>
      </c>
      <c r="AA139" s="67"/>
      <c r="AB139" s="67"/>
      <c r="AC139" s="67"/>
    </row>
    <row r="140" spans="1:68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43</v>
      </c>
      <c r="Y140" s="43">
        <f>IFERROR(SUM(Y137:Y138),"0")</f>
        <v>44.8</v>
      </c>
      <c r="Z140" s="42"/>
      <c r="AA140" s="67"/>
      <c r="AB140" s="67"/>
      <c r="AC140" s="67"/>
    </row>
    <row r="141" spans="1:68" ht="14.25" hidden="1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48</v>
      </c>
      <c r="Y142" s="55">
        <f>IFERROR(IF(X142="",0,CEILING((X142/$H142),1)*$H142),"")</f>
        <v>50.160000000000004</v>
      </c>
      <c r="Z142" s="41">
        <f>IFERROR(IF(Y142=0,"",ROUNDUP(Y142/H142,0)*0.00651),"")</f>
        <v>0.12369000000000001</v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52.872727272727275</v>
      </c>
      <c r="BN142" s="78">
        <f>IFERROR(Y142*I142/H142,"0")</f>
        <v>55.252000000000002</v>
      </c>
      <c r="BO142" s="78">
        <f>IFERROR(1/J142*(X142/H142),"0")</f>
        <v>9.9900099900099903E-2</v>
      </c>
      <c r="BP142" s="78">
        <f>IFERROR(1/J142*(Y142/H142),"0")</f>
        <v>0.1043956043956044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18.18181818181818</v>
      </c>
      <c r="Y144" s="43">
        <f>IFERROR(Y142/H142,"0")+IFERROR(Y143/H143,"0")</f>
        <v>19</v>
      </c>
      <c r="Z144" s="43">
        <f>IFERROR(IF(Z142="",0,Z142),"0")+IFERROR(IF(Z143="",0,Z143),"0")</f>
        <v>0.12369000000000001</v>
      </c>
      <c r="AA144" s="67"/>
      <c r="AB144" s="67"/>
      <c r="AC144" s="67"/>
    </row>
    <row r="145" spans="1:68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48</v>
      </c>
      <c r="Y145" s="43">
        <f>IFERROR(SUM(Y142:Y143),"0")</f>
        <v>50.160000000000004</v>
      </c>
      <c r="Z145" s="42"/>
      <c r="AA145" s="67"/>
      <c r="AB145" s="67"/>
      <c r="AC145" s="67"/>
    </row>
    <row r="146" spans="1:68" ht="16.5" hidden="1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hidden="1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hidden="1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6</v>
      </c>
      <c r="Y162" s="55">
        <f>IFERROR(IF(X162="",0,CEILING((X162/$H162),1)*$H162),"")</f>
        <v>6.4799999999999995</v>
      </c>
      <c r="Z162" s="41">
        <f>IFERROR(IF(Y162=0,"",ROUNDUP(Y162/H162,0)*0.00556),"")</f>
        <v>5.0040000000000001E-2</v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7.083333333333333</v>
      </c>
      <c r="BN162" s="78">
        <f>IFERROR(Y162*I162/H162,"0")</f>
        <v>7.6499999999999995</v>
      </c>
      <c r="BO162" s="78">
        <f>IFERROR(1/J162*(X162/H162),"0")</f>
        <v>3.3068783068783067E-2</v>
      </c>
      <c r="BP162" s="78">
        <f>IFERROR(1/J162*(Y162/H162),"0")</f>
        <v>3.5714285714285712E-2</v>
      </c>
    </row>
    <row r="163" spans="1:68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8.3333333333333339</v>
      </c>
      <c r="Y163" s="43">
        <f>IFERROR(Y162/H162,"0")</f>
        <v>9</v>
      </c>
      <c r="Z163" s="43">
        <f>IFERROR(IF(Z162="",0,Z162),"0")</f>
        <v>5.0040000000000001E-2</v>
      </c>
      <c r="AA163" s="67"/>
      <c r="AB163" s="67"/>
      <c r="AC163" s="67"/>
    </row>
    <row r="164" spans="1:68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6</v>
      </c>
      <c r="Y164" s="43">
        <f>IFERROR(SUM(Y162:Y162),"0")</f>
        <v>6.4799999999999995</v>
      </c>
      <c r="Z164" s="42"/>
      <c r="AA164" s="67"/>
      <c r="AB164" s="67"/>
      <c r="AC164" s="67"/>
    </row>
    <row r="165" spans="1:68" ht="14.25" hidden="1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152</v>
      </c>
      <c r="Y166" s="55">
        <f t="shared" ref="Y166:Y177" si="10">IFERROR(IF(X166="",0,CEILING((X166/$H166),1)*$H166),"")</f>
        <v>154</v>
      </c>
      <c r="Z166" s="41">
        <f>IFERROR(IF(Y166=0,"",ROUNDUP(Y166/H166,0)*0.00902),"")</f>
        <v>0.39688000000000001</v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160.25142857142856</v>
      </c>
      <c r="BN166" s="78">
        <f t="shared" ref="BN166:BN177" si="12">IFERROR(Y166*I166/H166,"0")</f>
        <v>162.35999999999999</v>
      </c>
      <c r="BO166" s="78">
        <f t="shared" ref="BO166:BO177" si="13">IFERROR(1/J166*(X166/H166),"0")</f>
        <v>0.32900432900432902</v>
      </c>
      <c r="BP166" s="78">
        <f t="shared" ref="BP166:BP177" si="14">IFERROR(1/J166*(Y166/H166),"0")</f>
        <v>0.33333333333333337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169</v>
      </c>
      <c r="Y169" s="55">
        <f t="shared" si="10"/>
        <v>171.5</v>
      </c>
      <c r="Z169" s="41">
        <f>IFERROR(IF(Y169=0,"",ROUNDUP(Y169/H169,0)*0.00902),"")</f>
        <v>0.44198000000000004</v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178.17428571428573</v>
      </c>
      <c r="BN169" s="78">
        <f t="shared" si="12"/>
        <v>180.81</v>
      </c>
      <c r="BO169" s="78">
        <f t="shared" si="13"/>
        <v>0.36580086580086579</v>
      </c>
      <c r="BP169" s="78">
        <f t="shared" si="14"/>
        <v>0.37121212121212122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149</v>
      </c>
      <c r="Y170" s="55">
        <f t="shared" si="10"/>
        <v>150.5</v>
      </c>
      <c r="Z170" s="41">
        <f>IFERROR(IF(Y170=0,"",ROUNDUP(Y170/H170,0)*0.00902),"")</f>
        <v>0.38785999999999998</v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157.08857142857141</v>
      </c>
      <c r="BN170" s="78">
        <f t="shared" si="12"/>
        <v>158.67000000000002</v>
      </c>
      <c r="BO170" s="78">
        <f t="shared" si="13"/>
        <v>0.32251082251082253</v>
      </c>
      <c r="BP170" s="78">
        <f t="shared" si="14"/>
        <v>0.32575757575757575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6</v>
      </c>
      <c r="Y171" s="55">
        <f t="shared" si="10"/>
        <v>6.3</v>
      </c>
      <c r="Z171" s="41">
        <f>IFERROR(IF(Y171=0,"",ROUNDUP(Y171/H171,0)*0.00417),"")</f>
        <v>2.9190000000000001E-2</v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7.4</v>
      </c>
      <c r="BN171" s="78">
        <f t="shared" si="12"/>
        <v>7.7700000000000005</v>
      </c>
      <c r="BO171" s="78">
        <f t="shared" si="13"/>
        <v>1.9841269841269837E-2</v>
      </c>
      <c r="BP171" s="78">
        <f t="shared" si="14"/>
        <v>2.0833333333333332E-2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88</v>
      </c>
      <c r="Y172" s="55">
        <f t="shared" si="10"/>
        <v>89.039999999999992</v>
      </c>
      <c r="Z172" s="41">
        <f>IFERROR(IF(Y172=0,"",ROUNDUP(Y172/H172,0)*0.00502),"")</f>
        <v>0.26606000000000002</v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93.238095238095255</v>
      </c>
      <c r="BN172" s="78">
        <f t="shared" si="12"/>
        <v>94.34</v>
      </c>
      <c r="BO172" s="78">
        <f t="shared" si="13"/>
        <v>0.22385022385022388</v>
      </c>
      <c r="BP172" s="78">
        <f t="shared" si="14"/>
        <v>0.22649572649572652</v>
      </c>
    </row>
    <row r="173" spans="1:68" ht="27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1.9999999999999998</v>
      </c>
      <c r="Y173" s="55">
        <f t="shared" si="10"/>
        <v>2.7</v>
      </c>
      <c r="Z173" s="41">
        <f>IFERROR(IF(Y173=0,"",ROUNDUP(Y173/H173,0)*0.00417),"")</f>
        <v>1.251E-2</v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2.4666666666666663</v>
      </c>
      <c r="BN173" s="78">
        <f t="shared" si="12"/>
        <v>3.33</v>
      </c>
      <c r="BO173" s="78">
        <f t="shared" si="13"/>
        <v>6.6137566137566125E-3</v>
      </c>
      <c r="BP173" s="78">
        <f t="shared" si="14"/>
        <v>8.9285714285714281E-3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67</v>
      </c>
      <c r="Y175" s="55">
        <f t="shared" si="10"/>
        <v>67.2</v>
      </c>
      <c r="Z175" s="41">
        <f>IFERROR(IF(Y175=0,"",ROUNDUP(Y175/H175,0)*0.00502),"")</f>
        <v>0.20080000000000001</v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70.988095238095241</v>
      </c>
      <c r="BN175" s="78">
        <f t="shared" si="12"/>
        <v>71.200000000000017</v>
      </c>
      <c r="BO175" s="78">
        <f t="shared" si="13"/>
        <v>0.17043142043142046</v>
      </c>
      <c r="BP175" s="78">
        <f t="shared" si="14"/>
        <v>0.17094017094017094</v>
      </c>
    </row>
    <row r="176" spans="1:68" ht="27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0.99999999999999989</v>
      </c>
      <c r="Y176" s="55">
        <f t="shared" si="10"/>
        <v>1.8</v>
      </c>
      <c r="Z176" s="41">
        <f>IFERROR(IF(Y176=0,"",ROUNDUP(Y176/H176,0)*0.00417),"")</f>
        <v>8.3400000000000002E-3</v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1.1111111111111109</v>
      </c>
      <c r="BN176" s="78">
        <f t="shared" si="12"/>
        <v>2</v>
      </c>
      <c r="BO176" s="78">
        <f t="shared" si="13"/>
        <v>3.3068783068783063E-3</v>
      </c>
      <c r="BP176" s="78">
        <f t="shared" si="14"/>
        <v>5.9523809523809521E-3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41.999999999999993</v>
      </c>
      <c r="Y177" s="55">
        <f t="shared" si="10"/>
        <v>42</v>
      </c>
      <c r="Z177" s="41">
        <f>IFERROR(IF(Y177=0,"",ROUNDUP(Y177/H177,0)*0.00502),"")</f>
        <v>0.1255</v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44.499999999999993</v>
      </c>
      <c r="BN177" s="78">
        <f t="shared" si="12"/>
        <v>44.500000000000007</v>
      </c>
      <c r="BO177" s="78">
        <f t="shared" si="13"/>
        <v>0.10683760683760683</v>
      </c>
      <c r="BP177" s="78">
        <f t="shared" si="14"/>
        <v>0.10683760683760685</v>
      </c>
    </row>
    <row r="178" spans="1:68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261.54761904761904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266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1.8691200000000001</v>
      </c>
      <c r="AA178" s="67"/>
      <c r="AB178" s="67"/>
      <c r="AC178" s="67"/>
    </row>
    <row r="179" spans="1:68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676</v>
      </c>
      <c r="Y179" s="43">
        <f>IFERROR(SUM(Y166:Y177),"0")</f>
        <v>685.04000000000008</v>
      </c>
      <c r="Z179" s="42"/>
      <c r="AA179" s="67"/>
      <c r="AB179" s="67"/>
      <c r="AC179" s="67"/>
    </row>
    <row r="180" spans="1:68" ht="14.25" hidden="1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hidden="1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hidden="1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hidden="1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28</v>
      </c>
      <c r="Y213" s="55">
        <f t="shared" ref="Y213:Y226" si="21">IFERROR(IF(X213="",0,CEILING((X213/$H213),1)*$H213),"")</f>
        <v>29.400000000000002</v>
      </c>
      <c r="Z213" s="41">
        <f>IFERROR(IF(Y213=0,"",ROUNDUP(Y213/H213,0)*0.00902),"")</f>
        <v>6.3140000000000002E-2</v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29.666666666666668</v>
      </c>
      <c r="BN213" s="78">
        <f t="shared" ref="BN213:BN226" si="23">IFERROR(Y213*I213/H213,"0")</f>
        <v>31.150000000000002</v>
      </c>
      <c r="BO213" s="78">
        <f t="shared" ref="BO213:BO226" si="24">IFERROR(1/J213*(X213/H213),"0")</f>
        <v>5.0505050505050504E-2</v>
      </c>
      <c r="BP213" s="78">
        <f t="shared" ref="BP213:BP226" si="25">IFERROR(1/J213*(Y213/H213),"0")</f>
        <v>5.3030303030303032E-2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21</v>
      </c>
      <c r="Y214" s="55">
        <f t="shared" si="21"/>
        <v>21</v>
      </c>
      <c r="Z214" s="41">
        <f>IFERROR(IF(Y214=0,"",ROUNDUP(Y214/H214,0)*0.00902),"")</f>
        <v>4.5100000000000001E-2</v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22.25</v>
      </c>
      <c r="BN214" s="78">
        <f t="shared" si="23"/>
        <v>22.25</v>
      </c>
      <c r="BO214" s="78">
        <f t="shared" si="24"/>
        <v>3.787878787878788E-2</v>
      </c>
      <c r="BP214" s="78">
        <f t="shared" si="25"/>
        <v>3.787878787878788E-2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30</v>
      </c>
      <c r="Y215" s="55">
        <f t="shared" si="21"/>
        <v>33.6</v>
      </c>
      <c r="Z215" s="41">
        <f>IFERROR(IF(Y215=0,"",ROUNDUP(Y215/H215,0)*0.00902),"")</f>
        <v>7.2160000000000002E-2</v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31.357142857142854</v>
      </c>
      <c r="BN215" s="78">
        <f t="shared" si="23"/>
        <v>35.119999999999997</v>
      </c>
      <c r="BO215" s="78">
        <f t="shared" si="24"/>
        <v>5.4112554112554112E-2</v>
      </c>
      <c r="BP215" s="78">
        <f t="shared" si="25"/>
        <v>6.0606060606060608E-2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5</v>
      </c>
      <c r="Y216" s="55">
        <f t="shared" si="21"/>
        <v>5.6000000000000005</v>
      </c>
      <c r="Z216" s="41">
        <f>IFERROR(IF(Y216=0,"",ROUNDUP(Y216/H216,0)*0.00556),"")</f>
        <v>3.8919999999999996E-2</v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5.8125</v>
      </c>
      <c r="BN216" s="78">
        <f t="shared" si="23"/>
        <v>6.5100000000000007</v>
      </c>
      <c r="BO216" s="78">
        <f t="shared" si="24"/>
        <v>2.48015873015873E-2</v>
      </c>
      <c r="BP216" s="78">
        <f t="shared" si="25"/>
        <v>2.7777777777777776E-2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60</v>
      </c>
      <c r="Y217" s="55">
        <f t="shared" si="21"/>
        <v>60.900000000000006</v>
      </c>
      <c r="Z217" s="41">
        <f t="shared" ref="Z217:Z222" si="26">IFERROR(IF(Y217=0,"",ROUNDUP(Y217/H217,0)*0.00502),"")</f>
        <v>0.14558000000000001</v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63.714285714285715</v>
      </c>
      <c r="BN217" s="78">
        <f t="shared" si="23"/>
        <v>64.67</v>
      </c>
      <c r="BO217" s="78">
        <f t="shared" si="24"/>
        <v>0.12210012210012211</v>
      </c>
      <c r="BP217" s="78">
        <f t="shared" si="25"/>
        <v>0.12393162393162395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87</v>
      </c>
      <c r="Y219" s="55">
        <f t="shared" si="21"/>
        <v>88.2</v>
      </c>
      <c r="Z219" s="41">
        <f t="shared" si="26"/>
        <v>0.21084</v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92.385714285714272</v>
      </c>
      <c r="BN219" s="78">
        <f t="shared" si="23"/>
        <v>93.66</v>
      </c>
      <c r="BO219" s="78">
        <f t="shared" si="24"/>
        <v>0.17704517704517705</v>
      </c>
      <c r="BP219" s="78">
        <f t="shared" si="25"/>
        <v>0.17948717948717952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3</v>
      </c>
      <c r="Y223" s="55">
        <f t="shared" si="21"/>
        <v>3.2</v>
      </c>
      <c r="Z223" s="41">
        <f>IFERROR(IF(Y223=0,"",ROUNDUP(Y223/H223,0)*0.00417),"")</f>
        <v>1.668E-2</v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3.7875000000000001</v>
      </c>
      <c r="BN223" s="78">
        <f t="shared" si="23"/>
        <v>4.04</v>
      </c>
      <c r="BO223" s="78">
        <f t="shared" si="24"/>
        <v>1.1160714285714284E-2</v>
      </c>
      <c r="BP223" s="78">
        <f t="shared" si="25"/>
        <v>1.1904761904761904E-2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125.99999999999999</v>
      </c>
      <c r="Y224" s="55">
        <f t="shared" si="21"/>
        <v>126</v>
      </c>
      <c r="Z224" s="41">
        <f>IFERROR(IF(Y224=0,"",ROUNDUP(Y224/H224,0)*0.00502),"")</f>
        <v>0.30120000000000002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132</v>
      </c>
      <c r="BN224" s="78">
        <f t="shared" si="23"/>
        <v>132.00000000000003</v>
      </c>
      <c r="BO224" s="78">
        <f t="shared" si="24"/>
        <v>0.25641025641025639</v>
      </c>
      <c r="BP224" s="78">
        <f t="shared" si="25"/>
        <v>0.25641025641025644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158.8095238095238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162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0.89362000000000008</v>
      </c>
      <c r="AA227" s="67"/>
      <c r="AB227" s="67"/>
      <c r="AC227" s="67"/>
    </row>
    <row r="228" spans="1:68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360</v>
      </c>
      <c r="Y228" s="43">
        <f>IFERROR(SUM(Y213:Y226),"0")</f>
        <v>367.9</v>
      </c>
      <c r="Z228" s="42"/>
      <c r="AA228" s="67"/>
      <c r="AB228" s="67"/>
      <c r="AC228" s="67"/>
    </row>
    <row r="229" spans="1:68" ht="14.25" hidden="1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4</v>
      </c>
      <c r="Y238" s="55">
        <f>IFERROR(IF(X238="",0,CEILING((X238/$H238),1)*$H238),"")</f>
        <v>5.04</v>
      </c>
      <c r="Z238" s="41">
        <f>IFERROR(IF(Y238=0,"",ROUNDUP(Y238/H238,0)*0.0059),"")</f>
        <v>2.3599999999999999E-2</v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4.6031746031746028</v>
      </c>
      <c r="BN238" s="78">
        <f>IFERROR(Y238*I238/H238,"0")</f>
        <v>5.8</v>
      </c>
      <c r="BO238" s="78">
        <f>IFERROR(1/J238*(X238/H238),"0")</f>
        <v>1.469723691945914E-2</v>
      </c>
      <c r="BP238" s="78">
        <f>IFERROR(1/J238*(Y238/H238),"0")</f>
        <v>1.8518518518518517E-2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7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2.5720164609053495E-2</v>
      </c>
      <c r="BP239" s="78">
        <f>IFERROR(1/J239*(Y239/H239),"0")</f>
        <v>2.7777777777777776E-2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6</v>
      </c>
      <c r="Y240" s="55">
        <f>IFERROR(IF(X240="",0,CEILING((X240/$H240),1)*$H240),"")</f>
        <v>6.3</v>
      </c>
      <c r="Z240" s="41">
        <f>IFERROR(IF(Y240=0,"",ROUNDUP(Y240/H240,0)*0.0059),"")</f>
        <v>2.9499999999999998E-2</v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6.9047619047619042</v>
      </c>
      <c r="BN240" s="78">
        <f>IFERROR(Y240*I240/H240,"0")</f>
        <v>7.25</v>
      </c>
      <c r="BO240" s="78">
        <f>IFERROR(1/J240*(X240/H240),"0")</f>
        <v>2.2045855379188711E-2</v>
      </c>
      <c r="BP240" s="78">
        <f>IFERROR(1/J240*(Y240/H240),"0")</f>
        <v>2.3148148148148147E-2</v>
      </c>
    </row>
    <row r="241" spans="1:68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13.49206349206349</v>
      </c>
      <c r="Y241" s="43">
        <f>IFERROR(Y238/H238,"0")+IFERROR(Y239/H239,"0")+IFERROR(Y240/H240,"0")</f>
        <v>15</v>
      </c>
      <c r="Z241" s="43">
        <f>IFERROR(IF(Z238="",0,Z238),"0")+IFERROR(IF(Z239="",0,Z239),"0")+IFERROR(IF(Z240="",0,Z240),"0")</f>
        <v>8.8499999999999995E-2</v>
      </c>
      <c r="AA241" s="67"/>
      <c r="AB241" s="67"/>
      <c r="AC241" s="67"/>
    </row>
    <row r="242" spans="1:68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17</v>
      </c>
      <c r="Y242" s="43">
        <f>IFERROR(SUM(Y238:Y240),"0")</f>
        <v>18.900000000000002</v>
      </c>
      <c r="Z242" s="42"/>
      <c r="AA242" s="67"/>
      <c r="AB242" s="67"/>
      <c r="AC242" s="67"/>
    </row>
    <row r="243" spans="1:68" ht="14.25" hidden="1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5</v>
      </c>
      <c r="Y244" s="55">
        <f>IFERROR(IF(X244="",0,CEILING((X244/$H244),1)*$H244),"")</f>
        <v>5.04</v>
      </c>
      <c r="Z244" s="41">
        <f>IFERROR(IF(Y244=0,"",ROUNDUP(Y244/H244,0)*0.0059),"")</f>
        <v>2.3599999999999999E-2</v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5.753968253968254</v>
      </c>
      <c r="BN244" s="78">
        <f>IFERROR(Y244*I244/H244,"0")</f>
        <v>5.8</v>
      </c>
      <c r="BO244" s="78">
        <f>IFERROR(1/J244*(X244/H244),"0")</f>
        <v>1.8371546149323927E-2</v>
      </c>
      <c r="BP244" s="78">
        <f>IFERROR(1/J244*(Y244/H244),"0")</f>
        <v>1.8518518518518517E-2</v>
      </c>
    </row>
    <row r="245" spans="1:68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3.9682539682539684</v>
      </c>
      <c r="Y245" s="43">
        <f>IFERROR(Y244/H244,"0")</f>
        <v>4</v>
      </c>
      <c r="Z245" s="43">
        <f>IFERROR(IF(Z244="",0,Z244),"0")</f>
        <v>2.3599999999999999E-2</v>
      </c>
      <c r="AA245" s="67"/>
      <c r="AB245" s="67"/>
      <c r="AC245" s="67"/>
    </row>
    <row r="246" spans="1:68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5</v>
      </c>
      <c r="Y246" s="43">
        <f>IFERROR(SUM(Y244:Y244),"0")</f>
        <v>5.04</v>
      </c>
      <c r="Z246" s="42"/>
      <c r="AA246" s="67"/>
      <c r="AB246" s="67"/>
      <c r="AC246" s="67"/>
    </row>
    <row r="247" spans="1:68" ht="16.5" hidden="1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220</v>
      </c>
      <c r="Y259" s="55">
        <f t="shared" ref="Y259:Y266" si="27">IFERROR(IF(X259="",0,CEILING((X259/$H259),1)*$H259),"")</f>
        <v>221.4</v>
      </c>
      <c r="Z259" s="41">
        <f>IFERROR(IF(Y259=0,"",ROUNDUP(Y259/H259,0)*0.00902),"")</f>
        <v>0.36982000000000004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227.7407407407407</v>
      </c>
      <c r="BN259" s="78">
        <f t="shared" ref="BN259:BN266" si="29">IFERROR(Y259*I259/H259,"0")</f>
        <v>229.18999999999997</v>
      </c>
      <c r="BO259" s="78">
        <f t="shared" ref="BO259:BO266" si="30">IFERROR(1/J259*(X259/H259),"0")</f>
        <v>0.30864197530864196</v>
      </c>
      <c r="BP259" s="78">
        <f t="shared" ref="BP259:BP266" si="31">IFERROR(1/J259*(Y259/H259),"0")</f>
        <v>0.31060606060606061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37</v>
      </c>
      <c r="Y260" s="55">
        <f t="shared" si="27"/>
        <v>37.800000000000004</v>
      </c>
      <c r="Z260" s="41">
        <f>IFERROR(IF(Y260=0,"",ROUNDUP(Y260/H260,0)*0.00902),"")</f>
        <v>6.3140000000000002E-2</v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38.301851851851843</v>
      </c>
      <c r="BN260" s="78">
        <f t="shared" si="29"/>
        <v>39.130000000000003</v>
      </c>
      <c r="BO260" s="78">
        <f t="shared" si="30"/>
        <v>5.1907968574635241E-2</v>
      </c>
      <c r="BP260" s="78">
        <f t="shared" si="31"/>
        <v>5.3030303030303032E-2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127</v>
      </c>
      <c r="Y261" s="55">
        <f t="shared" si="27"/>
        <v>129.60000000000002</v>
      </c>
      <c r="Z261" s="41">
        <f>IFERROR(IF(Y261=0,"",ROUNDUP(Y261/H261,0)*0.00902),"")</f>
        <v>0.21648000000000001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131.46851851851849</v>
      </c>
      <c r="BN261" s="78">
        <f t="shared" si="29"/>
        <v>134.16</v>
      </c>
      <c r="BO261" s="78">
        <f t="shared" si="30"/>
        <v>0.1781705948372615</v>
      </c>
      <c r="BP261" s="78">
        <f t="shared" si="31"/>
        <v>0.18181818181818185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51</v>
      </c>
      <c r="Y262" s="55">
        <f t="shared" si="27"/>
        <v>54</v>
      </c>
      <c r="Z262" s="41">
        <f>IFERROR(IF(Y262=0,"",ROUNDUP(Y262/H262,0)*0.00902),"")</f>
        <v>9.0200000000000002E-2</v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52.794444444444437</v>
      </c>
      <c r="BN262" s="78">
        <f t="shared" si="29"/>
        <v>55.9</v>
      </c>
      <c r="BO262" s="78">
        <f t="shared" si="30"/>
        <v>7.1548821548821556E-2</v>
      </c>
      <c r="BP262" s="78">
        <f t="shared" si="31"/>
        <v>7.575757575757576E-2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99</v>
      </c>
      <c r="Y263" s="55">
        <f t="shared" si="27"/>
        <v>99</v>
      </c>
      <c r="Z263" s="41">
        <f>IFERROR(IF(Y263=0,"",ROUNDUP(Y263/H263,0)*0.00502),"")</f>
        <v>0.27610000000000001</v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106.14999999999999</v>
      </c>
      <c r="BN263" s="78">
        <f t="shared" si="29"/>
        <v>106.14999999999999</v>
      </c>
      <c r="BO263" s="78">
        <f t="shared" si="30"/>
        <v>0.23504273504273507</v>
      </c>
      <c r="BP263" s="78">
        <f t="shared" si="31"/>
        <v>0.23504273504273507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41.000000000000007</v>
      </c>
      <c r="Y264" s="55">
        <f t="shared" si="27"/>
        <v>41.4</v>
      </c>
      <c r="Z264" s="41">
        <f>IFERROR(IF(Y264=0,"",ROUNDUP(Y264/H264,0)*0.00502),"")</f>
        <v>0.11546000000000001</v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43.277777777777779</v>
      </c>
      <c r="BN264" s="78">
        <f t="shared" si="29"/>
        <v>43.699999999999996</v>
      </c>
      <c r="BO264" s="78">
        <f t="shared" si="30"/>
        <v>9.734093067426404E-2</v>
      </c>
      <c r="BP264" s="78">
        <f t="shared" si="31"/>
        <v>9.8290598290598302E-2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82.000000000000014</v>
      </c>
      <c r="Y265" s="55">
        <f t="shared" si="27"/>
        <v>82.8</v>
      </c>
      <c r="Z265" s="41">
        <f>IFERROR(IF(Y265=0,"",ROUNDUP(Y265/H265,0)*0.00502),"")</f>
        <v>0.23092000000000001</v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86.555555555555557</v>
      </c>
      <c r="BN265" s="78">
        <f t="shared" si="29"/>
        <v>87.399999999999991</v>
      </c>
      <c r="BO265" s="78">
        <f t="shared" si="30"/>
        <v>0.19468186134852808</v>
      </c>
      <c r="BP265" s="78">
        <f t="shared" si="31"/>
        <v>0.1965811965811966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40</v>
      </c>
      <c r="Y266" s="55">
        <f t="shared" si="27"/>
        <v>41.4</v>
      </c>
      <c r="Z266" s="41">
        <f>IFERROR(IF(Y266=0,"",ROUNDUP(Y266/H266,0)*0.00502),"")</f>
        <v>0.11546000000000001</v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42.222222222222221</v>
      </c>
      <c r="BN266" s="78">
        <f t="shared" si="29"/>
        <v>43.699999999999996</v>
      </c>
      <c r="BO266" s="78">
        <f t="shared" si="30"/>
        <v>9.4966761633428307E-2</v>
      </c>
      <c r="BP266" s="78">
        <f t="shared" si="31"/>
        <v>9.8290598290598302E-2</v>
      </c>
    </row>
    <row r="267" spans="1:68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226.11111111111111</v>
      </c>
      <c r="Y267" s="43">
        <f>IFERROR(Y259/H259,"0")+IFERROR(Y260/H260,"0")+IFERROR(Y261/H261,"0")+IFERROR(Y262/H262,"0")+IFERROR(Y263/H263,"0")+IFERROR(Y264/H264,"0")+IFERROR(Y265/H265,"0")+IFERROR(Y266/H266,"0")</f>
        <v>229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1.4775800000000001</v>
      </c>
      <c r="AA267" s="67"/>
      <c r="AB267" s="67"/>
      <c r="AC267" s="67"/>
    </row>
    <row r="268" spans="1:68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697</v>
      </c>
      <c r="Y268" s="43">
        <f>IFERROR(SUM(Y259:Y266),"0")</f>
        <v>707.39999999999986</v>
      </c>
      <c r="Z268" s="42"/>
      <c r="AA268" s="67"/>
      <c r="AB268" s="67"/>
      <c r="AC268" s="67"/>
    </row>
    <row r="269" spans="1:68" ht="14.25" hidden="1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273</v>
      </c>
      <c r="Y272" s="55">
        <f t="shared" si="32"/>
        <v>278.39999999999998</v>
      </c>
      <c r="Z272" s="41">
        <f>IFERROR(IF(Y272=0,"",ROUNDUP(Y272/H272,0)*0.01898),"")</f>
        <v>0.60736000000000001</v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288.50137931034493</v>
      </c>
      <c r="BN272" s="78">
        <f t="shared" si="34"/>
        <v>294.20800000000003</v>
      </c>
      <c r="BO272" s="78">
        <f t="shared" si="35"/>
        <v>0.49030172413793105</v>
      </c>
      <c r="BP272" s="78">
        <f t="shared" si="36"/>
        <v>0.5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311</v>
      </c>
      <c r="Y273" s="55">
        <f t="shared" si="32"/>
        <v>312</v>
      </c>
      <c r="Z273" s="41">
        <f>IFERROR(IF(Y273=0,"",ROUNDUP(Y273/H273,0)*0.00651),"")</f>
        <v>0.84630000000000005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345.98750000000001</v>
      </c>
      <c r="BN273" s="78">
        <f t="shared" si="34"/>
        <v>347.1</v>
      </c>
      <c r="BO273" s="78">
        <f t="shared" si="35"/>
        <v>0.71199633699633713</v>
      </c>
      <c r="BP273" s="78">
        <f t="shared" si="36"/>
        <v>0.7142857142857143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296</v>
      </c>
      <c r="Y276" s="55">
        <f t="shared" si="32"/>
        <v>297.59999999999997</v>
      </c>
      <c r="Z276" s="41">
        <f>IFERROR(IF(Y276=0,"",ROUNDUP(Y276/H276,0)*0.00651),"")</f>
        <v>0.80724000000000007</v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327.08000000000004</v>
      </c>
      <c r="BN276" s="78">
        <f t="shared" si="34"/>
        <v>328.84800000000001</v>
      </c>
      <c r="BO276" s="78">
        <f t="shared" si="35"/>
        <v>0.6776556776556778</v>
      </c>
      <c r="BP276" s="78">
        <f t="shared" si="36"/>
        <v>0.68131868131868134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63</v>
      </c>
      <c r="Y279" s="55">
        <f t="shared" si="32"/>
        <v>64.8</v>
      </c>
      <c r="Z279" s="41">
        <f>IFERROR(IF(Y279=0,"",ROUNDUP(Y279/H279,0)*0.00651),"")</f>
        <v>0.17577000000000001</v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69.615000000000009</v>
      </c>
      <c r="BN279" s="78">
        <f t="shared" si="34"/>
        <v>71.604000000000013</v>
      </c>
      <c r="BO279" s="78">
        <f t="shared" si="35"/>
        <v>0.14423076923076925</v>
      </c>
      <c r="BP279" s="78">
        <f t="shared" si="36"/>
        <v>0.14835164835164835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223</v>
      </c>
      <c r="Y280" s="55">
        <f t="shared" si="32"/>
        <v>223.2</v>
      </c>
      <c r="Z280" s="41">
        <f>IFERROR(IF(Y280=0,"",ROUNDUP(Y280/H280,0)*0.00651),"")</f>
        <v>0.60543000000000002</v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246.97250000000003</v>
      </c>
      <c r="BN280" s="78">
        <f t="shared" si="34"/>
        <v>247.19399999999999</v>
      </c>
      <c r="BO280" s="78">
        <f t="shared" si="35"/>
        <v>0.5105311355311356</v>
      </c>
      <c r="BP280" s="78">
        <f t="shared" si="36"/>
        <v>0.51098901098901106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403.46264367816099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406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3.0421000000000005</v>
      </c>
      <c r="AA282" s="67"/>
      <c r="AB282" s="67"/>
      <c r="AC282" s="67"/>
    </row>
    <row r="283" spans="1:68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1166</v>
      </c>
      <c r="Y283" s="43">
        <f>IFERROR(SUM(Y270:Y281),"0")</f>
        <v>1176</v>
      </c>
      <c r="Z283" s="42"/>
      <c r="AA283" s="67"/>
      <c r="AB283" s="67"/>
      <c r="AC283" s="67"/>
    </row>
    <row r="284" spans="1:68" ht="14.25" hidden="1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24</v>
      </c>
      <c r="Y285" s="55">
        <f>IFERROR(IF(X285="",0,CEILING((X285/$H285),1)*$H285),"")</f>
        <v>24</v>
      </c>
      <c r="Z285" s="41">
        <f>IFERROR(IF(Y285=0,"",ROUNDUP(Y285/H285,0)*0.00651),"")</f>
        <v>6.5100000000000005E-2</v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26.520000000000003</v>
      </c>
      <c r="BN285" s="78">
        <f>IFERROR(Y285*I285/H285,"0")</f>
        <v>26.520000000000003</v>
      </c>
      <c r="BO285" s="78">
        <f>IFERROR(1/J285*(X285/H285),"0")</f>
        <v>5.4945054945054951E-2</v>
      </c>
      <c r="BP285" s="78">
        <f>IFERROR(1/J285*(Y285/H285),"0")</f>
        <v>5.4945054945054951E-2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99</v>
      </c>
      <c r="Y286" s="55">
        <f>IFERROR(IF(X286="",0,CEILING((X286/$H286),1)*$H286),"")</f>
        <v>100.8</v>
      </c>
      <c r="Z286" s="41">
        <f>IFERROR(IF(Y286=0,"",ROUNDUP(Y286/H286,0)*0.00651),"")</f>
        <v>0.27342</v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109.39500000000001</v>
      </c>
      <c r="BN286" s="78">
        <f>IFERROR(Y286*I286/H286,"0")</f>
        <v>111.384</v>
      </c>
      <c r="BO286" s="78">
        <f>IFERROR(1/J286*(X286/H286),"0")</f>
        <v>0.22664835164835168</v>
      </c>
      <c r="BP286" s="78">
        <f>IFERROR(1/J286*(Y286/H286),"0")</f>
        <v>0.23076923076923078</v>
      </c>
    </row>
    <row r="287" spans="1:68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51.25</v>
      </c>
      <c r="Y287" s="43">
        <f>IFERROR(Y285/H285,"0")+IFERROR(Y286/H286,"0")</f>
        <v>52</v>
      </c>
      <c r="Z287" s="43">
        <f>IFERROR(IF(Z285="",0,Z285),"0")+IFERROR(IF(Z286="",0,Z286),"0")</f>
        <v>0.33851999999999999</v>
      </c>
      <c r="AA287" s="67"/>
      <c r="AB287" s="67"/>
      <c r="AC287" s="67"/>
    </row>
    <row r="288" spans="1:68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123</v>
      </c>
      <c r="Y288" s="43">
        <f>IFERROR(SUM(Y285:Y286),"0")</f>
        <v>124.8</v>
      </c>
      <c r="Z288" s="42"/>
      <c r="AA288" s="67"/>
      <c r="AB288" s="67"/>
      <c r="AC288" s="67"/>
    </row>
    <row r="289" spans="1:68" ht="16.5" hidden="1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6</v>
      </c>
      <c r="Y291" s="55">
        <f t="shared" ref="Y291:Y297" si="37">IFERROR(IF(X291="",0,CEILING((X291/$H291),1)*$H291),"")</f>
        <v>11.6</v>
      </c>
      <c r="Z291" s="41">
        <f>IFERROR(IF(Y291=0,"",ROUNDUP(Y291/H291,0)*0.01898),"")</f>
        <v>1.898E-2</v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6.2120689655172416</v>
      </c>
      <c r="BN291" s="78">
        <f t="shared" ref="BN291:BN297" si="39">IFERROR(Y291*I291/H291,"0")</f>
        <v>12.01</v>
      </c>
      <c r="BO291" s="78">
        <f t="shared" ref="BO291:BO297" si="40">IFERROR(1/J291*(X291/H291),"0")</f>
        <v>8.0818965517241385E-3</v>
      </c>
      <c r="BP291" s="78">
        <f t="shared" ref="BP291:BP297" si="41">IFERROR(1/J291*(Y291/H291),"0")</f>
        <v>1.5625E-2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35</v>
      </c>
      <c r="Y293" s="55">
        <f t="shared" si="37"/>
        <v>46.4</v>
      </c>
      <c r="Z293" s="41">
        <f>IFERROR(IF(Y293=0,"",ROUNDUP(Y293/H293,0)*0.01898),"")</f>
        <v>7.5920000000000001E-2</v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36.237068965517238</v>
      </c>
      <c r="BN293" s="78">
        <f t="shared" si="39"/>
        <v>48.04</v>
      </c>
      <c r="BO293" s="78">
        <f t="shared" si="40"/>
        <v>4.7144396551724137E-2</v>
      </c>
      <c r="BP293" s="78">
        <f t="shared" si="41"/>
        <v>6.25E-2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19</v>
      </c>
      <c r="Y294" s="55">
        <f t="shared" si="37"/>
        <v>20</v>
      </c>
      <c r="Z294" s="41">
        <f>IFERROR(IF(Y294=0,"",ROUNDUP(Y294/H294,0)*0.00902),"")</f>
        <v>4.5100000000000001E-2</v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19.902500000000003</v>
      </c>
      <c r="BN294" s="78">
        <f t="shared" si="39"/>
        <v>20.950000000000003</v>
      </c>
      <c r="BO294" s="78">
        <f t="shared" si="40"/>
        <v>3.5984848484848488E-2</v>
      </c>
      <c r="BP294" s="78">
        <f t="shared" si="41"/>
        <v>3.787878787878788E-2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44</v>
      </c>
      <c r="Y297" s="55">
        <f t="shared" si="37"/>
        <v>44</v>
      </c>
      <c r="Z297" s="41">
        <f>IFERROR(IF(Y297=0,"",ROUNDUP(Y297/H297,0)*0.00902),"")</f>
        <v>9.9220000000000003E-2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46.09</v>
      </c>
      <c r="BN297" s="78">
        <f t="shared" si="39"/>
        <v>46.09</v>
      </c>
      <c r="BO297" s="78">
        <f t="shared" si="40"/>
        <v>8.3333333333333343E-2</v>
      </c>
      <c r="BP297" s="78">
        <f t="shared" si="41"/>
        <v>8.3333333333333343E-2</v>
      </c>
    </row>
    <row r="298" spans="1:68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19.28448275862069</v>
      </c>
      <c r="Y298" s="43">
        <f>IFERROR(Y291/H291,"0")+IFERROR(Y292/H292,"0")+IFERROR(Y293/H293,"0")+IFERROR(Y294/H294,"0")+IFERROR(Y295/H295,"0")+IFERROR(Y296/H296,"0")+IFERROR(Y297/H297,"0")</f>
        <v>21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0.23922000000000002</v>
      </c>
      <c r="AA298" s="67"/>
      <c r="AB298" s="67"/>
      <c r="AC298" s="67"/>
    </row>
    <row r="299" spans="1:68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104</v>
      </c>
      <c r="Y299" s="43">
        <f>IFERROR(SUM(Y291:Y297),"0")</f>
        <v>122</v>
      </c>
      <c r="Z299" s="42"/>
      <c r="AA299" s="67"/>
      <c r="AB299" s="67"/>
      <c r="AC299" s="67"/>
    </row>
    <row r="300" spans="1:68" ht="14.25" hidden="1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7</v>
      </c>
      <c r="Y305" s="55">
        <f>IFERROR(IF(X305="",0,CEILING((X305/$H305),1)*$H305),"")</f>
        <v>7.2</v>
      </c>
      <c r="Z305" s="41">
        <f>IFERROR(IF(Y305=0,"",ROUNDUP(Y305/H305,0)*0.0059),"")</f>
        <v>2.3599999999999999E-2</v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7.6805555555555562</v>
      </c>
      <c r="BN305" s="78">
        <f>IFERROR(Y305*I305/H305,"0")</f>
        <v>7.9</v>
      </c>
      <c r="BO305" s="78">
        <f>IFERROR(1/J305*(X305/H305),"0")</f>
        <v>1.8004115226337446E-2</v>
      </c>
      <c r="BP305" s="78">
        <f>IFERROR(1/J305*(Y305/H305),"0")</f>
        <v>1.8518518518518517E-2</v>
      </c>
    </row>
    <row r="306" spans="1:68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3.8888888888888888</v>
      </c>
      <c r="Y306" s="43">
        <f>IFERROR(Y305/H305,"0")</f>
        <v>4</v>
      </c>
      <c r="Z306" s="43">
        <f>IFERROR(IF(Z305="",0,Z305),"0")</f>
        <v>2.3599999999999999E-2</v>
      </c>
      <c r="AA306" s="67"/>
      <c r="AB306" s="67"/>
      <c r="AC306" s="67"/>
    </row>
    <row r="307" spans="1:68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7</v>
      </c>
      <c r="Y307" s="43">
        <f>IFERROR(SUM(Y305:Y305),"0")</f>
        <v>7.2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4</v>
      </c>
      <c r="Y310" s="55">
        <f>IFERROR(IF(X310="",0,CEILING((X310/$H310),1)*$H310),"")</f>
        <v>5.4</v>
      </c>
      <c r="Z310" s="41">
        <f>IFERROR(IF(Y310=0,"",ROUNDUP(Y310/H310,0)*0.0059),"")</f>
        <v>1.77E-2</v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4.3888888888888893</v>
      </c>
      <c r="BN310" s="78">
        <f>IFERROR(Y310*I310/H310,"0")</f>
        <v>5.9250000000000007</v>
      </c>
      <c r="BO310" s="78">
        <f>IFERROR(1/J310*(X310/H310),"0")</f>
        <v>1.0288065843621399E-2</v>
      </c>
      <c r="BP310" s="78">
        <f>IFERROR(1/J310*(Y310/H310),"0")</f>
        <v>1.3888888888888888E-2</v>
      </c>
    </row>
    <row r="311" spans="1:68" ht="27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2</v>
      </c>
      <c r="Y311" s="55">
        <f>IFERROR(IF(X311="",0,CEILING((X311/$H311),1)*$H311),"")</f>
        <v>2.7</v>
      </c>
      <c r="Z311" s="41">
        <f>IFERROR(IF(Y311=0,"",ROUNDUP(Y311/H311,0)*0.0059),"")</f>
        <v>1.77E-2</v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2.4222222222222225</v>
      </c>
      <c r="BN311" s="78">
        <f>IFERROR(Y311*I311/H311,"0")</f>
        <v>3.2700000000000005</v>
      </c>
      <c r="BO311" s="78">
        <f>IFERROR(1/J311*(X311/H311),"0")</f>
        <v>1.0288065843621399E-2</v>
      </c>
      <c r="BP311" s="78">
        <f>IFERROR(1/J311*(Y311/H311),"0")</f>
        <v>1.3888888888888888E-2</v>
      </c>
    </row>
    <row r="312" spans="1:68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4.4444444444444446</v>
      </c>
      <c r="Y312" s="43">
        <f>IFERROR(Y309/H309,"0")+IFERROR(Y310/H310,"0")+IFERROR(Y311/H311,"0")</f>
        <v>6</v>
      </c>
      <c r="Z312" s="43">
        <f>IFERROR(IF(Z309="",0,Z309),"0")+IFERROR(IF(Z310="",0,Z310),"0")+IFERROR(IF(Z311="",0,Z311),"0")</f>
        <v>3.5400000000000001E-2</v>
      </c>
      <c r="AA312" s="67"/>
      <c r="AB312" s="67"/>
      <c r="AC312" s="67"/>
    </row>
    <row r="313" spans="1:68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6</v>
      </c>
      <c r="Y313" s="43">
        <f>IFERROR(SUM(Y309:Y311),"0")</f>
        <v>8.1000000000000014</v>
      </c>
      <c r="Z313" s="42"/>
      <c r="AA313" s="67"/>
      <c r="AB313" s="67"/>
      <c r="AC313" s="67"/>
    </row>
    <row r="314" spans="1:68" ht="16.5" hidden="1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hidden="1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45</v>
      </c>
      <c r="Y326" s="55">
        <f>IFERROR(IF(X326="",0,CEILING((X326/$H326),1)*$H326),"")</f>
        <v>45.6</v>
      </c>
      <c r="Z326" s="41">
        <f>IFERROR(IF(Y326=0,"",ROUNDUP(Y326/H326,0)*0.00651),"")</f>
        <v>0.12369000000000001</v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49.725000000000001</v>
      </c>
      <c r="BN326" s="78">
        <f>IFERROR(Y326*I326/H326,"0")</f>
        <v>50.388000000000005</v>
      </c>
      <c r="BO326" s="78">
        <f>IFERROR(1/J326*(X326/H326),"0")</f>
        <v>0.10302197802197803</v>
      </c>
      <c r="BP326" s="78">
        <f>IFERROR(1/J326*(Y326/H326),"0")</f>
        <v>0.1043956043956044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239</v>
      </c>
      <c r="Y327" s="55">
        <f>IFERROR(IF(X327="",0,CEILING((X327/$H327),1)*$H327),"")</f>
        <v>240</v>
      </c>
      <c r="Z327" s="41">
        <f>IFERROR(IF(Y327=0,"",ROUNDUP(Y327/H327,0)*0.00651),"")</f>
        <v>0.65100000000000002</v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256.92500000000001</v>
      </c>
      <c r="BN327" s="78">
        <f>IFERROR(Y327*I327/H327,"0")</f>
        <v>258.00000000000006</v>
      </c>
      <c r="BO327" s="78">
        <f>IFERROR(1/J327*(X327/H327),"0")</f>
        <v>0.54716117216117222</v>
      </c>
      <c r="BP327" s="78">
        <f>IFERROR(1/J327*(Y327/H327),"0")</f>
        <v>0.5494505494505495</v>
      </c>
    </row>
    <row r="328" spans="1:68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118.33333333333334</v>
      </c>
      <c r="Y328" s="43">
        <f>IFERROR(Y325/H325,"0")+IFERROR(Y326/H326,"0")+IFERROR(Y327/H327,"0")</f>
        <v>119</v>
      </c>
      <c r="Z328" s="43">
        <f>IFERROR(IF(Z325="",0,Z325),"0")+IFERROR(IF(Z326="",0,Z326),"0")+IFERROR(IF(Z327="",0,Z327),"0")</f>
        <v>0.77468999999999999</v>
      </c>
      <c r="AA328" s="67"/>
      <c r="AB328" s="67"/>
      <c r="AC328" s="67"/>
    </row>
    <row r="329" spans="1:68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284</v>
      </c>
      <c r="Y329" s="43">
        <f>IFERROR(SUM(Y325:Y327),"0")</f>
        <v>285.60000000000002</v>
      </c>
      <c r="Z329" s="42"/>
      <c r="AA329" s="67"/>
      <c r="AB329" s="67"/>
      <c r="AC329" s="67"/>
    </row>
    <row r="330" spans="1:68" ht="16.5" hidden="1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151</v>
      </c>
      <c r="Y346" s="55">
        <f>IFERROR(IF(X346="",0,CEILING((X346/$H346),1)*$H346),"")</f>
        <v>156</v>
      </c>
      <c r="Z346" s="41">
        <f>IFERROR(IF(Y346=0,"",ROUNDUP(Y346/H346,0)*0.01898),"")</f>
        <v>0.37959999999999999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158.93717948717949</v>
      </c>
      <c r="BN346" s="78">
        <f>IFERROR(Y346*I346/H346,"0")</f>
        <v>164.20000000000005</v>
      </c>
      <c r="BO346" s="78">
        <f>IFERROR(1/J346*(X346/H346),"0")</f>
        <v>0.30248397435897434</v>
      </c>
      <c r="BP346" s="78">
        <f>IFERROR(1/J346*(Y346/H346),"0")</f>
        <v>0.3125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179</v>
      </c>
      <c r="Y347" s="55">
        <f>IFERROR(IF(X347="",0,CEILING((X347/$H347),1)*$H347),"")</f>
        <v>179.4</v>
      </c>
      <c r="Z347" s="41">
        <f>IFERROR(IF(Y347=0,"",ROUNDUP(Y347/H347,0)*0.01898),"")</f>
        <v>0.43653999999999998</v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188.40897435897438</v>
      </c>
      <c r="BN347" s="78">
        <f>IFERROR(Y347*I347/H347,"0")</f>
        <v>188.83000000000004</v>
      </c>
      <c r="BO347" s="78">
        <f>IFERROR(1/J347*(X347/H347),"0")</f>
        <v>0.35857371794871795</v>
      </c>
      <c r="BP347" s="78">
        <f>IFERROR(1/J347*(Y347/H347),"0")</f>
        <v>0.359375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72</v>
      </c>
      <c r="Y348" s="55">
        <f>IFERROR(IF(X348="",0,CEILING((X348/$H348),1)*$H348),"")</f>
        <v>78</v>
      </c>
      <c r="Z348" s="41">
        <f>IFERROR(IF(Y348=0,"",ROUNDUP(Y348/H348,0)*0.01898),"")</f>
        <v>0.1898</v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75.784615384615407</v>
      </c>
      <c r="BN348" s="78">
        <f>IFERROR(Y348*I348/H348,"0")</f>
        <v>82.100000000000023</v>
      </c>
      <c r="BO348" s="78">
        <f>IFERROR(1/J348*(X348/H348),"0")</f>
        <v>0.14423076923076925</v>
      </c>
      <c r="BP348" s="78">
        <f>IFERROR(1/J348*(Y348/H348),"0")</f>
        <v>0.15625</v>
      </c>
    </row>
    <row r="349" spans="1:68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51.53846153846154</v>
      </c>
      <c r="Y349" s="43">
        <f>IFERROR(Y346/H346,"0")+IFERROR(Y347/H347,"0")+IFERROR(Y348/H348,"0")</f>
        <v>53</v>
      </c>
      <c r="Z349" s="43">
        <f>IFERROR(IF(Z346="",0,Z346),"0")+IFERROR(IF(Z347="",0,Z347),"0")+IFERROR(IF(Z348="",0,Z348),"0")</f>
        <v>1.0059400000000001</v>
      </c>
      <c r="AA349" s="67"/>
      <c r="AB349" s="67"/>
      <c r="AC349" s="67"/>
    </row>
    <row r="350" spans="1:68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402</v>
      </c>
      <c r="Y350" s="43">
        <f>IFERROR(SUM(Y346:Y348),"0")</f>
        <v>413.4</v>
      </c>
      <c r="Z350" s="42"/>
      <c r="AA350" s="67"/>
      <c r="AB350" s="67"/>
      <c r="AC350" s="67"/>
    </row>
    <row r="351" spans="1:68" ht="16.5" hidden="1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36</v>
      </c>
      <c r="Y353" s="55">
        <f t="shared" ref="Y353:Y358" si="42">IFERROR(IF(X353="",0,CEILING((X353/$H353),1)*$H353),"")</f>
        <v>43.2</v>
      </c>
      <c r="Z353" s="41">
        <f>IFERROR(IF(Y353=0,"",ROUNDUP(Y353/H353,0)*0.01898),"")</f>
        <v>7.5920000000000001E-2</v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37.366666666666667</v>
      </c>
      <c r="BN353" s="78">
        <f t="shared" ref="BN353:BN358" si="44">IFERROR(Y353*I353/H353,"0")</f>
        <v>44.84</v>
      </c>
      <c r="BO353" s="78">
        <f t="shared" ref="BO353:BO358" si="45">IFERROR(1/J353*(X353/H353),"0")</f>
        <v>5.2083333333333329E-2</v>
      </c>
      <c r="BP353" s="78">
        <f t="shared" ref="BP353:BP358" si="46">IFERROR(1/J353*(Y353/H353),"0")</f>
        <v>6.25E-2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3.333333333333333</v>
      </c>
      <c r="Y359" s="43">
        <f>IFERROR(Y353/H353,"0")+IFERROR(Y354/H354,"0")+IFERROR(Y355/H355,"0")+IFERROR(Y356/H356,"0")+IFERROR(Y357/H357,"0")+IFERROR(Y358/H358,"0")</f>
        <v>4</v>
      </c>
      <c r="Z359" s="43">
        <f>IFERROR(IF(Z353="",0,Z353),"0")+IFERROR(IF(Z354="",0,Z354),"0")+IFERROR(IF(Z355="",0,Z355),"0")+IFERROR(IF(Z356="",0,Z356),"0")+IFERROR(IF(Z357="",0,Z357),"0")+IFERROR(IF(Z358="",0,Z358),"0")</f>
        <v>7.5920000000000001E-2</v>
      </c>
      <c r="AA359" s="67"/>
      <c r="AB359" s="67"/>
      <c r="AC359" s="67"/>
    </row>
    <row r="360" spans="1:68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36</v>
      </c>
      <c r="Y360" s="43">
        <f>IFERROR(SUM(Y353:Y358),"0")</f>
        <v>43.2</v>
      </c>
      <c r="Z360" s="42"/>
      <c r="AA360" s="67"/>
      <c r="AB360" s="67"/>
      <c r="AC360" s="67"/>
    </row>
    <row r="361" spans="1:68" ht="14.25" hidden="1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hidden="1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175</v>
      </c>
      <c r="Y366" s="55">
        <f t="shared" si="47"/>
        <v>176.4</v>
      </c>
      <c r="Z366" s="41">
        <f>IFERROR(IF(Y366=0,"",ROUNDUP(Y366/H366,0)*0.00502),"")</f>
        <v>0.42168</v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183.33333333333334</v>
      </c>
      <c r="BN366" s="78">
        <f t="shared" si="49"/>
        <v>184.8</v>
      </c>
      <c r="BO366" s="78">
        <f t="shared" si="50"/>
        <v>0.35612535612535612</v>
      </c>
      <c r="BP366" s="78">
        <f t="shared" si="51"/>
        <v>0.35897435897435903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23</v>
      </c>
      <c r="Y368" s="55">
        <f t="shared" si="47"/>
        <v>23.400000000000002</v>
      </c>
      <c r="Z368" s="41">
        <f>IFERROR(IF(Y368=0,"",ROUNDUP(Y368/H368,0)*0.00651),"")</f>
        <v>8.4629999999999997E-2</v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25.91333333333333</v>
      </c>
      <c r="BN368" s="78">
        <f t="shared" si="49"/>
        <v>26.364000000000001</v>
      </c>
      <c r="BO368" s="78">
        <f t="shared" si="50"/>
        <v>7.0207570207570208E-2</v>
      </c>
      <c r="BP368" s="78">
        <f t="shared" si="51"/>
        <v>7.1428571428571438E-2</v>
      </c>
    </row>
    <row r="369" spans="1:68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96.1111111111111</v>
      </c>
      <c r="Y369" s="43">
        <f>IFERROR(Y362/H362,"0")+IFERROR(Y363/H363,"0")+IFERROR(Y364/H364,"0")+IFERROR(Y365/H365,"0")+IFERROR(Y366/H366,"0")+IFERROR(Y367/H367,"0")+IFERROR(Y368/H368,"0")</f>
        <v>97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0.50631000000000004</v>
      </c>
      <c r="AA369" s="67"/>
      <c r="AB369" s="67"/>
      <c r="AC369" s="67"/>
    </row>
    <row r="370" spans="1:68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198</v>
      </c>
      <c r="Y370" s="43">
        <f>IFERROR(SUM(Y362:Y368),"0")</f>
        <v>199.8</v>
      </c>
      <c r="Z370" s="42"/>
      <c r="AA370" s="67"/>
      <c r="AB370" s="67"/>
      <c r="AC370" s="67"/>
    </row>
    <row r="371" spans="1:68" ht="14.25" hidden="1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283</v>
      </c>
      <c r="Y379" s="55">
        <f>IFERROR(IF(X379="",0,CEILING((X379/$H379),1)*$H379),"")</f>
        <v>285.60000000000002</v>
      </c>
      <c r="Z379" s="41">
        <f>IFERROR(IF(Y379=0,"",ROUNDUP(Y379/H379,0)*0.01898),"")</f>
        <v>0.64532</v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299.64309523809521</v>
      </c>
      <c r="BN379" s="78">
        <f>IFERROR(Y379*I379/H379,"0")</f>
        <v>302.39600000000002</v>
      </c>
      <c r="BO379" s="78">
        <f>IFERROR(1/J379*(X379/H379),"0")</f>
        <v>0.52641369047619047</v>
      </c>
      <c r="BP379" s="78">
        <f>IFERROR(1/J379*(Y379/H379),"0")</f>
        <v>0.53125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343</v>
      </c>
      <c r="Y380" s="55">
        <f>IFERROR(IF(X380="",0,CEILING((X380/$H380),1)*$H380),"")</f>
        <v>343.2</v>
      </c>
      <c r="Z380" s="41">
        <f>IFERROR(IF(Y380=0,"",ROUNDUP(Y380/H380,0)*0.01898),"")</f>
        <v>0.83511999999999997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364.72333333333336</v>
      </c>
      <c r="BN380" s="78">
        <f>IFERROR(Y380*I380/H380,"0")</f>
        <v>364.93600000000004</v>
      </c>
      <c r="BO380" s="78">
        <f>IFERROR(1/J380*(X380/H380),"0")</f>
        <v>0.68709935897435903</v>
      </c>
      <c r="BP380" s="78">
        <f>IFERROR(1/J380*(Y380/H380),"0")</f>
        <v>0.6875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80</v>
      </c>
      <c r="Y381" s="55">
        <f>IFERROR(IF(X381="",0,CEILING((X381/$H381),1)*$H381),"")</f>
        <v>84</v>
      </c>
      <c r="Z381" s="41">
        <f>IFERROR(IF(Y381=0,"",ROUNDUP(Y381/H381,0)*0.01898),"")</f>
        <v>0.1898</v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84.704761904761895</v>
      </c>
      <c r="BN381" s="78">
        <f>IFERROR(Y381*I381/H381,"0")</f>
        <v>88.94</v>
      </c>
      <c r="BO381" s="78">
        <f>IFERROR(1/J381*(X381/H381),"0")</f>
        <v>0.14880952380952381</v>
      </c>
      <c r="BP381" s="78">
        <f>IFERROR(1/J381*(Y381/H381),"0")</f>
        <v>0.15625</v>
      </c>
    </row>
    <row r="382" spans="1:68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87.188644688644686</v>
      </c>
      <c r="Y382" s="43">
        <f>IFERROR(Y379/H379,"0")+IFERROR(Y380/H380,"0")+IFERROR(Y381/H381,"0")</f>
        <v>88</v>
      </c>
      <c r="Z382" s="43">
        <f>IFERROR(IF(Z379="",0,Z379),"0")+IFERROR(IF(Z380="",0,Z380),"0")+IFERROR(IF(Z381="",0,Z381),"0")</f>
        <v>1.6702399999999999</v>
      </c>
      <c r="AA382" s="67"/>
      <c r="AB382" s="67"/>
      <c r="AC382" s="67"/>
    </row>
    <row r="383" spans="1:68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706</v>
      </c>
      <c r="Y383" s="43">
        <f>IFERROR(SUM(Y379:Y381),"0")</f>
        <v>712.8</v>
      </c>
      <c r="Z383" s="42"/>
      <c r="AA383" s="67"/>
      <c r="AB383" s="67"/>
      <c r="AC383" s="67"/>
    </row>
    <row r="384" spans="1:68" ht="14.25" hidden="1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17</v>
      </c>
      <c r="Y387" s="55">
        <f>IFERROR(IF(X387="",0,CEILING((X387/$H387),1)*$H387),"")</f>
        <v>17.849999999999998</v>
      </c>
      <c r="Z387" s="41">
        <f>IFERROR(IF(Y387=0,"",ROUNDUP(Y387/H387,0)*0.00651),"")</f>
        <v>4.5569999999999999E-2</v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19.700000000000003</v>
      </c>
      <c r="BN387" s="78">
        <f>IFERROR(Y387*I387/H387,"0")</f>
        <v>20.684999999999999</v>
      </c>
      <c r="BO387" s="78">
        <f>IFERROR(1/J387*(X387/H387),"0")</f>
        <v>3.6630036630036632E-2</v>
      </c>
      <c r="BP387" s="78">
        <f>IFERROR(1/J387*(Y387/H387),"0")</f>
        <v>3.8461538461538464E-2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51.000000000000007</v>
      </c>
      <c r="Y388" s="55">
        <f>IFERROR(IF(X388="",0,CEILING((X388/$H388),1)*$H388),"")</f>
        <v>51</v>
      </c>
      <c r="Z388" s="41">
        <f>IFERROR(IF(Y388=0,"",ROUNDUP(Y388/H388,0)*0.00651),"")</f>
        <v>0.13020000000000001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57.600000000000016</v>
      </c>
      <c r="BN388" s="78">
        <f>IFERROR(Y388*I388/H388,"0")</f>
        <v>57.6</v>
      </c>
      <c r="BO388" s="78">
        <f>IFERROR(1/J388*(X388/H388),"0")</f>
        <v>0.10989010989010992</v>
      </c>
      <c r="BP388" s="78">
        <f>IFERROR(1/J388*(Y388/H388),"0")</f>
        <v>0.1098901098901099</v>
      </c>
    </row>
    <row r="389" spans="1:68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26.666666666666671</v>
      </c>
      <c r="Y389" s="43">
        <f>IFERROR(Y385/H385,"0")+IFERROR(Y386/H386,"0")+IFERROR(Y387/H387,"0")+IFERROR(Y388/H388,"0")</f>
        <v>27</v>
      </c>
      <c r="Z389" s="43">
        <f>IFERROR(IF(Z385="",0,Z385),"0")+IFERROR(IF(Z386="",0,Z386),"0")+IFERROR(IF(Z387="",0,Z387),"0")+IFERROR(IF(Z388="",0,Z388),"0")</f>
        <v>0.17577000000000001</v>
      </c>
      <c r="AA389" s="67"/>
      <c r="AB389" s="67"/>
      <c r="AC389" s="67"/>
    </row>
    <row r="390" spans="1:68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68</v>
      </c>
      <c r="Y390" s="43">
        <f>IFERROR(SUM(Y385:Y388),"0")</f>
        <v>68.849999999999994</v>
      </c>
      <c r="Z390" s="42"/>
      <c r="AA390" s="67"/>
      <c r="AB390" s="67"/>
      <c r="AC390" s="67"/>
    </row>
    <row r="391" spans="1:68" ht="14.25" hidden="1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14</v>
      </c>
      <c r="Y392" s="55">
        <f>IFERROR(IF(X392="",0,CEILING((X392/$H392),1)*$H392),"")</f>
        <v>14</v>
      </c>
      <c r="Z392" s="41">
        <f>IFERROR(IF(Y392=0,"",ROUNDUP(Y392/H392,0)*0.00474),"")</f>
        <v>3.3180000000000001E-2</v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15.680000000000001</v>
      </c>
      <c r="BN392" s="78">
        <f>IFERROR(Y392*I392/H392,"0")</f>
        <v>15.680000000000001</v>
      </c>
      <c r="BO392" s="78">
        <f>IFERROR(1/J392*(X392/H392),"0")</f>
        <v>2.9411764705882353E-2</v>
      </c>
      <c r="BP392" s="78">
        <f>IFERROR(1/J392*(Y392/H392),"0")</f>
        <v>2.9411764705882353E-2</v>
      </c>
    </row>
    <row r="393" spans="1:68" ht="27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7</v>
      </c>
      <c r="Y393" s="55">
        <f>IFERROR(IF(X393="",0,CEILING((X393/$H393),1)*$H393),"")</f>
        <v>8</v>
      </c>
      <c r="Z393" s="41">
        <f>IFERROR(IF(Y393=0,"",ROUNDUP(Y393/H393,0)*0.00474),"")</f>
        <v>1.8960000000000001E-2</v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7.8400000000000007</v>
      </c>
      <c r="BN393" s="78">
        <f>IFERROR(Y393*I393/H393,"0")</f>
        <v>8.9600000000000009</v>
      </c>
      <c r="BO393" s="78">
        <f>IFERROR(1/J393*(X393/H393),"0")</f>
        <v>1.4705882352941176E-2</v>
      </c>
      <c r="BP393" s="78">
        <f>IFERROR(1/J393*(Y393/H393),"0")</f>
        <v>1.680672268907563E-2</v>
      </c>
    </row>
    <row r="394" spans="1:68" ht="27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19</v>
      </c>
      <c r="Y394" s="55">
        <f>IFERROR(IF(X394="",0,CEILING((X394/$H394),1)*$H394),"")</f>
        <v>20</v>
      </c>
      <c r="Z394" s="41">
        <f>IFERROR(IF(Y394=0,"",ROUNDUP(Y394/H394,0)*0.00474),"")</f>
        <v>4.7400000000000005E-2</v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21.28</v>
      </c>
      <c r="BN394" s="78">
        <f>IFERROR(Y394*I394/H394,"0")</f>
        <v>22.400000000000002</v>
      </c>
      <c r="BO394" s="78">
        <f>IFERROR(1/J394*(X394/H394),"0")</f>
        <v>3.9915966386554619E-2</v>
      </c>
      <c r="BP394" s="78">
        <f>IFERROR(1/J394*(Y394/H394),"0")</f>
        <v>4.2016806722689072E-2</v>
      </c>
    </row>
    <row r="395" spans="1:68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20</v>
      </c>
      <c r="Y395" s="43">
        <f>IFERROR(Y392/H392,"0")+IFERROR(Y393/H393,"0")+IFERROR(Y394/H394,"0")</f>
        <v>21</v>
      </c>
      <c r="Z395" s="43">
        <f>IFERROR(IF(Z392="",0,Z392),"0")+IFERROR(IF(Z393="",0,Z393),"0")+IFERROR(IF(Z394="",0,Z394),"0")</f>
        <v>9.9540000000000017E-2</v>
      </c>
      <c r="AA395" s="67"/>
      <c r="AB395" s="67"/>
      <c r="AC395" s="67"/>
    </row>
    <row r="396" spans="1:68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40</v>
      </c>
      <c r="Y396" s="43">
        <f>IFERROR(SUM(Y392:Y394),"0")</f>
        <v>42</v>
      </c>
      <c r="Z396" s="42"/>
      <c r="AA396" s="67"/>
      <c r="AB396" s="67"/>
      <c r="AC396" s="67"/>
    </row>
    <row r="397" spans="1:68" ht="14.25" hidden="1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hidden="1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hidden="1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662</v>
      </c>
      <c r="Y406" s="55">
        <f>IFERROR(IF(X406="",0,CEILING((X406/$H406),1)*$H406),"")</f>
        <v>663.6</v>
      </c>
      <c r="Z406" s="41">
        <f>IFERROR(IF(Y406=0,"",ROUNDUP(Y406/H406,0)*0.00651),"")</f>
        <v>2.0571600000000001</v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741.43999999999994</v>
      </c>
      <c r="BN406" s="78">
        <f>IFERROR(Y406*I406/H406,"0")</f>
        <v>743.23199999999997</v>
      </c>
      <c r="BO406" s="78">
        <f>IFERROR(1/J406*(X406/H406),"0")</f>
        <v>1.7320774463631607</v>
      </c>
      <c r="BP406" s="78">
        <f>IFERROR(1/J406*(Y406/H406),"0")</f>
        <v>1.7362637362637363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361</v>
      </c>
      <c r="Y407" s="55">
        <f>IFERROR(IF(X407="",0,CEILING((X407/$H407),1)*$H407),"")</f>
        <v>361.2</v>
      </c>
      <c r="Z407" s="41">
        <f>IFERROR(IF(Y407=0,"",ROUNDUP(Y407/H407,0)*0.00651),"")</f>
        <v>1.11972</v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402.25714285714281</v>
      </c>
      <c r="BN407" s="78">
        <f>IFERROR(Y407*I407/H407,"0")</f>
        <v>402.47999999999996</v>
      </c>
      <c r="BO407" s="78">
        <f>IFERROR(1/J407*(X407/H407),"0")</f>
        <v>0.94453165881737311</v>
      </c>
      <c r="BP407" s="78">
        <f>IFERROR(1/J407*(Y407/H407),"0")</f>
        <v>0.94505494505494514</v>
      </c>
    </row>
    <row r="408" spans="1:68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487.14285714285711</v>
      </c>
      <c r="Y408" s="43">
        <f>IFERROR(Y405/H405,"0")+IFERROR(Y406/H406,"0")+IFERROR(Y407/H407,"0")</f>
        <v>488</v>
      </c>
      <c r="Z408" s="43">
        <f>IFERROR(IF(Z405="",0,Z405),"0")+IFERROR(IF(Z406="",0,Z406),"0")+IFERROR(IF(Z407="",0,Z407),"0")</f>
        <v>3.1768800000000001</v>
      </c>
      <c r="AA408" s="67"/>
      <c r="AB408" s="67"/>
      <c r="AC408" s="67"/>
    </row>
    <row r="409" spans="1:68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1023</v>
      </c>
      <c r="Y409" s="43">
        <f>IFERROR(SUM(Y405:Y407),"0")</f>
        <v>1024.8</v>
      </c>
      <c r="Z409" s="42"/>
      <c r="AA409" s="67"/>
      <c r="AB409" s="67"/>
      <c r="AC409" s="67"/>
    </row>
    <row r="410" spans="1:68" ht="27.75" hidden="1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hidden="1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hidden="1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104</v>
      </c>
      <c r="Y413" s="55">
        <f t="shared" ref="Y413:Y420" si="52">IFERROR(IF(X413="",0,CEILING((X413/$H413),1)*$H413),"")</f>
        <v>105</v>
      </c>
      <c r="Z413" s="41">
        <f>IFERROR(IF(Y413=0,"",ROUNDUP(Y413/H413,0)*0.02175),"")</f>
        <v>0.15225</v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107.25866666666667</v>
      </c>
      <c r="BN413" s="78">
        <f t="shared" ref="BN413:BN420" si="54">IFERROR(Y413*I413/H413,"0")</f>
        <v>108.29</v>
      </c>
      <c r="BO413" s="78">
        <f t="shared" ref="BO413:BO420" si="55">IFERROR(1/J413*(X413/H413),"0")</f>
        <v>0.14444444444444443</v>
      </c>
      <c r="BP413" s="78">
        <f t="shared" ref="BP413:BP420" si="56">IFERROR(1/J413*(Y413/H413),"0")</f>
        <v>0.14583333333333331</v>
      </c>
    </row>
    <row r="414" spans="1:68" ht="37.5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1351</v>
      </c>
      <c r="Y414" s="55">
        <f t="shared" si="52"/>
        <v>1365</v>
      </c>
      <c r="Z414" s="41">
        <f>IFERROR(IF(Y414=0,"",ROUNDUP(Y414/H414,0)*0.02175),"")</f>
        <v>1.97925</v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1393.3313333333333</v>
      </c>
      <c r="BN414" s="78">
        <f t="shared" si="54"/>
        <v>1407.77</v>
      </c>
      <c r="BO414" s="78">
        <f t="shared" si="55"/>
        <v>1.8763888888888887</v>
      </c>
      <c r="BP414" s="78">
        <f t="shared" si="56"/>
        <v>1.8958333333333333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901</v>
      </c>
      <c r="Y415" s="55">
        <f t="shared" si="52"/>
        <v>915</v>
      </c>
      <c r="Z415" s="41">
        <f>IFERROR(IF(Y415=0,"",ROUNDUP(Y415/H415,0)*0.02175),"")</f>
        <v>1.3267499999999999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929.2313333333334</v>
      </c>
      <c r="BN415" s="78">
        <f t="shared" si="54"/>
        <v>943.67000000000007</v>
      </c>
      <c r="BO415" s="78">
        <f t="shared" si="55"/>
        <v>1.2513888888888889</v>
      </c>
      <c r="BP415" s="78">
        <f t="shared" si="56"/>
        <v>1.2708333333333333</v>
      </c>
    </row>
    <row r="416" spans="1:68" ht="27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1185</v>
      </c>
      <c r="Y416" s="55">
        <f t="shared" si="52"/>
        <v>1185</v>
      </c>
      <c r="Z416" s="41">
        <f>IFERROR(IF(Y416=0,"",ROUNDUP(Y416/H416,0)*0.02175),"")</f>
        <v>1.7182499999999998</v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1222.1300000000001</v>
      </c>
      <c r="BN416" s="78">
        <f t="shared" si="54"/>
        <v>1222.1300000000001</v>
      </c>
      <c r="BO416" s="78">
        <f t="shared" si="55"/>
        <v>1.6458333333333333</v>
      </c>
      <c r="BP416" s="78">
        <f t="shared" si="56"/>
        <v>1.6458333333333333</v>
      </c>
    </row>
    <row r="417" spans="1:68" ht="27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367</v>
      </c>
      <c r="Y417" s="55">
        <f t="shared" si="52"/>
        <v>375</v>
      </c>
      <c r="Z417" s="41">
        <f>IFERROR(IF(Y417=0,"",ROUNDUP(Y417/H417,0)*0.02175),"")</f>
        <v>0.54374999999999996</v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378.49933333333331</v>
      </c>
      <c r="BN417" s="78">
        <f t="shared" si="54"/>
        <v>386.75</v>
      </c>
      <c r="BO417" s="78">
        <f t="shared" si="55"/>
        <v>0.50972222222222219</v>
      </c>
      <c r="BP417" s="78">
        <f t="shared" si="56"/>
        <v>0.52083333333333326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8</v>
      </c>
      <c r="Y420" s="55">
        <f t="shared" si="52"/>
        <v>10</v>
      </c>
      <c r="Z420" s="41">
        <f>IFERROR(IF(Y420=0,"",ROUNDUP(Y420/H420,0)*0.00902),"")</f>
        <v>1.804E-2</v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8.3040000000000003</v>
      </c>
      <c r="BN420" s="78">
        <f t="shared" si="54"/>
        <v>10.38</v>
      </c>
      <c r="BO420" s="78">
        <f t="shared" si="55"/>
        <v>1.2121212121212123E-2</v>
      </c>
      <c r="BP420" s="78">
        <f t="shared" si="56"/>
        <v>1.5151515151515152E-2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262.13333333333333</v>
      </c>
      <c r="Y421" s="43">
        <f>IFERROR(Y413/H413,"0")+IFERROR(Y414/H414,"0")+IFERROR(Y415/H415,"0")+IFERROR(Y416/H416,"0")+IFERROR(Y417/H417,"0")+IFERROR(Y418/H418,"0")+IFERROR(Y419/H419,"0")+IFERROR(Y420/H420,"0")</f>
        <v>265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5.7382899999999992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3916</v>
      </c>
      <c r="Y422" s="43">
        <f>IFERROR(SUM(Y413:Y420),"0")</f>
        <v>3955</v>
      </c>
      <c r="Z422" s="42"/>
      <c r="AA422" s="67"/>
      <c r="AB422" s="67"/>
      <c r="AC422" s="67"/>
    </row>
    <row r="423" spans="1:68" ht="14.25" hidden="1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1045</v>
      </c>
      <c r="Y424" s="55">
        <f>IFERROR(IF(X424="",0,CEILING((X424/$H424),1)*$H424),"")</f>
        <v>1050</v>
      </c>
      <c r="Z424" s="41">
        <f>IFERROR(IF(Y424=0,"",ROUNDUP(Y424/H424,0)*0.02175),"")</f>
        <v>1.5225</v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1077.7433333333333</v>
      </c>
      <c r="BN424" s="78">
        <f>IFERROR(Y424*I424/H424,"0")</f>
        <v>1082.9000000000001</v>
      </c>
      <c r="BO424" s="78">
        <f>IFERROR(1/J424*(X424/H424),"0")</f>
        <v>1.4513888888888888</v>
      </c>
      <c r="BP424" s="78">
        <f>IFERROR(1/J424*(Y424/H424),"0")</f>
        <v>1.4583333333333333</v>
      </c>
    </row>
    <row r="425" spans="1:68" ht="27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73</v>
      </c>
      <c r="Y425" s="55">
        <f>IFERROR(IF(X425="",0,CEILING((X425/$H425),1)*$H425),"")</f>
        <v>75</v>
      </c>
      <c r="Z425" s="41">
        <f>IFERROR(IF(Y425=0,"",ROUNDUP(Y425/H425,0)*0.02175),"")</f>
        <v>0.10874999999999999</v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75.287333333333336</v>
      </c>
      <c r="BN425" s="78">
        <f>IFERROR(Y425*I425/H425,"0")</f>
        <v>77.349999999999994</v>
      </c>
      <c r="BO425" s="78">
        <f>IFERROR(1/J425*(X425/H425),"0")</f>
        <v>0.10138888888888888</v>
      </c>
      <c r="BP425" s="78">
        <f>IFERROR(1/J425*(Y425/H425),"0")</f>
        <v>0.10416666666666666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74.533333333333331</v>
      </c>
      <c r="Y427" s="43">
        <f>IFERROR(Y424/H424,"0")+IFERROR(Y425/H425,"0")+IFERROR(Y426/H426,"0")</f>
        <v>75</v>
      </c>
      <c r="Z427" s="43">
        <f>IFERROR(IF(Z424="",0,Z424),"0")+IFERROR(IF(Z425="",0,Z425),"0")+IFERROR(IF(Z426="",0,Z426),"0")</f>
        <v>1.6312499999999999</v>
      </c>
      <c r="AA427" s="67"/>
      <c r="AB427" s="67"/>
      <c r="AC427" s="67"/>
    </row>
    <row r="428" spans="1:68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1118</v>
      </c>
      <c r="Y428" s="43">
        <f>IFERROR(SUM(Y424:Y426),"0")</f>
        <v>1125</v>
      </c>
      <c r="Z428" s="42"/>
      <c r="AA428" s="67"/>
      <c r="AB428" s="67"/>
      <c r="AC428" s="67"/>
    </row>
    <row r="429" spans="1:68" ht="14.25" hidden="1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18</v>
      </c>
      <c r="Y432" s="55">
        <f>IFERROR(IF(X432="",0,CEILING((X432/$H432),1)*$H432),"")</f>
        <v>18</v>
      </c>
      <c r="Z432" s="41">
        <f>IFERROR(IF(Y432=0,"",ROUNDUP(Y432/H432,0)*0.01898),"")</f>
        <v>3.7960000000000001E-2</v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18.988</v>
      </c>
      <c r="BN432" s="78">
        <f>IFERROR(Y432*I432/H432,"0")</f>
        <v>18.988</v>
      </c>
      <c r="BO432" s="78">
        <f>IFERROR(1/J432*(X432/H432),"0")</f>
        <v>3.125E-2</v>
      </c>
      <c r="BP432" s="78">
        <f>IFERROR(1/J432*(Y432/H432),"0")</f>
        <v>3.125E-2</v>
      </c>
    </row>
    <row r="433" spans="1:68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2</v>
      </c>
      <c r="Y433" s="43">
        <f>IFERROR(Y430/H430,"0")+IFERROR(Y431/H431,"0")+IFERROR(Y432/H432,"0")</f>
        <v>2</v>
      </c>
      <c r="Z433" s="43">
        <f>IFERROR(IF(Z430="",0,Z430),"0")+IFERROR(IF(Z431="",0,Z431),"0")+IFERROR(IF(Z432="",0,Z432),"0")</f>
        <v>3.7960000000000001E-2</v>
      </c>
      <c r="AA433" s="67"/>
      <c r="AB433" s="67"/>
      <c r="AC433" s="67"/>
    </row>
    <row r="434" spans="1:68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18</v>
      </c>
      <c r="Y434" s="43">
        <f>IFERROR(SUM(Y430:Y432),"0")</f>
        <v>18</v>
      </c>
      <c r="Z434" s="42"/>
      <c r="AA434" s="67"/>
      <c r="AB434" s="67"/>
      <c r="AC434" s="67"/>
    </row>
    <row r="435" spans="1:68" ht="14.25" hidden="1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28</v>
      </c>
      <c r="Y437" s="55">
        <f>IFERROR(IF(X437="",0,CEILING((X437/$H437),1)*$H437),"")</f>
        <v>36</v>
      </c>
      <c r="Z437" s="41">
        <f>IFERROR(IF(Y437=0,"",ROUNDUP(Y437/H437,0)*0.01898),"")</f>
        <v>7.5920000000000001E-2</v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29.536888888888889</v>
      </c>
      <c r="BN437" s="78">
        <f>IFERROR(Y437*I437/H437,"0")</f>
        <v>37.975999999999999</v>
      </c>
      <c r="BO437" s="78">
        <f>IFERROR(1/J437*(X437/H437),"0")</f>
        <v>4.8611111111111112E-2</v>
      </c>
      <c r="BP437" s="78">
        <f>IFERROR(1/J437*(Y437/H437),"0")</f>
        <v>6.25E-2</v>
      </c>
    </row>
    <row r="438" spans="1:68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3.1111111111111112</v>
      </c>
      <c r="Y438" s="43">
        <f>IFERROR(Y436/H436,"0")+IFERROR(Y437/H437,"0")</f>
        <v>4</v>
      </c>
      <c r="Z438" s="43">
        <f>IFERROR(IF(Z436="",0,Z436),"0")+IFERROR(IF(Z437="",0,Z437),"0")</f>
        <v>7.5920000000000001E-2</v>
      </c>
      <c r="AA438" s="67"/>
      <c r="AB438" s="67"/>
      <c r="AC438" s="67"/>
    </row>
    <row r="439" spans="1:68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28</v>
      </c>
      <c r="Y439" s="43">
        <f>IFERROR(SUM(Y436:Y437),"0")</f>
        <v>36</v>
      </c>
      <c r="Z439" s="42"/>
      <c r="AA439" s="67"/>
      <c r="AB439" s="67"/>
      <c r="AC439" s="67"/>
    </row>
    <row r="440" spans="1:68" ht="16.5" hidden="1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hidden="1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40</v>
      </c>
      <c r="Y442" s="55">
        <f>IFERROR(IF(X442="",0,CEILING((X442/$H442),1)*$H442),"")</f>
        <v>48</v>
      </c>
      <c r="Z442" s="41">
        <f>IFERROR(IF(Y442=0,"",ROUNDUP(Y442/H442,0)*0.01898),"")</f>
        <v>7.5920000000000001E-2</v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41.366666666666667</v>
      </c>
      <c r="BN442" s="78">
        <f>IFERROR(Y442*I442/H442,"0")</f>
        <v>49.640000000000008</v>
      </c>
      <c r="BO442" s="78">
        <f>IFERROR(1/J442*(X442/H442),"0")</f>
        <v>5.2083333333333336E-2</v>
      </c>
      <c r="BP442" s="78">
        <f>IFERROR(1/J442*(Y442/H442),"0")</f>
        <v>6.25E-2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3.3333333333333335</v>
      </c>
      <c r="Y444" s="43">
        <f>IFERROR(Y442/H442,"0")+IFERROR(Y443/H443,"0")</f>
        <v>4</v>
      </c>
      <c r="Z444" s="43">
        <f>IFERROR(IF(Z442="",0,Z442),"0")+IFERROR(IF(Z443="",0,Z443),"0")</f>
        <v>7.5920000000000001E-2</v>
      </c>
      <c r="AA444" s="67"/>
      <c r="AB444" s="67"/>
      <c r="AC444" s="67"/>
    </row>
    <row r="445" spans="1:68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40</v>
      </c>
      <c r="Y445" s="43">
        <f>IFERROR(SUM(Y442:Y443),"0")</f>
        <v>48</v>
      </c>
      <c r="Z445" s="42"/>
      <c r="AA445" s="67"/>
      <c r="AB445" s="67"/>
      <c r="AC445" s="67"/>
    </row>
    <row r="446" spans="1:68" ht="14.25" hidden="1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33</v>
      </c>
      <c r="Y451" s="55">
        <f>IFERROR(IF(X451="",0,CEILING((X451/$H451),1)*$H451),"")</f>
        <v>36</v>
      </c>
      <c r="Z451" s="41">
        <f>IFERROR(IF(Y451=0,"",ROUNDUP(Y451/H451,0)*0.01898),"")</f>
        <v>7.5920000000000001E-2</v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34.811333333333337</v>
      </c>
      <c r="BN451" s="78">
        <f>IFERROR(Y451*I451/H451,"0")</f>
        <v>37.975999999999999</v>
      </c>
      <c r="BO451" s="78">
        <f>IFERROR(1/J451*(X451/H451),"0")</f>
        <v>5.7291666666666664E-2</v>
      </c>
      <c r="BP451" s="78">
        <f>IFERROR(1/J451*(Y451/H451),"0")</f>
        <v>6.25E-2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3.6666666666666665</v>
      </c>
      <c r="Y454" s="43">
        <f>IFERROR(Y451/H451,"0")+IFERROR(Y452/H452,"0")+IFERROR(Y453/H453,"0")</f>
        <v>4</v>
      </c>
      <c r="Z454" s="43">
        <f>IFERROR(IF(Z451="",0,Z451),"0")+IFERROR(IF(Z452="",0,Z452),"0")+IFERROR(IF(Z453="",0,Z453),"0")</f>
        <v>7.5920000000000001E-2</v>
      </c>
      <c r="AA454" s="67"/>
      <c r="AB454" s="67"/>
      <c r="AC454" s="67"/>
    </row>
    <row r="455" spans="1:68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33</v>
      </c>
      <c r="Y455" s="43">
        <f>IFERROR(SUM(Y451:Y453),"0")</f>
        <v>36</v>
      </c>
      <c r="Z455" s="42"/>
      <c r="AA455" s="67"/>
      <c r="AB455" s="67"/>
      <c r="AC455" s="67"/>
    </row>
    <row r="456" spans="1:68" ht="27.75" hidden="1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hidden="1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hidden="1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3.5</v>
      </c>
      <c r="Y463" s="55">
        <f t="shared" si="57"/>
        <v>4.2</v>
      </c>
      <c r="Z463" s="41">
        <f>IFERROR(IF(Y463=0,"",ROUNDUP(Y463/H463,0)*0.00502),"")</f>
        <v>1.004E-2</v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3.7166666666666663</v>
      </c>
      <c r="BN463" s="78">
        <f t="shared" si="59"/>
        <v>4.46</v>
      </c>
      <c r="BO463" s="78">
        <f t="shared" si="60"/>
        <v>7.1225071225071226E-3</v>
      </c>
      <c r="BP463" s="78">
        <f t="shared" si="61"/>
        <v>8.5470085470085479E-3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1.6666666666666665</v>
      </c>
      <c r="Y465" s="43">
        <f>IFERROR(Y459/H459,"0")+IFERROR(Y460/H460,"0")+IFERROR(Y461/H461,"0")+IFERROR(Y462/H462,"0")+IFERROR(Y463/H463,"0")+IFERROR(Y464/H464,"0")</f>
        <v>2</v>
      </c>
      <c r="Z465" s="43">
        <f>IFERROR(IF(Z459="",0,Z459),"0")+IFERROR(IF(Z460="",0,Z460),"0")+IFERROR(IF(Z461="",0,Z461),"0")+IFERROR(IF(Z462="",0,Z462),"0")+IFERROR(IF(Z463="",0,Z463),"0")+IFERROR(IF(Z464="",0,Z464),"0")</f>
        <v>1.004E-2</v>
      </c>
      <c r="AA465" s="67"/>
      <c r="AB465" s="67"/>
      <c r="AC465" s="67"/>
    </row>
    <row r="466" spans="1:68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3.5</v>
      </c>
      <c r="Y466" s="43">
        <f>IFERROR(SUM(Y459:Y464),"0")</f>
        <v>4.2</v>
      </c>
      <c r="Z466" s="42"/>
      <c r="AA466" s="67"/>
      <c r="AB466" s="67"/>
      <c r="AC466" s="67"/>
    </row>
    <row r="467" spans="1:68" ht="14.25" hidden="1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hidden="1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3.5</v>
      </c>
      <c r="Y480" s="55">
        <f>IFERROR(IF(X480="",0,CEILING((X480/$H480),1)*$H480),"")</f>
        <v>4.2</v>
      </c>
      <c r="Z480" s="41">
        <f>IFERROR(IF(Y480=0,"",ROUNDUP(Y480/H480,0)*0.00502),"")</f>
        <v>1.004E-2</v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3.7166666666666663</v>
      </c>
      <c r="BN480" s="78">
        <f>IFERROR(Y480*I480/H480,"0")</f>
        <v>4.46</v>
      </c>
      <c r="BO480" s="78">
        <f>IFERROR(1/J480*(X480/H480),"0")</f>
        <v>7.1225071225071226E-3</v>
      </c>
      <c r="BP480" s="78">
        <f>IFERROR(1/J480*(Y480/H480),"0")</f>
        <v>8.5470085470085479E-3</v>
      </c>
    </row>
    <row r="481" spans="1:68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1.6666666666666665</v>
      </c>
      <c r="Y481" s="43">
        <f>IFERROR(Y478/H478,"0")+IFERROR(Y479/H479,"0")+IFERROR(Y480/H480,"0")</f>
        <v>2</v>
      </c>
      <c r="Z481" s="43">
        <f>IFERROR(IF(Z478="",0,Z478),"0")+IFERROR(IF(Z479="",0,Z479),"0")+IFERROR(IF(Z480="",0,Z480),"0")</f>
        <v>1.004E-2</v>
      </c>
      <c r="AA481" s="67"/>
      <c r="AB481" s="67"/>
      <c r="AC481" s="67"/>
    </row>
    <row r="482" spans="1:68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3.5</v>
      </c>
      <c r="Y482" s="43">
        <f>IFERROR(SUM(Y478:Y480),"0")</f>
        <v>4.2</v>
      </c>
      <c r="Z482" s="42"/>
      <c r="AA482" s="67"/>
      <c r="AB482" s="67"/>
      <c r="AC482" s="67"/>
    </row>
    <row r="483" spans="1:68" ht="27.75" hidden="1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hidden="1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hidden="1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64</v>
      </c>
      <c r="Y486" s="55">
        <f t="shared" ref="Y486:Y494" si="62">IFERROR(IF(X486="",0,CEILING((X486/$H486),1)*$H486),"")</f>
        <v>68.64</v>
      </c>
      <c r="Z486" s="41">
        <f t="shared" ref="Z486:Z491" si="63">IFERROR(IF(Y486=0,"",ROUNDUP(Y486/H486,0)*0.01196),"")</f>
        <v>0.15548000000000001</v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68.242424242424235</v>
      </c>
      <c r="BN486" s="78">
        <f t="shared" ref="BN486:BN494" si="65">IFERROR(Y486*I486/H486,"0")</f>
        <v>73.19</v>
      </c>
      <c r="BO486" s="78">
        <f t="shared" ref="BO486:BO494" si="66">IFERROR(1/J486*(X486/H486),"0")</f>
        <v>0.11655011655011656</v>
      </c>
      <c r="BP486" s="78">
        <f t="shared" ref="BP486:BP494" si="67">IFERROR(1/J486*(Y486/H486),"0")</f>
        <v>0.125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65</v>
      </c>
      <c r="Y489" s="55">
        <f t="shared" si="62"/>
        <v>68.64</v>
      </c>
      <c r="Z489" s="41">
        <f t="shared" si="63"/>
        <v>0.15548000000000001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69.30871212121211</v>
      </c>
      <c r="BN489" s="78">
        <f t="shared" si="65"/>
        <v>73.19</v>
      </c>
      <c r="BO489" s="78">
        <f t="shared" si="66"/>
        <v>0.11837121212121213</v>
      </c>
      <c r="BP489" s="78">
        <f t="shared" si="67"/>
        <v>0.125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283</v>
      </c>
      <c r="Y491" s="55">
        <f t="shared" si="62"/>
        <v>285.12</v>
      </c>
      <c r="Z491" s="41">
        <f t="shared" si="63"/>
        <v>0.64583999999999997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301.75946969696969</v>
      </c>
      <c r="BN491" s="78">
        <f t="shared" si="65"/>
        <v>304.02</v>
      </c>
      <c r="BO491" s="78">
        <f t="shared" si="66"/>
        <v>0.5153700466200466</v>
      </c>
      <c r="BP491" s="78">
        <f t="shared" si="67"/>
        <v>0.51923076923076927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78</v>
      </c>
      <c r="Y493" s="55">
        <f t="shared" si="62"/>
        <v>81.599999999999994</v>
      </c>
      <c r="Z493" s="41">
        <f>IFERROR(IF(Y493=0,"",ROUNDUP(Y493/H493,0)*0.00902),"")</f>
        <v>0.15334</v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112.28750000000001</v>
      </c>
      <c r="BN493" s="78">
        <f t="shared" si="65"/>
        <v>117.47</v>
      </c>
      <c r="BO493" s="78">
        <f t="shared" si="66"/>
        <v>0.12310606060606061</v>
      </c>
      <c r="BP493" s="78">
        <f t="shared" si="67"/>
        <v>0.12878787878787878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216</v>
      </c>
      <c r="Y494" s="55">
        <f t="shared" si="62"/>
        <v>216</v>
      </c>
      <c r="Z494" s="41">
        <f>IFERROR(IF(Y494=0,"",ROUNDUP(Y494/H494,0)*0.00902),"")</f>
        <v>0.40590000000000004</v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310.95</v>
      </c>
      <c r="BN494" s="78">
        <f t="shared" si="65"/>
        <v>310.95</v>
      </c>
      <c r="BO494" s="78">
        <f t="shared" si="66"/>
        <v>0.34090909090909094</v>
      </c>
      <c r="BP494" s="78">
        <f t="shared" si="67"/>
        <v>0.34090909090909094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139.28030303030303</v>
      </c>
      <c r="Y495" s="43">
        <f>IFERROR(Y486/H486,"0")+IFERROR(Y487/H487,"0")+IFERROR(Y488/H488,"0")+IFERROR(Y489/H489,"0")+IFERROR(Y490/H490,"0")+IFERROR(Y491/H491,"0")+IFERROR(Y492/H492,"0")+IFERROR(Y493/H493,"0")+IFERROR(Y494/H494,"0")</f>
        <v>142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1.5160399999999998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706</v>
      </c>
      <c r="Y496" s="43">
        <f>IFERROR(SUM(Y486:Y494),"0")</f>
        <v>720</v>
      </c>
      <c r="Z496" s="42"/>
      <c r="AA496" s="67"/>
      <c r="AB496" s="67"/>
      <c r="AC496" s="67"/>
    </row>
    <row r="497" spans="1:68" ht="14.25" hidden="1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285</v>
      </c>
      <c r="Y498" s="55">
        <f>IFERROR(IF(X498="",0,CEILING((X498/$H498),1)*$H498),"")</f>
        <v>285.12</v>
      </c>
      <c r="Z498" s="41">
        <f>IFERROR(IF(Y498=0,"",ROUNDUP(Y498/H498,0)*0.01196),"")</f>
        <v>0.64583999999999997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303.89204545454544</v>
      </c>
      <c r="BN498" s="78">
        <f>IFERROR(Y498*I498/H498,"0")</f>
        <v>304.02</v>
      </c>
      <c r="BO498" s="78">
        <f>IFERROR(1/J498*(X498/H498),"0")</f>
        <v>0.51901223776223782</v>
      </c>
      <c r="BP498" s="78">
        <f>IFERROR(1/J498*(Y498/H498),"0")</f>
        <v>0.51923076923076927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62</v>
      </c>
      <c r="Y500" s="55">
        <f>IFERROR(IF(X500="",0,CEILING((X500/$H500),1)*$H500),"")</f>
        <v>62.4</v>
      </c>
      <c r="Z500" s="41">
        <f>IFERROR(IF(Y500=0,"",ROUNDUP(Y500/H500,0)*0.00902),"")</f>
        <v>0.11726</v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89.254166666666677</v>
      </c>
      <c r="BN500" s="78">
        <f>IFERROR(Y500*I500/H500,"0")</f>
        <v>89.830000000000013</v>
      </c>
      <c r="BO500" s="78">
        <f>IFERROR(1/J500*(X500/H500),"0")</f>
        <v>9.7853535353535359E-2</v>
      </c>
      <c r="BP500" s="78">
        <f>IFERROR(1/J500*(Y500/H500),"0")</f>
        <v>9.8484848484848481E-2</v>
      </c>
    </row>
    <row r="501" spans="1:68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66.893939393939391</v>
      </c>
      <c r="Y501" s="43">
        <f>IFERROR(Y498/H498,"0")+IFERROR(Y499/H499,"0")+IFERROR(Y500/H500,"0")</f>
        <v>67</v>
      </c>
      <c r="Z501" s="43">
        <f>IFERROR(IF(Z498="",0,Z498),"0")+IFERROR(IF(Z499="",0,Z499),"0")+IFERROR(IF(Z500="",0,Z500),"0")</f>
        <v>0.7631</v>
      </c>
      <c r="AA501" s="67"/>
      <c r="AB501" s="67"/>
      <c r="AC501" s="67"/>
    </row>
    <row r="502" spans="1:68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347</v>
      </c>
      <c r="Y502" s="43">
        <f>IFERROR(SUM(Y498:Y500),"0")</f>
        <v>347.52</v>
      </c>
      <c r="Z502" s="42"/>
      <c r="AA502" s="67"/>
      <c r="AB502" s="67"/>
      <c r="AC502" s="67"/>
    </row>
    <row r="503" spans="1:68" ht="14.25" hidden="1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29</v>
      </c>
      <c r="Y504" s="55">
        <f t="shared" ref="Y504:Y510" si="68">IFERROR(IF(X504="",0,CEILING((X504/$H504),1)*$H504),"")</f>
        <v>31.68</v>
      </c>
      <c r="Z504" s="41">
        <f>IFERROR(IF(Y504=0,"",ROUNDUP(Y504/H504,0)*0.01196),"")</f>
        <v>7.1760000000000004E-2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30.922348484848484</v>
      </c>
      <c r="BN504" s="78">
        <f t="shared" ref="BN504:BN510" si="70">IFERROR(Y504*I504/H504,"0")</f>
        <v>33.779999999999994</v>
      </c>
      <c r="BO504" s="78">
        <f t="shared" ref="BO504:BO510" si="71">IFERROR(1/J504*(X504/H504),"0")</f>
        <v>5.281177156177156E-2</v>
      </c>
      <c r="BP504" s="78">
        <f t="shared" ref="BP504:BP510" si="72">IFERROR(1/J504*(Y504/H504),"0")</f>
        <v>5.7692307692307696E-2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26</v>
      </c>
      <c r="Y505" s="55">
        <f t="shared" si="68"/>
        <v>26.400000000000002</v>
      </c>
      <c r="Z505" s="41">
        <f>IFERROR(IF(Y505=0,"",ROUNDUP(Y505/H505,0)*0.01196),"")</f>
        <v>5.9799999999999999E-2</v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27.723484848484848</v>
      </c>
      <c r="BN505" s="78">
        <f t="shared" si="70"/>
        <v>28.15</v>
      </c>
      <c r="BO505" s="78">
        <f t="shared" si="71"/>
        <v>4.7348484848484848E-2</v>
      </c>
      <c r="BP505" s="78">
        <f t="shared" si="72"/>
        <v>4.807692307692308E-2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138</v>
      </c>
      <c r="Y506" s="55">
        <f t="shared" si="68"/>
        <v>142.56</v>
      </c>
      <c r="Z506" s="41">
        <f>IFERROR(IF(Y506=0,"",ROUNDUP(Y506/H506,0)*0.01196),"")</f>
        <v>0.32291999999999998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147.14772727272725</v>
      </c>
      <c r="BN506" s="78">
        <f t="shared" si="70"/>
        <v>152.01</v>
      </c>
      <c r="BO506" s="78">
        <f t="shared" si="71"/>
        <v>0.2513111888111888</v>
      </c>
      <c r="BP506" s="78">
        <f t="shared" si="72"/>
        <v>0.25961538461538464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44.000000000000007</v>
      </c>
      <c r="Y507" s="55">
        <f t="shared" si="68"/>
        <v>48</v>
      </c>
      <c r="Z507" s="41">
        <f>IFERROR(IF(Y507=0,"",ROUNDUP(Y507/H507,0)*0.00902),"")</f>
        <v>9.0200000000000002E-2</v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63.341666666666683</v>
      </c>
      <c r="BN507" s="78">
        <f t="shared" si="70"/>
        <v>69.100000000000009</v>
      </c>
      <c r="BO507" s="78">
        <f t="shared" si="71"/>
        <v>6.9444444444444461E-2</v>
      </c>
      <c r="BP507" s="78">
        <f t="shared" si="72"/>
        <v>7.575757575757576E-2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7.0000000000000009</v>
      </c>
      <c r="Y509" s="55">
        <f t="shared" si="68"/>
        <v>9.6</v>
      </c>
      <c r="Z509" s="41">
        <f>IFERROR(IF(Y509=0,"",ROUNDUP(Y509/H509,0)*0.00902),"")</f>
        <v>1.804E-2</v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9.7270833333333346</v>
      </c>
      <c r="BN509" s="78">
        <f t="shared" si="70"/>
        <v>13.34</v>
      </c>
      <c r="BO509" s="78">
        <f t="shared" si="71"/>
        <v>1.10479797979798E-2</v>
      </c>
      <c r="BP509" s="78">
        <f t="shared" si="72"/>
        <v>1.5151515151515152E-2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103.00000000000001</v>
      </c>
      <c r="Y510" s="55">
        <f t="shared" si="68"/>
        <v>105.6</v>
      </c>
      <c r="Z510" s="41">
        <f>IFERROR(IF(Y510=0,"",ROUNDUP(Y510/H510,0)*0.00902),"")</f>
        <v>0.19844000000000001</v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143.12708333333336</v>
      </c>
      <c r="BN510" s="78">
        <f t="shared" si="70"/>
        <v>146.74</v>
      </c>
      <c r="BO510" s="78">
        <f t="shared" si="71"/>
        <v>0.16256313131313133</v>
      </c>
      <c r="BP510" s="78">
        <f t="shared" si="72"/>
        <v>0.16666666666666669</v>
      </c>
    </row>
    <row r="511" spans="1:68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68.63636363636364</v>
      </c>
      <c r="Y511" s="43">
        <f>IFERROR(Y504/H504,"0")+IFERROR(Y505/H505,"0")+IFERROR(Y506/H506,"0")+IFERROR(Y507/H507,"0")+IFERROR(Y508/H508,"0")+IFERROR(Y509/H509,"0")+IFERROR(Y510/H510,"0")</f>
        <v>72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0.76116000000000006</v>
      </c>
      <c r="AA511" s="67"/>
      <c r="AB511" s="67"/>
      <c r="AC511" s="67"/>
    </row>
    <row r="512" spans="1:68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347</v>
      </c>
      <c r="Y512" s="43">
        <f>IFERROR(SUM(Y504:Y510),"0")</f>
        <v>363.84000000000003</v>
      </c>
      <c r="Z512" s="42"/>
      <c r="AA512" s="67"/>
      <c r="AB512" s="67"/>
      <c r="AC512" s="67"/>
    </row>
    <row r="513" spans="1:68" ht="27.75" hidden="1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hidden="1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hidden="1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54</v>
      </c>
      <c r="Y516" s="55">
        <f>IFERROR(IF(X516="",0,CEILING((X516/$H516),1)*$H516),"")</f>
        <v>60</v>
      </c>
      <c r="Z516" s="41">
        <f>IFERROR(IF(Y516=0,"",ROUNDUP(Y516/H516,0)*0.01898),"")</f>
        <v>9.4899999999999998E-2</v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55.844999999999999</v>
      </c>
      <c r="BN516" s="78">
        <f>IFERROR(Y516*I516/H516,"0")</f>
        <v>62.050000000000004</v>
      </c>
      <c r="BO516" s="78">
        <f>IFERROR(1/J516*(X516/H516),"0")</f>
        <v>7.03125E-2</v>
      </c>
      <c r="BP516" s="78">
        <f>IFERROR(1/J516*(Y516/H516),"0")</f>
        <v>7.8125E-2</v>
      </c>
    </row>
    <row r="517" spans="1:68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4.5</v>
      </c>
      <c r="Y517" s="43">
        <f>IFERROR(Y516/H516,"0")</f>
        <v>5</v>
      </c>
      <c r="Z517" s="43">
        <f>IFERROR(IF(Z516="",0,Z516),"0")</f>
        <v>9.4899999999999998E-2</v>
      </c>
      <c r="AA517" s="67"/>
      <c r="AB517" s="67"/>
      <c r="AC517" s="67"/>
    </row>
    <row r="518" spans="1:68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54</v>
      </c>
      <c r="Y518" s="43">
        <f>IFERROR(SUM(Y516:Y516),"0")</f>
        <v>60</v>
      </c>
      <c r="Z518" s="42"/>
      <c r="AA518" s="67"/>
      <c r="AB518" s="67"/>
      <c r="AC518" s="67"/>
    </row>
    <row r="519" spans="1:68" ht="14.25" hidden="1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hidden="1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869</v>
      </c>
      <c r="Y529" s="55">
        <f>IFERROR(IF(X529="",0,CEILING((X529/$H529),1)*$H529),"")</f>
        <v>873</v>
      </c>
      <c r="Z529" s="41">
        <f>IFERROR(IF(Y529=0,"",ROUNDUP(Y529/H529,0)*0.01898),"")</f>
        <v>1.8410600000000001</v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916.69844444444448</v>
      </c>
      <c r="BN529" s="78">
        <f>IFERROR(Y529*I529/H529,"0")</f>
        <v>920.91800000000012</v>
      </c>
      <c r="BO529" s="78">
        <f>IFERROR(1/J529*(X529/H529),"0")</f>
        <v>1.5086805555555556</v>
      </c>
      <c r="BP529" s="78">
        <f>IFERROR(1/J529*(Y529/H529),"0")</f>
        <v>1.515625</v>
      </c>
    </row>
    <row r="530" spans="1:68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96.555555555555557</v>
      </c>
      <c r="Y530" s="43">
        <f>IFERROR(Y529/H529,"0")</f>
        <v>97</v>
      </c>
      <c r="Z530" s="43">
        <f>IFERROR(IF(Z529="",0,Z529),"0")</f>
        <v>1.8410600000000001</v>
      </c>
      <c r="AA530" s="67"/>
      <c r="AB530" s="67"/>
      <c r="AC530" s="67"/>
    </row>
    <row r="531" spans="1:68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869</v>
      </c>
      <c r="Y531" s="43">
        <f>IFERROR(SUM(Y529:Y529),"0")</f>
        <v>873</v>
      </c>
      <c r="Z531" s="42"/>
      <c r="AA531" s="67"/>
      <c r="AB531" s="67"/>
      <c r="AC531" s="67"/>
    </row>
    <row r="532" spans="1:68" ht="14.25" hidden="1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hidden="1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17470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17734.39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18670.045979371851</v>
      </c>
      <c r="Y543" s="43">
        <f>IFERROR(SUM(BN22:BN539),"0")</f>
        <v>18953.410000000003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32</v>
      </c>
      <c r="Y544" s="44">
        <f>ROUNDUP(SUM(BP22:BP539),0)</f>
        <v>32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19470.045979371851</v>
      </c>
      <c r="Y545" s="43">
        <f>GrossWeightTotalR+PalletQtyTotalR*25</f>
        <v>19753.410000000003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3761.2892648539196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3812</v>
      </c>
      <c r="Z546" s="42"/>
      <c r="AA546" s="67"/>
      <c r="AB546" s="67"/>
      <c r="AC546" s="67"/>
    </row>
    <row r="547" spans="1:32" ht="14.25" hidden="1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37.239839999999994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36.479999999999997</v>
      </c>
      <c r="D552" s="52">
        <f>IFERROR(Y51*1,"0")+IFERROR(Y52*1,"0")+IFERROR(Y53*1,"0")+IFERROR(Y54*1,"0")</f>
        <v>470.4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745.80000000000018</v>
      </c>
      <c r="F552" s="52">
        <f>IFERROR(Y88*1,"0")+IFERROR(Y89*1,"0")+IFERROR(Y90*1,"0")+IFERROR(Y91*1,"0")+IFERROR(Y95*1,"0")+IFERROR(Y96*1,"0")+IFERROR(Y97*1,"0")+IFERROR(Y98*1,"0")</f>
        <v>1233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1492.4800000000002</v>
      </c>
      <c r="H552" s="52">
        <f>IFERROR(Y132*1,"0")+IFERROR(Y133*1,"0")+IFERROR(Y137*1,"0")+IFERROR(Y138*1,"0")+IFERROR(Y142*1,"0")+IFERROR(Y143*1,"0")</f>
        <v>146.16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691.5200000000001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391.84000000000003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2008.1999999999996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137.29999999999998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285.60000000000002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413.4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1066.6500000000001</v>
      </c>
      <c r="U552" s="52">
        <f>IFERROR(Y405*1,"0")+IFERROR(Y406*1,"0")+IFERROR(Y407*1,"0")</f>
        <v>1024.8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5134</v>
      </c>
      <c r="W552" s="52">
        <f>IFERROR(Y442*1,"0")+IFERROR(Y443*1,"0")+IFERROR(Y447*1,"0")+IFERROR(Y451*1,"0")+IFERROR(Y452*1,"0")+IFERROR(Y453*1,"0")</f>
        <v>84</v>
      </c>
      <c r="X552" s="52">
        <f>IFERROR(Y459*1,"0")+IFERROR(Y460*1,"0")+IFERROR(Y461*1,"0")+IFERROR(Y462*1,"0")+IFERROR(Y463*1,"0")+IFERROR(Y464*1,"0")+IFERROR(Y468*1,"0")+IFERROR(Y469*1,"0")</f>
        <v>4.2</v>
      </c>
      <c r="Y552" s="52">
        <f>IFERROR(Y474*1,"0")+IFERROR(Y478*1,"0")+IFERROR(Y479*1,"0")+IFERROR(Y480*1,"0")</f>
        <v>4.2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1431.36</v>
      </c>
      <c r="AA552" s="52">
        <f>IFERROR(Y516*1,"0")+IFERROR(Y520*1,"0")+IFERROR(Y524*1,"0")+IFERROR(Y525*1,"0")+IFERROR(Y529*1,"0")+IFERROR(Y533*1,"0")+IFERROR(Y534*1,"0")</f>
        <v>933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3,00"/>
        <filter val="1 045,00"/>
        <filter val="1 118,00"/>
        <filter val="1 166,00"/>
        <filter val="1 185,00"/>
        <filter val="1 351,00"/>
        <filter val="1,00"/>
        <filter val="1,67"/>
        <filter val="103,00"/>
        <filter val="104,00"/>
        <filter val="105,00"/>
        <filter val="105,26"/>
        <filter val="107,93"/>
        <filter val="118,33"/>
        <filter val="123,00"/>
        <filter val="124,00"/>
        <filter val="126,00"/>
        <filter val="127,00"/>
        <filter val="13,49"/>
        <filter val="138,00"/>
        <filter val="139,28"/>
        <filter val="14,00"/>
        <filter val="145,00"/>
        <filter val="149,00"/>
        <filter val="15,00"/>
        <filter val="15,15"/>
        <filter val="15,31"/>
        <filter val="15,36"/>
        <filter val="151,00"/>
        <filter val="152,00"/>
        <filter val="158,81"/>
        <filter val="169,00"/>
        <filter val="17 470,00"/>
        <filter val="17,00"/>
        <filter val="171,00"/>
        <filter val="175,00"/>
        <filter val="179,00"/>
        <filter val="18 670,05"/>
        <filter val="18,00"/>
        <filter val="18,18"/>
        <filter val="18,23"/>
        <filter val="185,00"/>
        <filter val="19 470,05"/>
        <filter val="19,00"/>
        <filter val="19,28"/>
        <filter val="191,00"/>
        <filter val="198,00"/>
        <filter val="2,00"/>
        <filter val="20,00"/>
        <filter val="200,62"/>
        <filter val="21,00"/>
        <filter val="216,00"/>
        <filter val="220,00"/>
        <filter val="223,00"/>
        <filter val="226,11"/>
        <filter val="23,00"/>
        <filter val="239,00"/>
        <filter val="24,00"/>
        <filter val="259,20"/>
        <filter val="26,00"/>
        <filter val="26,67"/>
        <filter val="261,55"/>
        <filter val="262,13"/>
        <filter val="273,00"/>
        <filter val="28,00"/>
        <filter val="283,00"/>
        <filter val="284,00"/>
        <filter val="285,00"/>
        <filter val="29,00"/>
        <filter val="296,00"/>
        <filter val="3 761,29"/>
        <filter val="3 916,00"/>
        <filter val="3,00"/>
        <filter val="3,11"/>
        <filter val="3,33"/>
        <filter val="3,50"/>
        <filter val="3,59"/>
        <filter val="3,67"/>
        <filter val="3,89"/>
        <filter val="3,97"/>
        <filter val="30,00"/>
        <filter val="31,00"/>
        <filter val="311,00"/>
        <filter val="32"/>
        <filter val="33,00"/>
        <filter val="343,00"/>
        <filter val="347,00"/>
        <filter val="35,00"/>
        <filter val="36,00"/>
        <filter val="360,00"/>
        <filter val="361,00"/>
        <filter val="367,00"/>
        <filter val="37,00"/>
        <filter val="379,00"/>
        <filter val="4,00"/>
        <filter val="4,44"/>
        <filter val="4,50"/>
        <filter val="40,00"/>
        <filter val="402,00"/>
        <filter val="403,46"/>
        <filter val="409,00"/>
        <filter val="41,00"/>
        <filter val="42,00"/>
        <filter val="43,00"/>
        <filter val="434,00"/>
        <filter val="44,00"/>
        <filter val="45,00"/>
        <filter val="462,00"/>
        <filter val="464,00"/>
        <filter val="48,00"/>
        <filter val="480,00"/>
        <filter val="487,14"/>
        <filter val="49,00"/>
        <filter val="490,00"/>
        <filter val="5,00"/>
        <filter val="51,00"/>
        <filter val="51,25"/>
        <filter val="51,54"/>
        <filter val="517,00"/>
        <filter val="524,00"/>
        <filter val="54,00"/>
        <filter val="558,00"/>
        <filter val="6,00"/>
        <filter val="60,00"/>
        <filter val="62,00"/>
        <filter val="63,00"/>
        <filter val="64,00"/>
        <filter val="65,00"/>
        <filter val="66,00"/>
        <filter val="66,89"/>
        <filter val="662,00"/>
        <filter val="665,00"/>
        <filter val="67,00"/>
        <filter val="676,00"/>
        <filter val="68,00"/>
        <filter val="68,64"/>
        <filter val="697,00"/>
        <filter val="7,00"/>
        <filter val="706,00"/>
        <filter val="72,00"/>
        <filter val="73,00"/>
        <filter val="74,53"/>
        <filter val="78,00"/>
        <filter val="8,00"/>
        <filter val="8,33"/>
        <filter val="80,00"/>
        <filter val="82,00"/>
        <filter val="85,94"/>
        <filter val="869,00"/>
        <filter val="87,00"/>
        <filter val="87,19"/>
        <filter val="88,00"/>
        <filter val="901,00"/>
        <filter val="957,00"/>
        <filter val="96,11"/>
        <filter val="96,56"/>
        <filter val="97,65"/>
        <filter val="99,00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9" spans="2:8" x14ac:dyDescent="0.2">
      <c r="B9" s="53" t="s">
        <v>860</v>
      </c>
      <c r="C9" s="53" t="s">
        <v>855</v>
      </c>
      <c r="D9" s="53" t="s">
        <v>46</v>
      </c>
      <c r="E9" s="53" t="s">
        <v>46</v>
      </c>
    </row>
    <row r="11" spans="2:8" x14ac:dyDescent="0.2">
      <c r="B11" s="53" t="s">
        <v>860</v>
      </c>
      <c r="C11" s="53" t="s">
        <v>858</v>
      </c>
      <c r="D11" s="53" t="s">
        <v>46</v>
      </c>
      <c r="E11" s="53" t="s">
        <v>46</v>
      </c>
    </row>
    <row r="13" spans="2:8" x14ac:dyDescent="0.2">
      <c r="B13" s="53" t="s">
        <v>861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