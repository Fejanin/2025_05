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77AC808-51FA-4367-BB5D-7C563892B9E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X455" i="2"/>
  <c r="X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B552" i="2" l="1"/>
  <c r="Y383" i="2"/>
  <c r="Z529" i="2"/>
  <c r="Z530" i="2" s="1"/>
  <c r="Y530" i="2"/>
  <c r="Y511" i="2"/>
  <c r="F552" i="2"/>
  <c r="Z204" i="2"/>
  <c r="BN204" i="2"/>
  <c r="Z400" i="2"/>
  <c r="Z192" i="2"/>
  <c r="Z193" i="2" s="1"/>
  <c r="BP487" i="2"/>
  <c r="Z43" i="2"/>
  <c r="Z112" i="2"/>
  <c r="Z170" i="2"/>
  <c r="BN170" i="2"/>
  <c r="Z201" i="2"/>
  <c r="Z222" i="2"/>
  <c r="BN222" i="2"/>
  <c r="Z357" i="2"/>
  <c r="BP462" i="2"/>
  <c r="BP500" i="2"/>
  <c r="X544" i="2"/>
  <c r="Z66" i="2"/>
  <c r="Y79" i="2"/>
  <c r="Z78" i="2"/>
  <c r="Z79" i="2" s="1"/>
  <c r="BN78" i="2"/>
  <c r="Y80" i="2"/>
  <c r="Z123" i="2"/>
  <c r="BN123" i="2"/>
  <c r="Z166" i="2"/>
  <c r="Y194" i="2"/>
  <c r="Z203" i="2"/>
  <c r="Z213" i="2"/>
  <c r="BN213" i="2"/>
  <c r="Z244" i="2"/>
  <c r="Z245" i="2" s="1"/>
  <c r="Z310" i="2"/>
  <c r="Z443" i="2"/>
  <c r="BN443" i="2"/>
  <c r="Z451" i="2"/>
  <c r="BN451" i="2"/>
  <c r="Y454" i="2"/>
  <c r="Z479" i="2"/>
  <c r="BP490" i="2"/>
  <c r="BP520" i="2"/>
  <c r="BN30" i="2"/>
  <c r="Z30" i="2"/>
  <c r="BN51" i="2"/>
  <c r="BN64" i="2"/>
  <c r="BN71" i="2"/>
  <c r="BP71" i="2"/>
  <c r="BN95" i="2"/>
  <c r="H552" i="2"/>
  <c r="Y135" i="2"/>
  <c r="BN133" i="2"/>
  <c r="Z133" i="2"/>
  <c r="BN162" i="2"/>
  <c r="Y164" i="2"/>
  <c r="Y163" i="2"/>
  <c r="BP162" i="2"/>
  <c r="BN173" i="2"/>
  <c r="BN187" i="2"/>
  <c r="Y190" i="2"/>
  <c r="BN188" i="2"/>
  <c r="Z188" i="2"/>
  <c r="BN215" i="2"/>
  <c r="Z215" i="2"/>
  <c r="BN260" i="2"/>
  <c r="BP277" i="2"/>
  <c r="Z277" i="2"/>
  <c r="BN281" i="2"/>
  <c r="Z281" i="2"/>
  <c r="BN291" i="2"/>
  <c r="BN380" i="2"/>
  <c r="BN393" i="2"/>
  <c r="Z393" i="2"/>
  <c r="BN437" i="2"/>
  <c r="BN453" i="2"/>
  <c r="BP453" i="2"/>
  <c r="BP30" i="2"/>
  <c r="BP31" i="2"/>
  <c r="Z31" i="2"/>
  <c r="BP103" i="2"/>
  <c r="BN103" i="2"/>
  <c r="Z103" i="2"/>
  <c r="BN108" i="2"/>
  <c r="BP122" i="2"/>
  <c r="Z122" i="2"/>
  <c r="BP133" i="2"/>
  <c r="I552" i="2"/>
  <c r="BN149" i="2"/>
  <c r="Z149" i="2"/>
  <c r="BP169" i="2"/>
  <c r="Z169" i="2"/>
  <c r="BN177" i="2"/>
  <c r="Z177" i="2"/>
  <c r="BP188" i="2"/>
  <c r="BN199" i="2"/>
  <c r="Y210" i="2"/>
  <c r="Y211" i="2"/>
  <c r="BP215" i="2"/>
  <c r="BN217" i="2"/>
  <c r="BP225" i="2"/>
  <c r="BN225" i="2"/>
  <c r="Z225" i="2"/>
  <c r="BP234" i="2"/>
  <c r="BN234" i="2"/>
  <c r="Z234" i="2"/>
  <c r="Y241" i="2"/>
  <c r="BN255" i="2"/>
  <c r="Z255" i="2"/>
  <c r="BN270" i="2"/>
  <c r="BN301" i="2"/>
  <c r="BN326" i="2"/>
  <c r="Y329" i="2"/>
  <c r="BP332" i="2"/>
  <c r="BN332" i="2"/>
  <c r="Z332" i="2"/>
  <c r="Y337" i="2"/>
  <c r="BN347" i="2"/>
  <c r="BN365" i="2"/>
  <c r="BN388" i="2"/>
  <c r="Z388" i="2"/>
  <c r="BN417" i="2"/>
  <c r="Z417" i="2"/>
  <c r="BN425" i="2"/>
  <c r="Y455" i="2"/>
  <c r="BP460" i="2"/>
  <c r="BN460" i="2"/>
  <c r="BN525" i="2"/>
  <c r="BN53" i="2"/>
  <c r="BN62" i="2"/>
  <c r="BN72" i="2"/>
  <c r="BP77" i="2"/>
  <c r="BN97" i="2"/>
  <c r="BN106" i="2"/>
  <c r="Y139" i="2"/>
  <c r="BN175" i="2"/>
  <c r="BP192" i="2"/>
  <c r="BP201" i="2"/>
  <c r="BP203" i="2"/>
  <c r="BN230" i="2"/>
  <c r="BN238" i="2"/>
  <c r="BN261" i="2"/>
  <c r="BN271" i="2"/>
  <c r="BN278" i="2"/>
  <c r="BN285" i="2"/>
  <c r="BN296" i="2"/>
  <c r="BN334" i="2"/>
  <c r="BN373" i="2"/>
  <c r="BN381" i="2"/>
  <c r="BP400" i="2"/>
  <c r="V552" i="2"/>
  <c r="BN415" i="2"/>
  <c r="BN420" i="2"/>
  <c r="Y433" i="2"/>
  <c r="BN431" i="2"/>
  <c r="Z463" i="2"/>
  <c r="BN463" i="2"/>
  <c r="BN474" i="2"/>
  <c r="BP479" i="2"/>
  <c r="Z552" i="2"/>
  <c r="Z488" i="2"/>
  <c r="BN488" i="2"/>
  <c r="Z491" i="2"/>
  <c r="BN491" i="2"/>
  <c r="BN493" i="2"/>
  <c r="Z498" i="2"/>
  <c r="BN498" i="2"/>
  <c r="Y501" i="2"/>
  <c r="Z506" i="2"/>
  <c r="BN534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35" i="2" l="1"/>
  <c r="Z24" i="2"/>
  <c r="Z408" i="2"/>
  <c r="X545" i="2"/>
  <c r="Z189" i="2"/>
  <c r="Z312" i="2"/>
  <c r="Z454" i="2"/>
  <c r="Z395" i="2"/>
  <c r="Z444" i="2"/>
  <c r="Z134" i="2"/>
  <c r="Z159" i="2"/>
  <c r="Z256" i="2"/>
  <c r="Z241" i="2"/>
  <c r="Z227" i="2"/>
  <c r="Z74" i="2"/>
  <c r="Z526" i="2"/>
  <c r="Z433" i="2"/>
  <c r="Z124" i="2"/>
  <c r="Z109" i="2"/>
  <c r="Z298" i="2"/>
  <c r="Z495" i="2"/>
  <c r="Z465" i="2"/>
  <c r="Z144" i="2"/>
  <c r="Z369" i="2"/>
  <c r="Z535" i="2"/>
  <c r="Z359" i="2"/>
  <c r="Z389" i="2"/>
  <c r="Z32" i="2"/>
  <c r="Z251" i="2"/>
  <c r="Y543" i="2"/>
  <c r="Z282" i="2"/>
  <c r="Y544" i="2"/>
  <c r="Y545" i="2" s="1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<sst xmlns="http://schemas.openxmlformats.org/spreadsheetml/2006/main" count="4118" uniqueCount="878">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</sst>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877</v>
      </c>
      <c r="I5" s="631"/>
      <c r="J5" s="631"/>
      <c r="K5" s="631"/>
      <c r="L5" s="631"/>
      <c r="M5" s="631"/>
      <c r="N5" s="72"/>
      <c r="P5" s="27" t="s">
        <v>4</v>
      </c>
      <c r="Q5" s="633">
        <v>46227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10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108</v>
      </c>
      <c r="Y56" s="43">
        <f>IFERROR(SUM(Y51:Y54),"0")</f>
        <v>108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691.2</v>
      </c>
      <c r="Y61" s="55">
        <f t="shared" si="0"/>
        <v>691.2</v>
      </c>
      <c r="Z61" s="41">
        <f>IFERROR(IF(Y61=0,"",ROUNDUP(Y61/H61,0)*0.01898),"")</f>
        <v>1.21472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717.44</v>
      </c>
      <c r="BN61" s="78">
        <f t="shared" si="2"/>
        <v>717.44</v>
      </c>
      <c r="BO61" s="78">
        <f t="shared" si="3"/>
        <v>1</v>
      </c>
      <c r="BP61" s="78">
        <f t="shared" si="4"/>
        <v>1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64</v>
      </c>
      <c r="Y67" s="43">
        <f>IFERROR(Y59/H59,"0")+IFERROR(Y60/H60,"0")+IFERROR(Y61/H61,"0")+IFERROR(Y62/H62,"0")+IFERROR(Y63/H63,"0")+IFERROR(Y64/H64,"0")+IFERROR(Y65/H65,"0")+IFERROR(Y66/H66,"0")</f>
        <v>64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1.21472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691.2</v>
      </c>
      <c r="Y68" s="43">
        <f>IFERROR(SUM(Y59:Y66),"0")</f>
        <v>691.2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40.5</v>
      </c>
      <c r="Y95" s="55">
        <f>IFERROR(IF(X95="",0,CEILING((X95/$H95),1)*$H95),"")</f>
        <v>40.5</v>
      </c>
      <c r="Z95" s="41">
        <f>IFERROR(IF(Y95=0,"",ROUNDUP(Y95/H95,0)*0.01898),"")</f>
        <v>9.4899999999999998E-2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42.97</v>
      </c>
      <c r="BN95" s="78">
        <f>IFERROR(Y95*I95/H95,"0")</f>
        <v>42.97</v>
      </c>
      <c r="BO95" s="78">
        <f>IFERROR(1/J95*(X95/H95),"0")</f>
        <v>7.8125E-2</v>
      </c>
      <c r="BP95" s="78">
        <f>IFERROR(1/J95*(Y95/H95),"0")</f>
        <v>7.8125E-2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5</v>
      </c>
      <c r="Y99" s="43">
        <f>IFERROR(Y95/H95,"0")+IFERROR(Y96/H96,"0")+IFERROR(Y97/H97,"0")+IFERROR(Y98/H98,"0")</f>
        <v>5</v>
      </c>
      <c r="Z99" s="43">
        <f>IFERROR(IF(Z95="",0,Z95),"0")+IFERROR(IF(Z96="",0,Z96),"0")+IFERROR(IF(Z97="",0,Z97),"0")+IFERROR(IF(Z98="",0,Z98),"0")</f>
        <v>9.4899999999999998E-2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40.5</v>
      </c>
      <c r="Y100" s="43">
        <f>IFERROR(SUM(Y95:Y98),"0")</f>
        <v>40.5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10</v>
      </c>
      <c r="Y124" s="43">
        <f>IFERROR(Y120/H120,"0")+IFERROR(Y121/H121,"0")+IFERROR(Y122/H122,"0")+IFERROR(Y123/H123,"0")</f>
        <v>10</v>
      </c>
      <c r="Z124" s="43">
        <f>IFERROR(IF(Z120="",0,Z120),"0")+IFERROR(IF(Z121="",0,Z121),"0")+IFERROR(IF(Z122="",0,Z122),"0")+IFERROR(IF(Z123="",0,Z123),"0")</f>
        <v>0.1898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81</v>
      </c>
      <c r="Y125" s="43">
        <f>IFERROR(SUM(Y120:Y123),"0")</f>
        <v>81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180</v>
      </c>
      <c r="Y167" s="55">
        <f t="shared" si="10"/>
        <v>180</v>
      </c>
      <c r="Z167" s="41">
        <f>IFERROR(IF(Y167=0,"",ROUNDUP(Y167/H167,0)*0.01898),"")</f>
        <v>0.37959999999999999</v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191.20000000000002</v>
      </c>
      <c r="BN167" s="78">
        <f t="shared" si="12"/>
        <v>191.20000000000002</v>
      </c>
      <c r="BO167" s="78">
        <f t="shared" si="13"/>
        <v>0.3125</v>
      </c>
      <c r="BP167" s="78">
        <f t="shared" si="14"/>
        <v>0.3125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0.37959999999999999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180</v>
      </c>
      <c r="Y179" s="43">
        <f>IFERROR(SUM(Y166:Y177),"0")</f>
        <v>180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10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108</v>
      </c>
      <c r="Y322" s="43">
        <f>IFERROR(SUM(Y316:Y320),"0")</f>
        <v>108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2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717.44</v>
      </c>
      <c r="BN353" s="78">
        <f t="shared" ref="BN353:BN358" si="44">IFERROR(Y353*I353/H353,"0")</f>
        <v>717.44</v>
      </c>
      <c r="BO353" s="78">
        <f t="shared" ref="BO353:BO358" si="45">IFERROR(1/J353*(X353/H353),"0")</f>
        <v>1</v>
      </c>
      <c r="BP353" s="78">
        <f t="shared" ref="BP353:BP358" si="46">IFERROR(1/J353*(Y353/H353),"0")</f>
        <v>1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64</v>
      </c>
      <c r="Y359" s="43">
        <f>IFERROR(Y353/H353,"0")+IFERROR(Y354/H354,"0")+IFERROR(Y355/H355,"0")+IFERROR(Y356/H356,"0")+IFERROR(Y357/H357,"0")+IFERROR(Y358/H358,"0")</f>
        <v>64</v>
      </c>
      <c r="Z359" s="43">
        <f>IFERROR(IF(Z353="",0,Z353),"0")+IFERROR(IF(Z354="",0,Z354),"0")+IFERROR(IF(Z355="",0,Z355),"0")+IFERROR(IF(Z356="",0,Z356),"0")+IFERROR(IF(Z357="",0,Z357),"0")+IFERROR(IF(Z358="",0,Z358),"0")</f>
        <v>1.21472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691.2</v>
      </c>
      <c r="Y360" s="43">
        <f>IFERROR(SUM(Y353:Y358),"0")</f>
        <v>691.2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42</v>
      </c>
      <c r="Y362" s="55">
        <f t="shared" ref="Y362:Y368" si="47">IFERROR(IF(X362="",0,CEILING((X362/$H362),1)*$H362),"")</f>
        <v>42</v>
      </c>
      <c r="Z362" s="41">
        <f>IFERROR(IF(Y362=0,"",ROUNDUP(Y362/H362,0)*0.00902),"")</f>
        <v>9.0200000000000002E-2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44.5</v>
      </c>
      <c r="BN362" s="78">
        <f t="shared" ref="BN362:BN368" si="49">IFERROR(Y362*I362/H362,"0")</f>
        <v>44.5</v>
      </c>
      <c r="BO362" s="78">
        <f t="shared" ref="BO362:BO368" si="50">IFERROR(1/J362*(X362/H362),"0")</f>
        <v>7.575757575757576E-2</v>
      </c>
      <c r="BP362" s="78">
        <f t="shared" ref="BP362:BP368" si="51">IFERROR(1/J362*(Y362/H362),"0")</f>
        <v>7.575757575757576E-2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</v>
      </c>
      <c r="Y369" s="43">
        <f>IFERROR(Y362/H362,"0")+IFERROR(Y363/H363,"0")+IFERROR(Y364/H364,"0")+IFERROR(Y365/H365,"0")+IFERROR(Y366/H366,"0")+IFERROR(Y367/H367,"0")+IFERROR(Y368/H368,"0")</f>
        <v>10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9.0200000000000002E-2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42</v>
      </c>
      <c r="Y370" s="43">
        <f>IFERROR(SUM(Y362:Y368),"0")</f>
        <v>42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195</v>
      </c>
      <c r="Y380" s="55">
        <f>IFERROR(IF(X380="",0,CEILING((X380/$H380),1)*$H380),"")</f>
        <v>195</v>
      </c>
      <c r="Z380" s="41">
        <f>IFERROR(IF(Y380=0,"",ROUNDUP(Y380/H380,0)*0.01898),"")</f>
        <v>0.47450000000000003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207.35000000000002</v>
      </c>
      <c r="BN380" s="78">
        <f>IFERROR(Y380*I380/H380,"0")</f>
        <v>207.35000000000002</v>
      </c>
      <c r="BO380" s="78">
        <f>IFERROR(1/J380*(X380/H380),"0")</f>
        <v>0.390625</v>
      </c>
      <c r="BP380" s="78">
        <f>IFERROR(1/J380*(Y380/H380),"0")</f>
        <v>0.390625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84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88.94</v>
      </c>
      <c r="BN381" s="78">
        <f>IFERROR(Y381*I381/H381,"0")</f>
        <v>88.94</v>
      </c>
      <c r="BO381" s="78">
        <f>IFERROR(1/J381*(X381/H381),"0")</f>
        <v>0.15625</v>
      </c>
      <c r="BP381" s="78">
        <f>IFERROR(1/J381*(Y381/H381),"0")</f>
        <v>0.15625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35</v>
      </c>
      <c r="Y382" s="43">
        <f>IFERROR(Y379/H379,"0")+IFERROR(Y380/H380,"0")+IFERROR(Y381/H381,"0")</f>
        <v>35</v>
      </c>
      <c r="Z382" s="43">
        <f>IFERROR(IF(Z379="",0,Z379),"0")+IFERROR(IF(Z380="",0,Z380),"0")+IFERROR(IF(Z381="",0,Z381),"0")</f>
        <v>0.6643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279</v>
      </c>
      <c r="Y383" s="43">
        <f>IFERROR(SUM(Y379:Y381),"0")</f>
        <v>279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720</v>
      </c>
      <c r="Y415" s="55">
        <f t="shared" si="52"/>
        <v>720</v>
      </c>
      <c r="Z415" s="41">
        <f>IFERROR(IF(Y415=0,"",ROUNDUP(Y415/H415,0)*0.02175),"")</f>
        <v>1.044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742.56</v>
      </c>
      <c r="BN415" s="78">
        <f t="shared" si="54"/>
        <v>742.56</v>
      </c>
      <c r="BO415" s="78">
        <f t="shared" si="55"/>
        <v>1</v>
      </c>
      <c r="BP415" s="78">
        <f t="shared" si="56"/>
        <v>1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720</v>
      </c>
      <c r="Y417" s="55">
        <f t="shared" si="52"/>
        <v>720</v>
      </c>
      <c r="Z417" s="41">
        <f>IFERROR(IF(Y417=0,"",ROUNDUP(Y417/H417,0)*0.02175),"")</f>
        <v>1.044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742.56</v>
      </c>
      <c r="BN417" s="78">
        <f t="shared" si="54"/>
        <v>742.56</v>
      </c>
      <c r="BO417" s="78">
        <f t="shared" si="55"/>
        <v>1</v>
      </c>
      <c r="BP417" s="78">
        <f t="shared" si="56"/>
        <v>1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96</v>
      </c>
      <c r="Y421" s="43">
        <f>IFERROR(Y413/H413,"0")+IFERROR(Y414/H414,"0")+IFERROR(Y415/H415,"0")+IFERROR(Y416/H416,"0")+IFERROR(Y417/H417,"0")+IFERROR(Y418/H418,"0")+IFERROR(Y419/H419,"0")+IFERROR(Y420/H420,"0")</f>
        <v>96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2.0880000000000001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1440</v>
      </c>
      <c r="Y422" s="43">
        <f>IFERROR(SUM(Y413:Y420),"0")</f>
        <v>1440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720</v>
      </c>
      <c r="Y424" s="55">
        <f>IFERROR(IF(X424="",0,CEILING((X424/$H424),1)*$H424),"")</f>
        <v>720</v>
      </c>
      <c r="Z424" s="41">
        <f>IFERROR(IF(Y424=0,"",ROUNDUP(Y424/H424,0)*0.02175),"")</f>
        <v>1.044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742.56</v>
      </c>
      <c r="BN424" s="78">
        <f>IFERROR(Y424*I424/H424,"0")</f>
        <v>742.56</v>
      </c>
      <c r="BO424" s="78">
        <f>IFERROR(1/J424*(X424/H424),"0")</f>
        <v>1</v>
      </c>
      <c r="BP424" s="78">
        <f>IFERROR(1/J424*(Y424/H424),"0")</f>
        <v>1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48</v>
      </c>
      <c r="Y427" s="43">
        <f>IFERROR(Y424/H424,"0")+IFERROR(Y425/H425,"0")+IFERROR(Y426/H426,"0")</f>
        <v>48</v>
      </c>
      <c r="Z427" s="43">
        <f>IFERROR(IF(Z424="",0,Z424),"0")+IFERROR(IF(Z425="",0,Z425),"0")+IFERROR(IF(Z426="",0,Z426),"0")</f>
        <v>1.044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720</v>
      </c>
      <c r="Y428" s="43">
        <f>IFERROR(SUM(Y424:Y426),"0")</f>
        <v>720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45</v>
      </c>
      <c r="Y431" s="55">
        <f>IFERROR(IF(X431="",0,CEILING((X431/$H431),1)*$H431),"")</f>
        <v>45</v>
      </c>
      <c r="Z431" s="41">
        <f>IFERROR(IF(Y431=0,"",ROUNDUP(Y431/H431,0)*0.01898),"")</f>
        <v>9.4899999999999998E-2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47.5</v>
      </c>
      <c r="BN431" s="78">
        <f>IFERROR(Y431*I431/H431,"0")</f>
        <v>47.5</v>
      </c>
      <c r="BO431" s="78">
        <f>IFERROR(1/J431*(X431/H431),"0")</f>
        <v>7.8125E-2</v>
      </c>
      <c r="BP431" s="78">
        <f>IFERROR(1/J431*(Y431/H431),"0")</f>
        <v>7.8125E-2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5</v>
      </c>
      <c r="Y433" s="43">
        <f>IFERROR(Y430/H430,"0")+IFERROR(Y431/H431,"0")+IFERROR(Y432/H432,"0")</f>
        <v>5</v>
      </c>
      <c r="Z433" s="43">
        <f>IFERROR(IF(Z430="",0,Z430),"0")+IFERROR(IF(Z431="",0,Z431),"0")+IFERROR(IF(Z432="",0,Z432),"0")</f>
        <v>9.4899999999999998E-2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45</v>
      </c>
      <c r="Y434" s="43">
        <f>IFERROR(SUM(Y430:Y432),"0")</f>
        <v>45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52.8</v>
      </c>
      <c r="Y489" s="55">
        <f t="shared" si="62"/>
        <v>52.800000000000004</v>
      </c>
      <c r="Z489" s="41">
        <f t="shared" si="63"/>
        <v>0.1196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56.29999999999999</v>
      </c>
      <c r="BN489" s="78">
        <f t="shared" si="65"/>
        <v>56.3</v>
      </c>
      <c r="BO489" s="78">
        <f t="shared" si="66"/>
        <v>9.6153846153846145E-2</v>
      </c>
      <c r="BP489" s="78">
        <f t="shared" si="67"/>
        <v>9.6153846153846159E-2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79.2</v>
      </c>
      <c r="Y491" s="55">
        <f t="shared" si="62"/>
        <v>79.2</v>
      </c>
      <c r="Z491" s="41">
        <f t="shared" si="63"/>
        <v>0.1794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84.45</v>
      </c>
      <c r="BN491" s="78">
        <f t="shared" si="65"/>
        <v>84.45</v>
      </c>
      <c r="BO491" s="78">
        <f t="shared" si="66"/>
        <v>0.14423076923076925</v>
      </c>
      <c r="BP491" s="78">
        <f t="shared" si="67"/>
        <v>0.14423076923076925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25</v>
      </c>
      <c r="Y495" s="43">
        <f>IFERROR(Y486/H486,"0")+IFERROR(Y487/H487,"0")+IFERROR(Y488/H488,"0")+IFERROR(Y489/H489,"0")+IFERROR(Y490/H490,"0")+IFERROR(Y491/H491,"0")+IFERROR(Y492/H492,"0")+IFERROR(Y493/H493,"0")+IFERROR(Y494/H494,"0")</f>
        <v>25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0.29899999999999999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132</v>
      </c>
      <c r="Y496" s="43">
        <f>IFERROR(SUM(Y486:Y494),"0")</f>
        <v>132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52.8</v>
      </c>
      <c r="Y498" s="55">
        <f>IFERROR(IF(X498="",0,CEILING((X498/$H498),1)*$H498),"")</f>
        <v>52.800000000000004</v>
      </c>
      <c r="Z498" s="41">
        <f>IFERROR(IF(Y498=0,"",ROUNDUP(Y498/H498,0)*0.01196),"")</f>
        <v>0.1196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56.29999999999999</v>
      </c>
      <c r="BN498" s="78">
        <f>IFERROR(Y498*I498/H498,"0")</f>
        <v>56.3</v>
      </c>
      <c r="BO498" s="78">
        <f>IFERROR(1/J498*(X498/H498),"0")</f>
        <v>9.6153846153846145E-2</v>
      </c>
      <c r="BP498" s="78">
        <f>IFERROR(1/J498*(Y498/H498),"0")</f>
        <v>9.6153846153846159E-2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9.9999999999999982</v>
      </c>
      <c r="Y501" s="43">
        <f>IFERROR(Y498/H498,"0")+IFERROR(Y499/H499,"0")+IFERROR(Y500/H500,"0")</f>
        <v>10</v>
      </c>
      <c r="Z501" s="43">
        <f>IFERROR(IF(Z498="",0,Z498),"0")+IFERROR(IF(Z499="",0,Z499),"0")+IFERROR(IF(Z500="",0,Z500),"0")</f>
        <v>0.1196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52.8</v>
      </c>
      <c r="Y502" s="43">
        <f>IFERROR(SUM(Y498:Y500),"0")</f>
        <v>52.800000000000004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hidden="1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79.2</v>
      </c>
      <c r="Y505" s="55">
        <f t="shared" si="68"/>
        <v>79.2</v>
      </c>
      <c r="Z505" s="41">
        <f>IFERROR(IF(Y505=0,"",ROUNDUP(Y505/H505,0)*0.01196),"")</f>
        <v>0.1794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84.45</v>
      </c>
      <c r="BN505" s="78">
        <f t="shared" si="70"/>
        <v>84.45</v>
      </c>
      <c r="BO505" s="78">
        <f t="shared" si="71"/>
        <v>0.14423076923076925</v>
      </c>
      <c r="BP505" s="78">
        <f t="shared" si="72"/>
        <v>0.14423076923076925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79.2</v>
      </c>
      <c r="Y506" s="55">
        <f t="shared" si="68"/>
        <v>79.2</v>
      </c>
      <c r="Z506" s="41">
        <f>IFERROR(IF(Y506=0,"",ROUNDUP(Y506/H506,0)*0.01196),"")</f>
        <v>0.1794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84.45</v>
      </c>
      <c r="BN506" s="78">
        <f t="shared" si="70"/>
        <v>84.45</v>
      </c>
      <c r="BO506" s="78">
        <f t="shared" si="71"/>
        <v>0.14423076923076925</v>
      </c>
      <c r="BP506" s="78">
        <f t="shared" si="72"/>
        <v>0.14423076923076925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30</v>
      </c>
      <c r="Y511" s="43">
        <f>IFERROR(Y504/H504,"0")+IFERROR(Y505/H505,"0")+IFERROR(Y506/H506,"0")+IFERROR(Y507/H507,"0")+IFERROR(Y508/H508,"0")+IFERROR(Y509/H509,"0")+IFERROR(Y510/H510,"0")</f>
        <v>30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0.35880000000000001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158.4</v>
      </c>
      <c r="Y512" s="43">
        <f>IFERROR(SUM(Y504:Y510),"0")</f>
        <v>158.4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4769.0999999999995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4769.0999999999995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4961.05</v>
      </c>
      <c r="Y543" s="43">
        <f>IFERROR(SUM(BN22:BN539),"0")</f>
        <v>4961.05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8</v>
      </c>
      <c r="Y544" s="44">
        <f>ROUNDUP(SUM(BP22:BP539),0)</f>
        <v>8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5161.05</v>
      </c>
      <c r="Y545" s="43">
        <f>GrossWeightTotalR+PalletQtyTotalR*25</f>
        <v>5161.05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442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442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8.2321400000000011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108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691.2</v>
      </c>
      <c r="F552" s="52">
        <f>IFERROR(Y88*1,"0")+IFERROR(Y89*1,"0")+IFERROR(Y90*1,"0")+IFERROR(Y91*1,"0")+IFERROR(Y95*1,"0")+IFERROR(Y96*1,"0")+IFERROR(Y97*1,"0")+IFERROR(Y98*1,"0")</f>
        <v>40.5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81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180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108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1012.2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2205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343.2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8,00"/>
        <filter val="132,00"/>
        <filter val="158,40"/>
        <filter val="180,00"/>
        <filter val="195,00"/>
        <filter val="20,00"/>
        <filter val="25,00"/>
        <filter val="279,00"/>
        <filter val="30,00"/>
        <filter val="35,00"/>
        <filter val="4 769,10"/>
        <filter val="4 961,05"/>
        <filter val="40,50"/>
        <filter val="42,00"/>
        <filter val="442,00"/>
        <filter val="45,00"/>
        <filter val="48,00"/>
        <filter val="5 161,05"/>
        <filter val="5,00"/>
        <filter val="52,80"/>
        <filter val="64,00"/>
        <filter val="691,20"/>
        <filter val="720,00"/>
        <filter val="79,20"/>
        <filter val="8"/>
        <filter val="81,00"/>
        <filter val="84,00"/>
        <filter val="96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