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50C9C5B-7DB4-449A-B979-4EB18731C64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BP525" i="2" s="1"/>
  <c r="P525" i="2"/>
  <c r="BO524" i="2"/>
  <c r="BM524" i="2"/>
  <c r="Y524" i="2"/>
  <c r="BN524" i="2" s="1"/>
  <c r="P524" i="2"/>
  <c r="X522" i="2"/>
  <c r="X521" i="2"/>
  <c r="BO520" i="2"/>
  <c r="BM520" i="2"/>
  <c r="Y520" i="2"/>
  <c r="P520" i="2"/>
  <c r="X518" i="2"/>
  <c r="X517" i="2"/>
  <c r="BO516" i="2"/>
  <c r="BM516" i="2"/>
  <c r="Y516" i="2"/>
  <c r="P516" i="2"/>
  <c r="X512" i="2"/>
  <c r="X511" i="2"/>
  <c r="BO510" i="2"/>
  <c r="BM510" i="2"/>
  <c r="Y510" i="2"/>
  <c r="BN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P504" i="2"/>
  <c r="X502" i="2"/>
  <c r="X501" i="2"/>
  <c r="BO500" i="2"/>
  <c r="BM500" i="2"/>
  <c r="Y500" i="2"/>
  <c r="P500" i="2"/>
  <c r="BO499" i="2"/>
  <c r="BM499" i="2"/>
  <c r="Y499" i="2"/>
  <c r="P499" i="2"/>
  <c r="BO498" i="2"/>
  <c r="BM498" i="2"/>
  <c r="Y498" i="2"/>
  <c r="BP498" i="2" s="1"/>
  <c r="P498" i="2"/>
  <c r="X496" i="2"/>
  <c r="X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P491" i="2"/>
  <c r="BO490" i="2"/>
  <c r="BM490" i="2"/>
  <c r="Y490" i="2"/>
  <c r="P490" i="2"/>
  <c r="BO489" i="2"/>
  <c r="BM489" i="2"/>
  <c r="Y489" i="2"/>
  <c r="BP489" i="2" s="1"/>
  <c r="P489" i="2"/>
  <c r="BO488" i="2"/>
  <c r="BM488" i="2"/>
  <c r="Y488" i="2"/>
  <c r="BP488" i="2" s="1"/>
  <c r="P488" i="2"/>
  <c r="BO487" i="2"/>
  <c r="BM487" i="2"/>
  <c r="Y487" i="2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BP469" i="2" s="1"/>
  <c r="P469" i="2"/>
  <c r="BO468" i="2"/>
  <c r="BM468" i="2"/>
  <c r="Y468" i="2"/>
  <c r="Z468" i="2" s="1"/>
  <c r="P468" i="2"/>
  <c r="X466" i="2"/>
  <c r="X465" i="2"/>
  <c r="BO464" i="2"/>
  <c r="BM464" i="2"/>
  <c r="Y464" i="2"/>
  <c r="BP464" i="2" s="1"/>
  <c r="P464" i="2"/>
  <c r="BO463" i="2"/>
  <c r="BM463" i="2"/>
  <c r="Y463" i="2"/>
  <c r="BP463" i="2" s="1"/>
  <c r="P463" i="2"/>
  <c r="BO462" i="2"/>
  <c r="BM462" i="2"/>
  <c r="Y462" i="2"/>
  <c r="P462" i="2"/>
  <c r="BO461" i="2"/>
  <c r="BM461" i="2"/>
  <c r="Y461" i="2"/>
  <c r="BP461" i="2" s="1"/>
  <c r="P461" i="2"/>
  <c r="BO460" i="2"/>
  <c r="BM460" i="2"/>
  <c r="Y460" i="2"/>
  <c r="BP460" i="2" s="1"/>
  <c r="P460" i="2"/>
  <c r="BO459" i="2"/>
  <c r="BM459" i="2"/>
  <c r="Y459" i="2"/>
  <c r="P459" i="2"/>
  <c r="X455" i="2"/>
  <c r="X454" i="2"/>
  <c r="BP453" i="2"/>
  <c r="BO453" i="2"/>
  <c r="BM453" i="2"/>
  <c r="Y453" i="2"/>
  <c r="BN453" i="2" s="1"/>
  <c r="P453" i="2"/>
  <c r="BO452" i="2"/>
  <c r="BM452" i="2"/>
  <c r="Y452" i="2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P443" i="2"/>
  <c r="BO442" i="2"/>
  <c r="BM442" i="2"/>
  <c r="Y442" i="2"/>
  <c r="Y444" i="2" s="1"/>
  <c r="P442" i="2"/>
  <c r="X439" i="2"/>
  <c r="X438" i="2"/>
  <c r="BO437" i="2"/>
  <c r="BM437" i="2"/>
  <c r="Y437" i="2"/>
  <c r="Z437" i="2" s="1"/>
  <c r="P437" i="2"/>
  <c r="BO436" i="2"/>
  <c r="BM436" i="2"/>
  <c r="Y436" i="2"/>
  <c r="Y439" i="2" s="1"/>
  <c r="P436" i="2"/>
  <c r="X434" i="2"/>
  <c r="X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Y433" i="2" s="1"/>
  <c r="P430" i="2"/>
  <c r="X428" i="2"/>
  <c r="X427" i="2"/>
  <c r="BO426" i="2"/>
  <c r="BM426" i="2"/>
  <c r="Y426" i="2"/>
  <c r="Z426" i="2" s="1"/>
  <c r="P426" i="2"/>
  <c r="BO425" i="2"/>
  <c r="BM425" i="2"/>
  <c r="Y425" i="2"/>
  <c r="BP425" i="2" s="1"/>
  <c r="P425" i="2"/>
  <c r="BO424" i="2"/>
  <c r="BM424" i="2"/>
  <c r="Y424" i="2"/>
  <c r="P424" i="2"/>
  <c r="X422" i="2"/>
  <c r="X421" i="2"/>
  <c r="BO420" i="2"/>
  <c r="BM420" i="2"/>
  <c r="Y420" i="2"/>
  <c r="BP420" i="2" s="1"/>
  <c r="P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BP415" i="2" s="1"/>
  <c r="P415" i="2"/>
  <c r="BO414" i="2"/>
  <c r="BM414" i="2"/>
  <c r="Y414" i="2"/>
  <c r="BP414" i="2" s="1"/>
  <c r="P414" i="2"/>
  <c r="BO413" i="2"/>
  <c r="BM413" i="2"/>
  <c r="Y413" i="2"/>
  <c r="P413" i="2"/>
  <c r="X409" i="2"/>
  <c r="X408" i="2"/>
  <c r="BO407" i="2"/>
  <c r="BM407" i="2"/>
  <c r="Y407" i="2"/>
  <c r="BP407" i="2" s="1"/>
  <c r="P407" i="2"/>
  <c r="BO406" i="2"/>
  <c r="BM406" i="2"/>
  <c r="Y406" i="2"/>
  <c r="BP406" i="2" s="1"/>
  <c r="P406" i="2"/>
  <c r="BO405" i="2"/>
  <c r="BM405" i="2"/>
  <c r="Y405" i="2"/>
  <c r="Y409" i="2" s="1"/>
  <c r="P405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Z398" i="2" s="1"/>
  <c r="P398" i="2"/>
  <c r="X396" i="2"/>
  <c r="X395" i="2"/>
  <c r="BO394" i="2"/>
  <c r="BM394" i="2"/>
  <c r="Y394" i="2"/>
  <c r="BP394" i="2" s="1"/>
  <c r="P394" i="2"/>
  <c r="BO393" i="2"/>
  <c r="BM393" i="2"/>
  <c r="Y393" i="2"/>
  <c r="BN393" i="2" s="1"/>
  <c r="P393" i="2"/>
  <c r="BO392" i="2"/>
  <c r="BM392" i="2"/>
  <c r="Y392" i="2"/>
  <c r="P392" i="2"/>
  <c r="X390" i="2"/>
  <c r="X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X383" i="2"/>
  <c r="X382" i="2"/>
  <c r="BO381" i="2"/>
  <c r="BM381" i="2"/>
  <c r="Y381" i="2"/>
  <c r="Z381" i="2" s="1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BN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BP368" i="2" s="1"/>
  <c r="P368" i="2"/>
  <c r="BO367" i="2"/>
  <c r="BM367" i="2"/>
  <c r="Y367" i="2"/>
  <c r="BP367" i="2" s="1"/>
  <c r="P367" i="2"/>
  <c r="BO366" i="2"/>
  <c r="BM366" i="2"/>
  <c r="Y366" i="2"/>
  <c r="Z366" i="2" s="1"/>
  <c r="P366" i="2"/>
  <c r="BO365" i="2"/>
  <c r="BM365" i="2"/>
  <c r="Y365" i="2"/>
  <c r="BP365" i="2" s="1"/>
  <c r="P365" i="2"/>
  <c r="BO364" i="2"/>
  <c r="BM364" i="2"/>
  <c r="Y364" i="2"/>
  <c r="BP364" i="2" s="1"/>
  <c r="P364" i="2"/>
  <c r="BO363" i="2"/>
  <c r="BM363" i="2"/>
  <c r="Y363" i="2"/>
  <c r="BP363" i="2" s="1"/>
  <c r="P363" i="2"/>
  <c r="BO362" i="2"/>
  <c r="BM362" i="2"/>
  <c r="Y362" i="2"/>
  <c r="BP362" i="2" s="1"/>
  <c r="P362" i="2"/>
  <c r="X360" i="2"/>
  <c r="X359" i="2"/>
  <c r="BO358" i="2"/>
  <c r="BM358" i="2"/>
  <c r="Y358" i="2"/>
  <c r="BN358" i="2" s="1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BN355" i="2" s="1"/>
  <c r="P355" i="2"/>
  <c r="BO354" i="2"/>
  <c r="BM354" i="2"/>
  <c r="Y354" i="2"/>
  <c r="BP354" i="2" s="1"/>
  <c r="P354" i="2"/>
  <c r="BO353" i="2"/>
  <c r="BM353" i="2"/>
  <c r="Y353" i="2"/>
  <c r="BP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N341" i="2" s="1"/>
  <c r="P341" i="2"/>
  <c r="BO340" i="2"/>
  <c r="BM340" i="2"/>
  <c r="Y340" i="2"/>
  <c r="P340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BP334" i="2" s="1"/>
  <c r="P334" i="2"/>
  <c r="BO333" i="2"/>
  <c r="BM333" i="2"/>
  <c r="Y333" i="2"/>
  <c r="BP333" i="2" s="1"/>
  <c r="P333" i="2"/>
  <c r="BO332" i="2"/>
  <c r="BM332" i="2"/>
  <c r="Z332" i="2"/>
  <c r="Y332" i="2"/>
  <c r="BN332" i="2" s="1"/>
  <c r="P332" i="2"/>
  <c r="X329" i="2"/>
  <c r="X328" i="2"/>
  <c r="BO327" i="2"/>
  <c r="BM327" i="2"/>
  <c r="Y327" i="2"/>
  <c r="BP327" i="2" s="1"/>
  <c r="P327" i="2"/>
  <c r="BO326" i="2"/>
  <c r="BM326" i="2"/>
  <c r="Y326" i="2"/>
  <c r="Z326" i="2" s="1"/>
  <c r="P326" i="2"/>
  <c r="BO325" i="2"/>
  <c r="BM325" i="2"/>
  <c r="Y325" i="2"/>
  <c r="BP325" i="2" s="1"/>
  <c r="P325" i="2"/>
  <c r="X322" i="2"/>
  <c r="X321" i="2"/>
  <c r="BO320" i="2"/>
  <c r="BM320" i="2"/>
  <c r="Y320" i="2"/>
  <c r="Z320" i="2" s="1"/>
  <c r="P320" i="2"/>
  <c r="BO319" i="2"/>
  <c r="BM319" i="2"/>
  <c r="Y319" i="2"/>
  <c r="BN319" i="2" s="1"/>
  <c r="P319" i="2"/>
  <c r="BO318" i="2"/>
  <c r="BM318" i="2"/>
  <c r="Y318" i="2"/>
  <c r="BP318" i="2" s="1"/>
  <c r="P318" i="2"/>
  <c r="BO317" i="2"/>
  <c r="BM317" i="2"/>
  <c r="Y317" i="2"/>
  <c r="BP317" i="2" s="1"/>
  <c r="P317" i="2"/>
  <c r="BO316" i="2"/>
  <c r="BM316" i="2"/>
  <c r="Y316" i="2"/>
  <c r="BP316" i="2" s="1"/>
  <c r="P316" i="2"/>
  <c r="X313" i="2"/>
  <c r="X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Z309" i="2" s="1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BP301" i="2" s="1"/>
  <c r="P301" i="2"/>
  <c r="X299" i="2"/>
  <c r="X298" i="2"/>
  <c r="BO297" i="2"/>
  <c r="BM297" i="2"/>
  <c r="Y297" i="2"/>
  <c r="Z297" i="2" s="1"/>
  <c r="P297" i="2"/>
  <c r="BO296" i="2"/>
  <c r="BM296" i="2"/>
  <c r="Y296" i="2"/>
  <c r="BP296" i="2" s="1"/>
  <c r="P296" i="2"/>
  <c r="BO295" i="2"/>
  <c r="BM295" i="2"/>
  <c r="Y295" i="2"/>
  <c r="BP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X288" i="2"/>
  <c r="X287" i="2"/>
  <c r="BO286" i="2"/>
  <c r="BM286" i="2"/>
  <c r="Y286" i="2"/>
  <c r="Z286" i="2" s="1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Z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BO271" i="2"/>
  <c r="BM271" i="2"/>
  <c r="Y271" i="2"/>
  <c r="Z271" i="2" s="1"/>
  <c r="P271" i="2"/>
  <c r="BO270" i="2"/>
  <c r="BM270" i="2"/>
  <c r="Y270" i="2"/>
  <c r="BP270" i="2" s="1"/>
  <c r="P270" i="2"/>
  <c r="X268" i="2"/>
  <c r="X267" i="2"/>
  <c r="BO266" i="2"/>
  <c r="BM266" i="2"/>
  <c r="Y266" i="2"/>
  <c r="Z266" i="2" s="1"/>
  <c r="P266" i="2"/>
  <c r="BO265" i="2"/>
  <c r="BM265" i="2"/>
  <c r="Y265" i="2"/>
  <c r="BN265" i="2" s="1"/>
  <c r="P265" i="2"/>
  <c r="BO264" i="2"/>
  <c r="BM264" i="2"/>
  <c r="Y264" i="2"/>
  <c r="BP264" i="2" s="1"/>
  <c r="P264" i="2"/>
  <c r="BO263" i="2"/>
  <c r="BM263" i="2"/>
  <c r="Y263" i="2"/>
  <c r="BP263" i="2" s="1"/>
  <c r="P263" i="2"/>
  <c r="BO262" i="2"/>
  <c r="BM262" i="2"/>
  <c r="Y262" i="2"/>
  <c r="BP262" i="2" s="1"/>
  <c r="P262" i="2"/>
  <c r="BO261" i="2"/>
  <c r="BM261" i="2"/>
  <c r="Y261" i="2"/>
  <c r="Z261" i="2" s="1"/>
  <c r="P261" i="2"/>
  <c r="BO260" i="2"/>
  <c r="BM260" i="2"/>
  <c r="Y260" i="2"/>
  <c r="BP260" i="2" s="1"/>
  <c r="P260" i="2"/>
  <c r="BO259" i="2"/>
  <c r="BM259" i="2"/>
  <c r="Y259" i="2"/>
  <c r="P259" i="2"/>
  <c r="X257" i="2"/>
  <c r="X256" i="2"/>
  <c r="BO255" i="2"/>
  <c r="BM255" i="2"/>
  <c r="Y255" i="2"/>
  <c r="BN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Y252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P240" i="2" s="1"/>
  <c r="P240" i="2"/>
  <c r="BO239" i="2"/>
  <c r="BM239" i="2"/>
  <c r="Y239" i="2"/>
  <c r="BP239" i="2" s="1"/>
  <c r="P239" i="2"/>
  <c r="BO238" i="2"/>
  <c r="BM238" i="2"/>
  <c r="Y238" i="2"/>
  <c r="P238" i="2"/>
  <c r="X236" i="2"/>
  <c r="X235" i="2"/>
  <c r="BO234" i="2"/>
  <c r="BM234" i="2"/>
  <c r="Z234" i="2"/>
  <c r="Y234" i="2"/>
  <c r="BN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BP231" i="2" s="1"/>
  <c r="P231" i="2"/>
  <c r="BO230" i="2"/>
  <c r="BM230" i="2"/>
  <c r="Y230" i="2"/>
  <c r="BP230" i="2" s="1"/>
  <c r="P230" i="2"/>
  <c r="X228" i="2"/>
  <c r="X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Z223" i="2" s="1"/>
  <c r="P223" i="2"/>
  <c r="BO222" i="2"/>
  <c r="BM222" i="2"/>
  <c r="Y222" i="2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Z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P214" i="2" s="1"/>
  <c r="P214" i="2"/>
  <c r="BO213" i="2"/>
  <c r="BM213" i="2"/>
  <c r="Y213" i="2"/>
  <c r="P213" i="2"/>
  <c r="X211" i="2"/>
  <c r="X210" i="2"/>
  <c r="BO209" i="2"/>
  <c r="BM209" i="2"/>
  <c r="Y209" i="2"/>
  <c r="Y210" i="2" s="1"/>
  <c r="P209" i="2"/>
  <c r="X206" i="2"/>
  <c r="X205" i="2"/>
  <c r="BO204" i="2"/>
  <c r="BM204" i="2"/>
  <c r="Y204" i="2"/>
  <c r="P204" i="2"/>
  <c r="BO203" i="2"/>
  <c r="BM203" i="2"/>
  <c r="Y203" i="2"/>
  <c r="BP203" i="2" s="1"/>
  <c r="P203" i="2"/>
  <c r="BO202" i="2"/>
  <c r="BM202" i="2"/>
  <c r="Y202" i="2"/>
  <c r="Z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BP192" i="2" s="1"/>
  <c r="P192" i="2"/>
  <c r="X190" i="2"/>
  <c r="X189" i="2"/>
  <c r="BO188" i="2"/>
  <c r="BM188" i="2"/>
  <c r="Y188" i="2"/>
  <c r="BN188" i="2" s="1"/>
  <c r="P188" i="2"/>
  <c r="BO187" i="2"/>
  <c r="BM187" i="2"/>
  <c r="Y187" i="2"/>
  <c r="BN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N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Z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BO170" i="2"/>
  <c r="BM170" i="2"/>
  <c r="Y170" i="2"/>
  <c r="P170" i="2"/>
  <c r="BO169" i="2"/>
  <c r="BM169" i="2"/>
  <c r="Y169" i="2"/>
  <c r="BP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P166" i="2"/>
  <c r="X164" i="2"/>
  <c r="X163" i="2"/>
  <c r="BO162" i="2"/>
  <c r="BM162" i="2"/>
  <c r="Y162" i="2"/>
  <c r="BN162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Y160" i="2" s="1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BO149" i="2"/>
  <c r="BM149" i="2"/>
  <c r="Y149" i="2"/>
  <c r="BN149" i="2" s="1"/>
  <c r="P149" i="2"/>
  <c r="BO148" i="2"/>
  <c r="BM148" i="2"/>
  <c r="Y148" i="2"/>
  <c r="I552" i="2" s="1"/>
  <c r="P148" i="2"/>
  <c r="X145" i="2"/>
  <c r="X144" i="2"/>
  <c r="BO143" i="2"/>
  <c r="BM143" i="2"/>
  <c r="Y143" i="2"/>
  <c r="BN143" i="2" s="1"/>
  <c r="P143" i="2"/>
  <c r="BO142" i="2"/>
  <c r="BM142" i="2"/>
  <c r="Y142" i="2"/>
  <c r="Y144" i="2" s="1"/>
  <c r="P142" i="2"/>
  <c r="X140" i="2"/>
  <c r="X139" i="2"/>
  <c r="BO138" i="2"/>
  <c r="BM138" i="2"/>
  <c r="Y138" i="2"/>
  <c r="BN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Y135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N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X100" i="2"/>
  <c r="X99" i="2"/>
  <c r="BO98" i="2"/>
  <c r="BM98" i="2"/>
  <c r="Y98" i="2"/>
  <c r="Z98" i="2" s="1"/>
  <c r="P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Z95" i="2" s="1"/>
  <c r="P95" i="2"/>
  <c r="X93" i="2"/>
  <c r="X92" i="2"/>
  <c r="BO91" i="2"/>
  <c r="BM91" i="2"/>
  <c r="Y91" i="2"/>
  <c r="BN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Y85" i="2" s="1"/>
  <c r="P82" i="2"/>
  <c r="X80" i="2"/>
  <c r="X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BO71" i="2"/>
  <c r="BM71" i="2"/>
  <c r="Y71" i="2"/>
  <c r="BN71" i="2" s="1"/>
  <c r="P71" i="2"/>
  <c r="BO70" i="2"/>
  <c r="BM70" i="2"/>
  <c r="Y70" i="2"/>
  <c r="P70" i="2"/>
  <c r="X68" i="2"/>
  <c r="X67" i="2"/>
  <c r="BO66" i="2"/>
  <c r="BM66" i="2"/>
  <c r="Y66" i="2"/>
  <c r="P66" i="2"/>
  <c r="BO65" i="2"/>
  <c r="BM65" i="2"/>
  <c r="Y65" i="2"/>
  <c r="Z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P42" i="2"/>
  <c r="BO41" i="2"/>
  <c r="BM41" i="2"/>
  <c r="Y41" i="2"/>
  <c r="BP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H9" i="2" s="1"/>
  <c r="D7" i="2"/>
  <c r="Q6" i="2"/>
  <c r="P2" i="2"/>
  <c r="Y164" i="2" l="1"/>
  <c r="BN498" i="2"/>
  <c r="BP162" i="2"/>
  <c r="Z177" i="2"/>
  <c r="BP234" i="2"/>
  <c r="BP332" i="2"/>
  <c r="BN488" i="2"/>
  <c r="Y501" i="2"/>
  <c r="Z215" i="2"/>
  <c r="BP71" i="2"/>
  <c r="Y163" i="2"/>
  <c r="Z488" i="2"/>
  <c r="Z122" i="2"/>
  <c r="Z277" i="2"/>
  <c r="Z393" i="2"/>
  <c r="Z498" i="2"/>
  <c r="Y190" i="2"/>
  <c r="B552" i="2"/>
  <c r="Z31" i="2"/>
  <c r="Z103" i="2"/>
  <c r="BN103" i="2"/>
  <c r="Z133" i="2"/>
  <c r="Z149" i="2"/>
  <c r="Z169" i="2"/>
  <c r="Z188" i="2"/>
  <c r="Y211" i="2"/>
  <c r="Z225" i="2"/>
  <c r="BN225" i="2"/>
  <c r="Z255" i="2"/>
  <c r="Z281" i="2"/>
  <c r="Z388" i="2"/>
  <c r="Z417" i="2"/>
  <c r="Z463" i="2"/>
  <c r="BN463" i="2"/>
  <c r="Z552" i="2"/>
  <c r="Z491" i="2"/>
  <c r="BN491" i="2"/>
  <c r="Z506" i="2"/>
  <c r="BN62" i="2"/>
  <c r="BN72" i="2"/>
  <c r="Y75" i="2"/>
  <c r="Y79" i="2"/>
  <c r="Y80" i="2"/>
  <c r="Z77" i="2"/>
  <c r="BP112" i="2"/>
  <c r="Z112" i="2"/>
  <c r="BP166" i="2"/>
  <c r="Z166" i="2"/>
  <c r="BN201" i="2"/>
  <c r="Z201" i="2"/>
  <c r="BP204" i="2"/>
  <c r="BN204" i="2"/>
  <c r="Z204" i="2"/>
  <c r="BP222" i="2"/>
  <c r="BN222" i="2"/>
  <c r="Z222" i="2"/>
  <c r="Y245" i="2"/>
  <c r="Z244" i="2"/>
  <c r="Z245" i="2" s="1"/>
  <c r="BN271" i="2"/>
  <c r="BN278" i="2"/>
  <c r="BN285" i="2"/>
  <c r="BP310" i="2"/>
  <c r="Z310" i="2"/>
  <c r="BP357" i="2"/>
  <c r="Z357" i="2"/>
  <c r="BN373" i="2"/>
  <c r="BN400" i="2"/>
  <c r="Z400" i="2"/>
  <c r="BN431" i="2"/>
  <c r="BN462" i="2"/>
  <c r="BP462" i="2"/>
  <c r="BN487" i="2"/>
  <c r="BP487" i="2"/>
  <c r="BN493" i="2"/>
  <c r="BN500" i="2"/>
  <c r="BP500" i="2"/>
  <c r="X544" i="2"/>
  <c r="BN30" i="2"/>
  <c r="BP30" i="2"/>
  <c r="BN43" i="2"/>
  <c r="Z43" i="2"/>
  <c r="BN53" i="2"/>
  <c r="BN66" i="2"/>
  <c r="Z66" i="2"/>
  <c r="BP77" i="2"/>
  <c r="BP78" i="2"/>
  <c r="BN78" i="2"/>
  <c r="Z78" i="2"/>
  <c r="BN97" i="2"/>
  <c r="BN106" i="2"/>
  <c r="BP123" i="2"/>
  <c r="BN123" i="2"/>
  <c r="Z123" i="2"/>
  <c r="Y139" i="2"/>
  <c r="BP170" i="2"/>
  <c r="BN170" i="2"/>
  <c r="Z170" i="2"/>
  <c r="BN175" i="2"/>
  <c r="Y193" i="2"/>
  <c r="Y194" i="2"/>
  <c r="Z192" i="2"/>
  <c r="Z193" i="2" s="1"/>
  <c r="BP201" i="2"/>
  <c r="BN203" i="2"/>
  <c r="Z203" i="2"/>
  <c r="BP213" i="2"/>
  <c r="BN213" i="2"/>
  <c r="Z213" i="2"/>
  <c r="BN230" i="2"/>
  <c r="Z238" i="2"/>
  <c r="Y241" i="2"/>
  <c r="BN238" i="2"/>
  <c r="BN261" i="2"/>
  <c r="BN296" i="2"/>
  <c r="BN334" i="2"/>
  <c r="BN381" i="2"/>
  <c r="BP400" i="2"/>
  <c r="V552" i="2"/>
  <c r="BN415" i="2"/>
  <c r="BN420" i="2"/>
  <c r="BP443" i="2"/>
  <c r="BN443" i="2"/>
  <c r="Z443" i="2"/>
  <c r="Y455" i="2"/>
  <c r="BP451" i="2"/>
  <c r="BN451" i="2"/>
  <c r="Z451" i="2"/>
  <c r="BN474" i="2"/>
  <c r="BN479" i="2"/>
  <c r="Z479" i="2"/>
  <c r="BN490" i="2"/>
  <c r="BP490" i="2"/>
  <c r="Z520" i="2"/>
  <c r="Z521" i="2" s="1"/>
  <c r="BP520" i="2"/>
  <c r="BP529" i="2"/>
  <c r="Y530" i="2"/>
  <c r="Z529" i="2"/>
  <c r="Z530" i="2" s="1"/>
  <c r="BN534" i="2"/>
  <c r="BN51" i="2"/>
  <c r="BN64" i="2"/>
  <c r="F552" i="2"/>
  <c r="BN95" i="2"/>
  <c r="BN108" i="2"/>
  <c r="H552" i="2"/>
  <c r="BP133" i="2"/>
  <c r="BP149" i="2"/>
  <c r="BN173" i="2"/>
  <c r="BP177" i="2"/>
  <c r="BP188" i="2"/>
  <c r="BN199" i="2"/>
  <c r="BP215" i="2"/>
  <c r="BN217" i="2"/>
  <c r="BP255" i="2"/>
  <c r="BN260" i="2"/>
  <c r="BN270" i="2"/>
  <c r="BN291" i="2"/>
  <c r="BN301" i="2"/>
  <c r="BN326" i="2"/>
  <c r="Y329" i="2"/>
  <c r="Y337" i="2"/>
  <c r="Y350" i="2"/>
  <c r="BN347" i="2"/>
  <c r="BN365" i="2"/>
  <c r="Y383" i="2"/>
  <c r="BN380" i="2"/>
  <c r="BP388" i="2"/>
  <c r="Y396" i="2"/>
  <c r="BN425" i="2"/>
  <c r="BN437" i="2"/>
  <c r="Y454" i="2"/>
  <c r="BN460" i="2"/>
  <c r="Y511" i="2"/>
  <c r="BN525" i="2"/>
  <c r="Y128" i="2"/>
  <c r="Z22" i="2"/>
  <c r="BP22" i="2"/>
  <c r="BP29" i="2"/>
  <c r="BN31" i="2"/>
  <c r="Y47" i="2"/>
  <c r="BP43" i="2"/>
  <c r="E552" i="2"/>
  <c r="Y67" i="2"/>
  <c r="Y74" i="2"/>
  <c r="BN77" i="2"/>
  <c r="Z89" i="2"/>
  <c r="BP89" i="2"/>
  <c r="G552" i="2"/>
  <c r="BN112" i="2"/>
  <c r="Z113" i="2"/>
  <c r="BP113" i="2"/>
  <c r="Z121" i="2"/>
  <c r="BP121" i="2"/>
  <c r="BP138" i="2"/>
  <c r="Y140" i="2"/>
  <c r="Y145" i="2"/>
  <c r="Z157" i="2"/>
  <c r="BP157" i="2"/>
  <c r="Z168" i="2"/>
  <c r="BP168" i="2"/>
  <c r="BP182" i="2"/>
  <c r="BN183" i="2"/>
  <c r="BP187" i="2"/>
  <c r="BN192" i="2"/>
  <c r="Y228" i="2"/>
  <c r="Z214" i="2"/>
  <c r="Y227" i="2"/>
  <c r="BP217" i="2"/>
  <c r="BN218" i="2"/>
  <c r="Z224" i="2"/>
  <c r="BP224" i="2"/>
  <c r="BN232" i="2"/>
  <c r="BN240" i="2"/>
  <c r="Z249" i="2"/>
  <c r="Y268" i="2"/>
  <c r="BN263" i="2"/>
  <c r="Z265" i="2"/>
  <c r="BP265" i="2"/>
  <c r="BN273" i="2"/>
  <c r="Z275" i="2"/>
  <c r="BP275" i="2"/>
  <c r="Z279" i="2"/>
  <c r="BP281" i="2"/>
  <c r="BN292" i="2"/>
  <c r="Y303" i="2"/>
  <c r="BN311" i="2"/>
  <c r="BN317" i="2"/>
  <c r="Z319" i="2"/>
  <c r="BP319" i="2"/>
  <c r="Z346" i="2"/>
  <c r="Z348" i="2"/>
  <c r="BN353" i="2"/>
  <c r="Z355" i="2"/>
  <c r="BP355" i="2"/>
  <c r="Z358" i="2"/>
  <c r="BP358" i="2"/>
  <c r="BN368" i="2"/>
  <c r="Z375" i="2"/>
  <c r="BP375" i="2"/>
  <c r="Z386" i="2"/>
  <c r="BP386" i="2"/>
  <c r="BP392" i="2"/>
  <c r="Z405" i="2"/>
  <c r="Z413" i="2"/>
  <c r="BP413" i="2"/>
  <c r="Z486" i="2"/>
  <c r="Z505" i="2"/>
  <c r="Z508" i="2"/>
  <c r="BP508" i="2"/>
  <c r="Y536" i="2"/>
  <c r="Y124" i="2"/>
  <c r="Y342" i="2"/>
  <c r="BP416" i="2"/>
  <c r="Y421" i="2"/>
  <c r="BP426" i="2"/>
  <c r="Y434" i="2"/>
  <c r="BP505" i="2"/>
  <c r="Y526" i="2"/>
  <c r="X543" i="2"/>
  <c r="X545" i="2" s="1"/>
  <c r="X546" i="2"/>
  <c r="Z27" i="2"/>
  <c r="BN41" i="2"/>
  <c r="Z59" i="2"/>
  <c r="BP59" i="2"/>
  <c r="BP115" i="2"/>
  <c r="BN116" i="2"/>
  <c r="BP120" i="2"/>
  <c r="BN122" i="2"/>
  <c r="Y125" i="2"/>
  <c r="Y134" i="2"/>
  <c r="BP143" i="2"/>
  <c r="Y152" i="2"/>
  <c r="BP167" i="2"/>
  <c r="BN169" i="2"/>
  <c r="Y178" i="2"/>
  <c r="Y185" i="2"/>
  <c r="Y189" i="2"/>
  <c r="BN220" i="2"/>
  <c r="BN244" i="2"/>
  <c r="Y246" i="2"/>
  <c r="Y256" i="2"/>
  <c r="BN277" i="2"/>
  <c r="Z278" i="2"/>
  <c r="Z285" i="2"/>
  <c r="Z287" i="2" s="1"/>
  <c r="BN294" i="2"/>
  <c r="Z296" i="2"/>
  <c r="R552" i="2"/>
  <c r="Z334" i="2"/>
  <c r="BN336" i="2"/>
  <c r="Y338" i="2"/>
  <c r="Y343" i="2"/>
  <c r="Z347" i="2"/>
  <c r="Z367" i="2"/>
  <c r="BP385" i="2"/>
  <c r="Y389" i="2"/>
  <c r="BN416" i="2"/>
  <c r="BP417" i="2"/>
  <c r="BN418" i="2"/>
  <c r="Z420" i="2"/>
  <c r="BN426" i="2"/>
  <c r="Z431" i="2"/>
  <c r="X552" i="2"/>
  <c r="Z461" i="2"/>
  <c r="BP474" i="2"/>
  <c r="Y481" i="2"/>
  <c r="Y482" i="2"/>
  <c r="Z493" i="2"/>
  <c r="BP507" i="2"/>
  <c r="BP510" i="2"/>
  <c r="AA552" i="2"/>
  <c r="BN520" i="2"/>
  <c r="Z525" i="2"/>
  <c r="Z533" i="2"/>
  <c r="Y179" i="2"/>
  <c r="BN22" i="2"/>
  <c r="Y25" i="2"/>
  <c r="X542" i="2"/>
  <c r="BP61" i="2"/>
  <c r="BP66" i="2"/>
  <c r="Y68" i="2"/>
  <c r="BP105" i="2"/>
  <c r="Y109" i="2"/>
  <c r="BP172" i="2"/>
  <c r="BN214" i="2"/>
  <c r="Z226" i="2"/>
  <c r="Z232" i="2"/>
  <c r="Y302" i="2"/>
  <c r="Z311" i="2"/>
  <c r="Z312" i="2" s="1"/>
  <c r="BN325" i="2"/>
  <c r="BP341" i="2"/>
  <c r="BN363" i="2"/>
  <c r="Z365" i="2"/>
  <c r="Z368" i="2"/>
  <c r="Y376" i="2"/>
  <c r="BP381" i="2"/>
  <c r="BN392" i="2"/>
  <c r="BP393" i="2"/>
  <c r="BN406" i="2"/>
  <c r="BN413" i="2"/>
  <c r="Y428" i="2"/>
  <c r="BP430" i="2"/>
  <c r="Z436" i="2"/>
  <c r="Z438" i="2" s="1"/>
  <c r="BP437" i="2"/>
  <c r="W552" i="2"/>
  <c r="Z460" i="2"/>
  <c r="BP524" i="2"/>
  <c r="Y531" i="2"/>
  <c r="Y535" i="2"/>
  <c r="BN90" i="2"/>
  <c r="BN202" i="2"/>
  <c r="Y205" i="2"/>
  <c r="BN223" i="2"/>
  <c r="BN233" i="2"/>
  <c r="Y257" i="2"/>
  <c r="BN266" i="2"/>
  <c r="BN276" i="2"/>
  <c r="BN286" i="2"/>
  <c r="BN297" i="2"/>
  <c r="BN309" i="2"/>
  <c r="Y312" i="2"/>
  <c r="BN320" i="2"/>
  <c r="BN356" i="2"/>
  <c r="Y359" i="2"/>
  <c r="BN366" i="2"/>
  <c r="Y369" i="2"/>
  <c r="Y377" i="2"/>
  <c r="BN398" i="2"/>
  <c r="Y401" i="2"/>
  <c r="Y422" i="2"/>
  <c r="Y445" i="2"/>
  <c r="BN468" i="2"/>
  <c r="J552" i="2"/>
  <c r="K552" i="2"/>
  <c r="Z176" i="2"/>
  <c r="Z200" i="2"/>
  <c r="BP202" i="2"/>
  <c r="Z221" i="2"/>
  <c r="BP223" i="2"/>
  <c r="Z231" i="2"/>
  <c r="BP233" i="2"/>
  <c r="Z254" i="2"/>
  <c r="Z256" i="2" s="1"/>
  <c r="Z264" i="2"/>
  <c r="BP266" i="2"/>
  <c r="Z274" i="2"/>
  <c r="BP276" i="2"/>
  <c r="BP286" i="2"/>
  <c r="Z295" i="2"/>
  <c r="BP297" i="2"/>
  <c r="BP309" i="2"/>
  <c r="Z318" i="2"/>
  <c r="BP320" i="2"/>
  <c r="Z354" i="2"/>
  <c r="BP356" i="2"/>
  <c r="Z364" i="2"/>
  <c r="BP366" i="2"/>
  <c r="Z374" i="2"/>
  <c r="BP398" i="2"/>
  <c r="Z407" i="2"/>
  <c r="Z419" i="2"/>
  <c r="Z442" i="2"/>
  <c r="BP468" i="2"/>
  <c r="Y502" i="2"/>
  <c r="Y512" i="2"/>
  <c r="L552" i="2"/>
  <c r="BN150" i="2"/>
  <c r="Z171" i="2"/>
  <c r="BP173" i="2"/>
  <c r="Z181" i="2"/>
  <c r="BP183" i="2"/>
  <c r="Y206" i="2"/>
  <c r="Z216" i="2"/>
  <c r="BP218" i="2"/>
  <c r="BN226" i="2"/>
  <c r="BP238" i="2"/>
  <c r="BN249" i="2"/>
  <c r="Z259" i="2"/>
  <c r="BP261" i="2"/>
  <c r="BP271" i="2"/>
  <c r="BN279" i="2"/>
  <c r="Y282" i="2"/>
  <c r="BP292" i="2"/>
  <c r="Y313" i="2"/>
  <c r="BP326" i="2"/>
  <c r="Z335" i="2"/>
  <c r="BN348" i="2"/>
  <c r="Y360" i="2"/>
  <c r="Y370" i="2"/>
  <c r="Z379" i="2"/>
  <c r="Y402" i="2"/>
  <c r="Z414" i="2"/>
  <c r="Z424" i="2"/>
  <c r="BN436" i="2"/>
  <c r="Z447" i="2"/>
  <c r="Z448" i="2" s="1"/>
  <c r="BN461" i="2"/>
  <c r="BN486" i="2"/>
  <c r="Z494" i="2"/>
  <c r="BN506" i="2"/>
  <c r="M552" i="2"/>
  <c r="BN176" i="2"/>
  <c r="BN200" i="2"/>
  <c r="BN221" i="2"/>
  <c r="BN231" i="2"/>
  <c r="Y242" i="2"/>
  <c r="BN254" i="2"/>
  <c r="BN264" i="2"/>
  <c r="Y267" i="2"/>
  <c r="BN274" i="2"/>
  <c r="Y287" i="2"/>
  <c r="BN295" i="2"/>
  <c r="Y298" i="2"/>
  <c r="Z305" i="2"/>
  <c r="Z306" i="2" s="1"/>
  <c r="BN318" i="2"/>
  <c r="Y321" i="2"/>
  <c r="Z340" i="2"/>
  <c r="BN354" i="2"/>
  <c r="BN364" i="2"/>
  <c r="BN374" i="2"/>
  <c r="Z394" i="2"/>
  <c r="BN407" i="2"/>
  <c r="BN419" i="2"/>
  <c r="BN442" i="2"/>
  <c r="Z452" i="2"/>
  <c r="Z464" i="2"/>
  <c r="Z489" i="2"/>
  <c r="Z499" i="2"/>
  <c r="Z509" i="2"/>
  <c r="O552" i="2"/>
  <c r="BP62" i="2"/>
  <c r="BP106" i="2"/>
  <c r="Z137" i="2"/>
  <c r="BN132" i="2"/>
  <c r="Z142" i="2"/>
  <c r="BN156" i="2"/>
  <c r="Y159" i="2"/>
  <c r="BP35" i="2"/>
  <c r="Z45" i="2"/>
  <c r="BN70" i="2"/>
  <c r="BP82" i="2"/>
  <c r="BN104" i="2"/>
  <c r="Y117" i="2"/>
  <c r="BN137" i="2"/>
  <c r="Z148" i="2"/>
  <c r="BP150" i="2"/>
  <c r="BN171" i="2"/>
  <c r="BN181" i="2"/>
  <c r="Y184" i="2"/>
  <c r="BN216" i="2"/>
  <c r="BP249" i="2"/>
  <c r="BN259" i="2"/>
  <c r="BN335" i="2"/>
  <c r="BN379" i="2"/>
  <c r="Y382" i="2"/>
  <c r="Y390" i="2"/>
  <c r="Z399" i="2"/>
  <c r="BN414" i="2"/>
  <c r="BN424" i="2"/>
  <c r="Y427" i="2"/>
  <c r="BP436" i="2"/>
  <c r="BN447" i="2"/>
  <c r="Z459" i="2"/>
  <c r="Z469" i="2"/>
  <c r="Z470" i="2" s="1"/>
  <c r="Y475" i="2"/>
  <c r="BP486" i="2"/>
  <c r="BN494" i="2"/>
  <c r="Z504" i="2"/>
  <c r="Z516" i="2"/>
  <c r="Z517" i="2" s="1"/>
  <c r="Y521" i="2"/>
  <c r="P552" i="2"/>
  <c r="Z35" i="2"/>
  <c r="Z36" i="2" s="1"/>
  <c r="Z54" i="2"/>
  <c r="BN23" i="2"/>
  <c r="BN60" i="2"/>
  <c r="Z91" i="2"/>
  <c r="BN114" i="2"/>
  <c r="F9" i="2"/>
  <c r="BN28" i="2"/>
  <c r="BP42" i="2"/>
  <c r="Z52" i="2"/>
  <c r="BP54" i="2"/>
  <c r="Z63" i="2"/>
  <c r="BP65" i="2"/>
  <c r="Z73" i="2"/>
  <c r="BP88" i="2"/>
  <c r="Z96" i="2"/>
  <c r="BP98" i="2"/>
  <c r="Z107" i="2"/>
  <c r="BP132" i="2"/>
  <c r="BN142" i="2"/>
  <c r="BP156" i="2"/>
  <c r="BN166" i="2"/>
  <c r="Z174" i="2"/>
  <c r="Z198" i="2"/>
  <c r="Z209" i="2"/>
  <c r="Z210" i="2" s="1"/>
  <c r="Z219" i="2"/>
  <c r="Z239" i="2"/>
  <c r="Z262" i="2"/>
  <c r="Z272" i="2"/>
  <c r="Y283" i="2"/>
  <c r="Z293" i="2"/>
  <c r="BN305" i="2"/>
  <c r="Z316" i="2"/>
  <c r="Z327" i="2"/>
  <c r="BN340" i="2"/>
  <c r="Z362" i="2"/>
  <c r="Z372" i="2"/>
  <c r="BN394" i="2"/>
  <c r="BP442" i="2"/>
  <c r="BN452" i="2"/>
  <c r="BN464" i="2"/>
  <c r="BN489" i="2"/>
  <c r="BN499" i="2"/>
  <c r="BN509" i="2"/>
  <c r="Q552" i="2"/>
  <c r="BN44" i="2"/>
  <c r="BN158" i="2"/>
  <c r="Z150" i="2"/>
  <c r="Y288" i="2"/>
  <c r="Y299" i="2"/>
  <c r="BN310" i="2"/>
  <c r="Y322" i="2"/>
  <c r="Z333" i="2"/>
  <c r="BP335" i="2"/>
  <c r="BN346" i="2"/>
  <c r="Y349" i="2"/>
  <c r="BN357" i="2"/>
  <c r="BN367" i="2"/>
  <c r="BP379" i="2"/>
  <c r="Z387" i="2"/>
  <c r="BN399" i="2"/>
  <c r="BP424" i="2"/>
  <c r="Z432" i="2"/>
  <c r="BP447" i="2"/>
  <c r="BN459" i="2"/>
  <c r="BN469" i="2"/>
  <c r="Z480" i="2"/>
  <c r="Z492" i="2"/>
  <c r="BN504" i="2"/>
  <c r="BN516" i="2"/>
  <c r="Z539" i="2"/>
  <c r="Z540" i="2" s="1"/>
  <c r="BP27" i="2"/>
  <c r="BP181" i="2"/>
  <c r="BP216" i="2"/>
  <c r="BP259" i="2"/>
  <c r="J9" i="2"/>
  <c r="BP28" i="2"/>
  <c r="BN52" i="2"/>
  <c r="Y55" i="2"/>
  <c r="BN63" i="2"/>
  <c r="BN73" i="2"/>
  <c r="Z83" i="2"/>
  <c r="BN96" i="2"/>
  <c r="Y99" i="2"/>
  <c r="BN107" i="2"/>
  <c r="Y118" i="2"/>
  <c r="Z127" i="2"/>
  <c r="Z128" i="2" s="1"/>
  <c r="BP142" i="2"/>
  <c r="Z151" i="2"/>
  <c r="BN174" i="2"/>
  <c r="BN198" i="2"/>
  <c r="BN209" i="2"/>
  <c r="BN219" i="2"/>
  <c r="BN239" i="2"/>
  <c r="Z250" i="2"/>
  <c r="BN262" i="2"/>
  <c r="BN272" i="2"/>
  <c r="Z280" i="2"/>
  <c r="BN293" i="2"/>
  <c r="BP305" i="2"/>
  <c r="BN316" i="2"/>
  <c r="BN327" i="2"/>
  <c r="BP340" i="2"/>
  <c r="BN362" i="2"/>
  <c r="BN372" i="2"/>
  <c r="Z392" i="2"/>
  <c r="Z395" i="2" s="1"/>
  <c r="BN405" i="2"/>
  <c r="Y408" i="2"/>
  <c r="BP452" i="2"/>
  <c r="Z462" i="2"/>
  <c r="Y476" i="2"/>
  <c r="Z487" i="2"/>
  <c r="BP499" i="2"/>
  <c r="Z507" i="2"/>
  <c r="Y522" i="2"/>
  <c r="BN533" i="2"/>
  <c r="S552" i="2"/>
  <c r="BP44" i="2"/>
  <c r="Z156" i="2"/>
  <c r="Z159" i="2" s="1"/>
  <c r="BP51" i="2"/>
  <c r="BP95" i="2"/>
  <c r="Z114" i="2"/>
  <c r="Y110" i="2"/>
  <c r="BP23" i="2"/>
  <c r="Y24" i="2"/>
  <c r="BP148" i="2"/>
  <c r="BN333" i="2"/>
  <c r="BP346" i="2"/>
  <c r="BN387" i="2"/>
  <c r="BN432" i="2"/>
  <c r="Y448" i="2"/>
  <c r="BP459" i="2"/>
  <c r="BN480" i="2"/>
  <c r="BN492" i="2"/>
  <c r="Y495" i="2"/>
  <c r="BP504" i="2"/>
  <c r="BP516" i="2"/>
  <c r="Y527" i="2"/>
  <c r="BN539" i="2"/>
  <c r="T552" i="2"/>
  <c r="Y36" i="2"/>
  <c r="A10" i="2"/>
  <c r="BP91" i="2"/>
  <c r="F10" i="2"/>
  <c r="Y37" i="2"/>
  <c r="Z61" i="2"/>
  <c r="Z71" i="2"/>
  <c r="BN83" i="2"/>
  <c r="Z105" i="2"/>
  <c r="Z115" i="2"/>
  <c r="BN127" i="2"/>
  <c r="Z138" i="2"/>
  <c r="BN151" i="2"/>
  <c r="Z162" i="2"/>
  <c r="Z163" i="2" s="1"/>
  <c r="Z172" i="2"/>
  <c r="Z182" i="2"/>
  <c r="BP209" i="2"/>
  <c r="BN250" i="2"/>
  <c r="Z260" i="2"/>
  <c r="Z270" i="2"/>
  <c r="BN280" i="2"/>
  <c r="Z291" i="2"/>
  <c r="Z301" i="2"/>
  <c r="Z302" i="2" s="1"/>
  <c r="Y306" i="2"/>
  <c r="Z325" i="2"/>
  <c r="Z336" i="2"/>
  <c r="Z380" i="2"/>
  <c r="Y395" i="2"/>
  <c r="BP405" i="2"/>
  <c r="Z415" i="2"/>
  <c r="Z425" i="2"/>
  <c r="Y465" i="2"/>
  <c r="U552" i="2"/>
  <c r="Z42" i="2"/>
  <c r="Z23" i="2"/>
  <c r="BP72" i="2"/>
  <c r="BN82" i="2"/>
  <c r="Z104" i="2"/>
  <c r="BP116" i="2"/>
  <c r="BN88" i="2"/>
  <c r="BN98" i="2"/>
  <c r="BN45" i="2"/>
  <c r="Z29" i="2"/>
  <c r="Y46" i="2"/>
  <c r="Y56" i="2"/>
  <c r="Y92" i="2"/>
  <c r="Y100" i="2"/>
  <c r="Z120" i="2"/>
  <c r="Z143" i="2"/>
  <c r="Z167" i="2"/>
  <c r="Z187" i="2"/>
  <c r="Z189" i="2" s="1"/>
  <c r="Y235" i="2"/>
  <c r="BP244" i="2"/>
  <c r="Z341" i="2"/>
  <c r="Z385" i="2"/>
  <c r="Z430" i="2"/>
  <c r="BP432" i="2"/>
  <c r="Z453" i="2"/>
  <c r="Y470" i="2"/>
  <c r="Z478" i="2"/>
  <c r="BP480" i="2"/>
  <c r="Z490" i="2"/>
  <c r="Z500" i="2"/>
  <c r="Z510" i="2"/>
  <c r="Y517" i="2"/>
  <c r="Z524" i="2"/>
  <c r="BP539" i="2"/>
  <c r="C552" i="2"/>
  <c r="Z88" i="2"/>
  <c r="BP90" i="2"/>
  <c r="Z132" i="2"/>
  <c r="BP158" i="2"/>
  <c r="Z60" i="2"/>
  <c r="Z70" i="2"/>
  <c r="BN42" i="2"/>
  <c r="BN65" i="2"/>
  <c r="BP70" i="2"/>
  <c r="BN148" i="2"/>
  <c r="BP127" i="2"/>
  <c r="Y328" i="2"/>
  <c r="Y496" i="2"/>
  <c r="D552" i="2"/>
  <c r="Z82" i="2"/>
  <c r="Y32" i="2"/>
  <c r="Z41" i="2"/>
  <c r="Z53" i="2"/>
  <c r="Z64" i="2"/>
  <c r="Z97" i="2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08" i="2" s="1"/>
  <c r="Z418" i="2"/>
  <c r="BN430" i="2"/>
  <c r="Y466" i="2"/>
  <c r="BN478" i="2"/>
  <c r="Z534" i="2"/>
  <c r="Y540" i="2"/>
  <c r="Y84" i="2"/>
  <c r="Y93" i="2"/>
  <c r="Y236" i="2"/>
  <c r="Y251" i="2"/>
  <c r="Y438" i="2"/>
  <c r="Y471" i="2"/>
  <c r="Y518" i="2"/>
  <c r="BN529" i="2"/>
  <c r="Y552" i="2"/>
  <c r="Y541" i="2"/>
  <c r="Y33" i="2"/>
  <c r="Y153" i="2"/>
  <c r="Z235" i="2" l="1"/>
  <c r="Z134" i="2"/>
  <c r="Z24" i="2"/>
  <c r="Z79" i="2"/>
  <c r="Z241" i="2"/>
  <c r="Z227" i="2"/>
  <c r="Z74" i="2"/>
  <c r="Z526" i="2"/>
  <c r="Z454" i="2"/>
  <c r="Z433" i="2"/>
  <c r="Z124" i="2"/>
  <c r="Z109" i="2"/>
  <c r="Z298" i="2"/>
  <c r="Z495" i="2"/>
  <c r="Z465" i="2"/>
  <c r="Z401" i="2"/>
  <c r="Z144" i="2"/>
  <c r="Z444" i="2"/>
  <c r="Z369" i="2"/>
  <c r="Z535" i="2"/>
  <c r="Z359" i="2"/>
  <c r="Z389" i="2"/>
  <c r="Z32" i="2"/>
  <c r="Z251" i="2"/>
  <c r="Y543" i="2"/>
  <c r="Z282" i="2"/>
  <c r="Y544" i="2"/>
  <c r="Z99" i="2"/>
  <c r="Z117" i="2"/>
  <c r="Z55" i="2"/>
  <c r="Z139" i="2"/>
  <c r="Z421" i="2"/>
  <c r="Z67" i="2"/>
  <c r="Z92" i="2"/>
  <c r="Y542" i="2"/>
  <c r="Z337" i="2"/>
  <c r="Z376" i="2"/>
  <c r="Z321" i="2"/>
  <c r="Z501" i="2"/>
  <c r="Z349" i="2"/>
  <c r="Y545" i="2"/>
  <c r="Z342" i="2"/>
  <c r="Z267" i="2"/>
  <c r="Z511" i="2"/>
  <c r="Z427" i="2"/>
  <c r="Z152" i="2"/>
  <c r="Z382" i="2"/>
  <c r="Z46" i="2"/>
  <c r="Z184" i="2"/>
  <c r="Z178" i="2"/>
  <c r="Z84" i="2"/>
  <c r="Z205" i="2"/>
  <c r="Y546" i="2"/>
  <c r="Z328" i="2"/>
  <c r="Z481" i="2"/>
  <c r="Z547" i="2" l="1"/>
</calcChain>
</file>

<file path=xl/sharedStrings.xml><?xml version="1.0" encoding="utf-8"?>
<sst xmlns="http://schemas.openxmlformats.org/spreadsheetml/2006/main" count="4118" uniqueCount="878">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</sst>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59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7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372" sqref="AA37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877</v>
      </c>
      <c r="I5" s="976"/>
      <c r="J5" s="976"/>
      <c r="K5" s="976"/>
      <c r="L5" s="976"/>
      <c r="M5" s="976"/>
      <c r="N5" s="72"/>
      <c r="P5" s="27" t="s">
        <v>4</v>
      </c>
      <c r="Q5" s="978">
        <v>46227</v>
      </c>
      <c r="R5" s="978"/>
      <c r="T5" s="979" t="s">
        <v>3</v>
      </c>
      <c r="U5" s="980"/>
      <c r="V5" s="981" t="s">
        <v>853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860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Пятница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0.5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1" t="s">
        <v>76</v>
      </c>
      <c r="B19" s="651"/>
      <c r="C19" s="651"/>
      <c r="D19" s="651"/>
      <c r="E19" s="651"/>
      <c r="F19" s="651"/>
      <c r="G19" s="651"/>
      <c r="H19" s="651"/>
      <c r="I19" s="651"/>
      <c r="J19" s="651"/>
      <c r="K19" s="651"/>
      <c r="L19" s="651"/>
      <c r="M19" s="651"/>
      <c r="N19" s="651"/>
      <c r="O19" s="651"/>
      <c r="P19" s="651"/>
      <c r="Q19" s="651"/>
      <c r="R19" s="651"/>
      <c r="S19" s="651"/>
      <c r="T19" s="651"/>
      <c r="U19" s="651"/>
      <c r="V19" s="651"/>
      <c r="W19" s="651"/>
      <c r="X19" s="651"/>
      <c r="Y19" s="651"/>
      <c r="Z19" s="651"/>
      <c r="AA19" s="54"/>
      <c r="AB19" s="54"/>
      <c r="AC19" s="54"/>
    </row>
    <row r="20" spans="1:68" ht="16.5" hidden="1" customHeight="1" x14ac:dyDescent="0.25">
      <c r="A20" s="646" t="s">
        <v>76</v>
      </c>
      <c r="B20" s="646"/>
      <c r="C20" s="646"/>
      <c r="D20" s="646"/>
      <c r="E20" s="646"/>
      <c r="F20" s="646"/>
      <c r="G20" s="646"/>
      <c r="H20" s="646"/>
      <c r="I20" s="646"/>
      <c r="J20" s="646"/>
      <c r="K20" s="646"/>
      <c r="L20" s="646"/>
      <c r="M20" s="646"/>
      <c r="N20" s="646"/>
      <c r="O20" s="646"/>
      <c r="P20" s="646"/>
      <c r="Q20" s="646"/>
      <c r="R20" s="646"/>
      <c r="S20" s="646"/>
      <c r="T20" s="646"/>
      <c r="U20" s="646"/>
      <c r="V20" s="646"/>
      <c r="W20" s="646"/>
      <c r="X20" s="646"/>
      <c r="Y20" s="646"/>
      <c r="Z20" s="646"/>
      <c r="AA20" s="65"/>
      <c r="AB20" s="65"/>
      <c r="AC20" s="79"/>
    </row>
    <row r="21" spans="1:68" ht="14.25" hidden="1" customHeight="1" x14ac:dyDescent="0.25">
      <c r="A21" s="630" t="s">
        <v>77</v>
      </c>
      <c r="B21" s="630"/>
      <c r="C21" s="630"/>
      <c r="D21" s="630"/>
      <c r="E21" s="630"/>
      <c r="F21" s="630"/>
      <c r="G21" s="630"/>
      <c r="H21" s="630"/>
      <c r="I21" s="630"/>
      <c r="J21" s="630"/>
      <c r="K21" s="630"/>
      <c r="L21" s="630"/>
      <c r="M21" s="630"/>
      <c r="N21" s="630"/>
      <c r="O21" s="630"/>
      <c r="P21" s="630"/>
      <c r="Q21" s="630"/>
      <c r="R21" s="630"/>
      <c r="S21" s="630"/>
      <c r="T21" s="630"/>
      <c r="U21" s="630"/>
      <c r="V21" s="630"/>
      <c r="W21" s="630"/>
      <c r="X21" s="630"/>
      <c r="Y21" s="630"/>
      <c r="Z21" s="630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31">
        <v>4680115886643</v>
      </c>
      <c r="E22" s="63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3"/>
      <c r="R22" s="633"/>
      <c r="S22" s="633"/>
      <c r="T22" s="63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31">
        <v>4680115889071</v>
      </c>
      <c r="E23" s="63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1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3"/>
      <c r="R23" s="633"/>
      <c r="S23" s="633"/>
      <c r="T23" s="63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38"/>
      <c r="B24" s="638"/>
      <c r="C24" s="638"/>
      <c r="D24" s="638"/>
      <c r="E24" s="638"/>
      <c r="F24" s="638"/>
      <c r="G24" s="638"/>
      <c r="H24" s="638"/>
      <c r="I24" s="638"/>
      <c r="J24" s="638"/>
      <c r="K24" s="638"/>
      <c r="L24" s="638"/>
      <c r="M24" s="638"/>
      <c r="N24" s="638"/>
      <c r="O24" s="639"/>
      <c r="P24" s="635" t="s">
        <v>40</v>
      </c>
      <c r="Q24" s="636"/>
      <c r="R24" s="636"/>
      <c r="S24" s="636"/>
      <c r="T24" s="636"/>
      <c r="U24" s="636"/>
      <c r="V24" s="637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38"/>
      <c r="B25" s="638"/>
      <c r="C25" s="638"/>
      <c r="D25" s="638"/>
      <c r="E25" s="638"/>
      <c r="F25" s="638"/>
      <c r="G25" s="638"/>
      <c r="H25" s="638"/>
      <c r="I25" s="638"/>
      <c r="J25" s="638"/>
      <c r="K25" s="638"/>
      <c r="L25" s="638"/>
      <c r="M25" s="638"/>
      <c r="N25" s="638"/>
      <c r="O25" s="639"/>
      <c r="P25" s="635" t="s">
        <v>40</v>
      </c>
      <c r="Q25" s="636"/>
      <c r="R25" s="636"/>
      <c r="S25" s="636"/>
      <c r="T25" s="636"/>
      <c r="U25" s="636"/>
      <c r="V25" s="637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30" t="s">
        <v>86</v>
      </c>
      <c r="B26" s="630"/>
      <c r="C26" s="630"/>
      <c r="D26" s="630"/>
      <c r="E26" s="630"/>
      <c r="F26" s="630"/>
      <c r="G26" s="630"/>
      <c r="H26" s="630"/>
      <c r="I26" s="630"/>
      <c r="J26" s="630"/>
      <c r="K26" s="630"/>
      <c r="L26" s="630"/>
      <c r="M26" s="630"/>
      <c r="N26" s="630"/>
      <c r="O26" s="630"/>
      <c r="P26" s="630"/>
      <c r="Q26" s="630"/>
      <c r="R26" s="630"/>
      <c r="S26" s="630"/>
      <c r="T26" s="630"/>
      <c r="U26" s="630"/>
      <c r="V26" s="630"/>
      <c r="W26" s="630"/>
      <c r="X26" s="630"/>
      <c r="Y26" s="630"/>
      <c r="Z26" s="630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31">
        <v>4680115885912</v>
      </c>
      <c r="E27" s="63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0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3"/>
      <c r="R27" s="633"/>
      <c r="S27" s="633"/>
      <c r="T27" s="63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31">
        <v>4607091388237</v>
      </c>
      <c r="E28" s="63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1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3"/>
      <c r="R28" s="633"/>
      <c r="S28" s="633"/>
      <c r="T28" s="63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31">
        <v>4680115887350</v>
      </c>
      <c r="E29" s="63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1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3"/>
      <c r="R29" s="633"/>
      <c r="S29" s="633"/>
      <c r="T29" s="63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31">
        <v>4680115885905</v>
      </c>
      <c r="E30" s="63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3"/>
      <c r="R30" s="633"/>
      <c r="S30" s="633"/>
      <c r="T30" s="63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31">
        <v>4680115887619</v>
      </c>
      <c r="E31" s="63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0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3"/>
      <c r="R31" s="633"/>
      <c r="S31" s="633"/>
      <c r="T31" s="63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38"/>
      <c r="B32" s="638"/>
      <c r="C32" s="638"/>
      <c r="D32" s="638"/>
      <c r="E32" s="638"/>
      <c r="F32" s="638"/>
      <c r="G32" s="638"/>
      <c r="H32" s="638"/>
      <c r="I32" s="638"/>
      <c r="J32" s="638"/>
      <c r="K32" s="638"/>
      <c r="L32" s="638"/>
      <c r="M32" s="638"/>
      <c r="N32" s="638"/>
      <c r="O32" s="639"/>
      <c r="P32" s="635" t="s">
        <v>40</v>
      </c>
      <c r="Q32" s="636"/>
      <c r="R32" s="636"/>
      <c r="S32" s="636"/>
      <c r="T32" s="636"/>
      <c r="U32" s="636"/>
      <c r="V32" s="637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38"/>
      <c r="B33" s="638"/>
      <c r="C33" s="638"/>
      <c r="D33" s="638"/>
      <c r="E33" s="638"/>
      <c r="F33" s="638"/>
      <c r="G33" s="638"/>
      <c r="H33" s="638"/>
      <c r="I33" s="638"/>
      <c r="J33" s="638"/>
      <c r="K33" s="638"/>
      <c r="L33" s="638"/>
      <c r="M33" s="638"/>
      <c r="N33" s="638"/>
      <c r="O33" s="639"/>
      <c r="P33" s="635" t="s">
        <v>40</v>
      </c>
      <c r="Q33" s="636"/>
      <c r="R33" s="636"/>
      <c r="S33" s="636"/>
      <c r="T33" s="636"/>
      <c r="U33" s="636"/>
      <c r="V33" s="637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30" t="s">
        <v>104</v>
      </c>
      <c r="B34" s="630"/>
      <c r="C34" s="630"/>
      <c r="D34" s="630"/>
      <c r="E34" s="630"/>
      <c r="F34" s="630"/>
      <c r="G34" s="630"/>
      <c r="H34" s="630"/>
      <c r="I34" s="630"/>
      <c r="J34" s="630"/>
      <c r="K34" s="630"/>
      <c r="L34" s="630"/>
      <c r="M34" s="630"/>
      <c r="N34" s="630"/>
      <c r="O34" s="630"/>
      <c r="P34" s="630"/>
      <c r="Q34" s="630"/>
      <c r="R34" s="630"/>
      <c r="S34" s="630"/>
      <c r="T34" s="630"/>
      <c r="U34" s="630"/>
      <c r="V34" s="630"/>
      <c r="W34" s="630"/>
      <c r="X34" s="630"/>
      <c r="Y34" s="630"/>
      <c r="Z34" s="630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31">
        <v>4607091388503</v>
      </c>
      <c r="E35" s="63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3"/>
      <c r="R35" s="633"/>
      <c r="S35" s="633"/>
      <c r="T35" s="63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38"/>
      <c r="B36" s="638"/>
      <c r="C36" s="638"/>
      <c r="D36" s="638"/>
      <c r="E36" s="638"/>
      <c r="F36" s="638"/>
      <c r="G36" s="638"/>
      <c r="H36" s="638"/>
      <c r="I36" s="638"/>
      <c r="J36" s="638"/>
      <c r="K36" s="638"/>
      <c r="L36" s="638"/>
      <c r="M36" s="638"/>
      <c r="N36" s="638"/>
      <c r="O36" s="639"/>
      <c r="P36" s="635" t="s">
        <v>40</v>
      </c>
      <c r="Q36" s="636"/>
      <c r="R36" s="636"/>
      <c r="S36" s="636"/>
      <c r="T36" s="636"/>
      <c r="U36" s="636"/>
      <c r="V36" s="637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38"/>
      <c r="B37" s="638"/>
      <c r="C37" s="638"/>
      <c r="D37" s="638"/>
      <c r="E37" s="638"/>
      <c r="F37" s="638"/>
      <c r="G37" s="638"/>
      <c r="H37" s="638"/>
      <c r="I37" s="638"/>
      <c r="J37" s="638"/>
      <c r="K37" s="638"/>
      <c r="L37" s="638"/>
      <c r="M37" s="638"/>
      <c r="N37" s="638"/>
      <c r="O37" s="639"/>
      <c r="P37" s="635" t="s">
        <v>40</v>
      </c>
      <c r="Q37" s="636"/>
      <c r="R37" s="636"/>
      <c r="S37" s="636"/>
      <c r="T37" s="636"/>
      <c r="U37" s="636"/>
      <c r="V37" s="637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51" t="s">
        <v>45</v>
      </c>
      <c r="B38" s="651"/>
      <c r="C38" s="651"/>
      <c r="D38" s="651"/>
      <c r="E38" s="651"/>
      <c r="F38" s="651"/>
      <c r="G38" s="651"/>
      <c r="H38" s="651"/>
      <c r="I38" s="651"/>
      <c r="J38" s="651"/>
      <c r="K38" s="651"/>
      <c r="L38" s="651"/>
      <c r="M38" s="651"/>
      <c r="N38" s="651"/>
      <c r="O38" s="651"/>
      <c r="P38" s="651"/>
      <c r="Q38" s="651"/>
      <c r="R38" s="651"/>
      <c r="S38" s="651"/>
      <c r="T38" s="651"/>
      <c r="U38" s="651"/>
      <c r="V38" s="651"/>
      <c r="W38" s="651"/>
      <c r="X38" s="651"/>
      <c r="Y38" s="651"/>
      <c r="Z38" s="651"/>
      <c r="AA38" s="54"/>
      <c r="AB38" s="54"/>
      <c r="AC38" s="54"/>
    </row>
    <row r="39" spans="1:68" ht="16.5" hidden="1" customHeight="1" x14ac:dyDescent="0.25">
      <c r="A39" s="646" t="s">
        <v>110</v>
      </c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646"/>
      <c r="U39" s="646"/>
      <c r="V39" s="646"/>
      <c r="W39" s="646"/>
      <c r="X39" s="646"/>
      <c r="Y39" s="646"/>
      <c r="Z39" s="646"/>
      <c r="AA39" s="65"/>
      <c r="AB39" s="65"/>
      <c r="AC39" s="79"/>
    </row>
    <row r="40" spans="1:68" ht="14.25" hidden="1" customHeight="1" x14ac:dyDescent="0.25">
      <c r="A40" s="630" t="s">
        <v>86</v>
      </c>
      <c r="B40" s="630"/>
      <c r="C40" s="630"/>
      <c r="D40" s="630"/>
      <c r="E40" s="630"/>
      <c r="F40" s="630"/>
      <c r="G40" s="630"/>
      <c r="H40" s="630"/>
      <c r="I40" s="630"/>
      <c r="J40" s="630"/>
      <c r="K40" s="630"/>
      <c r="L40" s="630"/>
      <c r="M40" s="630"/>
      <c r="N40" s="630"/>
      <c r="O40" s="630"/>
      <c r="P40" s="630"/>
      <c r="Q40" s="630"/>
      <c r="R40" s="630"/>
      <c r="S40" s="630"/>
      <c r="T40" s="630"/>
      <c r="U40" s="630"/>
      <c r="V40" s="630"/>
      <c r="W40" s="630"/>
      <c r="X40" s="630"/>
      <c r="Y40" s="630"/>
      <c r="Z40" s="630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31">
        <v>4680115889354</v>
      </c>
      <c r="E41" s="63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0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3"/>
      <c r="R41" s="633"/>
      <c r="S41" s="633"/>
      <c r="T41" s="63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31">
        <v>4680115888463</v>
      </c>
      <c r="E42" s="63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0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3"/>
      <c r="R42" s="633"/>
      <c r="S42" s="633"/>
      <c r="T42" s="63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31">
        <v>4680115888494</v>
      </c>
      <c r="E43" s="63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0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3"/>
      <c r="R43" s="633"/>
      <c r="S43" s="633"/>
      <c r="T43" s="63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31">
        <v>4680115888272</v>
      </c>
      <c r="E44" s="63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3"/>
      <c r="R44" s="633"/>
      <c r="S44" s="633"/>
      <c r="T44" s="63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31">
        <v>4680115888364</v>
      </c>
      <c r="E45" s="63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0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3"/>
      <c r="R45" s="633"/>
      <c r="S45" s="633"/>
      <c r="T45" s="63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38"/>
      <c r="B46" s="638"/>
      <c r="C46" s="638"/>
      <c r="D46" s="638"/>
      <c r="E46" s="638"/>
      <c r="F46" s="638"/>
      <c r="G46" s="638"/>
      <c r="H46" s="638"/>
      <c r="I46" s="638"/>
      <c r="J46" s="638"/>
      <c r="K46" s="638"/>
      <c r="L46" s="638"/>
      <c r="M46" s="638"/>
      <c r="N46" s="638"/>
      <c r="O46" s="639"/>
      <c r="P46" s="635" t="s">
        <v>40</v>
      </c>
      <c r="Q46" s="636"/>
      <c r="R46" s="636"/>
      <c r="S46" s="636"/>
      <c r="T46" s="636"/>
      <c r="U46" s="636"/>
      <c r="V46" s="63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38"/>
      <c r="B47" s="638"/>
      <c r="C47" s="638"/>
      <c r="D47" s="638"/>
      <c r="E47" s="638"/>
      <c r="F47" s="638"/>
      <c r="G47" s="638"/>
      <c r="H47" s="638"/>
      <c r="I47" s="638"/>
      <c r="J47" s="638"/>
      <c r="K47" s="638"/>
      <c r="L47" s="638"/>
      <c r="M47" s="638"/>
      <c r="N47" s="638"/>
      <c r="O47" s="639"/>
      <c r="P47" s="635" t="s">
        <v>40</v>
      </c>
      <c r="Q47" s="636"/>
      <c r="R47" s="636"/>
      <c r="S47" s="636"/>
      <c r="T47" s="636"/>
      <c r="U47" s="636"/>
      <c r="V47" s="63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51" t="s">
        <v>126</v>
      </c>
      <c r="B48" s="651"/>
      <c r="C48" s="651"/>
      <c r="D48" s="651"/>
      <c r="E48" s="651"/>
      <c r="F48" s="651"/>
      <c r="G48" s="651"/>
      <c r="H48" s="651"/>
      <c r="I48" s="651"/>
      <c r="J48" s="651"/>
      <c r="K48" s="651"/>
      <c r="L48" s="651"/>
      <c r="M48" s="651"/>
      <c r="N48" s="651"/>
      <c r="O48" s="651"/>
      <c r="P48" s="651"/>
      <c r="Q48" s="651"/>
      <c r="R48" s="651"/>
      <c r="S48" s="651"/>
      <c r="T48" s="651"/>
      <c r="U48" s="651"/>
      <c r="V48" s="651"/>
      <c r="W48" s="651"/>
      <c r="X48" s="651"/>
      <c r="Y48" s="651"/>
      <c r="Z48" s="651"/>
      <c r="AA48" s="54"/>
      <c r="AB48" s="54"/>
      <c r="AC48" s="54"/>
    </row>
    <row r="49" spans="1:68" ht="16.5" hidden="1" customHeight="1" x14ac:dyDescent="0.25">
      <c r="A49" s="646" t="s">
        <v>127</v>
      </c>
      <c r="B49" s="646"/>
      <c r="C49" s="646"/>
      <c r="D49" s="646"/>
      <c r="E49" s="646"/>
      <c r="F49" s="646"/>
      <c r="G49" s="646"/>
      <c r="H49" s="646"/>
      <c r="I49" s="646"/>
      <c r="J49" s="646"/>
      <c r="K49" s="646"/>
      <c r="L49" s="646"/>
      <c r="M49" s="646"/>
      <c r="N49" s="646"/>
      <c r="O49" s="646"/>
      <c r="P49" s="646"/>
      <c r="Q49" s="646"/>
      <c r="R49" s="646"/>
      <c r="S49" s="646"/>
      <c r="T49" s="646"/>
      <c r="U49" s="646"/>
      <c r="V49" s="646"/>
      <c r="W49" s="646"/>
      <c r="X49" s="646"/>
      <c r="Y49" s="646"/>
      <c r="Z49" s="646"/>
      <c r="AA49" s="65"/>
      <c r="AB49" s="65"/>
      <c r="AC49" s="79"/>
    </row>
    <row r="50" spans="1:68" ht="14.25" hidden="1" customHeight="1" x14ac:dyDescent="0.25">
      <c r="A50" s="630" t="s">
        <v>128</v>
      </c>
      <c r="B50" s="630"/>
      <c r="C50" s="630"/>
      <c r="D50" s="630"/>
      <c r="E50" s="630"/>
      <c r="F50" s="630"/>
      <c r="G50" s="630"/>
      <c r="H50" s="630"/>
      <c r="I50" s="630"/>
      <c r="J50" s="630"/>
      <c r="K50" s="630"/>
      <c r="L50" s="630"/>
      <c r="M50" s="630"/>
      <c r="N50" s="630"/>
      <c r="O50" s="630"/>
      <c r="P50" s="630"/>
      <c r="Q50" s="630"/>
      <c r="R50" s="630"/>
      <c r="S50" s="630"/>
      <c r="T50" s="630"/>
      <c r="U50" s="630"/>
      <c r="V50" s="630"/>
      <c r="W50" s="630"/>
      <c r="X50" s="630"/>
      <c r="Y50" s="630"/>
      <c r="Z50" s="630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31">
        <v>4607091385670</v>
      </c>
      <c r="E51" s="63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8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3"/>
      <c r="R51" s="633"/>
      <c r="S51" s="633"/>
      <c r="T51" s="63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31">
        <v>4680115887725</v>
      </c>
      <c r="E52" s="63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8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3"/>
      <c r="R52" s="633"/>
      <c r="S52" s="633"/>
      <c r="T52" s="63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31">
        <v>4607091385687</v>
      </c>
      <c r="E53" s="63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3"/>
      <c r="R53" s="633"/>
      <c r="S53" s="633"/>
      <c r="T53" s="634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31">
        <v>4680115882539</v>
      </c>
      <c r="E54" s="63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3"/>
      <c r="R54" s="633"/>
      <c r="S54" s="633"/>
      <c r="T54" s="63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38"/>
      <c r="B55" s="638"/>
      <c r="C55" s="638"/>
      <c r="D55" s="638"/>
      <c r="E55" s="638"/>
      <c r="F55" s="638"/>
      <c r="G55" s="638"/>
      <c r="H55" s="638"/>
      <c r="I55" s="638"/>
      <c r="J55" s="638"/>
      <c r="K55" s="638"/>
      <c r="L55" s="638"/>
      <c r="M55" s="638"/>
      <c r="N55" s="638"/>
      <c r="O55" s="639"/>
      <c r="P55" s="635" t="s">
        <v>40</v>
      </c>
      <c r="Q55" s="636"/>
      <c r="R55" s="636"/>
      <c r="S55" s="636"/>
      <c r="T55" s="636"/>
      <c r="U55" s="636"/>
      <c r="V55" s="63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38"/>
      <c r="B56" s="638"/>
      <c r="C56" s="638"/>
      <c r="D56" s="638"/>
      <c r="E56" s="638"/>
      <c r="F56" s="638"/>
      <c r="G56" s="638"/>
      <c r="H56" s="638"/>
      <c r="I56" s="638"/>
      <c r="J56" s="638"/>
      <c r="K56" s="638"/>
      <c r="L56" s="638"/>
      <c r="M56" s="638"/>
      <c r="N56" s="638"/>
      <c r="O56" s="639"/>
      <c r="P56" s="635" t="s">
        <v>40</v>
      </c>
      <c r="Q56" s="636"/>
      <c r="R56" s="636"/>
      <c r="S56" s="636"/>
      <c r="T56" s="636"/>
      <c r="U56" s="636"/>
      <c r="V56" s="63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46" t="s">
        <v>143</v>
      </c>
      <c r="B57" s="646"/>
      <c r="C57" s="646"/>
      <c r="D57" s="646"/>
      <c r="E57" s="646"/>
      <c r="F57" s="646"/>
      <c r="G57" s="646"/>
      <c r="H57" s="646"/>
      <c r="I57" s="646"/>
      <c r="J57" s="646"/>
      <c r="K57" s="646"/>
      <c r="L57" s="646"/>
      <c r="M57" s="646"/>
      <c r="N57" s="646"/>
      <c r="O57" s="646"/>
      <c r="P57" s="646"/>
      <c r="Q57" s="646"/>
      <c r="R57" s="646"/>
      <c r="S57" s="646"/>
      <c r="T57" s="646"/>
      <c r="U57" s="646"/>
      <c r="V57" s="646"/>
      <c r="W57" s="646"/>
      <c r="X57" s="646"/>
      <c r="Y57" s="646"/>
      <c r="Z57" s="646"/>
      <c r="AA57" s="65"/>
      <c r="AB57" s="65"/>
      <c r="AC57" s="79"/>
    </row>
    <row r="58" spans="1:68" ht="14.25" hidden="1" customHeight="1" x14ac:dyDescent="0.25">
      <c r="A58" s="630" t="s">
        <v>128</v>
      </c>
      <c r="B58" s="630"/>
      <c r="C58" s="630"/>
      <c r="D58" s="630"/>
      <c r="E58" s="630"/>
      <c r="F58" s="630"/>
      <c r="G58" s="630"/>
      <c r="H58" s="630"/>
      <c r="I58" s="630"/>
      <c r="J58" s="630"/>
      <c r="K58" s="630"/>
      <c r="L58" s="630"/>
      <c r="M58" s="630"/>
      <c r="N58" s="630"/>
      <c r="O58" s="630"/>
      <c r="P58" s="630"/>
      <c r="Q58" s="630"/>
      <c r="R58" s="630"/>
      <c r="S58" s="630"/>
      <c r="T58" s="630"/>
      <c r="U58" s="630"/>
      <c r="V58" s="630"/>
      <c r="W58" s="630"/>
      <c r="X58" s="630"/>
      <c r="Y58" s="630"/>
      <c r="Z58" s="630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31">
        <v>4680115885882</v>
      </c>
      <c r="E59" s="63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89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3"/>
      <c r="R59" s="633"/>
      <c r="S59" s="633"/>
      <c r="T59" s="63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31">
        <v>4680115885882</v>
      </c>
      <c r="E60" s="63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8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3"/>
      <c r="R60" s="633"/>
      <c r="S60" s="633"/>
      <c r="T60" s="63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149</v>
      </c>
      <c r="B61" s="63" t="s">
        <v>150</v>
      </c>
      <c r="C61" s="36">
        <v>4301011816</v>
      </c>
      <c r="D61" s="631">
        <v>4680115881426</v>
      </c>
      <c r="E61" s="63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89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3"/>
      <c r="R61" s="633"/>
      <c r="S61" s="633"/>
      <c r="T61" s="634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31">
        <v>4680115880283</v>
      </c>
      <c r="E62" s="63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89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3"/>
      <c r="R62" s="633"/>
      <c r="S62" s="633"/>
      <c r="T62" s="63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31">
        <v>4680115880283</v>
      </c>
      <c r="E63" s="63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89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3"/>
      <c r="R63" s="633"/>
      <c r="S63" s="633"/>
      <c r="T63" s="63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31">
        <v>4680115881525</v>
      </c>
      <c r="E64" s="63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89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3"/>
      <c r="R64" s="633"/>
      <c r="S64" s="633"/>
      <c r="T64" s="63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31">
        <v>4680115885899</v>
      </c>
      <c r="E65" s="63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89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3"/>
      <c r="R65" s="633"/>
      <c r="S65" s="633"/>
      <c r="T65" s="63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161</v>
      </c>
      <c r="B66" s="63" t="s">
        <v>162</v>
      </c>
      <c r="C66" s="36">
        <v>4301011801</v>
      </c>
      <c r="D66" s="631">
        <v>4680115881419</v>
      </c>
      <c r="E66" s="63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8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3"/>
      <c r="R66" s="633"/>
      <c r="S66" s="633"/>
      <c r="T66" s="634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38"/>
      <c r="B67" s="638"/>
      <c r="C67" s="638"/>
      <c r="D67" s="638"/>
      <c r="E67" s="638"/>
      <c r="F67" s="638"/>
      <c r="G67" s="638"/>
      <c r="H67" s="638"/>
      <c r="I67" s="638"/>
      <c r="J67" s="638"/>
      <c r="K67" s="638"/>
      <c r="L67" s="638"/>
      <c r="M67" s="638"/>
      <c r="N67" s="638"/>
      <c r="O67" s="639"/>
      <c r="P67" s="635" t="s">
        <v>40</v>
      </c>
      <c r="Q67" s="636"/>
      <c r="R67" s="636"/>
      <c r="S67" s="636"/>
      <c r="T67" s="636"/>
      <c r="U67" s="636"/>
      <c r="V67" s="63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38"/>
      <c r="B68" s="638"/>
      <c r="C68" s="638"/>
      <c r="D68" s="638"/>
      <c r="E68" s="638"/>
      <c r="F68" s="638"/>
      <c r="G68" s="638"/>
      <c r="H68" s="638"/>
      <c r="I68" s="638"/>
      <c r="J68" s="638"/>
      <c r="K68" s="638"/>
      <c r="L68" s="638"/>
      <c r="M68" s="638"/>
      <c r="N68" s="638"/>
      <c r="O68" s="639"/>
      <c r="P68" s="635" t="s">
        <v>40</v>
      </c>
      <c r="Q68" s="636"/>
      <c r="R68" s="636"/>
      <c r="S68" s="636"/>
      <c r="T68" s="636"/>
      <c r="U68" s="636"/>
      <c r="V68" s="63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30" t="s">
        <v>164</v>
      </c>
      <c r="B69" s="630"/>
      <c r="C69" s="630"/>
      <c r="D69" s="630"/>
      <c r="E69" s="630"/>
      <c r="F69" s="630"/>
      <c r="G69" s="630"/>
      <c r="H69" s="630"/>
      <c r="I69" s="630"/>
      <c r="J69" s="630"/>
      <c r="K69" s="630"/>
      <c r="L69" s="630"/>
      <c r="M69" s="630"/>
      <c r="N69" s="630"/>
      <c r="O69" s="630"/>
      <c r="P69" s="630"/>
      <c r="Q69" s="630"/>
      <c r="R69" s="630"/>
      <c r="S69" s="630"/>
      <c r="T69" s="630"/>
      <c r="U69" s="630"/>
      <c r="V69" s="630"/>
      <c r="W69" s="630"/>
      <c r="X69" s="630"/>
      <c r="Y69" s="630"/>
      <c r="Z69" s="630"/>
      <c r="AA69" s="66"/>
      <c r="AB69" s="66"/>
      <c r="AC69" s="80"/>
    </row>
    <row r="70" spans="1:68" ht="16.5" hidden="1" customHeight="1" x14ac:dyDescent="0.25">
      <c r="A70" s="63" t="s">
        <v>165</v>
      </c>
      <c r="B70" s="63" t="s">
        <v>166</v>
      </c>
      <c r="C70" s="36">
        <v>4301020298</v>
      </c>
      <c r="D70" s="631">
        <v>4680115881440</v>
      </c>
      <c r="E70" s="63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88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3"/>
      <c r="R70" s="633"/>
      <c r="S70" s="633"/>
      <c r="T70" s="634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31">
        <v>4680115885950</v>
      </c>
      <c r="E71" s="63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89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3"/>
      <c r="R71" s="633"/>
      <c r="S71" s="633"/>
      <c r="T71" s="63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31">
        <v>4680115887688</v>
      </c>
      <c r="E72" s="63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88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3"/>
      <c r="R72" s="633"/>
      <c r="S72" s="633"/>
      <c r="T72" s="63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31">
        <v>4680115881433</v>
      </c>
      <c r="E73" s="63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88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3"/>
      <c r="R73" s="633"/>
      <c r="S73" s="633"/>
      <c r="T73" s="63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38"/>
      <c r="B74" s="638"/>
      <c r="C74" s="638"/>
      <c r="D74" s="638"/>
      <c r="E74" s="638"/>
      <c r="F74" s="638"/>
      <c r="G74" s="638"/>
      <c r="H74" s="638"/>
      <c r="I74" s="638"/>
      <c r="J74" s="638"/>
      <c r="K74" s="638"/>
      <c r="L74" s="638"/>
      <c r="M74" s="638"/>
      <c r="N74" s="638"/>
      <c r="O74" s="639"/>
      <c r="P74" s="635" t="s">
        <v>40</v>
      </c>
      <c r="Q74" s="636"/>
      <c r="R74" s="636"/>
      <c r="S74" s="636"/>
      <c r="T74" s="636"/>
      <c r="U74" s="636"/>
      <c r="V74" s="63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38"/>
      <c r="B75" s="638"/>
      <c r="C75" s="638"/>
      <c r="D75" s="638"/>
      <c r="E75" s="638"/>
      <c r="F75" s="638"/>
      <c r="G75" s="638"/>
      <c r="H75" s="638"/>
      <c r="I75" s="638"/>
      <c r="J75" s="638"/>
      <c r="K75" s="638"/>
      <c r="L75" s="638"/>
      <c r="M75" s="638"/>
      <c r="N75" s="638"/>
      <c r="O75" s="639"/>
      <c r="P75" s="635" t="s">
        <v>40</v>
      </c>
      <c r="Q75" s="636"/>
      <c r="R75" s="636"/>
      <c r="S75" s="636"/>
      <c r="T75" s="636"/>
      <c r="U75" s="636"/>
      <c r="V75" s="63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30" t="s">
        <v>86</v>
      </c>
      <c r="B76" s="630"/>
      <c r="C76" s="630"/>
      <c r="D76" s="630"/>
      <c r="E76" s="630"/>
      <c r="F76" s="630"/>
      <c r="G76" s="630"/>
      <c r="H76" s="630"/>
      <c r="I76" s="630"/>
      <c r="J76" s="630"/>
      <c r="K76" s="630"/>
      <c r="L76" s="630"/>
      <c r="M76" s="630"/>
      <c r="N76" s="630"/>
      <c r="O76" s="630"/>
      <c r="P76" s="630"/>
      <c r="Q76" s="630"/>
      <c r="R76" s="630"/>
      <c r="S76" s="630"/>
      <c r="T76" s="630"/>
      <c r="U76" s="630"/>
      <c r="V76" s="630"/>
      <c r="W76" s="630"/>
      <c r="X76" s="630"/>
      <c r="Y76" s="630"/>
      <c r="Z76" s="630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31">
        <v>4680115884311</v>
      </c>
      <c r="E77" s="63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88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3"/>
      <c r="R77" s="633"/>
      <c r="S77" s="633"/>
      <c r="T77" s="63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31">
        <v>4680115884403</v>
      </c>
      <c r="E78" s="63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88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3"/>
      <c r="R78" s="633"/>
      <c r="S78" s="633"/>
      <c r="T78" s="63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38"/>
      <c r="B79" s="638"/>
      <c r="C79" s="638"/>
      <c r="D79" s="638"/>
      <c r="E79" s="638"/>
      <c r="F79" s="638"/>
      <c r="G79" s="638"/>
      <c r="H79" s="638"/>
      <c r="I79" s="638"/>
      <c r="J79" s="638"/>
      <c r="K79" s="638"/>
      <c r="L79" s="638"/>
      <c r="M79" s="638"/>
      <c r="N79" s="638"/>
      <c r="O79" s="639"/>
      <c r="P79" s="635" t="s">
        <v>40</v>
      </c>
      <c r="Q79" s="636"/>
      <c r="R79" s="636"/>
      <c r="S79" s="636"/>
      <c r="T79" s="636"/>
      <c r="U79" s="636"/>
      <c r="V79" s="63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38"/>
      <c r="B80" s="638"/>
      <c r="C80" s="638"/>
      <c r="D80" s="638"/>
      <c r="E80" s="638"/>
      <c r="F80" s="638"/>
      <c r="G80" s="638"/>
      <c r="H80" s="638"/>
      <c r="I80" s="638"/>
      <c r="J80" s="638"/>
      <c r="K80" s="638"/>
      <c r="L80" s="638"/>
      <c r="M80" s="638"/>
      <c r="N80" s="638"/>
      <c r="O80" s="639"/>
      <c r="P80" s="635" t="s">
        <v>40</v>
      </c>
      <c r="Q80" s="636"/>
      <c r="R80" s="636"/>
      <c r="S80" s="636"/>
      <c r="T80" s="636"/>
      <c r="U80" s="636"/>
      <c r="V80" s="63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30" t="s">
        <v>181</v>
      </c>
      <c r="B81" s="630"/>
      <c r="C81" s="630"/>
      <c r="D81" s="630"/>
      <c r="E81" s="630"/>
      <c r="F81" s="630"/>
      <c r="G81" s="630"/>
      <c r="H81" s="630"/>
      <c r="I81" s="630"/>
      <c r="J81" s="630"/>
      <c r="K81" s="630"/>
      <c r="L81" s="630"/>
      <c r="M81" s="630"/>
      <c r="N81" s="630"/>
      <c r="O81" s="630"/>
      <c r="P81" s="630"/>
      <c r="Q81" s="630"/>
      <c r="R81" s="630"/>
      <c r="S81" s="630"/>
      <c r="T81" s="630"/>
      <c r="U81" s="630"/>
      <c r="V81" s="630"/>
      <c r="W81" s="630"/>
      <c r="X81" s="630"/>
      <c r="Y81" s="630"/>
      <c r="Z81" s="630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31">
        <v>4680115881532</v>
      </c>
      <c r="E82" s="63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88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3"/>
      <c r="R82" s="633"/>
      <c r="S82" s="633"/>
      <c r="T82" s="63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31">
        <v>4680115881464</v>
      </c>
      <c r="E83" s="63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8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3"/>
      <c r="R83" s="633"/>
      <c r="S83" s="633"/>
      <c r="T83" s="63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38"/>
      <c r="B84" s="638"/>
      <c r="C84" s="638"/>
      <c r="D84" s="638"/>
      <c r="E84" s="638"/>
      <c r="F84" s="638"/>
      <c r="G84" s="638"/>
      <c r="H84" s="638"/>
      <c r="I84" s="638"/>
      <c r="J84" s="638"/>
      <c r="K84" s="638"/>
      <c r="L84" s="638"/>
      <c r="M84" s="638"/>
      <c r="N84" s="638"/>
      <c r="O84" s="639"/>
      <c r="P84" s="635" t="s">
        <v>40</v>
      </c>
      <c r="Q84" s="636"/>
      <c r="R84" s="636"/>
      <c r="S84" s="636"/>
      <c r="T84" s="636"/>
      <c r="U84" s="636"/>
      <c r="V84" s="637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38"/>
      <c r="B85" s="638"/>
      <c r="C85" s="638"/>
      <c r="D85" s="638"/>
      <c r="E85" s="638"/>
      <c r="F85" s="638"/>
      <c r="G85" s="638"/>
      <c r="H85" s="638"/>
      <c r="I85" s="638"/>
      <c r="J85" s="638"/>
      <c r="K85" s="638"/>
      <c r="L85" s="638"/>
      <c r="M85" s="638"/>
      <c r="N85" s="638"/>
      <c r="O85" s="639"/>
      <c r="P85" s="635" t="s">
        <v>40</v>
      </c>
      <c r="Q85" s="636"/>
      <c r="R85" s="636"/>
      <c r="S85" s="636"/>
      <c r="T85" s="636"/>
      <c r="U85" s="636"/>
      <c r="V85" s="637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46" t="s">
        <v>188</v>
      </c>
      <c r="B86" s="646"/>
      <c r="C86" s="646"/>
      <c r="D86" s="646"/>
      <c r="E86" s="646"/>
      <c r="F86" s="646"/>
      <c r="G86" s="646"/>
      <c r="H86" s="646"/>
      <c r="I86" s="646"/>
      <c r="J86" s="646"/>
      <c r="K86" s="646"/>
      <c r="L86" s="646"/>
      <c r="M86" s="646"/>
      <c r="N86" s="646"/>
      <c r="O86" s="646"/>
      <c r="P86" s="646"/>
      <c r="Q86" s="646"/>
      <c r="R86" s="646"/>
      <c r="S86" s="646"/>
      <c r="T86" s="646"/>
      <c r="U86" s="646"/>
      <c r="V86" s="646"/>
      <c r="W86" s="646"/>
      <c r="X86" s="646"/>
      <c r="Y86" s="646"/>
      <c r="Z86" s="646"/>
      <c r="AA86" s="65"/>
      <c r="AB86" s="65"/>
      <c r="AC86" s="79"/>
    </row>
    <row r="87" spans="1:68" ht="14.25" hidden="1" customHeight="1" x14ac:dyDescent="0.25">
      <c r="A87" s="630" t="s">
        <v>128</v>
      </c>
      <c r="B87" s="630"/>
      <c r="C87" s="630"/>
      <c r="D87" s="630"/>
      <c r="E87" s="630"/>
      <c r="F87" s="630"/>
      <c r="G87" s="630"/>
      <c r="H87" s="630"/>
      <c r="I87" s="630"/>
      <c r="J87" s="630"/>
      <c r="K87" s="630"/>
      <c r="L87" s="630"/>
      <c r="M87" s="630"/>
      <c r="N87" s="630"/>
      <c r="O87" s="630"/>
      <c r="P87" s="630"/>
      <c r="Q87" s="630"/>
      <c r="R87" s="630"/>
      <c r="S87" s="630"/>
      <c r="T87" s="630"/>
      <c r="U87" s="630"/>
      <c r="V87" s="630"/>
      <c r="W87" s="630"/>
      <c r="X87" s="630"/>
      <c r="Y87" s="630"/>
      <c r="Z87" s="630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31">
        <v>4680115881327</v>
      </c>
      <c r="E88" s="63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3"/>
      <c r="R88" s="633"/>
      <c r="S88" s="633"/>
      <c r="T88" s="63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31">
        <v>4680115887732</v>
      </c>
      <c r="E89" s="63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8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3"/>
      <c r="R89" s="633"/>
      <c r="S89" s="633"/>
      <c r="T89" s="63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31">
        <v>4680115881518</v>
      </c>
      <c r="E90" s="63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7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3"/>
      <c r="R90" s="633"/>
      <c r="S90" s="633"/>
      <c r="T90" s="63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31">
        <v>4680115881303</v>
      </c>
      <c r="E91" s="63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3"/>
      <c r="R91" s="633"/>
      <c r="S91" s="633"/>
      <c r="T91" s="63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38"/>
      <c r="B92" s="638"/>
      <c r="C92" s="638"/>
      <c r="D92" s="638"/>
      <c r="E92" s="638"/>
      <c r="F92" s="638"/>
      <c r="G92" s="638"/>
      <c r="H92" s="638"/>
      <c r="I92" s="638"/>
      <c r="J92" s="638"/>
      <c r="K92" s="638"/>
      <c r="L92" s="638"/>
      <c r="M92" s="638"/>
      <c r="N92" s="638"/>
      <c r="O92" s="639"/>
      <c r="P92" s="635" t="s">
        <v>40</v>
      </c>
      <c r="Q92" s="636"/>
      <c r="R92" s="636"/>
      <c r="S92" s="636"/>
      <c r="T92" s="636"/>
      <c r="U92" s="636"/>
      <c r="V92" s="637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38"/>
      <c r="B93" s="638"/>
      <c r="C93" s="638"/>
      <c r="D93" s="638"/>
      <c r="E93" s="638"/>
      <c r="F93" s="638"/>
      <c r="G93" s="638"/>
      <c r="H93" s="638"/>
      <c r="I93" s="638"/>
      <c r="J93" s="638"/>
      <c r="K93" s="638"/>
      <c r="L93" s="638"/>
      <c r="M93" s="638"/>
      <c r="N93" s="638"/>
      <c r="O93" s="639"/>
      <c r="P93" s="635" t="s">
        <v>40</v>
      </c>
      <c r="Q93" s="636"/>
      <c r="R93" s="636"/>
      <c r="S93" s="636"/>
      <c r="T93" s="636"/>
      <c r="U93" s="636"/>
      <c r="V93" s="637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30" t="s">
        <v>86</v>
      </c>
      <c r="B94" s="630"/>
      <c r="C94" s="630"/>
      <c r="D94" s="630"/>
      <c r="E94" s="630"/>
      <c r="F94" s="630"/>
      <c r="G94" s="630"/>
      <c r="H94" s="630"/>
      <c r="I94" s="630"/>
      <c r="J94" s="630"/>
      <c r="K94" s="630"/>
      <c r="L94" s="630"/>
      <c r="M94" s="630"/>
      <c r="N94" s="630"/>
      <c r="O94" s="630"/>
      <c r="P94" s="630"/>
      <c r="Q94" s="630"/>
      <c r="R94" s="630"/>
      <c r="S94" s="630"/>
      <c r="T94" s="630"/>
      <c r="U94" s="630"/>
      <c r="V94" s="630"/>
      <c r="W94" s="630"/>
      <c r="X94" s="630"/>
      <c r="Y94" s="630"/>
      <c r="Z94" s="630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31">
        <v>4607091386967</v>
      </c>
      <c r="E95" s="63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7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3"/>
      <c r="R95" s="633"/>
      <c r="S95" s="633"/>
      <c r="T95" s="63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31">
        <v>4680115884953</v>
      </c>
      <c r="E96" s="63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7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3"/>
      <c r="R96" s="633"/>
      <c r="S96" s="633"/>
      <c r="T96" s="63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31">
        <v>4607091385731</v>
      </c>
      <c r="E97" s="63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3"/>
      <c r="R97" s="633"/>
      <c r="S97" s="633"/>
      <c r="T97" s="63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31">
        <v>4680115880894</v>
      </c>
      <c r="E98" s="63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7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3"/>
      <c r="R98" s="633"/>
      <c r="S98" s="633"/>
      <c r="T98" s="634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638"/>
      <c r="B99" s="638"/>
      <c r="C99" s="638"/>
      <c r="D99" s="638"/>
      <c r="E99" s="638"/>
      <c r="F99" s="638"/>
      <c r="G99" s="638"/>
      <c r="H99" s="638"/>
      <c r="I99" s="638"/>
      <c r="J99" s="638"/>
      <c r="K99" s="638"/>
      <c r="L99" s="638"/>
      <c r="M99" s="638"/>
      <c r="N99" s="638"/>
      <c r="O99" s="639"/>
      <c r="P99" s="635" t="s">
        <v>40</v>
      </c>
      <c r="Q99" s="636"/>
      <c r="R99" s="636"/>
      <c r="S99" s="636"/>
      <c r="T99" s="636"/>
      <c r="U99" s="636"/>
      <c r="V99" s="637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38"/>
      <c r="B100" s="638"/>
      <c r="C100" s="638"/>
      <c r="D100" s="638"/>
      <c r="E100" s="638"/>
      <c r="F100" s="638"/>
      <c r="G100" s="638"/>
      <c r="H100" s="638"/>
      <c r="I100" s="638"/>
      <c r="J100" s="638"/>
      <c r="K100" s="638"/>
      <c r="L100" s="638"/>
      <c r="M100" s="638"/>
      <c r="N100" s="638"/>
      <c r="O100" s="639"/>
      <c r="P100" s="635" t="s">
        <v>40</v>
      </c>
      <c r="Q100" s="636"/>
      <c r="R100" s="636"/>
      <c r="S100" s="636"/>
      <c r="T100" s="636"/>
      <c r="U100" s="636"/>
      <c r="V100" s="637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646" t="s">
        <v>209</v>
      </c>
      <c r="B101" s="646"/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  <c r="Z101" s="646"/>
      <c r="AA101" s="65"/>
      <c r="AB101" s="65"/>
      <c r="AC101" s="79"/>
    </row>
    <row r="102" spans="1:68" ht="14.25" hidden="1" customHeight="1" x14ac:dyDescent="0.25">
      <c r="A102" s="630" t="s">
        <v>128</v>
      </c>
      <c r="B102" s="630"/>
      <c r="C102" s="630"/>
      <c r="D102" s="630"/>
      <c r="E102" s="630"/>
      <c r="F102" s="630"/>
      <c r="G102" s="630"/>
      <c r="H102" s="630"/>
      <c r="I102" s="630"/>
      <c r="J102" s="630"/>
      <c r="K102" s="630"/>
      <c r="L102" s="630"/>
      <c r="M102" s="630"/>
      <c r="N102" s="630"/>
      <c r="O102" s="630"/>
      <c r="P102" s="630"/>
      <c r="Q102" s="630"/>
      <c r="R102" s="630"/>
      <c r="S102" s="630"/>
      <c r="T102" s="630"/>
      <c r="U102" s="630"/>
      <c r="V102" s="630"/>
      <c r="W102" s="630"/>
      <c r="X102" s="630"/>
      <c r="Y102" s="630"/>
      <c r="Z102" s="630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31">
        <v>4680115882133</v>
      </c>
      <c r="E103" s="63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3"/>
      <c r="R103" s="633"/>
      <c r="S103" s="633"/>
      <c r="T103" s="63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31">
        <v>4680115887718</v>
      </c>
      <c r="E104" s="63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3"/>
      <c r="R104" s="633"/>
      <c r="S104" s="633"/>
      <c r="T104" s="63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31">
        <v>4680115887718</v>
      </c>
      <c r="E105" s="63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7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3"/>
      <c r="R105" s="633"/>
      <c r="S105" s="633"/>
      <c r="T105" s="63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31">
        <v>4680115880269</v>
      </c>
      <c r="E106" s="63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3"/>
      <c r="R106" s="633"/>
      <c r="S106" s="633"/>
      <c r="T106" s="63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31">
        <v>4680115880429</v>
      </c>
      <c r="E107" s="63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3"/>
      <c r="R107" s="633"/>
      <c r="S107" s="633"/>
      <c r="T107" s="63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31">
        <v>4680115881457</v>
      </c>
      <c r="E108" s="63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3"/>
      <c r="R108" s="633"/>
      <c r="S108" s="633"/>
      <c r="T108" s="63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38"/>
      <c r="B109" s="638"/>
      <c r="C109" s="638"/>
      <c r="D109" s="638"/>
      <c r="E109" s="638"/>
      <c r="F109" s="638"/>
      <c r="G109" s="638"/>
      <c r="H109" s="638"/>
      <c r="I109" s="638"/>
      <c r="J109" s="638"/>
      <c r="K109" s="638"/>
      <c r="L109" s="638"/>
      <c r="M109" s="638"/>
      <c r="N109" s="638"/>
      <c r="O109" s="639"/>
      <c r="P109" s="635" t="s">
        <v>40</v>
      </c>
      <c r="Q109" s="636"/>
      <c r="R109" s="636"/>
      <c r="S109" s="636"/>
      <c r="T109" s="636"/>
      <c r="U109" s="636"/>
      <c r="V109" s="637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38"/>
      <c r="B110" s="638"/>
      <c r="C110" s="638"/>
      <c r="D110" s="638"/>
      <c r="E110" s="638"/>
      <c r="F110" s="638"/>
      <c r="G110" s="638"/>
      <c r="H110" s="638"/>
      <c r="I110" s="638"/>
      <c r="J110" s="638"/>
      <c r="K110" s="638"/>
      <c r="L110" s="638"/>
      <c r="M110" s="638"/>
      <c r="N110" s="638"/>
      <c r="O110" s="639"/>
      <c r="P110" s="635" t="s">
        <v>40</v>
      </c>
      <c r="Q110" s="636"/>
      <c r="R110" s="636"/>
      <c r="S110" s="636"/>
      <c r="T110" s="636"/>
      <c r="U110" s="636"/>
      <c r="V110" s="637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30" t="s">
        <v>164</v>
      </c>
      <c r="B111" s="630"/>
      <c r="C111" s="630"/>
      <c r="D111" s="630"/>
      <c r="E111" s="630"/>
      <c r="F111" s="630"/>
      <c r="G111" s="630"/>
      <c r="H111" s="630"/>
      <c r="I111" s="630"/>
      <c r="J111" s="630"/>
      <c r="K111" s="630"/>
      <c r="L111" s="630"/>
      <c r="M111" s="630"/>
      <c r="N111" s="630"/>
      <c r="O111" s="630"/>
      <c r="P111" s="630"/>
      <c r="Q111" s="630"/>
      <c r="R111" s="630"/>
      <c r="S111" s="630"/>
      <c r="T111" s="630"/>
      <c r="U111" s="630"/>
      <c r="V111" s="630"/>
      <c r="W111" s="630"/>
      <c r="X111" s="630"/>
      <c r="Y111" s="630"/>
      <c r="Z111" s="630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31">
        <v>4680115881488</v>
      </c>
      <c r="E112" s="63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6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3"/>
      <c r="R112" s="633"/>
      <c r="S112" s="633"/>
      <c r="T112" s="63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31">
        <v>4680115887664</v>
      </c>
      <c r="E113" s="63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3"/>
      <c r="R113" s="633"/>
      <c r="S113" s="633"/>
      <c r="T113" s="63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31">
        <v>4680115887664</v>
      </c>
      <c r="E114" s="63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6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3"/>
      <c r="R114" s="633"/>
      <c r="S114" s="633"/>
      <c r="T114" s="63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31">
        <v>4680115882775</v>
      </c>
      <c r="E115" s="63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6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3"/>
      <c r="R115" s="633"/>
      <c r="S115" s="633"/>
      <c r="T115" s="63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31">
        <v>4680115880658</v>
      </c>
      <c r="E116" s="63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6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3"/>
      <c r="R116" s="633"/>
      <c r="S116" s="633"/>
      <c r="T116" s="63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38"/>
      <c r="B117" s="638"/>
      <c r="C117" s="638"/>
      <c r="D117" s="638"/>
      <c r="E117" s="638"/>
      <c r="F117" s="638"/>
      <c r="G117" s="638"/>
      <c r="H117" s="638"/>
      <c r="I117" s="638"/>
      <c r="J117" s="638"/>
      <c r="K117" s="638"/>
      <c r="L117" s="638"/>
      <c r="M117" s="638"/>
      <c r="N117" s="638"/>
      <c r="O117" s="639"/>
      <c r="P117" s="635" t="s">
        <v>40</v>
      </c>
      <c r="Q117" s="636"/>
      <c r="R117" s="636"/>
      <c r="S117" s="636"/>
      <c r="T117" s="636"/>
      <c r="U117" s="636"/>
      <c r="V117" s="637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38"/>
      <c r="B118" s="638"/>
      <c r="C118" s="638"/>
      <c r="D118" s="638"/>
      <c r="E118" s="638"/>
      <c r="F118" s="638"/>
      <c r="G118" s="638"/>
      <c r="H118" s="638"/>
      <c r="I118" s="638"/>
      <c r="J118" s="638"/>
      <c r="K118" s="638"/>
      <c r="L118" s="638"/>
      <c r="M118" s="638"/>
      <c r="N118" s="638"/>
      <c r="O118" s="639"/>
      <c r="P118" s="635" t="s">
        <v>40</v>
      </c>
      <c r="Q118" s="636"/>
      <c r="R118" s="636"/>
      <c r="S118" s="636"/>
      <c r="T118" s="636"/>
      <c r="U118" s="636"/>
      <c r="V118" s="637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30" t="s">
        <v>86</v>
      </c>
      <c r="B119" s="630"/>
      <c r="C119" s="630"/>
      <c r="D119" s="630"/>
      <c r="E119" s="630"/>
      <c r="F119" s="630"/>
      <c r="G119" s="630"/>
      <c r="H119" s="630"/>
      <c r="I119" s="630"/>
      <c r="J119" s="630"/>
      <c r="K119" s="630"/>
      <c r="L119" s="630"/>
      <c r="M119" s="630"/>
      <c r="N119" s="630"/>
      <c r="O119" s="630"/>
      <c r="P119" s="630"/>
      <c r="Q119" s="630"/>
      <c r="R119" s="630"/>
      <c r="S119" s="630"/>
      <c r="T119" s="630"/>
      <c r="U119" s="630"/>
      <c r="V119" s="630"/>
      <c r="W119" s="630"/>
      <c r="X119" s="630"/>
      <c r="Y119" s="630"/>
      <c r="Z119" s="630"/>
      <c r="AA119" s="66"/>
      <c r="AB119" s="66"/>
      <c r="AC119" s="80"/>
    </row>
    <row r="120" spans="1:68" ht="27" hidden="1" customHeight="1" x14ac:dyDescent="0.25">
      <c r="A120" s="63" t="s">
        <v>235</v>
      </c>
      <c r="B120" s="63" t="s">
        <v>236</v>
      </c>
      <c r="C120" s="36">
        <v>4301051724</v>
      </c>
      <c r="D120" s="631">
        <v>4607091385168</v>
      </c>
      <c r="E120" s="63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5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3"/>
      <c r="R120" s="633"/>
      <c r="S120" s="633"/>
      <c r="T120" s="634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31">
        <v>4607091383256</v>
      </c>
      <c r="E121" s="63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3"/>
      <c r="R121" s="633"/>
      <c r="S121" s="633"/>
      <c r="T121" s="63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31">
        <v>4607091385748</v>
      </c>
      <c r="E122" s="63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6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3"/>
      <c r="R122" s="633"/>
      <c r="S122" s="633"/>
      <c r="T122" s="63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31">
        <v>4680115884533</v>
      </c>
      <c r="E123" s="63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3"/>
      <c r="R123" s="633"/>
      <c r="S123" s="633"/>
      <c r="T123" s="63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638"/>
      <c r="B124" s="638"/>
      <c r="C124" s="638"/>
      <c r="D124" s="638"/>
      <c r="E124" s="638"/>
      <c r="F124" s="638"/>
      <c r="G124" s="638"/>
      <c r="H124" s="638"/>
      <c r="I124" s="638"/>
      <c r="J124" s="638"/>
      <c r="K124" s="638"/>
      <c r="L124" s="638"/>
      <c r="M124" s="638"/>
      <c r="N124" s="638"/>
      <c r="O124" s="639"/>
      <c r="P124" s="635" t="s">
        <v>40</v>
      </c>
      <c r="Q124" s="636"/>
      <c r="R124" s="636"/>
      <c r="S124" s="636"/>
      <c r="T124" s="636"/>
      <c r="U124" s="636"/>
      <c r="V124" s="637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638"/>
      <c r="B125" s="638"/>
      <c r="C125" s="638"/>
      <c r="D125" s="638"/>
      <c r="E125" s="638"/>
      <c r="F125" s="638"/>
      <c r="G125" s="638"/>
      <c r="H125" s="638"/>
      <c r="I125" s="638"/>
      <c r="J125" s="638"/>
      <c r="K125" s="638"/>
      <c r="L125" s="638"/>
      <c r="M125" s="638"/>
      <c r="N125" s="638"/>
      <c r="O125" s="639"/>
      <c r="P125" s="635" t="s">
        <v>40</v>
      </c>
      <c r="Q125" s="636"/>
      <c r="R125" s="636"/>
      <c r="S125" s="636"/>
      <c r="T125" s="636"/>
      <c r="U125" s="636"/>
      <c r="V125" s="637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630" t="s">
        <v>181</v>
      </c>
      <c r="B126" s="630"/>
      <c r="C126" s="630"/>
      <c r="D126" s="630"/>
      <c r="E126" s="630"/>
      <c r="F126" s="630"/>
      <c r="G126" s="630"/>
      <c r="H126" s="630"/>
      <c r="I126" s="630"/>
      <c r="J126" s="630"/>
      <c r="K126" s="630"/>
      <c r="L126" s="630"/>
      <c r="M126" s="630"/>
      <c r="N126" s="630"/>
      <c r="O126" s="630"/>
      <c r="P126" s="630"/>
      <c r="Q126" s="630"/>
      <c r="R126" s="630"/>
      <c r="S126" s="630"/>
      <c r="T126" s="630"/>
      <c r="U126" s="630"/>
      <c r="V126" s="630"/>
      <c r="W126" s="630"/>
      <c r="X126" s="630"/>
      <c r="Y126" s="630"/>
      <c r="Z126" s="630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31">
        <v>4680115880238</v>
      </c>
      <c r="E127" s="63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5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3"/>
      <c r="R127" s="633"/>
      <c r="S127" s="633"/>
      <c r="T127" s="63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38"/>
      <c r="B128" s="638"/>
      <c r="C128" s="638"/>
      <c r="D128" s="638"/>
      <c r="E128" s="638"/>
      <c r="F128" s="638"/>
      <c r="G128" s="638"/>
      <c r="H128" s="638"/>
      <c r="I128" s="638"/>
      <c r="J128" s="638"/>
      <c r="K128" s="638"/>
      <c r="L128" s="638"/>
      <c r="M128" s="638"/>
      <c r="N128" s="638"/>
      <c r="O128" s="639"/>
      <c r="P128" s="635" t="s">
        <v>40</v>
      </c>
      <c r="Q128" s="636"/>
      <c r="R128" s="636"/>
      <c r="S128" s="636"/>
      <c r="T128" s="636"/>
      <c r="U128" s="636"/>
      <c r="V128" s="637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38"/>
      <c r="B129" s="638"/>
      <c r="C129" s="638"/>
      <c r="D129" s="638"/>
      <c r="E129" s="638"/>
      <c r="F129" s="638"/>
      <c r="G129" s="638"/>
      <c r="H129" s="638"/>
      <c r="I129" s="638"/>
      <c r="J129" s="638"/>
      <c r="K129" s="638"/>
      <c r="L129" s="638"/>
      <c r="M129" s="638"/>
      <c r="N129" s="638"/>
      <c r="O129" s="639"/>
      <c r="P129" s="635" t="s">
        <v>40</v>
      </c>
      <c r="Q129" s="636"/>
      <c r="R129" s="636"/>
      <c r="S129" s="636"/>
      <c r="T129" s="636"/>
      <c r="U129" s="636"/>
      <c r="V129" s="637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46" t="s">
        <v>248</v>
      </c>
      <c r="B130" s="646"/>
      <c r="C130" s="646"/>
      <c r="D130" s="646"/>
      <c r="E130" s="646"/>
      <c r="F130" s="646"/>
      <c r="G130" s="646"/>
      <c r="H130" s="646"/>
      <c r="I130" s="646"/>
      <c r="J130" s="646"/>
      <c r="K130" s="646"/>
      <c r="L130" s="646"/>
      <c r="M130" s="646"/>
      <c r="N130" s="646"/>
      <c r="O130" s="646"/>
      <c r="P130" s="646"/>
      <c r="Q130" s="646"/>
      <c r="R130" s="646"/>
      <c r="S130" s="646"/>
      <c r="T130" s="646"/>
      <c r="U130" s="646"/>
      <c r="V130" s="646"/>
      <c r="W130" s="646"/>
      <c r="X130" s="646"/>
      <c r="Y130" s="646"/>
      <c r="Z130" s="646"/>
      <c r="AA130" s="65"/>
      <c r="AB130" s="65"/>
      <c r="AC130" s="79"/>
    </row>
    <row r="131" spans="1:68" ht="14.25" hidden="1" customHeight="1" x14ac:dyDescent="0.25">
      <c r="A131" s="630" t="s">
        <v>128</v>
      </c>
      <c r="B131" s="630"/>
      <c r="C131" s="630"/>
      <c r="D131" s="630"/>
      <c r="E131" s="630"/>
      <c r="F131" s="630"/>
      <c r="G131" s="630"/>
      <c r="H131" s="630"/>
      <c r="I131" s="630"/>
      <c r="J131" s="630"/>
      <c r="K131" s="630"/>
      <c r="L131" s="630"/>
      <c r="M131" s="630"/>
      <c r="N131" s="630"/>
      <c r="O131" s="630"/>
      <c r="P131" s="630"/>
      <c r="Q131" s="630"/>
      <c r="R131" s="630"/>
      <c r="S131" s="630"/>
      <c r="T131" s="630"/>
      <c r="U131" s="630"/>
      <c r="V131" s="630"/>
      <c r="W131" s="630"/>
      <c r="X131" s="630"/>
      <c r="Y131" s="630"/>
      <c r="Z131" s="630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31">
        <v>4680115882577</v>
      </c>
      <c r="E132" s="631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85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33"/>
      <c r="R132" s="633"/>
      <c r="S132" s="633"/>
      <c r="T132" s="63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249</v>
      </c>
      <c r="B133" s="63" t="s">
        <v>252</v>
      </c>
      <c r="C133" s="36">
        <v>4301011564</v>
      </c>
      <c r="D133" s="631">
        <v>4680115882577</v>
      </c>
      <c r="E133" s="631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85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33"/>
      <c r="R133" s="633"/>
      <c r="S133" s="633"/>
      <c r="T133" s="63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38"/>
      <c r="B134" s="638"/>
      <c r="C134" s="638"/>
      <c r="D134" s="638"/>
      <c r="E134" s="638"/>
      <c r="F134" s="638"/>
      <c r="G134" s="638"/>
      <c r="H134" s="638"/>
      <c r="I134" s="638"/>
      <c r="J134" s="638"/>
      <c r="K134" s="638"/>
      <c r="L134" s="638"/>
      <c r="M134" s="638"/>
      <c r="N134" s="638"/>
      <c r="O134" s="639"/>
      <c r="P134" s="635" t="s">
        <v>40</v>
      </c>
      <c r="Q134" s="636"/>
      <c r="R134" s="636"/>
      <c r="S134" s="636"/>
      <c r="T134" s="636"/>
      <c r="U134" s="636"/>
      <c r="V134" s="637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38"/>
      <c r="B135" s="638"/>
      <c r="C135" s="638"/>
      <c r="D135" s="638"/>
      <c r="E135" s="638"/>
      <c r="F135" s="638"/>
      <c r="G135" s="638"/>
      <c r="H135" s="638"/>
      <c r="I135" s="638"/>
      <c r="J135" s="638"/>
      <c r="K135" s="638"/>
      <c r="L135" s="638"/>
      <c r="M135" s="638"/>
      <c r="N135" s="638"/>
      <c r="O135" s="639"/>
      <c r="P135" s="635" t="s">
        <v>40</v>
      </c>
      <c r="Q135" s="636"/>
      <c r="R135" s="636"/>
      <c r="S135" s="636"/>
      <c r="T135" s="636"/>
      <c r="U135" s="636"/>
      <c r="V135" s="637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630" t="s">
        <v>77</v>
      </c>
      <c r="B136" s="630"/>
      <c r="C136" s="630"/>
      <c r="D136" s="630"/>
      <c r="E136" s="630"/>
      <c r="F136" s="630"/>
      <c r="G136" s="630"/>
      <c r="H136" s="630"/>
      <c r="I136" s="630"/>
      <c r="J136" s="630"/>
      <c r="K136" s="630"/>
      <c r="L136" s="630"/>
      <c r="M136" s="630"/>
      <c r="N136" s="630"/>
      <c r="O136" s="630"/>
      <c r="P136" s="630"/>
      <c r="Q136" s="630"/>
      <c r="R136" s="630"/>
      <c r="S136" s="630"/>
      <c r="T136" s="630"/>
      <c r="U136" s="630"/>
      <c r="V136" s="630"/>
      <c r="W136" s="630"/>
      <c r="X136" s="630"/>
      <c r="Y136" s="630"/>
      <c r="Z136" s="630"/>
      <c r="AA136" s="66"/>
      <c r="AB136" s="66"/>
      <c r="AC136" s="80"/>
    </row>
    <row r="137" spans="1:68" ht="27" hidden="1" customHeight="1" x14ac:dyDescent="0.25">
      <c r="A137" s="63" t="s">
        <v>253</v>
      </c>
      <c r="B137" s="63" t="s">
        <v>254</v>
      </c>
      <c r="C137" s="36">
        <v>4301031234</v>
      </c>
      <c r="D137" s="631">
        <v>4680115883444</v>
      </c>
      <c r="E137" s="631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85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33"/>
      <c r="R137" s="633"/>
      <c r="S137" s="633"/>
      <c r="T137" s="63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31">
        <v>4680115883444</v>
      </c>
      <c r="E138" s="631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8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33"/>
      <c r="R138" s="633"/>
      <c r="S138" s="633"/>
      <c r="T138" s="634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638"/>
      <c r="B139" s="638"/>
      <c r="C139" s="638"/>
      <c r="D139" s="638"/>
      <c r="E139" s="638"/>
      <c r="F139" s="638"/>
      <c r="G139" s="638"/>
      <c r="H139" s="638"/>
      <c r="I139" s="638"/>
      <c r="J139" s="638"/>
      <c r="K139" s="638"/>
      <c r="L139" s="638"/>
      <c r="M139" s="638"/>
      <c r="N139" s="638"/>
      <c r="O139" s="639"/>
      <c r="P139" s="635" t="s">
        <v>40</v>
      </c>
      <c r="Q139" s="636"/>
      <c r="R139" s="636"/>
      <c r="S139" s="636"/>
      <c r="T139" s="636"/>
      <c r="U139" s="636"/>
      <c r="V139" s="637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638"/>
      <c r="B140" s="638"/>
      <c r="C140" s="638"/>
      <c r="D140" s="638"/>
      <c r="E140" s="638"/>
      <c r="F140" s="638"/>
      <c r="G140" s="638"/>
      <c r="H140" s="638"/>
      <c r="I140" s="638"/>
      <c r="J140" s="638"/>
      <c r="K140" s="638"/>
      <c r="L140" s="638"/>
      <c r="M140" s="638"/>
      <c r="N140" s="638"/>
      <c r="O140" s="639"/>
      <c r="P140" s="635" t="s">
        <v>40</v>
      </c>
      <c r="Q140" s="636"/>
      <c r="R140" s="636"/>
      <c r="S140" s="636"/>
      <c r="T140" s="636"/>
      <c r="U140" s="636"/>
      <c r="V140" s="637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630" t="s">
        <v>86</v>
      </c>
      <c r="B141" s="630"/>
      <c r="C141" s="630"/>
      <c r="D141" s="630"/>
      <c r="E141" s="630"/>
      <c r="F141" s="630"/>
      <c r="G141" s="630"/>
      <c r="H141" s="630"/>
      <c r="I141" s="630"/>
      <c r="J141" s="630"/>
      <c r="K141" s="630"/>
      <c r="L141" s="630"/>
      <c r="M141" s="630"/>
      <c r="N141" s="630"/>
      <c r="O141" s="630"/>
      <c r="P141" s="630"/>
      <c r="Q141" s="630"/>
      <c r="R141" s="630"/>
      <c r="S141" s="630"/>
      <c r="T141" s="630"/>
      <c r="U141" s="630"/>
      <c r="V141" s="630"/>
      <c r="W141" s="630"/>
      <c r="X141" s="630"/>
      <c r="Y141" s="630"/>
      <c r="Z141" s="630"/>
      <c r="AA141" s="66"/>
      <c r="AB141" s="66"/>
      <c r="AC141" s="80"/>
    </row>
    <row r="142" spans="1:68" ht="16.5" hidden="1" customHeight="1" x14ac:dyDescent="0.25">
      <c r="A142" s="63" t="s">
        <v>257</v>
      </c>
      <c r="B142" s="63" t="s">
        <v>258</v>
      </c>
      <c r="C142" s="36">
        <v>4301051476</v>
      </c>
      <c r="D142" s="631">
        <v>4680115882584</v>
      </c>
      <c r="E142" s="63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85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3"/>
      <c r="R142" s="633"/>
      <c r="S142" s="633"/>
      <c r="T142" s="63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31">
        <v>4680115882584</v>
      </c>
      <c r="E143" s="63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3"/>
      <c r="R143" s="633"/>
      <c r="S143" s="633"/>
      <c r="T143" s="63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638"/>
      <c r="B144" s="638"/>
      <c r="C144" s="638"/>
      <c r="D144" s="638"/>
      <c r="E144" s="638"/>
      <c r="F144" s="638"/>
      <c r="G144" s="638"/>
      <c r="H144" s="638"/>
      <c r="I144" s="638"/>
      <c r="J144" s="638"/>
      <c r="K144" s="638"/>
      <c r="L144" s="638"/>
      <c r="M144" s="638"/>
      <c r="N144" s="638"/>
      <c r="O144" s="639"/>
      <c r="P144" s="635" t="s">
        <v>40</v>
      </c>
      <c r="Q144" s="636"/>
      <c r="R144" s="636"/>
      <c r="S144" s="636"/>
      <c r="T144" s="636"/>
      <c r="U144" s="636"/>
      <c r="V144" s="637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638"/>
      <c r="B145" s="638"/>
      <c r="C145" s="638"/>
      <c r="D145" s="638"/>
      <c r="E145" s="638"/>
      <c r="F145" s="638"/>
      <c r="G145" s="638"/>
      <c r="H145" s="638"/>
      <c r="I145" s="638"/>
      <c r="J145" s="638"/>
      <c r="K145" s="638"/>
      <c r="L145" s="638"/>
      <c r="M145" s="638"/>
      <c r="N145" s="638"/>
      <c r="O145" s="639"/>
      <c r="P145" s="635" t="s">
        <v>40</v>
      </c>
      <c r="Q145" s="636"/>
      <c r="R145" s="636"/>
      <c r="S145" s="636"/>
      <c r="T145" s="636"/>
      <c r="U145" s="636"/>
      <c r="V145" s="637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646" t="s">
        <v>260</v>
      </c>
      <c r="B146" s="646"/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646"/>
      <c r="Z146" s="646"/>
      <c r="AA146" s="65"/>
      <c r="AB146" s="65"/>
      <c r="AC146" s="79"/>
    </row>
    <row r="147" spans="1:68" ht="14.25" hidden="1" customHeight="1" x14ac:dyDescent="0.25">
      <c r="A147" s="630" t="s">
        <v>86</v>
      </c>
      <c r="B147" s="630"/>
      <c r="C147" s="630"/>
      <c r="D147" s="630"/>
      <c r="E147" s="630"/>
      <c r="F147" s="630"/>
      <c r="G147" s="630"/>
      <c r="H147" s="630"/>
      <c r="I147" s="630"/>
      <c r="J147" s="630"/>
      <c r="K147" s="630"/>
      <c r="L147" s="630"/>
      <c r="M147" s="630"/>
      <c r="N147" s="630"/>
      <c r="O147" s="630"/>
      <c r="P147" s="630"/>
      <c r="Q147" s="630"/>
      <c r="R147" s="630"/>
      <c r="S147" s="630"/>
      <c r="T147" s="630"/>
      <c r="U147" s="630"/>
      <c r="V147" s="630"/>
      <c r="W147" s="630"/>
      <c r="X147" s="630"/>
      <c r="Y147" s="630"/>
      <c r="Z147" s="630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31">
        <v>4680115888203</v>
      </c>
      <c r="E148" s="631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84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3"/>
      <c r="R148" s="633"/>
      <c r="S148" s="633"/>
      <c r="T148" s="63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31">
        <v>4680115888180</v>
      </c>
      <c r="E149" s="63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84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3"/>
      <c r="R149" s="633"/>
      <c r="S149" s="633"/>
      <c r="T149" s="63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31">
        <v>4680115888197</v>
      </c>
      <c r="E150" s="631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5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33"/>
      <c r="R150" s="633"/>
      <c r="S150" s="633"/>
      <c r="T150" s="634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31">
        <v>4680115888210</v>
      </c>
      <c r="E151" s="63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5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33"/>
      <c r="R151" s="633"/>
      <c r="S151" s="633"/>
      <c r="T151" s="634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38"/>
      <c r="B152" s="638"/>
      <c r="C152" s="638"/>
      <c r="D152" s="638"/>
      <c r="E152" s="638"/>
      <c r="F152" s="638"/>
      <c r="G152" s="638"/>
      <c r="H152" s="638"/>
      <c r="I152" s="638"/>
      <c r="J152" s="638"/>
      <c r="K152" s="638"/>
      <c r="L152" s="638"/>
      <c r="M152" s="638"/>
      <c r="N152" s="638"/>
      <c r="O152" s="639"/>
      <c r="P152" s="635" t="s">
        <v>40</v>
      </c>
      <c r="Q152" s="636"/>
      <c r="R152" s="636"/>
      <c r="S152" s="636"/>
      <c r="T152" s="636"/>
      <c r="U152" s="636"/>
      <c r="V152" s="637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638"/>
      <c r="B153" s="638"/>
      <c r="C153" s="638"/>
      <c r="D153" s="638"/>
      <c r="E153" s="638"/>
      <c r="F153" s="638"/>
      <c r="G153" s="638"/>
      <c r="H153" s="638"/>
      <c r="I153" s="638"/>
      <c r="J153" s="638"/>
      <c r="K153" s="638"/>
      <c r="L153" s="638"/>
      <c r="M153" s="638"/>
      <c r="N153" s="638"/>
      <c r="O153" s="639"/>
      <c r="P153" s="635" t="s">
        <v>40</v>
      </c>
      <c r="Q153" s="636"/>
      <c r="R153" s="636"/>
      <c r="S153" s="636"/>
      <c r="T153" s="636"/>
      <c r="U153" s="636"/>
      <c r="V153" s="637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46" t="s">
        <v>126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65"/>
      <c r="AB154" s="65"/>
      <c r="AC154" s="79"/>
    </row>
    <row r="155" spans="1:68" ht="14.25" hidden="1" customHeight="1" x14ac:dyDescent="0.25">
      <c r="A155" s="630" t="s">
        <v>128</v>
      </c>
      <c r="B155" s="630"/>
      <c r="C155" s="630"/>
      <c r="D155" s="630"/>
      <c r="E155" s="630"/>
      <c r="F155" s="630"/>
      <c r="G155" s="630"/>
      <c r="H155" s="630"/>
      <c r="I155" s="630"/>
      <c r="J155" s="630"/>
      <c r="K155" s="630"/>
      <c r="L155" s="630"/>
      <c r="M155" s="630"/>
      <c r="N155" s="630"/>
      <c r="O155" s="630"/>
      <c r="P155" s="630"/>
      <c r="Q155" s="630"/>
      <c r="R155" s="630"/>
      <c r="S155" s="630"/>
      <c r="T155" s="630"/>
      <c r="U155" s="630"/>
      <c r="V155" s="630"/>
      <c r="W155" s="630"/>
      <c r="X155" s="630"/>
      <c r="Y155" s="630"/>
      <c r="Z155" s="630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31">
        <v>4680115888876</v>
      </c>
      <c r="E156" s="631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84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33"/>
      <c r="R156" s="633"/>
      <c r="S156" s="633"/>
      <c r="T156" s="63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31">
        <v>4680115887374</v>
      </c>
      <c r="E157" s="631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84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33"/>
      <c r="R157" s="633"/>
      <c r="S157" s="633"/>
      <c r="T157" s="63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31">
        <v>4607091384604</v>
      </c>
      <c r="E158" s="631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84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33"/>
      <c r="R158" s="633"/>
      <c r="S158" s="633"/>
      <c r="T158" s="63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638"/>
      <c r="B159" s="638"/>
      <c r="C159" s="638"/>
      <c r="D159" s="638"/>
      <c r="E159" s="638"/>
      <c r="F159" s="638"/>
      <c r="G159" s="638"/>
      <c r="H159" s="638"/>
      <c r="I159" s="638"/>
      <c r="J159" s="638"/>
      <c r="K159" s="638"/>
      <c r="L159" s="638"/>
      <c r="M159" s="638"/>
      <c r="N159" s="638"/>
      <c r="O159" s="639"/>
      <c r="P159" s="635" t="s">
        <v>40</v>
      </c>
      <c r="Q159" s="636"/>
      <c r="R159" s="636"/>
      <c r="S159" s="636"/>
      <c r="T159" s="636"/>
      <c r="U159" s="636"/>
      <c r="V159" s="637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638"/>
      <c r="B160" s="638"/>
      <c r="C160" s="638"/>
      <c r="D160" s="638"/>
      <c r="E160" s="638"/>
      <c r="F160" s="638"/>
      <c r="G160" s="638"/>
      <c r="H160" s="638"/>
      <c r="I160" s="638"/>
      <c r="J160" s="638"/>
      <c r="K160" s="638"/>
      <c r="L160" s="638"/>
      <c r="M160" s="638"/>
      <c r="N160" s="638"/>
      <c r="O160" s="639"/>
      <c r="P160" s="635" t="s">
        <v>40</v>
      </c>
      <c r="Q160" s="636"/>
      <c r="R160" s="636"/>
      <c r="S160" s="636"/>
      <c r="T160" s="636"/>
      <c r="U160" s="636"/>
      <c r="V160" s="637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30" t="s">
        <v>164</v>
      </c>
      <c r="B161" s="630"/>
      <c r="C161" s="630"/>
      <c r="D161" s="630"/>
      <c r="E161" s="630"/>
      <c r="F161" s="630"/>
      <c r="G161" s="630"/>
      <c r="H161" s="630"/>
      <c r="I161" s="630"/>
      <c r="J161" s="630"/>
      <c r="K161" s="630"/>
      <c r="L161" s="630"/>
      <c r="M161" s="630"/>
      <c r="N161" s="630"/>
      <c r="O161" s="630"/>
      <c r="P161" s="630"/>
      <c r="Q161" s="630"/>
      <c r="R161" s="630"/>
      <c r="S161" s="630"/>
      <c r="T161" s="630"/>
      <c r="U161" s="630"/>
      <c r="V161" s="630"/>
      <c r="W161" s="630"/>
      <c r="X161" s="630"/>
      <c r="Y161" s="630"/>
      <c r="Z161" s="630"/>
      <c r="AA161" s="66"/>
      <c r="AB161" s="66"/>
      <c r="AC161" s="80"/>
    </row>
    <row r="162" spans="1:68" ht="16.5" hidden="1" customHeight="1" x14ac:dyDescent="0.25">
      <c r="A162" s="63" t="s">
        <v>283</v>
      </c>
      <c r="B162" s="63" t="s">
        <v>284</v>
      </c>
      <c r="C162" s="36">
        <v>4301020410</v>
      </c>
      <c r="D162" s="631">
        <v>4680115887695</v>
      </c>
      <c r="E162" s="631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84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33"/>
      <c r="R162" s="633"/>
      <c r="S162" s="633"/>
      <c r="T162" s="634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IFERROR(IF(Y162=0,"",ROUNDUP(Y162/H162,0)*0.00556),"")</f>
        <v/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8"/>
      <c r="B163" s="638"/>
      <c r="C163" s="638"/>
      <c r="D163" s="638"/>
      <c r="E163" s="638"/>
      <c r="F163" s="638"/>
      <c r="G163" s="638"/>
      <c r="H163" s="638"/>
      <c r="I163" s="638"/>
      <c r="J163" s="638"/>
      <c r="K163" s="638"/>
      <c r="L163" s="638"/>
      <c r="M163" s="638"/>
      <c r="N163" s="638"/>
      <c r="O163" s="639"/>
      <c r="P163" s="635" t="s">
        <v>40</v>
      </c>
      <c r="Q163" s="636"/>
      <c r="R163" s="636"/>
      <c r="S163" s="636"/>
      <c r="T163" s="636"/>
      <c r="U163" s="636"/>
      <c r="V163" s="637"/>
      <c r="W163" s="42" t="s">
        <v>39</v>
      </c>
      <c r="X163" s="43">
        <f>IFERROR(X162/H162,"0")</f>
        <v>0</v>
      </c>
      <c r="Y163" s="43">
        <f>IFERROR(Y162/H162,"0")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638"/>
      <c r="B164" s="638"/>
      <c r="C164" s="638"/>
      <c r="D164" s="638"/>
      <c r="E164" s="638"/>
      <c r="F164" s="638"/>
      <c r="G164" s="638"/>
      <c r="H164" s="638"/>
      <c r="I164" s="638"/>
      <c r="J164" s="638"/>
      <c r="K164" s="638"/>
      <c r="L164" s="638"/>
      <c r="M164" s="638"/>
      <c r="N164" s="638"/>
      <c r="O164" s="639"/>
      <c r="P164" s="635" t="s">
        <v>40</v>
      </c>
      <c r="Q164" s="636"/>
      <c r="R164" s="636"/>
      <c r="S164" s="636"/>
      <c r="T164" s="636"/>
      <c r="U164" s="636"/>
      <c r="V164" s="637"/>
      <c r="W164" s="42" t="s">
        <v>0</v>
      </c>
      <c r="X164" s="43">
        <f>IFERROR(SUM(X162:X162),"0")</f>
        <v>0</v>
      </c>
      <c r="Y164" s="43">
        <f>IFERROR(SUM(Y162:Y162),"0")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30" t="s">
        <v>77</v>
      </c>
      <c r="B165" s="630"/>
      <c r="C165" s="630"/>
      <c r="D165" s="630"/>
      <c r="E165" s="630"/>
      <c r="F165" s="630"/>
      <c r="G165" s="630"/>
      <c r="H165" s="630"/>
      <c r="I165" s="630"/>
      <c r="J165" s="630"/>
      <c r="K165" s="630"/>
      <c r="L165" s="630"/>
      <c r="M165" s="630"/>
      <c r="N165" s="630"/>
      <c r="O165" s="630"/>
      <c r="P165" s="630"/>
      <c r="Q165" s="630"/>
      <c r="R165" s="630"/>
      <c r="S165" s="630"/>
      <c r="T165" s="630"/>
      <c r="U165" s="630"/>
      <c r="V165" s="630"/>
      <c r="W165" s="630"/>
      <c r="X165" s="630"/>
      <c r="Y165" s="630"/>
      <c r="Z165" s="630"/>
      <c r="AA165" s="66"/>
      <c r="AB165" s="66"/>
      <c r="AC165" s="80"/>
    </row>
    <row r="166" spans="1:68" ht="27" hidden="1" customHeight="1" x14ac:dyDescent="0.25">
      <c r="A166" s="63" t="s">
        <v>286</v>
      </c>
      <c r="B166" s="63" t="s">
        <v>287</v>
      </c>
      <c r="C166" s="36">
        <v>4301031496</v>
      </c>
      <c r="D166" s="631">
        <v>4680115887428</v>
      </c>
      <c r="E166" s="631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84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33"/>
      <c r="R166" s="633"/>
      <c r="S166" s="633"/>
      <c r="T166" s="634"/>
      <c r="U166" s="39" t="s">
        <v>46</v>
      </c>
      <c r="V166" s="39" t="s">
        <v>46</v>
      </c>
      <c r="W166" s="40" t="s">
        <v>0</v>
      </c>
      <c r="X166" s="58">
        <v>0</v>
      </c>
      <c r="Y166" s="55">
        <f t="shared" ref="Y166:Y177" si="10"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0</v>
      </c>
      <c r="BN166" s="78">
        <f t="shared" ref="BN166:BN177" si="12">IFERROR(Y166*I166/H166,"0")</f>
        <v>0</v>
      </c>
      <c r="BO166" s="78">
        <f t="shared" ref="BO166:BO177" si="13">IFERROR(1/J166*(X166/H166),"0")</f>
        <v>0</v>
      </c>
      <c r="BP166" s="78">
        <f t="shared" ref="BP166:BP177" si="14">IFERROR(1/J166*(Y166/H166),"0")</f>
        <v>0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31">
        <v>4607091382426</v>
      </c>
      <c r="E167" s="631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8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33"/>
      <c r="R167" s="633"/>
      <c r="S167" s="633"/>
      <c r="T167" s="634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31">
        <v>4680115889170</v>
      </c>
      <c r="E168" s="631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83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33"/>
      <c r="R168" s="633"/>
      <c r="S168" s="633"/>
      <c r="T168" s="634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hidden="1" customHeight="1" x14ac:dyDescent="0.25">
      <c r="A169" s="63" t="s">
        <v>295</v>
      </c>
      <c r="B169" s="63" t="s">
        <v>296</v>
      </c>
      <c r="C169" s="36">
        <v>4301031498</v>
      </c>
      <c r="D169" s="631">
        <v>4680115887398</v>
      </c>
      <c r="E169" s="631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33"/>
      <c r="R169" s="633"/>
      <c r="S169" s="633"/>
      <c r="T169" s="634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10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0</v>
      </c>
      <c r="BN169" s="78">
        <f t="shared" si="12"/>
        <v>0</v>
      </c>
      <c r="BO169" s="78">
        <f t="shared" si="13"/>
        <v>0</v>
      </c>
      <c r="BP169" s="78">
        <f t="shared" si="14"/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4301031497</v>
      </c>
      <c r="D170" s="631">
        <v>4680115887336</v>
      </c>
      <c r="E170" s="631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84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33"/>
      <c r="R170" s="633"/>
      <c r="S170" s="633"/>
      <c r="T170" s="634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10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0</v>
      </c>
      <c r="BN170" s="78">
        <f t="shared" si="12"/>
        <v>0</v>
      </c>
      <c r="BO170" s="78">
        <f t="shared" si="13"/>
        <v>0</v>
      </c>
      <c r="BP170" s="78">
        <f t="shared" si="14"/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4301032049</v>
      </c>
      <c r="D171" s="631">
        <v>4680115887787</v>
      </c>
      <c r="E171" s="631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84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33"/>
      <c r="R171" s="633"/>
      <c r="S171" s="633"/>
      <c r="T171" s="634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0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0</v>
      </c>
      <c r="BN171" s="78">
        <f t="shared" si="12"/>
        <v>0</v>
      </c>
      <c r="BO171" s="78">
        <f t="shared" si="13"/>
        <v>0</v>
      </c>
      <c r="BP171" s="78">
        <f t="shared" si="14"/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4301031448</v>
      </c>
      <c r="D172" s="631">
        <v>4680115887503</v>
      </c>
      <c r="E172" s="631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83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33"/>
      <c r="R172" s="633"/>
      <c r="S172" s="633"/>
      <c r="T172" s="634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0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0</v>
      </c>
      <c r="BN172" s="78">
        <f t="shared" si="12"/>
        <v>0</v>
      </c>
      <c r="BO172" s="78">
        <f t="shared" si="13"/>
        <v>0</v>
      </c>
      <c r="BP172" s="78">
        <f t="shared" si="14"/>
        <v>0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31">
        <v>4680115887763</v>
      </c>
      <c r="E173" s="631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83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33"/>
      <c r="R173" s="633"/>
      <c r="S173" s="633"/>
      <c r="T173" s="634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31">
        <v>4680115887763</v>
      </c>
      <c r="E174" s="631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83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33"/>
      <c r="R174" s="633"/>
      <c r="S174" s="633"/>
      <c r="T174" s="63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hidden="1" customHeight="1" x14ac:dyDescent="0.25">
      <c r="A175" s="63" t="s">
        <v>310</v>
      </c>
      <c r="B175" s="63" t="s">
        <v>311</v>
      </c>
      <c r="C175" s="36">
        <v>4301031454</v>
      </c>
      <c r="D175" s="631">
        <v>4680115887480</v>
      </c>
      <c r="E175" s="631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83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33"/>
      <c r="R175" s="633"/>
      <c r="S175" s="633"/>
      <c r="T175" s="63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0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0</v>
      </c>
      <c r="BN175" s="78">
        <f t="shared" si="12"/>
        <v>0</v>
      </c>
      <c r="BO175" s="78">
        <f t="shared" si="13"/>
        <v>0</v>
      </c>
      <c r="BP175" s="78">
        <f t="shared" si="14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31">
        <v>4680115888067</v>
      </c>
      <c r="E176" s="631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8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33"/>
      <c r="R176" s="633"/>
      <c r="S176" s="633"/>
      <c r="T176" s="63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hidden="1" customHeight="1" x14ac:dyDescent="0.25">
      <c r="A177" s="63" t="s">
        <v>315</v>
      </c>
      <c r="B177" s="63" t="s">
        <v>316</v>
      </c>
      <c r="C177" s="36">
        <v>4301031451</v>
      </c>
      <c r="D177" s="631">
        <v>4680115887435</v>
      </c>
      <c r="E177" s="631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830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33"/>
      <c r="R177" s="633"/>
      <c r="S177" s="633"/>
      <c r="T177" s="63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0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0</v>
      </c>
      <c r="BN177" s="78">
        <f t="shared" si="12"/>
        <v>0</v>
      </c>
      <c r="BO177" s="78">
        <f t="shared" si="13"/>
        <v>0</v>
      </c>
      <c r="BP177" s="78">
        <f t="shared" si="14"/>
        <v>0</v>
      </c>
    </row>
    <row r="178" spans="1:68" hidden="1" x14ac:dyDescent="0.2">
      <c r="A178" s="638"/>
      <c r="B178" s="638"/>
      <c r="C178" s="638"/>
      <c r="D178" s="638"/>
      <c r="E178" s="638"/>
      <c r="F178" s="638"/>
      <c r="G178" s="638"/>
      <c r="H178" s="638"/>
      <c r="I178" s="638"/>
      <c r="J178" s="638"/>
      <c r="K178" s="638"/>
      <c r="L178" s="638"/>
      <c r="M178" s="638"/>
      <c r="N178" s="638"/>
      <c r="O178" s="639"/>
      <c r="P178" s="635" t="s">
        <v>40</v>
      </c>
      <c r="Q178" s="636"/>
      <c r="R178" s="636"/>
      <c r="S178" s="636"/>
      <c r="T178" s="636"/>
      <c r="U178" s="636"/>
      <c r="V178" s="637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38"/>
      <c r="B179" s="638"/>
      <c r="C179" s="638"/>
      <c r="D179" s="638"/>
      <c r="E179" s="638"/>
      <c r="F179" s="638"/>
      <c r="G179" s="638"/>
      <c r="H179" s="638"/>
      <c r="I179" s="638"/>
      <c r="J179" s="638"/>
      <c r="K179" s="638"/>
      <c r="L179" s="638"/>
      <c r="M179" s="638"/>
      <c r="N179" s="638"/>
      <c r="O179" s="639"/>
      <c r="P179" s="635" t="s">
        <v>40</v>
      </c>
      <c r="Q179" s="636"/>
      <c r="R179" s="636"/>
      <c r="S179" s="636"/>
      <c r="T179" s="636"/>
      <c r="U179" s="636"/>
      <c r="V179" s="637"/>
      <c r="W179" s="42" t="s">
        <v>0</v>
      </c>
      <c r="X179" s="43">
        <f>IFERROR(SUM(X166:X177),"0")</f>
        <v>0</v>
      </c>
      <c r="Y179" s="43">
        <f>IFERROR(SUM(Y166:Y177),"0")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30" t="s">
        <v>86</v>
      </c>
      <c r="B180" s="630"/>
      <c r="C180" s="630"/>
      <c r="D180" s="630"/>
      <c r="E180" s="630"/>
      <c r="F180" s="630"/>
      <c r="G180" s="630"/>
      <c r="H180" s="630"/>
      <c r="I180" s="630"/>
      <c r="J180" s="630"/>
      <c r="K180" s="630"/>
      <c r="L180" s="630"/>
      <c r="M180" s="630"/>
      <c r="N180" s="630"/>
      <c r="O180" s="630"/>
      <c r="P180" s="630"/>
      <c r="Q180" s="630"/>
      <c r="R180" s="630"/>
      <c r="S180" s="630"/>
      <c r="T180" s="630"/>
      <c r="U180" s="630"/>
      <c r="V180" s="630"/>
      <c r="W180" s="630"/>
      <c r="X180" s="630"/>
      <c r="Y180" s="630"/>
      <c r="Z180" s="630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31">
        <v>4680115888395</v>
      </c>
      <c r="E181" s="631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83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33"/>
      <c r="R181" s="633"/>
      <c r="S181" s="633"/>
      <c r="T181" s="634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31">
        <v>4680115888371</v>
      </c>
      <c r="E182" s="631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832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33"/>
      <c r="R182" s="633"/>
      <c r="S182" s="633"/>
      <c r="T182" s="634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31">
        <v>4680115887459</v>
      </c>
      <c r="E183" s="631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82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33"/>
      <c r="R183" s="633"/>
      <c r="S183" s="633"/>
      <c r="T183" s="634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38"/>
      <c r="B184" s="638"/>
      <c r="C184" s="638"/>
      <c r="D184" s="638"/>
      <c r="E184" s="638"/>
      <c r="F184" s="638"/>
      <c r="G184" s="638"/>
      <c r="H184" s="638"/>
      <c r="I184" s="638"/>
      <c r="J184" s="638"/>
      <c r="K184" s="638"/>
      <c r="L184" s="638"/>
      <c r="M184" s="638"/>
      <c r="N184" s="638"/>
      <c r="O184" s="639"/>
      <c r="P184" s="635" t="s">
        <v>40</v>
      </c>
      <c r="Q184" s="636"/>
      <c r="R184" s="636"/>
      <c r="S184" s="636"/>
      <c r="T184" s="636"/>
      <c r="U184" s="636"/>
      <c r="V184" s="637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38"/>
      <c r="B185" s="638"/>
      <c r="C185" s="638"/>
      <c r="D185" s="638"/>
      <c r="E185" s="638"/>
      <c r="F185" s="638"/>
      <c r="G185" s="638"/>
      <c r="H185" s="638"/>
      <c r="I185" s="638"/>
      <c r="J185" s="638"/>
      <c r="K185" s="638"/>
      <c r="L185" s="638"/>
      <c r="M185" s="638"/>
      <c r="N185" s="638"/>
      <c r="O185" s="639"/>
      <c r="P185" s="635" t="s">
        <v>40</v>
      </c>
      <c r="Q185" s="636"/>
      <c r="R185" s="636"/>
      <c r="S185" s="636"/>
      <c r="T185" s="636"/>
      <c r="U185" s="636"/>
      <c r="V185" s="637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30" t="s">
        <v>104</v>
      </c>
      <c r="B186" s="630"/>
      <c r="C186" s="630"/>
      <c r="D186" s="630"/>
      <c r="E186" s="630"/>
      <c r="F186" s="630"/>
      <c r="G186" s="630"/>
      <c r="H186" s="630"/>
      <c r="I186" s="630"/>
      <c r="J186" s="630"/>
      <c r="K186" s="630"/>
      <c r="L186" s="630"/>
      <c r="M186" s="630"/>
      <c r="N186" s="630"/>
      <c r="O186" s="630"/>
      <c r="P186" s="630"/>
      <c r="Q186" s="630"/>
      <c r="R186" s="630"/>
      <c r="S186" s="630"/>
      <c r="T186" s="630"/>
      <c r="U186" s="630"/>
      <c r="V186" s="630"/>
      <c r="W186" s="630"/>
      <c r="X186" s="630"/>
      <c r="Y186" s="630"/>
      <c r="Z186" s="630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31">
        <v>4680115889026</v>
      </c>
      <c r="E187" s="631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82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33"/>
      <c r="R187" s="633"/>
      <c r="S187" s="633"/>
      <c r="T187" s="634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31">
        <v>4680115889088</v>
      </c>
      <c r="E188" s="631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82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33"/>
      <c r="R188" s="633"/>
      <c r="S188" s="633"/>
      <c r="T188" s="63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38"/>
      <c r="B189" s="638"/>
      <c r="C189" s="638"/>
      <c r="D189" s="638"/>
      <c r="E189" s="638"/>
      <c r="F189" s="638"/>
      <c r="G189" s="638"/>
      <c r="H189" s="638"/>
      <c r="I189" s="638"/>
      <c r="J189" s="638"/>
      <c r="K189" s="638"/>
      <c r="L189" s="638"/>
      <c r="M189" s="638"/>
      <c r="N189" s="638"/>
      <c r="O189" s="639"/>
      <c r="P189" s="635" t="s">
        <v>40</v>
      </c>
      <c r="Q189" s="636"/>
      <c r="R189" s="636"/>
      <c r="S189" s="636"/>
      <c r="T189" s="636"/>
      <c r="U189" s="636"/>
      <c r="V189" s="637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38"/>
      <c r="B190" s="638"/>
      <c r="C190" s="638"/>
      <c r="D190" s="638"/>
      <c r="E190" s="638"/>
      <c r="F190" s="638"/>
      <c r="G190" s="638"/>
      <c r="H190" s="638"/>
      <c r="I190" s="638"/>
      <c r="J190" s="638"/>
      <c r="K190" s="638"/>
      <c r="L190" s="638"/>
      <c r="M190" s="638"/>
      <c r="N190" s="638"/>
      <c r="O190" s="639"/>
      <c r="P190" s="635" t="s">
        <v>40</v>
      </c>
      <c r="Q190" s="636"/>
      <c r="R190" s="636"/>
      <c r="S190" s="636"/>
      <c r="T190" s="636"/>
      <c r="U190" s="636"/>
      <c r="V190" s="637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30" t="s">
        <v>334</v>
      </c>
      <c r="B191" s="630"/>
      <c r="C191" s="630"/>
      <c r="D191" s="630"/>
      <c r="E191" s="630"/>
      <c r="F191" s="630"/>
      <c r="G191" s="630"/>
      <c r="H191" s="630"/>
      <c r="I191" s="630"/>
      <c r="J191" s="630"/>
      <c r="K191" s="630"/>
      <c r="L191" s="630"/>
      <c r="M191" s="630"/>
      <c r="N191" s="630"/>
      <c r="O191" s="630"/>
      <c r="P191" s="630"/>
      <c r="Q191" s="630"/>
      <c r="R191" s="630"/>
      <c r="S191" s="630"/>
      <c r="T191" s="630"/>
      <c r="U191" s="630"/>
      <c r="V191" s="630"/>
      <c r="W191" s="630"/>
      <c r="X191" s="630"/>
      <c r="Y191" s="630"/>
      <c r="Z191" s="630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31">
        <v>4680115889033</v>
      </c>
      <c r="E192" s="631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33"/>
      <c r="R192" s="633"/>
      <c r="S192" s="633"/>
      <c r="T192" s="63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38"/>
      <c r="B193" s="638"/>
      <c r="C193" s="638"/>
      <c r="D193" s="638"/>
      <c r="E193" s="638"/>
      <c r="F193" s="638"/>
      <c r="G193" s="638"/>
      <c r="H193" s="638"/>
      <c r="I193" s="638"/>
      <c r="J193" s="638"/>
      <c r="K193" s="638"/>
      <c r="L193" s="638"/>
      <c r="M193" s="638"/>
      <c r="N193" s="638"/>
      <c r="O193" s="639"/>
      <c r="P193" s="635" t="s">
        <v>40</v>
      </c>
      <c r="Q193" s="636"/>
      <c r="R193" s="636"/>
      <c r="S193" s="636"/>
      <c r="T193" s="636"/>
      <c r="U193" s="636"/>
      <c r="V193" s="637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38"/>
      <c r="B194" s="638"/>
      <c r="C194" s="638"/>
      <c r="D194" s="638"/>
      <c r="E194" s="638"/>
      <c r="F194" s="638"/>
      <c r="G194" s="638"/>
      <c r="H194" s="638"/>
      <c r="I194" s="638"/>
      <c r="J194" s="638"/>
      <c r="K194" s="638"/>
      <c r="L194" s="638"/>
      <c r="M194" s="638"/>
      <c r="N194" s="638"/>
      <c r="O194" s="639"/>
      <c r="P194" s="635" t="s">
        <v>40</v>
      </c>
      <c r="Q194" s="636"/>
      <c r="R194" s="636"/>
      <c r="S194" s="636"/>
      <c r="T194" s="636"/>
      <c r="U194" s="636"/>
      <c r="V194" s="637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51" t="s">
        <v>338</v>
      </c>
      <c r="B195" s="651"/>
      <c r="C195" s="651"/>
      <c r="D195" s="651"/>
      <c r="E195" s="651"/>
      <c r="F195" s="651"/>
      <c r="G195" s="651"/>
      <c r="H195" s="651"/>
      <c r="I195" s="651"/>
      <c r="J195" s="651"/>
      <c r="K195" s="651"/>
      <c r="L195" s="651"/>
      <c r="M195" s="651"/>
      <c r="N195" s="651"/>
      <c r="O195" s="651"/>
      <c r="P195" s="651"/>
      <c r="Q195" s="651"/>
      <c r="R195" s="651"/>
      <c r="S195" s="651"/>
      <c r="T195" s="651"/>
      <c r="U195" s="651"/>
      <c r="V195" s="651"/>
      <c r="W195" s="651"/>
      <c r="X195" s="651"/>
      <c r="Y195" s="651"/>
      <c r="Z195" s="651"/>
      <c r="AA195" s="54"/>
      <c r="AB195" s="54"/>
      <c r="AC195" s="54"/>
    </row>
    <row r="196" spans="1:68" ht="16.5" hidden="1" customHeight="1" x14ac:dyDescent="0.25">
      <c r="A196" s="646" t="s">
        <v>339</v>
      </c>
      <c r="B196" s="646"/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  <c r="Z196" s="646"/>
      <c r="AA196" s="65"/>
      <c r="AB196" s="65"/>
      <c r="AC196" s="79"/>
    </row>
    <row r="197" spans="1:68" ht="14.25" hidden="1" customHeight="1" x14ac:dyDescent="0.25">
      <c r="A197" s="630" t="s">
        <v>128</v>
      </c>
      <c r="B197" s="630"/>
      <c r="C197" s="630"/>
      <c r="D197" s="630"/>
      <c r="E197" s="630"/>
      <c r="F197" s="630"/>
      <c r="G197" s="630"/>
      <c r="H197" s="630"/>
      <c r="I197" s="630"/>
      <c r="J197" s="630"/>
      <c r="K197" s="630"/>
      <c r="L197" s="630"/>
      <c r="M197" s="630"/>
      <c r="N197" s="630"/>
      <c r="O197" s="630"/>
      <c r="P197" s="630"/>
      <c r="Q197" s="630"/>
      <c r="R197" s="630"/>
      <c r="S197" s="630"/>
      <c r="T197" s="630"/>
      <c r="U197" s="630"/>
      <c r="V197" s="630"/>
      <c r="W197" s="630"/>
      <c r="X197" s="630"/>
      <c r="Y197" s="630"/>
      <c r="Z197" s="630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31">
        <v>4607091383423</v>
      </c>
      <c r="E198" s="631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33"/>
      <c r="R198" s="633"/>
      <c r="S198" s="633"/>
      <c r="T198" s="634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31">
        <v>4680115888760</v>
      </c>
      <c r="E199" s="631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33"/>
      <c r="R199" s="633"/>
      <c r="S199" s="633"/>
      <c r="T199" s="634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31">
        <v>4680115888807</v>
      </c>
      <c r="E200" s="631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82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33"/>
      <c r="R200" s="633"/>
      <c r="S200" s="633"/>
      <c r="T200" s="634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31">
        <v>4680115888852</v>
      </c>
      <c r="E201" s="631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33"/>
      <c r="R201" s="633"/>
      <c r="S201" s="633"/>
      <c r="T201" s="634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31">
        <v>4680115886957</v>
      </c>
      <c r="E202" s="631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33"/>
      <c r="R202" s="633"/>
      <c r="S202" s="633"/>
      <c r="T202" s="634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31">
        <v>4680115885660</v>
      </c>
      <c r="E203" s="631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33"/>
      <c r="R203" s="633"/>
      <c r="S203" s="633"/>
      <c r="T203" s="634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31">
        <v>4680115886773</v>
      </c>
      <c r="E204" s="631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33"/>
      <c r="R204" s="633"/>
      <c r="S204" s="633"/>
      <c r="T204" s="63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638"/>
      <c r="B205" s="638"/>
      <c r="C205" s="638"/>
      <c r="D205" s="638"/>
      <c r="E205" s="638"/>
      <c r="F205" s="638"/>
      <c r="G205" s="638"/>
      <c r="H205" s="638"/>
      <c r="I205" s="638"/>
      <c r="J205" s="638"/>
      <c r="K205" s="638"/>
      <c r="L205" s="638"/>
      <c r="M205" s="638"/>
      <c r="N205" s="638"/>
      <c r="O205" s="639"/>
      <c r="P205" s="635" t="s">
        <v>40</v>
      </c>
      <c r="Q205" s="636"/>
      <c r="R205" s="636"/>
      <c r="S205" s="636"/>
      <c r="T205" s="636"/>
      <c r="U205" s="636"/>
      <c r="V205" s="637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638"/>
      <c r="B206" s="638"/>
      <c r="C206" s="638"/>
      <c r="D206" s="638"/>
      <c r="E206" s="638"/>
      <c r="F206" s="638"/>
      <c r="G206" s="638"/>
      <c r="H206" s="638"/>
      <c r="I206" s="638"/>
      <c r="J206" s="638"/>
      <c r="K206" s="638"/>
      <c r="L206" s="638"/>
      <c r="M206" s="638"/>
      <c r="N206" s="638"/>
      <c r="O206" s="639"/>
      <c r="P206" s="635" t="s">
        <v>40</v>
      </c>
      <c r="Q206" s="636"/>
      <c r="R206" s="636"/>
      <c r="S206" s="636"/>
      <c r="T206" s="636"/>
      <c r="U206" s="636"/>
      <c r="V206" s="637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46" t="s">
        <v>360</v>
      </c>
      <c r="B207" s="646"/>
      <c r="C207" s="646"/>
      <c r="D207" s="646"/>
      <c r="E207" s="646"/>
      <c r="F207" s="646"/>
      <c r="G207" s="646"/>
      <c r="H207" s="646"/>
      <c r="I207" s="646"/>
      <c r="J207" s="646"/>
      <c r="K207" s="646"/>
      <c r="L207" s="646"/>
      <c r="M207" s="646"/>
      <c r="N207" s="646"/>
      <c r="O207" s="646"/>
      <c r="P207" s="646"/>
      <c r="Q207" s="646"/>
      <c r="R207" s="646"/>
      <c r="S207" s="646"/>
      <c r="T207" s="646"/>
      <c r="U207" s="646"/>
      <c r="V207" s="646"/>
      <c r="W207" s="646"/>
      <c r="X207" s="646"/>
      <c r="Y207" s="646"/>
      <c r="Z207" s="646"/>
      <c r="AA207" s="65"/>
      <c r="AB207" s="65"/>
      <c r="AC207" s="79"/>
    </row>
    <row r="208" spans="1:68" ht="14.25" hidden="1" customHeight="1" x14ac:dyDescent="0.25">
      <c r="A208" s="630" t="s">
        <v>164</v>
      </c>
      <c r="B208" s="630"/>
      <c r="C208" s="630"/>
      <c r="D208" s="630"/>
      <c r="E208" s="630"/>
      <c r="F208" s="630"/>
      <c r="G208" s="630"/>
      <c r="H208" s="630"/>
      <c r="I208" s="630"/>
      <c r="J208" s="630"/>
      <c r="K208" s="630"/>
      <c r="L208" s="630"/>
      <c r="M208" s="630"/>
      <c r="N208" s="630"/>
      <c r="O208" s="630"/>
      <c r="P208" s="630"/>
      <c r="Q208" s="630"/>
      <c r="R208" s="630"/>
      <c r="S208" s="630"/>
      <c r="T208" s="630"/>
      <c r="U208" s="630"/>
      <c r="V208" s="630"/>
      <c r="W208" s="630"/>
      <c r="X208" s="630"/>
      <c r="Y208" s="630"/>
      <c r="Z208" s="630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31">
        <v>4680115886223</v>
      </c>
      <c r="E209" s="631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33"/>
      <c r="R209" s="633"/>
      <c r="S209" s="633"/>
      <c r="T209" s="634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38"/>
      <c r="B210" s="638"/>
      <c r="C210" s="638"/>
      <c r="D210" s="638"/>
      <c r="E210" s="638"/>
      <c r="F210" s="638"/>
      <c r="G210" s="638"/>
      <c r="H210" s="638"/>
      <c r="I210" s="638"/>
      <c r="J210" s="638"/>
      <c r="K210" s="638"/>
      <c r="L210" s="638"/>
      <c r="M210" s="638"/>
      <c r="N210" s="638"/>
      <c r="O210" s="639"/>
      <c r="P210" s="635" t="s">
        <v>40</v>
      </c>
      <c r="Q210" s="636"/>
      <c r="R210" s="636"/>
      <c r="S210" s="636"/>
      <c r="T210" s="636"/>
      <c r="U210" s="636"/>
      <c r="V210" s="637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38"/>
      <c r="B211" s="638"/>
      <c r="C211" s="638"/>
      <c r="D211" s="638"/>
      <c r="E211" s="638"/>
      <c r="F211" s="638"/>
      <c r="G211" s="638"/>
      <c r="H211" s="638"/>
      <c r="I211" s="638"/>
      <c r="J211" s="638"/>
      <c r="K211" s="638"/>
      <c r="L211" s="638"/>
      <c r="M211" s="638"/>
      <c r="N211" s="638"/>
      <c r="O211" s="639"/>
      <c r="P211" s="635" t="s">
        <v>40</v>
      </c>
      <c r="Q211" s="636"/>
      <c r="R211" s="636"/>
      <c r="S211" s="636"/>
      <c r="T211" s="636"/>
      <c r="U211" s="636"/>
      <c r="V211" s="637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30" t="s">
        <v>77</v>
      </c>
      <c r="B212" s="630"/>
      <c r="C212" s="630"/>
      <c r="D212" s="630"/>
      <c r="E212" s="630"/>
      <c r="F212" s="630"/>
      <c r="G212" s="630"/>
      <c r="H212" s="630"/>
      <c r="I212" s="630"/>
      <c r="J212" s="630"/>
      <c r="K212" s="630"/>
      <c r="L212" s="630"/>
      <c r="M212" s="630"/>
      <c r="N212" s="630"/>
      <c r="O212" s="630"/>
      <c r="P212" s="630"/>
      <c r="Q212" s="630"/>
      <c r="R212" s="630"/>
      <c r="S212" s="630"/>
      <c r="T212" s="630"/>
      <c r="U212" s="630"/>
      <c r="V212" s="630"/>
      <c r="W212" s="630"/>
      <c r="X212" s="630"/>
      <c r="Y212" s="630"/>
      <c r="Z212" s="630"/>
      <c r="AA212" s="66"/>
      <c r="AB212" s="66"/>
      <c r="AC212" s="80"/>
    </row>
    <row r="213" spans="1:68" ht="27" hidden="1" customHeight="1" x14ac:dyDescent="0.25">
      <c r="A213" s="63" t="s">
        <v>364</v>
      </c>
      <c r="B213" s="63" t="s">
        <v>365</v>
      </c>
      <c r="C213" s="36">
        <v>4301031191</v>
      </c>
      <c r="D213" s="631">
        <v>4680115880993</v>
      </c>
      <c r="E213" s="631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1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33"/>
      <c r="R213" s="633"/>
      <c r="S213" s="633"/>
      <c r="T213" s="63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ref="Y213:Y226" si="21">IFERROR(IF(X213="",0,CEILING((X213/$H213),1)*$H213),"")</f>
        <v>0</v>
      </c>
      <c r="Z213" s="41" t="str">
        <f>IFERROR(IF(Y213=0,"",ROUNDUP(Y213/H213,0)*0.00902),"")</f>
        <v/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0</v>
      </c>
      <c r="BN213" s="78">
        <f t="shared" ref="BN213:BN226" si="23">IFERROR(Y213*I213/H213,"0")</f>
        <v>0</v>
      </c>
      <c r="BO213" s="78">
        <f t="shared" ref="BO213:BO226" si="24">IFERROR(1/J213*(X213/H213),"0")</f>
        <v>0</v>
      </c>
      <c r="BP213" s="78">
        <f t="shared" ref="BP213:BP226" si="25">IFERROR(1/J213*(Y213/H213),"0")</f>
        <v>0</v>
      </c>
    </row>
    <row r="214" spans="1:68" ht="27" hidden="1" customHeight="1" x14ac:dyDescent="0.25">
      <c r="A214" s="63" t="s">
        <v>367</v>
      </c>
      <c r="B214" s="63" t="s">
        <v>368</v>
      </c>
      <c r="C214" s="36">
        <v>4301031204</v>
      </c>
      <c r="D214" s="631">
        <v>4680115881761</v>
      </c>
      <c r="E214" s="631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1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33"/>
      <c r="R214" s="633"/>
      <c r="S214" s="633"/>
      <c r="T214" s="63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1"/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0</v>
      </c>
      <c r="BN214" s="78">
        <f t="shared" si="23"/>
        <v>0</v>
      </c>
      <c r="BO214" s="78">
        <f t="shared" si="24"/>
        <v>0</v>
      </c>
      <c r="BP214" s="78">
        <f t="shared" si="25"/>
        <v>0</v>
      </c>
    </row>
    <row r="215" spans="1:68" ht="27" hidden="1" customHeight="1" x14ac:dyDescent="0.25">
      <c r="A215" s="63" t="s">
        <v>370</v>
      </c>
      <c r="B215" s="63" t="s">
        <v>371</v>
      </c>
      <c r="C215" s="36">
        <v>4301031201</v>
      </c>
      <c r="D215" s="631">
        <v>4680115881563</v>
      </c>
      <c r="E215" s="631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1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33"/>
      <c r="R215" s="633"/>
      <c r="S215" s="633"/>
      <c r="T215" s="634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1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0</v>
      </c>
      <c r="BN215" s="78">
        <f t="shared" si="23"/>
        <v>0</v>
      </c>
      <c r="BO215" s="78">
        <f t="shared" si="24"/>
        <v>0</v>
      </c>
      <c r="BP215" s="78">
        <f t="shared" si="25"/>
        <v>0</v>
      </c>
    </row>
    <row r="216" spans="1:68" ht="37.5" hidden="1" customHeight="1" x14ac:dyDescent="0.25">
      <c r="A216" s="63" t="s">
        <v>373</v>
      </c>
      <c r="B216" s="63" t="s">
        <v>374</v>
      </c>
      <c r="C216" s="36">
        <v>4301031447</v>
      </c>
      <c r="D216" s="631">
        <v>4680115887565</v>
      </c>
      <c r="E216" s="631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1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33"/>
      <c r="R216" s="633"/>
      <c r="S216" s="633"/>
      <c r="T216" s="634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1"/>
        <v>0</v>
      </c>
      <c r="Z216" s="41" t="str">
        <f>IFERROR(IF(Y216=0,"",ROUNDUP(Y216/H216,0)*0.00556),"")</f>
        <v/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0</v>
      </c>
      <c r="BN216" s="78">
        <f t="shared" si="23"/>
        <v>0</v>
      </c>
      <c r="BO216" s="78">
        <f t="shared" si="24"/>
        <v>0</v>
      </c>
      <c r="BP216" s="78">
        <f t="shared" si="25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4301031199</v>
      </c>
      <c r="D217" s="631">
        <v>4680115880986</v>
      </c>
      <c r="E217" s="631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1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33"/>
      <c r="R217" s="633"/>
      <c r="S217" s="633"/>
      <c r="T217" s="634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1"/>
        <v>0</v>
      </c>
      <c r="Z217" s="41" t="str">
        <f t="shared" ref="Z217:Z222" si="26">IFERROR(IF(Y217=0,"",ROUNDUP(Y217/H217,0)*0.00502),"")</f>
        <v/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0</v>
      </c>
      <c r="BN217" s="78">
        <f t="shared" si="23"/>
        <v>0</v>
      </c>
      <c r="BO217" s="78">
        <f t="shared" si="24"/>
        <v>0</v>
      </c>
      <c r="BP217" s="78">
        <f t="shared" si="25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31">
        <v>4680115887213</v>
      </c>
      <c r="E218" s="631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33"/>
      <c r="R218" s="633"/>
      <c r="S218" s="633"/>
      <c r="T218" s="634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hidden="1" customHeight="1" x14ac:dyDescent="0.25">
      <c r="A219" s="63" t="s">
        <v>381</v>
      </c>
      <c r="B219" s="63" t="s">
        <v>382</v>
      </c>
      <c r="C219" s="36">
        <v>4301031205</v>
      </c>
      <c r="D219" s="631">
        <v>4680115881785</v>
      </c>
      <c r="E219" s="631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33"/>
      <c r="R219" s="633"/>
      <c r="S219" s="633"/>
      <c r="T219" s="63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1"/>
        <v>0</v>
      </c>
      <c r="Z219" s="41" t="str">
        <f t="shared" si="26"/>
        <v/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0</v>
      </c>
      <c r="BN219" s="78">
        <f t="shared" si="23"/>
        <v>0</v>
      </c>
      <c r="BO219" s="78">
        <f t="shared" si="24"/>
        <v>0</v>
      </c>
      <c r="BP219" s="78">
        <f t="shared" si="25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31">
        <v>4680115888432</v>
      </c>
      <c r="E220" s="631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33"/>
      <c r="R220" s="633"/>
      <c r="S220" s="633"/>
      <c r="T220" s="63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31">
        <v>4680115888104</v>
      </c>
      <c r="E221" s="631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0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33"/>
      <c r="R221" s="633"/>
      <c r="S221" s="633"/>
      <c r="T221" s="63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31">
        <v>4680115886537</v>
      </c>
      <c r="E222" s="631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33"/>
      <c r="R222" s="633"/>
      <c r="S222" s="633"/>
      <c r="T222" s="63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4301031279</v>
      </c>
      <c r="D223" s="631">
        <v>4680115887596</v>
      </c>
      <c r="E223" s="631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33"/>
      <c r="R223" s="633"/>
      <c r="S223" s="633"/>
      <c r="T223" s="63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1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0</v>
      </c>
      <c r="BN223" s="78">
        <f t="shared" si="23"/>
        <v>0</v>
      </c>
      <c r="BO223" s="78">
        <f t="shared" si="24"/>
        <v>0</v>
      </c>
      <c r="BP223" s="78">
        <f t="shared" si="25"/>
        <v>0</v>
      </c>
    </row>
    <row r="224" spans="1:68" ht="37.5" hidden="1" customHeight="1" x14ac:dyDescent="0.25">
      <c r="A224" s="63" t="s">
        <v>395</v>
      </c>
      <c r="B224" s="63" t="s">
        <v>396</v>
      </c>
      <c r="C224" s="36">
        <v>4301031202</v>
      </c>
      <c r="D224" s="631">
        <v>4680115881679</v>
      </c>
      <c r="E224" s="631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0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33"/>
      <c r="R224" s="633"/>
      <c r="S224" s="633"/>
      <c r="T224" s="63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31">
        <v>4680115880191</v>
      </c>
      <c r="E225" s="631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0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33"/>
      <c r="R225" s="633"/>
      <c r="S225" s="633"/>
      <c r="T225" s="63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31">
        <v>4680115883963</v>
      </c>
      <c r="E226" s="631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33"/>
      <c r="R226" s="633"/>
      <c r="S226" s="633"/>
      <c r="T226" s="63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idden="1" x14ac:dyDescent="0.2">
      <c r="A227" s="638"/>
      <c r="B227" s="638"/>
      <c r="C227" s="638"/>
      <c r="D227" s="638"/>
      <c r="E227" s="638"/>
      <c r="F227" s="638"/>
      <c r="G227" s="638"/>
      <c r="H227" s="638"/>
      <c r="I227" s="638"/>
      <c r="J227" s="638"/>
      <c r="K227" s="638"/>
      <c r="L227" s="638"/>
      <c r="M227" s="638"/>
      <c r="N227" s="638"/>
      <c r="O227" s="639"/>
      <c r="P227" s="635" t="s">
        <v>40</v>
      </c>
      <c r="Q227" s="636"/>
      <c r="R227" s="636"/>
      <c r="S227" s="636"/>
      <c r="T227" s="636"/>
      <c r="U227" s="636"/>
      <c r="V227" s="637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38"/>
      <c r="B228" s="638"/>
      <c r="C228" s="638"/>
      <c r="D228" s="638"/>
      <c r="E228" s="638"/>
      <c r="F228" s="638"/>
      <c r="G228" s="638"/>
      <c r="H228" s="638"/>
      <c r="I228" s="638"/>
      <c r="J228" s="638"/>
      <c r="K228" s="638"/>
      <c r="L228" s="638"/>
      <c r="M228" s="638"/>
      <c r="N228" s="638"/>
      <c r="O228" s="639"/>
      <c r="P228" s="635" t="s">
        <v>40</v>
      </c>
      <c r="Q228" s="636"/>
      <c r="R228" s="636"/>
      <c r="S228" s="636"/>
      <c r="T228" s="636"/>
      <c r="U228" s="636"/>
      <c r="V228" s="637"/>
      <c r="W228" s="42" t="s">
        <v>0</v>
      </c>
      <c r="X228" s="43">
        <f>IFERROR(SUM(X213:X226),"0")</f>
        <v>0</v>
      </c>
      <c r="Y228" s="43">
        <f>IFERROR(SUM(Y213:Y226),"0")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30" t="s">
        <v>86</v>
      </c>
      <c r="B229" s="630"/>
      <c r="C229" s="630"/>
      <c r="D229" s="630"/>
      <c r="E229" s="630"/>
      <c r="F229" s="630"/>
      <c r="G229" s="630"/>
      <c r="H229" s="630"/>
      <c r="I229" s="630"/>
      <c r="J229" s="630"/>
      <c r="K229" s="630"/>
      <c r="L229" s="630"/>
      <c r="M229" s="630"/>
      <c r="N229" s="630"/>
      <c r="O229" s="630"/>
      <c r="P229" s="630"/>
      <c r="Q229" s="630"/>
      <c r="R229" s="630"/>
      <c r="S229" s="630"/>
      <c r="T229" s="630"/>
      <c r="U229" s="630"/>
      <c r="V229" s="630"/>
      <c r="W229" s="630"/>
      <c r="X229" s="630"/>
      <c r="Y229" s="630"/>
      <c r="Z229" s="630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31">
        <v>4680115888975</v>
      </c>
      <c r="E230" s="631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0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33"/>
      <c r="R230" s="633"/>
      <c r="S230" s="633"/>
      <c r="T230" s="634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31">
        <v>4680115888692</v>
      </c>
      <c r="E231" s="631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0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33"/>
      <c r="R231" s="633"/>
      <c r="S231" s="633"/>
      <c r="T231" s="634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31">
        <v>4680115888722</v>
      </c>
      <c r="E232" s="631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0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33"/>
      <c r="R232" s="633"/>
      <c r="S232" s="633"/>
      <c r="T232" s="634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31">
        <v>4680115888951</v>
      </c>
      <c r="E233" s="631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0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33"/>
      <c r="R233" s="633"/>
      <c r="S233" s="633"/>
      <c r="T233" s="634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31">
        <v>4680115888982</v>
      </c>
      <c r="E234" s="631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79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33"/>
      <c r="R234" s="633"/>
      <c r="S234" s="633"/>
      <c r="T234" s="634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8"/>
      <c r="B235" s="638"/>
      <c r="C235" s="638"/>
      <c r="D235" s="638"/>
      <c r="E235" s="638"/>
      <c r="F235" s="638"/>
      <c r="G235" s="638"/>
      <c r="H235" s="638"/>
      <c r="I235" s="638"/>
      <c r="J235" s="638"/>
      <c r="K235" s="638"/>
      <c r="L235" s="638"/>
      <c r="M235" s="638"/>
      <c r="N235" s="638"/>
      <c r="O235" s="639"/>
      <c r="P235" s="635" t="s">
        <v>40</v>
      </c>
      <c r="Q235" s="636"/>
      <c r="R235" s="636"/>
      <c r="S235" s="636"/>
      <c r="T235" s="636"/>
      <c r="U235" s="636"/>
      <c r="V235" s="637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8"/>
      <c r="B236" s="638"/>
      <c r="C236" s="638"/>
      <c r="D236" s="638"/>
      <c r="E236" s="638"/>
      <c r="F236" s="638"/>
      <c r="G236" s="638"/>
      <c r="H236" s="638"/>
      <c r="I236" s="638"/>
      <c r="J236" s="638"/>
      <c r="K236" s="638"/>
      <c r="L236" s="638"/>
      <c r="M236" s="638"/>
      <c r="N236" s="638"/>
      <c r="O236" s="639"/>
      <c r="P236" s="635" t="s">
        <v>40</v>
      </c>
      <c r="Q236" s="636"/>
      <c r="R236" s="636"/>
      <c r="S236" s="636"/>
      <c r="T236" s="636"/>
      <c r="U236" s="636"/>
      <c r="V236" s="637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30" t="s">
        <v>104</v>
      </c>
      <c r="B237" s="630"/>
      <c r="C237" s="630"/>
      <c r="D237" s="630"/>
      <c r="E237" s="630"/>
      <c r="F237" s="630"/>
      <c r="G237" s="630"/>
      <c r="H237" s="630"/>
      <c r="I237" s="630"/>
      <c r="J237" s="630"/>
      <c r="K237" s="630"/>
      <c r="L237" s="630"/>
      <c r="M237" s="630"/>
      <c r="N237" s="630"/>
      <c r="O237" s="630"/>
      <c r="P237" s="630"/>
      <c r="Q237" s="630"/>
      <c r="R237" s="630"/>
      <c r="S237" s="630"/>
      <c r="T237" s="630"/>
      <c r="U237" s="630"/>
      <c r="V237" s="630"/>
      <c r="W237" s="630"/>
      <c r="X237" s="630"/>
      <c r="Y237" s="630"/>
      <c r="Z237" s="630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31">
        <v>4680115886780</v>
      </c>
      <c r="E238" s="631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33"/>
      <c r="R238" s="633"/>
      <c r="S238" s="633"/>
      <c r="T238" s="63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419</v>
      </c>
      <c r="B239" s="63" t="s">
        <v>420</v>
      </c>
      <c r="C239" s="36">
        <v>4301032051</v>
      </c>
      <c r="D239" s="631">
        <v>4680115886742</v>
      </c>
      <c r="E239" s="631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33"/>
      <c r="R239" s="633"/>
      <c r="S239" s="633"/>
      <c r="T239" s="63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422</v>
      </c>
      <c r="B240" s="63" t="s">
        <v>423</v>
      </c>
      <c r="C240" s="36">
        <v>4301032052</v>
      </c>
      <c r="D240" s="631">
        <v>4680115886766</v>
      </c>
      <c r="E240" s="631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33"/>
      <c r="R240" s="633"/>
      <c r="S240" s="633"/>
      <c r="T240" s="63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8"/>
      <c r="B241" s="638"/>
      <c r="C241" s="638"/>
      <c r="D241" s="638"/>
      <c r="E241" s="638"/>
      <c r="F241" s="638"/>
      <c r="G241" s="638"/>
      <c r="H241" s="638"/>
      <c r="I241" s="638"/>
      <c r="J241" s="638"/>
      <c r="K241" s="638"/>
      <c r="L241" s="638"/>
      <c r="M241" s="638"/>
      <c r="N241" s="638"/>
      <c r="O241" s="639"/>
      <c r="P241" s="635" t="s">
        <v>40</v>
      </c>
      <c r="Q241" s="636"/>
      <c r="R241" s="636"/>
      <c r="S241" s="636"/>
      <c r="T241" s="636"/>
      <c r="U241" s="636"/>
      <c r="V241" s="637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8"/>
      <c r="B242" s="638"/>
      <c r="C242" s="638"/>
      <c r="D242" s="638"/>
      <c r="E242" s="638"/>
      <c r="F242" s="638"/>
      <c r="G242" s="638"/>
      <c r="H242" s="638"/>
      <c r="I242" s="638"/>
      <c r="J242" s="638"/>
      <c r="K242" s="638"/>
      <c r="L242" s="638"/>
      <c r="M242" s="638"/>
      <c r="N242" s="638"/>
      <c r="O242" s="639"/>
      <c r="P242" s="635" t="s">
        <v>40</v>
      </c>
      <c r="Q242" s="636"/>
      <c r="R242" s="636"/>
      <c r="S242" s="636"/>
      <c r="T242" s="636"/>
      <c r="U242" s="636"/>
      <c r="V242" s="637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30" t="s">
        <v>424</v>
      </c>
      <c r="B243" s="630"/>
      <c r="C243" s="630"/>
      <c r="D243" s="630"/>
      <c r="E243" s="630"/>
      <c r="F243" s="630"/>
      <c r="G243" s="630"/>
      <c r="H243" s="630"/>
      <c r="I243" s="630"/>
      <c r="J243" s="630"/>
      <c r="K243" s="630"/>
      <c r="L243" s="630"/>
      <c r="M243" s="630"/>
      <c r="N243" s="630"/>
      <c r="O243" s="630"/>
      <c r="P243" s="630"/>
      <c r="Q243" s="630"/>
      <c r="R243" s="630"/>
      <c r="S243" s="630"/>
      <c r="T243" s="630"/>
      <c r="U243" s="630"/>
      <c r="V243" s="630"/>
      <c r="W243" s="630"/>
      <c r="X243" s="630"/>
      <c r="Y243" s="630"/>
      <c r="Z243" s="630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31">
        <v>4680115886797</v>
      </c>
      <c r="E244" s="63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33"/>
      <c r="R244" s="633"/>
      <c r="S244" s="633"/>
      <c r="T244" s="63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8"/>
      <c r="B245" s="638"/>
      <c r="C245" s="638"/>
      <c r="D245" s="638"/>
      <c r="E245" s="638"/>
      <c r="F245" s="638"/>
      <c r="G245" s="638"/>
      <c r="H245" s="638"/>
      <c r="I245" s="638"/>
      <c r="J245" s="638"/>
      <c r="K245" s="638"/>
      <c r="L245" s="638"/>
      <c r="M245" s="638"/>
      <c r="N245" s="638"/>
      <c r="O245" s="639"/>
      <c r="P245" s="635" t="s">
        <v>40</v>
      </c>
      <c r="Q245" s="636"/>
      <c r="R245" s="636"/>
      <c r="S245" s="636"/>
      <c r="T245" s="636"/>
      <c r="U245" s="636"/>
      <c r="V245" s="637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8"/>
      <c r="B246" s="638"/>
      <c r="C246" s="638"/>
      <c r="D246" s="638"/>
      <c r="E246" s="638"/>
      <c r="F246" s="638"/>
      <c r="G246" s="638"/>
      <c r="H246" s="638"/>
      <c r="I246" s="638"/>
      <c r="J246" s="638"/>
      <c r="K246" s="638"/>
      <c r="L246" s="638"/>
      <c r="M246" s="638"/>
      <c r="N246" s="638"/>
      <c r="O246" s="639"/>
      <c r="P246" s="635" t="s">
        <v>40</v>
      </c>
      <c r="Q246" s="636"/>
      <c r="R246" s="636"/>
      <c r="S246" s="636"/>
      <c r="T246" s="636"/>
      <c r="U246" s="636"/>
      <c r="V246" s="637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6" t="s">
        <v>427</v>
      </c>
      <c r="B247" s="646"/>
      <c r="C247" s="646"/>
      <c r="D247" s="646"/>
      <c r="E247" s="646"/>
      <c r="F247" s="646"/>
      <c r="G247" s="646"/>
      <c r="H247" s="646"/>
      <c r="I247" s="646"/>
      <c r="J247" s="646"/>
      <c r="K247" s="646"/>
      <c r="L247" s="646"/>
      <c r="M247" s="646"/>
      <c r="N247" s="646"/>
      <c r="O247" s="646"/>
      <c r="P247" s="646"/>
      <c r="Q247" s="646"/>
      <c r="R247" s="646"/>
      <c r="S247" s="646"/>
      <c r="T247" s="646"/>
      <c r="U247" s="646"/>
      <c r="V247" s="646"/>
      <c r="W247" s="646"/>
      <c r="X247" s="646"/>
      <c r="Y247" s="646"/>
      <c r="Z247" s="646"/>
      <c r="AA247" s="65"/>
      <c r="AB247" s="65"/>
      <c r="AC247" s="79"/>
    </row>
    <row r="248" spans="1:68" ht="14.25" hidden="1" customHeight="1" x14ac:dyDescent="0.25">
      <c r="A248" s="630" t="s">
        <v>128</v>
      </c>
      <c r="B248" s="630"/>
      <c r="C248" s="630"/>
      <c r="D248" s="630"/>
      <c r="E248" s="630"/>
      <c r="F248" s="630"/>
      <c r="G248" s="630"/>
      <c r="H248" s="630"/>
      <c r="I248" s="630"/>
      <c r="J248" s="630"/>
      <c r="K248" s="630"/>
      <c r="L248" s="630"/>
      <c r="M248" s="630"/>
      <c r="N248" s="630"/>
      <c r="O248" s="630"/>
      <c r="P248" s="630"/>
      <c r="Q248" s="630"/>
      <c r="R248" s="630"/>
      <c r="S248" s="630"/>
      <c r="T248" s="630"/>
      <c r="U248" s="630"/>
      <c r="V248" s="630"/>
      <c r="W248" s="630"/>
      <c r="X248" s="630"/>
      <c r="Y248" s="630"/>
      <c r="Z248" s="630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31">
        <v>4680115881402</v>
      </c>
      <c r="E249" s="631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33"/>
      <c r="R249" s="633"/>
      <c r="S249" s="633"/>
      <c r="T249" s="63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31">
        <v>4680115881396</v>
      </c>
      <c r="E250" s="631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33"/>
      <c r="R250" s="633"/>
      <c r="S250" s="633"/>
      <c r="T250" s="63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8"/>
      <c r="B251" s="638"/>
      <c r="C251" s="638"/>
      <c r="D251" s="638"/>
      <c r="E251" s="638"/>
      <c r="F251" s="638"/>
      <c r="G251" s="638"/>
      <c r="H251" s="638"/>
      <c r="I251" s="638"/>
      <c r="J251" s="638"/>
      <c r="K251" s="638"/>
      <c r="L251" s="638"/>
      <c r="M251" s="638"/>
      <c r="N251" s="638"/>
      <c r="O251" s="639"/>
      <c r="P251" s="635" t="s">
        <v>40</v>
      </c>
      <c r="Q251" s="636"/>
      <c r="R251" s="636"/>
      <c r="S251" s="636"/>
      <c r="T251" s="636"/>
      <c r="U251" s="636"/>
      <c r="V251" s="637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8"/>
      <c r="B252" s="638"/>
      <c r="C252" s="638"/>
      <c r="D252" s="638"/>
      <c r="E252" s="638"/>
      <c r="F252" s="638"/>
      <c r="G252" s="638"/>
      <c r="H252" s="638"/>
      <c r="I252" s="638"/>
      <c r="J252" s="638"/>
      <c r="K252" s="638"/>
      <c r="L252" s="638"/>
      <c r="M252" s="638"/>
      <c r="N252" s="638"/>
      <c r="O252" s="639"/>
      <c r="P252" s="635" t="s">
        <v>40</v>
      </c>
      <c r="Q252" s="636"/>
      <c r="R252" s="636"/>
      <c r="S252" s="636"/>
      <c r="T252" s="636"/>
      <c r="U252" s="636"/>
      <c r="V252" s="637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30" t="s">
        <v>164</v>
      </c>
      <c r="B253" s="630"/>
      <c r="C253" s="630"/>
      <c r="D253" s="630"/>
      <c r="E253" s="630"/>
      <c r="F253" s="630"/>
      <c r="G253" s="630"/>
      <c r="H253" s="630"/>
      <c r="I253" s="630"/>
      <c r="J253" s="630"/>
      <c r="K253" s="630"/>
      <c r="L253" s="630"/>
      <c r="M253" s="630"/>
      <c r="N253" s="630"/>
      <c r="O253" s="630"/>
      <c r="P253" s="630"/>
      <c r="Q253" s="630"/>
      <c r="R253" s="630"/>
      <c r="S253" s="630"/>
      <c r="T253" s="630"/>
      <c r="U253" s="630"/>
      <c r="V253" s="630"/>
      <c r="W253" s="630"/>
      <c r="X253" s="630"/>
      <c r="Y253" s="630"/>
      <c r="Z253" s="630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31">
        <v>4680115882935</v>
      </c>
      <c r="E254" s="63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33"/>
      <c r="R254" s="633"/>
      <c r="S254" s="633"/>
      <c r="T254" s="63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31">
        <v>4680115880764</v>
      </c>
      <c r="E255" s="631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33"/>
      <c r="R255" s="633"/>
      <c r="S255" s="633"/>
      <c r="T255" s="63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8"/>
      <c r="B256" s="638"/>
      <c r="C256" s="638"/>
      <c r="D256" s="638"/>
      <c r="E256" s="638"/>
      <c r="F256" s="638"/>
      <c r="G256" s="638"/>
      <c r="H256" s="638"/>
      <c r="I256" s="638"/>
      <c r="J256" s="638"/>
      <c r="K256" s="638"/>
      <c r="L256" s="638"/>
      <c r="M256" s="638"/>
      <c r="N256" s="638"/>
      <c r="O256" s="639"/>
      <c r="P256" s="635" t="s">
        <v>40</v>
      </c>
      <c r="Q256" s="636"/>
      <c r="R256" s="636"/>
      <c r="S256" s="636"/>
      <c r="T256" s="636"/>
      <c r="U256" s="636"/>
      <c r="V256" s="637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8"/>
      <c r="B257" s="638"/>
      <c r="C257" s="638"/>
      <c r="D257" s="638"/>
      <c r="E257" s="638"/>
      <c r="F257" s="638"/>
      <c r="G257" s="638"/>
      <c r="H257" s="638"/>
      <c r="I257" s="638"/>
      <c r="J257" s="638"/>
      <c r="K257" s="638"/>
      <c r="L257" s="638"/>
      <c r="M257" s="638"/>
      <c r="N257" s="638"/>
      <c r="O257" s="639"/>
      <c r="P257" s="635" t="s">
        <v>40</v>
      </c>
      <c r="Q257" s="636"/>
      <c r="R257" s="636"/>
      <c r="S257" s="636"/>
      <c r="T257" s="636"/>
      <c r="U257" s="636"/>
      <c r="V257" s="637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30" t="s">
        <v>77</v>
      </c>
      <c r="B258" s="630"/>
      <c r="C258" s="630"/>
      <c r="D258" s="630"/>
      <c r="E258" s="630"/>
      <c r="F258" s="630"/>
      <c r="G258" s="630"/>
      <c r="H258" s="630"/>
      <c r="I258" s="630"/>
      <c r="J258" s="630"/>
      <c r="K258" s="630"/>
      <c r="L258" s="630"/>
      <c r="M258" s="630"/>
      <c r="N258" s="630"/>
      <c r="O258" s="630"/>
      <c r="P258" s="630"/>
      <c r="Q258" s="630"/>
      <c r="R258" s="630"/>
      <c r="S258" s="630"/>
      <c r="T258" s="630"/>
      <c r="U258" s="630"/>
      <c r="V258" s="630"/>
      <c r="W258" s="630"/>
      <c r="X258" s="630"/>
      <c r="Y258" s="630"/>
      <c r="Z258" s="630"/>
      <c r="AA258" s="66"/>
      <c r="AB258" s="66"/>
      <c r="AC258" s="80"/>
    </row>
    <row r="259" spans="1:68" ht="27" hidden="1" customHeight="1" x14ac:dyDescent="0.25">
      <c r="A259" s="63" t="s">
        <v>438</v>
      </c>
      <c r="B259" s="63" t="s">
        <v>439</v>
      </c>
      <c r="C259" s="36">
        <v>4301031224</v>
      </c>
      <c r="D259" s="631">
        <v>4680115882683</v>
      </c>
      <c r="E259" s="631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33"/>
      <c r="R259" s="633"/>
      <c r="S259" s="633"/>
      <c r="T259" s="634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27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0</v>
      </c>
      <c r="BN259" s="78">
        <f t="shared" ref="BN259:BN266" si="29">IFERROR(Y259*I259/H259,"0")</f>
        <v>0</v>
      </c>
      <c r="BO259" s="78">
        <f t="shared" ref="BO259:BO266" si="30">IFERROR(1/J259*(X259/H259),"0")</f>
        <v>0</v>
      </c>
      <c r="BP259" s="78">
        <f t="shared" ref="BP259:BP266" si="31">IFERROR(1/J259*(Y259/H259),"0")</f>
        <v>0</v>
      </c>
    </row>
    <row r="260" spans="1:68" ht="27" hidden="1" customHeight="1" x14ac:dyDescent="0.25">
      <c r="A260" s="63" t="s">
        <v>441</v>
      </c>
      <c r="B260" s="63" t="s">
        <v>442</v>
      </c>
      <c r="C260" s="36">
        <v>4301031230</v>
      </c>
      <c r="D260" s="631">
        <v>4680115882690</v>
      </c>
      <c r="E260" s="631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33"/>
      <c r="R260" s="633"/>
      <c r="S260" s="633"/>
      <c r="T260" s="634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27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0</v>
      </c>
      <c r="BN260" s="78">
        <f t="shared" si="29"/>
        <v>0</v>
      </c>
      <c r="BO260" s="78">
        <f t="shared" si="30"/>
        <v>0</v>
      </c>
      <c r="BP260" s="78">
        <f t="shared" si="31"/>
        <v>0</v>
      </c>
    </row>
    <row r="261" spans="1:68" ht="27" hidden="1" customHeight="1" x14ac:dyDescent="0.25">
      <c r="A261" s="63" t="s">
        <v>444</v>
      </c>
      <c r="B261" s="63" t="s">
        <v>445</v>
      </c>
      <c r="C261" s="36">
        <v>4301031220</v>
      </c>
      <c r="D261" s="631">
        <v>4680115882669</v>
      </c>
      <c r="E261" s="631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33"/>
      <c r="R261" s="633"/>
      <c r="S261" s="633"/>
      <c r="T261" s="634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27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0</v>
      </c>
      <c r="BN261" s="78">
        <f t="shared" si="29"/>
        <v>0</v>
      </c>
      <c r="BO261" s="78">
        <f t="shared" si="30"/>
        <v>0</v>
      </c>
      <c r="BP261" s="78">
        <f t="shared" si="31"/>
        <v>0</v>
      </c>
    </row>
    <row r="262" spans="1:68" ht="27" hidden="1" customHeight="1" x14ac:dyDescent="0.25">
      <c r="A262" s="63" t="s">
        <v>447</v>
      </c>
      <c r="B262" s="63" t="s">
        <v>448</v>
      </c>
      <c r="C262" s="36">
        <v>4301031221</v>
      </c>
      <c r="D262" s="631">
        <v>4680115882676</v>
      </c>
      <c r="E262" s="631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33"/>
      <c r="R262" s="633"/>
      <c r="S262" s="633"/>
      <c r="T262" s="634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27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0</v>
      </c>
      <c r="BN262" s="78">
        <f t="shared" si="29"/>
        <v>0</v>
      </c>
      <c r="BO262" s="78">
        <f t="shared" si="30"/>
        <v>0</v>
      </c>
      <c r="BP262" s="78">
        <f t="shared" si="31"/>
        <v>0</v>
      </c>
    </row>
    <row r="263" spans="1:68" ht="27" hidden="1" customHeight="1" x14ac:dyDescent="0.25">
      <c r="A263" s="63" t="s">
        <v>450</v>
      </c>
      <c r="B263" s="63" t="s">
        <v>451</v>
      </c>
      <c r="C263" s="36">
        <v>4301031223</v>
      </c>
      <c r="D263" s="631">
        <v>4680115884014</v>
      </c>
      <c r="E263" s="631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33"/>
      <c r="R263" s="633"/>
      <c r="S263" s="633"/>
      <c r="T263" s="634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27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0</v>
      </c>
      <c r="BN263" s="78">
        <f t="shared" si="29"/>
        <v>0</v>
      </c>
      <c r="BO263" s="78">
        <f t="shared" si="30"/>
        <v>0</v>
      </c>
      <c r="BP263" s="78">
        <f t="shared" si="31"/>
        <v>0</v>
      </c>
    </row>
    <row r="264" spans="1:68" ht="27" hidden="1" customHeight="1" x14ac:dyDescent="0.25">
      <c r="A264" s="63" t="s">
        <v>452</v>
      </c>
      <c r="B264" s="63" t="s">
        <v>453</v>
      </c>
      <c r="C264" s="36">
        <v>4301031222</v>
      </c>
      <c r="D264" s="631">
        <v>4680115884007</v>
      </c>
      <c r="E264" s="631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33"/>
      <c r="R264" s="633"/>
      <c r="S264" s="633"/>
      <c r="T264" s="634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27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0</v>
      </c>
      <c r="BN264" s="78">
        <f t="shared" si="29"/>
        <v>0</v>
      </c>
      <c r="BO264" s="78">
        <f t="shared" si="30"/>
        <v>0</v>
      </c>
      <c r="BP264" s="78">
        <f t="shared" si="31"/>
        <v>0</v>
      </c>
    </row>
    <row r="265" spans="1:68" ht="27" hidden="1" customHeight="1" x14ac:dyDescent="0.25">
      <c r="A265" s="63" t="s">
        <v>454</v>
      </c>
      <c r="B265" s="63" t="s">
        <v>455</v>
      </c>
      <c r="C265" s="36">
        <v>4301031229</v>
      </c>
      <c r="D265" s="631">
        <v>4680115884038</v>
      </c>
      <c r="E265" s="631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33"/>
      <c r="R265" s="633"/>
      <c r="S265" s="633"/>
      <c r="T265" s="634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27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0</v>
      </c>
      <c r="BN265" s="78">
        <f t="shared" si="29"/>
        <v>0</v>
      </c>
      <c r="BO265" s="78">
        <f t="shared" si="30"/>
        <v>0</v>
      </c>
      <c r="BP265" s="78">
        <f t="shared" si="31"/>
        <v>0</v>
      </c>
    </row>
    <row r="266" spans="1:68" ht="27" hidden="1" customHeight="1" x14ac:dyDescent="0.25">
      <c r="A266" s="63" t="s">
        <v>456</v>
      </c>
      <c r="B266" s="63" t="s">
        <v>457</v>
      </c>
      <c r="C266" s="36">
        <v>4301031225</v>
      </c>
      <c r="D266" s="631">
        <v>4680115884021</v>
      </c>
      <c r="E266" s="631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33"/>
      <c r="R266" s="633"/>
      <c r="S266" s="633"/>
      <c r="T266" s="634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27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0</v>
      </c>
      <c r="BN266" s="78">
        <f t="shared" si="29"/>
        <v>0</v>
      </c>
      <c r="BO266" s="78">
        <f t="shared" si="30"/>
        <v>0</v>
      </c>
      <c r="BP266" s="78">
        <f t="shared" si="31"/>
        <v>0</v>
      </c>
    </row>
    <row r="267" spans="1:68" hidden="1" x14ac:dyDescent="0.2">
      <c r="A267" s="638"/>
      <c r="B267" s="638"/>
      <c r="C267" s="638"/>
      <c r="D267" s="638"/>
      <c r="E267" s="638"/>
      <c r="F267" s="638"/>
      <c r="G267" s="638"/>
      <c r="H267" s="638"/>
      <c r="I267" s="638"/>
      <c r="J267" s="638"/>
      <c r="K267" s="638"/>
      <c r="L267" s="638"/>
      <c r="M267" s="638"/>
      <c r="N267" s="638"/>
      <c r="O267" s="639"/>
      <c r="P267" s="635" t="s">
        <v>40</v>
      </c>
      <c r="Q267" s="636"/>
      <c r="R267" s="636"/>
      <c r="S267" s="636"/>
      <c r="T267" s="636"/>
      <c r="U267" s="636"/>
      <c r="V267" s="637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8"/>
      <c r="B268" s="638"/>
      <c r="C268" s="638"/>
      <c r="D268" s="638"/>
      <c r="E268" s="638"/>
      <c r="F268" s="638"/>
      <c r="G268" s="638"/>
      <c r="H268" s="638"/>
      <c r="I268" s="638"/>
      <c r="J268" s="638"/>
      <c r="K268" s="638"/>
      <c r="L268" s="638"/>
      <c r="M268" s="638"/>
      <c r="N268" s="638"/>
      <c r="O268" s="639"/>
      <c r="P268" s="635" t="s">
        <v>40</v>
      </c>
      <c r="Q268" s="636"/>
      <c r="R268" s="636"/>
      <c r="S268" s="636"/>
      <c r="T268" s="636"/>
      <c r="U268" s="636"/>
      <c r="V268" s="637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30" t="s">
        <v>86</v>
      </c>
      <c r="B269" s="630"/>
      <c r="C269" s="630"/>
      <c r="D269" s="630"/>
      <c r="E269" s="630"/>
      <c r="F269" s="630"/>
      <c r="G269" s="630"/>
      <c r="H269" s="630"/>
      <c r="I269" s="630"/>
      <c r="J269" s="630"/>
      <c r="K269" s="630"/>
      <c r="L269" s="630"/>
      <c r="M269" s="630"/>
      <c r="N269" s="630"/>
      <c r="O269" s="630"/>
      <c r="P269" s="630"/>
      <c r="Q269" s="630"/>
      <c r="R269" s="630"/>
      <c r="S269" s="630"/>
      <c r="T269" s="630"/>
      <c r="U269" s="630"/>
      <c r="V269" s="630"/>
      <c r="W269" s="630"/>
      <c r="X269" s="630"/>
      <c r="Y269" s="630"/>
      <c r="Z269" s="630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31">
        <v>4680115881594</v>
      </c>
      <c r="E270" s="631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33"/>
      <c r="R270" s="633"/>
      <c r="S270" s="633"/>
      <c r="T270" s="63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31">
        <v>4680115881617</v>
      </c>
      <c r="E271" s="631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33"/>
      <c r="R271" s="633"/>
      <c r="S271" s="633"/>
      <c r="T271" s="63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hidden="1" customHeight="1" x14ac:dyDescent="0.25">
      <c r="A272" s="63" t="s">
        <v>464</v>
      </c>
      <c r="B272" s="63" t="s">
        <v>465</v>
      </c>
      <c r="C272" s="36">
        <v>4301051656</v>
      </c>
      <c r="D272" s="631">
        <v>4680115880573</v>
      </c>
      <c r="E272" s="631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33"/>
      <c r="R272" s="633"/>
      <c r="S272" s="633"/>
      <c r="T272" s="63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2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0</v>
      </c>
      <c r="BN272" s="78">
        <f t="shared" si="34"/>
        <v>0</v>
      </c>
      <c r="BO272" s="78">
        <f t="shared" si="35"/>
        <v>0</v>
      </c>
      <c r="BP272" s="78">
        <f t="shared" si="36"/>
        <v>0</v>
      </c>
    </row>
    <row r="273" spans="1:68" ht="27" hidden="1" customHeight="1" x14ac:dyDescent="0.25">
      <c r="A273" s="63" t="s">
        <v>467</v>
      </c>
      <c r="B273" s="63" t="s">
        <v>468</v>
      </c>
      <c r="C273" s="36">
        <v>4301051407</v>
      </c>
      <c r="D273" s="631">
        <v>4680115882195</v>
      </c>
      <c r="E273" s="631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33"/>
      <c r="R273" s="633"/>
      <c r="S273" s="633"/>
      <c r="T273" s="63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2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0</v>
      </c>
      <c r="BN273" s="78">
        <f t="shared" si="34"/>
        <v>0</v>
      </c>
      <c r="BO273" s="78">
        <f t="shared" si="35"/>
        <v>0</v>
      </c>
      <c r="BP273" s="78">
        <f t="shared" si="36"/>
        <v>0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31">
        <v>4680115882607</v>
      </c>
      <c r="E274" s="631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33"/>
      <c r="R274" s="633"/>
      <c r="S274" s="633"/>
      <c r="T274" s="63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31">
        <v>4680115882607</v>
      </c>
      <c r="E275" s="631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33"/>
      <c r="R275" s="633"/>
      <c r="S275" s="633"/>
      <c r="T275" s="63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hidden="1" customHeight="1" x14ac:dyDescent="0.25">
      <c r="A276" s="63" t="s">
        <v>474</v>
      </c>
      <c r="B276" s="63" t="s">
        <v>475</v>
      </c>
      <c r="C276" s="36">
        <v>4301051666</v>
      </c>
      <c r="D276" s="631">
        <v>4680115880092</v>
      </c>
      <c r="E276" s="631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33"/>
      <c r="R276" s="633"/>
      <c r="S276" s="633"/>
      <c r="T276" s="63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2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0</v>
      </c>
      <c r="BN276" s="78">
        <f t="shared" si="34"/>
        <v>0</v>
      </c>
      <c r="BO276" s="78">
        <f t="shared" si="35"/>
        <v>0</v>
      </c>
      <c r="BP276" s="78">
        <f t="shared" si="36"/>
        <v>0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31">
        <v>4680115889064</v>
      </c>
      <c r="E277" s="631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33"/>
      <c r="R277" s="633"/>
      <c r="S277" s="633"/>
      <c r="T277" s="63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31">
        <v>4680115880221</v>
      </c>
      <c r="E278" s="631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33"/>
      <c r="R278" s="633"/>
      <c r="S278" s="633"/>
      <c r="T278" s="63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hidden="1" customHeight="1" x14ac:dyDescent="0.25">
      <c r="A279" s="63" t="s">
        <v>480</v>
      </c>
      <c r="B279" s="63" t="s">
        <v>481</v>
      </c>
      <c r="C279" s="36">
        <v>4301051945</v>
      </c>
      <c r="D279" s="631">
        <v>4680115880504</v>
      </c>
      <c r="E279" s="631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33"/>
      <c r="R279" s="633"/>
      <c r="S279" s="633"/>
      <c r="T279" s="634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2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0</v>
      </c>
      <c r="BN279" s="78">
        <f t="shared" si="34"/>
        <v>0</v>
      </c>
      <c r="BO279" s="78">
        <f t="shared" si="35"/>
        <v>0</v>
      </c>
      <c r="BP279" s="78">
        <f t="shared" si="36"/>
        <v>0</v>
      </c>
    </row>
    <row r="280" spans="1:68" ht="27" hidden="1" customHeight="1" x14ac:dyDescent="0.25">
      <c r="A280" s="63" t="s">
        <v>483</v>
      </c>
      <c r="B280" s="63" t="s">
        <v>484</v>
      </c>
      <c r="C280" s="36">
        <v>4301051410</v>
      </c>
      <c r="D280" s="631">
        <v>4680115882164</v>
      </c>
      <c r="E280" s="631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33"/>
      <c r="R280" s="633"/>
      <c r="S280" s="633"/>
      <c r="T280" s="63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2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0</v>
      </c>
      <c r="BN280" s="78">
        <f t="shared" si="34"/>
        <v>0</v>
      </c>
      <c r="BO280" s="78">
        <f t="shared" si="35"/>
        <v>0</v>
      </c>
      <c r="BP280" s="78">
        <f t="shared" si="36"/>
        <v>0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31">
        <v>4680115888340</v>
      </c>
      <c r="E281" s="631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33"/>
      <c r="R281" s="633"/>
      <c r="S281" s="633"/>
      <c r="T281" s="63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idden="1" x14ac:dyDescent="0.2">
      <c r="A282" s="638"/>
      <c r="B282" s="638"/>
      <c r="C282" s="638"/>
      <c r="D282" s="638"/>
      <c r="E282" s="638"/>
      <c r="F282" s="638"/>
      <c r="G282" s="638"/>
      <c r="H282" s="638"/>
      <c r="I282" s="638"/>
      <c r="J282" s="638"/>
      <c r="K282" s="638"/>
      <c r="L282" s="638"/>
      <c r="M282" s="638"/>
      <c r="N282" s="638"/>
      <c r="O282" s="639"/>
      <c r="P282" s="635" t="s">
        <v>40</v>
      </c>
      <c r="Q282" s="636"/>
      <c r="R282" s="636"/>
      <c r="S282" s="636"/>
      <c r="T282" s="636"/>
      <c r="U282" s="636"/>
      <c r="V282" s="637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8"/>
      <c r="B283" s="638"/>
      <c r="C283" s="638"/>
      <c r="D283" s="638"/>
      <c r="E283" s="638"/>
      <c r="F283" s="638"/>
      <c r="G283" s="638"/>
      <c r="H283" s="638"/>
      <c r="I283" s="638"/>
      <c r="J283" s="638"/>
      <c r="K283" s="638"/>
      <c r="L283" s="638"/>
      <c r="M283" s="638"/>
      <c r="N283" s="638"/>
      <c r="O283" s="639"/>
      <c r="P283" s="635" t="s">
        <v>40</v>
      </c>
      <c r="Q283" s="636"/>
      <c r="R283" s="636"/>
      <c r="S283" s="636"/>
      <c r="T283" s="636"/>
      <c r="U283" s="636"/>
      <c r="V283" s="637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30" t="s">
        <v>181</v>
      </c>
      <c r="B284" s="630"/>
      <c r="C284" s="630"/>
      <c r="D284" s="630"/>
      <c r="E284" s="630"/>
      <c r="F284" s="630"/>
      <c r="G284" s="630"/>
      <c r="H284" s="630"/>
      <c r="I284" s="630"/>
      <c r="J284" s="630"/>
      <c r="K284" s="630"/>
      <c r="L284" s="630"/>
      <c r="M284" s="630"/>
      <c r="N284" s="630"/>
      <c r="O284" s="630"/>
      <c r="P284" s="630"/>
      <c r="Q284" s="630"/>
      <c r="R284" s="630"/>
      <c r="S284" s="630"/>
      <c r="T284" s="630"/>
      <c r="U284" s="630"/>
      <c r="V284" s="630"/>
      <c r="W284" s="630"/>
      <c r="X284" s="630"/>
      <c r="Y284" s="630"/>
      <c r="Z284" s="630"/>
      <c r="AA284" s="66"/>
      <c r="AB284" s="66"/>
      <c r="AC284" s="80"/>
    </row>
    <row r="285" spans="1:68" ht="27" hidden="1" customHeight="1" x14ac:dyDescent="0.25">
      <c r="A285" s="63" t="s">
        <v>489</v>
      </c>
      <c r="B285" s="63" t="s">
        <v>490</v>
      </c>
      <c r="C285" s="36">
        <v>4301060463</v>
      </c>
      <c r="D285" s="631">
        <v>4680115880818</v>
      </c>
      <c r="E285" s="63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33"/>
      <c r="R285" s="633"/>
      <c r="S285" s="633"/>
      <c r="T285" s="634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492</v>
      </c>
      <c r="B286" s="63" t="s">
        <v>493</v>
      </c>
      <c r="C286" s="36">
        <v>4301060389</v>
      </c>
      <c r="D286" s="631">
        <v>4680115880801</v>
      </c>
      <c r="E286" s="63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33"/>
      <c r="R286" s="633"/>
      <c r="S286" s="633"/>
      <c r="T286" s="634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38"/>
      <c r="B287" s="638"/>
      <c r="C287" s="638"/>
      <c r="D287" s="638"/>
      <c r="E287" s="638"/>
      <c r="F287" s="638"/>
      <c r="G287" s="638"/>
      <c r="H287" s="638"/>
      <c r="I287" s="638"/>
      <c r="J287" s="638"/>
      <c r="K287" s="638"/>
      <c r="L287" s="638"/>
      <c r="M287" s="638"/>
      <c r="N287" s="638"/>
      <c r="O287" s="639"/>
      <c r="P287" s="635" t="s">
        <v>40</v>
      </c>
      <c r="Q287" s="636"/>
      <c r="R287" s="636"/>
      <c r="S287" s="636"/>
      <c r="T287" s="636"/>
      <c r="U287" s="636"/>
      <c r="V287" s="637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38"/>
      <c r="B288" s="638"/>
      <c r="C288" s="638"/>
      <c r="D288" s="638"/>
      <c r="E288" s="638"/>
      <c r="F288" s="638"/>
      <c r="G288" s="638"/>
      <c r="H288" s="638"/>
      <c r="I288" s="638"/>
      <c r="J288" s="638"/>
      <c r="K288" s="638"/>
      <c r="L288" s="638"/>
      <c r="M288" s="638"/>
      <c r="N288" s="638"/>
      <c r="O288" s="639"/>
      <c r="P288" s="635" t="s">
        <v>40</v>
      </c>
      <c r="Q288" s="636"/>
      <c r="R288" s="636"/>
      <c r="S288" s="636"/>
      <c r="T288" s="636"/>
      <c r="U288" s="636"/>
      <c r="V288" s="637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46" t="s">
        <v>495</v>
      </c>
      <c r="B289" s="646"/>
      <c r="C289" s="646"/>
      <c r="D289" s="646"/>
      <c r="E289" s="646"/>
      <c r="F289" s="646"/>
      <c r="G289" s="646"/>
      <c r="H289" s="646"/>
      <c r="I289" s="646"/>
      <c r="J289" s="646"/>
      <c r="K289" s="646"/>
      <c r="L289" s="646"/>
      <c r="M289" s="646"/>
      <c r="N289" s="646"/>
      <c r="O289" s="646"/>
      <c r="P289" s="646"/>
      <c r="Q289" s="646"/>
      <c r="R289" s="646"/>
      <c r="S289" s="646"/>
      <c r="T289" s="646"/>
      <c r="U289" s="646"/>
      <c r="V289" s="646"/>
      <c r="W289" s="646"/>
      <c r="X289" s="646"/>
      <c r="Y289" s="646"/>
      <c r="Z289" s="646"/>
      <c r="AA289" s="65"/>
      <c r="AB289" s="65"/>
      <c r="AC289" s="79"/>
    </row>
    <row r="290" spans="1:68" ht="14.25" hidden="1" customHeight="1" x14ac:dyDescent="0.25">
      <c r="A290" s="630" t="s">
        <v>128</v>
      </c>
      <c r="B290" s="630"/>
      <c r="C290" s="630"/>
      <c r="D290" s="630"/>
      <c r="E290" s="630"/>
      <c r="F290" s="630"/>
      <c r="G290" s="630"/>
      <c r="H290" s="630"/>
      <c r="I290" s="630"/>
      <c r="J290" s="630"/>
      <c r="K290" s="630"/>
      <c r="L290" s="630"/>
      <c r="M290" s="630"/>
      <c r="N290" s="630"/>
      <c r="O290" s="630"/>
      <c r="P290" s="630"/>
      <c r="Q290" s="630"/>
      <c r="R290" s="630"/>
      <c r="S290" s="630"/>
      <c r="T290" s="630"/>
      <c r="U290" s="630"/>
      <c r="V290" s="630"/>
      <c r="W290" s="630"/>
      <c r="X290" s="630"/>
      <c r="Y290" s="630"/>
      <c r="Z290" s="630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4301011826</v>
      </c>
      <c r="D291" s="631">
        <v>4680115884137</v>
      </c>
      <c r="E291" s="631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33"/>
      <c r="R291" s="633"/>
      <c r="S291" s="633"/>
      <c r="T291" s="63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37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0</v>
      </c>
      <c r="BN291" s="78">
        <f t="shared" ref="BN291:BN297" si="39">IFERROR(Y291*I291/H291,"0")</f>
        <v>0</v>
      </c>
      <c r="BO291" s="78">
        <f t="shared" ref="BO291:BO297" si="40">IFERROR(1/J291*(X291/H291),"0")</f>
        <v>0</v>
      </c>
      <c r="BP291" s="78">
        <f t="shared" ref="BP291:BP297" si="41"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31">
        <v>4680115884236</v>
      </c>
      <c r="E292" s="631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33"/>
      <c r="R292" s="633"/>
      <c r="S292" s="633"/>
      <c r="T292" s="634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hidden="1" customHeight="1" x14ac:dyDescent="0.25">
      <c r="A293" s="63" t="s">
        <v>502</v>
      </c>
      <c r="B293" s="63" t="s">
        <v>503</v>
      </c>
      <c r="C293" s="36">
        <v>4301011721</v>
      </c>
      <c r="D293" s="631">
        <v>4680115884175</v>
      </c>
      <c r="E293" s="631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33"/>
      <c r="R293" s="633"/>
      <c r="S293" s="633"/>
      <c r="T293" s="634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37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0</v>
      </c>
      <c r="BN293" s="78">
        <f t="shared" si="39"/>
        <v>0</v>
      </c>
      <c r="BO293" s="78">
        <f t="shared" si="40"/>
        <v>0</v>
      </c>
      <c r="BP293" s="78">
        <f t="shared" si="41"/>
        <v>0</v>
      </c>
    </row>
    <row r="294" spans="1:68" ht="27" hidden="1" customHeight="1" x14ac:dyDescent="0.25">
      <c r="A294" s="63" t="s">
        <v>504</v>
      </c>
      <c r="B294" s="63" t="s">
        <v>505</v>
      </c>
      <c r="C294" s="36">
        <v>4301011824</v>
      </c>
      <c r="D294" s="631">
        <v>4680115884144</v>
      </c>
      <c r="E294" s="631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33"/>
      <c r="R294" s="633"/>
      <c r="S294" s="633"/>
      <c r="T294" s="634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37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0</v>
      </c>
      <c r="BN294" s="78">
        <f t="shared" si="39"/>
        <v>0</v>
      </c>
      <c r="BO294" s="78">
        <f t="shared" si="40"/>
        <v>0</v>
      </c>
      <c r="BP294" s="78">
        <f t="shared" si="41"/>
        <v>0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31">
        <v>4680115886551</v>
      </c>
      <c r="E295" s="631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33"/>
      <c r="R295" s="633"/>
      <c r="S295" s="633"/>
      <c r="T295" s="634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31">
        <v>4680115887282</v>
      </c>
      <c r="E296" s="631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33"/>
      <c r="R296" s="633"/>
      <c r="S296" s="633"/>
      <c r="T296" s="634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hidden="1" customHeight="1" x14ac:dyDescent="0.25">
      <c r="A297" s="63" t="s">
        <v>512</v>
      </c>
      <c r="B297" s="63" t="s">
        <v>513</v>
      </c>
      <c r="C297" s="36">
        <v>4301011722</v>
      </c>
      <c r="D297" s="631">
        <v>4680115884205</v>
      </c>
      <c r="E297" s="631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33"/>
      <c r="R297" s="633"/>
      <c r="S297" s="633"/>
      <c r="T297" s="63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37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0</v>
      </c>
      <c r="BN297" s="78">
        <f t="shared" si="39"/>
        <v>0</v>
      </c>
      <c r="BO297" s="78">
        <f t="shared" si="40"/>
        <v>0</v>
      </c>
      <c r="BP297" s="78">
        <f t="shared" si="41"/>
        <v>0</v>
      </c>
    </row>
    <row r="298" spans="1:68" hidden="1" x14ac:dyDescent="0.2">
      <c r="A298" s="638"/>
      <c r="B298" s="638"/>
      <c r="C298" s="638"/>
      <c r="D298" s="638"/>
      <c r="E298" s="638"/>
      <c r="F298" s="638"/>
      <c r="G298" s="638"/>
      <c r="H298" s="638"/>
      <c r="I298" s="638"/>
      <c r="J298" s="638"/>
      <c r="K298" s="638"/>
      <c r="L298" s="638"/>
      <c r="M298" s="638"/>
      <c r="N298" s="638"/>
      <c r="O298" s="639"/>
      <c r="P298" s="635" t="s">
        <v>40</v>
      </c>
      <c r="Q298" s="636"/>
      <c r="R298" s="636"/>
      <c r="S298" s="636"/>
      <c r="T298" s="636"/>
      <c r="U298" s="636"/>
      <c r="V298" s="637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38"/>
      <c r="B299" s="638"/>
      <c r="C299" s="638"/>
      <c r="D299" s="638"/>
      <c r="E299" s="638"/>
      <c r="F299" s="638"/>
      <c r="G299" s="638"/>
      <c r="H299" s="638"/>
      <c r="I299" s="638"/>
      <c r="J299" s="638"/>
      <c r="K299" s="638"/>
      <c r="L299" s="638"/>
      <c r="M299" s="638"/>
      <c r="N299" s="638"/>
      <c r="O299" s="639"/>
      <c r="P299" s="635" t="s">
        <v>40</v>
      </c>
      <c r="Q299" s="636"/>
      <c r="R299" s="636"/>
      <c r="S299" s="636"/>
      <c r="T299" s="636"/>
      <c r="U299" s="636"/>
      <c r="V299" s="637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30" t="s">
        <v>164</v>
      </c>
      <c r="B300" s="630"/>
      <c r="C300" s="630"/>
      <c r="D300" s="630"/>
      <c r="E300" s="630"/>
      <c r="F300" s="630"/>
      <c r="G300" s="630"/>
      <c r="H300" s="630"/>
      <c r="I300" s="630"/>
      <c r="J300" s="630"/>
      <c r="K300" s="630"/>
      <c r="L300" s="630"/>
      <c r="M300" s="630"/>
      <c r="N300" s="630"/>
      <c r="O300" s="630"/>
      <c r="P300" s="630"/>
      <c r="Q300" s="630"/>
      <c r="R300" s="630"/>
      <c r="S300" s="630"/>
      <c r="T300" s="630"/>
      <c r="U300" s="630"/>
      <c r="V300" s="630"/>
      <c r="W300" s="630"/>
      <c r="X300" s="630"/>
      <c r="Y300" s="630"/>
      <c r="Z300" s="630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31">
        <v>4680115885981</v>
      </c>
      <c r="E301" s="631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33"/>
      <c r="R301" s="633"/>
      <c r="S301" s="633"/>
      <c r="T301" s="634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8"/>
      <c r="B302" s="638"/>
      <c r="C302" s="638"/>
      <c r="D302" s="638"/>
      <c r="E302" s="638"/>
      <c r="F302" s="638"/>
      <c r="G302" s="638"/>
      <c r="H302" s="638"/>
      <c r="I302" s="638"/>
      <c r="J302" s="638"/>
      <c r="K302" s="638"/>
      <c r="L302" s="638"/>
      <c r="M302" s="638"/>
      <c r="N302" s="638"/>
      <c r="O302" s="639"/>
      <c r="P302" s="635" t="s">
        <v>40</v>
      </c>
      <c r="Q302" s="636"/>
      <c r="R302" s="636"/>
      <c r="S302" s="636"/>
      <c r="T302" s="636"/>
      <c r="U302" s="636"/>
      <c r="V302" s="637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8"/>
      <c r="B303" s="638"/>
      <c r="C303" s="638"/>
      <c r="D303" s="638"/>
      <c r="E303" s="638"/>
      <c r="F303" s="638"/>
      <c r="G303" s="638"/>
      <c r="H303" s="638"/>
      <c r="I303" s="638"/>
      <c r="J303" s="638"/>
      <c r="K303" s="638"/>
      <c r="L303" s="638"/>
      <c r="M303" s="638"/>
      <c r="N303" s="638"/>
      <c r="O303" s="639"/>
      <c r="P303" s="635" t="s">
        <v>40</v>
      </c>
      <c r="Q303" s="636"/>
      <c r="R303" s="636"/>
      <c r="S303" s="636"/>
      <c r="T303" s="636"/>
      <c r="U303" s="636"/>
      <c r="V303" s="637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30" t="s">
        <v>517</v>
      </c>
      <c r="B304" s="630"/>
      <c r="C304" s="630"/>
      <c r="D304" s="630"/>
      <c r="E304" s="630"/>
      <c r="F304" s="630"/>
      <c r="G304" s="630"/>
      <c r="H304" s="630"/>
      <c r="I304" s="630"/>
      <c r="J304" s="630"/>
      <c r="K304" s="630"/>
      <c r="L304" s="630"/>
      <c r="M304" s="630"/>
      <c r="N304" s="630"/>
      <c r="O304" s="630"/>
      <c r="P304" s="630"/>
      <c r="Q304" s="630"/>
      <c r="R304" s="630"/>
      <c r="S304" s="630"/>
      <c r="T304" s="630"/>
      <c r="U304" s="630"/>
      <c r="V304" s="630"/>
      <c r="W304" s="630"/>
      <c r="X304" s="630"/>
      <c r="Y304" s="630"/>
      <c r="Z304" s="630"/>
      <c r="AA304" s="66"/>
      <c r="AB304" s="66"/>
      <c r="AC304" s="80"/>
    </row>
    <row r="305" spans="1:68" ht="27" hidden="1" customHeight="1" x14ac:dyDescent="0.25">
      <c r="A305" s="63" t="s">
        <v>518</v>
      </c>
      <c r="B305" s="63" t="s">
        <v>519</v>
      </c>
      <c r="C305" s="36">
        <v>4301040362</v>
      </c>
      <c r="D305" s="631">
        <v>4680115886803</v>
      </c>
      <c r="E305" s="631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33"/>
      <c r="R305" s="633"/>
      <c r="S305" s="633"/>
      <c r="T305" s="634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8"/>
      <c r="B306" s="638"/>
      <c r="C306" s="638"/>
      <c r="D306" s="638"/>
      <c r="E306" s="638"/>
      <c r="F306" s="638"/>
      <c r="G306" s="638"/>
      <c r="H306" s="638"/>
      <c r="I306" s="638"/>
      <c r="J306" s="638"/>
      <c r="K306" s="638"/>
      <c r="L306" s="638"/>
      <c r="M306" s="638"/>
      <c r="N306" s="638"/>
      <c r="O306" s="639"/>
      <c r="P306" s="635" t="s">
        <v>40</v>
      </c>
      <c r="Q306" s="636"/>
      <c r="R306" s="636"/>
      <c r="S306" s="636"/>
      <c r="T306" s="636"/>
      <c r="U306" s="636"/>
      <c r="V306" s="637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8"/>
      <c r="B307" s="638"/>
      <c r="C307" s="638"/>
      <c r="D307" s="638"/>
      <c r="E307" s="638"/>
      <c r="F307" s="638"/>
      <c r="G307" s="638"/>
      <c r="H307" s="638"/>
      <c r="I307" s="638"/>
      <c r="J307" s="638"/>
      <c r="K307" s="638"/>
      <c r="L307" s="638"/>
      <c r="M307" s="638"/>
      <c r="N307" s="638"/>
      <c r="O307" s="639"/>
      <c r="P307" s="635" t="s">
        <v>40</v>
      </c>
      <c r="Q307" s="636"/>
      <c r="R307" s="636"/>
      <c r="S307" s="636"/>
      <c r="T307" s="636"/>
      <c r="U307" s="636"/>
      <c r="V307" s="637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30" t="s">
        <v>334</v>
      </c>
      <c r="B308" s="630"/>
      <c r="C308" s="630"/>
      <c r="D308" s="630"/>
      <c r="E308" s="630"/>
      <c r="F308" s="630"/>
      <c r="G308" s="630"/>
      <c r="H308" s="630"/>
      <c r="I308" s="630"/>
      <c r="J308" s="630"/>
      <c r="K308" s="630"/>
      <c r="L308" s="630"/>
      <c r="M308" s="630"/>
      <c r="N308" s="630"/>
      <c r="O308" s="630"/>
      <c r="P308" s="630"/>
      <c r="Q308" s="630"/>
      <c r="R308" s="630"/>
      <c r="S308" s="630"/>
      <c r="T308" s="630"/>
      <c r="U308" s="630"/>
      <c r="V308" s="630"/>
      <c r="W308" s="630"/>
      <c r="X308" s="630"/>
      <c r="Y308" s="630"/>
      <c r="Z308" s="630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31">
        <v>4680115886704</v>
      </c>
      <c r="E309" s="631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75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33"/>
      <c r="R309" s="633"/>
      <c r="S309" s="633"/>
      <c r="T309" s="634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524</v>
      </c>
      <c r="B310" s="63" t="s">
        <v>525</v>
      </c>
      <c r="C310" s="36">
        <v>4301041008</v>
      </c>
      <c r="D310" s="631">
        <v>4680115886681</v>
      </c>
      <c r="E310" s="631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33"/>
      <c r="R310" s="633"/>
      <c r="S310" s="633"/>
      <c r="T310" s="634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31">
        <v>4680115886735</v>
      </c>
      <c r="E311" s="631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33"/>
      <c r="R311" s="633"/>
      <c r="S311" s="633"/>
      <c r="T311" s="63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38"/>
      <c r="B312" s="638"/>
      <c r="C312" s="638"/>
      <c r="D312" s="638"/>
      <c r="E312" s="638"/>
      <c r="F312" s="638"/>
      <c r="G312" s="638"/>
      <c r="H312" s="638"/>
      <c r="I312" s="638"/>
      <c r="J312" s="638"/>
      <c r="K312" s="638"/>
      <c r="L312" s="638"/>
      <c r="M312" s="638"/>
      <c r="N312" s="638"/>
      <c r="O312" s="639"/>
      <c r="P312" s="635" t="s">
        <v>40</v>
      </c>
      <c r="Q312" s="636"/>
      <c r="R312" s="636"/>
      <c r="S312" s="636"/>
      <c r="T312" s="636"/>
      <c r="U312" s="636"/>
      <c r="V312" s="637"/>
      <c r="W312" s="42" t="s">
        <v>39</v>
      </c>
      <c r="X312" s="43">
        <f>IFERROR(X309/H309,"0")+IFERROR(X310/H310,"0")+IFERROR(X311/H311,"0")</f>
        <v>0</v>
      </c>
      <c r="Y312" s="43">
        <f>IFERROR(Y309/H309,"0")+IFERROR(Y310/H310,"0")+IFERROR(Y311/H311,"0")</f>
        <v>0</v>
      </c>
      <c r="Z312" s="43">
        <f>IFERROR(IF(Z309="",0,Z309),"0")+IFERROR(IF(Z310="",0,Z310),"0")+IFERROR(IF(Z311="",0,Z311),"0")</f>
        <v>0</v>
      </c>
      <c r="AA312" s="67"/>
      <c r="AB312" s="67"/>
      <c r="AC312" s="67"/>
    </row>
    <row r="313" spans="1:68" hidden="1" x14ac:dyDescent="0.2">
      <c r="A313" s="638"/>
      <c r="B313" s="638"/>
      <c r="C313" s="638"/>
      <c r="D313" s="638"/>
      <c r="E313" s="638"/>
      <c r="F313" s="638"/>
      <c r="G313" s="638"/>
      <c r="H313" s="638"/>
      <c r="I313" s="638"/>
      <c r="J313" s="638"/>
      <c r="K313" s="638"/>
      <c r="L313" s="638"/>
      <c r="M313" s="638"/>
      <c r="N313" s="638"/>
      <c r="O313" s="639"/>
      <c r="P313" s="635" t="s">
        <v>40</v>
      </c>
      <c r="Q313" s="636"/>
      <c r="R313" s="636"/>
      <c r="S313" s="636"/>
      <c r="T313" s="636"/>
      <c r="U313" s="636"/>
      <c r="V313" s="637"/>
      <c r="W313" s="42" t="s">
        <v>0</v>
      </c>
      <c r="X313" s="43">
        <f>IFERROR(SUM(X309:X311),"0")</f>
        <v>0</v>
      </c>
      <c r="Y313" s="43">
        <f>IFERROR(SUM(Y309:Y311),"0")</f>
        <v>0</v>
      </c>
      <c r="Z313" s="42"/>
      <c r="AA313" s="67"/>
      <c r="AB313" s="67"/>
      <c r="AC313" s="67"/>
    </row>
    <row r="314" spans="1:68" ht="16.5" hidden="1" customHeight="1" x14ac:dyDescent="0.25">
      <c r="A314" s="646" t="s">
        <v>528</v>
      </c>
      <c r="B314" s="646"/>
      <c r="C314" s="646"/>
      <c r="D314" s="646"/>
      <c r="E314" s="646"/>
      <c r="F314" s="646"/>
      <c r="G314" s="646"/>
      <c r="H314" s="646"/>
      <c r="I314" s="646"/>
      <c r="J314" s="646"/>
      <c r="K314" s="646"/>
      <c r="L314" s="646"/>
      <c r="M314" s="646"/>
      <c r="N314" s="646"/>
      <c r="O314" s="646"/>
      <c r="P314" s="646"/>
      <c r="Q314" s="646"/>
      <c r="R314" s="646"/>
      <c r="S314" s="646"/>
      <c r="T314" s="646"/>
      <c r="U314" s="646"/>
      <c r="V314" s="646"/>
      <c r="W314" s="646"/>
      <c r="X314" s="646"/>
      <c r="Y314" s="646"/>
      <c r="Z314" s="646"/>
      <c r="AA314" s="65"/>
      <c r="AB314" s="65"/>
      <c r="AC314" s="79"/>
    </row>
    <row r="315" spans="1:68" ht="14.25" hidden="1" customHeight="1" x14ac:dyDescent="0.25">
      <c r="A315" s="630" t="s">
        <v>128</v>
      </c>
      <c r="B315" s="630"/>
      <c r="C315" s="630"/>
      <c r="D315" s="630"/>
      <c r="E315" s="630"/>
      <c r="F315" s="630"/>
      <c r="G315" s="630"/>
      <c r="H315" s="630"/>
      <c r="I315" s="630"/>
      <c r="J315" s="630"/>
      <c r="K315" s="630"/>
      <c r="L315" s="630"/>
      <c r="M315" s="630"/>
      <c r="N315" s="630"/>
      <c r="O315" s="630"/>
      <c r="P315" s="630"/>
      <c r="Q315" s="630"/>
      <c r="R315" s="630"/>
      <c r="S315" s="630"/>
      <c r="T315" s="630"/>
      <c r="U315" s="630"/>
      <c r="V315" s="630"/>
      <c r="W315" s="630"/>
      <c r="X315" s="630"/>
      <c r="Y315" s="630"/>
      <c r="Z315" s="630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31">
        <v>4680115885837</v>
      </c>
      <c r="E316" s="631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33"/>
      <c r="R316" s="633"/>
      <c r="S316" s="633"/>
      <c r="T316" s="63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31">
        <v>4680115887237</v>
      </c>
      <c r="E317" s="631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33"/>
      <c r="R317" s="633"/>
      <c r="S317" s="633"/>
      <c r="T317" s="63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31">
        <v>4680115885806</v>
      </c>
      <c r="E318" s="631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7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33"/>
      <c r="R318" s="633"/>
      <c r="S318" s="633"/>
      <c r="T318" s="634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31">
        <v>4680115885844</v>
      </c>
      <c r="E319" s="631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33"/>
      <c r="R319" s="633"/>
      <c r="S319" s="633"/>
      <c r="T319" s="63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31">
        <v>4680115885820</v>
      </c>
      <c r="E320" s="631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7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33"/>
      <c r="R320" s="633"/>
      <c r="S320" s="633"/>
      <c r="T320" s="63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638"/>
      <c r="B321" s="638"/>
      <c r="C321" s="638"/>
      <c r="D321" s="638"/>
      <c r="E321" s="638"/>
      <c r="F321" s="638"/>
      <c r="G321" s="638"/>
      <c r="H321" s="638"/>
      <c r="I321" s="638"/>
      <c r="J321" s="638"/>
      <c r="K321" s="638"/>
      <c r="L321" s="638"/>
      <c r="M321" s="638"/>
      <c r="N321" s="638"/>
      <c r="O321" s="639"/>
      <c r="P321" s="635" t="s">
        <v>40</v>
      </c>
      <c r="Q321" s="636"/>
      <c r="R321" s="636"/>
      <c r="S321" s="636"/>
      <c r="T321" s="636"/>
      <c r="U321" s="636"/>
      <c r="V321" s="637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638"/>
      <c r="B322" s="638"/>
      <c r="C322" s="638"/>
      <c r="D322" s="638"/>
      <c r="E322" s="638"/>
      <c r="F322" s="638"/>
      <c r="G322" s="638"/>
      <c r="H322" s="638"/>
      <c r="I322" s="638"/>
      <c r="J322" s="638"/>
      <c r="K322" s="638"/>
      <c r="L322" s="638"/>
      <c r="M322" s="638"/>
      <c r="N322" s="638"/>
      <c r="O322" s="639"/>
      <c r="P322" s="635" t="s">
        <v>40</v>
      </c>
      <c r="Q322" s="636"/>
      <c r="R322" s="636"/>
      <c r="S322" s="636"/>
      <c r="T322" s="636"/>
      <c r="U322" s="636"/>
      <c r="V322" s="637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46" t="s">
        <v>544</v>
      </c>
      <c r="B323" s="646"/>
      <c r="C323" s="646"/>
      <c r="D323" s="646"/>
      <c r="E323" s="646"/>
      <c r="F323" s="646"/>
      <c r="G323" s="646"/>
      <c r="H323" s="646"/>
      <c r="I323" s="646"/>
      <c r="J323" s="646"/>
      <c r="K323" s="646"/>
      <c r="L323" s="646"/>
      <c r="M323" s="646"/>
      <c r="N323" s="646"/>
      <c r="O323" s="646"/>
      <c r="P323" s="646"/>
      <c r="Q323" s="646"/>
      <c r="R323" s="646"/>
      <c r="S323" s="646"/>
      <c r="T323" s="646"/>
      <c r="U323" s="646"/>
      <c r="V323" s="646"/>
      <c r="W323" s="646"/>
      <c r="X323" s="646"/>
      <c r="Y323" s="646"/>
      <c r="Z323" s="646"/>
      <c r="AA323" s="65"/>
      <c r="AB323" s="65"/>
      <c r="AC323" s="79"/>
    </row>
    <row r="324" spans="1:68" ht="14.25" hidden="1" customHeight="1" x14ac:dyDescent="0.25">
      <c r="A324" s="630" t="s">
        <v>86</v>
      </c>
      <c r="B324" s="630"/>
      <c r="C324" s="630"/>
      <c r="D324" s="630"/>
      <c r="E324" s="630"/>
      <c r="F324" s="630"/>
      <c r="G324" s="630"/>
      <c r="H324" s="630"/>
      <c r="I324" s="630"/>
      <c r="J324" s="630"/>
      <c r="K324" s="630"/>
      <c r="L324" s="630"/>
      <c r="M324" s="630"/>
      <c r="N324" s="630"/>
      <c r="O324" s="630"/>
      <c r="P324" s="630"/>
      <c r="Q324" s="630"/>
      <c r="R324" s="630"/>
      <c r="S324" s="630"/>
      <c r="T324" s="630"/>
      <c r="U324" s="630"/>
      <c r="V324" s="630"/>
      <c r="W324" s="630"/>
      <c r="X324" s="630"/>
      <c r="Y324" s="630"/>
      <c r="Z324" s="630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31">
        <v>4680115886186</v>
      </c>
      <c r="E325" s="631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33"/>
      <c r="R325" s="633"/>
      <c r="S325" s="633"/>
      <c r="T325" s="63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548</v>
      </c>
      <c r="B326" s="63" t="s">
        <v>549</v>
      </c>
      <c r="C326" s="36">
        <v>4301051795</v>
      </c>
      <c r="D326" s="631">
        <v>4680115881228</v>
      </c>
      <c r="E326" s="631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33"/>
      <c r="R326" s="633"/>
      <c r="S326" s="633"/>
      <c r="T326" s="63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551</v>
      </c>
      <c r="B327" s="63" t="s">
        <v>552</v>
      </c>
      <c r="C327" s="36">
        <v>4301051388</v>
      </c>
      <c r="D327" s="631">
        <v>4680115881211</v>
      </c>
      <c r="E327" s="631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33"/>
      <c r="R327" s="633"/>
      <c r="S327" s="633"/>
      <c r="T327" s="63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38"/>
      <c r="B328" s="638"/>
      <c r="C328" s="638"/>
      <c r="D328" s="638"/>
      <c r="E328" s="638"/>
      <c r="F328" s="638"/>
      <c r="G328" s="638"/>
      <c r="H328" s="638"/>
      <c r="I328" s="638"/>
      <c r="J328" s="638"/>
      <c r="K328" s="638"/>
      <c r="L328" s="638"/>
      <c r="M328" s="638"/>
      <c r="N328" s="638"/>
      <c r="O328" s="639"/>
      <c r="P328" s="635" t="s">
        <v>40</v>
      </c>
      <c r="Q328" s="636"/>
      <c r="R328" s="636"/>
      <c r="S328" s="636"/>
      <c r="T328" s="636"/>
      <c r="U328" s="636"/>
      <c r="V328" s="637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38"/>
      <c r="B329" s="638"/>
      <c r="C329" s="638"/>
      <c r="D329" s="638"/>
      <c r="E329" s="638"/>
      <c r="F329" s="638"/>
      <c r="G329" s="638"/>
      <c r="H329" s="638"/>
      <c r="I329" s="638"/>
      <c r="J329" s="638"/>
      <c r="K329" s="638"/>
      <c r="L329" s="638"/>
      <c r="M329" s="638"/>
      <c r="N329" s="638"/>
      <c r="O329" s="639"/>
      <c r="P329" s="635" t="s">
        <v>40</v>
      </c>
      <c r="Q329" s="636"/>
      <c r="R329" s="636"/>
      <c r="S329" s="636"/>
      <c r="T329" s="636"/>
      <c r="U329" s="636"/>
      <c r="V329" s="637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46" t="s">
        <v>553</v>
      </c>
      <c r="B330" s="646"/>
      <c r="C330" s="646"/>
      <c r="D330" s="646"/>
      <c r="E330" s="646"/>
      <c r="F330" s="646"/>
      <c r="G330" s="646"/>
      <c r="H330" s="646"/>
      <c r="I330" s="646"/>
      <c r="J330" s="646"/>
      <c r="K330" s="646"/>
      <c r="L330" s="646"/>
      <c r="M330" s="646"/>
      <c r="N330" s="646"/>
      <c r="O330" s="646"/>
      <c r="P330" s="646"/>
      <c r="Q330" s="646"/>
      <c r="R330" s="646"/>
      <c r="S330" s="646"/>
      <c r="T330" s="646"/>
      <c r="U330" s="646"/>
      <c r="V330" s="646"/>
      <c r="W330" s="646"/>
      <c r="X330" s="646"/>
      <c r="Y330" s="646"/>
      <c r="Z330" s="646"/>
      <c r="AA330" s="65"/>
      <c r="AB330" s="65"/>
      <c r="AC330" s="79"/>
    </row>
    <row r="331" spans="1:68" ht="14.25" hidden="1" customHeight="1" x14ac:dyDescent="0.25">
      <c r="A331" s="630" t="s">
        <v>77</v>
      </c>
      <c r="B331" s="630"/>
      <c r="C331" s="630"/>
      <c r="D331" s="630"/>
      <c r="E331" s="630"/>
      <c r="F331" s="630"/>
      <c r="G331" s="630"/>
      <c r="H331" s="630"/>
      <c r="I331" s="630"/>
      <c r="J331" s="630"/>
      <c r="K331" s="630"/>
      <c r="L331" s="630"/>
      <c r="M331" s="630"/>
      <c r="N331" s="630"/>
      <c r="O331" s="630"/>
      <c r="P331" s="630"/>
      <c r="Q331" s="630"/>
      <c r="R331" s="630"/>
      <c r="S331" s="630"/>
      <c r="T331" s="630"/>
      <c r="U331" s="630"/>
      <c r="V331" s="630"/>
      <c r="W331" s="630"/>
      <c r="X331" s="630"/>
      <c r="Y331" s="630"/>
      <c r="Z331" s="630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31">
        <v>4680115888319</v>
      </c>
      <c r="E332" s="631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33"/>
      <c r="R332" s="633"/>
      <c r="S332" s="633"/>
      <c r="T332" s="63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31">
        <v>4680115884700</v>
      </c>
      <c r="E333" s="631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33"/>
      <c r="R333" s="633"/>
      <c r="S333" s="633"/>
      <c r="T333" s="63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31">
        <v>4680115880344</v>
      </c>
      <c r="E334" s="631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33"/>
      <c r="R334" s="633"/>
      <c r="S334" s="633"/>
      <c r="T334" s="634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31">
        <v>4680115886919</v>
      </c>
      <c r="E335" s="631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33"/>
      <c r="R335" s="633"/>
      <c r="S335" s="633"/>
      <c r="T335" s="63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31">
        <v>4680115883970</v>
      </c>
      <c r="E336" s="631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74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33"/>
      <c r="R336" s="633"/>
      <c r="S336" s="633"/>
      <c r="T336" s="63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38"/>
      <c r="B337" s="638"/>
      <c r="C337" s="638"/>
      <c r="D337" s="638"/>
      <c r="E337" s="638"/>
      <c r="F337" s="638"/>
      <c r="G337" s="638"/>
      <c r="H337" s="638"/>
      <c r="I337" s="638"/>
      <c r="J337" s="638"/>
      <c r="K337" s="638"/>
      <c r="L337" s="638"/>
      <c r="M337" s="638"/>
      <c r="N337" s="638"/>
      <c r="O337" s="639"/>
      <c r="P337" s="635" t="s">
        <v>40</v>
      </c>
      <c r="Q337" s="636"/>
      <c r="R337" s="636"/>
      <c r="S337" s="636"/>
      <c r="T337" s="636"/>
      <c r="U337" s="636"/>
      <c r="V337" s="637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38"/>
      <c r="B338" s="638"/>
      <c r="C338" s="638"/>
      <c r="D338" s="638"/>
      <c r="E338" s="638"/>
      <c r="F338" s="638"/>
      <c r="G338" s="638"/>
      <c r="H338" s="638"/>
      <c r="I338" s="638"/>
      <c r="J338" s="638"/>
      <c r="K338" s="638"/>
      <c r="L338" s="638"/>
      <c r="M338" s="638"/>
      <c r="N338" s="638"/>
      <c r="O338" s="639"/>
      <c r="P338" s="635" t="s">
        <v>40</v>
      </c>
      <c r="Q338" s="636"/>
      <c r="R338" s="636"/>
      <c r="S338" s="636"/>
      <c r="T338" s="636"/>
      <c r="U338" s="636"/>
      <c r="V338" s="637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30" t="s">
        <v>86</v>
      </c>
      <c r="B339" s="630"/>
      <c r="C339" s="630"/>
      <c r="D339" s="630"/>
      <c r="E339" s="630"/>
      <c r="F339" s="630"/>
      <c r="G339" s="630"/>
      <c r="H339" s="630"/>
      <c r="I339" s="630"/>
      <c r="J339" s="630"/>
      <c r="K339" s="630"/>
      <c r="L339" s="630"/>
      <c r="M339" s="630"/>
      <c r="N339" s="630"/>
      <c r="O339" s="630"/>
      <c r="P339" s="630"/>
      <c r="Q339" s="630"/>
      <c r="R339" s="630"/>
      <c r="S339" s="630"/>
      <c r="T339" s="630"/>
      <c r="U339" s="630"/>
      <c r="V339" s="630"/>
      <c r="W339" s="630"/>
      <c r="X339" s="630"/>
      <c r="Y339" s="630"/>
      <c r="Z339" s="630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31">
        <v>4680115884618</v>
      </c>
      <c r="E340" s="631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33"/>
      <c r="R340" s="633"/>
      <c r="S340" s="633"/>
      <c r="T340" s="63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31">
        <v>4680115887114</v>
      </c>
      <c r="E341" s="631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33"/>
      <c r="R341" s="633"/>
      <c r="S341" s="633"/>
      <c r="T341" s="63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8"/>
      <c r="B342" s="638"/>
      <c r="C342" s="638"/>
      <c r="D342" s="638"/>
      <c r="E342" s="638"/>
      <c r="F342" s="638"/>
      <c r="G342" s="638"/>
      <c r="H342" s="638"/>
      <c r="I342" s="638"/>
      <c r="J342" s="638"/>
      <c r="K342" s="638"/>
      <c r="L342" s="638"/>
      <c r="M342" s="638"/>
      <c r="N342" s="638"/>
      <c r="O342" s="639"/>
      <c r="P342" s="635" t="s">
        <v>40</v>
      </c>
      <c r="Q342" s="636"/>
      <c r="R342" s="636"/>
      <c r="S342" s="636"/>
      <c r="T342" s="636"/>
      <c r="U342" s="636"/>
      <c r="V342" s="637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638"/>
      <c r="B343" s="638"/>
      <c r="C343" s="638"/>
      <c r="D343" s="638"/>
      <c r="E343" s="638"/>
      <c r="F343" s="638"/>
      <c r="G343" s="638"/>
      <c r="H343" s="638"/>
      <c r="I343" s="638"/>
      <c r="J343" s="638"/>
      <c r="K343" s="638"/>
      <c r="L343" s="638"/>
      <c r="M343" s="638"/>
      <c r="N343" s="638"/>
      <c r="O343" s="639"/>
      <c r="P343" s="635" t="s">
        <v>40</v>
      </c>
      <c r="Q343" s="636"/>
      <c r="R343" s="636"/>
      <c r="S343" s="636"/>
      <c r="T343" s="636"/>
      <c r="U343" s="636"/>
      <c r="V343" s="637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6" t="s">
        <v>574</v>
      </c>
      <c r="B344" s="646"/>
      <c r="C344" s="646"/>
      <c r="D344" s="646"/>
      <c r="E344" s="646"/>
      <c r="F344" s="646"/>
      <c r="G344" s="646"/>
      <c r="H344" s="646"/>
      <c r="I344" s="646"/>
      <c r="J344" s="646"/>
      <c r="K344" s="646"/>
      <c r="L344" s="646"/>
      <c r="M344" s="646"/>
      <c r="N344" s="646"/>
      <c r="O344" s="646"/>
      <c r="P344" s="646"/>
      <c r="Q344" s="646"/>
      <c r="R344" s="646"/>
      <c r="S344" s="646"/>
      <c r="T344" s="646"/>
      <c r="U344" s="646"/>
      <c r="V344" s="646"/>
      <c r="W344" s="646"/>
      <c r="X344" s="646"/>
      <c r="Y344" s="646"/>
      <c r="Z344" s="646"/>
      <c r="AA344" s="65"/>
      <c r="AB344" s="65"/>
      <c r="AC344" s="79"/>
    </row>
    <row r="345" spans="1:68" ht="14.25" hidden="1" customHeight="1" x14ac:dyDescent="0.25">
      <c r="A345" s="630" t="s">
        <v>128</v>
      </c>
      <c r="B345" s="630"/>
      <c r="C345" s="630"/>
      <c r="D345" s="630"/>
      <c r="E345" s="630"/>
      <c r="F345" s="630"/>
      <c r="G345" s="630"/>
      <c r="H345" s="630"/>
      <c r="I345" s="630"/>
      <c r="J345" s="630"/>
      <c r="K345" s="630"/>
      <c r="L345" s="630"/>
      <c r="M345" s="630"/>
      <c r="N345" s="630"/>
      <c r="O345" s="630"/>
      <c r="P345" s="630"/>
      <c r="Q345" s="630"/>
      <c r="R345" s="630"/>
      <c r="S345" s="630"/>
      <c r="T345" s="630"/>
      <c r="U345" s="630"/>
      <c r="V345" s="630"/>
      <c r="W345" s="630"/>
      <c r="X345" s="630"/>
      <c r="Y345" s="630"/>
      <c r="Z345" s="630"/>
      <c r="AA345" s="66"/>
      <c r="AB345" s="66"/>
      <c r="AC345" s="80"/>
    </row>
    <row r="346" spans="1:68" ht="27" hidden="1" customHeight="1" x14ac:dyDescent="0.25">
      <c r="A346" s="63" t="s">
        <v>575</v>
      </c>
      <c r="B346" s="63" t="s">
        <v>576</v>
      </c>
      <c r="C346" s="36">
        <v>4301012324</v>
      </c>
      <c r="D346" s="631">
        <v>4680115887947</v>
      </c>
      <c r="E346" s="631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33"/>
      <c r="R346" s="633"/>
      <c r="S346" s="633"/>
      <c r="T346" s="63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4301012325</v>
      </c>
      <c r="D347" s="631">
        <v>4680115887978</v>
      </c>
      <c r="E347" s="631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33"/>
      <c r="R347" s="633"/>
      <c r="S347" s="633"/>
      <c r="T347" s="63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4301012327</v>
      </c>
      <c r="D348" s="631">
        <v>4680115887992</v>
      </c>
      <c r="E348" s="631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33"/>
      <c r="R348" s="633"/>
      <c r="S348" s="633"/>
      <c r="T348" s="634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8"/>
      <c r="B349" s="638"/>
      <c r="C349" s="638"/>
      <c r="D349" s="638"/>
      <c r="E349" s="638"/>
      <c r="F349" s="638"/>
      <c r="G349" s="638"/>
      <c r="H349" s="638"/>
      <c r="I349" s="638"/>
      <c r="J349" s="638"/>
      <c r="K349" s="638"/>
      <c r="L349" s="638"/>
      <c r="M349" s="638"/>
      <c r="N349" s="638"/>
      <c r="O349" s="639"/>
      <c r="P349" s="635" t="s">
        <v>40</v>
      </c>
      <c r="Q349" s="636"/>
      <c r="R349" s="636"/>
      <c r="S349" s="636"/>
      <c r="T349" s="636"/>
      <c r="U349" s="636"/>
      <c r="V349" s="637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8"/>
      <c r="B350" s="638"/>
      <c r="C350" s="638"/>
      <c r="D350" s="638"/>
      <c r="E350" s="638"/>
      <c r="F350" s="638"/>
      <c r="G350" s="638"/>
      <c r="H350" s="638"/>
      <c r="I350" s="638"/>
      <c r="J350" s="638"/>
      <c r="K350" s="638"/>
      <c r="L350" s="638"/>
      <c r="M350" s="638"/>
      <c r="N350" s="638"/>
      <c r="O350" s="639"/>
      <c r="P350" s="635" t="s">
        <v>40</v>
      </c>
      <c r="Q350" s="636"/>
      <c r="R350" s="636"/>
      <c r="S350" s="636"/>
      <c r="T350" s="636"/>
      <c r="U350" s="636"/>
      <c r="V350" s="637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6" t="s">
        <v>583</v>
      </c>
      <c r="B351" s="646"/>
      <c r="C351" s="646"/>
      <c r="D351" s="646"/>
      <c r="E351" s="646"/>
      <c r="F351" s="646"/>
      <c r="G351" s="646"/>
      <c r="H351" s="646"/>
      <c r="I351" s="646"/>
      <c r="J351" s="646"/>
      <c r="K351" s="646"/>
      <c r="L351" s="646"/>
      <c r="M351" s="646"/>
      <c r="N351" s="646"/>
      <c r="O351" s="646"/>
      <c r="P351" s="646"/>
      <c r="Q351" s="646"/>
      <c r="R351" s="646"/>
      <c r="S351" s="646"/>
      <c r="T351" s="646"/>
      <c r="U351" s="646"/>
      <c r="V351" s="646"/>
      <c r="W351" s="646"/>
      <c r="X351" s="646"/>
      <c r="Y351" s="646"/>
      <c r="Z351" s="646"/>
      <c r="AA351" s="65"/>
      <c r="AB351" s="65"/>
      <c r="AC351" s="79"/>
    </row>
    <row r="352" spans="1:68" ht="14.25" hidden="1" customHeight="1" x14ac:dyDescent="0.25">
      <c r="A352" s="630" t="s">
        <v>128</v>
      </c>
      <c r="B352" s="630"/>
      <c r="C352" s="630"/>
      <c r="D352" s="630"/>
      <c r="E352" s="630"/>
      <c r="F352" s="630"/>
      <c r="G352" s="630"/>
      <c r="H352" s="630"/>
      <c r="I352" s="630"/>
      <c r="J352" s="630"/>
      <c r="K352" s="630"/>
      <c r="L352" s="630"/>
      <c r="M352" s="630"/>
      <c r="N352" s="630"/>
      <c r="O352" s="630"/>
      <c r="P352" s="630"/>
      <c r="Q352" s="630"/>
      <c r="R352" s="630"/>
      <c r="S352" s="630"/>
      <c r="T352" s="630"/>
      <c r="U352" s="630"/>
      <c r="V352" s="630"/>
      <c r="W352" s="630"/>
      <c r="X352" s="630"/>
      <c r="Y352" s="630"/>
      <c r="Z352" s="630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4301012126</v>
      </c>
      <c r="D353" s="631">
        <v>4607091386004</v>
      </c>
      <c r="E353" s="631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7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33"/>
      <c r="R353" s="633"/>
      <c r="S353" s="633"/>
      <c r="T353" s="634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31">
        <v>4680115887190</v>
      </c>
      <c r="E354" s="631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33"/>
      <c r="R354" s="633"/>
      <c r="S354" s="633"/>
      <c r="T354" s="634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31">
        <v>4680115887138</v>
      </c>
      <c r="E355" s="631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73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33"/>
      <c r="R355" s="633"/>
      <c r="S355" s="633"/>
      <c r="T355" s="634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31">
        <v>4680115885554</v>
      </c>
      <c r="E356" s="631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7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33"/>
      <c r="R356" s="633"/>
      <c r="S356" s="633"/>
      <c r="T356" s="634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31">
        <v>4680115887220</v>
      </c>
      <c r="E357" s="631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73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33"/>
      <c r="R357" s="633"/>
      <c r="S357" s="633"/>
      <c r="T357" s="634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31">
        <v>4680115885608</v>
      </c>
      <c r="E358" s="631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73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33"/>
      <c r="R358" s="633"/>
      <c r="S358" s="633"/>
      <c r="T358" s="634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638"/>
      <c r="B359" s="638"/>
      <c r="C359" s="638"/>
      <c r="D359" s="638"/>
      <c r="E359" s="638"/>
      <c r="F359" s="638"/>
      <c r="G359" s="638"/>
      <c r="H359" s="638"/>
      <c r="I359" s="638"/>
      <c r="J359" s="638"/>
      <c r="K359" s="638"/>
      <c r="L359" s="638"/>
      <c r="M359" s="638"/>
      <c r="N359" s="638"/>
      <c r="O359" s="639"/>
      <c r="P359" s="635" t="s">
        <v>40</v>
      </c>
      <c r="Q359" s="636"/>
      <c r="R359" s="636"/>
      <c r="S359" s="636"/>
      <c r="T359" s="636"/>
      <c r="U359" s="636"/>
      <c r="V359" s="637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38"/>
      <c r="B360" s="638"/>
      <c r="C360" s="638"/>
      <c r="D360" s="638"/>
      <c r="E360" s="638"/>
      <c r="F360" s="638"/>
      <c r="G360" s="638"/>
      <c r="H360" s="638"/>
      <c r="I360" s="638"/>
      <c r="J360" s="638"/>
      <c r="K360" s="638"/>
      <c r="L360" s="638"/>
      <c r="M360" s="638"/>
      <c r="N360" s="638"/>
      <c r="O360" s="639"/>
      <c r="P360" s="635" t="s">
        <v>40</v>
      </c>
      <c r="Q360" s="636"/>
      <c r="R360" s="636"/>
      <c r="S360" s="636"/>
      <c r="T360" s="636"/>
      <c r="U360" s="636"/>
      <c r="V360" s="637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30" t="s">
        <v>77</v>
      </c>
      <c r="B361" s="630"/>
      <c r="C361" s="630"/>
      <c r="D361" s="630"/>
      <c r="E361" s="630"/>
      <c r="F361" s="630"/>
      <c r="G361" s="630"/>
      <c r="H361" s="630"/>
      <c r="I361" s="630"/>
      <c r="J361" s="630"/>
      <c r="K361" s="630"/>
      <c r="L361" s="630"/>
      <c r="M361" s="630"/>
      <c r="N361" s="630"/>
      <c r="O361" s="630"/>
      <c r="P361" s="630"/>
      <c r="Q361" s="630"/>
      <c r="R361" s="630"/>
      <c r="S361" s="630"/>
      <c r="T361" s="630"/>
      <c r="U361" s="630"/>
      <c r="V361" s="630"/>
      <c r="W361" s="630"/>
      <c r="X361" s="630"/>
      <c r="Y361" s="630"/>
      <c r="Z361" s="630"/>
      <c r="AA361" s="66"/>
      <c r="AB361" s="66"/>
      <c r="AC361" s="80"/>
    </row>
    <row r="362" spans="1:68" ht="27" hidden="1" customHeight="1" x14ac:dyDescent="0.25">
      <c r="A362" s="63" t="s">
        <v>601</v>
      </c>
      <c r="B362" s="63" t="s">
        <v>602</v>
      </c>
      <c r="C362" s="36">
        <v>4301030878</v>
      </c>
      <c r="D362" s="631">
        <v>4607091387193</v>
      </c>
      <c r="E362" s="631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73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33"/>
      <c r="R362" s="633"/>
      <c r="S362" s="633"/>
      <c r="T362" s="63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31">
        <v>4607091387230</v>
      </c>
      <c r="E363" s="631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33"/>
      <c r="R363" s="633"/>
      <c r="S363" s="633"/>
      <c r="T363" s="63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31">
        <v>4607091387292</v>
      </c>
      <c r="E364" s="631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7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33"/>
      <c r="R364" s="633"/>
      <c r="S364" s="633"/>
      <c r="T364" s="63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31">
        <v>4607091387285</v>
      </c>
      <c r="E365" s="631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33"/>
      <c r="R365" s="633"/>
      <c r="S365" s="633"/>
      <c r="T365" s="63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4301031305</v>
      </c>
      <c r="D366" s="631">
        <v>4607091389845</v>
      </c>
      <c r="E366" s="631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33"/>
      <c r="R366" s="633"/>
      <c r="S366" s="633"/>
      <c r="T366" s="634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7"/>
        <v>0</v>
      </c>
      <c r="Z366" s="41" t="str">
        <f>IFERROR(IF(Y366=0,"",ROUNDUP(Y366/H366,0)*0.00502),"")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0</v>
      </c>
      <c r="BN366" s="78">
        <f t="shared" si="49"/>
        <v>0</v>
      </c>
      <c r="BO366" s="78">
        <f t="shared" si="50"/>
        <v>0</v>
      </c>
      <c r="BP366" s="78">
        <f t="shared" si="51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31">
        <v>4680115887442</v>
      </c>
      <c r="E367" s="631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33"/>
      <c r="R367" s="633"/>
      <c r="S367" s="633"/>
      <c r="T367" s="63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4301031066</v>
      </c>
      <c r="D368" s="631">
        <v>4607091383836</v>
      </c>
      <c r="E368" s="631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33"/>
      <c r="R368" s="633"/>
      <c r="S368" s="633"/>
      <c r="T368" s="63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7"/>
        <v>0</v>
      </c>
      <c r="Z368" s="41" t="str">
        <f>IFERROR(IF(Y368=0,"",ROUNDUP(Y368/H368,0)*0.00651),"")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0</v>
      </c>
      <c r="BN368" s="78">
        <f t="shared" si="49"/>
        <v>0</v>
      </c>
      <c r="BO368" s="78">
        <f t="shared" si="50"/>
        <v>0</v>
      </c>
      <c r="BP368" s="78">
        <f t="shared" si="51"/>
        <v>0</v>
      </c>
    </row>
    <row r="369" spans="1:68" hidden="1" x14ac:dyDescent="0.2">
      <c r="A369" s="638"/>
      <c r="B369" s="638"/>
      <c r="C369" s="638"/>
      <c r="D369" s="638"/>
      <c r="E369" s="638"/>
      <c r="F369" s="638"/>
      <c r="G369" s="638"/>
      <c r="H369" s="638"/>
      <c r="I369" s="638"/>
      <c r="J369" s="638"/>
      <c r="K369" s="638"/>
      <c r="L369" s="638"/>
      <c r="M369" s="638"/>
      <c r="N369" s="638"/>
      <c r="O369" s="639"/>
      <c r="P369" s="635" t="s">
        <v>40</v>
      </c>
      <c r="Q369" s="636"/>
      <c r="R369" s="636"/>
      <c r="S369" s="636"/>
      <c r="T369" s="636"/>
      <c r="U369" s="636"/>
      <c r="V369" s="637"/>
      <c r="W369" s="42" t="s">
        <v>39</v>
      </c>
      <c r="X369" s="43">
        <f>IFERROR(X362/H362,"0")+IFERROR(X363/H363,"0")+IFERROR(X364/H364,"0")+IFERROR(X365/H365,"0")+IFERROR(X366/H366,"0")+IFERROR(X367/H367,"0")+IFERROR(X368/H368,"0")</f>
        <v>0</v>
      </c>
      <c r="Y369" s="43">
        <f>IFERROR(Y362/H362,"0")+IFERROR(Y363/H363,"0")+IFERROR(Y364/H364,"0")+IFERROR(Y365/H365,"0")+IFERROR(Y366/H366,"0")+IFERROR(Y367/H367,"0")+IFERROR(Y368/H368,"0")</f>
        <v>0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638"/>
      <c r="B370" s="638"/>
      <c r="C370" s="638"/>
      <c r="D370" s="638"/>
      <c r="E370" s="638"/>
      <c r="F370" s="638"/>
      <c r="G370" s="638"/>
      <c r="H370" s="638"/>
      <c r="I370" s="638"/>
      <c r="J370" s="638"/>
      <c r="K370" s="638"/>
      <c r="L370" s="638"/>
      <c r="M370" s="638"/>
      <c r="N370" s="638"/>
      <c r="O370" s="639"/>
      <c r="P370" s="635" t="s">
        <v>40</v>
      </c>
      <c r="Q370" s="636"/>
      <c r="R370" s="636"/>
      <c r="S370" s="636"/>
      <c r="T370" s="636"/>
      <c r="U370" s="636"/>
      <c r="V370" s="637"/>
      <c r="W370" s="42" t="s">
        <v>0</v>
      </c>
      <c r="X370" s="43">
        <f>IFERROR(SUM(X362:X368),"0")</f>
        <v>0</v>
      </c>
      <c r="Y370" s="43">
        <f>IFERROR(SUM(Y362:Y368),"0")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630" t="s">
        <v>86</v>
      </c>
      <c r="B371" s="630"/>
      <c r="C371" s="630"/>
      <c r="D371" s="630"/>
      <c r="E371" s="630"/>
      <c r="F371" s="630"/>
      <c r="G371" s="630"/>
      <c r="H371" s="630"/>
      <c r="I371" s="630"/>
      <c r="J371" s="630"/>
      <c r="K371" s="630"/>
      <c r="L371" s="630"/>
      <c r="M371" s="630"/>
      <c r="N371" s="630"/>
      <c r="O371" s="630"/>
      <c r="P371" s="630"/>
      <c r="Q371" s="630"/>
      <c r="R371" s="630"/>
      <c r="S371" s="630"/>
      <c r="T371" s="630"/>
      <c r="U371" s="630"/>
      <c r="V371" s="630"/>
      <c r="W371" s="630"/>
      <c r="X371" s="630"/>
      <c r="Y371" s="630"/>
      <c r="Z371" s="630"/>
      <c r="AA371" s="66"/>
      <c r="AB371" s="66"/>
      <c r="AC371" s="80"/>
    </row>
    <row r="372" spans="1:68" ht="27" customHeight="1" x14ac:dyDescent="0.25">
      <c r="A372" s="63" t="s">
        <v>620</v>
      </c>
      <c r="B372" s="63" t="s">
        <v>621</v>
      </c>
      <c r="C372" s="36">
        <v>4301051100</v>
      </c>
      <c r="D372" s="631">
        <v>4607091387766</v>
      </c>
      <c r="E372" s="631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33"/>
      <c r="R372" s="633"/>
      <c r="S372" s="633"/>
      <c r="T372" s="634"/>
      <c r="U372" s="39" t="s">
        <v>46</v>
      </c>
      <c r="V372" s="39" t="s">
        <v>46</v>
      </c>
      <c r="W372" s="40" t="s">
        <v>0</v>
      </c>
      <c r="X372" s="58">
        <v>2500</v>
      </c>
      <c r="Y372" s="55">
        <f>IFERROR(IF(X372="",0,CEILING((X372/$H372),1)*$H372),"")</f>
        <v>2503.7999999999997</v>
      </c>
      <c r="Z372" s="41">
        <f>IFERROR(IF(Y372=0,"",ROUNDUP(Y372/H372,0)*0.01898),"")</f>
        <v>6.0925799999999999</v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2656.4102564102564</v>
      </c>
      <c r="BN372" s="78">
        <f>IFERROR(Y372*I372/H372,"0")</f>
        <v>2660.4479999999999</v>
      </c>
      <c r="BO372" s="78">
        <f>IFERROR(1/J372*(X372/H372),"0")</f>
        <v>5.0080128205128203</v>
      </c>
      <c r="BP372" s="78">
        <f>IFERROR(1/J372*(Y372/H372),"0")</f>
        <v>5.015625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31">
        <v>4607091387957</v>
      </c>
      <c r="E373" s="631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33"/>
      <c r="R373" s="633"/>
      <c r="S373" s="633"/>
      <c r="T373" s="634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31">
        <v>4607091387964</v>
      </c>
      <c r="E374" s="631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33"/>
      <c r="R374" s="633"/>
      <c r="S374" s="633"/>
      <c r="T374" s="634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31">
        <v>4680115884588</v>
      </c>
      <c r="E375" s="631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72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33"/>
      <c r="R375" s="633"/>
      <c r="S375" s="633"/>
      <c r="T375" s="634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x14ac:dyDescent="0.2">
      <c r="A376" s="638"/>
      <c r="B376" s="638"/>
      <c r="C376" s="638"/>
      <c r="D376" s="638"/>
      <c r="E376" s="638"/>
      <c r="F376" s="638"/>
      <c r="G376" s="638"/>
      <c r="H376" s="638"/>
      <c r="I376" s="638"/>
      <c r="J376" s="638"/>
      <c r="K376" s="638"/>
      <c r="L376" s="638"/>
      <c r="M376" s="638"/>
      <c r="N376" s="638"/>
      <c r="O376" s="639"/>
      <c r="P376" s="635" t="s">
        <v>40</v>
      </c>
      <c r="Q376" s="636"/>
      <c r="R376" s="636"/>
      <c r="S376" s="636"/>
      <c r="T376" s="636"/>
      <c r="U376" s="636"/>
      <c r="V376" s="637"/>
      <c r="W376" s="42" t="s">
        <v>39</v>
      </c>
      <c r="X376" s="43">
        <f>IFERROR(X372/H372,"0")+IFERROR(X373/H373,"0")+IFERROR(X374/H374,"0")+IFERROR(X375/H375,"0")</f>
        <v>320.5128205128205</v>
      </c>
      <c r="Y376" s="43">
        <f>IFERROR(Y372/H372,"0")+IFERROR(Y373/H373,"0")+IFERROR(Y374/H374,"0")+IFERROR(Y375/H375,"0")</f>
        <v>321</v>
      </c>
      <c r="Z376" s="43">
        <f>IFERROR(IF(Z372="",0,Z372),"0")+IFERROR(IF(Z373="",0,Z373),"0")+IFERROR(IF(Z374="",0,Z374),"0")+IFERROR(IF(Z375="",0,Z375),"0")</f>
        <v>6.0925799999999999</v>
      </c>
      <c r="AA376" s="67"/>
      <c r="AB376" s="67"/>
      <c r="AC376" s="67"/>
    </row>
    <row r="377" spans="1:68" x14ac:dyDescent="0.2">
      <c r="A377" s="638"/>
      <c r="B377" s="638"/>
      <c r="C377" s="638"/>
      <c r="D377" s="638"/>
      <c r="E377" s="638"/>
      <c r="F377" s="638"/>
      <c r="G377" s="638"/>
      <c r="H377" s="638"/>
      <c r="I377" s="638"/>
      <c r="J377" s="638"/>
      <c r="K377" s="638"/>
      <c r="L377" s="638"/>
      <c r="M377" s="638"/>
      <c r="N377" s="638"/>
      <c r="O377" s="639"/>
      <c r="P377" s="635" t="s">
        <v>40</v>
      </c>
      <c r="Q377" s="636"/>
      <c r="R377" s="636"/>
      <c r="S377" s="636"/>
      <c r="T377" s="636"/>
      <c r="U377" s="636"/>
      <c r="V377" s="637"/>
      <c r="W377" s="42" t="s">
        <v>0</v>
      </c>
      <c r="X377" s="43">
        <f>IFERROR(SUM(X372:X375),"0")</f>
        <v>2500</v>
      </c>
      <c r="Y377" s="43">
        <f>IFERROR(SUM(Y372:Y375),"0")</f>
        <v>2503.7999999999997</v>
      </c>
      <c r="Z377" s="42"/>
      <c r="AA377" s="67"/>
      <c r="AB377" s="67"/>
      <c r="AC377" s="67"/>
    </row>
    <row r="378" spans="1:68" ht="14.25" hidden="1" customHeight="1" x14ac:dyDescent="0.25">
      <c r="A378" s="630" t="s">
        <v>181</v>
      </c>
      <c r="B378" s="630"/>
      <c r="C378" s="630"/>
      <c r="D378" s="630"/>
      <c r="E378" s="630"/>
      <c r="F378" s="630"/>
      <c r="G378" s="630"/>
      <c r="H378" s="630"/>
      <c r="I378" s="630"/>
      <c r="J378" s="630"/>
      <c r="K378" s="630"/>
      <c r="L378" s="630"/>
      <c r="M378" s="630"/>
      <c r="N378" s="630"/>
      <c r="O378" s="630"/>
      <c r="P378" s="630"/>
      <c r="Q378" s="630"/>
      <c r="R378" s="630"/>
      <c r="S378" s="630"/>
      <c r="T378" s="630"/>
      <c r="U378" s="630"/>
      <c r="V378" s="630"/>
      <c r="W378" s="630"/>
      <c r="X378" s="630"/>
      <c r="Y378" s="630"/>
      <c r="Z378" s="630"/>
      <c r="AA378" s="66"/>
      <c r="AB378" s="66"/>
      <c r="AC378" s="80"/>
    </row>
    <row r="379" spans="1:68" ht="27" hidden="1" customHeight="1" x14ac:dyDescent="0.25">
      <c r="A379" s="63" t="s">
        <v>631</v>
      </c>
      <c r="B379" s="63" t="s">
        <v>632</v>
      </c>
      <c r="C379" s="36">
        <v>4301060387</v>
      </c>
      <c r="D379" s="631">
        <v>4607091380880</v>
      </c>
      <c r="E379" s="631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71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33"/>
      <c r="R379" s="633"/>
      <c r="S379" s="633"/>
      <c r="T379" s="63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634</v>
      </c>
      <c r="B380" s="63" t="s">
        <v>635</v>
      </c>
      <c r="C380" s="36">
        <v>4301060406</v>
      </c>
      <c r="D380" s="631">
        <v>4607091384482</v>
      </c>
      <c r="E380" s="631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72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33"/>
      <c r="R380" s="633"/>
      <c r="S380" s="633"/>
      <c r="T380" s="63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16.5" hidden="1" customHeight="1" x14ac:dyDescent="0.25">
      <c r="A381" s="63" t="s">
        <v>637</v>
      </c>
      <c r="B381" s="63" t="s">
        <v>638</v>
      </c>
      <c r="C381" s="36">
        <v>4301060484</v>
      </c>
      <c r="D381" s="631">
        <v>4607091380897</v>
      </c>
      <c r="E381" s="631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72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33"/>
      <c r="R381" s="633"/>
      <c r="S381" s="633"/>
      <c r="T381" s="63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638"/>
      <c r="B382" s="638"/>
      <c r="C382" s="638"/>
      <c r="D382" s="638"/>
      <c r="E382" s="638"/>
      <c r="F382" s="638"/>
      <c r="G382" s="638"/>
      <c r="H382" s="638"/>
      <c r="I382" s="638"/>
      <c r="J382" s="638"/>
      <c r="K382" s="638"/>
      <c r="L382" s="638"/>
      <c r="M382" s="638"/>
      <c r="N382" s="638"/>
      <c r="O382" s="639"/>
      <c r="P382" s="635" t="s">
        <v>40</v>
      </c>
      <c r="Q382" s="636"/>
      <c r="R382" s="636"/>
      <c r="S382" s="636"/>
      <c r="T382" s="636"/>
      <c r="U382" s="636"/>
      <c r="V382" s="637"/>
      <c r="W382" s="42" t="s">
        <v>39</v>
      </c>
      <c r="X382" s="43">
        <f>IFERROR(X379/H379,"0")+IFERROR(X380/H380,"0")+IFERROR(X381/H381,"0")</f>
        <v>0</v>
      </c>
      <c r="Y382" s="43">
        <f>IFERROR(Y379/H379,"0")+IFERROR(Y380/H380,"0")+IFERROR(Y381/H381,"0")</f>
        <v>0</v>
      </c>
      <c r="Z382" s="43">
        <f>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38"/>
      <c r="B383" s="638"/>
      <c r="C383" s="638"/>
      <c r="D383" s="638"/>
      <c r="E383" s="638"/>
      <c r="F383" s="638"/>
      <c r="G383" s="638"/>
      <c r="H383" s="638"/>
      <c r="I383" s="638"/>
      <c r="J383" s="638"/>
      <c r="K383" s="638"/>
      <c r="L383" s="638"/>
      <c r="M383" s="638"/>
      <c r="N383" s="638"/>
      <c r="O383" s="639"/>
      <c r="P383" s="635" t="s">
        <v>40</v>
      </c>
      <c r="Q383" s="636"/>
      <c r="R383" s="636"/>
      <c r="S383" s="636"/>
      <c r="T383" s="636"/>
      <c r="U383" s="636"/>
      <c r="V383" s="637"/>
      <c r="W383" s="42" t="s">
        <v>0</v>
      </c>
      <c r="X383" s="43">
        <f>IFERROR(SUM(X379:X381),"0")</f>
        <v>0</v>
      </c>
      <c r="Y383" s="43">
        <f>IFERROR(SUM(Y379:Y381),"0")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30" t="s">
        <v>104</v>
      </c>
      <c r="B384" s="630"/>
      <c r="C384" s="630"/>
      <c r="D384" s="630"/>
      <c r="E384" s="630"/>
      <c r="F384" s="630"/>
      <c r="G384" s="630"/>
      <c r="H384" s="630"/>
      <c r="I384" s="630"/>
      <c r="J384" s="630"/>
      <c r="K384" s="630"/>
      <c r="L384" s="630"/>
      <c r="M384" s="630"/>
      <c r="N384" s="630"/>
      <c r="O384" s="630"/>
      <c r="P384" s="630"/>
      <c r="Q384" s="630"/>
      <c r="R384" s="630"/>
      <c r="S384" s="630"/>
      <c r="T384" s="630"/>
      <c r="U384" s="630"/>
      <c r="V384" s="630"/>
      <c r="W384" s="630"/>
      <c r="X384" s="630"/>
      <c r="Y384" s="630"/>
      <c r="Z384" s="630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31">
        <v>4607091388381</v>
      </c>
      <c r="E385" s="631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71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33"/>
      <c r="R385" s="633"/>
      <c r="S385" s="633"/>
      <c r="T385" s="63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31">
        <v>4607091388374</v>
      </c>
      <c r="E386" s="631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33"/>
      <c r="R386" s="633"/>
      <c r="S386" s="633"/>
      <c r="T386" s="634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4301032015</v>
      </c>
      <c r="D387" s="631">
        <v>4607091383102</v>
      </c>
      <c r="E387" s="631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33"/>
      <c r="R387" s="633"/>
      <c r="S387" s="633"/>
      <c r="T387" s="63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647</v>
      </c>
      <c r="B388" s="63" t="s">
        <v>648</v>
      </c>
      <c r="C388" s="36">
        <v>4301030233</v>
      </c>
      <c r="D388" s="631">
        <v>4607091388404</v>
      </c>
      <c r="E388" s="631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33"/>
      <c r="R388" s="633"/>
      <c r="S388" s="633"/>
      <c r="T388" s="634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38"/>
      <c r="B389" s="638"/>
      <c r="C389" s="638"/>
      <c r="D389" s="638"/>
      <c r="E389" s="638"/>
      <c r="F389" s="638"/>
      <c r="G389" s="638"/>
      <c r="H389" s="638"/>
      <c r="I389" s="638"/>
      <c r="J389" s="638"/>
      <c r="K389" s="638"/>
      <c r="L389" s="638"/>
      <c r="M389" s="638"/>
      <c r="N389" s="638"/>
      <c r="O389" s="639"/>
      <c r="P389" s="635" t="s">
        <v>40</v>
      </c>
      <c r="Q389" s="636"/>
      <c r="R389" s="636"/>
      <c r="S389" s="636"/>
      <c r="T389" s="636"/>
      <c r="U389" s="636"/>
      <c r="V389" s="637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38"/>
      <c r="B390" s="638"/>
      <c r="C390" s="638"/>
      <c r="D390" s="638"/>
      <c r="E390" s="638"/>
      <c r="F390" s="638"/>
      <c r="G390" s="638"/>
      <c r="H390" s="638"/>
      <c r="I390" s="638"/>
      <c r="J390" s="638"/>
      <c r="K390" s="638"/>
      <c r="L390" s="638"/>
      <c r="M390" s="638"/>
      <c r="N390" s="638"/>
      <c r="O390" s="639"/>
      <c r="P390" s="635" t="s">
        <v>40</v>
      </c>
      <c r="Q390" s="636"/>
      <c r="R390" s="636"/>
      <c r="S390" s="636"/>
      <c r="T390" s="636"/>
      <c r="U390" s="636"/>
      <c r="V390" s="637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30" t="s">
        <v>649</v>
      </c>
      <c r="B391" s="630"/>
      <c r="C391" s="630"/>
      <c r="D391" s="630"/>
      <c r="E391" s="630"/>
      <c r="F391" s="630"/>
      <c r="G391" s="630"/>
      <c r="H391" s="630"/>
      <c r="I391" s="630"/>
      <c r="J391" s="630"/>
      <c r="K391" s="630"/>
      <c r="L391" s="630"/>
      <c r="M391" s="630"/>
      <c r="N391" s="630"/>
      <c r="O391" s="630"/>
      <c r="P391" s="630"/>
      <c r="Q391" s="630"/>
      <c r="R391" s="630"/>
      <c r="S391" s="630"/>
      <c r="T391" s="630"/>
      <c r="U391" s="630"/>
      <c r="V391" s="630"/>
      <c r="W391" s="630"/>
      <c r="X391" s="630"/>
      <c r="Y391" s="630"/>
      <c r="Z391" s="630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31">
        <v>4680115881808</v>
      </c>
      <c r="E392" s="631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7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33"/>
      <c r="R392" s="633"/>
      <c r="S392" s="633"/>
      <c r="T392" s="63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31">
        <v>4680115881822</v>
      </c>
      <c r="E393" s="631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33"/>
      <c r="R393" s="633"/>
      <c r="S393" s="633"/>
      <c r="T393" s="63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31">
        <v>4680115880016</v>
      </c>
      <c r="E394" s="631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33"/>
      <c r="R394" s="633"/>
      <c r="S394" s="633"/>
      <c r="T394" s="63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38"/>
      <c r="B395" s="638"/>
      <c r="C395" s="638"/>
      <c r="D395" s="638"/>
      <c r="E395" s="638"/>
      <c r="F395" s="638"/>
      <c r="G395" s="638"/>
      <c r="H395" s="638"/>
      <c r="I395" s="638"/>
      <c r="J395" s="638"/>
      <c r="K395" s="638"/>
      <c r="L395" s="638"/>
      <c r="M395" s="638"/>
      <c r="N395" s="638"/>
      <c r="O395" s="639"/>
      <c r="P395" s="635" t="s">
        <v>40</v>
      </c>
      <c r="Q395" s="636"/>
      <c r="R395" s="636"/>
      <c r="S395" s="636"/>
      <c r="T395" s="636"/>
      <c r="U395" s="636"/>
      <c r="V395" s="637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38"/>
      <c r="B396" s="638"/>
      <c r="C396" s="638"/>
      <c r="D396" s="638"/>
      <c r="E396" s="638"/>
      <c r="F396" s="638"/>
      <c r="G396" s="638"/>
      <c r="H396" s="638"/>
      <c r="I396" s="638"/>
      <c r="J396" s="638"/>
      <c r="K396" s="638"/>
      <c r="L396" s="638"/>
      <c r="M396" s="638"/>
      <c r="N396" s="638"/>
      <c r="O396" s="639"/>
      <c r="P396" s="635" t="s">
        <v>40</v>
      </c>
      <c r="Q396" s="636"/>
      <c r="R396" s="636"/>
      <c r="S396" s="636"/>
      <c r="T396" s="636"/>
      <c r="U396" s="636"/>
      <c r="V396" s="637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30" t="s">
        <v>658</v>
      </c>
      <c r="B397" s="630"/>
      <c r="C397" s="630"/>
      <c r="D397" s="630"/>
      <c r="E397" s="630"/>
      <c r="F397" s="630"/>
      <c r="G397" s="630"/>
      <c r="H397" s="630"/>
      <c r="I397" s="630"/>
      <c r="J397" s="630"/>
      <c r="K397" s="630"/>
      <c r="L397" s="630"/>
      <c r="M397" s="630"/>
      <c r="N397" s="630"/>
      <c r="O397" s="630"/>
      <c r="P397" s="630"/>
      <c r="Q397" s="630"/>
      <c r="R397" s="630"/>
      <c r="S397" s="630"/>
      <c r="T397" s="630"/>
      <c r="U397" s="630"/>
      <c r="V397" s="630"/>
      <c r="W397" s="630"/>
      <c r="X397" s="630"/>
      <c r="Y397" s="630"/>
      <c r="Z397" s="630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31">
        <v>4680115888678</v>
      </c>
      <c r="E398" s="631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71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33"/>
      <c r="R398" s="633"/>
      <c r="S398" s="633"/>
      <c r="T398" s="63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31">
        <v>4680115888654</v>
      </c>
      <c r="E399" s="631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71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33"/>
      <c r="R399" s="633"/>
      <c r="S399" s="633"/>
      <c r="T399" s="63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31">
        <v>4680115888753</v>
      </c>
      <c r="E400" s="631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70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33"/>
      <c r="R400" s="633"/>
      <c r="S400" s="633"/>
      <c r="T400" s="63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38"/>
      <c r="B401" s="638"/>
      <c r="C401" s="638"/>
      <c r="D401" s="638"/>
      <c r="E401" s="638"/>
      <c r="F401" s="638"/>
      <c r="G401" s="638"/>
      <c r="H401" s="638"/>
      <c r="I401" s="638"/>
      <c r="J401" s="638"/>
      <c r="K401" s="638"/>
      <c r="L401" s="638"/>
      <c r="M401" s="638"/>
      <c r="N401" s="638"/>
      <c r="O401" s="639"/>
      <c r="P401" s="635" t="s">
        <v>40</v>
      </c>
      <c r="Q401" s="636"/>
      <c r="R401" s="636"/>
      <c r="S401" s="636"/>
      <c r="T401" s="636"/>
      <c r="U401" s="636"/>
      <c r="V401" s="63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38"/>
      <c r="B402" s="638"/>
      <c r="C402" s="638"/>
      <c r="D402" s="638"/>
      <c r="E402" s="638"/>
      <c r="F402" s="638"/>
      <c r="G402" s="638"/>
      <c r="H402" s="638"/>
      <c r="I402" s="638"/>
      <c r="J402" s="638"/>
      <c r="K402" s="638"/>
      <c r="L402" s="638"/>
      <c r="M402" s="638"/>
      <c r="N402" s="638"/>
      <c r="O402" s="639"/>
      <c r="P402" s="635" t="s">
        <v>40</v>
      </c>
      <c r="Q402" s="636"/>
      <c r="R402" s="636"/>
      <c r="S402" s="636"/>
      <c r="T402" s="636"/>
      <c r="U402" s="636"/>
      <c r="V402" s="63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46" t="s">
        <v>667</v>
      </c>
      <c r="B403" s="646"/>
      <c r="C403" s="646"/>
      <c r="D403" s="646"/>
      <c r="E403" s="646"/>
      <c r="F403" s="646"/>
      <c r="G403" s="646"/>
      <c r="H403" s="646"/>
      <c r="I403" s="646"/>
      <c r="J403" s="646"/>
      <c r="K403" s="646"/>
      <c r="L403" s="646"/>
      <c r="M403" s="646"/>
      <c r="N403" s="646"/>
      <c r="O403" s="646"/>
      <c r="P403" s="646"/>
      <c r="Q403" s="646"/>
      <c r="R403" s="646"/>
      <c r="S403" s="646"/>
      <c r="T403" s="646"/>
      <c r="U403" s="646"/>
      <c r="V403" s="646"/>
      <c r="W403" s="646"/>
      <c r="X403" s="646"/>
      <c r="Y403" s="646"/>
      <c r="Z403" s="646"/>
      <c r="AA403" s="65"/>
      <c r="AB403" s="65"/>
      <c r="AC403" s="79"/>
    </row>
    <row r="404" spans="1:68" ht="14.25" hidden="1" customHeight="1" x14ac:dyDescent="0.25">
      <c r="A404" s="630" t="s">
        <v>86</v>
      </c>
      <c r="B404" s="630"/>
      <c r="C404" s="630"/>
      <c r="D404" s="630"/>
      <c r="E404" s="630"/>
      <c r="F404" s="630"/>
      <c r="G404" s="630"/>
      <c r="H404" s="630"/>
      <c r="I404" s="630"/>
      <c r="J404" s="630"/>
      <c r="K404" s="630"/>
      <c r="L404" s="630"/>
      <c r="M404" s="630"/>
      <c r="N404" s="630"/>
      <c r="O404" s="630"/>
      <c r="P404" s="630"/>
      <c r="Q404" s="630"/>
      <c r="R404" s="630"/>
      <c r="S404" s="630"/>
      <c r="T404" s="630"/>
      <c r="U404" s="630"/>
      <c r="V404" s="630"/>
      <c r="W404" s="630"/>
      <c r="X404" s="630"/>
      <c r="Y404" s="630"/>
      <c r="Z404" s="630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31">
        <v>4607091387919</v>
      </c>
      <c r="E405" s="631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7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33"/>
      <c r="R405" s="633"/>
      <c r="S405" s="633"/>
      <c r="T405" s="63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4301051461</v>
      </c>
      <c r="D406" s="631">
        <v>4680115883604</v>
      </c>
      <c r="E406" s="631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7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33"/>
      <c r="R406" s="633"/>
      <c r="S406" s="633"/>
      <c r="T406" s="63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4301051864</v>
      </c>
      <c r="D407" s="631">
        <v>4680115883567</v>
      </c>
      <c r="E407" s="631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70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33"/>
      <c r="R407" s="633"/>
      <c r="S407" s="633"/>
      <c r="T407" s="634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8"/>
      <c r="B408" s="638"/>
      <c r="C408" s="638"/>
      <c r="D408" s="638"/>
      <c r="E408" s="638"/>
      <c r="F408" s="638"/>
      <c r="G408" s="638"/>
      <c r="H408" s="638"/>
      <c r="I408" s="638"/>
      <c r="J408" s="638"/>
      <c r="K408" s="638"/>
      <c r="L408" s="638"/>
      <c r="M408" s="638"/>
      <c r="N408" s="638"/>
      <c r="O408" s="639"/>
      <c r="P408" s="635" t="s">
        <v>40</v>
      </c>
      <c r="Q408" s="636"/>
      <c r="R408" s="636"/>
      <c r="S408" s="636"/>
      <c r="T408" s="636"/>
      <c r="U408" s="636"/>
      <c r="V408" s="637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38"/>
      <c r="B409" s="638"/>
      <c r="C409" s="638"/>
      <c r="D409" s="638"/>
      <c r="E409" s="638"/>
      <c r="F409" s="638"/>
      <c r="G409" s="638"/>
      <c r="H409" s="638"/>
      <c r="I409" s="638"/>
      <c r="J409" s="638"/>
      <c r="K409" s="638"/>
      <c r="L409" s="638"/>
      <c r="M409" s="638"/>
      <c r="N409" s="638"/>
      <c r="O409" s="639"/>
      <c r="P409" s="635" t="s">
        <v>40</v>
      </c>
      <c r="Q409" s="636"/>
      <c r="R409" s="636"/>
      <c r="S409" s="636"/>
      <c r="T409" s="636"/>
      <c r="U409" s="636"/>
      <c r="V409" s="637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27.75" hidden="1" customHeight="1" x14ac:dyDescent="0.2">
      <c r="A410" s="651" t="s">
        <v>677</v>
      </c>
      <c r="B410" s="651"/>
      <c r="C410" s="651"/>
      <c r="D410" s="651"/>
      <c r="E410" s="651"/>
      <c r="F410" s="651"/>
      <c r="G410" s="651"/>
      <c r="H410" s="651"/>
      <c r="I410" s="651"/>
      <c r="J410" s="651"/>
      <c r="K410" s="651"/>
      <c r="L410" s="651"/>
      <c r="M410" s="651"/>
      <c r="N410" s="651"/>
      <c r="O410" s="651"/>
      <c r="P410" s="651"/>
      <c r="Q410" s="651"/>
      <c r="R410" s="651"/>
      <c r="S410" s="651"/>
      <c r="T410" s="651"/>
      <c r="U410" s="651"/>
      <c r="V410" s="651"/>
      <c r="W410" s="651"/>
      <c r="X410" s="651"/>
      <c r="Y410" s="651"/>
      <c r="Z410" s="651"/>
      <c r="AA410" s="54"/>
      <c r="AB410" s="54"/>
      <c r="AC410" s="54"/>
    </row>
    <row r="411" spans="1:68" ht="16.5" hidden="1" customHeight="1" x14ac:dyDescent="0.25">
      <c r="A411" s="646" t="s">
        <v>678</v>
      </c>
      <c r="B411" s="646"/>
      <c r="C411" s="646"/>
      <c r="D411" s="646"/>
      <c r="E411" s="646"/>
      <c r="F411" s="646"/>
      <c r="G411" s="646"/>
      <c r="H411" s="646"/>
      <c r="I411" s="646"/>
      <c r="J411" s="646"/>
      <c r="K411" s="646"/>
      <c r="L411" s="646"/>
      <c r="M411" s="646"/>
      <c r="N411" s="646"/>
      <c r="O411" s="646"/>
      <c r="P411" s="646"/>
      <c r="Q411" s="646"/>
      <c r="R411" s="646"/>
      <c r="S411" s="646"/>
      <c r="T411" s="646"/>
      <c r="U411" s="646"/>
      <c r="V411" s="646"/>
      <c r="W411" s="646"/>
      <c r="X411" s="646"/>
      <c r="Y411" s="646"/>
      <c r="Z411" s="646"/>
      <c r="AA411" s="65"/>
      <c r="AB411" s="65"/>
      <c r="AC411" s="79"/>
    </row>
    <row r="412" spans="1:68" ht="14.25" hidden="1" customHeight="1" x14ac:dyDescent="0.25">
      <c r="A412" s="630" t="s">
        <v>128</v>
      </c>
      <c r="B412" s="630"/>
      <c r="C412" s="630"/>
      <c r="D412" s="630"/>
      <c r="E412" s="630"/>
      <c r="F412" s="630"/>
      <c r="G412" s="630"/>
      <c r="H412" s="630"/>
      <c r="I412" s="630"/>
      <c r="J412" s="630"/>
      <c r="K412" s="630"/>
      <c r="L412" s="630"/>
      <c r="M412" s="630"/>
      <c r="N412" s="630"/>
      <c r="O412" s="630"/>
      <c r="P412" s="630"/>
      <c r="Q412" s="630"/>
      <c r="R412" s="630"/>
      <c r="S412" s="630"/>
      <c r="T412" s="630"/>
      <c r="U412" s="630"/>
      <c r="V412" s="630"/>
      <c r="W412" s="630"/>
      <c r="X412" s="630"/>
      <c r="Y412" s="630"/>
      <c r="Z412" s="630"/>
      <c r="AA412" s="66"/>
      <c r="AB412" s="66"/>
      <c r="AC412" s="80"/>
    </row>
    <row r="413" spans="1:68" ht="27" hidden="1" customHeight="1" x14ac:dyDescent="0.25">
      <c r="A413" s="63" t="s">
        <v>679</v>
      </c>
      <c r="B413" s="63" t="s">
        <v>680</v>
      </c>
      <c r="C413" s="36">
        <v>4301012332</v>
      </c>
      <c r="D413" s="631">
        <v>4680115888401</v>
      </c>
      <c r="E413" s="631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70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33"/>
      <c r="R413" s="633"/>
      <c r="S413" s="633"/>
      <c r="T413" s="634"/>
      <c r="U413" s="39" t="s">
        <v>46</v>
      </c>
      <c r="V413" s="39" t="s">
        <v>46</v>
      </c>
      <c r="W413" s="40" t="s">
        <v>0</v>
      </c>
      <c r="X413" s="58">
        <v>0</v>
      </c>
      <c r="Y413" s="55">
        <f t="shared" ref="Y413:Y420" si="52">IFERROR(IF(X413="",0,CEILING((X413/$H413),1)*$H413),"")</f>
        <v>0</v>
      </c>
      <c r="Z413" s="41" t="str">
        <f>IFERROR(IF(Y413=0,"",ROUNDUP(Y413/H413,0)*0.02175),"")</f>
        <v/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0</v>
      </c>
      <c r="BN413" s="78">
        <f t="shared" ref="BN413:BN420" si="54">IFERROR(Y413*I413/H413,"0")</f>
        <v>0</v>
      </c>
      <c r="BO413" s="78">
        <f t="shared" ref="BO413:BO420" si="55">IFERROR(1/J413*(X413/H413),"0")</f>
        <v>0</v>
      </c>
      <c r="BP413" s="78">
        <f t="shared" ref="BP413:BP420" si="56">IFERROR(1/J413*(Y413/H413),"0")</f>
        <v>0</v>
      </c>
    </row>
    <row r="414" spans="1:68" ht="37.5" hidden="1" customHeight="1" x14ac:dyDescent="0.25">
      <c r="A414" s="63" t="s">
        <v>682</v>
      </c>
      <c r="B414" s="63" t="s">
        <v>683</v>
      </c>
      <c r="C414" s="36">
        <v>4301011869</v>
      </c>
      <c r="D414" s="631">
        <v>4680115884847</v>
      </c>
      <c r="E414" s="631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70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33"/>
      <c r="R414" s="633"/>
      <c r="S414" s="633"/>
      <c r="T414" s="634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hidden="1" customHeight="1" x14ac:dyDescent="0.25">
      <c r="A415" s="63" t="s">
        <v>685</v>
      </c>
      <c r="B415" s="63" t="s">
        <v>686</v>
      </c>
      <c r="C415" s="36">
        <v>4301012083</v>
      </c>
      <c r="D415" s="631">
        <v>4680115884854</v>
      </c>
      <c r="E415" s="631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70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33"/>
      <c r="R415" s="633"/>
      <c r="S415" s="633"/>
      <c r="T415" s="634"/>
      <c r="U415" s="39" t="s">
        <v>46</v>
      </c>
      <c r="V415" s="39" t="s">
        <v>46</v>
      </c>
      <c r="W415" s="40" t="s">
        <v>0</v>
      </c>
      <c r="X415" s="58">
        <v>0</v>
      </c>
      <c r="Y415" s="55">
        <f t="shared" si="52"/>
        <v>0</v>
      </c>
      <c r="Z415" s="41" t="str">
        <f>IFERROR(IF(Y415=0,"",ROUNDUP(Y415/H415,0)*0.02175),"")</f>
        <v/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0</v>
      </c>
      <c r="BN415" s="78">
        <f t="shared" si="54"/>
        <v>0</v>
      </c>
      <c r="BO415" s="78">
        <f t="shared" si="55"/>
        <v>0</v>
      </c>
      <c r="BP415" s="78">
        <f t="shared" si="56"/>
        <v>0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4301011867</v>
      </c>
      <c r="D416" s="631">
        <v>4680115884830</v>
      </c>
      <c r="E416" s="631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7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33"/>
      <c r="R416" s="633"/>
      <c r="S416" s="633"/>
      <c r="T416" s="634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hidden="1" customHeight="1" x14ac:dyDescent="0.25">
      <c r="A417" s="63" t="s">
        <v>691</v>
      </c>
      <c r="B417" s="63" t="s">
        <v>692</v>
      </c>
      <c r="C417" s="36">
        <v>4301012356</v>
      </c>
      <c r="D417" s="631">
        <v>4680115889231</v>
      </c>
      <c r="E417" s="631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69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33"/>
      <c r="R417" s="633"/>
      <c r="S417" s="633"/>
      <c r="T417" s="634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31">
        <v>4680115882638</v>
      </c>
      <c r="E418" s="631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6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33"/>
      <c r="R418" s="633"/>
      <c r="S418" s="633"/>
      <c r="T418" s="634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31">
        <v>4680115884922</v>
      </c>
      <c r="E419" s="631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70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33"/>
      <c r="R419" s="633"/>
      <c r="S419" s="633"/>
      <c r="T419" s="634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700</v>
      </c>
      <c r="B420" s="63" t="s">
        <v>701</v>
      </c>
      <c r="C420" s="36">
        <v>4301011868</v>
      </c>
      <c r="D420" s="631">
        <v>4680115884861</v>
      </c>
      <c r="E420" s="631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70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33"/>
      <c r="R420" s="633"/>
      <c r="S420" s="633"/>
      <c r="T420" s="634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hidden="1" x14ac:dyDescent="0.2">
      <c r="A421" s="638"/>
      <c r="B421" s="638"/>
      <c r="C421" s="638"/>
      <c r="D421" s="638"/>
      <c r="E421" s="638"/>
      <c r="F421" s="638"/>
      <c r="G421" s="638"/>
      <c r="H421" s="638"/>
      <c r="I421" s="638"/>
      <c r="J421" s="638"/>
      <c r="K421" s="638"/>
      <c r="L421" s="638"/>
      <c r="M421" s="638"/>
      <c r="N421" s="638"/>
      <c r="O421" s="639"/>
      <c r="P421" s="635" t="s">
        <v>40</v>
      </c>
      <c r="Q421" s="636"/>
      <c r="R421" s="636"/>
      <c r="S421" s="636"/>
      <c r="T421" s="636"/>
      <c r="U421" s="636"/>
      <c r="V421" s="637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0</v>
      </c>
      <c r="Y421" s="43">
        <f>IFERROR(Y413/H413,"0")+IFERROR(Y414/H414,"0")+IFERROR(Y415/H415,"0")+IFERROR(Y416/H416,"0")+IFERROR(Y417/H417,"0")+IFERROR(Y418/H418,"0")+IFERROR(Y419/H419,"0")+IFERROR(Y420/H420,"0")</f>
        <v>0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638"/>
      <c r="B422" s="638"/>
      <c r="C422" s="638"/>
      <c r="D422" s="638"/>
      <c r="E422" s="638"/>
      <c r="F422" s="638"/>
      <c r="G422" s="638"/>
      <c r="H422" s="638"/>
      <c r="I422" s="638"/>
      <c r="J422" s="638"/>
      <c r="K422" s="638"/>
      <c r="L422" s="638"/>
      <c r="M422" s="638"/>
      <c r="N422" s="638"/>
      <c r="O422" s="639"/>
      <c r="P422" s="635" t="s">
        <v>40</v>
      </c>
      <c r="Q422" s="636"/>
      <c r="R422" s="636"/>
      <c r="S422" s="636"/>
      <c r="T422" s="636"/>
      <c r="U422" s="636"/>
      <c r="V422" s="637"/>
      <c r="W422" s="42" t="s">
        <v>0</v>
      </c>
      <c r="X422" s="43">
        <f>IFERROR(SUM(X413:X420),"0")</f>
        <v>0</v>
      </c>
      <c r="Y422" s="43">
        <f>IFERROR(SUM(Y413:Y420),"0")</f>
        <v>0</v>
      </c>
      <c r="Z422" s="42"/>
      <c r="AA422" s="67"/>
      <c r="AB422" s="67"/>
      <c r="AC422" s="67"/>
    </row>
    <row r="423" spans="1:68" ht="14.25" hidden="1" customHeight="1" x14ac:dyDescent="0.25">
      <c r="A423" s="630" t="s">
        <v>164</v>
      </c>
      <c r="B423" s="630"/>
      <c r="C423" s="630"/>
      <c r="D423" s="630"/>
      <c r="E423" s="630"/>
      <c r="F423" s="630"/>
      <c r="G423" s="630"/>
      <c r="H423" s="630"/>
      <c r="I423" s="630"/>
      <c r="J423" s="630"/>
      <c r="K423" s="630"/>
      <c r="L423" s="630"/>
      <c r="M423" s="630"/>
      <c r="N423" s="630"/>
      <c r="O423" s="630"/>
      <c r="P423" s="630"/>
      <c r="Q423" s="630"/>
      <c r="R423" s="630"/>
      <c r="S423" s="630"/>
      <c r="T423" s="630"/>
      <c r="U423" s="630"/>
      <c r="V423" s="630"/>
      <c r="W423" s="630"/>
      <c r="X423" s="630"/>
      <c r="Y423" s="630"/>
      <c r="Z423" s="630"/>
      <c r="AA423" s="66"/>
      <c r="AB423" s="66"/>
      <c r="AC423" s="80"/>
    </row>
    <row r="424" spans="1:68" ht="27" hidden="1" customHeight="1" x14ac:dyDescent="0.25">
      <c r="A424" s="63" t="s">
        <v>703</v>
      </c>
      <c r="B424" s="63" t="s">
        <v>704</v>
      </c>
      <c r="C424" s="36">
        <v>4301020178</v>
      </c>
      <c r="D424" s="631">
        <v>4607091383980</v>
      </c>
      <c r="E424" s="63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6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33"/>
      <c r="R424" s="633"/>
      <c r="S424" s="633"/>
      <c r="T424" s="634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31">
        <v>4680115888425</v>
      </c>
      <c r="E425" s="63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69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33"/>
      <c r="R425" s="633"/>
      <c r="S425" s="633"/>
      <c r="T425" s="634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31">
        <v>4607091384178</v>
      </c>
      <c r="E426" s="631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6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33"/>
      <c r="R426" s="633"/>
      <c r="S426" s="633"/>
      <c r="T426" s="634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38"/>
      <c r="B427" s="638"/>
      <c r="C427" s="638"/>
      <c r="D427" s="638"/>
      <c r="E427" s="638"/>
      <c r="F427" s="638"/>
      <c r="G427" s="638"/>
      <c r="H427" s="638"/>
      <c r="I427" s="638"/>
      <c r="J427" s="638"/>
      <c r="K427" s="638"/>
      <c r="L427" s="638"/>
      <c r="M427" s="638"/>
      <c r="N427" s="638"/>
      <c r="O427" s="639"/>
      <c r="P427" s="635" t="s">
        <v>40</v>
      </c>
      <c r="Q427" s="636"/>
      <c r="R427" s="636"/>
      <c r="S427" s="636"/>
      <c r="T427" s="636"/>
      <c r="U427" s="636"/>
      <c r="V427" s="63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38"/>
      <c r="B428" s="638"/>
      <c r="C428" s="638"/>
      <c r="D428" s="638"/>
      <c r="E428" s="638"/>
      <c r="F428" s="638"/>
      <c r="G428" s="638"/>
      <c r="H428" s="638"/>
      <c r="I428" s="638"/>
      <c r="J428" s="638"/>
      <c r="K428" s="638"/>
      <c r="L428" s="638"/>
      <c r="M428" s="638"/>
      <c r="N428" s="638"/>
      <c r="O428" s="639"/>
      <c r="P428" s="635" t="s">
        <v>40</v>
      </c>
      <c r="Q428" s="636"/>
      <c r="R428" s="636"/>
      <c r="S428" s="636"/>
      <c r="T428" s="636"/>
      <c r="U428" s="636"/>
      <c r="V428" s="63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30" t="s">
        <v>86</v>
      </c>
      <c r="B429" s="630"/>
      <c r="C429" s="630"/>
      <c r="D429" s="630"/>
      <c r="E429" s="630"/>
      <c r="F429" s="630"/>
      <c r="G429" s="630"/>
      <c r="H429" s="630"/>
      <c r="I429" s="630"/>
      <c r="J429" s="630"/>
      <c r="K429" s="630"/>
      <c r="L429" s="630"/>
      <c r="M429" s="630"/>
      <c r="N429" s="630"/>
      <c r="O429" s="630"/>
      <c r="P429" s="630"/>
      <c r="Q429" s="630"/>
      <c r="R429" s="630"/>
      <c r="S429" s="630"/>
      <c r="T429" s="630"/>
      <c r="U429" s="630"/>
      <c r="V429" s="630"/>
      <c r="W429" s="630"/>
      <c r="X429" s="630"/>
      <c r="Y429" s="630"/>
      <c r="Z429" s="630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31">
        <v>4680115889538</v>
      </c>
      <c r="E430" s="631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69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33"/>
      <c r="R430" s="633"/>
      <c r="S430" s="633"/>
      <c r="T430" s="634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31">
        <v>4607091383928</v>
      </c>
      <c r="E431" s="631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69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33"/>
      <c r="R431" s="633"/>
      <c r="S431" s="633"/>
      <c r="T431" s="634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718</v>
      </c>
      <c r="B432" s="63" t="s">
        <v>719</v>
      </c>
      <c r="C432" s="36">
        <v>4301051897</v>
      </c>
      <c r="D432" s="631">
        <v>4607091384260</v>
      </c>
      <c r="E432" s="631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69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33"/>
      <c r="R432" s="633"/>
      <c r="S432" s="633"/>
      <c r="T432" s="634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IFERROR(IF(Y432=0,"",ROUNDUP(Y432/H432,0)*0.01898),"")</f>
        <v/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idden="1" x14ac:dyDescent="0.2">
      <c r="A433" s="638"/>
      <c r="B433" s="638"/>
      <c r="C433" s="638"/>
      <c r="D433" s="638"/>
      <c r="E433" s="638"/>
      <c r="F433" s="638"/>
      <c r="G433" s="638"/>
      <c r="H433" s="638"/>
      <c r="I433" s="638"/>
      <c r="J433" s="638"/>
      <c r="K433" s="638"/>
      <c r="L433" s="638"/>
      <c r="M433" s="638"/>
      <c r="N433" s="638"/>
      <c r="O433" s="639"/>
      <c r="P433" s="635" t="s">
        <v>40</v>
      </c>
      <c r="Q433" s="636"/>
      <c r="R433" s="636"/>
      <c r="S433" s="636"/>
      <c r="T433" s="636"/>
      <c r="U433" s="636"/>
      <c r="V433" s="637"/>
      <c r="W433" s="42" t="s">
        <v>39</v>
      </c>
      <c r="X433" s="43">
        <f>IFERROR(X430/H430,"0")+IFERROR(X431/H431,"0")+IFERROR(X432/H432,"0")</f>
        <v>0</v>
      </c>
      <c r="Y433" s="43">
        <f>IFERROR(Y430/H430,"0")+IFERROR(Y431/H431,"0")+IFERROR(Y432/H432,"0")</f>
        <v>0</v>
      </c>
      <c r="Z433" s="43">
        <f>IFERROR(IF(Z430="",0,Z430),"0")+IFERROR(IF(Z431="",0,Z431),"0")+IFERROR(IF(Z432="",0,Z432),"0")</f>
        <v>0</v>
      </c>
      <c r="AA433" s="67"/>
      <c r="AB433" s="67"/>
      <c r="AC433" s="67"/>
    </row>
    <row r="434" spans="1:68" hidden="1" x14ac:dyDescent="0.2">
      <c r="A434" s="638"/>
      <c r="B434" s="638"/>
      <c r="C434" s="638"/>
      <c r="D434" s="638"/>
      <c r="E434" s="638"/>
      <c r="F434" s="638"/>
      <c r="G434" s="638"/>
      <c r="H434" s="638"/>
      <c r="I434" s="638"/>
      <c r="J434" s="638"/>
      <c r="K434" s="638"/>
      <c r="L434" s="638"/>
      <c r="M434" s="638"/>
      <c r="N434" s="638"/>
      <c r="O434" s="639"/>
      <c r="P434" s="635" t="s">
        <v>40</v>
      </c>
      <c r="Q434" s="636"/>
      <c r="R434" s="636"/>
      <c r="S434" s="636"/>
      <c r="T434" s="636"/>
      <c r="U434" s="636"/>
      <c r="V434" s="637"/>
      <c r="W434" s="42" t="s">
        <v>0</v>
      </c>
      <c r="X434" s="43">
        <f>IFERROR(SUM(X430:X432),"0")</f>
        <v>0</v>
      </c>
      <c r="Y434" s="43">
        <f>IFERROR(SUM(Y430:Y432),"0")</f>
        <v>0</v>
      </c>
      <c r="Z434" s="42"/>
      <c r="AA434" s="67"/>
      <c r="AB434" s="67"/>
      <c r="AC434" s="67"/>
    </row>
    <row r="435" spans="1:68" ht="14.25" hidden="1" customHeight="1" x14ac:dyDescent="0.25">
      <c r="A435" s="630" t="s">
        <v>181</v>
      </c>
      <c r="B435" s="630"/>
      <c r="C435" s="630"/>
      <c r="D435" s="630"/>
      <c r="E435" s="630"/>
      <c r="F435" s="630"/>
      <c r="G435" s="630"/>
      <c r="H435" s="630"/>
      <c r="I435" s="630"/>
      <c r="J435" s="630"/>
      <c r="K435" s="630"/>
      <c r="L435" s="630"/>
      <c r="M435" s="630"/>
      <c r="N435" s="630"/>
      <c r="O435" s="630"/>
      <c r="P435" s="630"/>
      <c r="Q435" s="630"/>
      <c r="R435" s="630"/>
      <c r="S435" s="630"/>
      <c r="T435" s="630"/>
      <c r="U435" s="630"/>
      <c r="V435" s="630"/>
      <c r="W435" s="630"/>
      <c r="X435" s="630"/>
      <c r="Y435" s="630"/>
      <c r="Z435" s="630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31">
        <v>4680115889545</v>
      </c>
      <c r="E436" s="631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69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33"/>
      <c r="R436" s="633"/>
      <c r="S436" s="633"/>
      <c r="T436" s="63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hidden="1" customHeight="1" x14ac:dyDescent="0.25">
      <c r="A437" s="63" t="s">
        <v>724</v>
      </c>
      <c r="B437" s="63" t="s">
        <v>725</v>
      </c>
      <c r="C437" s="36">
        <v>4301060524</v>
      </c>
      <c r="D437" s="631">
        <v>4607091384673</v>
      </c>
      <c r="E437" s="631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69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33"/>
      <c r="R437" s="633"/>
      <c r="S437" s="633"/>
      <c r="T437" s="63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idden="1" x14ac:dyDescent="0.2">
      <c r="A438" s="638"/>
      <c r="B438" s="638"/>
      <c r="C438" s="638"/>
      <c r="D438" s="638"/>
      <c r="E438" s="638"/>
      <c r="F438" s="638"/>
      <c r="G438" s="638"/>
      <c r="H438" s="638"/>
      <c r="I438" s="638"/>
      <c r="J438" s="638"/>
      <c r="K438" s="638"/>
      <c r="L438" s="638"/>
      <c r="M438" s="638"/>
      <c r="N438" s="638"/>
      <c r="O438" s="639"/>
      <c r="P438" s="635" t="s">
        <v>40</v>
      </c>
      <c r="Q438" s="636"/>
      <c r="R438" s="636"/>
      <c r="S438" s="636"/>
      <c r="T438" s="636"/>
      <c r="U438" s="636"/>
      <c r="V438" s="637"/>
      <c r="W438" s="42" t="s">
        <v>39</v>
      </c>
      <c r="X438" s="43">
        <f>IFERROR(X436/H436,"0")+IFERROR(X437/H437,"0")</f>
        <v>0</v>
      </c>
      <c r="Y438" s="43">
        <f>IFERROR(Y436/H436,"0")+IFERROR(Y437/H437,"0")</f>
        <v>0</v>
      </c>
      <c r="Z438" s="43">
        <f>IFERROR(IF(Z436="",0,Z436),"0")+IFERROR(IF(Z437="",0,Z437),"0")</f>
        <v>0</v>
      </c>
      <c r="AA438" s="67"/>
      <c r="AB438" s="67"/>
      <c r="AC438" s="67"/>
    </row>
    <row r="439" spans="1:68" hidden="1" x14ac:dyDescent="0.2">
      <c r="A439" s="638"/>
      <c r="B439" s="638"/>
      <c r="C439" s="638"/>
      <c r="D439" s="638"/>
      <c r="E439" s="638"/>
      <c r="F439" s="638"/>
      <c r="G439" s="638"/>
      <c r="H439" s="638"/>
      <c r="I439" s="638"/>
      <c r="J439" s="638"/>
      <c r="K439" s="638"/>
      <c r="L439" s="638"/>
      <c r="M439" s="638"/>
      <c r="N439" s="638"/>
      <c r="O439" s="639"/>
      <c r="P439" s="635" t="s">
        <v>40</v>
      </c>
      <c r="Q439" s="636"/>
      <c r="R439" s="636"/>
      <c r="S439" s="636"/>
      <c r="T439" s="636"/>
      <c r="U439" s="636"/>
      <c r="V439" s="637"/>
      <c r="W439" s="42" t="s">
        <v>0</v>
      </c>
      <c r="X439" s="43">
        <f>IFERROR(SUM(X436:X437),"0")</f>
        <v>0</v>
      </c>
      <c r="Y439" s="43">
        <f>IFERROR(SUM(Y436:Y437),"0")</f>
        <v>0</v>
      </c>
      <c r="Z439" s="42"/>
      <c r="AA439" s="67"/>
      <c r="AB439" s="67"/>
      <c r="AC439" s="67"/>
    </row>
    <row r="440" spans="1:68" ht="16.5" hidden="1" customHeight="1" x14ac:dyDescent="0.25">
      <c r="A440" s="646" t="s">
        <v>727</v>
      </c>
      <c r="B440" s="646"/>
      <c r="C440" s="646"/>
      <c r="D440" s="646"/>
      <c r="E440" s="646"/>
      <c r="F440" s="646"/>
      <c r="G440" s="646"/>
      <c r="H440" s="646"/>
      <c r="I440" s="646"/>
      <c r="J440" s="646"/>
      <c r="K440" s="646"/>
      <c r="L440" s="646"/>
      <c r="M440" s="646"/>
      <c r="N440" s="646"/>
      <c r="O440" s="646"/>
      <c r="P440" s="646"/>
      <c r="Q440" s="646"/>
      <c r="R440" s="646"/>
      <c r="S440" s="646"/>
      <c r="T440" s="646"/>
      <c r="U440" s="646"/>
      <c r="V440" s="646"/>
      <c r="W440" s="646"/>
      <c r="X440" s="646"/>
      <c r="Y440" s="646"/>
      <c r="Z440" s="646"/>
      <c r="AA440" s="65"/>
      <c r="AB440" s="65"/>
      <c r="AC440" s="79"/>
    </row>
    <row r="441" spans="1:68" ht="14.25" hidden="1" customHeight="1" x14ac:dyDescent="0.25">
      <c r="A441" s="630" t="s">
        <v>128</v>
      </c>
      <c r="B441" s="630"/>
      <c r="C441" s="630"/>
      <c r="D441" s="630"/>
      <c r="E441" s="630"/>
      <c r="F441" s="630"/>
      <c r="G441" s="630"/>
      <c r="H441" s="630"/>
      <c r="I441" s="630"/>
      <c r="J441" s="630"/>
      <c r="K441" s="630"/>
      <c r="L441" s="630"/>
      <c r="M441" s="630"/>
      <c r="N441" s="630"/>
      <c r="O441" s="630"/>
      <c r="P441" s="630"/>
      <c r="Q441" s="630"/>
      <c r="R441" s="630"/>
      <c r="S441" s="630"/>
      <c r="T441" s="630"/>
      <c r="U441" s="630"/>
      <c r="V441" s="630"/>
      <c r="W441" s="630"/>
      <c r="X441" s="630"/>
      <c r="Y441" s="630"/>
      <c r="Z441" s="630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31">
        <v>4680115884885</v>
      </c>
      <c r="E442" s="631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6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33"/>
      <c r="R442" s="633"/>
      <c r="S442" s="633"/>
      <c r="T442" s="63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31">
        <v>4680115884908</v>
      </c>
      <c r="E443" s="631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68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33"/>
      <c r="R443" s="633"/>
      <c r="S443" s="633"/>
      <c r="T443" s="63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638"/>
      <c r="B444" s="638"/>
      <c r="C444" s="638"/>
      <c r="D444" s="638"/>
      <c r="E444" s="638"/>
      <c r="F444" s="638"/>
      <c r="G444" s="638"/>
      <c r="H444" s="638"/>
      <c r="I444" s="638"/>
      <c r="J444" s="638"/>
      <c r="K444" s="638"/>
      <c r="L444" s="638"/>
      <c r="M444" s="638"/>
      <c r="N444" s="638"/>
      <c r="O444" s="639"/>
      <c r="P444" s="635" t="s">
        <v>40</v>
      </c>
      <c r="Q444" s="636"/>
      <c r="R444" s="636"/>
      <c r="S444" s="636"/>
      <c r="T444" s="636"/>
      <c r="U444" s="636"/>
      <c r="V444" s="637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638"/>
      <c r="B445" s="638"/>
      <c r="C445" s="638"/>
      <c r="D445" s="638"/>
      <c r="E445" s="638"/>
      <c r="F445" s="638"/>
      <c r="G445" s="638"/>
      <c r="H445" s="638"/>
      <c r="I445" s="638"/>
      <c r="J445" s="638"/>
      <c r="K445" s="638"/>
      <c r="L445" s="638"/>
      <c r="M445" s="638"/>
      <c r="N445" s="638"/>
      <c r="O445" s="639"/>
      <c r="P445" s="635" t="s">
        <v>40</v>
      </c>
      <c r="Q445" s="636"/>
      <c r="R445" s="636"/>
      <c r="S445" s="636"/>
      <c r="T445" s="636"/>
      <c r="U445" s="636"/>
      <c r="V445" s="637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30" t="s">
        <v>77</v>
      </c>
      <c r="B446" s="630"/>
      <c r="C446" s="630"/>
      <c r="D446" s="630"/>
      <c r="E446" s="630"/>
      <c r="F446" s="630"/>
      <c r="G446" s="630"/>
      <c r="H446" s="630"/>
      <c r="I446" s="630"/>
      <c r="J446" s="630"/>
      <c r="K446" s="630"/>
      <c r="L446" s="630"/>
      <c r="M446" s="630"/>
      <c r="N446" s="630"/>
      <c r="O446" s="630"/>
      <c r="P446" s="630"/>
      <c r="Q446" s="630"/>
      <c r="R446" s="630"/>
      <c r="S446" s="630"/>
      <c r="T446" s="630"/>
      <c r="U446" s="630"/>
      <c r="V446" s="630"/>
      <c r="W446" s="630"/>
      <c r="X446" s="630"/>
      <c r="Y446" s="630"/>
      <c r="Z446" s="630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31">
        <v>4607091384802</v>
      </c>
      <c r="E447" s="631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68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33"/>
      <c r="R447" s="633"/>
      <c r="S447" s="633"/>
      <c r="T447" s="63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38"/>
      <c r="B448" s="638"/>
      <c r="C448" s="638"/>
      <c r="D448" s="638"/>
      <c r="E448" s="638"/>
      <c r="F448" s="638"/>
      <c r="G448" s="638"/>
      <c r="H448" s="638"/>
      <c r="I448" s="638"/>
      <c r="J448" s="638"/>
      <c r="K448" s="638"/>
      <c r="L448" s="638"/>
      <c r="M448" s="638"/>
      <c r="N448" s="638"/>
      <c r="O448" s="639"/>
      <c r="P448" s="635" t="s">
        <v>40</v>
      </c>
      <c r="Q448" s="636"/>
      <c r="R448" s="636"/>
      <c r="S448" s="636"/>
      <c r="T448" s="636"/>
      <c r="U448" s="636"/>
      <c r="V448" s="637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638"/>
      <c r="B449" s="638"/>
      <c r="C449" s="638"/>
      <c r="D449" s="638"/>
      <c r="E449" s="638"/>
      <c r="F449" s="638"/>
      <c r="G449" s="638"/>
      <c r="H449" s="638"/>
      <c r="I449" s="638"/>
      <c r="J449" s="638"/>
      <c r="K449" s="638"/>
      <c r="L449" s="638"/>
      <c r="M449" s="638"/>
      <c r="N449" s="638"/>
      <c r="O449" s="639"/>
      <c r="P449" s="635" t="s">
        <v>40</v>
      </c>
      <c r="Q449" s="636"/>
      <c r="R449" s="636"/>
      <c r="S449" s="636"/>
      <c r="T449" s="636"/>
      <c r="U449" s="636"/>
      <c r="V449" s="637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30" t="s">
        <v>86</v>
      </c>
      <c r="B450" s="630"/>
      <c r="C450" s="630"/>
      <c r="D450" s="630"/>
      <c r="E450" s="630"/>
      <c r="F450" s="630"/>
      <c r="G450" s="630"/>
      <c r="H450" s="630"/>
      <c r="I450" s="630"/>
      <c r="J450" s="630"/>
      <c r="K450" s="630"/>
      <c r="L450" s="630"/>
      <c r="M450" s="630"/>
      <c r="N450" s="630"/>
      <c r="O450" s="630"/>
      <c r="P450" s="630"/>
      <c r="Q450" s="630"/>
      <c r="R450" s="630"/>
      <c r="S450" s="630"/>
      <c r="T450" s="630"/>
      <c r="U450" s="630"/>
      <c r="V450" s="630"/>
      <c r="W450" s="630"/>
      <c r="X450" s="630"/>
      <c r="Y450" s="630"/>
      <c r="Z450" s="630"/>
      <c r="AA450" s="66"/>
      <c r="AB450" s="66"/>
      <c r="AC450" s="80"/>
    </row>
    <row r="451" spans="1:68" ht="27" hidden="1" customHeight="1" x14ac:dyDescent="0.25">
      <c r="A451" s="63" t="s">
        <v>736</v>
      </c>
      <c r="B451" s="63" t="s">
        <v>737</v>
      </c>
      <c r="C451" s="36">
        <v>4301051899</v>
      </c>
      <c r="D451" s="631">
        <v>4607091384246</v>
      </c>
      <c r="E451" s="631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68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33"/>
      <c r="R451" s="633"/>
      <c r="S451" s="633"/>
      <c r="T451" s="634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31">
        <v>4607091384253</v>
      </c>
      <c r="E452" s="631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68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33"/>
      <c r="R452" s="633"/>
      <c r="S452" s="633"/>
      <c r="T452" s="63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31">
        <v>4607091384253</v>
      </c>
      <c r="E453" s="631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6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33"/>
      <c r="R453" s="633"/>
      <c r="S453" s="633"/>
      <c r="T453" s="63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38"/>
      <c r="B454" s="638"/>
      <c r="C454" s="638"/>
      <c r="D454" s="638"/>
      <c r="E454" s="638"/>
      <c r="F454" s="638"/>
      <c r="G454" s="638"/>
      <c r="H454" s="638"/>
      <c r="I454" s="638"/>
      <c r="J454" s="638"/>
      <c r="K454" s="638"/>
      <c r="L454" s="638"/>
      <c r="M454" s="638"/>
      <c r="N454" s="638"/>
      <c r="O454" s="639"/>
      <c r="P454" s="635" t="s">
        <v>40</v>
      </c>
      <c r="Q454" s="636"/>
      <c r="R454" s="636"/>
      <c r="S454" s="636"/>
      <c r="T454" s="636"/>
      <c r="U454" s="636"/>
      <c r="V454" s="637"/>
      <c r="W454" s="42" t="s">
        <v>39</v>
      </c>
      <c r="X454" s="43">
        <f>IFERROR(X451/H451,"0")+IFERROR(X452/H452,"0")+IFERROR(X453/H453,"0")</f>
        <v>0</v>
      </c>
      <c r="Y454" s="43">
        <f>IFERROR(Y451/H451,"0")+IFERROR(Y452/H452,"0")+IFERROR(Y453/H453,"0")</f>
        <v>0</v>
      </c>
      <c r="Z454" s="43">
        <f>IFERROR(IF(Z451="",0,Z451),"0")+IFERROR(IF(Z452="",0,Z452),"0")+IFERROR(IF(Z453="",0,Z453),"0")</f>
        <v>0</v>
      </c>
      <c r="AA454" s="67"/>
      <c r="AB454" s="67"/>
      <c r="AC454" s="67"/>
    </row>
    <row r="455" spans="1:68" hidden="1" x14ac:dyDescent="0.2">
      <c r="A455" s="638"/>
      <c r="B455" s="638"/>
      <c r="C455" s="638"/>
      <c r="D455" s="638"/>
      <c r="E455" s="638"/>
      <c r="F455" s="638"/>
      <c r="G455" s="638"/>
      <c r="H455" s="638"/>
      <c r="I455" s="638"/>
      <c r="J455" s="638"/>
      <c r="K455" s="638"/>
      <c r="L455" s="638"/>
      <c r="M455" s="638"/>
      <c r="N455" s="638"/>
      <c r="O455" s="639"/>
      <c r="P455" s="635" t="s">
        <v>40</v>
      </c>
      <c r="Q455" s="636"/>
      <c r="R455" s="636"/>
      <c r="S455" s="636"/>
      <c r="T455" s="636"/>
      <c r="U455" s="636"/>
      <c r="V455" s="637"/>
      <c r="W455" s="42" t="s">
        <v>0</v>
      </c>
      <c r="X455" s="43">
        <f>IFERROR(SUM(X451:X453),"0")</f>
        <v>0</v>
      </c>
      <c r="Y455" s="43">
        <f>IFERROR(SUM(Y451:Y453),"0")</f>
        <v>0</v>
      </c>
      <c r="Z455" s="42"/>
      <c r="AA455" s="67"/>
      <c r="AB455" s="67"/>
      <c r="AC455" s="67"/>
    </row>
    <row r="456" spans="1:68" ht="27.75" hidden="1" customHeight="1" x14ac:dyDescent="0.2">
      <c r="A456" s="651" t="s">
        <v>743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54"/>
      <c r="AB456" s="54"/>
      <c r="AC456" s="54"/>
    </row>
    <row r="457" spans="1:68" ht="16.5" hidden="1" customHeight="1" x14ac:dyDescent="0.25">
      <c r="A457" s="646" t="s">
        <v>744</v>
      </c>
      <c r="B457" s="646"/>
      <c r="C457" s="646"/>
      <c r="D457" s="646"/>
      <c r="E457" s="646"/>
      <c r="F457" s="646"/>
      <c r="G457" s="646"/>
      <c r="H457" s="646"/>
      <c r="I457" s="646"/>
      <c r="J457" s="646"/>
      <c r="K457" s="646"/>
      <c r="L457" s="646"/>
      <c r="M457" s="646"/>
      <c r="N457" s="646"/>
      <c r="O457" s="646"/>
      <c r="P457" s="646"/>
      <c r="Q457" s="646"/>
      <c r="R457" s="646"/>
      <c r="S457" s="646"/>
      <c r="T457" s="646"/>
      <c r="U457" s="646"/>
      <c r="V457" s="646"/>
      <c r="W457" s="646"/>
      <c r="X457" s="646"/>
      <c r="Y457" s="646"/>
      <c r="Z457" s="646"/>
      <c r="AA457" s="65"/>
      <c r="AB457" s="65"/>
      <c r="AC457" s="79"/>
    </row>
    <row r="458" spans="1:68" ht="14.25" hidden="1" customHeight="1" x14ac:dyDescent="0.25">
      <c r="A458" s="630" t="s">
        <v>77</v>
      </c>
      <c r="B458" s="630"/>
      <c r="C458" s="630"/>
      <c r="D458" s="630"/>
      <c r="E458" s="630"/>
      <c r="F458" s="630"/>
      <c r="G458" s="630"/>
      <c r="H458" s="630"/>
      <c r="I458" s="630"/>
      <c r="J458" s="630"/>
      <c r="K458" s="630"/>
      <c r="L458" s="630"/>
      <c r="M458" s="630"/>
      <c r="N458" s="630"/>
      <c r="O458" s="630"/>
      <c r="P458" s="630"/>
      <c r="Q458" s="630"/>
      <c r="R458" s="630"/>
      <c r="S458" s="630"/>
      <c r="T458" s="630"/>
      <c r="U458" s="630"/>
      <c r="V458" s="630"/>
      <c r="W458" s="630"/>
      <c r="X458" s="630"/>
      <c r="Y458" s="630"/>
      <c r="Z458" s="630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31">
        <v>4680115886100</v>
      </c>
      <c r="E459" s="631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6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33"/>
      <c r="R459" s="633"/>
      <c r="S459" s="633"/>
      <c r="T459" s="634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31">
        <v>4680115886124</v>
      </c>
      <c r="E460" s="631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33"/>
      <c r="R460" s="633"/>
      <c r="S460" s="633"/>
      <c r="T460" s="634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31">
        <v>4607091384338</v>
      </c>
      <c r="E461" s="631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33"/>
      <c r="R461" s="633"/>
      <c r="S461" s="633"/>
      <c r="T461" s="634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31">
        <v>4680115883161</v>
      </c>
      <c r="E462" s="631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33"/>
      <c r="R462" s="633"/>
      <c r="S462" s="633"/>
      <c r="T462" s="634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756</v>
      </c>
      <c r="B463" s="63" t="s">
        <v>757</v>
      </c>
      <c r="C463" s="36">
        <v>4301031358</v>
      </c>
      <c r="D463" s="631">
        <v>4607091389531</v>
      </c>
      <c r="E463" s="631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6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33"/>
      <c r="R463" s="633"/>
      <c r="S463" s="633"/>
      <c r="T463" s="634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31">
        <v>4607091384345</v>
      </c>
      <c r="E464" s="631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6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33"/>
      <c r="R464" s="633"/>
      <c r="S464" s="633"/>
      <c r="T464" s="634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638"/>
      <c r="B465" s="638"/>
      <c r="C465" s="638"/>
      <c r="D465" s="638"/>
      <c r="E465" s="638"/>
      <c r="F465" s="638"/>
      <c r="G465" s="638"/>
      <c r="H465" s="638"/>
      <c r="I465" s="638"/>
      <c r="J465" s="638"/>
      <c r="K465" s="638"/>
      <c r="L465" s="638"/>
      <c r="M465" s="638"/>
      <c r="N465" s="638"/>
      <c r="O465" s="639"/>
      <c r="P465" s="635" t="s">
        <v>40</v>
      </c>
      <c r="Q465" s="636"/>
      <c r="R465" s="636"/>
      <c r="S465" s="636"/>
      <c r="T465" s="636"/>
      <c r="U465" s="636"/>
      <c r="V465" s="637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638"/>
      <c r="B466" s="638"/>
      <c r="C466" s="638"/>
      <c r="D466" s="638"/>
      <c r="E466" s="638"/>
      <c r="F466" s="638"/>
      <c r="G466" s="638"/>
      <c r="H466" s="638"/>
      <c r="I466" s="638"/>
      <c r="J466" s="638"/>
      <c r="K466" s="638"/>
      <c r="L466" s="638"/>
      <c r="M466" s="638"/>
      <c r="N466" s="638"/>
      <c r="O466" s="639"/>
      <c r="P466" s="635" t="s">
        <v>40</v>
      </c>
      <c r="Q466" s="636"/>
      <c r="R466" s="636"/>
      <c r="S466" s="636"/>
      <c r="T466" s="636"/>
      <c r="U466" s="636"/>
      <c r="V466" s="637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30" t="s">
        <v>86</v>
      </c>
      <c r="B467" s="630"/>
      <c r="C467" s="630"/>
      <c r="D467" s="630"/>
      <c r="E467" s="630"/>
      <c r="F467" s="630"/>
      <c r="G467" s="630"/>
      <c r="H467" s="630"/>
      <c r="I467" s="630"/>
      <c r="J467" s="630"/>
      <c r="K467" s="630"/>
      <c r="L467" s="630"/>
      <c r="M467" s="630"/>
      <c r="N467" s="630"/>
      <c r="O467" s="630"/>
      <c r="P467" s="630"/>
      <c r="Q467" s="630"/>
      <c r="R467" s="630"/>
      <c r="S467" s="630"/>
      <c r="T467" s="630"/>
      <c r="U467" s="630"/>
      <c r="V467" s="630"/>
      <c r="W467" s="630"/>
      <c r="X467" s="630"/>
      <c r="Y467" s="630"/>
      <c r="Z467" s="630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31">
        <v>4607091384352</v>
      </c>
      <c r="E468" s="631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33"/>
      <c r="R468" s="633"/>
      <c r="S468" s="633"/>
      <c r="T468" s="634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31">
        <v>4607091389654</v>
      </c>
      <c r="E469" s="631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6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33"/>
      <c r="R469" s="633"/>
      <c r="S469" s="633"/>
      <c r="T469" s="634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38"/>
      <c r="B470" s="638"/>
      <c r="C470" s="638"/>
      <c r="D470" s="638"/>
      <c r="E470" s="638"/>
      <c r="F470" s="638"/>
      <c r="G470" s="638"/>
      <c r="H470" s="638"/>
      <c r="I470" s="638"/>
      <c r="J470" s="638"/>
      <c r="K470" s="638"/>
      <c r="L470" s="638"/>
      <c r="M470" s="638"/>
      <c r="N470" s="638"/>
      <c r="O470" s="639"/>
      <c r="P470" s="635" t="s">
        <v>40</v>
      </c>
      <c r="Q470" s="636"/>
      <c r="R470" s="636"/>
      <c r="S470" s="636"/>
      <c r="T470" s="636"/>
      <c r="U470" s="636"/>
      <c r="V470" s="63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38"/>
      <c r="B471" s="638"/>
      <c r="C471" s="638"/>
      <c r="D471" s="638"/>
      <c r="E471" s="638"/>
      <c r="F471" s="638"/>
      <c r="G471" s="638"/>
      <c r="H471" s="638"/>
      <c r="I471" s="638"/>
      <c r="J471" s="638"/>
      <c r="K471" s="638"/>
      <c r="L471" s="638"/>
      <c r="M471" s="638"/>
      <c r="N471" s="638"/>
      <c r="O471" s="639"/>
      <c r="P471" s="635" t="s">
        <v>40</v>
      </c>
      <c r="Q471" s="636"/>
      <c r="R471" s="636"/>
      <c r="S471" s="636"/>
      <c r="T471" s="636"/>
      <c r="U471" s="636"/>
      <c r="V471" s="63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46" t="s">
        <v>767</v>
      </c>
      <c r="B472" s="646"/>
      <c r="C472" s="646"/>
      <c r="D472" s="646"/>
      <c r="E472" s="646"/>
      <c r="F472" s="646"/>
      <c r="G472" s="646"/>
      <c r="H472" s="646"/>
      <c r="I472" s="646"/>
      <c r="J472" s="646"/>
      <c r="K472" s="646"/>
      <c r="L472" s="646"/>
      <c r="M472" s="646"/>
      <c r="N472" s="646"/>
      <c r="O472" s="646"/>
      <c r="P472" s="646"/>
      <c r="Q472" s="646"/>
      <c r="R472" s="646"/>
      <c r="S472" s="646"/>
      <c r="T472" s="646"/>
      <c r="U472" s="646"/>
      <c r="V472" s="646"/>
      <c r="W472" s="646"/>
      <c r="X472" s="646"/>
      <c r="Y472" s="646"/>
      <c r="Z472" s="646"/>
      <c r="AA472" s="65"/>
      <c r="AB472" s="65"/>
      <c r="AC472" s="79"/>
    </row>
    <row r="473" spans="1:68" ht="14.25" hidden="1" customHeight="1" x14ac:dyDescent="0.25">
      <c r="A473" s="630" t="s">
        <v>164</v>
      </c>
      <c r="B473" s="630"/>
      <c r="C473" s="630"/>
      <c r="D473" s="630"/>
      <c r="E473" s="630"/>
      <c r="F473" s="630"/>
      <c r="G473" s="630"/>
      <c r="H473" s="630"/>
      <c r="I473" s="630"/>
      <c r="J473" s="630"/>
      <c r="K473" s="630"/>
      <c r="L473" s="630"/>
      <c r="M473" s="630"/>
      <c r="N473" s="630"/>
      <c r="O473" s="630"/>
      <c r="P473" s="630"/>
      <c r="Q473" s="630"/>
      <c r="R473" s="630"/>
      <c r="S473" s="630"/>
      <c r="T473" s="630"/>
      <c r="U473" s="630"/>
      <c r="V473" s="630"/>
      <c r="W473" s="630"/>
      <c r="X473" s="630"/>
      <c r="Y473" s="630"/>
      <c r="Z473" s="630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31">
        <v>4680115885240</v>
      </c>
      <c r="E474" s="631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67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33"/>
      <c r="R474" s="633"/>
      <c r="S474" s="633"/>
      <c r="T474" s="634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638"/>
      <c r="B475" s="638"/>
      <c r="C475" s="638"/>
      <c r="D475" s="638"/>
      <c r="E475" s="638"/>
      <c r="F475" s="638"/>
      <c r="G475" s="638"/>
      <c r="H475" s="638"/>
      <c r="I475" s="638"/>
      <c r="J475" s="638"/>
      <c r="K475" s="638"/>
      <c r="L475" s="638"/>
      <c r="M475" s="638"/>
      <c r="N475" s="638"/>
      <c r="O475" s="639"/>
      <c r="P475" s="635" t="s">
        <v>40</v>
      </c>
      <c r="Q475" s="636"/>
      <c r="R475" s="636"/>
      <c r="S475" s="636"/>
      <c r="T475" s="636"/>
      <c r="U475" s="636"/>
      <c r="V475" s="637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638"/>
      <c r="B476" s="638"/>
      <c r="C476" s="638"/>
      <c r="D476" s="638"/>
      <c r="E476" s="638"/>
      <c r="F476" s="638"/>
      <c r="G476" s="638"/>
      <c r="H476" s="638"/>
      <c r="I476" s="638"/>
      <c r="J476" s="638"/>
      <c r="K476" s="638"/>
      <c r="L476" s="638"/>
      <c r="M476" s="638"/>
      <c r="N476" s="638"/>
      <c r="O476" s="639"/>
      <c r="P476" s="635" t="s">
        <v>40</v>
      </c>
      <c r="Q476" s="636"/>
      <c r="R476" s="636"/>
      <c r="S476" s="636"/>
      <c r="T476" s="636"/>
      <c r="U476" s="636"/>
      <c r="V476" s="637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30" t="s">
        <v>77</v>
      </c>
      <c r="B477" s="630"/>
      <c r="C477" s="630"/>
      <c r="D477" s="630"/>
      <c r="E477" s="630"/>
      <c r="F477" s="630"/>
      <c r="G477" s="630"/>
      <c r="H477" s="630"/>
      <c r="I477" s="630"/>
      <c r="J477" s="630"/>
      <c r="K477" s="630"/>
      <c r="L477" s="630"/>
      <c r="M477" s="630"/>
      <c r="N477" s="630"/>
      <c r="O477" s="630"/>
      <c r="P477" s="630"/>
      <c r="Q477" s="630"/>
      <c r="R477" s="630"/>
      <c r="S477" s="630"/>
      <c r="T477" s="630"/>
      <c r="U477" s="630"/>
      <c r="V477" s="630"/>
      <c r="W477" s="630"/>
      <c r="X477" s="630"/>
      <c r="Y477" s="630"/>
      <c r="Z477" s="630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31">
        <v>4680115886094</v>
      </c>
      <c r="E478" s="631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67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33"/>
      <c r="R478" s="633"/>
      <c r="S478" s="633"/>
      <c r="T478" s="63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31">
        <v>4680115880771</v>
      </c>
      <c r="E479" s="631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33"/>
      <c r="R479" s="633"/>
      <c r="S479" s="633"/>
      <c r="T479" s="63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31">
        <v>4607091389500</v>
      </c>
      <c r="E480" s="631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67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33"/>
      <c r="R480" s="633"/>
      <c r="S480" s="633"/>
      <c r="T480" s="63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8"/>
      <c r="B481" s="638"/>
      <c r="C481" s="638"/>
      <c r="D481" s="638"/>
      <c r="E481" s="638"/>
      <c r="F481" s="638"/>
      <c r="G481" s="638"/>
      <c r="H481" s="638"/>
      <c r="I481" s="638"/>
      <c r="J481" s="638"/>
      <c r="K481" s="638"/>
      <c r="L481" s="638"/>
      <c r="M481" s="638"/>
      <c r="N481" s="638"/>
      <c r="O481" s="639"/>
      <c r="P481" s="635" t="s">
        <v>40</v>
      </c>
      <c r="Q481" s="636"/>
      <c r="R481" s="636"/>
      <c r="S481" s="636"/>
      <c r="T481" s="636"/>
      <c r="U481" s="636"/>
      <c r="V481" s="637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638"/>
      <c r="B482" s="638"/>
      <c r="C482" s="638"/>
      <c r="D482" s="638"/>
      <c r="E482" s="638"/>
      <c r="F482" s="638"/>
      <c r="G482" s="638"/>
      <c r="H482" s="638"/>
      <c r="I482" s="638"/>
      <c r="J482" s="638"/>
      <c r="K482" s="638"/>
      <c r="L482" s="638"/>
      <c r="M482" s="638"/>
      <c r="N482" s="638"/>
      <c r="O482" s="639"/>
      <c r="P482" s="635" t="s">
        <v>40</v>
      </c>
      <c r="Q482" s="636"/>
      <c r="R482" s="636"/>
      <c r="S482" s="636"/>
      <c r="T482" s="636"/>
      <c r="U482" s="636"/>
      <c r="V482" s="637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51" t="s">
        <v>779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54"/>
      <c r="AB483" s="54"/>
      <c r="AC483" s="54"/>
    </row>
    <row r="484" spans="1:68" ht="16.5" hidden="1" customHeight="1" x14ac:dyDescent="0.25">
      <c r="A484" s="646" t="s">
        <v>779</v>
      </c>
      <c r="B484" s="646"/>
      <c r="C484" s="646"/>
      <c r="D484" s="646"/>
      <c r="E484" s="646"/>
      <c r="F484" s="646"/>
      <c r="G484" s="646"/>
      <c r="H484" s="646"/>
      <c r="I484" s="646"/>
      <c r="J484" s="646"/>
      <c r="K484" s="646"/>
      <c r="L484" s="646"/>
      <c r="M484" s="646"/>
      <c r="N484" s="646"/>
      <c r="O484" s="646"/>
      <c r="P484" s="646"/>
      <c r="Q484" s="646"/>
      <c r="R484" s="646"/>
      <c r="S484" s="646"/>
      <c r="T484" s="646"/>
      <c r="U484" s="646"/>
      <c r="V484" s="646"/>
      <c r="W484" s="646"/>
      <c r="X484" s="646"/>
      <c r="Y484" s="646"/>
      <c r="Z484" s="646"/>
      <c r="AA484" s="65"/>
      <c r="AB484" s="65"/>
      <c r="AC484" s="79"/>
    </row>
    <row r="485" spans="1:68" ht="14.25" hidden="1" customHeight="1" x14ac:dyDescent="0.25">
      <c r="A485" s="630" t="s">
        <v>128</v>
      </c>
      <c r="B485" s="630"/>
      <c r="C485" s="630"/>
      <c r="D485" s="630"/>
      <c r="E485" s="630"/>
      <c r="F485" s="630"/>
      <c r="G485" s="630"/>
      <c r="H485" s="630"/>
      <c r="I485" s="630"/>
      <c r="J485" s="630"/>
      <c r="K485" s="630"/>
      <c r="L485" s="630"/>
      <c r="M485" s="630"/>
      <c r="N485" s="630"/>
      <c r="O485" s="630"/>
      <c r="P485" s="630"/>
      <c r="Q485" s="630"/>
      <c r="R485" s="630"/>
      <c r="S485" s="630"/>
      <c r="T485" s="630"/>
      <c r="U485" s="630"/>
      <c r="V485" s="630"/>
      <c r="W485" s="630"/>
      <c r="X485" s="630"/>
      <c r="Y485" s="630"/>
      <c r="Z485" s="630"/>
      <c r="AA485" s="66"/>
      <c r="AB485" s="66"/>
      <c r="AC485" s="80"/>
    </row>
    <row r="486" spans="1:68" ht="27" hidden="1" customHeight="1" x14ac:dyDescent="0.25">
      <c r="A486" s="63" t="s">
        <v>780</v>
      </c>
      <c r="B486" s="63" t="s">
        <v>781</v>
      </c>
      <c r="C486" s="36">
        <v>4301011769</v>
      </c>
      <c r="D486" s="631">
        <v>4607091389067</v>
      </c>
      <c r="E486" s="631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33"/>
      <c r="R486" s="633"/>
      <c r="S486" s="633"/>
      <c r="T486" s="634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ref="Y486:Y494" si="62">IFERROR(IF(X486="",0,CEILING((X486/$H486),1)*$H486),"")</f>
        <v>0</v>
      </c>
      <c r="Z486" s="41" t="str">
        <f t="shared" ref="Z486:Z491" si="63">IFERROR(IF(Y486=0,"",ROUNDUP(Y486/H486,0)*0.01196),"")</f>
        <v/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0</v>
      </c>
      <c r="BN486" s="78">
        <f t="shared" ref="BN486:BN494" si="65">IFERROR(Y486*I486/H486,"0")</f>
        <v>0</v>
      </c>
      <c r="BO486" s="78">
        <f t="shared" ref="BO486:BO494" si="66">IFERROR(1/J486*(X486/H486),"0")</f>
        <v>0</v>
      </c>
      <c r="BP486" s="78">
        <f t="shared" ref="BP486:BP494" si="67">IFERROR(1/J486*(Y486/H486),"0")</f>
        <v>0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31">
        <v>4680115889576</v>
      </c>
      <c r="E487" s="631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66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33"/>
      <c r="R487" s="633"/>
      <c r="S487" s="633"/>
      <c r="T487" s="634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31">
        <v>4680115885271</v>
      </c>
      <c r="E488" s="631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67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33"/>
      <c r="R488" s="633"/>
      <c r="S488" s="633"/>
      <c r="T488" s="634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hidden="1" customHeight="1" x14ac:dyDescent="0.25">
      <c r="A489" s="63" t="s">
        <v>788</v>
      </c>
      <c r="B489" s="63" t="s">
        <v>789</v>
      </c>
      <c r="C489" s="36">
        <v>4301011369</v>
      </c>
      <c r="D489" s="631">
        <v>4680115885226</v>
      </c>
      <c r="E489" s="631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6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33"/>
      <c r="R489" s="633"/>
      <c r="S489" s="633"/>
      <c r="T489" s="634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2"/>
        <v>0</v>
      </c>
      <c r="Z489" s="41" t="str">
        <f t="shared" si="63"/>
        <v/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0</v>
      </c>
      <c r="BN489" s="78">
        <f t="shared" si="65"/>
        <v>0</v>
      </c>
      <c r="BO489" s="78">
        <f t="shared" si="66"/>
        <v>0</v>
      </c>
      <c r="BP489" s="78">
        <f t="shared" si="67"/>
        <v>0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31">
        <v>4680115884502</v>
      </c>
      <c r="E490" s="631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66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33"/>
      <c r="R490" s="633"/>
      <c r="S490" s="633"/>
      <c r="T490" s="634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hidden="1" customHeight="1" x14ac:dyDescent="0.25">
      <c r="A491" s="63" t="s">
        <v>794</v>
      </c>
      <c r="B491" s="63" t="s">
        <v>795</v>
      </c>
      <c r="C491" s="36">
        <v>4301011771</v>
      </c>
      <c r="D491" s="631">
        <v>4607091389104</v>
      </c>
      <c r="E491" s="631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66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33"/>
      <c r="R491" s="633"/>
      <c r="S491" s="633"/>
      <c r="T491" s="634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si="62"/>
        <v>0</v>
      </c>
      <c r="Z491" s="41" t="str">
        <f t="shared" si="63"/>
        <v/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0</v>
      </c>
      <c r="BN491" s="78">
        <f t="shared" si="65"/>
        <v>0</v>
      </c>
      <c r="BO491" s="78">
        <f t="shared" si="66"/>
        <v>0</v>
      </c>
      <c r="BP491" s="78">
        <f t="shared" si="67"/>
        <v>0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31">
        <v>4680115886391</v>
      </c>
      <c r="E492" s="631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66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33"/>
      <c r="R492" s="633"/>
      <c r="S492" s="633"/>
      <c r="T492" s="634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hidden="1" customHeight="1" x14ac:dyDescent="0.25">
      <c r="A493" s="63" t="s">
        <v>799</v>
      </c>
      <c r="B493" s="63" t="s">
        <v>800</v>
      </c>
      <c r="C493" s="36">
        <v>4301012048</v>
      </c>
      <c r="D493" s="631">
        <v>4680115880603</v>
      </c>
      <c r="E493" s="631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6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33"/>
      <c r="R493" s="633"/>
      <c r="S493" s="633"/>
      <c r="T493" s="634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2"/>
        <v>0</v>
      </c>
      <c r="Z493" s="41" t="str">
        <f>IFERROR(IF(Y493=0,"",ROUNDUP(Y493/H493,0)*0.00902),"")</f>
        <v/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0</v>
      </c>
      <c r="BN493" s="78">
        <f t="shared" si="65"/>
        <v>0</v>
      </c>
      <c r="BO493" s="78">
        <f t="shared" si="66"/>
        <v>0</v>
      </c>
      <c r="BP493" s="78">
        <f t="shared" si="67"/>
        <v>0</v>
      </c>
    </row>
    <row r="494" spans="1:68" ht="27" hidden="1" customHeight="1" x14ac:dyDescent="0.25">
      <c r="A494" s="63" t="s">
        <v>801</v>
      </c>
      <c r="B494" s="63" t="s">
        <v>802</v>
      </c>
      <c r="C494" s="36">
        <v>4301012034</v>
      </c>
      <c r="D494" s="631">
        <v>4607091389982</v>
      </c>
      <c r="E494" s="631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66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33"/>
      <c r="R494" s="633"/>
      <c r="S494" s="633"/>
      <c r="T494" s="634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2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0</v>
      </c>
      <c r="BN494" s="78">
        <f t="shared" si="65"/>
        <v>0</v>
      </c>
      <c r="BO494" s="78">
        <f t="shared" si="66"/>
        <v>0</v>
      </c>
      <c r="BP494" s="78">
        <f t="shared" si="67"/>
        <v>0</v>
      </c>
    </row>
    <row r="495" spans="1:68" hidden="1" x14ac:dyDescent="0.2">
      <c r="A495" s="638"/>
      <c r="B495" s="638"/>
      <c r="C495" s="638"/>
      <c r="D495" s="638"/>
      <c r="E495" s="638"/>
      <c r="F495" s="638"/>
      <c r="G495" s="638"/>
      <c r="H495" s="638"/>
      <c r="I495" s="638"/>
      <c r="J495" s="638"/>
      <c r="K495" s="638"/>
      <c r="L495" s="638"/>
      <c r="M495" s="638"/>
      <c r="N495" s="638"/>
      <c r="O495" s="639"/>
      <c r="P495" s="635" t="s">
        <v>40</v>
      </c>
      <c r="Q495" s="636"/>
      <c r="R495" s="636"/>
      <c r="S495" s="636"/>
      <c r="T495" s="636"/>
      <c r="U495" s="636"/>
      <c r="V495" s="637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0</v>
      </c>
      <c r="Y495" s="43">
        <f>IFERROR(Y486/H486,"0")+IFERROR(Y487/H487,"0")+IFERROR(Y488/H488,"0")+IFERROR(Y489/H489,"0")+IFERROR(Y490/H490,"0")+IFERROR(Y491/H491,"0")+IFERROR(Y492/H492,"0")+IFERROR(Y493/H493,"0")+IFERROR(Y494/H494,"0")</f>
        <v>0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7"/>
      <c r="AB495" s="67"/>
      <c r="AC495" s="67"/>
    </row>
    <row r="496" spans="1:68" hidden="1" x14ac:dyDescent="0.2">
      <c r="A496" s="638"/>
      <c r="B496" s="638"/>
      <c r="C496" s="638"/>
      <c r="D496" s="638"/>
      <c r="E496" s="638"/>
      <c r="F496" s="638"/>
      <c r="G496" s="638"/>
      <c r="H496" s="638"/>
      <c r="I496" s="638"/>
      <c r="J496" s="638"/>
      <c r="K496" s="638"/>
      <c r="L496" s="638"/>
      <c r="M496" s="638"/>
      <c r="N496" s="638"/>
      <c r="O496" s="639"/>
      <c r="P496" s="635" t="s">
        <v>40</v>
      </c>
      <c r="Q496" s="636"/>
      <c r="R496" s="636"/>
      <c r="S496" s="636"/>
      <c r="T496" s="636"/>
      <c r="U496" s="636"/>
      <c r="V496" s="637"/>
      <c r="W496" s="42" t="s">
        <v>0</v>
      </c>
      <c r="X496" s="43">
        <f>IFERROR(SUM(X486:X494),"0")</f>
        <v>0</v>
      </c>
      <c r="Y496" s="43">
        <f>IFERROR(SUM(Y486:Y494),"0")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630" t="s">
        <v>164</v>
      </c>
      <c r="B497" s="630"/>
      <c r="C497" s="630"/>
      <c r="D497" s="630"/>
      <c r="E497" s="630"/>
      <c r="F497" s="630"/>
      <c r="G497" s="630"/>
      <c r="H497" s="630"/>
      <c r="I497" s="630"/>
      <c r="J497" s="630"/>
      <c r="K497" s="630"/>
      <c r="L497" s="630"/>
      <c r="M497" s="630"/>
      <c r="N497" s="630"/>
      <c r="O497" s="630"/>
      <c r="P497" s="630"/>
      <c r="Q497" s="630"/>
      <c r="R497" s="630"/>
      <c r="S497" s="630"/>
      <c r="T497" s="630"/>
      <c r="U497" s="630"/>
      <c r="V497" s="630"/>
      <c r="W497" s="630"/>
      <c r="X497" s="630"/>
      <c r="Y497" s="630"/>
      <c r="Z497" s="630"/>
      <c r="AA497" s="66"/>
      <c r="AB497" s="66"/>
      <c r="AC497" s="80"/>
    </row>
    <row r="498" spans="1:68" ht="16.5" hidden="1" customHeight="1" x14ac:dyDescent="0.25">
      <c r="A498" s="63" t="s">
        <v>803</v>
      </c>
      <c r="B498" s="63" t="s">
        <v>804</v>
      </c>
      <c r="C498" s="36">
        <v>4301020334</v>
      </c>
      <c r="D498" s="631">
        <v>4607091388930</v>
      </c>
      <c r="E498" s="63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66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33"/>
      <c r="R498" s="633"/>
      <c r="S498" s="633"/>
      <c r="T498" s="634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IFERROR(IF(Y498=0,"",ROUNDUP(Y498/H498,0)*0.01196),"")</f>
        <v/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31">
        <v>4680115886407</v>
      </c>
      <c r="E499" s="631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66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33"/>
      <c r="R499" s="633"/>
      <c r="S499" s="633"/>
      <c r="T499" s="634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hidden="1" customHeight="1" x14ac:dyDescent="0.25">
      <c r="A500" s="63" t="s">
        <v>808</v>
      </c>
      <c r="B500" s="63" t="s">
        <v>809</v>
      </c>
      <c r="C500" s="36">
        <v>4301020385</v>
      </c>
      <c r="D500" s="631">
        <v>4680115880054</v>
      </c>
      <c r="E500" s="631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6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33"/>
      <c r="R500" s="633"/>
      <c r="S500" s="633"/>
      <c r="T500" s="634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IFERROR(IF(Y500=0,"",ROUNDUP(Y500/H500,0)*0.00902),"")</f>
        <v/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638"/>
      <c r="B501" s="638"/>
      <c r="C501" s="638"/>
      <c r="D501" s="638"/>
      <c r="E501" s="638"/>
      <c r="F501" s="638"/>
      <c r="G501" s="638"/>
      <c r="H501" s="638"/>
      <c r="I501" s="638"/>
      <c r="J501" s="638"/>
      <c r="K501" s="638"/>
      <c r="L501" s="638"/>
      <c r="M501" s="638"/>
      <c r="N501" s="638"/>
      <c r="O501" s="639"/>
      <c r="P501" s="635" t="s">
        <v>40</v>
      </c>
      <c r="Q501" s="636"/>
      <c r="R501" s="636"/>
      <c r="S501" s="636"/>
      <c r="T501" s="636"/>
      <c r="U501" s="636"/>
      <c r="V501" s="637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638"/>
      <c r="B502" s="638"/>
      <c r="C502" s="638"/>
      <c r="D502" s="638"/>
      <c r="E502" s="638"/>
      <c r="F502" s="638"/>
      <c r="G502" s="638"/>
      <c r="H502" s="638"/>
      <c r="I502" s="638"/>
      <c r="J502" s="638"/>
      <c r="K502" s="638"/>
      <c r="L502" s="638"/>
      <c r="M502" s="638"/>
      <c r="N502" s="638"/>
      <c r="O502" s="639"/>
      <c r="P502" s="635" t="s">
        <v>40</v>
      </c>
      <c r="Q502" s="636"/>
      <c r="R502" s="636"/>
      <c r="S502" s="636"/>
      <c r="T502" s="636"/>
      <c r="U502" s="636"/>
      <c r="V502" s="637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14.25" hidden="1" customHeight="1" x14ac:dyDescent="0.25">
      <c r="A503" s="630" t="s">
        <v>77</v>
      </c>
      <c r="B503" s="630"/>
      <c r="C503" s="630"/>
      <c r="D503" s="630"/>
      <c r="E503" s="630"/>
      <c r="F503" s="630"/>
      <c r="G503" s="630"/>
      <c r="H503" s="630"/>
      <c r="I503" s="630"/>
      <c r="J503" s="630"/>
      <c r="K503" s="630"/>
      <c r="L503" s="630"/>
      <c r="M503" s="630"/>
      <c r="N503" s="630"/>
      <c r="O503" s="630"/>
      <c r="P503" s="630"/>
      <c r="Q503" s="630"/>
      <c r="R503" s="630"/>
      <c r="S503" s="630"/>
      <c r="T503" s="630"/>
      <c r="U503" s="630"/>
      <c r="V503" s="630"/>
      <c r="W503" s="630"/>
      <c r="X503" s="630"/>
      <c r="Y503" s="630"/>
      <c r="Z503" s="630"/>
      <c r="AA503" s="66"/>
      <c r="AB503" s="66"/>
      <c r="AC503" s="80"/>
    </row>
    <row r="504" spans="1:68" ht="27" hidden="1" customHeight="1" x14ac:dyDescent="0.25">
      <c r="A504" s="63" t="s">
        <v>810</v>
      </c>
      <c r="B504" s="63" t="s">
        <v>811</v>
      </c>
      <c r="C504" s="36">
        <v>4301031349</v>
      </c>
      <c r="D504" s="631">
        <v>4680115883116</v>
      </c>
      <c r="E504" s="631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65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33"/>
      <c r="R504" s="633"/>
      <c r="S504" s="633"/>
      <c r="T504" s="63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0" si="68">IFERROR(IF(X504="",0,CEILING((X504/$H504),1)*$H504),"")</f>
        <v>0</v>
      </c>
      <c r="Z504" s="41" t="str">
        <f>IFERROR(IF(Y504=0,"",ROUNDUP(Y504/H504,0)*0.01196),"")</f>
        <v/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0</v>
      </c>
      <c r="BN504" s="78">
        <f t="shared" ref="BN504:BN510" si="70">IFERROR(Y504*I504/H504,"0")</f>
        <v>0</v>
      </c>
      <c r="BO504" s="78">
        <f t="shared" ref="BO504:BO510" si="71">IFERROR(1/J504*(X504/H504),"0")</f>
        <v>0</v>
      </c>
      <c r="BP504" s="78">
        <f t="shared" ref="BP504:BP510" si="72">IFERROR(1/J504*(Y504/H504),"0")</f>
        <v>0</v>
      </c>
    </row>
    <row r="505" spans="1:68" ht="27" hidden="1" customHeight="1" x14ac:dyDescent="0.25">
      <c r="A505" s="63" t="s">
        <v>813</v>
      </c>
      <c r="B505" s="63" t="s">
        <v>814</v>
      </c>
      <c r="C505" s="36">
        <v>4301031350</v>
      </c>
      <c r="D505" s="631">
        <v>4680115883093</v>
      </c>
      <c r="E505" s="631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65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33"/>
      <c r="R505" s="633"/>
      <c r="S505" s="633"/>
      <c r="T505" s="63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68"/>
        <v>0</v>
      </c>
      <c r="Z505" s="41" t="str">
        <f>IFERROR(IF(Y505=0,"",ROUNDUP(Y505/H505,0)*0.01196),"")</f>
        <v/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0</v>
      </c>
      <c r="BN505" s="78">
        <f t="shared" si="70"/>
        <v>0</v>
      </c>
      <c r="BO505" s="78">
        <f t="shared" si="71"/>
        <v>0</v>
      </c>
      <c r="BP505" s="78">
        <f t="shared" si="72"/>
        <v>0</v>
      </c>
    </row>
    <row r="506" spans="1:68" ht="27" hidden="1" customHeight="1" x14ac:dyDescent="0.25">
      <c r="A506" s="63" t="s">
        <v>816</v>
      </c>
      <c r="B506" s="63" t="s">
        <v>817</v>
      </c>
      <c r="C506" s="36">
        <v>4301031353</v>
      </c>
      <c r="D506" s="631">
        <v>4680115883109</v>
      </c>
      <c r="E506" s="631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6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33"/>
      <c r="R506" s="633"/>
      <c r="S506" s="633"/>
      <c r="T506" s="63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68"/>
        <v>0</v>
      </c>
      <c r="Z506" s="41" t="str">
        <f>IFERROR(IF(Y506=0,"",ROUNDUP(Y506/H506,0)*0.01196),"")</f>
        <v/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0</v>
      </c>
      <c r="BN506" s="78">
        <f t="shared" si="70"/>
        <v>0</v>
      </c>
      <c r="BO506" s="78">
        <f t="shared" si="71"/>
        <v>0</v>
      </c>
      <c r="BP506" s="78">
        <f t="shared" si="72"/>
        <v>0</v>
      </c>
    </row>
    <row r="507" spans="1:68" ht="27" hidden="1" customHeight="1" x14ac:dyDescent="0.25">
      <c r="A507" s="63" t="s">
        <v>819</v>
      </c>
      <c r="B507" s="63" t="s">
        <v>820</v>
      </c>
      <c r="C507" s="36">
        <v>4301031419</v>
      </c>
      <c r="D507" s="631">
        <v>4680115882072</v>
      </c>
      <c r="E507" s="631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65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33"/>
      <c r="R507" s="633"/>
      <c r="S507" s="633"/>
      <c r="T507" s="634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6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0</v>
      </c>
      <c r="BN507" s="78">
        <f t="shared" si="70"/>
        <v>0</v>
      </c>
      <c r="BO507" s="78">
        <f t="shared" si="71"/>
        <v>0</v>
      </c>
      <c r="BP507" s="78">
        <f t="shared" si="72"/>
        <v>0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31">
        <v>4680115882102</v>
      </c>
      <c r="E508" s="631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65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33"/>
      <c r="R508" s="633"/>
      <c r="S508" s="633"/>
      <c r="T508" s="634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hidden="1" customHeight="1" x14ac:dyDescent="0.25">
      <c r="A509" s="63" t="s">
        <v>821</v>
      </c>
      <c r="B509" s="63" t="s">
        <v>823</v>
      </c>
      <c r="C509" s="36">
        <v>4301031418</v>
      </c>
      <c r="D509" s="631">
        <v>4680115882102</v>
      </c>
      <c r="E509" s="631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65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33"/>
      <c r="R509" s="633"/>
      <c r="S509" s="633"/>
      <c r="T509" s="634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68"/>
        <v>0</v>
      </c>
      <c r="Z509" s="41" t="str">
        <f>IFERROR(IF(Y509=0,"",ROUNDUP(Y509/H509,0)*0.00902),"")</f>
        <v/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0</v>
      </c>
      <c r="BN509" s="78">
        <f t="shared" si="70"/>
        <v>0</v>
      </c>
      <c r="BO509" s="78">
        <f t="shared" si="71"/>
        <v>0</v>
      </c>
      <c r="BP509" s="78">
        <f t="shared" si="72"/>
        <v>0</v>
      </c>
    </row>
    <row r="510" spans="1:68" ht="27" hidden="1" customHeight="1" x14ac:dyDescent="0.25">
      <c r="A510" s="63" t="s">
        <v>824</v>
      </c>
      <c r="B510" s="63" t="s">
        <v>825</v>
      </c>
      <c r="C510" s="36">
        <v>4301031417</v>
      </c>
      <c r="D510" s="631">
        <v>4680115882096</v>
      </c>
      <c r="E510" s="631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65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33"/>
      <c r="R510" s="633"/>
      <c r="S510" s="633"/>
      <c r="T510" s="634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68"/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0</v>
      </c>
      <c r="BN510" s="78">
        <f t="shared" si="70"/>
        <v>0</v>
      </c>
      <c r="BO510" s="78">
        <f t="shared" si="71"/>
        <v>0</v>
      </c>
      <c r="BP510" s="78">
        <f t="shared" si="72"/>
        <v>0</v>
      </c>
    </row>
    <row r="511" spans="1:68" hidden="1" x14ac:dyDescent="0.2">
      <c r="A511" s="638"/>
      <c r="B511" s="638"/>
      <c r="C511" s="638"/>
      <c r="D511" s="638"/>
      <c r="E511" s="638"/>
      <c r="F511" s="638"/>
      <c r="G511" s="638"/>
      <c r="H511" s="638"/>
      <c r="I511" s="638"/>
      <c r="J511" s="638"/>
      <c r="K511" s="638"/>
      <c r="L511" s="638"/>
      <c r="M511" s="638"/>
      <c r="N511" s="638"/>
      <c r="O511" s="639"/>
      <c r="P511" s="635" t="s">
        <v>40</v>
      </c>
      <c r="Q511" s="636"/>
      <c r="R511" s="636"/>
      <c r="S511" s="636"/>
      <c r="T511" s="636"/>
      <c r="U511" s="636"/>
      <c r="V511" s="637"/>
      <c r="W511" s="42" t="s">
        <v>39</v>
      </c>
      <c r="X511" s="43">
        <f>IFERROR(X504/H504,"0")+IFERROR(X505/H505,"0")+IFERROR(X506/H506,"0")+IFERROR(X507/H507,"0")+IFERROR(X508/H508,"0")+IFERROR(X509/H509,"0")+IFERROR(X510/H510,"0")</f>
        <v>0</v>
      </c>
      <c r="Y511" s="43">
        <f>IFERROR(Y504/H504,"0")+IFERROR(Y505/H505,"0")+IFERROR(Y506/H506,"0")+IFERROR(Y507/H507,"0")+IFERROR(Y508/H508,"0")+IFERROR(Y509/H509,"0")+IFERROR(Y510/H510,"0")</f>
        <v>0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638"/>
      <c r="B512" s="638"/>
      <c r="C512" s="638"/>
      <c r="D512" s="638"/>
      <c r="E512" s="638"/>
      <c r="F512" s="638"/>
      <c r="G512" s="638"/>
      <c r="H512" s="638"/>
      <c r="I512" s="638"/>
      <c r="J512" s="638"/>
      <c r="K512" s="638"/>
      <c r="L512" s="638"/>
      <c r="M512" s="638"/>
      <c r="N512" s="638"/>
      <c r="O512" s="639"/>
      <c r="P512" s="635" t="s">
        <v>40</v>
      </c>
      <c r="Q512" s="636"/>
      <c r="R512" s="636"/>
      <c r="S512" s="636"/>
      <c r="T512" s="636"/>
      <c r="U512" s="636"/>
      <c r="V512" s="637"/>
      <c r="W512" s="42" t="s">
        <v>0</v>
      </c>
      <c r="X512" s="43">
        <f>IFERROR(SUM(X504:X510),"0")</f>
        <v>0</v>
      </c>
      <c r="Y512" s="43">
        <f>IFERROR(SUM(Y504:Y510),"0")</f>
        <v>0</v>
      </c>
      <c r="Z512" s="42"/>
      <c r="AA512" s="67"/>
      <c r="AB512" s="67"/>
      <c r="AC512" s="67"/>
    </row>
    <row r="513" spans="1:68" ht="27.75" hidden="1" customHeight="1" x14ac:dyDescent="0.2">
      <c r="A513" s="651" t="s">
        <v>826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54"/>
      <c r="AB513" s="54"/>
      <c r="AC513" s="54"/>
    </row>
    <row r="514" spans="1:68" ht="16.5" hidden="1" customHeight="1" x14ac:dyDescent="0.25">
      <c r="A514" s="646" t="s">
        <v>826</v>
      </c>
      <c r="B514" s="646"/>
      <c r="C514" s="646"/>
      <c r="D514" s="646"/>
      <c r="E514" s="646"/>
      <c r="F514" s="646"/>
      <c r="G514" s="646"/>
      <c r="H514" s="646"/>
      <c r="I514" s="646"/>
      <c r="J514" s="646"/>
      <c r="K514" s="646"/>
      <c r="L514" s="646"/>
      <c r="M514" s="646"/>
      <c r="N514" s="646"/>
      <c r="O514" s="646"/>
      <c r="P514" s="646"/>
      <c r="Q514" s="646"/>
      <c r="R514" s="646"/>
      <c r="S514" s="646"/>
      <c r="T514" s="646"/>
      <c r="U514" s="646"/>
      <c r="V514" s="646"/>
      <c r="W514" s="646"/>
      <c r="X514" s="646"/>
      <c r="Y514" s="646"/>
      <c r="Z514" s="646"/>
      <c r="AA514" s="65"/>
      <c r="AB514" s="65"/>
      <c r="AC514" s="79"/>
    </row>
    <row r="515" spans="1:68" ht="14.25" hidden="1" customHeight="1" x14ac:dyDescent="0.25">
      <c r="A515" s="630" t="s">
        <v>128</v>
      </c>
      <c r="B515" s="630"/>
      <c r="C515" s="630"/>
      <c r="D515" s="630"/>
      <c r="E515" s="630"/>
      <c r="F515" s="630"/>
      <c r="G515" s="630"/>
      <c r="H515" s="630"/>
      <c r="I515" s="630"/>
      <c r="J515" s="630"/>
      <c r="K515" s="630"/>
      <c r="L515" s="630"/>
      <c r="M515" s="630"/>
      <c r="N515" s="630"/>
      <c r="O515" s="630"/>
      <c r="P515" s="630"/>
      <c r="Q515" s="630"/>
      <c r="R515" s="630"/>
      <c r="S515" s="630"/>
      <c r="T515" s="630"/>
      <c r="U515" s="630"/>
      <c r="V515" s="630"/>
      <c r="W515" s="630"/>
      <c r="X515" s="630"/>
      <c r="Y515" s="630"/>
      <c r="Z515" s="630"/>
      <c r="AA515" s="66"/>
      <c r="AB515" s="66"/>
      <c r="AC515" s="80"/>
    </row>
    <row r="516" spans="1:68" ht="27" hidden="1" customHeight="1" x14ac:dyDescent="0.25">
      <c r="A516" s="63" t="s">
        <v>827</v>
      </c>
      <c r="B516" s="63" t="s">
        <v>828</v>
      </c>
      <c r="C516" s="36">
        <v>4301011584</v>
      </c>
      <c r="D516" s="631">
        <v>4640242180564</v>
      </c>
      <c r="E516" s="631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65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33"/>
      <c r="R516" s="633"/>
      <c r="S516" s="633"/>
      <c r="T516" s="634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638"/>
      <c r="B517" s="638"/>
      <c r="C517" s="638"/>
      <c r="D517" s="638"/>
      <c r="E517" s="638"/>
      <c r="F517" s="638"/>
      <c r="G517" s="638"/>
      <c r="H517" s="638"/>
      <c r="I517" s="638"/>
      <c r="J517" s="638"/>
      <c r="K517" s="638"/>
      <c r="L517" s="638"/>
      <c r="M517" s="638"/>
      <c r="N517" s="638"/>
      <c r="O517" s="639"/>
      <c r="P517" s="635" t="s">
        <v>40</v>
      </c>
      <c r="Q517" s="636"/>
      <c r="R517" s="636"/>
      <c r="S517" s="636"/>
      <c r="T517" s="636"/>
      <c r="U517" s="636"/>
      <c r="V517" s="637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638"/>
      <c r="B518" s="638"/>
      <c r="C518" s="638"/>
      <c r="D518" s="638"/>
      <c r="E518" s="638"/>
      <c r="F518" s="638"/>
      <c r="G518" s="638"/>
      <c r="H518" s="638"/>
      <c r="I518" s="638"/>
      <c r="J518" s="638"/>
      <c r="K518" s="638"/>
      <c r="L518" s="638"/>
      <c r="M518" s="638"/>
      <c r="N518" s="638"/>
      <c r="O518" s="639"/>
      <c r="P518" s="635" t="s">
        <v>40</v>
      </c>
      <c r="Q518" s="636"/>
      <c r="R518" s="636"/>
      <c r="S518" s="636"/>
      <c r="T518" s="636"/>
      <c r="U518" s="636"/>
      <c r="V518" s="637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30" t="s">
        <v>164</v>
      </c>
      <c r="B519" s="630"/>
      <c r="C519" s="630"/>
      <c r="D519" s="630"/>
      <c r="E519" s="630"/>
      <c r="F519" s="630"/>
      <c r="G519" s="630"/>
      <c r="H519" s="630"/>
      <c r="I519" s="630"/>
      <c r="J519" s="630"/>
      <c r="K519" s="630"/>
      <c r="L519" s="630"/>
      <c r="M519" s="630"/>
      <c r="N519" s="630"/>
      <c r="O519" s="630"/>
      <c r="P519" s="630"/>
      <c r="Q519" s="630"/>
      <c r="R519" s="630"/>
      <c r="S519" s="630"/>
      <c r="T519" s="630"/>
      <c r="U519" s="630"/>
      <c r="V519" s="630"/>
      <c r="W519" s="630"/>
      <c r="X519" s="630"/>
      <c r="Y519" s="630"/>
      <c r="Z519" s="630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31">
        <v>4640242180519</v>
      </c>
      <c r="E520" s="631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6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33"/>
      <c r="R520" s="633"/>
      <c r="S520" s="633"/>
      <c r="T520" s="634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638"/>
      <c r="B521" s="638"/>
      <c r="C521" s="638"/>
      <c r="D521" s="638"/>
      <c r="E521" s="638"/>
      <c r="F521" s="638"/>
      <c r="G521" s="638"/>
      <c r="H521" s="638"/>
      <c r="I521" s="638"/>
      <c r="J521" s="638"/>
      <c r="K521" s="638"/>
      <c r="L521" s="638"/>
      <c r="M521" s="638"/>
      <c r="N521" s="638"/>
      <c r="O521" s="639"/>
      <c r="P521" s="635" t="s">
        <v>40</v>
      </c>
      <c r="Q521" s="636"/>
      <c r="R521" s="636"/>
      <c r="S521" s="636"/>
      <c r="T521" s="636"/>
      <c r="U521" s="636"/>
      <c r="V521" s="637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638"/>
      <c r="B522" s="638"/>
      <c r="C522" s="638"/>
      <c r="D522" s="638"/>
      <c r="E522" s="638"/>
      <c r="F522" s="638"/>
      <c r="G522" s="638"/>
      <c r="H522" s="638"/>
      <c r="I522" s="638"/>
      <c r="J522" s="638"/>
      <c r="K522" s="638"/>
      <c r="L522" s="638"/>
      <c r="M522" s="638"/>
      <c r="N522" s="638"/>
      <c r="O522" s="639"/>
      <c r="P522" s="635" t="s">
        <v>40</v>
      </c>
      <c r="Q522" s="636"/>
      <c r="R522" s="636"/>
      <c r="S522" s="636"/>
      <c r="T522" s="636"/>
      <c r="U522" s="636"/>
      <c r="V522" s="637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30" t="s">
        <v>77</v>
      </c>
      <c r="B523" s="630"/>
      <c r="C523" s="630"/>
      <c r="D523" s="630"/>
      <c r="E523" s="630"/>
      <c r="F523" s="630"/>
      <c r="G523" s="630"/>
      <c r="H523" s="630"/>
      <c r="I523" s="630"/>
      <c r="J523" s="630"/>
      <c r="K523" s="630"/>
      <c r="L523" s="630"/>
      <c r="M523" s="630"/>
      <c r="N523" s="630"/>
      <c r="O523" s="630"/>
      <c r="P523" s="630"/>
      <c r="Q523" s="630"/>
      <c r="R523" s="630"/>
      <c r="S523" s="630"/>
      <c r="T523" s="630"/>
      <c r="U523" s="630"/>
      <c r="V523" s="630"/>
      <c r="W523" s="630"/>
      <c r="X523" s="630"/>
      <c r="Y523" s="630"/>
      <c r="Z523" s="630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31">
        <v>4640242180595</v>
      </c>
      <c r="E524" s="631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64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33"/>
      <c r="R524" s="633"/>
      <c r="S524" s="633"/>
      <c r="T524" s="634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31">
        <v>4640242180595</v>
      </c>
      <c r="E525" s="631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65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33"/>
      <c r="R525" s="633"/>
      <c r="S525" s="633"/>
      <c r="T525" s="634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8"/>
      <c r="B526" s="638"/>
      <c r="C526" s="638"/>
      <c r="D526" s="638"/>
      <c r="E526" s="638"/>
      <c r="F526" s="638"/>
      <c r="G526" s="638"/>
      <c r="H526" s="638"/>
      <c r="I526" s="638"/>
      <c r="J526" s="638"/>
      <c r="K526" s="638"/>
      <c r="L526" s="638"/>
      <c r="M526" s="638"/>
      <c r="N526" s="638"/>
      <c r="O526" s="639"/>
      <c r="P526" s="635" t="s">
        <v>40</v>
      </c>
      <c r="Q526" s="636"/>
      <c r="R526" s="636"/>
      <c r="S526" s="636"/>
      <c r="T526" s="636"/>
      <c r="U526" s="636"/>
      <c r="V526" s="637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638"/>
      <c r="B527" s="638"/>
      <c r="C527" s="638"/>
      <c r="D527" s="638"/>
      <c r="E527" s="638"/>
      <c r="F527" s="638"/>
      <c r="G527" s="638"/>
      <c r="H527" s="638"/>
      <c r="I527" s="638"/>
      <c r="J527" s="638"/>
      <c r="K527" s="638"/>
      <c r="L527" s="638"/>
      <c r="M527" s="638"/>
      <c r="N527" s="638"/>
      <c r="O527" s="639"/>
      <c r="P527" s="635" t="s">
        <v>40</v>
      </c>
      <c r="Q527" s="636"/>
      <c r="R527" s="636"/>
      <c r="S527" s="636"/>
      <c r="T527" s="636"/>
      <c r="U527" s="636"/>
      <c r="V527" s="637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30" t="s">
        <v>86</v>
      </c>
      <c r="B528" s="630"/>
      <c r="C528" s="630"/>
      <c r="D528" s="630"/>
      <c r="E528" s="630"/>
      <c r="F528" s="630"/>
      <c r="G528" s="630"/>
      <c r="H528" s="630"/>
      <c r="I528" s="630"/>
      <c r="J528" s="630"/>
      <c r="K528" s="630"/>
      <c r="L528" s="630"/>
      <c r="M528" s="630"/>
      <c r="N528" s="630"/>
      <c r="O528" s="630"/>
      <c r="P528" s="630"/>
      <c r="Q528" s="630"/>
      <c r="R528" s="630"/>
      <c r="S528" s="630"/>
      <c r="T528" s="630"/>
      <c r="U528" s="630"/>
      <c r="V528" s="630"/>
      <c r="W528" s="630"/>
      <c r="X528" s="630"/>
      <c r="Y528" s="630"/>
      <c r="Z528" s="630"/>
      <c r="AA528" s="66"/>
      <c r="AB528" s="66"/>
      <c r="AC528" s="80"/>
    </row>
    <row r="529" spans="1:68" ht="27" hidden="1" customHeight="1" x14ac:dyDescent="0.25">
      <c r="A529" s="63" t="s">
        <v>838</v>
      </c>
      <c r="B529" s="63" t="s">
        <v>839</v>
      </c>
      <c r="C529" s="36">
        <v>4301052043</v>
      </c>
      <c r="D529" s="631">
        <v>4640242180533</v>
      </c>
      <c r="E529" s="631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33"/>
      <c r="R529" s="633"/>
      <c r="S529" s="633"/>
      <c r="T529" s="634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638"/>
      <c r="B530" s="638"/>
      <c r="C530" s="638"/>
      <c r="D530" s="638"/>
      <c r="E530" s="638"/>
      <c r="F530" s="638"/>
      <c r="G530" s="638"/>
      <c r="H530" s="638"/>
      <c r="I530" s="638"/>
      <c r="J530" s="638"/>
      <c r="K530" s="638"/>
      <c r="L530" s="638"/>
      <c r="M530" s="638"/>
      <c r="N530" s="638"/>
      <c r="O530" s="639"/>
      <c r="P530" s="635" t="s">
        <v>40</v>
      </c>
      <c r="Q530" s="636"/>
      <c r="R530" s="636"/>
      <c r="S530" s="636"/>
      <c r="T530" s="636"/>
      <c r="U530" s="636"/>
      <c r="V530" s="637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638"/>
      <c r="B531" s="638"/>
      <c r="C531" s="638"/>
      <c r="D531" s="638"/>
      <c r="E531" s="638"/>
      <c r="F531" s="638"/>
      <c r="G531" s="638"/>
      <c r="H531" s="638"/>
      <c r="I531" s="638"/>
      <c r="J531" s="638"/>
      <c r="K531" s="638"/>
      <c r="L531" s="638"/>
      <c r="M531" s="638"/>
      <c r="N531" s="638"/>
      <c r="O531" s="639"/>
      <c r="P531" s="635" t="s">
        <v>40</v>
      </c>
      <c r="Q531" s="636"/>
      <c r="R531" s="636"/>
      <c r="S531" s="636"/>
      <c r="T531" s="636"/>
      <c r="U531" s="636"/>
      <c r="V531" s="637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630" t="s">
        <v>181</v>
      </c>
      <c r="B532" s="630"/>
      <c r="C532" s="630"/>
      <c r="D532" s="630"/>
      <c r="E532" s="630"/>
      <c r="F532" s="630"/>
      <c r="G532" s="630"/>
      <c r="H532" s="630"/>
      <c r="I532" s="630"/>
      <c r="J532" s="630"/>
      <c r="K532" s="630"/>
      <c r="L532" s="630"/>
      <c r="M532" s="630"/>
      <c r="N532" s="630"/>
      <c r="O532" s="630"/>
      <c r="P532" s="630"/>
      <c r="Q532" s="630"/>
      <c r="R532" s="630"/>
      <c r="S532" s="630"/>
      <c r="T532" s="630"/>
      <c r="U532" s="630"/>
      <c r="V532" s="630"/>
      <c r="W532" s="630"/>
      <c r="X532" s="630"/>
      <c r="Y532" s="630"/>
      <c r="Z532" s="630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31">
        <v>4640242180120</v>
      </c>
      <c r="E533" s="631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64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33"/>
      <c r="R533" s="633"/>
      <c r="S533" s="633"/>
      <c r="T533" s="634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31">
        <v>4640242180137</v>
      </c>
      <c r="E534" s="631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64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33"/>
      <c r="R534" s="633"/>
      <c r="S534" s="633"/>
      <c r="T534" s="634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638"/>
      <c r="B535" s="638"/>
      <c r="C535" s="638"/>
      <c r="D535" s="638"/>
      <c r="E535" s="638"/>
      <c r="F535" s="638"/>
      <c r="G535" s="638"/>
      <c r="H535" s="638"/>
      <c r="I535" s="638"/>
      <c r="J535" s="638"/>
      <c r="K535" s="638"/>
      <c r="L535" s="638"/>
      <c r="M535" s="638"/>
      <c r="N535" s="638"/>
      <c r="O535" s="639"/>
      <c r="P535" s="635" t="s">
        <v>40</v>
      </c>
      <c r="Q535" s="636"/>
      <c r="R535" s="636"/>
      <c r="S535" s="636"/>
      <c r="T535" s="636"/>
      <c r="U535" s="636"/>
      <c r="V535" s="637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638"/>
      <c r="B536" s="638"/>
      <c r="C536" s="638"/>
      <c r="D536" s="638"/>
      <c r="E536" s="638"/>
      <c r="F536" s="638"/>
      <c r="G536" s="638"/>
      <c r="H536" s="638"/>
      <c r="I536" s="638"/>
      <c r="J536" s="638"/>
      <c r="K536" s="638"/>
      <c r="L536" s="638"/>
      <c r="M536" s="638"/>
      <c r="N536" s="638"/>
      <c r="O536" s="639"/>
      <c r="P536" s="635" t="s">
        <v>40</v>
      </c>
      <c r="Q536" s="636"/>
      <c r="R536" s="636"/>
      <c r="S536" s="636"/>
      <c r="T536" s="636"/>
      <c r="U536" s="636"/>
      <c r="V536" s="637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46" t="s">
        <v>847</v>
      </c>
      <c r="B537" s="646"/>
      <c r="C537" s="646"/>
      <c r="D537" s="646"/>
      <c r="E537" s="646"/>
      <c r="F537" s="646"/>
      <c r="G537" s="646"/>
      <c r="H537" s="646"/>
      <c r="I537" s="646"/>
      <c r="J537" s="646"/>
      <c r="K537" s="646"/>
      <c r="L537" s="646"/>
      <c r="M537" s="646"/>
      <c r="N537" s="646"/>
      <c r="O537" s="646"/>
      <c r="P537" s="646"/>
      <c r="Q537" s="646"/>
      <c r="R537" s="646"/>
      <c r="S537" s="646"/>
      <c r="T537" s="646"/>
      <c r="U537" s="646"/>
      <c r="V537" s="646"/>
      <c r="W537" s="646"/>
      <c r="X537" s="646"/>
      <c r="Y537" s="646"/>
      <c r="Z537" s="646"/>
      <c r="AA537" s="65"/>
      <c r="AB537" s="65"/>
      <c r="AC537" s="79"/>
    </row>
    <row r="538" spans="1:68" ht="14.25" hidden="1" customHeight="1" x14ac:dyDescent="0.25">
      <c r="A538" s="630" t="s">
        <v>164</v>
      </c>
      <c r="B538" s="630"/>
      <c r="C538" s="630"/>
      <c r="D538" s="630"/>
      <c r="E538" s="630"/>
      <c r="F538" s="630"/>
      <c r="G538" s="630"/>
      <c r="H538" s="630"/>
      <c r="I538" s="630"/>
      <c r="J538" s="630"/>
      <c r="K538" s="630"/>
      <c r="L538" s="630"/>
      <c r="M538" s="630"/>
      <c r="N538" s="630"/>
      <c r="O538" s="630"/>
      <c r="P538" s="630"/>
      <c r="Q538" s="630"/>
      <c r="R538" s="630"/>
      <c r="S538" s="630"/>
      <c r="T538" s="630"/>
      <c r="U538" s="630"/>
      <c r="V538" s="630"/>
      <c r="W538" s="630"/>
      <c r="X538" s="630"/>
      <c r="Y538" s="630"/>
      <c r="Z538" s="630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31">
        <v>4640242180090</v>
      </c>
      <c r="E539" s="631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63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33"/>
      <c r="R539" s="633"/>
      <c r="S539" s="633"/>
      <c r="T539" s="634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38"/>
      <c r="B540" s="638"/>
      <c r="C540" s="638"/>
      <c r="D540" s="638"/>
      <c r="E540" s="638"/>
      <c r="F540" s="638"/>
      <c r="G540" s="638"/>
      <c r="H540" s="638"/>
      <c r="I540" s="638"/>
      <c r="J540" s="638"/>
      <c r="K540" s="638"/>
      <c r="L540" s="638"/>
      <c r="M540" s="638"/>
      <c r="N540" s="638"/>
      <c r="O540" s="639"/>
      <c r="P540" s="635" t="s">
        <v>40</v>
      </c>
      <c r="Q540" s="636"/>
      <c r="R540" s="636"/>
      <c r="S540" s="636"/>
      <c r="T540" s="636"/>
      <c r="U540" s="636"/>
      <c r="V540" s="637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38"/>
      <c r="B541" s="638"/>
      <c r="C541" s="638"/>
      <c r="D541" s="638"/>
      <c r="E541" s="638"/>
      <c r="F541" s="638"/>
      <c r="G541" s="638"/>
      <c r="H541" s="638"/>
      <c r="I541" s="638"/>
      <c r="J541" s="638"/>
      <c r="K541" s="638"/>
      <c r="L541" s="638"/>
      <c r="M541" s="638"/>
      <c r="N541" s="638"/>
      <c r="O541" s="639"/>
      <c r="P541" s="635" t="s">
        <v>40</v>
      </c>
      <c r="Q541" s="636"/>
      <c r="R541" s="636"/>
      <c r="S541" s="636"/>
      <c r="T541" s="636"/>
      <c r="U541" s="636"/>
      <c r="V541" s="637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638"/>
      <c r="B542" s="638"/>
      <c r="C542" s="638"/>
      <c r="D542" s="638"/>
      <c r="E542" s="638"/>
      <c r="F542" s="638"/>
      <c r="G542" s="638"/>
      <c r="H542" s="638"/>
      <c r="I542" s="638"/>
      <c r="J542" s="638"/>
      <c r="K542" s="638"/>
      <c r="L542" s="638"/>
      <c r="M542" s="638"/>
      <c r="N542" s="638"/>
      <c r="O542" s="643"/>
      <c r="P542" s="640" t="s">
        <v>33</v>
      </c>
      <c r="Q542" s="641"/>
      <c r="R542" s="641"/>
      <c r="S542" s="641"/>
      <c r="T542" s="641"/>
      <c r="U542" s="641"/>
      <c r="V542" s="642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2500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2503.7999999999997</v>
      </c>
      <c r="Z542" s="42"/>
      <c r="AA542" s="67"/>
      <c r="AB542" s="67"/>
      <c r="AC542" s="67"/>
    </row>
    <row r="543" spans="1:68" x14ac:dyDescent="0.2">
      <c r="A543" s="638"/>
      <c r="B543" s="638"/>
      <c r="C543" s="638"/>
      <c r="D543" s="638"/>
      <c r="E543" s="638"/>
      <c r="F543" s="638"/>
      <c r="G543" s="638"/>
      <c r="H543" s="638"/>
      <c r="I543" s="638"/>
      <c r="J543" s="638"/>
      <c r="K543" s="638"/>
      <c r="L543" s="638"/>
      <c r="M543" s="638"/>
      <c r="N543" s="638"/>
      <c r="O543" s="643"/>
      <c r="P543" s="640" t="s">
        <v>34</v>
      </c>
      <c r="Q543" s="641"/>
      <c r="R543" s="641"/>
      <c r="S543" s="641"/>
      <c r="T543" s="641"/>
      <c r="U543" s="641"/>
      <c r="V543" s="642"/>
      <c r="W543" s="42" t="s">
        <v>0</v>
      </c>
      <c r="X543" s="43">
        <f>IFERROR(SUM(BM22:BM539),"0")</f>
        <v>2656.4102564102564</v>
      </c>
      <c r="Y543" s="43">
        <f>IFERROR(SUM(BN22:BN539),"0")</f>
        <v>2660.4479999999999</v>
      </c>
      <c r="Z543" s="42"/>
      <c r="AA543" s="67"/>
      <c r="AB543" s="67"/>
      <c r="AC543" s="67"/>
    </row>
    <row r="544" spans="1:68" x14ac:dyDescent="0.2">
      <c r="A544" s="638"/>
      <c r="B544" s="638"/>
      <c r="C544" s="638"/>
      <c r="D544" s="638"/>
      <c r="E544" s="638"/>
      <c r="F544" s="638"/>
      <c r="G544" s="638"/>
      <c r="H544" s="638"/>
      <c r="I544" s="638"/>
      <c r="J544" s="638"/>
      <c r="K544" s="638"/>
      <c r="L544" s="638"/>
      <c r="M544" s="638"/>
      <c r="N544" s="638"/>
      <c r="O544" s="643"/>
      <c r="P544" s="640" t="s">
        <v>35</v>
      </c>
      <c r="Q544" s="641"/>
      <c r="R544" s="641"/>
      <c r="S544" s="641"/>
      <c r="T544" s="641"/>
      <c r="U544" s="641"/>
      <c r="V544" s="642"/>
      <c r="W544" s="42" t="s">
        <v>20</v>
      </c>
      <c r="X544" s="44">
        <f>ROUNDUP(SUM(BO22:BO539),0)</f>
        <v>6</v>
      </c>
      <c r="Y544" s="44">
        <f>ROUNDUP(SUM(BP22:BP539),0)</f>
        <v>6</v>
      </c>
      <c r="Z544" s="42"/>
      <c r="AA544" s="67"/>
      <c r="AB544" s="67"/>
      <c r="AC544" s="67"/>
    </row>
    <row r="545" spans="1:32" x14ac:dyDescent="0.2">
      <c r="A545" s="638"/>
      <c r="B545" s="638"/>
      <c r="C545" s="638"/>
      <c r="D545" s="638"/>
      <c r="E545" s="638"/>
      <c r="F545" s="638"/>
      <c r="G545" s="638"/>
      <c r="H545" s="638"/>
      <c r="I545" s="638"/>
      <c r="J545" s="638"/>
      <c r="K545" s="638"/>
      <c r="L545" s="638"/>
      <c r="M545" s="638"/>
      <c r="N545" s="638"/>
      <c r="O545" s="643"/>
      <c r="P545" s="640" t="s">
        <v>36</v>
      </c>
      <c r="Q545" s="641"/>
      <c r="R545" s="641"/>
      <c r="S545" s="641"/>
      <c r="T545" s="641"/>
      <c r="U545" s="641"/>
      <c r="V545" s="642"/>
      <c r="W545" s="42" t="s">
        <v>0</v>
      </c>
      <c r="X545" s="43">
        <f>GrossWeightTotal+PalletQtyTotal*25</f>
        <v>2806.4102564102564</v>
      </c>
      <c r="Y545" s="43">
        <f>GrossWeightTotalR+PalletQtyTotalR*25</f>
        <v>2810.4479999999999</v>
      </c>
      <c r="Z545" s="42"/>
      <c r="AA545" s="67"/>
      <c r="AB545" s="67"/>
      <c r="AC545" s="67"/>
    </row>
    <row r="546" spans="1:32" x14ac:dyDescent="0.2">
      <c r="A546" s="638"/>
      <c r="B546" s="638"/>
      <c r="C546" s="638"/>
      <c r="D546" s="638"/>
      <c r="E546" s="638"/>
      <c r="F546" s="638"/>
      <c r="G546" s="638"/>
      <c r="H546" s="638"/>
      <c r="I546" s="638"/>
      <c r="J546" s="638"/>
      <c r="K546" s="638"/>
      <c r="L546" s="638"/>
      <c r="M546" s="638"/>
      <c r="N546" s="638"/>
      <c r="O546" s="643"/>
      <c r="P546" s="640" t="s">
        <v>37</v>
      </c>
      <c r="Q546" s="641"/>
      <c r="R546" s="641"/>
      <c r="S546" s="641"/>
      <c r="T546" s="641"/>
      <c r="U546" s="641"/>
      <c r="V546" s="642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320.5128205128205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321</v>
      </c>
      <c r="Z546" s="42"/>
      <c r="AA546" s="67"/>
      <c r="AB546" s="67"/>
      <c r="AC546" s="67"/>
    </row>
    <row r="547" spans="1:32" ht="14.25" hidden="1" x14ac:dyDescent="0.2">
      <c r="A547" s="638"/>
      <c r="B547" s="638"/>
      <c r="C547" s="638"/>
      <c r="D547" s="638"/>
      <c r="E547" s="638"/>
      <c r="F547" s="638"/>
      <c r="G547" s="638"/>
      <c r="H547" s="638"/>
      <c r="I547" s="638"/>
      <c r="J547" s="638"/>
      <c r="K547" s="638"/>
      <c r="L547" s="638"/>
      <c r="M547" s="638"/>
      <c r="N547" s="638"/>
      <c r="O547" s="643"/>
      <c r="P547" s="640" t="s">
        <v>38</v>
      </c>
      <c r="Q547" s="641"/>
      <c r="R547" s="641"/>
      <c r="S547" s="641"/>
      <c r="T547" s="641"/>
      <c r="U547" s="641"/>
      <c r="V547" s="642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6.0925799999999999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626" t="s">
        <v>126</v>
      </c>
      <c r="E549" s="626" t="s">
        <v>126</v>
      </c>
      <c r="F549" s="626" t="s">
        <v>126</v>
      </c>
      <c r="G549" s="626" t="s">
        <v>126</v>
      </c>
      <c r="H549" s="626" t="s">
        <v>126</v>
      </c>
      <c r="I549" s="626" t="s">
        <v>126</v>
      </c>
      <c r="J549" s="626" t="s">
        <v>126</v>
      </c>
      <c r="K549" s="626" t="s">
        <v>338</v>
      </c>
      <c r="L549" s="626" t="s">
        <v>338</v>
      </c>
      <c r="M549" s="626" t="s">
        <v>338</v>
      </c>
      <c r="N549" s="627"/>
      <c r="O549" s="626" t="s">
        <v>338</v>
      </c>
      <c r="P549" s="626" t="s">
        <v>338</v>
      </c>
      <c r="Q549" s="626" t="s">
        <v>338</v>
      </c>
      <c r="R549" s="626" t="s">
        <v>338</v>
      </c>
      <c r="S549" s="626" t="s">
        <v>338</v>
      </c>
      <c r="T549" s="626" t="s">
        <v>338</v>
      </c>
      <c r="U549" s="626" t="s">
        <v>338</v>
      </c>
      <c r="V549" s="626" t="s">
        <v>677</v>
      </c>
      <c r="W549" s="626" t="s">
        <v>677</v>
      </c>
      <c r="X549" s="626" t="s">
        <v>743</v>
      </c>
      <c r="Y549" s="626" t="s">
        <v>743</v>
      </c>
      <c r="Z549" s="85" t="s">
        <v>779</v>
      </c>
      <c r="AA549" s="626" t="s">
        <v>826</v>
      </c>
      <c r="AB549" s="626" t="s">
        <v>826</v>
      </c>
      <c r="AC549" s="60"/>
      <c r="AF549" s="1"/>
    </row>
    <row r="550" spans="1:32" ht="14.25" customHeight="1" thickTop="1" x14ac:dyDescent="0.2">
      <c r="A550" s="628" t="s">
        <v>10</v>
      </c>
      <c r="B550" s="626" t="s">
        <v>76</v>
      </c>
      <c r="C550" s="626" t="s">
        <v>110</v>
      </c>
      <c r="D550" s="626" t="s">
        <v>127</v>
      </c>
      <c r="E550" s="626" t="s">
        <v>143</v>
      </c>
      <c r="F550" s="626" t="s">
        <v>188</v>
      </c>
      <c r="G550" s="626" t="s">
        <v>209</v>
      </c>
      <c r="H550" s="626" t="s">
        <v>248</v>
      </c>
      <c r="I550" s="626" t="s">
        <v>260</v>
      </c>
      <c r="J550" s="626" t="s">
        <v>126</v>
      </c>
      <c r="K550" s="626" t="s">
        <v>339</v>
      </c>
      <c r="L550" s="626" t="s">
        <v>360</v>
      </c>
      <c r="M550" s="626" t="s">
        <v>427</v>
      </c>
      <c r="N550" s="1"/>
      <c r="O550" s="626" t="s">
        <v>495</v>
      </c>
      <c r="P550" s="626" t="s">
        <v>528</v>
      </c>
      <c r="Q550" s="626" t="s">
        <v>544</v>
      </c>
      <c r="R550" s="626" t="s">
        <v>553</v>
      </c>
      <c r="S550" s="626" t="s">
        <v>574</v>
      </c>
      <c r="T550" s="626" t="s">
        <v>583</v>
      </c>
      <c r="U550" s="626" t="s">
        <v>667</v>
      </c>
      <c r="V550" s="626" t="s">
        <v>678</v>
      </c>
      <c r="W550" s="626" t="s">
        <v>727</v>
      </c>
      <c r="X550" s="626" t="s">
        <v>744</v>
      </c>
      <c r="Y550" s="626" t="s">
        <v>767</v>
      </c>
      <c r="Z550" s="626" t="s">
        <v>779</v>
      </c>
      <c r="AA550" s="626" t="s">
        <v>826</v>
      </c>
      <c r="AB550" s="626" t="s">
        <v>847</v>
      </c>
      <c r="AC550" s="60"/>
      <c r="AF550" s="1"/>
    </row>
    <row r="551" spans="1:32" ht="13.5" thickBot="1" x14ac:dyDescent="0.25">
      <c r="A551" s="629"/>
      <c r="B551" s="626"/>
      <c r="C551" s="626"/>
      <c r="D551" s="626"/>
      <c r="E551" s="626"/>
      <c r="F551" s="626"/>
      <c r="G551" s="626"/>
      <c r="H551" s="626"/>
      <c r="I551" s="626"/>
      <c r="J551" s="626"/>
      <c r="K551" s="626"/>
      <c r="L551" s="626"/>
      <c r="M551" s="626"/>
      <c r="N551" s="1"/>
      <c r="O551" s="626"/>
      <c r="P551" s="626"/>
      <c r="Q551" s="626"/>
      <c r="R551" s="626"/>
      <c r="S551" s="626"/>
      <c r="T551" s="626"/>
      <c r="U551" s="626"/>
      <c r="V551" s="626"/>
      <c r="W551" s="626"/>
      <c r="X551" s="626"/>
      <c r="Y551" s="626"/>
      <c r="Z551" s="626"/>
      <c r="AA551" s="626"/>
      <c r="AB551" s="626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0</v>
      </c>
      <c r="D552" s="52">
        <f>IFERROR(Y51*1,"0")+IFERROR(Y52*1,"0")+IFERROR(Y53*1,"0")+IFERROR(Y54*1,"0")</f>
        <v>0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2">
        <f>IFERROR(Y88*1,"0")+IFERROR(Y89*1,"0")+IFERROR(Y90*1,"0")+IFERROR(Y91*1,"0")+IFERROR(Y95*1,"0")+IFERROR(Y96*1,"0")+IFERROR(Y97*1,"0")+IFERROR(Y98*1,"0")</f>
        <v>0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2">
        <f>IFERROR(Y132*1,"0")+IFERROR(Y133*1,"0")+IFERROR(Y137*1,"0")+IFERROR(Y138*1,"0")+IFERROR(Y142*1,"0")+IFERROR(Y143*1,"0")</f>
        <v>0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0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0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2503.7999999999997</v>
      </c>
      <c r="U552" s="52">
        <f>IFERROR(Y405*1,"0")+IFERROR(Y406*1,"0")+IFERROR(Y407*1,"0")</f>
        <v>0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0</v>
      </c>
      <c r="W552" s="52">
        <f>IFERROR(Y442*1,"0")+IFERROR(Y443*1,"0")+IFERROR(Y447*1,"0")+IFERROR(Y451*1,"0")+IFERROR(Y452*1,"0")+IFERROR(Y453*1,"0")</f>
        <v>0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2">
        <f>IFERROR(Y516*1,"0")+IFERROR(Y520*1,"0")+IFERROR(Y524*1,"0")+IFERROR(Y525*1,"0")+IFERROR(Y529*1,"0")+IFERROR(Y533*1,"0")+IFERROR(Y534*1,"0")</f>
        <v>0</v>
      </c>
      <c r="AB552" s="52">
        <f>IFERROR(Y539*1,"0")</f>
        <v>0</v>
      </c>
      <c r="AC552" s="60"/>
      <c r="AF552" s="1"/>
    </row>
  </sheetData>
  <sheetProtection algorithmName="SHA-512" hashValue="zpCfYrEVtP5iEd7C4eYL8lc9Um3GAom7CWuoHMCnSplD+b/yWKY/GTWkfiaD3rXxGmS6L8P30ZvW5dudYZxmFQ==" saltValue="DFu/ycm+0o87rZWJvYBRrQ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500,00"/>
        <filter val="2 656,41"/>
        <filter val="2 806,41"/>
        <filter val="320,51"/>
        <filter val="6"/>
      </filters>
    </filterColumn>
    <filterColumn colId="29" showButton="0"/>
    <filterColumn colId="30" showButton="0"/>
  </autoFilter>
  <dataConsolidate/>
  <mergeCells count="971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8" spans="2:8" x14ac:dyDescent="0.2">
      <c r="B8" s="53" t="s">
        <v>860</v>
      </c>
      <c r="C8" s="53" t="s">
        <v>861</v>
      </c>
      <c r="D8" s="53" t="s">
        <v>862</v>
      </c>
      <c r="E8" s="53" t="s">
        <v>46</v>
      </c>
    </row>
    <row r="10" spans="2:8" x14ac:dyDescent="0.2">
      <c r="B10" s="53" t="s">
        <v>863</v>
      </c>
      <c r="C10" s="53" t="s">
        <v>855</v>
      </c>
      <c r="D10" s="53" t="s">
        <v>46</v>
      </c>
      <c r="E10" s="53" t="s">
        <v>46</v>
      </c>
    </row>
    <row r="12" spans="2:8" x14ac:dyDescent="0.2">
      <c r="B12" s="53" t="s">
        <v>864</v>
      </c>
      <c r="C12" s="53" t="s">
        <v>858</v>
      </c>
      <c r="D12" s="53" t="s">
        <v>46</v>
      </c>
      <c r="E12" s="53" t="s">
        <v>46</v>
      </c>
    </row>
    <row r="14" spans="2:8" x14ac:dyDescent="0.2">
      <c r="B14" s="53" t="s">
        <v>865</v>
      </c>
      <c r="C14" s="53" t="s">
        <v>861</v>
      </c>
      <c r="D14" s="53" t="s">
        <v>46</v>
      </c>
      <c r="E14" s="53" t="s">
        <v>46</v>
      </c>
    </row>
    <row r="16" spans="2:8" x14ac:dyDescent="0.2">
      <c r="B16" s="53" t="s">
        <v>866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867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868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869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870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871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872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873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874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875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876</v>
      </c>
      <c r="C26" s="53" t="s">
        <v>46</v>
      </c>
      <c r="D26" s="53" t="s">
        <v>46</v>
      </c>
      <c r="E26" s="53" t="s">
        <v>46</v>
      </c>
    </row>
  </sheetData>
  <sheetProtection algorithmName="SHA-512" hashValue="igj3maLwvxlxRidWHF60P67PqgS1G69DuLqWPzuFy8b+A9cpBoVOX9gbOTdSdAecv3tvBXEPsSH2j3NKyffgPg==" saltValue="jBrZy0MXCfSe2K8f55Cf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