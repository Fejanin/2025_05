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A283B21-5818-4DA3-A3C0-9E16AE7A0F0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заказа'!$A$18:$AF$523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заказа'!$X$519:$X$519</definedName>
    <definedName name="GrossWeightTotalR">'Бланк заказа'!$Y$519:$Y$519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заказа'!$X$520:$X$520</definedName>
    <definedName name="PalletQtyTotalR">'Бланк заказа'!$Y$520:$Y$520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заказа'!$B$205:$B$205</definedName>
    <definedName name="ProductId101">'Бланк заказа'!$B$206:$B$206</definedName>
    <definedName name="ProductId102">'Бланк заказа'!$B$207:$B$207</definedName>
    <definedName name="ProductId103">'Бланк заказа'!$B$208:$B$208</definedName>
    <definedName name="ProductId104">'Бланк заказа'!$B$209:$B$209</definedName>
    <definedName name="ProductId105">'Бланк заказа'!$B$210:$B$210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заказа'!$B$43:$B$43</definedName>
    <definedName name="ProductId110">'Бланк заказа'!$B$218:$B$218</definedName>
    <definedName name="ProductId111">'Бланк заказа'!$B$222:$B$222</definedName>
    <definedName name="ProductId112">'Бланк заказа'!$B$223:$B$223</definedName>
    <definedName name="ProductId113">'Бланк заказа'!$B$224:$B$224</definedName>
    <definedName name="ProductId114">'Бланк заказа'!$B$228:$B$228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заказа'!$B$247:$B$247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заказа'!$B$255:$B$255</definedName>
    <definedName name="ProductId129">'Бланк заказа'!$B$256:$B$256</definedName>
    <definedName name="ProductId13">'Бланк заказа'!$B$45:$B$45</definedName>
    <definedName name="ProductId130">'Бланк заказа'!$B$257:$B$257</definedName>
    <definedName name="ProductId131">'Бланк заказа'!$B$258:$B$258</definedName>
    <definedName name="ProductId132">'Бланк заказа'!$B$259:$B$259</definedName>
    <definedName name="ProductId133">'Бланк заказа'!$B$260:$B$260</definedName>
    <definedName name="ProductId134">'Бланк заказа'!$B$261:$B$261</definedName>
    <definedName name="ProductId135">'Бланк заказа'!$B$262:$B$262</definedName>
    <definedName name="ProductId136">'Бланк заказа'!$B$263:$B$263</definedName>
    <definedName name="ProductId137">'Бланк заказа'!$B$264:$B$264</definedName>
    <definedName name="ProductId138">'Бланк заказа'!$B$265:$B$265</definedName>
    <definedName name="ProductId139">'Бланк заказа'!$B$269:$B$269</definedName>
    <definedName name="ProductId14">'Бланк заказа'!$B$51:$B$51</definedName>
    <definedName name="ProductId140">'Бланк заказа'!$B$270:$B$270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заказа'!$B$285:$B$285</definedName>
    <definedName name="ProductId149">'Бланк заказа'!$B$289:$B$289</definedName>
    <definedName name="ProductId15">'Бланк заказа'!$B$52:$B$52</definedName>
    <definedName name="ProductId150">'Бланк заказа'!$B$293:$B$293</definedName>
    <definedName name="ProductId151">'Бланк заказа'!$B$294:$B$294</definedName>
    <definedName name="ProductId152">'Бланк заказа'!$B$295:$B$295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заказа'!$B$309:$B$309</definedName>
    <definedName name="ProductId159">'Бланк заказа'!$B$310:$B$310</definedName>
    <definedName name="ProductId16">'Бланк заказа'!$B$53:$B$53</definedName>
    <definedName name="ProductId160">'Бланк заказа'!$B$311:$B$311</definedName>
    <definedName name="ProductId161">'Бланк заказа'!$B$316:$B$316</definedName>
    <definedName name="ProductId162">'Бланк заказа'!$B$317:$B$317</definedName>
    <definedName name="ProductId163">'Бланк заказа'!$B$318:$B$318</definedName>
    <definedName name="ProductId164">'Бланк заказа'!$B$319:$B$319</definedName>
    <definedName name="ProductId165">'Бланк заказа'!$B$320:$B$320</definedName>
    <definedName name="ProductId166">'Бланк заказа'!$B$324:$B$324</definedName>
    <definedName name="ProductId167">'Бланк заказа'!$B$325:$B$325</definedName>
    <definedName name="ProductId168">'Бланк заказа'!$B$330:$B$330</definedName>
    <definedName name="ProductId169">'Бланк заказа'!$B$331:$B$331</definedName>
    <definedName name="ProductId17">'Бланк заказа'!$B$54:$B$54</definedName>
    <definedName name="ProductId170">'Бланк заказа'!$B$332:$B$332</definedName>
    <definedName name="ProductId171">'Бланк заказа'!$B$337:$B$337</definedName>
    <definedName name="ProductId172">'Бланк заказа'!$B$338:$B$338</definedName>
    <definedName name="ProductId173">'Бланк заказа'!$B$339:$B$339</definedName>
    <definedName name="ProductId174">'Бланк заказа'!$B$340:$B$340</definedName>
    <definedName name="ProductId175">'Бланк заказа'!$B$341:$B$341</definedName>
    <definedName name="ProductId176">'Бланк заказа'!$B$342:$B$342</definedName>
    <definedName name="ProductId177">'Бланк заказа'!$B$346:$B$346</definedName>
    <definedName name="ProductId178">'Бланк заказа'!$B$347:$B$347</definedName>
    <definedName name="ProductId179">'Бланк заказа'!$B$348:$B$348</definedName>
    <definedName name="ProductId18">'Бланк заказа'!$B$59:$B$59</definedName>
    <definedName name="ProductId180">'Бланк заказа'!$B$349:$B$349</definedName>
    <definedName name="ProductId181">'Бланк заказа'!$B$350:$B$350</definedName>
    <definedName name="ProductId182">'Бланк заказа'!$B$351:$B$351</definedName>
    <definedName name="ProductId183">'Бланк заказа'!$B$352:$B$352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заказа'!$B$363:$B$363</definedName>
    <definedName name="ProductId189">'Бланк заказа'!$B$364:$B$364</definedName>
    <definedName name="ProductId19">'Бланк заказа'!$B$60:$B$60</definedName>
    <definedName name="ProductId190">'Бланк заказа'!$B$365:$B$365</definedName>
    <definedName name="ProductId191">'Бланк заказа'!$B$369:$B$369</definedName>
    <definedName name="ProductId192">'Бланк заказа'!$B$370:$B$370</definedName>
    <definedName name="ProductId193">'Бланк заказа'!$B$371:$B$371</definedName>
    <definedName name="ProductId194">'Бланк заказа'!$B$372:$B$372</definedName>
    <definedName name="ProductId195">'Бланк заказа'!$B$376:$B$376</definedName>
    <definedName name="ProductId196">'Бланк заказа'!$B$377:$B$377</definedName>
    <definedName name="ProductId197">'Бланк заказа'!$B$378:$B$378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заказа'!$B$391:$B$391</definedName>
    <definedName name="ProductId202">'Бланк заказа'!$B$392:$B$392</definedName>
    <definedName name="ProductId203">'Бланк заказа'!$B$393:$B$393</definedName>
    <definedName name="ProductId204">'Бланк заказа'!$B$394:$B$394</definedName>
    <definedName name="ProductId205">'Бланк заказа'!$B$395:$B$395</definedName>
    <definedName name="ProductId206">'Бланк заказа'!$B$396:$B$396</definedName>
    <definedName name="ProductId207">'Бланк заказа'!$B$397:$B$397</definedName>
    <definedName name="ProductId208">'Бланк заказа'!$B$398:$B$398</definedName>
    <definedName name="ProductId209">'Бланк заказа'!$B$402:$B$402</definedName>
    <definedName name="ProductId21">'Бланк заказа'!$B$62:$B$62</definedName>
    <definedName name="ProductId210">'Бланк заказа'!$B$403:$B$403</definedName>
    <definedName name="ProductId211">'Бланк заказа'!$B$404:$B$404</definedName>
    <definedName name="ProductId212">'Бланк заказа'!$B$408:$B$408</definedName>
    <definedName name="ProductId213">'Бланк заказа'!$B$409:$B$409</definedName>
    <definedName name="ProductId214">'Бланк заказа'!$B$413:$B$413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заказа'!$B$427:$B$427</definedName>
    <definedName name="ProductId219">'Бланк заказа'!$B$428:$B$428</definedName>
    <definedName name="ProductId22">'Бланк заказа'!$B$63:$B$63</definedName>
    <definedName name="ProductId220">'Бланк заказа'!$B$429:$B$429</definedName>
    <definedName name="ProductId221">'Бланк заказа'!$B$435:$B$435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заказа'!$B$444:$B$444</definedName>
    <definedName name="ProductId228">'Бланк заказа'!$B$445:$B$445</definedName>
    <definedName name="ProductId229">'Бланк заказа'!$B$450:$B$450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заказа'!$B$462:$B$462</definedName>
    <definedName name="ProductId234">'Бланк заказа'!$B$463:$B$463</definedName>
    <definedName name="ProductId235">'Бланк заказа'!$B$464:$B$464</definedName>
    <definedName name="ProductId236">'Бланк заказа'!$B$465:$B$465</definedName>
    <definedName name="ProductId237">'Бланк заказа'!$B$466:$B$466</definedName>
    <definedName name="ProductId238">'Бланк заказа'!$B$467:$B$467</definedName>
    <definedName name="ProductId239">'Бланк заказа'!$B$468:$B$468</definedName>
    <definedName name="ProductId24">'Бланк заказа'!$B$65:$B$65</definedName>
    <definedName name="ProductId240">'Бланк заказа'!$B$469:$B$469</definedName>
    <definedName name="ProductId241">'Бланк заказа'!$B$470:$B$470</definedName>
    <definedName name="ProductId242">'Бланк заказа'!$B$474:$B$474</definedName>
    <definedName name="ProductId243">'Бланк заказа'!$B$475:$B$475</definedName>
    <definedName name="ProductId244">'Бланк заказа'!$B$476:$B$476</definedName>
    <definedName name="ProductId245">'Бланк заказа'!$B$480:$B$480</definedName>
    <definedName name="ProductId246">'Бланк заказа'!$B$481:$B$481</definedName>
    <definedName name="ProductId247">'Бланк заказа'!$B$482:$B$482</definedName>
    <definedName name="ProductId248">'Бланк заказа'!$B$483:$B$483</definedName>
    <definedName name="ProductId249">'Бланк заказа'!$B$484:$B$484</definedName>
    <definedName name="ProductId25">'Бланк заказа'!$B$66:$B$66</definedName>
    <definedName name="ProductId250">'Бланк заказа'!$B$485:$B$485</definedName>
    <definedName name="ProductId251">'Бланк заказа'!$B$486:$B$486</definedName>
    <definedName name="ProductId252">'Бланк заказа'!$B$492:$B$492</definedName>
    <definedName name="ProductId253">'Бланк заказа'!$B$496:$B$496</definedName>
    <definedName name="ProductId254">'Бланк заказа'!$B$500:$B$500</definedName>
    <definedName name="ProductId255">'Бланк заказа'!$B$501:$B$501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заказа'!$B$515:$B$515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заказа'!$B$142:$B$142</definedName>
    <definedName name="ProductId65">'Бланк заказа'!$B$143:$B$143</definedName>
    <definedName name="ProductId66">'Бланк заказа'!$B$147:$B$147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заказа'!$B$158:$B$158</definedName>
    <definedName name="ProductId75">'Бланк заказа'!$B$159:$B$159</definedName>
    <definedName name="ProductId76">'Бланк заказа'!$B$160:$B$160</definedName>
    <definedName name="ProductId77">'Бланк заказа'!$B$161:$B$161</definedName>
    <definedName name="ProductId78">'Бланк заказа'!$B$165:$B$165</definedName>
    <definedName name="ProductId79">'Бланк заказа'!$B$166:$B$166</definedName>
    <definedName name="ProductId8">'Бланк заказа'!$B$35:$B$35</definedName>
    <definedName name="ProductId80">'Бланк заказа'!$B$167:$B$167</definedName>
    <definedName name="ProductId81">'Бланк заказа'!$B$171:$B$171</definedName>
    <definedName name="ProductId82">'Бланк заказа'!$B$172:$B$172</definedName>
    <definedName name="ProductId83">'Бланк заказа'!$B$176:$B$176</definedName>
    <definedName name="ProductId84">'Бланк заказа'!$B$182:$B$182</definedName>
    <definedName name="ProductId85">'Бланк заказа'!$B$183:$B$183</definedName>
    <definedName name="ProductId86">'Бланк заказа'!$B$184:$B$184</definedName>
    <definedName name="ProductId87">'Бланк заказа'!$B$185:$B$185</definedName>
    <definedName name="ProductId88">'Бланк заказа'!$B$186:$B$186</definedName>
    <definedName name="ProductId89">'Бланк заказа'!$B$187:$B$187</definedName>
    <definedName name="ProductId9">'Бланк заказа'!$B$41:$B$41</definedName>
    <definedName name="ProductId90">'Бланк заказа'!$B$188:$B$188</definedName>
    <definedName name="ProductId91">'Бланк заказа'!$B$193:$B$193</definedName>
    <definedName name="ProductId92">'Бланк заказа'!$B$197:$B$197</definedName>
    <definedName name="ProductId93">'Бланк заказа'!$B$198:$B$198</definedName>
    <definedName name="ProductId94">'Бланк заказа'!$B$199:$B$199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заказа'!$X$205:$X$205</definedName>
    <definedName name="SalesQty101">'Бланк заказа'!$X$206:$X$206</definedName>
    <definedName name="SalesQty102">'Бланк заказа'!$X$207:$X$207</definedName>
    <definedName name="SalesQty103">'Бланк заказа'!$X$208:$X$208</definedName>
    <definedName name="SalesQty104">'Бланк заказа'!$X$209:$X$209</definedName>
    <definedName name="SalesQty105">'Бланк заказа'!$X$210:$X$210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заказа'!$X$43:$X$43</definedName>
    <definedName name="SalesQty110">'Бланк заказа'!$X$218:$X$218</definedName>
    <definedName name="SalesQty111">'Бланк заказа'!$X$222:$X$222</definedName>
    <definedName name="SalesQty112">'Бланк заказа'!$X$223:$X$223</definedName>
    <definedName name="SalesQty113">'Бланк заказа'!$X$224:$X$224</definedName>
    <definedName name="SalesQty114">'Бланк заказа'!$X$228:$X$228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заказа'!$X$247:$X$247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заказа'!$X$255:$X$255</definedName>
    <definedName name="SalesQty129">'Бланк заказа'!$X$256:$X$256</definedName>
    <definedName name="SalesQty13">'Бланк заказа'!$X$45:$X$45</definedName>
    <definedName name="SalesQty130">'Бланк заказа'!$X$257:$X$257</definedName>
    <definedName name="SalesQty131">'Бланк заказа'!$X$258:$X$258</definedName>
    <definedName name="SalesQty132">'Бланк заказа'!$X$259:$X$259</definedName>
    <definedName name="SalesQty133">'Бланк заказа'!$X$260:$X$260</definedName>
    <definedName name="SalesQty134">'Бланк заказа'!$X$261:$X$261</definedName>
    <definedName name="SalesQty135">'Бланк заказа'!$X$262:$X$262</definedName>
    <definedName name="SalesQty136">'Бланк заказа'!$X$263:$X$263</definedName>
    <definedName name="SalesQty137">'Бланк заказа'!$X$264:$X$264</definedName>
    <definedName name="SalesQty138">'Бланк заказа'!$X$265:$X$265</definedName>
    <definedName name="SalesQty139">'Бланк заказа'!$X$269:$X$269</definedName>
    <definedName name="SalesQty14">'Бланк заказа'!$X$51:$X$51</definedName>
    <definedName name="SalesQty140">'Бланк заказа'!$X$270:$X$270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заказа'!$X$285:$X$285</definedName>
    <definedName name="SalesQty149">'Бланк заказа'!$X$289:$X$289</definedName>
    <definedName name="SalesQty15">'Бланк заказа'!$X$52:$X$52</definedName>
    <definedName name="SalesQty150">'Бланк заказа'!$X$293:$X$293</definedName>
    <definedName name="SalesQty151">'Бланк заказа'!$X$294:$X$294</definedName>
    <definedName name="SalesQty152">'Бланк заказа'!$X$295:$X$295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заказа'!$X$309:$X$309</definedName>
    <definedName name="SalesQty159">'Бланк заказа'!$X$310:$X$310</definedName>
    <definedName name="SalesQty16">'Бланк заказа'!$X$53:$X$53</definedName>
    <definedName name="SalesQty160">'Бланк заказа'!$X$311:$X$311</definedName>
    <definedName name="SalesQty161">'Бланк заказа'!$X$316:$X$316</definedName>
    <definedName name="SalesQty162">'Бланк заказа'!$X$317:$X$317</definedName>
    <definedName name="SalesQty163">'Бланк заказа'!$X$318:$X$318</definedName>
    <definedName name="SalesQty164">'Бланк заказа'!$X$319:$X$319</definedName>
    <definedName name="SalesQty165">'Бланк заказа'!$X$320:$X$320</definedName>
    <definedName name="SalesQty166">'Бланк заказа'!$X$324:$X$324</definedName>
    <definedName name="SalesQty167">'Бланк заказа'!$X$325:$X$325</definedName>
    <definedName name="SalesQty168">'Бланк заказа'!$X$330:$X$330</definedName>
    <definedName name="SalesQty169">'Бланк заказа'!$X$331:$X$331</definedName>
    <definedName name="SalesQty17">'Бланк заказа'!$X$54:$X$54</definedName>
    <definedName name="SalesQty170">'Бланк заказа'!$X$332:$X$332</definedName>
    <definedName name="SalesQty171">'Бланк заказа'!$X$337:$X$337</definedName>
    <definedName name="SalesQty172">'Бланк заказа'!$X$338:$X$338</definedName>
    <definedName name="SalesQty173">'Бланк заказа'!$X$339:$X$339</definedName>
    <definedName name="SalesQty174">'Бланк заказа'!$X$340:$X$340</definedName>
    <definedName name="SalesQty175">'Бланк заказа'!$X$341:$X$341</definedName>
    <definedName name="SalesQty176">'Бланк заказа'!$X$342:$X$342</definedName>
    <definedName name="SalesQty177">'Бланк заказа'!$X$346:$X$346</definedName>
    <definedName name="SalesQty178">'Бланк заказа'!$X$347:$X$347</definedName>
    <definedName name="SalesQty179">'Бланк заказа'!$X$348:$X$348</definedName>
    <definedName name="SalesQty18">'Бланк заказа'!$X$59:$X$59</definedName>
    <definedName name="SalesQty180">'Бланк заказа'!$X$349:$X$349</definedName>
    <definedName name="SalesQty181">'Бланк заказа'!$X$350:$X$350</definedName>
    <definedName name="SalesQty182">'Бланк заказа'!$X$351:$X$351</definedName>
    <definedName name="SalesQty183">'Бланк заказа'!$X$352:$X$352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заказа'!$X$363:$X$363</definedName>
    <definedName name="SalesQty189">'Бланк заказа'!$X$364:$X$364</definedName>
    <definedName name="SalesQty19">'Бланк заказа'!$X$60:$X$60</definedName>
    <definedName name="SalesQty190">'Бланк заказа'!$X$365:$X$365</definedName>
    <definedName name="SalesQty191">'Бланк заказа'!$X$369:$X$369</definedName>
    <definedName name="SalesQty192">'Бланк заказа'!$X$370:$X$370</definedName>
    <definedName name="SalesQty193">'Бланк заказа'!$X$371:$X$371</definedName>
    <definedName name="SalesQty194">'Бланк заказа'!$X$372:$X$372</definedName>
    <definedName name="SalesQty195">'Бланк заказа'!$X$376:$X$376</definedName>
    <definedName name="SalesQty196">'Бланк заказа'!$X$377:$X$377</definedName>
    <definedName name="SalesQty197">'Бланк заказа'!$X$378:$X$378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заказа'!$X$391:$X$391</definedName>
    <definedName name="SalesQty202">'Бланк заказа'!$X$392:$X$392</definedName>
    <definedName name="SalesQty203">'Бланк заказа'!$X$393:$X$393</definedName>
    <definedName name="SalesQty204">'Бланк заказа'!$X$394:$X$394</definedName>
    <definedName name="SalesQty205">'Бланк заказа'!$X$395:$X$395</definedName>
    <definedName name="SalesQty206">'Бланк заказа'!$X$396:$X$396</definedName>
    <definedName name="SalesQty207">'Бланк заказа'!$X$397:$X$397</definedName>
    <definedName name="SalesQty208">'Бланк заказа'!$X$398:$X$398</definedName>
    <definedName name="SalesQty209">'Бланк заказа'!$X$402:$X$402</definedName>
    <definedName name="SalesQty21">'Бланк заказа'!$X$62:$X$62</definedName>
    <definedName name="SalesQty210">'Бланк заказа'!$X$403:$X$403</definedName>
    <definedName name="SalesQty211">'Бланк заказа'!$X$404:$X$404</definedName>
    <definedName name="SalesQty212">'Бланк заказа'!$X$408:$X$408</definedName>
    <definedName name="SalesQty213">'Бланк заказа'!$X$409:$X$409</definedName>
    <definedName name="SalesQty214">'Бланк заказа'!$X$413:$X$413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заказа'!$X$427:$X$427</definedName>
    <definedName name="SalesQty219">'Бланк заказа'!$X$428:$X$428</definedName>
    <definedName name="SalesQty22">'Бланк заказа'!$X$63:$X$63</definedName>
    <definedName name="SalesQty220">'Бланк заказа'!$X$429:$X$429</definedName>
    <definedName name="SalesQty221">'Бланк заказа'!$X$435:$X$435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заказа'!$X$444:$X$444</definedName>
    <definedName name="SalesQty228">'Бланк заказа'!$X$445:$X$445</definedName>
    <definedName name="SalesQty229">'Бланк заказа'!$X$450:$X$450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заказа'!$X$462:$X$462</definedName>
    <definedName name="SalesQty234">'Бланк заказа'!$X$463:$X$463</definedName>
    <definedName name="SalesQty235">'Бланк заказа'!$X$464:$X$464</definedName>
    <definedName name="SalesQty236">'Бланк заказа'!$X$465:$X$465</definedName>
    <definedName name="SalesQty237">'Бланк заказа'!$X$466:$X$466</definedName>
    <definedName name="SalesQty238">'Бланк заказа'!$X$467:$X$467</definedName>
    <definedName name="SalesQty239">'Бланк заказа'!$X$468:$X$468</definedName>
    <definedName name="SalesQty24">'Бланк заказа'!$X$65:$X$65</definedName>
    <definedName name="SalesQty240">'Бланк заказа'!$X$469:$X$469</definedName>
    <definedName name="SalesQty241">'Бланк заказа'!$X$470:$X$470</definedName>
    <definedName name="SalesQty242">'Бланк заказа'!$X$474:$X$474</definedName>
    <definedName name="SalesQty243">'Бланк заказа'!$X$475:$X$475</definedName>
    <definedName name="SalesQty244">'Бланк заказа'!$X$476:$X$476</definedName>
    <definedName name="SalesQty245">'Бланк заказа'!$X$480:$X$480</definedName>
    <definedName name="SalesQty246">'Бланк заказа'!$X$481:$X$481</definedName>
    <definedName name="SalesQty247">'Бланк заказа'!$X$482:$X$482</definedName>
    <definedName name="SalesQty248">'Бланк заказа'!$X$483:$X$483</definedName>
    <definedName name="SalesQty249">'Бланк заказа'!$X$484:$X$484</definedName>
    <definedName name="SalesQty25">'Бланк заказа'!$X$66:$X$66</definedName>
    <definedName name="SalesQty250">'Бланк заказа'!$X$485:$X$485</definedName>
    <definedName name="SalesQty251">'Бланк заказа'!$X$486:$X$486</definedName>
    <definedName name="SalesQty252">'Бланк заказа'!$X$492:$X$492</definedName>
    <definedName name="SalesQty253">'Бланк заказа'!$X$496:$X$496</definedName>
    <definedName name="SalesQty254">'Бланк заказа'!$X$500:$X$500</definedName>
    <definedName name="SalesQty255">'Бланк заказа'!$X$501:$X$501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заказа'!$X$515:$X$515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заказа'!$X$142:$X$142</definedName>
    <definedName name="SalesQty65">'Бланк заказа'!$X$143:$X$143</definedName>
    <definedName name="SalesQty66">'Бланк заказа'!$X$147:$X$147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заказа'!$X$158:$X$158</definedName>
    <definedName name="SalesQty75">'Бланк заказа'!$X$159:$X$159</definedName>
    <definedName name="SalesQty76">'Бланк заказа'!$X$160:$X$160</definedName>
    <definedName name="SalesQty77">'Бланк заказа'!$X$161:$X$161</definedName>
    <definedName name="SalesQty78">'Бланк заказа'!$X$165:$X$165</definedName>
    <definedName name="SalesQty79">'Бланк заказа'!$X$166:$X$166</definedName>
    <definedName name="SalesQty8">'Бланк заказа'!$X$35:$X$35</definedName>
    <definedName name="SalesQty80">'Бланк заказа'!$X$167:$X$167</definedName>
    <definedName name="SalesQty81">'Бланк заказа'!$X$171:$X$171</definedName>
    <definedName name="SalesQty82">'Бланк заказа'!$X$172:$X$172</definedName>
    <definedName name="SalesQty83">'Бланк заказа'!$X$176:$X$176</definedName>
    <definedName name="SalesQty84">'Бланк заказа'!$X$182:$X$182</definedName>
    <definedName name="SalesQty85">'Бланк заказа'!$X$183:$X$183</definedName>
    <definedName name="SalesQty86">'Бланк заказа'!$X$184:$X$184</definedName>
    <definedName name="SalesQty87">'Бланк заказа'!$X$185:$X$185</definedName>
    <definedName name="SalesQty88">'Бланк заказа'!$X$186:$X$186</definedName>
    <definedName name="SalesQty89">'Бланк заказа'!$X$187:$X$187</definedName>
    <definedName name="SalesQty9">'Бланк заказа'!$X$41:$X$41</definedName>
    <definedName name="SalesQty90">'Бланк заказа'!$X$188:$X$188</definedName>
    <definedName name="SalesQty91">'Бланк заказа'!$X$193:$X$193</definedName>
    <definedName name="SalesQty92">'Бланк заказа'!$X$197:$X$197</definedName>
    <definedName name="SalesQty93">'Бланк заказа'!$X$198:$X$198</definedName>
    <definedName name="SalesQty94">'Бланк заказа'!$X$199:$X$199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заказа'!$Y$205:$Y$205</definedName>
    <definedName name="SalesRoundBox101">'Бланк заказа'!$Y$206:$Y$206</definedName>
    <definedName name="SalesRoundBox102">'Бланк заказа'!$Y$207:$Y$207</definedName>
    <definedName name="SalesRoundBox103">'Бланк заказа'!$Y$208:$Y$208</definedName>
    <definedName name="SalesRoundBox104">'Бланк заказа'!$Y$209:$Y$209</definedName>
    <definedName name="SalesRoundBox105">'Бланк заказа'!$Y$210:$Y$210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заказа'!$Y$43:$Y$43</definedName>
    <definedName name="SalesRoundBox110">'Бланк заказа'!$Y$218:$Y$218</definedName>
    <definedName name="SalesRoundBox111">'Бланк заказа'!$Y$222:$Y$222</definedName>
    <definedName name="SalesRoundBox112">'Бланк заказа'!$Y$223:$Y$223</definedName>
    <definedName name="SalesRoundBox113">'Бланк заказа'!$Y$224:$Y$224</definedName>
    <definedName name="SalesRoundBox114">'Бланк заказа'!$Y$228:$Y$228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заказа'!$Y$247:$Y$247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заказа'!$Y$255:$Y$255</definedName>
    <definedName name="SalesRoundBox129">'Бланк заказа'!$Y$256:$Y$256</definedName>
    <definedName name="SalesRoundBox13">'Бланк заказа'!$Y$45:$Y$45</definedName>
    <definedName name="SalesRoundBox130">'Бланк заказа'!$Y$257:$Y$257</definedName>
    <definedName name="SalesRoundBox131">'Бланк заказа'!$Y$258:$Y$258</definedName>
    <definedName name="SalesRoundBox132">'Бланк заказа'!$Y$259:$Y$259</definedName>
    <definedName name="SalesRoundBox133">'Бланк заказа'!$Y$260:$Y$260</definedName>
    <definedName name="SalesRoundBox134">'Бланк заказа'!$Y$261:$Y$261</definedName>
    <definedName name="SalesRoundBox135">'Бланк заказа'!$Y$262:$Y$262</definedName>
    <definedName name="SalesRoundBox136">'Бланк заказа'!$Y$263:$Y$263</definedName>
    <definedName name="SalesRoundBox137">'Бланк заказа'!$Y$264:$Y$264</definedName>
    <definedName name="SalesRoundBox138">'Бланк заказа'!$Y$265:$Y$265</definedName>
    <definedName name="SalesRoundBox139">'Бланк заказа'!$Y$269:$Y$269</definedName>
    <definedName name="SalesRoundBox14">'Бланк заказа'!$Y$51:$Y$51</definedName>
    <definedName name="SalesRoundBox140">'Бланк заказа'!$Y$270:$Y$270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заказа'!$Y$285:$Y$285</definedName>
    <definedName name="SalesRoundBox149">'Бланк заказа'!$Y$289:$Y$289</definedName>
    <definedName name="SalesRoundBox15">'Бланк заказа'!$Y$52:$Y$52</definedName>
    <definedName name="SalesRoundBox150">'Бланк заказа'!$Y$293:$Y$293</definedName>
    <definedName name="SalesRoundBox151">'Бланк заказа'!$Y$294:$Y$294</definedName>
    <definedName name="SalesRoundBox152">'Бланк заказа'!$Y$295:$Y$295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заказа'!$Y$309:$Y$309</definedName>
    <definedName name="SalesRoundBox159">'Бланк заказа'!$Y$310:$Y$310</definedName>
    <definedName name="SalesRoundBox16">'Бланк заказа'!$Y$53:$Y$53</definedName>
    <definedName name="SalesRoundBox160">'Бланк заказа'!$Y$311:$Y$311</definedName>
    <definedName name="SalesRoundBox161">'Бланк заказа'!$Y$316:$Y$316</definedName>
    <definedName name="SalesRoundBox162">'Бланк заказа'!$Y$317:$Y$317</definedName>
    <definedName name="SalesRoundBox163">'Бланк заказа'!$Y$318:$Y$318</definedName>
    <definedName name="SalesRoundBox164">'Бланк заказа'!$Y$319:$Y$319</definedName>
    <definedName name="SalesRoundBox165">'Бланк заказа'!$Y$320:$Y$320</definedName>
    <definedName name="SalesRoundBox166">'Бланк заказа'!$Y$324:$Y$324</definedName>
    <definedName name="SalesRoundBox167">'Бланк заказа'!$Y$325:$Y$325</definedName>
    <definedName name="SalesRoundBox168">'Бланк заказа'!$Y$330:$Y$330</definedName>
    <definedName name="SalesRoundBox169">'Бланк заказа'!$Y$331:$Y$331</definedName>
    <definedName name="SalesRoundBox17">'Бланк заказа'!$Y$54:$Y$54</definedName>
    <definedName name="SalesRoundBox170">'Бланк заказа'!$Y$332:$Y$332</definedName>
    <definedName name="SalesRoundBox171">'Бланк заказа'!$Y$337:$Y$337</definedName>
    <definedName name="SalesRoundBox172">'Бланк заказа'!$Y$338:$Y$338</definedName>
    <definedName name="SalesRoundBox173">'Бланк заказа'!$Y$339:$Y$339</definedName>
    <definedName name="SalesRoundBox174">'Бланк заказа'!$Y$340:$Y$340</definedName>
    <definedName name="SalesRoundBox175">'Бланк заказа'!$Y$341:$Y$341</definedName>
    <definedName name="SalesRoundBox176">'Бланк заказа'!$Y$342:$Y$342</definedName>
    <definedName name="SalesRoundBox177">'Бланк заказа'!$Y$346:$Y$346</definedName>
    <definedName name="SalesRoundBox178">'Бланк заказа'!$Y$347:$Y$347</definedName>
    <definedName name="SalesRoundBox179">'Бланк заказа'!$Y$348:$Y$348</definedName>
    <definedName name="SalesRoundBox18">'Бланк заказа'!$Y$59:$Y$59</definedName>
    <definedName name="SalesRoundBox180">'Бланк заказа'!$Y$349:$Y$349</definedName>
    <definedName name="SalesRoundBox181">'Бланк заказа'!$Y$350:$Y$350</definedName>
    <definedName name="SalesRoundBox182">'Бланк заказа'!$Y$351:$Y$351</definedName>
    <definedName name="SalesRoundBox183">'Бланк заказа'!$Y$352:$Y$352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заказа'!$Y$363:$Y$363</definedName>
    <definedName name="SalesRoundBox189">'Бланк заказа'!$Y$364:$Y$364</definedName>
    <definedName name="SalesRoundBox19">'Бланк заказа'!$Y$60:$Y$60</definedName>
    <definedName name="SalesRoundBox190">'Бланк заказа'!$Y$365:$Y$365</definedName>
    <definedName name="SalesRoundBox191">'Бланк заказа'!$Y$369:$Y$369</definedName>
    <definedName name="SalesRoundBox192">'Бланк заказа'!$Y$370:$Y$370</definedName>
    <definedName name="SalesRoundBox193">'Бланк заказа'!$Y$371:$Y$371</definedName>
    <definedName name="SalesRoundBox194">'Бланк заказа'!$Y$372:$Y$372</definedName>
    <definedName name="SalesRoundBox195">'Бланк заказа'!$Y$376:$Y$376</definedName>
    <definedName name="SalesRoundBox196">'Бланк заказа'!$Y$377:$Y$377</definedName>
    <definedName name="SalesRoundBox197">'Бланк заказа'!$Y$378:$Y$378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заказа'!$Y$391:$Y$391</definedName>
    <definedName name="SalesRoundBox202">'Бланк заказа'!$Y$392:$Y$392</definedName>
    <definedName name="SalesRoundBox203">'Бланк заказа'!$Y$393:$Y$393</definedName>
    <definedName name="SalesRoundBox204">'Бланк заказа'!$Y$394:$Y$394</definedName>
    <definedName name="SalesRoundBox205">'Бланк заказа'!$Y$395:$Y$395</definedName>
    <definedName name="SalesRoundBox206">'Бланк заказа'!$Y$396:$Y$396</definedName>
    <definedName name="SalesRoundBox207">'Бланк заказа'!$Y$397:$Y$397</definedName>
    <definedName name="SalesRoundBox208">'Бланк заказа'!$Y$398:$Y$398</definedName>
    <definedName name="SalesRoundBox209">'Бланк заказа'!$Y$402:$Y$402</definedName>
    <definedName name="SalesRoundBox21">'Бланк заказа'!$Y$62:$Y$62</definedName>
    <definedName name="SalesRoundBox210">'Бланк заказа'!$Y$403:$Y$403</definedName>
    <definedName name="SalesRoundBox211">'Бланк заказа'!$Y$404:$Y$404</definedName>
    <definedName name="SalesRoundBox212">'Бланк заказа'!$Y$408:$Y$408</definedName>
    <definedName name="SalesRoundBox213">'Бланк заказа'!$Y$409:$Y$409</definedName>
    <definedName name="SalesRoundBox214">'Бланк заказа'!$Y$413:$Y$413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заказа'!$Y$427:$Y$427</definedName>
    <definedName name="SalesRoundBox219">'Бланк заказа'!$Y$428:$Y$428</definedName>
    <definedName name="SalesRoundBox22">'Бланк заказа'!$Y$63:$Y$63</definedName>
    <definedName name="SalesRoundBox220">'Бланк заказа'!$Y$429:$Y$429</definedName>
    <definedName name="SalesRoundBox221">'Бланк заказа'!$Y$435:$Y$435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заказа'!$Y$444:$Y$444</definedName>
    <definedName name="SalesRoundBox228">'Бланк заказа'!$Y$445:$Y$445</definedName>
    <definedName name="SalesRoundBox229">'Бланк заказа'!$Y$450:$Y$450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заказа'!$Y$462:$Y$462</definedName>
    <definedName name="SalesRoundBox234">'Бланк заказа'!$Y$463:$Y$463</definedName>
    <definedName name="SalesRoundBox235">'Бланк заказа'!$Y$464:$Y$464</definedName>
    <definedName name="SalesRoundBox236">'Бланк заказа'!$Y$465:$Y$465</definedName>
    <definedName name="SalesRoundBox237">'Бланк заказа'!$Y$466:$Y$466</definedName>
    <definedName name="SalesRoundBox238">'Бланк заказа'!$Y$467:$Y$467</definedName>
    <definedName name="SalesRoundBox239">'Бланк заказа'!$Y$468:$Y$468</definedName>
    <definedName name="SalesRoundBox24">'Бланк заказа'!$Y$65:$Y$65</definedName>
    <definedName name="SalesRoundBox240">'Бланк заказа'!$Y$469:$Y$469</definedName>
    <definedName name="SalesRoundBox241">'Бланк заказа'!$Y$470:$Y$470</definedName>
    <definedName name="SalesRoundBox242">'Бланк заказа'!$Y$474:$Y$474</definedName>
    <definedName name="SalesRoundBox243">'Бланк заказа'!$Y$475:$Y$475</definedName>
    <definedName name="SalesRoundBox244">'Бланк заказа'!$Y$476:$Y$476</definedName>
    <definedName name="SalesRoundBox245">'Бланк заказа'!$Y$480:$Y$480</definedName>
    <definedName name="SalesRoundBox246">'Бланк заказа'!$Y$481:$Y$481</definedName>
    <definedName name="SalesRoundBox247">'Бланк заказа'!$Y$482:$Y$482</definedName>
    <definedName name="SalesRoundBox248">'Бланк заказа'!$Y$483:$Y$483</definedName>
    <definedName name="SalesRoundBox249">'Бланк заказа'!$Y$484:$Y$484</definedName>
    <definedName name="SalesRoundBox25">'Бланк заказа'!$Y$66:$Y$66</definedName>
    <definedName name="SalesRoundBox250">'Бланк заказа'!$Y$485:$Y$485</definedName>
    <definedName name="SalesRoundBox251">'Бланк заказа'!$Y$486:$Y$486</definedName>
    <definedName name="SalesRoundBox252">'Бланк заказа'!$Y$492:$Y$492</definedName>
    <definedName name="SalesRoundBox253">'Бланк заказа'!$Y$496:$Y$496</definedName>
    <definedName name="SalesRoundBox254">'Бланк заказа'!$Y$500:$Y$500</definedName>
    <definedName name="SalesRoundBox255">'Бланк заказа'!$Y$501:$Y$501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заказа'!$Y$515:$Y$515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заказа'!$Y$142:$Y$142</definedName>
    <definedName name="SalesRoundBox65">'Бланк заказа'!$Y$143:$Y$143</definedName>
    <definedName name="SalesRoundBox66">'Бланк заказа'!$Y$147:$Y$147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заказа'!$Y$158:$Y$158</definedName>
    <definedName name="SalesRoundBox75">'Бланк заказа'!$Y$159:$Y$159</definedName>
    <definedName name="SalesRoundBox76">'Бланк заказа'!$Y$160:$Y$160</definedName>
    <definedName name="SalesRoundBox77">'Бланк заказа'!$Y$161:$Y$161</definedName>
    <definedName name="SalesRoundBox78">'Бланк заказа'!$Y$165:$Y$165</definedName>
    <definedName name="SalesRoundBox79">'Бланк заказа'!$Y$166:$Y$166</definedName>
    <definedName name="SalesRoundBox8">'Бланк заказа'!$Y$35:$Y$35</definedName>
    <definedName name="SalesRoundBox80">'Бланк заказа'!$Y$167:$Y$167</definedName>
    <definedName name="SalesRoundBox81">'Бланк заказа'!$Y$171:$Y$171</definedName>
    <definedName name="SalesRoundBox82">'Бланк заказа'!$Y$172:$Y$172</definedName>
    <definedName name="SalesRoundBox83">'Бланк заказа'!$Y$176:$Y$176</definedName>
    <definedName name="SalesRoundBox84">'Бланк заказа'!$Y$182:$Y$182</definedName>
    <definedName name="SalesRoundBox85">'Бланк заказа'!$Y$183:$Y$183</definedName>
    <definedName name="SalesRoundBox86">'Бланк заказа'!$Y$184:$Y$184</definedName>
    <definedName name="SalesRoundBox87">'Бланк заказа'!$Y$185:$Y$185</definedName>
    <definedName name="SalesRoundBox88">'Бланк заказа'!$Y$186:$Y$186</definedName>
    <definedName name="SalesRoundBox89">'Бланк заказа'!$Y$187:$Y$187</definedName>
    <definedName name="SalesRoundBox9">'Бланк заказа'!$Y$41:$Y$41</definedName>
    <definedName name="SalesRoundBox90">'Бланк заказа'!$Y$188:$Y$188</definedName>
    <definedName name="SalesRoundBox91">'Бланк заказа'!$Y$193:$Y$193</definedName>
    <definedName name="SalesRoundBox92">'Бланк заказа'!$Y$197:$Y$197</definedName>
    <definedName name="SalesRoundBox93">'Бланк заказа'!$Y$198:$Y$198</definedName>
    <definedName name="SalesRoundBox94">'Бланк заказа'!$Y$199:$Y$199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заказа'!$W$205:$W$205</definedName>
    <definedName name="UnitOfMeasure101">'Бланк заказа'!$W$206:$W$206</definedName>
    <definedName name="UnitOfMeasure102">'Бланк заказа'!$W$207:$W$207</definedName>
    <definedName name="UnitOfMeasure103">'Бланк заказа'!$W$208:$W$208</definedName>
    <definedName name="UnitOfMeasure104">'Бланк заказа'!$W$209:$W$209</definedName>
    <definedName name="UnitOfMeasure105">'Бланк заказа'!$W$210:$W$210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заказа'!$W$43:$W$43</definedName>
    <definedName name="UnitOfMeasure110">'Бланк заказа'!$W$218:$W$218</definedName>
    <definedName name="UnitOfMeasure111">'Бланк заказа'!$W$222:$W$222</definedName>
    <definedName name="UnitOfMeasure112">'Бланк заказа'!$W$223:$W$223</definedName>
    <definedName name="UnitOfMeasure113">'Бланк заказа'!$W$224:$W$224</definedName>
    <definedName name="UnitOfMeasure114">'Бланк заказа'!$W$228:$W$228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заказа'!$W$247:$W$247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заказа'!$W$255:$W$255</definedName>
    <definedName name="UnitOfMeasure129">'Бланк заказа'!$W$256:$W$256</definedName>
    <definedName name="UnitOfMeasure13">'Бланк заказа'!$W$45:$W$45</definedName>
    <definedName name="UnitOfMeasure130">'Бланк заказа'!$W$257:$W$257</definedName>
    <definedName name="UnitOfMeasure131">'Бланк заказа'!$W$258:$W$258</definedName>
    <definedName name="UnitOfMeasure132">'Бланк заказа'!$W$259:$W$259</definedName>
    <definedName name="UnitOfMeasure133">'Бланк заказа'!$W$260:$W$260</definedName>
    <definedName name="UnitOfMeasure134">'Бланк заказа'!$W$261:$W$261</definedName>
    <definedName name="UnitOfMeasure135">'Бланк заказа'!$W$262:$W$262</definedName>
    <definedName name="UnitOfMeasure136">'Бланк заказа'!$W$263:$W$263</definedName>
    <definedName name="UnitOfMeasure137">'Бланк заказа'!$W$264:$W$264</definedName>
    <definedName name="UnitOfMeasure138">'Бланк заказа'!$W$265:$W$265</definedName>
    <definedName name="UnitOfMeasure139">'Бланк заказа'!$W$269:$W$269</definedName>
    <definedName name="UnitOfMeasure14">'Бланк заказа'!$W$51:$W$51</definedName>
    <definedName name="UnitOfMeasure140">'Бланк заказа'!$W$270:$W$270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заказа'!$W$285:$W$285</definedName>
    <definedName name="UnitOfMeasure149">'Бланк заказа'!$W$289:$W$289</definedName>
    <definedName name="UnitOfMeasure15">'Бланк заказа'!$W$52:$W$52</definedName>
    <definedName name="UnitOfMeasure150">'Бланк заказа'!$W$293:$W$293</definedName>
    <definedName name="UnitOfMeasure151">'Бланк заказа'!$W$294:$W$294</definedName>
    <definedName name="UnitOfMeasure152">'Бланк заказа'!$W$295:$W$295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заказа'!$W$309:$W$309</definedName>
    <definedName name="UnitOfMeasure159">'Бланк заказа'!$W$310:$W$310</definedName>
    <definedName name="UnitOfMeasure16">'Бланк заказа'!$W$53:$W$53</definedName>
    <definedName name="UnitOfMeasure160">'Бланк заказа'!$W$311:$W$311</definedName>
    <definedName name="UnitOfMeasure161">'Бланк заказа'!$W$316:$W$316</definedName>
    <definedName name="UnitOfMeasure162">'Бланк заказа'!$W$317:$W$317</definedName>
    <definedName name="UnitOfMeasure163">'Бланк заказа'!$W$318:$W$318</definedName>
    <definedName name="UnitOfMeasure164">'Бланк заказа'!$W$319:$W$319</definedName>
    <definedName name="UnitOfMeasure165">'Бланк заказа'!$W$320:$W$320</definedName>
    <definedName name="UnitOfMeasure166">'Бланк заказа'!$W$324:$W$324</definedName>
    <definedName name="UnitOfMeasure167">'Бланк заказа'!$W$325:$W$325</definedName>
    <definedName name="UnitOfMeasure168">'Бланк заказа'!$W$330:$W$330</definedName>
    <definedName name="UnitOfMeasure169">'Бланк заказа'!$W$331:$W$331</definedName>
    <definedName name="UnitOfMeasure17">'Бланк заказа'!$W$54:$W$54</definedName>
    <definedName name="UnitOfMeasure170">'Бланк заказа'!$W$332:$W$332</definedName>
    <definedName name="UnitOfMeasure171">'Бланк заказа'!$W$337:$W$337</definedName>
    <definedName name="UnitOfMeasure172">'Бланк заказа'!$W$338:$W$338</definedName>
    <definedName name="UnitOfMeasure173">'Бланк заказа'!$W$339:$W$339</definedName>
    <definedName name="UnitOfMeasure174">'Бланк заказа'!$W$340:$W$340</definedName>
    <definedName name="UnitOfMeasure175">'Бланк заказа'!$W$341:$W$341</definedName>
    <definedName name="UnitOfMeasure176">'Бланк заказа'!$W$342:$W$342</definedName>
    <definedName name="UnitOfMeasure177">'Бланк заказа'!$W$346:$W$346</definedName>
    <definedName name="UnitOfMeasure178">'Бланк заказа'!$W$347:$W$347</definedName>
    <definedName name="UnitOfMeasure179">'Бланк заказа'!$W$348:$W$348</definedName>
    <definedName name="UnitOfMeasure18">'Бланк заказа'!$W$59:$W$59</definedName>
    <definedName name="UnitOfMeasure180">'Бланк заказа'!$W$349:$W$349</definedName>
    <definedName name="UnitOfMeasure181">'Бланк заказа'!$W$350:$W$350</definedName>
    <definedName name="UnitOfMeasure182">'Бланк заказа'!$W$351:$W$351</definedName>
    <definedName name="UnitOfMeasure183">'Бланк заказа'!$W$352:$W$352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заказа'!$W$363:$W$363</definedName>
    <definedName name="UnitOfMeasure189">'Бланк заказа'!$W$364:$W$364</definedName>
    <definedName name="UnitOfMeasure19">'Бланк заказа'!$W$60:$W$60</definedName>
    <definedName name="UnitOfMeasure190">'Бланк заказа'!$W$365:$W$365</definedName>
    <definedName name="UnitOfMeasure191">'Бланк заказа'!$W$369:$W$369</definedName>
    <definedName name="UnitOfMeasure192">'Бланк заказа'!$W$370:$W$370</definedName>
    <definedName name="UnitOfMeasure193">'Бланк заказа'!$W$371:$W$371</definedName>
    <definedName name="UnitOfMeasure194">'Бланк заказа'!$W$372:$W$372</definedName>
    <definedName name="UnitOfMeasure195">'Бланк заказа'!$W$376:$W$376</definedName>
    <definedName name="UnitOfMeasure196">'Бланк заказа'!$W$377:$W$377</definedName>
    <definedName name="UnitOfMeasure197">'Бланк заказа'!$W$378:$W$378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заказа'!$W$391:$W$391</definedName>
    <definedName name="UnitOfMeasure202">'Бланк заказа'!$W$392:$W$392</definedName>
    <definedName name="UnitOfMeasure203">'Бланк заказа'!$W$393:$W$393</definedName>
    <definedName name="UnitOfMeasure204">'Бланк заказа'!$W$394:$W$394</definedName>
    <definedName name="UnitOfMeasure205">'Бланк заказа'!$W$395:$W$395</definedName>
    <definedName name="UnitOfMeasure206">'Бланк заказа'!$W$396:$W$396</definedName>
    <definedName name="UnitOfMeasure207">'Бланк заказа'!$W$397:$W$397</definedName>
    <definedName name="UnitOfMeasure208">'Бланк заказа'!$W$398:$W$398</definedName>
    <definedName name="UnitOfMeasure209">'Бланк заказа'!$W$402:$W$402</definedName>
    <definedName name="UnitOfMeasure21">'Бланк заказа'!$W$62:$W$62</definedName>
    <definedName name="UnitOfMeasure210">'Бланк заказа'!$W$403:$W$403</definedName>
    <definedName name="UnitOfMeasure211">'Бланк заказа'!$W$404:$W$404</definedName>
    <definedName name="UnitOfMeasure212">'Бланк заказа'!$W$408:$W$408</definedName>
    <definedName name="UnitOfMeasure213">'Бланк заказа'!$W$409:$W$409</definedName>
    <definedName name="UnitOfMeasure214">'Бланк заказа'!$W$413:$W$413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заказа'!$W$427:$W$427</definedName>
    <definedName name="UnitOfMeasure219">'Бланк заказа'!$W$428:$W$428</definedName>
    <definedName name="UnitOfMeasure22">'Бланк заказа'!$W$63:$W$63</definedName>
    <definedName name="UnitOfMeasure220">'Бланк заказа'!$W$429:$W$429</definedName>
    <definedName name="UnitOfMeasure221">'Бланк заказа'!$W$435:$W$435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заказа'!$W$444:$W$444</definedName>
    <definedName name="UnitOfMeasure228">'Бланк заказа'!$W$445:$W$445</definedName>
    <definedName name="UnitOfMeasure229">'Бланк заказа'!$W$450:$W$450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заказа'!$W$462:$W$462</definedName>
    <definedName name="UnitOfMeasure234">'Бланк заказа'!$W$463:$W$463</definedName>
    <definedName name="UnitOfMeasure235">'Бланк заказа'!$W$464:$W$464</definedName>
    <definedName name="UnitOfMeasure236">'Бланк заказа'!$W$465:$W$465</definedName>
    <definedName name="UnitOfMeasure237">'Бланк заказа'!$W$466:$W$466</definedName>
    <definedName name="UnitOfMeasure238">'Бланк заказа'!$W$467:$W$467</definedName>
    <definedName name="UnitOfMeasure239">'Бланк заказа'!$W$468:$W$468</definedName>
    <definedName name="UnitOfMeasure24">'Бланк заказа'!$W$65:$W$65</definedName>
    <definedName name="UnitOfMeasure240">'Бланк заказа'!$W$469:$W$469</definedName>
    <definedName name="UnitOfMeasure241">'Бланк заказа'!$W$470:$W$470</definedName>
    <definedName name="UnitOfMeasure242">'Бланк заказа'!$W$474:$W$474</definedName>
    <definedName name="UnitOfMeasure243">'Бланк заказа'!$W$475:$W$475</definedName>
    <definedName name="UnitOfMeasure244">'Бланк заказа'!$W$476:$W$476</definedName>
    <definedName name="UnitOfMeasure245">'Бланк заказа'!$W$480:$W$480</definedName>
    <definedName name="UnitOfMeasure246">'Бланк заказа'!$W$481:$W$481</definedName>
    <definedName name="UnitOfMeasure247">'Бланк заказа'!$W$482:$W$482</definedName>
    <definedName name="UnitOfMeasure248">'Бланк заказа'!$W$483:$W$483</definedName>
    <definedName name="UnitOfMeasure249">'Бланк заказа'!$W$484:$W$484</definedName>
    <definedName name="UnitOfMeasure25">'Бланк заказа'!$W$66:$W$66</definedName>
    <definedName name="UnitOfMeasure250">'Бланк заказа'!$W$485:$W$485</definedName>
    <definedName name="UnitOfMeasure251">'Бланк заказа'!$W$486:$W$486</definedName>
    <definedName name="UnitOfMeasure252">'Бланк заказа'!$W$492:$W$492</definedName>
    <definedName name="UnitOfMeasure253">'Бланк заказа'!$W$496:$W$496</definedName>
    <definedName name="UnitOfMeasure254">'Бланк заказа'!$W$500:$W$500</definedName>
    <definedName name="UnitOfMeasure255">'Бланк заказа'!$W$501:$W$501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заказа'!$W$515:$W$515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заказа'!$W$142:$W$142</definedName>
    <definedName name="UnitOfMeasure65">'Бланк заказа'!$W$143:$W$143</definedName>
    <definedName name="UnitOfMeasure66">'Бланк заказа'!$W$147:$W$147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заказа'!$W$158:$W$158</definedName>
    <definedName name="UnitOfMeasure75">'Бланк заказа'!$W$159:$W$159</definedName>
    <definedName name="UnitOfMeasure76">'Бланк заказа'!$W$160:$W$160</definedName>
    <definedName name="UnitOfMeasure77">'Бланк заказа'!$W$161:$W$161</definedName>
    <definedName name="UnitOfMeasure78">'Бланк заказа'!$W$165:$W$165</definedName>
    <definedName name="UnitOfMeasure79">'Бланк заказа'!$W$166:$W$166</definedName>
    <definedName name="UnitOfMeasure8">'Бланк заказа'!$W$35:$W$35</definedName>
    <definedName name="UnitOfMeasure80">'Бланк заказа'!$W$167:$W$167</definedName>
    <definedName name="UnitOfMeasure81">'Бланк заказа'!$W$171:$W$171</definedName>
    <definedName name="UnitOfMeasure82">'Бланк заказа'!$W$172:$W$172</definedName>
    <definedName name="UnitOfMeasure83">'Бланк заказа'!$W$176:$W$176</definedName>
    <definedName name="UnitOfMeasure84">'Бланк заказа'!$W$182:$W$182</definedName>
    <definedName name="UnitOfMeasure85">'Бланк заказа'!$W$183:$W$183</definedName>
    <definedName name="UnitOfMeasure86">'Бланк заказа'!$W$184:$W$184</definedName>
    <definedName name="UnitOfMeasure87">'Бланк заказа'!$W$185:$W$185</definedName>
    <definedName name="UnitOfMeasure88">'Бланк заказа'!$W$186:$W$186</definedName>
    <definedName name="UnitOfMeasure89">'Бланк заказа'!$W$187:$W$187</definedName>
    <definedName name="UnitOfMeasure9">'Бланк заказа'!$W$41:$W$41</definedName>
    <definedName name="UnitOfMeasure90">'Бланк заказа'!$W$188:$W$188</definedName>
    <definedName name="UnitOfMeasure91">'Бланк заказа'!$W$193:$W$193</definedName>
    <definedName name="UnitOfMeasure92">'Бланк заказа'!$W$197:$W$197</definedName>
    <definedName name="UnitOfMeasure93">'Бланк заказа'!$W$198:$W$198</definedName>
    <definedName name="UnitOfMeasure94">'Бланк заказа'!$W$199:$W$199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17" i="2" l="1"/>
  <c r="X516" i="2"/>
  <c r="BO515" i="2"/>
  <c r="BM515" i="2"/>
  <c r="Y515" i="2"/>
  <c r="AA528" i="2" s="1"/>
  <c r="P515" i="2"/>
  <c r="X512" i="2"/>
  <c r="X511" i="2"/>
  <c r="BO510" i="2"/>
  <c r="BM510" i="2"/>
  <c r="Y510" i="2"/>
  <c r="BN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BP505" i="2" s="1"/>
  <c r="P505" i="2"/>
  <c r="X503" i="2"/>
  <c r="X502" i="2"/>
  <c r="BO501" i="2"/>
  <c r="BM501" i="2"/>
  <c r="Y501" i="2"/>
  <c r="BP501" i="2" s="1"/>
  <c r="P501" i="2"/>
  <c r="BO500" i="2"/>
  <c r="BM500" i="2"/>
  <c r="Y500" i="2"/>
  <c r="BP500" i="2" s="1"/>
  <c r="P500" i="2"/>
  <c r="X498" i="2"/>
  <c r="X497" i="2"/>
  <c r="BO496" i="2"/>
  <c r="BM496" i="2"/>
  <c r="Z496" i="2"/>
  <c r="Z497" i="2" s="1"/>
  <c r="Y496" i="2"/>
  <c r="Y498" i="2" s="1"/>
  <c r="P496" i="2"/>
  <c r="X494" i="2"/>
  <c r="X493" i="2"/>
  <c r="BO492" i="2"/>
  <c r="BM492" i="2"/>
  <c r="Y492" i="2"/>
  <c r="P492" i="2"/>
  <c r="X488" i="2"/>
  <c r="X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BP480" i="2" s="1"/>
  <c r="P480" i="2"/>
  <c r="X478" i="2"/>
  <c r="X477" i="2"/>
  <c r="BO476" i="2"/>
  <c r="BM476" i="2"/>
  <c r="Y476" i="2"/>
  <c r="BP476" i="2" s="1"/>
  <c r="P476" i="2"/>
  <c r="BO475" i="2"/>
  <c r="BM475" i="2"/>
  <c r="Y475" i="2"/>
  <c r="P475" i="2"/>
  <c r="BO474" i="2"/>
  <c r="BN474" i="2"/>
  <c r="BM474" i="2"/>
  <c r="Y474" i="2"/>
  <c r="Z474" i="2" s="1"/>
  <c r="P474" i="2"/>
  <c r="X472" i="2"/>
  <c r="X471" i="2"/>
  <c r="BO470" i="2"/>
  <c r="BM470" i="2"/>
  <c r="Y470" i="2"/>
  <c r="BP470" i="2" s="1"/>
  <c r="P470" i="2"/>
  <c r="BO469" i="2"/>
  <c r="BM469" i="2"/>
  <c r="Z469" i="2"/>
  <c r="Y469" i="2"/>
  <c r="BN469" i="2" s="1"/>
  <c r="P469" i="2"/>
  <c r="BO468" i="2"/>
  <c r="BM468" i="2"/>
  <c r="Y468" i="2"/>
  <c r="BP468" i="2" s="1"/>
  <c r="P468" i="2"/>
  <c r="BO467" i="2"/>
  <c r="BN467" i="2"/>
  <c r="BM467" i="2"/>
  <c r="Y467" i="2"/>
  <c r="Z467" i="2" s="1"/>
  <c r="P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N462" i="2" s="1"/>
  <c r="P462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P454" i="2"/>
  <c r="X452" i="2"/>
  <c r="X451" i="2"/>
  <c r="BO450" i="2"/>
  <c r="BM450" i="2"/>
  <c r="Y450" i="2"/>
  <c r="X528" i="2" s="1"/>
  <c r="P450" i="2"/>
  <c r="X447" i="2"/>
  <c r="X446" i="2"/>
  <c r="BO445" i="2"/>
  <c r="BM445" i="2"/>
  <c r="Y445" i="2"/>
  <c r="P445" i="2"/>
  <c r="BO444" i="2"/>
  <c r="BM444" i="2"/>
  <c r="Z444" i="2"/>
  <c r="Y444" i="2"/>
  <c r="P444" i="2"/>
  <c r="X442" i="2"/>
  <c r="X441" i="2"/>
  <c r="BO440" i="2"/>
  <c r="BM440" i="2"/>
  <c r="Y440" i="2"/>
  <c r="BP440" i="2" s="1"/>
  <c r="P440" i="2"/>
  <c r="BO439" i="2"/>
  <c r="BM439" i="2"/>
  <c r="Y439" i="2"/>
  <c r="Z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N436" i="2"/>
  <c r="BM436" i="2"/>
  <c r="Y436" i="2"/>
  <c r="BP436" i="2" s="1"/>
  <c r="P436" i="2"/>
  <c r="BO435" i="2"/>
  <c r="BM435" i="2"/>
  <c r="Y435" i="2"/>
  <c r="P435" i="2"/>
  <c r="X431" i="2"/>
  <c r="X430" i="2"/>
  <c r="BO429" i="2"/>
  <c r="BM429" i="2"/>
  <c r="Y429" i="2"/>
  <c r="BP429" i="2" s="1"/>
  <c r="P429" i="2"/>
  <c r="BO428" i="2"/>
  <c r="BM428" i="2"/>
  <c r="Y428" i="2"/>
  <c r="P428" i="2"/>
  <c r="BO427" i="2"/>
  <c r="BN427" i="2"/>
  <c r="BM427" i="2"/>
  <c r="Y427" i="2"/>
  <c r="Z427" i="2" s="1"/>
  <c r="P427" i="2"/>
  <c r="X425" i="2"/>
  <c r="X424" i="2"/>
  <c r="BO423" i="2"/>
  <c r="BM423" i="2"/>
  <c r="Y423" i="2"/>
  <c r="Y425" i="2" s="1"/>
  <c r="P423" i="2"/>
  <c r="X421" i="2"/>
  <c r="X420" i="2"/>
  <c r="BO419" i="2"/>
  <c r="BM419" i="2"/>
  <c r="Y419" i="2"/>
  <c r="BN419" i="2" s="1"/>
  <c r="P419" i="2"/>
  <c r="BO418" i="2"/>
  <c r="BM418" i="2"/>
  <c r="Y418" i="2"/>
  <c r="Y420" i="2" s="1"/>
  <c r="P418" i="2"/>
  <c r="X415" i="2"/>
  <c r="X414" i="2"/>
  <c r="BO413" i="2"/>
  <c r="BM413" i="2"/>
  <c r="Y413" i="2"/>
  <c r="BP413" i="2" s="1"/>
  <c r="P413" i="2"/>
  <c r="X411" i="2"/>
  <c r="X410" i="2"/>
  <c r="BO409" i="2"/>
  <c r="BM409" i="2"/>
  <c r="Y409" i="2"/>
  <c r="BN409" i="2" s="1"/>
  <c r="P409" i="2"/>
  <c r="BO408" i="2"/>
  <c r="BM408" i="2"/>
  <c r="Y408" i="2"/>
  <c r="BP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P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BN391" i="2" s="1"/>
  <c r="P391" i="2"/>
  <c r="X387" i="2"/>
  <c r="X386" i="2"/>
  <c r="BO385" i="2"/>
  <c r="BM385" i="2"/>
  <c r="Y385" i="2"/>
  <c r="BN385" i="2" s="1"/>
  <c r="P385" i="2"/>
  <c r="BO384" i="2"/>
  <c r="BM384" i="2"/>
  <c r="Y384" i="2"/>
  <c r="BN384" i="2" s="1"/>
  <c r="P384" i="2"/>
  <c r="BO383" i="2"/>
  <c r="BM383" i="2"/>
  <c r="Y383" i="2"/>
  <c r="Z383" i="2" s="1"/>
  <c r="P383" i="2"/>
  <c r="Y380" i="2"/>
  <c r="X380" i="2"/>
  <c r="X379" i="2"/>
  <c r="BO378" i="2"/>
  <c r="BM378" i="2"/>
  <c r="Y378" i="2"/>
  <c r="BP378" i="2" s="1"/>
  <c r="P378" i="2"/>
  <c r="BO377" i="2"/>
  <c r="BM377" i="2"/>
  <c r="Z377" i="2"/>
  <c r="Y377" i="2"/>
  <c r="BN377" i="2" s="1"/>
  <c r="P377" i="2"/>
  <c r="BO376" i="2"/>
  <c r="BM376" i="2"/>
  <c r="Y376" i="2"/>
  <c r="P376" i="2"/>
  <c r="X374" i="2"/>
  <c r="X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Z369" i="2" s="1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Y367" i="2" s="1"/>
  <c r="P363" i="2"/>
  <c r="X361" i="2"/>
  <c r="X360" i="2"/>
  <c r="BO359" i="2"/>
  <c r="BM359" i="2"/>
  <c r="Y359" i="2"/>
  <c r="BN359" i="2" s="1"/>
  <c r="P359" i="2"/>
  <c r="BO358" i="2"/>
  <c r="BM358" i="2"/>
  <c r="Y358" i="2"/>
  <c r="BP358" i="2" s="1"/>
  <c r="P358" i="2"/>
  <c r="BO357" i="2"/>
  <c r="BM357" i="2"/>
  <c r="Y357" i="2"/>
  <c r="BN357" i="2" s="1"/>
  <c r="P357" i="2"/>
  <c r="BP356" i="2"/>
  <c r="BO356" i="2"/>
  <c r="BM356" i="2"/>
  <c r="Y356" i="2"/>
  <c r="BN356" i="2" s="1"/>
  <c r="P356" i="2"/>
  <c r="X354" i="2"/>
  <c r="X353" i="2"/>
  <c r="BO352" i="2"/>
  <c r="BM352" i="2"/>
  <c r="Y352" i="2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BN347" i="2" s="1"/>
  <c r="P347" i="2"/>
  <c r="BO346" i="2"/>
  <c r="BM346" i="2"/>
  <c r="Y346" i="2"/>
  <c r="BN346" i="2" s="1"/>
  <c r="P346" i="2"/>
  <c r="X344" i="2"/>
  <c r="X343" i="2"/>
  <c r="BO342" i="2"/>
  <c r="BM342" i="2"/>
  <c r="Y342" i="2"/>
  <c r="BN342" i="2" s="1"/>
  <c r="P342" i="2"/>
  <c r="BO341" i="2"/>
  <c r="BM341" i="2"/>
  <c r="Y341" i="2"/>
  <c r="BN341" i="2" s="1"/>
  <c r="P341" i="2"/>
  <c r="BO340" i="2"/>
  <c r="BM340" i="2"/>
  <c r="Y340" i="2"/>
  <c r="Z340" i="2" s="1"/>
  <c r="P340" i="2"/>
  <c r="BO339" i="2"/>
  <c r="BM339" i="2"/>
  <c r="Y339" i="2"/>
  <c r="BN339" i="2" s="1"/>
  <c r="P339" i="2"/>
  <c r="BO338" i="2"/>
  <c r="BM338" i="2"/>
  <c r="Y338" i="2"/>
  <c r="P338" i="2"/>
  <c r="BO337" i="2"/>
  <c r="BM337" i="2"/>
  <c r="Z337" i="2"/>
  <c r="Y337" i="2"/>
  <c r="BN337" i="2" s="1"/>
  <c r="P337" i="2"/>
  <c r="X334" i="2"/>
  <c r="X333" i="2"/>
  <c r="BO332" i="2"/>
  <c r="BM332" i="2"/>
  <c r="Y332" i="2"/>
  <c r="P332" i="2"/>
  <c r="BO331" i="2"/>
  <c r="BM331" i="2"/>
  <c r="Y331" i="2"/>
  <c r="BN331" i="2" s="1"/>
  <c r="P331" i="2"/>
  <c r="BO330" i="2"/>
  <c r="BM330" i="2"/>
  <c r="Y330" i="2"/>
  <c r="BN330" i="2" s="1"/>
  <c r="P330" i="2"/>
  <c r="X327" i="2"/>
  <c r="X326" i="2"/>
  <c r="BO325" i="2"/>
  <c r="BM325" i="2"/>
  <c r="Y325" i="2"/>
  <c r="Z325" i="2" s="1"/>
  <c r="P325" i="2"/>
  <c r="BO324" i="2"/>
  <c r="BM324" i="2"/>
  <c r="Y324" i="2"/>
  <c r="BP324" i="2" s="1"/>
  <c r="P324" i="2"/>
  <c r="X322" i="2"/>
  <c r="X321" i="2"/>
  <c r="BO320" i="2"/>
  <c r="BM320" i="2"/>
  <c r="Y320" i="2"/>
  <c r="BN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BP316" i="2" s="1"/>
  <c r="P316" i="2"/>
  <c r="X313" i="2"/>
  <c r="X312" i="2"/>
  <c r="BO311" i="2"/>
  <c r="BM311" i="2"/>
  <c r="Y311" i="2"/>
  <c r="BN311" i="2" s="1"/>
  <c r="P311" i="2"/>
  <c r="BO310" i="2"/>
  <c r="BM310" i="2"/>
  <c r="Y310" i="2"/>
  <c r="BP310" i="2" s="1"/>
  <c r="P310" i="2"/>
  <c r="BO309" i="2"/>
  <c r="BM309" i="2"/>
  <c r="Y309" i="2"/>
  <c r="Y313" i="2" s="1"/>
  <c r="P309" i="2"/>
  <c r="X306" i="2"/>
  <c r="X305" i="2"/>
  <c r="BO304" i="2"/>
  <c r="BM304" i="2"/>
  <c r="Y304" i="2"/>
  <c r="Z304" i="2" s="1"/>
  <c r="P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BP301" i="2" s="1"/>
  <c r="P301" i="2"/>
  <c r="BO300" i="2"/>
  <c r="BM300" i="2"/>
  <c r="Y300" i="2"/>
  <c r="BN300" i="2" s="1"/>
  <c r="P300" i="2"/>
  <c r="X297" i="2"/>
  <c r="X296" i="2"/>
  <c r="BO295" i="2"/>
  <c r="BM295" i="2"/>
  <c r="Y295" i="2"/>
  <c r="BN295" i="2" s="1"/>
  <c r="P295" i="2"/>
  <c r="BO294" i="2"/>
  <c r="BM294" i="2"/>
  <c r="Y294" i="2"/>
  <c r="BN294" i="2" s="1"/>
  <c r="P294" i="2"/>
  <c r="BO293" i="2"/>
  <c r="BM293" i="2"/>
  <c r="Y293" i="2"/>
  <c r="Z293" i="2" s="1"/>
  <c r="P293" i="2"/>
  <c r="Y291" i="2"/>
  <c r="X291" i="2"/>
  <c r="X290" i="2"/>
  <c r="BO289" i="2"/>
  <c r="BM289" i="2"/>
  <c r="Y289" i="2"/>
  <c r="BP289" i="2" s="1"/>
  <c r="P289" i="2"/>
  <c r="X287" i="2"/>
  <c r="Y286" i="2"/>
  <c r="X286" i="2"/>
  <c r="BO285" i="2"/>
  <c r="BM285" i="2"/>
  <c r="Z285" i="2"/>
  <c r="Z286" i="2" s="1"/>
  <c r="Y285" i="2"/>
  <c r="BN285" i="2" s="1"/>
  <c r="P285" i="2"/>
  <c r="X283" i="2"/>
  <c r="X282" i="2"/>
  <c r="BO281" i="2"/>
  <c r="BM281" i="2"/>
  <c r="Y281" i="2"/>
  <c r="Z281" i="2" s="1"/>
  <c r="P281" i="2"/>
  <c r="BO280" i="2"/>
  <c r="BM280" i="2"/>
  <c r="Y280" i="2"/>
  <c r="BN280" i="2" s="1"/>
  <c r="P280" i="2"/>
  <c r="BO279" i="2"/>
  <c r="BM279" i="2"/>
  <c r="Z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Z275" i="2"/>
  <c r="Y275" i="2"/>
  <c r="BN275" i="2" s="1"/>
  <c r="P275" i="2"/>
  <c r="X272" i="2"/>
  <c r="X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BP263" i="2" s="1"/>
  <c r="P263" i="2"/>
  <c r="BP262" i="2"/>
  <c r="BO262" i="2"/>
  <c r="BM262" i="2"/>
  <c r="Y262" i="2"/>
  <c r="P262" i="2"/>
  <c r="BO261" i="2"/>
  <c r="BM261" i="2"/>
  <c r="Y261" i="2"/>
  <c r="BN261" i="2" s="1"/>
  <c r="P261" i="2"/>
  <c r="BO260" i="2"/>
  <c r="BM260" i="2"/>
  <c r="Y260" i="2"/>
  <c r="Z260" i="2" s="1"/>
  <c r="P260" i="2"/>
  <c r="BO259" i="2"/>
  <c r="BM259" i="2"/>
  <c r="Y259" i="2"/>
  <c r="BN259" i="2" s="1"/>
  <c r="P259" i="2"/>
  <c r="BO258" i="2"/>
  <c r="BM258" i="2"/>
  <c r="Y258" i="2"/>
  <c r="BP258" i="2" s="1"/>
  <c r="P258" i="2"/>
  <c r="BO257" i="2"/>
  <c r="BM257" i="2"/>
  <c r="Y257" i="2"/>
  <c r="P257" i="2"/>
  <c r="BO256" i="2"/>
  <c r="BM256" i="2"/>
  <c r="Y256" i="2"/>
  <c r="BN256" i="2" s="1"/>
  <c r="P256" i="2"/>
  <c r="BO255" i="2"/>
  <c r="BM255" i="2"/>
  <c r="Y255" i="2"/>
  <c r="BP255" i="2" s="1"/>
  <c r="P255" i="2"/>
  <c r="BO254" i="2"/>
  <c r="BM254" i="2"/>
  <c r="Z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BP233" i="2" s="1"/>
  <c r="P233" i="2"/>
  <c r="X230" i="2"/>
  <c r="X229" i="2"/>
  <c r="BO228" i="2"/>
  <c r="BM228" i="2"/>
  <c r="Y228" i="2"/>
  <c r="BP228" i="2" s="1"/>
  <c r="P228" i="2"/>
  <c r="X226" i="2"/>
  <c r="X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P222" i="2"/>
  <c r="X220" i="2"/>
  <c r="X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Z215" i="2"/>
  <c r="Y215" i="2"/>
  <c r="BP215" i="2" s="1"/>
  <c r="P215" i="2"/>
  <c r="BO214" i="2"/>
  <c r="BM214" i="2"/>
  <c r="Y214" i="2"/>
  <c r="P214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Z207" i="2" s="1"/>
  <c r="P207" i="2"/>
  <c r="BO206" i="2"/>
  <c r="BM206" i="2"/>
  <c r="Z206" i="2"/>
  <c r="Y206" i="2"/>
  <c r="BN206" i="2" s="1"/>
  <c r="P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BN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BO198" i="2"/>
  <c r="BM198" i="2"/>
  <c r="Y198" i="2"/>
  <c r="BP198" i="2" s="1"/>
  <c r="P198" i="2"/>
  <c r="BO197" i="2"/>
  <c r="BN197" i="2"/>
  <c r="BM197" i="2"/>
  <c r="Y197" i="2"/>
  <c r="P197" i="2"/>
  <c r="Y195" i="2"/>
  <c r="X195" i="2"/>
  <c r="X194" i="2"/>
  <c r="BP193" i="2"/>
  <c r="BO193" i="2"/>
  <c r="BM193" i="2"/>
  <c r="Y193" i="2"/>
  <c r="Y194" i="2" s="1"/>
  <c r="P193" i="2"/>
  <c r="X190" i="2"/>
  <c r="X189" i="2"/>
  <c r="BO188" i="2"/>
  <c r="BM188" i="2"/>
  <c r="Y188" i="2"/>
  <c r="BN188" i="2" s="1"/>
  <c r="P188" i="2"/>
  <c r="BO187" i="2"/>
  <c r="BM187" i="2"/>
  <c r="Y187" i="2"/>
  <c r="BN187" i="2" s="1"/>
  <c r="P187" i="2"/>
  <c r="BO186" i="2"/>
  <c r="BM186" i="2"/>
  <c r="Y186" i="2"/>
  <c r="BN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N183" i="2"/>
  <c r="BM183" i="2"/>
  <c r="Y183" i="2"/>
  <c r="BP183" i="2" s="1"/>
  <c r="P183" i="2"/>
  <c r="BO182" i="2"/>
  <c r="BM182" i="2"/>
  <c r="Y182" i="2"/>
  <c r="P182" i="2"/>
  <c r="X178" i="2"/>
  <c r="X177" i="2"/>
  <c r="BO176" i="2"/>
  <c r="BM176" i="2"/>
  <c r="Y176" i="2"/>
  <c r="BN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Z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P166" i="2"/>
  <c r="BO165" i="2"/>
  <c r="BM165" i="2"/>
  <c r="Y165" i="2"/>
  <c r="Y169" i="2" s="1"/>
  <c r="P165" i="2"/>
  <c r="X163" i="2"/>
  <c r="X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BN158" i="2" s="1"/>
  <c r="P158" i="2"/>
  <c r="BO157" i="2"/>
  <c r="BM157" i="2"/>
  <c r="Y157" i="2"/>
  <c r="BP157" i="2" s="1"/>
  <c r="P157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X149" i="2"/>
  <c r="X148" i="2"/>
  <c r="BO147" i="2"/>
  <c r="BM147" i="2"/>
  <c r="Y147" i="2"/>
  <c r="Y149" i="2" s="1"/>
  <c r="P147" i="2"/>
  <c r="X145" i="2"/>
  <c r="X144" i="2"/>
  <c r="BO143" i="2"/>
  <c r="BM143" i="2"/>
  <c r="Y143" i="2"/>
  <c r="P143" i="2"/>
  <c r="BO142" i="2"/>
  <c r="BM142" i="2"/>
  <c r="Y142" i="2"/>
  <c r="Y144" i="2" s="1"/>
  <c r="P142" i="2"/>
  <c r="X139" i="2"/>
  <c r="X138" i="2"/>
  <c r="BO137" i="2"/>
  <c r="BM137" i="2"/>
  <c r="Y137" i="2"/>
  <c r="BP137" i="2" s="1"/>
  <c r="P137" i="2"/>
  <c r="BO136" i="2"/>
  <c r="BM136" i="2"/>
  <c r="Y136" i="2"/>
  <c r="BN136" i="2" s="1"/>
  <c r="P136" i="2"/>
  <c r="BO135" i="2"/>
  <c r="BM135" i="2"/>
  <c r="Y135" i="2"/>
  <c r="BP135" i="2" s="1"/>
  <c r="P135" i="2"/>
  <c r="BO134" i="2"/>
  <c r="BM134" i="2"/>
  <c r="Y134" i="2"/>
  <c r="P134" i="2"/>
  <c r="X131" i="2"/>
  <c r="X130" i="2"/>
  <c r="BO129" i="2"/>
  <c r="BN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P124" i="2"/>
  <c r="BO124" i="2"/>
  <c r="BM124" i="2"/>
  <c r="Y124" i="2"/>
  <c r="BN124" i="2" s="1"/>
  <c r="P124" i="2"/>
  <c r="BO123" i="2"/>
  <c r="BM123" i="2"/>
  <c r="Y123" i="2"/>
  <c r="BP123" i="2" s="1"/>
  <c r="P123" i="2"/>
  <c r="BO122" i="2"/>
  <c r="BM122" i="2"/>
  <c r="Y122" i="2"/>
  <c r="BN122" i="2" s="1"/>
  <c r="P122" i="2"/>
  <c r="X120" i="2"/>
  <c r="X119" i="2"/>
  <c r="BO118" i="2"/>
  <c r="BM118" i="2"/>
  <c r="Y118" i="2"/>
  <c r="Z118" i="2" s="1"/>
  <c r="P118" i="2"/>
  <c r="BO117" i="2"/>
  <c r="BM117" i="2"/>
  <c r="Y117" i="2"/>
  <c r="BN117" i="2" s="1"/>
  <c r="P117" i="2"/>
  <c r="BO116" i="2"/>
  <c r="BM116" i="2"/>
  <c r="Y116" i="2"/>
  <c r="P116" i="2"/>
  <c r="BO115" i="2"/>
  <c r="BM115" i="2"/>
  <c r="Z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N107" i="2" s="1"/>
  <c r="P107" i="2"/>
  <c r="BO106" i="2"/>
  <c r="BM106" i="2"/>
  <c r="Y106" i="2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P98" i="2"/>
  <c r="BO97" i="2"/>
  <c r="BM97" i="2"/>
  <c r="Y97" i="2"/>
  <c r="Z97" i="2" s="1"/>
  <c r="P97" i="2"/>
  <c r="BO96" i="2"/>
  <c r="BM96" i="2"/>
  <c r="Y96" i="2"/>
  <c r="BN96" i="2" s="1"/>
  <c r="P96" i="2"/>
  <c r="BO95" i="2"/>
  <c r="BM95" i="2"/>
  <c r="Y95" i="2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Z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BN78" i="2" s="1"/>
  <c r="P78" i="2"/>
  <c r="BO77" i="2"/>
  <c r="BM77" i="2"/>
  <c r="Y77" i="2"/>
  <c r="BP77" i="2" s="1"/>
  <c r="P77" i="2"/>
  <c r="X75" i="2"/>
  <c r="X74" i="2"/>
  <c r="BO73" i="2"/>
  <c r="BM73" i="2"/>
  <c r="Y73" i="2"/>
  <c r="BN73" i="2" s="1"/>
  <c r="P73" i="2"/>
  <c r="BO72" i="2"/>
  <c r="BM72" i="2"/>
  <c r="Z72" i="2"/>
  <c r="Y72" i="2"/>
  <c r="BP72" i="2" s="1"/>
  <c r="P72" i="2"/>
  <c r="BO71" i="2"/>
  <c r="BN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Z64" i="2" s="1"/>
  <c r="P64" i="2"/>
  <c r="BO63" i="2"/>
  <c r="BM63" i="2"/>
  <c r="Z63" i="2"/>
  <c r="Y63" i="2"/>
  <c r="BN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Z51" i="2"/>
  <c r="Y51" i="2"/>
  <c r="P51" i="2"/>
  <c r="X47" i="2"/>
  <c r="X46" i="2"/>
  <c r="BO45" i="2"/>
  <c r="BM45" i="2"/>
  <c r="Y45" i="2"/>
  <c r="Z45" i="2" s="1"/>
  <c r="P45" i="2"/>
  <c r="BO44" i="2"/>
  <c r="BM44" i="2"/>
  <c r="Y44" i="2"/>
  <c r="BP44" i="2" s="1"/>
  <c r="P44" i="2"/>
  <c r="BO43" i="2"/>
  <c r="BM43" i="2"/>
  <c r="Y43" i="2"/>
  <c r="BN43" i="2" s="1"/>
  <c r="P43" i="2"/>
  <c r="BO42" i="2"/>
  <c r="BM42" i="2"/>
  <c r="Y42" i="2"/>
  <c r="BN42" i="2" s="1"/>
  <c r="P42" i="2"/>
  <c r="BO41" i="2"/>
  <c r="BM41" i="2"/>
  <c r="Y41" i="2"/>
  <c r="BN41" i="2" s="1"/>
  <c r="P41" i="2"/>
  <c r="X37" i="2"/>
  <c r="X36" i="2"/>
  <c r="BO35" i="2"/>
  <c r="BM35" i="2"/>
  <c r="Y35" i="2"/>
  <c r="BP35" i="2" s="1"/>
  <c r="P35" i="2"/>
  <c r="X33" i="2"/>
  <c r="X32" i="2"/>
  <c r="BO31" i="2"/>
  <c r="BM31" i="2"/>
  <c r="Y31" i="2"/>
  <c r="BN31" i="2" s="1"/>
  <c r="P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BP27" i="2" s="1"/>
  <c r="P27" i="2"/>
  <c r="Y25" i="2"/>
  <c r="X25" i="2"/>
  <c r="X24" i="2"/>
  <c r="BO23" i="2"/>
  <c r="BM23" i="2"/>
  <c r="Y23" i="2"/>
  <c r="BN23" i="2" s="1"/>
  <c r="P23" i="2"/>
  <c r="BO22" i="2"/>
  <c r="BM22" i="2"/>
  <c r="Y22" i="2"/>
  <c r="Y24" i="2" s="1"/>
  <c r="P22" i="2"/>
  <c r="H10" i="2"/>
  <c r="A9" i="2"/>
  <c r="J9" i="2" s="1"/>
  <c r="D7" i="2"/>
  <c r="Q6" i="2"/>
  <c r="P2" i="2"/>
  <c r="Z107" i="2" l="1"/>
  <c r="Z228" i="2"/>
  <c r="Z229" i="2" s="1"/>
  <c r="Z244" i="2"/>
  <c r="Z303" i="2"/>
  <c r="Z341" i="2"/>
  <c r="Z394" i="2"/>
  <c r="Z71" i="2"/>
  <c r="BP104" i="2"/>
  <c r="Z129" i="2"/>
  <c r="Z130" i="2" s="1"/>
  <c r="Z136" i="2"/>
  <c r="BN152" i="2"/>
  <c r="BN208" i="2"/>
  <c r="Z238" i="2"/>
  <c r="BP300" i="2"/>
  <c r="Z342" i="2"/>
  <c r="Z436" i="2"/>
  <c r="Z465" i="2"/>
  <c r="Z259" i="2"/>
  <c r="Z349" i="2"/>
  <c r="BN154" i="2"/>
  <c r="BN485" i="2"/>
  <c r="BP357" i="2"/>
  <c r="BP419" i="2"/>
  <c r="BP450" i="2"/>
  <c r="BN65" i="2"/>
  <c r="BN83" i="2"/>
  <c r="Y85" i="2"/>
  <c r="BP114" i="2"/>
  <c r="Z117" i="2"/>
  <c r="Z125" i="2"/>
  <c r="Y130" i="2"/>
  <c r="BP136" i="2"/>
  <c r="BN172" i="2"/>
  <c r="Z187" i="2"/>
  <c r="BP187" i="2"/>
  <c r="Z205" i="2"/>
  <c r="BN218" i="2"/>
  <c r="Z239" i="2"/>
  <c r="Z240" i="2" s="1"/>
  <c r="Y240" i="2"/>
  <c r="Z261" i="2"/>
  <c r="BP261" i="2"/>
  <c r="Z280" i="2"/>
  <c r="Z295" i="2"/>
  <c r="Z301" i="2"/>
  <c r="Z309" i="2"/>
  <c r="Z316" i="2"/>
  <c r="Z330" i="2"/>
  <c r="Z347" i="2"/>
  <c r="Z357" i="2"/>
  <c r="Z384" i="2"/>
  <c r="Z419" i="2"/>
  <c r="Y446" i="2"/>
  <c r="Z450" i="2"/>
  <c r="Z451" i="2" s="1"/>
  <c r="Y512" i="2"/>
  <c r="BP347" i="2"/>
  <c r="BP384" i="2"/>
  <c r="Y74" i="2"/>
  <c r="Y177" i="2"/>
  <c r="BN234" i="2"/>
  <c r="BP294" i="2"/>
  <c r="BN351" i="2"/>
  <c r="BN370" i="2"/>
  <c r="BP397" i="2"/>
  <c r="BN437" i="2"/>
  <c r="BN455" i="2"/>
  <c r="BN464" i="2"/>
  <c r="BP510" i="2"/>
  <c r="BP330" i="2"/>
  <c r="Z43" i="2"/>
  <c r="BP60" i="2"/>
  <c r="Z65" i="2"/>
  <c r="F528" i="2"/>
  <c r="Z96" i="2"/>
  <c r="Z105" i="2"/>
  <c r="Z184" i="2"/>
  <c r="Z198" i="2"/>
  <c r="Z216" i="2"/>
  <c r="Z224" i="2"/>
  <c r="Y241" i="2"/>
  <c r="Z249" i="2"/>
  <c r="Z258" i="2"/>
  <c r="Z269" i="2"/>
  <c r="Z278" i="2"/>
  <c r="Z294" i="2"/>
  <c r="Z296" i="2" s="1"/>
  <c r="Z320" i="2"/>
  <c r="Y321" i="2"/>
  <c r="Z331" i="2"/>
  <c r="Y334" i="2"/>
  <c r="Z339" i="2"/>
  <c r="BP341" i="2"/>
  <c r="Z348" i="2"/>
  <c r="Z359" i="2"/>
  <c r="Y360" i="2"/>
  <c r="BP377" i="2"/>
  <c r="BP391" i="2"/>
  <c r="Z397" i="2"/>
  <c r="Z403" i="2"/>
  <c r="Z409" i="2"/>
  <c r="Y410" i="2"/>
  <c r="BN439" i="2"/>
  <c r="Z440" i="2"/>
  <c r="BN481" i="2"/>
  <c r="Z153" i="2"/>
  <c r="Y431" i="2"/>
  <c r="Z161" i="2"/>
  <c r="Z160" i="2"/>
  <c r="Z156" i="2"/>
  <c r="Z247" i="2"/>
  <c r="Z248" i="2"/>
  <c r="X520" i="2"/>
  <c r="BN264" i="2"/>
  <c r="Z201" i="2"/>
  <c r="BN392" i="2"/>
  <c r="Y400" i="2"/>
  <c r="Z392" i="2"/>
  <c r="F9" i="2"/>
  <c r="Y79" i="2"/>
  <c r="BP159" i="2"/>
  <c r="BN159" i="2"/>
  <c r="Z159" i="2"/>
  <c r="BN209" i="2"/>
  <c r="Z209" i="2"/>
  <c r="BP438" i="2"/>
  <c r="BN438" i="2"/>
  <c r="H9" i="2"/>
  <c r="BP23" i="2"/>
  <c r="BN27" i="2"/>
  <c r="Z28" i="2"/>
  <c r="Z42" i="2"/>
  <c r="BP42" i="2"/>
  <c r="BP45" i="2"/>
  <c r="Y55" i="2"/>
  <c r="Z54" i="2"/>
  <c r="BP54" i="2"/>
  <c r="E528" i="2"/>
  <c r="BN61" i="2"/>
  <c r="Z62" i="2"/>
  <c r="BP63" i="2"/>
  <c r="BP70" i="2"/>
  <c r="Z88" i="2"/>
  <c r="BP88" i="2"/>
  <c r="BP91" i="2"/>
  <c r="BN182" i="2"/>
  <c r="BP182" i="2"/>
  <c r="BP204" i="2"/>
  <c r="BN204" i="2"/>
  <c r="Z204" i="2"/>
  <c r="BN265" i="2"/>
  <c r="BP265" i="2"/>
  <c r="Z265" i="2"/>
  <c r="BN376" i="2"/>
  <c r="Y379" i="2"/>
  <c r="BP376" i="2"/>
  <c r="Z376" i="2"/>
  <c r="BN404" i="2"/>
  <c r="Z404" i="2"/>
  <c r="BP428" i="2"/>
  <c r="BN428" i="2"/>
  <c r="Z428" i="2"/>
  <c r="Y36" i="2"/>
  <c r="BN402" i="2"/>
  <c r="Y405" i="2"/>
  <c r="Y406" i="2"/>
  <c r="BP402" i="2"/>
  <c r="Z402" i="2"/>
  <c r="A10" i="2"/>
  <c r="X522" i="2"/>
  <c r="Y32" i="2"/>
  <c r="X518" i="2"/>
  <c r="Y37" i="2"/>
  <c r="BP52" i="2"/>
  <c r="BP66" i="2"/>
  <c r="BP73" i="2"/>
  <c r="Y75" i="2"/>
  <c r="BN98" i="2"/>
  <c r="BP98" i="2"/>
  <c r="Z98" i="2"/>
  <c r="BP106" i="2"/>
  <c r="Z106" i="2"/>
  <c r="BP257" i="2"/>
  <c r="BN257" i="2"/>
  <c r="Z257" i="2"/>
  <c r="BP302" i="2"/>
  <c r="Z302" i="2"/>
  <c r="BP317" i="2"/>
  <c r="BN317" i="2"/>
  <c r="BN352" i="2"/>
  <c r="BP352" i="2"/>
  <c r="Z352" i="2"/>
  <c r="Z372" i="2"/>
  <c r="BN372" i="2"/>
  <c r="BP475" i="2"/>
  <c r="BN475" i="2"/>
  <c r="Z475" i="2"/>
  <c r="BN482" i="2"/>
  <c r="BP482" i="2"/>
  <c r="Z482" i="2"/>
  <c r="Y502" i="2"/>
  <c r="BN501" i="2"/>
  <c r="BN143" i="2"/>
  <c r="BP143" i="2"/>
  <c r="Z143" i="2"/>
  <c r="BN166" i="2"/>
  <c r="Z166" i="2"/>
  <c r="BN396" i="2"/>
  <c r="BP396" i="2"/>
  <c r="Z396" i="2"/>
  <c r="F10" i="2"/>
  <c r="Z27" i="2"/>
  <c r="BN28" i="2"/>
  <c r="X519" i="2"/>
  <c r="BP43" i="2"/>
  <c r="BN45" i="2"/>
  <c r="Z52" i="2"/>
  <c r="Z61" i="2"/>
  <c r="Z66" i="2"/>
  <c r="Z73" i="2"/>
  <c r="BP83" i="2"/>
  <c r="BN88" i="2"/>
  <c r="BP89" i="2"/>
  <c r="BN91" i="2"/>
  <c r="BP116" i="2"/>
  <c r="Z116" i="2"/>
  <c r="H528" i="2"/>
  <c r="Y139" i="2"/>
  <c r="Z135" i="2"/>
  <c r="BN135" i="2"/>
  <c r="BN185" i="2"/>
  <c r="Z185" i="2"/>
  <c r="BP209" i="2"/>
  <c r="Y219" i="2"/>
  <c r="BN214" i="2"/>
  <c r="Z214" i="2"/>
  <c r="BN262" i="2"/>
  <c r="Z262" i="2"/>
  <c r="BP338" i="2"/>
  <c r="Z338" i="2"/>
  <c r="BN364" i="2"/>
  <c r="Z364" i="2"/>
  <c r="BP463" i="2"/>
  <c r="BN463" i="2"/>
  <c r="Y478" i="2"/>
  <c r="Y99" i="2"/>
  <c r="G528" i="2"/>
  <c r="BN105" i="2"/>
  <c r="BP107" i="2"/>
  <c r="BN115" i="2"/>
  <c r="BP117" i="2"/>
  <c r="BN125" i="2"/>
  <c r="BN151" i="2"/>
  <c r="Y162" i="2"/>
  <c r="BN171" i="2"/>
  <c r="BP176" i="2"/>
  <c r="BP188" i="2"/>
  <c r="Y211" i="2"/>
  <c r="Y212" i="2"/>
  <c r="BP223" i="2"/>
  <c r="Y229" i="2"/>
  <c r="BP234" i="2"/>
  <c r="Y252" i="2"/>
  <c r="BP246" i="2"/>
  <c r="BP269" i="2"/>
  <c r="BP277" i="2"/>
  <c r="BP295" i="2"/>
  <c r="BN301" i="2"/>
  <c r="BP303" i="2"/>
  <c r="Y312" i="2"/>
  <c r="BP311" i="2"/>
  <c r="BN316" i="2"/>
  <c r="Y322" i="2"/>
  <c r="BP318" i="2"/>
  <c r="BN325" i="2"/>
  <c r="BP339" i="2"/>
  <c r="BP346" i="2"/>
  <c r="Y353" i="2"/>
  <c r="BN369" i="2"/>
  <c r="BN371" i="2"/>
  <c r="BP385" i="2"/>
  <c r="Y415" i="2"/>
  <c r="BP439" i="2"/>
  <c r="Y447" i="2"/>
  <c r="Y458" i="2"/>
  <c r="BP455" i="2"/>
  <c r="Y528" i="2"/>
  <c r="BP464" i="2"/>
  <c r="BP467" i="2"/>
  <c r="BN484" i="2"/>
  <c r="Z528" i="2"/>
  <c r="Y497" i="2"/>
  <c r="Z95" i="2"/>
  <c r="BP96" i="2"/>
  <c r="Y131" i="2"/>
  <c r="Z152" i="2"/>
  <c r="BN153" i="2"/>
  <c r="BP158" i="2"/>
  <c r="Z172" i="2"/>
  <c r="Z173" i="2" s="1"/>
  <c r="Z176" i="2"/>
  <c r="Z177" i="2" s="1"/>
  <c r="Y178" i="2"/>
  <c r="Z183" i="2"/>
  <c r="Z188" i="2"/>
  <c r="Z197" i="2"/>
  <c r="BN198" i="2"/>
  <c r="BP203" i="2"/>
  <c r="Z208" i="2"/>
  <c r="Z218" i="2"/>
  <c r="Y226" i="2"/>
  <c r="BN224" i="2"/>
  <c r="BN228" i="2"/>
  <c r="BP239" i="2"/>
  <c r="BN247" i="2"/>
  <c r="BP249" i="2"/>
  <c r="BP256" i="2"/>
  <c r="BP264" i="2"/>
  <c r="BN278" i="2"/>
  <c r="BP280" i="2"/>
  <c r="Y290" i="2"/>
  <c r="BP331" i="2"/>
  <c r="S528" i="2"/>
  <c r="BP342" i="2"/>
  <c r="Z351" i="2"/>
  <c r="Z358" i="2"/>
  <c r="BP359" i="2"/>
  <c r="Y361" i="2"/>
  <c r="Z370" i="2"/>
  <c r="Z385" i="2"/>
  <c r="Z393" i="2"/>
  <c r="BP394" i="2"/>
  <c r="BP427" i="2"/>
  <c r="Y430" i="2"/>
  <c r="Y442" i="2"/>
  <c r="Z437" i="2"/>
  <c r="BN440" i="2"/>
  <c r="BN450" i="2"/>
  <c r="Y451" i="2"/>
  <c r="Z462" i="2"/>
  <c r="BP462" i="2"/>
  <c r="BN465" i="2"/>
  <c r="BP474" i="2"/>
  <c r="Y477" i="2"/>
  <c r="BP481" i="2"/>
  <c r="Z485" i="2"/>
  <c r="BN496" i="2"/>
  <c r="BP151" i="2"/>
  <c r="BP161" i="2"/>
  <c r="BP171" i="2"/>
  <c r="BP206" i="2"/>
  <c r="BP216" i="2"/>
  <c r="Y230" i="2"/>
  <c r="BP259" i="2"/>
  <c r="BP325" i="2"/>
  <c r="R528" i="2"/>
  <c r="BP349" i="2"/>
  <c r="BP369" i="2"/>
  <c r="Y414" i="2"/>
  <c r="BP444" i="2"/>
  <c r="BP484" i="2"/>
  <c r="Y511" i="2"/>
  <c r="Z219" i="2"/>
  <c r="Z343" i="2"/>
  <c r="Z99" i="2"/>
  <c r="Y487" i="2"/>
  <c r="I528" i="2"/>
  <c r="Z29" i="2"/>
  <c r="BP31" i="2"/>
  <c r="Y46" i="2"/>
  <c r="Y56" i="2"/>
  <c r="BP78" i="2"/>
  <c r="Y92" i="2"/>
  <c r="Y100" i="2"/>
  <c r="BP112" i="2"/>
  <c r="BP122" i="2"/>
  <c r="Y145" i="2"/>
  <c r="Z154" i="2"/>
  <c r="BP156" i="2"/>
  <c r="BP166" i="2"/>
  <c r="Z199" i="2"/>
  <c r="BP201" i="2"/>
  <c r="Y220" i="2"/>
  <c r="Y235" i="2"/>
  <c r="BP244" i="2"/>
  <c r="BP254" i="2"/>
  <c r="BP275" i="2"/>
  <c r="BP285" i="2"/>
  <c r="BP309" i="2"/>
  <c r="Z318" i="2"/>
  <c r="BP320" i="2"/>
  <c r="BP364" i="2"/>
  <c r="BP409" i="2"/>
  <c r="Y421" i="2"/>
  <c r="BN444" i="2"/>
  <c r="BP469" i="2"/>
  <c r="Z501" i="2"/>
  <c r="Y506" i="2"/>
  <c r="J528" i="2"/>
  <c r="Z350" i="2"/>
  <c r="Y488" i="2"/>
  <c r="L528" i="2"/>
  <c r="Z22" i="2"/>
  <c r="Y47" i="2"/>
  <c r="Z59" i="2"/>
  <c r="Y84" i="2"/>
  <c r="Y93" i="2"/>
  <c r="Z103" i="2"/>
  <c r="Z113" i="2"/>
  <c r="Z123" i="2"/>
  <c r="Z147" i="2"/>
  <c r="Z148" i="2" s="1"/>
  <c r="Z157" i="2"/>
  <c r="Z167" i="2"/>
  <c r="Z202" i="2"/>
  <c r="BP214" i="2"/>
  <c r="Z222" i="2"/>
  <c r="Y236" i="2"/>
  <c r="Z245" i="2"/>
  <c r="Z255" i="2"/>
  <c r="Z276" i="2"/>
  <c r="Z310" i="2"/>
  <c r="Y326" i="2"/>
  <c r="BP337" i="2"/>
  <c r="Z365" i="2"/>
  <c r="Z423" i="2"/>
  <c r="Z424" i="2" s="1"/>
  <c r="Z470" i="2"/>
  <c r="BP496" i="2"/>
  <c r="Y507" i="2"/>
  <c r="M528" i="2"/>
  <c r="Z41" i="2"/>
  <c r="Z186" i="2"/>
  <c r="O528" i="2"/>
  <c r="BN22" i="2"/>
  <c r="Y33" i="2"/>
  <c r="Z44" i="2"/>
  <c r="BN59" i="2"/>
  <c r="Y80" i="2"/>
  <c r="Z90" i="2"/>
  <c r="BN103" i="2"/>
  <c r="BN113" i="2"/>
  <c r="BN123" i="2"/>
  <c r="Y126" i="2"/>
  <c r="Z134" i="2"/>
  <c r="BN147" i="2"/>
  <c r="BN157" i="2"/>
  <c r="BN167" i="2"/>
  <c r="BN202" i="2"/>
  <c r="Z210" i="2"/>
  <c r="BN222" i="2"/>
  <c r="Y225" i="2"/>
  <c r="Z233" i="2"/>
  <c r="Z235" i="2" s="1"/>
  <c r="BN245" i="2"/>
  <c r="BN255" i="2"/>
  <c r="Z263" i="2"/>
  <c r="BN276" i="2"/>
  <c r="Y287" i="2"/>
  <c r="BN310" i="2"/>
  <c r="Z332" i="2"/>
  <c r="BN365" i="2"/>
  <c r="Z398" i="2"/>
  <c r="Y411" i="2"/>
  <c r="BN423" i="2"/>
  <c r="Z435" i="2"/>
  <c r="Z445" i="2"/>
  <c r="Z446" i="2" s="1"/>
  <c r="BN470" i="2"/>
  <c r="Z480" i="2"/>
  <c r="Z492" i="2"/>
  <c r="Z493" i="2" s="1"/>
  <c r="P528" i="2"/>
  <c r="Z270" i="2"/>
  <c r="Z271" i="2" s="1"/>
  <c r="Y189" i="2"/>
  <c r="BP199" i="2"/>
  <c r="BN207" i="2"/>
  <c r="BN260" i="2"/>
  <c r="Y296" i="2"/>
  <c r="BN395" i="2"/>
  <c r="BP108" i="2"/>
  <c r="BP142" i="2"/>
  <c r="BP186" i="2"/>
  <c r="BP207" i="2"/>
  <c r="BP217" i="2"/>
  <c r="BP250" i="2"/>
  <c r="BP260" i="2"/>
  <c r="BP270" i="2"/>
  <c r="BP281" i="2"/>
  <c r="BP293" i="2"/>
  <c r="BP304" i="2"/>
  <c r="Y327" i="2"/>
  <c r="BP340" i="2"/>
  <c r="BP350" i="2"/>
  <c r="Y373" i="2"/>
  <c r="BP383" i="2"/>
  <c r="BP395" i="2"/>
  <c r="BP418" i="2"/>
  <c r="Z509" i="2"/>
  <c r="Q528" i="2"/>
  <c r="Z142" i="2"/>
  <c r="Z144" i="2" s="1"/>
  <c r="Y67" i="2"/>
  <c r="BN97" i="2"/>
  <c r="BN118" i="2"/>
  <c r="BN217" i="2"/>
  <c r="BN293" i="2"/>
  <c r="BP118" i="2"/>
  <c r="BP22" i="2"/>
  <c r="Z77" i="2"/>
  <c r="BN134" i="2"/>
  <c r="BP147" i="2"/>
  <c r="Z155" i="2"/>
  <c r="Z165" i="2"/>
  <c r="Y190" i="2"/>
  <c r="Z200" i="2"/>
  <c r="BN210" i="2"/>
  <c r="BP222" i="2"/>
  <c r="BN233" i="2"/>
  <c r="Z243" i="2"/>
  <c r="BN263" i="2"/>
  <c r="Y266" i="2"/>
  <c r="Y297" i="2"/>
  <c r="Z319" i="2"/>
  <c r="BN332" i="2"/>
  <c r="Y344" i="2"/>
  <c r="Y354" i="2"/>
  <c r="Z363" i="2"/>
  <c r="Y387" i="2"/>
  <c r="BN398" i="2"/>
  <c r="Z408" i="2"/>
  <c r="Z410" i="2" s="1"/>
  <c r="BP423" i="2"/>
  <c r="BN435" i="2"/>
  <c r="BN445" i="2"/>
  <c r="Z456" i="2"/>
  <c r="Z468" i="2"/>
  <c r="BN480" i="2"/>
  <c r="BN492" i="2"/>
  <c r="Z515" i="2"/>
  <c r="Z516" i="2" s="1"/>
  <c r="Z53" i="2"/>
  <c r="BP29" i="2"/>
  <c r="BN64" i="2"/>
  <c r="BN304" i="2"/>
  <c r="Y386" i="2"/>
  <c r="Z30" i="2"/>
  <c r="BN44" i="2"/>
  <c r="BP59" i="2"/>
  <c r="Y68" i="2"/>
  <c r="BN90" i="2"/>
  <c r="BP103" i="2"/>
  <c r="Z35" i="2"/>
  <c r="Z36" i="2" s="1"/>
  <c r="BN51" i="2"/>
  <c r="BN62" i="2"/>
  <c r="BN72" i="2"/>
  <c r="Z82" i="2"/>
  <c r="Z84" i="2" s="1"/>
  <c r="BN95" i="2"/>
  <c r="BN106" i="2"/>
  <c r="Y109" i="2"/>
  <c r="BN116" i="2"/>
  <c r="Y119" i="2"/>
  <c r="Y127" i="2"/>
  <c r="Z137" i="2"/>
  <c r="BN160" i="2"/>
  <c r="BN184" i="2"/>
  <c r="BP197" i="2"/>
  <c r="BN205" i="2"/>
  <c r="BN215" i="2"/>
  <c r="BN238" i="2"/>
  <c r="BN248" i="2"/>
  <c r="Y251" i="2"/>
  <c r="BN258" i="2"/>
  <c r="Y271" i="2"/>
  <c r="BN279" i="2"/>
  <c r="Y282" i="2"/>
  <c r="Z289" i="2"/>
  <c r="Z290" i="2" s="1"/>
  <c r="BN302" i="2"/>
  <c r="Y305" i="2"/>
  <c r="Z324" i="2"/>
  <c r="Z326" i="2" s="1"/>
  <c r="BN338" i="2"/>
  <c r="BN348" i="2"/>
  <c r="BN358" i="2"/>
  <c r="Z378" i="2"/>
  <c r="Z379" i="2" s="1"/>
  <c r="BN393" i="2"/>
  <c r="BN403" i="2"/>
  <c r="Z413" i="2"/>
  <c r="Z414" i="2" s="1"/>
  <c r="Z438" i="2"/>
  <c r="Y452" i="2"/>
  <c r="Z463" i="2"/>
  <c r="Z483" i="2"/>
  <c r="BN509" i="2"/>
  <c r="Y163" i="2"/>
  <c r="BP64" i="2"/>
  <c r="BP97" i="2"/>
  <c r="BP134" i="2"/>
  <c r="Y168" i="2"/>
  <c r="BN200" i="2"/>
  <c r="BN243" i="2"/>
  <c r="BN319" i="2"/>
  <c r="BP332" i="2"/>
  <c r="BN363" i="2"/>
  <c r="Y366" i="2"/>
  <c r="Y374" i="2"/>
  <c r="BN408" i="2"/>
  <c r="Y424" i="2"/>
  <c r="BP435" i="2"/>
  <c r="BP445" i="2"/>
  <c r="BN456" i="2"/>
  <c r="BN468" i="2"/>
  <c r="Y471" i="2"/>
  <c r="BP492" i="2"/>
  <c r="Y503" i="2"/>
  <c r="BN515" i="2"/>
  <c r="T528" i="2"/>
  <c r="K528" i="2"/>
  <c r="Z250" i="2"/>
  <c r="Z395" i="2"/>
  <c r="BN142" i="2"/>
  <c r="Y343" i="2"/>
  <c r="BP41" i="2"/>
  <c r="BN30" i="2"/>
  <c r="BN77" i="2"/>
  <c r="Y148" i="2"/>
  <c r="BN155" i="2"/>
  <c r="BN165" i="2"/>
  <c r="Z23" i="2"/>
  <c r="BN35" i="2"/>
  <c r="BP51" i="2"/>
  <c r="Z60" i="2"/>
  <c r="Z70" i="2"/>
  <c r="BN82" i="2"/>
  <c r="BP95" i="2"/>
  <c r="Z104" i="2"/>
  <c r="Z114" i="2"/>
  <c r="Z124" i="2"/>
  <c r="BN137" i="2"/>
  <c r="Z158" i="2"/>
  <c r="Y173" i="2"/>
  <c r="Z182" i="2"/>
  <c r="Z193" i="2"/>
  <c r="Z194" i="2" s="1"/>
  <c r="Z203" i="2"/>
  <c r="Z223" i="2"/>
  <c r="Z246" i="2"/>
  <c r="Z256" i="2"/>
  <c r="Y267" i="2"/>
  <c r="Z277" i="2"/>
  <c r="BN289" i="2"/>
  <c r="Z300" i="2"/>
  <c r="Z311" i="2"/>
  <c r="BN324" i="2"/>
  <c r="Z346" i="2"/>
  <c r="Z356" i="2"/>
  <c r="BN378" i="2"/>
  <c r="Z391" i="2"/>
  <c r="BN413" i="2"/>
  <c r="Y441" i="2"/>
  <c r="BN483" i="2"/>
  <c r="B528" i="2"/>
  <c r="U528" i="2"/>
  <c r="BN29" i="2"/>
  <c r="Z418" i="2"/>
  <c r="BN108" i="2"/>
  <c r="BN281" i="2"/>
  <c r="BN350" i="2"/>
  <c r="BN418" i="2"/>
  <c r="Y110" i="2"/>
  <c r="Y120" i="2"/>
  <c r="BP165" i="2"/>
  <c r="BP243" i="2"/>
  <c r="Y272" i="2"/>
  <c r="Y283" i="2"/>
  <c r="Y306" i="2"/>
  <c r="Z317" i="2"/>
  <c r="Y333" i="2"/>
  <c r="BP363" i="2"/>
  <c r="Z371" i="2"/>
  <c r="Y399" i="2"/>
  <c r="Z429" i="2"/>
  <c r="Z454" i="2"/>
  <c r="Z466" i="2"/>
  <c r="Z476" i="2"/>
  <c r="Z486" i="2"/>
  <c r="Y493" i="2"/>
  <c r="Z500" i="2"/>
  <c r="BP515" i="2"/>
  <c r="C528" i="2"/>
  <c r="V528" i="2"/>
  <c r="BN340" i="2"/>
  <c r="BN383" i="2"/>
  <c r="BP53" i="2"/>
  <c r="BN193" i="2"/>
  <c r="Y472" i="2"/>
  <c r="Z505" i="2"/>
  <c r="Z506" i="2" s="1"/>
  <c r="D528" i="2"/>
  <c r="W528" i="2"/>
  <c r="Y174" i="2"/>
  <c r="BN429" i="2"/>
  <c r="BN454" i="2"/>
  <c r="Y457" i="2"/>
  <c r="BN466" i="2"/>
  <c r="BN476" i="2"/>
  <c r="BN486" i="2"/>
  <c r="BN500" i="2"/>
  <c r="Z510" i="2"/>
  <c r="Y516" i="2"/>
  <c r="Z31" i="2"/>
  <c r="Z78" i="2"/>
  <c r="Y494" i="2"/>
  <c r="BN505" i="2"/>
  <c r="Z112" i="2"/>
  <c r="Z122" i="2"/>
  <c r="Y138" i="2"/>
  <c r="BP454" i="2"/>
  <c r="BN309" i="2"/>
  <c r="Y517" i="2"/>
  <c r="Z353" i="2" l="1"/>
  <c r="Z119" i="2"/>
  <c r="Z430" i="2"/>
  <c r="Z74" i="2"/>
  <c r="Z477" i="2"/>
  <c r="Z321" i="2"/>
  <c r="Z420" i="2"/>
  <c r="Z55" i="2"/>
  <c r="Z333" i="2"/>
  <c r="Z386" i="2"/>
  <c r="Z282" i="2"/>
  <c r="Z471" i="2"/>
  <c r="Z366" i="2"/>
  <c r="Z487" i="2"/>
  <c r="Z92" i="2"/>
  <c r="Z46" i="2"/>
  <c r="Z360" i="2"/>
  <c r="X521" i="2"/>
  <c r="Z373" i="2"/>
  <c r="Z305" i="2"/>
  <c r="Z211" i="2"/>
  <c r="Z126" i="2"/>
  <c r="Z457" i="2"/>
  <c r="Z189" i="2"/>
  <c r="Z79" i="2"/>
  <c r="Z225" i="2"/>
  <c r="Z32" i="2"/>
  <c r="Y518" i="2"/>
  <c r="Z162" i="2"/>
  <c r="Y522" i="2"/>
  <c r="Z399" i="2"/>
  <c r="Z441" i="2"/>
  <c r="Z266" i="2"/>
  <c r="Z405" i="2"/>
  <c r="Y519" i="2"/>
  <c r="Z109" i="2"/>
  <c r="Y520" i="2"/>
  <c r="Z138" i="2"/>
  <c r="Z502" i="2"/>
  <c r="Z251" i="2"/>
  <c r="Z67" i="2"/>
  <c r="Z312" i="2"/>
  <c r="Z24" i="2"/>
  <c r="Z511" i="2"/>
  <c r="Z168" i="2"/>
  <c r="Z523" i="2" l="1"/>
  <c r="Y521" i="2"/>
</calcChain>
</file>

<file path=xl/sharedStrings.xml><?xml version="1.0" encoding="utf-8"?>
<sst xmlns="http://schemas.openxmlformats.org/spreadsheetml/2006/main" count="3944" uniqueCount="845">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</sst>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28"/>
  <sheetViews>
    <sheetView showGridLines="0" tabSelected="1" zoomScaleNormal="100" zoomScaleSheetLayoutView="100" workbookViewId="0">
      <selection activeCell="AA151" sqref="AA1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9" t="s">
        <v>26</v>
      </c>
      <c r="E1" s="599"/>
      <c r="F1" s="599"/>
      <c r="G1" s="14" t="s">
        <v>67</v>
      </c>
      <c r="H1" s="599" t="s">
        <v>47</v>
      </c>
      <c r="I1" s="599"/>
      <c r="J1" s="599"/>
      <c r="K1" s="599"/>
      <c r="L1" s="599"/>
      <c r="M1" s="599"/>
      <c r="N1" s="599"/>
      <c r="O1" s="599"/>
      <c r="P1" s="599"/>
      <c r="Q1" s="599"/>
      <c r="R1" s="600" t="s">
        <v>68</v>
      </c>
      <c r="S1" s="601"/>
      <c r="T1" s="60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2"/>
      <c r="R2" s="602"/>
      <c r="S2" s="602"/>
      <c r="T2" s="602"/>
      <c r="U2" s="602"/>
      <c r="V2" s="602"/>
      <c r="W2" s="60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2"/>
      <c r="Q3" s="602"/>
      <c r="R3" s="602"/>
      <c r="S3" s="602"/>
      <c r="T3" s="602"/>
      <c r="U3" s="602"/>
      <c r="V3" s="602"/>
      <c r="W3" s="60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03" t="s">
        <v>8</v>
      </c>
      <c r="B5" s="603"/>
      <c r="C5" s="603"/>
      <c r="D5" s="604"/>
      <c r="E5" s="604"/>
      <c r="F5" s="605" t="s">
        <v>14</v>
      </c>
      <c r="G5" s="605"/>
      <c r="H5" s="604" t="s">
        <v>844</v>
      </c>
      <c r="I5" s="604"/>
      <c r="J5" s="604"/>
      <c r="K5" s="604"/>
      <c r="L5" s="604"/>
      <c r="M5" s="604"/>
      <c r="N5" s="69"/>
      <c r="P5" s="26" t="s">
        <v>4</v>
      </c>
      <c r="Q5" s="606">
        <v>46215</v>
      </c>
      <c r="R5" s="606"/>
      <c r="T5" s="607" t="s">
        <v>3</v>
      </c>
      <c r="U5" s="608"/>
      <c r="V5" s="609" t="s">
        <v>824</v>
      </c>
      <c r="W5" s="610"/>
      <c r="AB5" s="57"/>
      <c r="AC5" s="57"/>
      <c r="AD5" s="57"/>
      <c r="AE5" s="57"/>
    </row>
    <row r="6" spans="1:32" s="17" customFormat="1" ht="24" customHeight="1" x14ac:dyDescent="0.2">
      <c r="A6" s="603" t="s">
        <v>1</v>
      </c>
      <c r="B6" s="603"/>
      <c r="C6" s="603"/>
      <c r="D6" s="611" t="s">
        <v>825</v>
      </c>
      <c r="E6" s="611"/>
      <c r="F6" s="611"/>
      <c r="G6" s="611"/>
      <c r="H6" s="611"/>
      <c r="I6" s="611"/>
      <c r="J6" s="611"/>
      <c r="K6" s="611"/>
      <c r="L6" s="611"/>
      <c r="M6" s="611"/>
      <c r="N6" s="70"/>
      <c r="P6" s="26" t="s">
        <v>27</v>
      </c>
      <c r="Q6" s="612" t="str">
        <f>IF(Q5=0," ",CHOOSE(WEEKDAY(Q5,2),"Понедельник","Вторник","Среда","Четверг","Пятница","Суббота","Воскресенье"))</f>
        <v>Воскресенье</v>
      </c>
      <c r="R6" s="612"/>
      <c r="T6" s="613" t="s">
        <v>5</v>
      </c>
      <c r="U6" s="614"/>
      <c r="V6" s="615" t="s">
        <v>70</v>
      </c>
      <c r="W6" s="61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21" t="str">
        <f>IFERROR(VLOOKUP(DeliveryAddress,Table,3,0),1)</f>
        <v>1</v>
      </c>
      <c r="E7" s="622"/>
      <c r="F7" s="622"/>
      <c r="G7" s="622"/>
      <c r="H7" s="622"/>
      <c r="I7" s="622"/>
      <c r="J7" s="622"/>
      <c r="K7" s="622"/>
      <c r="L7" s="622"/>
      <c r="M7" s="623"/>
      <c r="N7" s="71"/>
      <c r="P7" s="26"/>
      <c r="Q7" s="46"/>
      <c r="R7" s="46"/>
      <c r="T7" s="613"/>
      <c r="U7" s="614"/>
      <c r="V7" s="617"/>
      <c r="W7" s="618"/>
      <c r="AB7" s="57"/>
      <c r="AC7" s="57"/>
      <c r="AD7" s="57"/>
      <c r="AE7" s="57"/>
    </row>
    <row r="8" spans="1:32" s="17" customFormat="1" ht="25.5" customHeight="1" x14ac:dyDescent="0.2">
      <c r="A8" s="624" t="s">
        <v>58</v>
      </c>
      <c r="B8" s="624"/>
      <c r="C8" s="624"/>
      <c r="D8" s="625"/>
      <c r="E8" s="625"/>
      <c r="F8" s="625"/>
      <c r="G8" s="625"/>
      <c r="H8" s="625"/>
      <c r="I8" s="625"/>
      <c r="J8" s="625"/>
      <c r="K8" s="625"/>
      <c r="L8" s="625"/>
      <c r="M8" s="625"/>
      <c r="N8" s="72"/>
      <c r="P8" s="26" t="s">
        <v>11</v>
      </c>
      <c r="Q8" s="626">
        <v>0.5</v>
      </c>
      <c r="R8" s="626"/>
      <c r="T8" s="613"/>
      <c r="U8" s="614"/>
      <c r="V8" s="617"/>
      <c r="W8" s="618"/>
      <c r="AB8" s="57"/>
      <c r="AC8" s="57"/>
      <c r="AD8" s="57"/>
      <c r="AE8" s="57"/>
    </row>
    <row r="9" spans="1:32" s="17" customFormat="1" ht="39.950000000000003" customHeight="1" x14ac:dyDescent="0.2">
      <c r="A9" s="6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7"/>
      <c r="C9" s="627"/>
      <c r="D9" s="628" t="s">
        <v>46</v>
      </c>
      <c r="E9" s="629"/>
      <c r="F9" s="6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7"/>
      <c r="H9" s="630" t="str">
        <f>IF(AND($A$9="Тип доверенности/получателя при получении в адресе перегруза:",$D$9="Разовая доверенность"),"Введите ФИО","")</f>
        <v/>
      </c>
      <c r="I9" s="630"/>
      <c r="J9" s="63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0"/>
      <c r="L9" s="630"/>
      <c r="M9" s="630"/>
      <c r="N9" s="67"/>
      <c r="P9" s="29" t="s">
        <v>15</v>
      </c>
      <c r="Q9" s="631"/>
      <c r="R9" s="631"/>
      <c r="T9" s="613"/>
      <c r="U9" s="614"/>
      <c r="V9" s="619"/>
      <c r="W9" s="62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7"/>
      <c r="C10" s="627"/>
      <c r="D10" s="628"/>
      <c r="E10" s="629"/>
      <c r="F10" s="6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7"/>
      <c r="H10" s="632" t="str">
        <f>IFERROR(VLOOKUP($D$10,Proxy,2,FALSE),"")</f>
        <v/>
      </c>
      <c r="I10" s="632"/>
      <c r="J10" s="632"/>
      <c r="K10" s="632"/>
      <c r="L10" s="632"/>
      <c r="M10" s="632"/>
      <c r="N10" s="68"/>
      <c r="P10" s="29" t="s">
        <v>32</v>
      </c>
      <c r="Q10" s="633"/>
      <c r="R10" s="633"/>
      <c r="U10" s="26" t="s">
        <v>12</v>
      </c>
      <c r="V10" s="634" t="s">
        <v>71</v>
      </c>
      <c r="W10" s="63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6"/>
      <c r="R11" s="636"/>
      <c r="U11" s="26" t="s">
        <v>28</v>
      </c>
      <c r="V11" s="637" t="s">
        <v>55</v>
      </c>
      <c r="W11" s="63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8" t="s">
        <v>72</v>
      </c>
      <c r="B12" s="638"/>
      <c r="C12" s="638"/>
      <c r="D12" s="638"/>
      <c r="E12" s="638"/>
      <c r="F12" s="638"/>
      <c r="G12" s="638"/>
      <c r="H12" s="638"/>
      <c r="I12" s="638"/>
      <c r="J12" s="638"/>
      <c r="K12" s="638"/>
      <c r="L12" s="638"/>
      <c r="M12" s="638"/>
      <c r="N12" s="73"/>
      <c r="P12" s="26" t="s">
        <v>30</v>
      </c>
      <c r="Q12" s="626"/>
      <c r="R12" s="626"/>
      <c r="S12" s="27"/>
      <c r="T12"/>
      <c r="U12" s="26" t="s">
        <v>46</v>
      </c>
      <c r="V12" s="639"/>
      <c r="W12" s="639"/>
      <c r="X12"/>
      <c r="AB12" s="57"/>
      <c r="AC12" s="57"/>
      <c r="AD12" s="57"/>
      <c r="AE12" s="57"/>
    </row>
    <row r="13" spans="1:32" s="17" customFormat="1" ht="23.25" customHeight="1" x14ac:dyDescent="0.2">
      <c r="A13" s="638" t="s">
        <v>73</v>
      </c>
      <c r="B13" s="638"/>
      <c r="C13" s="638"/>
      <c r="D13" s="638"/>
      <c r="E13" s="638"/>
      <c r="F13" s="638"/>
      <c r="G13" s="638"/>
      <c r="H13" s="638"/>
      <c r="I13" s="638"/>
      <c r="J13" s="638"/>
      <c r="K13" s="638"/>
      <c r="L13" s="638"/>
      <c r="M13" s="638"/>
      <c r="N13" s="73"/>
      <c r="O13" s="29"/>
      <c r="P13" s="29" t="s">
        <v>31</v>
      </c>
      <c r="Q13" s="637"/>
      <c r="R13" s="63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8" t="s">
        <v>74</v>
      </c>
      <c r="B14" s="638"/>
      <c r="C14" s="638"/>
      <c r="D14" s="638"/>
      <c r="E14" s="638"/>
      <c r="F14" s="638"/>
      <c r="G14" s="638"/>
      <c r="H14" s="638"/>
      <c r="I14" s="638"/>
      <c r="J14" s="638"/>
      <c r="K14" s="638"/>
      <c r="L14" s="638"/>
      <c r="M14" s="63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40" t="s">
        <v>75</v>
      </c>
      <c r="B15" s="640"/>
      <c r="C15" s="640"/>
      <c r="D15" s="640"/>
      <c r="E15" s="640"/>
      <c r="F15" s="640"/>
      <c r="G15" s="640"/>
      <c r="H15" s="640"/>
      <c r="I15" s="640"/>
      <c r="J15" s="640"/>
      <c r="K15" s="640"/>
      <c r="L15" s="640"/>
      <c r="M15" s="640"/>
      <c r="N15" s="74"/>
      <c r="O15"/>
      <c r="P15" s="641" t="s">
        <v>61</v>
      </c>
      <c r="Q15" s="641"/>
      <c r="R15" s="641"/>
      <c r="S15" s="641"/>
      <c r="T15" s="64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2"/>
      <c r="Q16" s="642"/>
      <c r="R16" s="642"/>
      <c r="S16" s="642"/>
      <c r="T16" s="64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5" t="s">
        <v>59</v>
      </c>
      <c r="B17" s="645" t="s">
        <v>49</v>
      </c>
      <c r="C17" s="647" t="s">
        <v>48</v>
      </c>
      <c r="D17" s="649" t="s">
        <v>50</v>
      </c>
      <c r="E17" s="650"/>
      <c r="F17" s="645" t="s">
        <v>21</v>
      </c>
      <c r="G17" s="645" t="s">
        <v>24</v>
      </c>
      <c r="H17" s="645" t="s">
        <v>22</v>
      </c>
      <c r="I17" s="645" t="s">
        <v>23</v>
      </c>
      <c r="J17" s="645" t="s">
        <v>16</v>
      </c>
      <c r="K17" s="645" t="s">
        <v>66</v>
      </c>
      <c r="L17" s="645" t="s">
        <v>64</v>
      </c>
      <c r="M17" s="645" t="s">
        <v>2</v>
      </c>
      <c r="N17" s="645" t="s">
        <v>63</v>
      </c>
      <c r="O17" s="645" t="s">
        <v>25</v>
      </c>
      <c r="P17" s="649" t="s">
        <v>17</v>
      </c>
      <c r="Q17" s="653"/>
      <c r="R17" s="653"/>
      <c r="S17" s="653"/>
      <c r="T17" s="650"/>
      <c r="U17" s="643" t="s">
        <v>56</v>
      </c>
      <c r="V17" s="644"/>
      <c r="W17" s="645" t="s">
        <v>6</v>
      </c>
      <c r="X17" s="645" t="s">
        <v>41</v>
      </c>
      <c r="Y17" s="655" t="s">
        <v>54</v>
      </c>
      <c r="Z17" s="657" t="s">
        <v>18</v>
      </c>
      <c r="AA17" s="659" t="s">
        <v>60</v>
      </c>
      <c r="AB17" s="659" t="s">
        <v>19</v>
      </c>
      <c r="AC17" s="659" t="s">
        <v>65</v>
      </c>
      <c r="AD17" s="661" t="s">
        <v>57</v>
      </c>
      <c r="AE17" s="662"/>
      <c r="AF17" s="663"/>
      <c r="AG17" s="77"/>
      <c r="BD17" s="76" t="s">
        <v>62</v>
      </c>
    </row>
    <row r="18" spans="1:68" ht="14.25" customHeight="1" x14ac:dyDescent="0.2">
      <c r="A18" s="646"/>
      <c r="B18" s="646"/>
      <c r="C18" s="648"/>
      <c r="D18" s="651"/>
      <c r="E18" s="652"/>
      <c r="F18" s="646"/>
      <c r="G18" s="646"/>
      <c r="H18" s="646"/>
      <c r="I18" s="646"/>
      <c r="J18" s="646"/>
      <c r="K18" s="646"/>
      <c r="L18" s="646"/>
      <c r="M18" s="646"/>
      <c r="N18" s="646"/>
      <c r="O18" s="646"/>
      <c r="P18" s="651"/>
      <c r="Q18" s="654"/>
      <c r="R18" s="654"/>
      <c r="S18" s="654"/>
      <c r="T18" s="652"/>
      <c r="U18" s="78" t="s">
        <v>44</v>
      </c>
      <c r="V18" s="78" t="s">
        <v>43</v>
      </c>
      <c r="W18" s="646"/>
      <c r="X18" s="646"/>
      <c r="Y18" s="656"/>
      <c r="Z18" s="658"/>
      <c r="AA18" s="660"/>
      <c r="AB18" s="660"/>
      <c r="AC18" s="660"/>
      <c r="AD18" s="664"/>
      <c r="AE18" s="665"/>
      <c r="AF18" s="666"/>
      <c r="AG18" s="77"/>
      <c r="BD18" s="76"/>
    </row>
    <row r="19" spans="1:68" ht="27.75" hidden="1" customHeight="1" x14ac:dyDescent="0.2">
      <c r="A19" s="667" t="s">
        <v>76</v>
      </c>
      <c r="B19" s="667"/>
      <c r="C19" s="667"/>
      <c r="D19" s="667"/>
      <c r="E19" s="667"/>
      <c r="F19" s="667"/>
      <c r="G19" s="667"/>
      <c r="H19" s="667"/>
      <c r="I19" s="667"/>
      <c r="J19" s="667"/>
      <c r="K19" s="667"/>
      <c r="L19" s="667"/>
      <c r="M19" s="667"/>
      <c r="N19" s="667"/>
      <c r="O19" s="667"/>
      <c r="P19" s="667"/>
      <c r="Q19" s="667"/>
      <c r="R19" s="667"/>
      <c r="S19" s="667"/>
      <c r="T19" s="667"/>
      <c r="U19" s="667"/>
      <c r="V19" s="667"/>
      <c r="W19" s="667"/>
      <c r="X19" s="667"/>
      <c r="Y19" s="667"/>
      <c r="Z19" s="667"/>
      <c r="AA19" s="52"/>
      <c r="AB19" s="52"/>
      <c r="AC19" s="52"/>
    </row>
    <row r="20" spans="1:68" ht="16.5" hidden="1" customHeight="1" x14ac:dyDescent="0.25">
      <c r="A20" s="668" t="s">
        <v>76</v>
      </c>
      <c r="B20" s="668"/>
      <c r="C20" s="668"/>
      <c r="D20" s="668"/>
      <c r="E20" s="668"/>
      <c r="F20" s="668"/>
      <c r="G20" s="668"/>
      <c r="H20" s="668"/>
      <c r="I20" s="668"/>
      <c r="J20" s="668"/>
      <c r="K20" s="668"/>
      <c r="L20" s="668"/>
      <c r="M20" s="668"/>
      <c r="N20" s="668"/>
      <c r="O20" s="668"/>
      <c r="P20" s="668"/>
      <c r="Q20" s="668"/>
      <c r="R20" s="668"/>
      <c r="S20" s="668"/>
      <c r="T20" s="668"/>
      <c r="U20" s="668"/>
      <c r="V20" s="668"/>
      <c r="W20" s="668"/>
      <c r="X20" s="668"/>
      <c r="Y20" s="668"/>
      <c r="Z20" s="668"/>
      <c r="AA20" s="62"/>
      <c r="AB20" s="62"/>
      <c r="AC20" s="62"/>
    </row>
    <row r="21" spans="1:68" ht="14.25" hidden="1" customHeight="1" x14ac:dyDescent="0.25">
      <c r="A21" s="669" t="s">
        <v>77</v>
      </c>
      <c r="B21" s="669"/>
      <c r="C21" s="669"/>
      <c r="D21" s="669"/>
      <c r="E21" s="669"/>
      <c r="F21" s="669"/>
      <c r="G21" s="669"/>
      <c r="H21" s="669"/>
      <c r="I21" s="669"/>
      <c r="J21" s="669"/>
      <c r="K21" s="669"/>
      <c r="L21" s="669"/>
      <c r="M21" s="669"/>
      <c r="N21" s="669"/>
      <c r="O21" s="669"/>
      <c r="P21" s="669"/>
      <c r="Q21" s="669"/>
      <c r="R21" s="669"/>
      <c r="S21" s="669"/>
      <c r="T21" s="669"/>
      <c r="U21" s="669"/>
      <c r="V21" s="669"/>
      <c r="W21" s="669"/>
      <c r="X21" s="669"/>
      <c r="Y21" s="669"/>
      <c r="Z21" s="66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70">
        <v>4680115886643</v>
      </c>
      <c r="E22" s="67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7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2"/>
      <c r="R22" s="672"/>
      <c r="S22" s="672"/>
      <c r="T22" s="67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70">
        <v>4680115889071</v>
      </c>
      <c r="E23" s="67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7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2"/>
      <c r="R23" s="672"/>
      <c r="S23" s="672"/>
      <c r="T23" s="67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78"/>
      <c r="B24" s="678"/>
      <c r="C24" s="678"/>
      <c r="D24" s="678"/>
      <c r="E24" s="678"/>
      <c r="F24" s="678"/>
      <c r="G24" s="678"/>
      <c r="H24" s="678"/>
      <c r="I24" s="678"/>
      <c r="J24" s="678"/>
      <c r="K24" s="678"/>
      <c r="L24" s="678"/>
      <c r="M24" s="678"/>
      <c r="N24" s="678"/>
      <c r="O24" s="679"/>
      <c r="P24" s="675" t="s">
        <v>40</v>
      </c>
      <c r="Q24" s="676"/>
      <c r="R24" s="676"/>
      <c r="S24" s="676"/>
      <c r="T24" s="676"/>
      <c r="U24" s="676"/>
      <c r="V24" s="67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78"/>
      <c r="B25" s="678"/>
      <c r="C25" s="678"/>
      <c r="D25" s="678"/>
      <c r="E25" s="678"/>
      <c r="F25" s="678"/>
      <c r="G25" s="678"/>
      <c r="H25" s="678"/>
      <c r="I25" s="678"/>
      <c r="J25" s="678"/>
      <c r="K25" s="678"/>
      <c r="L25" s="678"/>
      <c r="M25" s="678"/>
      <c r="N25" s="678"/>
      <c r="O25" s="679"/>
      <c r="P25" s="675" t="s">
        <v>40</v>
      </c>
      <c r="Q25" s="676"/>
      <c r="R25" s="676"/>
      <c r="S25" s="676"/>
      <c r="T25" s="676"/>
      <c r="U25" s="676"/>
      <c r="V25" s="67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9" t="s">
        <v>86</v>
      </c>
      <c r="B26" s="669"/>
      <c r="C26" s="669"/>
      <c r="D26" s="669"/>
      <c r="E26" s="669"/>
      <c r="F26" s="669"/>
      <c r="G26" s="669"/>
      <c r="H26" s="669"/>
      <c r="I26" s="669"/>
      <c r="J26" s="669"/>
      <c r="K26" s="669"/>
      <c r="L26" s="669"/>
      <c r="M26" s="669"/>
      <c r="N26" s="669"/>
      <c r="O26" s="669"/>
      <c r="P26" s="669"/>
      <c r="Q26" s="669"/>
      <c r="R26" s="669"/>
      <c r="S26" s="669"/>
      <c r="T26" s="669"/>
      <c r="U26" s="669"/>
      <c r="V26" s="669"/>
      <c r="W26" s="669"/>
      <c r="X26" s="669"/>
      <c r="Y26" s="669"/>
      <c r="Z26" s="669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70">
        <v>4680115885912</v>
      </c>
      <c r="E27" s="67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8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2"/>
      <c r="R27" s="672"/>
      <c r="S27" s="672"/>
      <c r="T27" s="67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70">
        <v>4607091388237</v>
      </c>
      <c r="E28" s="67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2"/>
      <c r="R28" s="672"/>
      <c r="S28" s="672"/>
      <c r="T28" s="67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70">
        <v>4680115887350</v>
      </c>
      <c r="E29" s="67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2"/>
      <c r="R29" s="672"/>
      <c r="S29" s="672"/>
      <c r="T29" s="67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70">
        <v>4680115885905</v>
      </c>
      <c r="E30" s="67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8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2"/>
      <c r="R30" s="672"/>
      <c r="S30" s="672"/>
      <c r="T30" s="67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70">
        <v>4680115887619</v>
      </c>
      <c r="E31" s="67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2"/>
      <c r="R31" s="672"/>
      <c r="S31" s="672"/>
      <c r="T31" s="67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78"/>
      <c r="B32" s="678"/>
      <c r="C32" s="678"/>
      <c r="D32" s="678"/>
      <c r="E32" s="678"/>
      <c r="F32" s="678"/>
      <c r="G32" s="678"/>
      <c r="H32" s="678"/>
      <c r="I32" s="678"/>
      <c r="J32" s="678"/>
      <c r="K32" s="678"/>
      <c r="L32" s="678"/>
      <c r="M32" s="678"/>
      <c r="N32" s="678"/>
      <c r="O32" s="679"/>
      <c r="P32" s="675" t="s">
        <v>40</v>
      </c>
      <c r="Q32" s="676"/>
      <c r="R32" s="676"/>
      <c r="S32" s="676"/>
      <c r="T32" s="676"/>
      <c r="U32" s="676"/>
      <c r="V32" s="67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78"/>
      <c r="B33" s="678"/>
      <c r="C33" s="678"/>
      <c r="D33" s="678"/>
      <c r="E33" s="678"/>
      <c r="F33" s="678"/>
      <c r="G33" s="678"/>
      <c r="H33" s="678"/>
      <c r="I33" s="678"/>
      <c r="J33" s="678"/>
      <c r="K33" s="678"/>
      <c r="L33" s="678"/>
      <c r="M33" s="678"/>
      <c r="N33" s="678"/>
      <c r="O33" s="679"/>
      <c r="P33" s="675" t="s">
        <v>40</v>
      </c>
      <c r="Q33" s="676"/>
      <c r="R33" s="676"/>
      <c r="S33" s="676"/>
      <c r="T33" s="676"/>
      <c r="U33" s="676"/>
      <c r="V33" s="67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69" t="s">
        <v>104</v>
      </c>
      <c r="B34" s="669"/>
      <c r="C34" s="669"/>
      <c r="D34" s="669"/>
      <c r="E34" s="669"/>
      <c r="F34" s="669"/>
      <c r="G34" s="669"/>
      <c r="H34" s="669"/>
      <c r="I34" s="669"/>
      <c r="J34" s="669"/>
      <c r="K34" s="669"/>
      <c r="L34" s="669"/>
      <c r="M34" s="669"/>
      <c r="N34" s="669"/>
      <c r="O34" s="669"/>
      <c r="P34" s="669"/>
      <c r="Q34" s="669"/>
      <c r="R34" s="669"/>
      <c r="S34" s="669"/>
      <c r="T34" s="669"/>
      <c r="U34" s="669"/>
      <c r="V34" s="669"/>
      <c r="W34" s="669"/>
      <c r="X34" s="669"/>
      <c r="Y34" s="669"/>
      <c r="Z34" s="669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670">
        <v>4607091388503</v>
      </c>
      <c r="E35" s="670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68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72"/>
      <c r="R35" s="672"/>
      <c r="S35" s="672"/>
      <c r="T35" s="673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78"/>
      <c r="B36" s="678"/>
      <c r="C36" s="678"/>
      <c r="D36" s="678"/>
      <c r="E36" s="678"/>
      <c r="F36" s="678"/>
      <c r="G36" s="678"/>
      <c r="H36" s="678"/>
      <c r="I36" s="678"/>
      <c r="J36" s="678"/>
      <c r="K36" s="678"/>
      <c r="L36" s="678"/>
      <c r="M36" s="678"/>
      <c r="N36" s="678"/>
      <c r="O36" s="679"/>
      <c r="P36" s="675" t="s">
        <v>40</v>
      </c>
      <c r="Q36" s="676"/>
      <c r="R36" s="676"/>
      <c r="S36" s="676"/>
      <c r="T36" s="676"/>
      <c r="U36" s="676"/>
      <c r="V36" s="677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78"/>
      <c r="B37" s="678"/>
      <c r="C37" s="678"/>
      <c r="D37" s="678"/>
      <c r="E37" s="678"/>
      <c r="F37" s="678"/>
      <c r="G37" s="678"/>
      <c r="H37" s="678"/>
      <c r="I37" s="678"/>
      <c r="J37" s="678"/>
      <c r="K37" s="678"/>
      <c r="L37" s="678"/>
      <c r="M37" s="678"/>
      <c r="N37" s="678"/>
      <c r="O37" s="679"/>
      <c r="P37" s="675" t="s">
        <v>40</v>
      </c>
      <c r="Q37" s="676"/>
      <c r="R37" s="676"/>
      <c r="S37" s="676"/>
      <c r="T37" s="676"/>
      <c r="U37" s="676"/>
      <c r="V37" s="677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67" t="s">
        <v>45</v>
      </c>
      <c r="B38" s="667"/>
      <c r="C38" s="667"/>
      <c r="D38" s="667"/>
      <c r="E38" s="667"/>
      <c r="F38" s="667"/>
      <c r="G38" s="667"/>
      <c r="H38" s="667"/>
      <c r="I38" s="667"/>
      <c r="J38" s="667"/>
      <c r="K38" s="667"/>
      <c r="L38" s="667"/>
      <c r="M38" s="667"/>
      <c r="N38" s="667"/>
      <c r="O38" s="667"/>
      <c r="P38" s="667"/>
      <c r="Q38" s="667"/>
      <c r="R38" s="667"/>
      <c r="S38" s="667"/>
      <c r="T38" s="667"/>
      <c r="U38" s="667"/>
      <c r="V38" s="667"/>
      <c r="W38" s="667"/>
      <c r="X38" s="667"/>
      <c r="Y38" s="667"/>
      <c r="Z38" s="667"/>
      <c r="AA38" s="52"/>
      <c r="AB38" s="52"/>
      <c r="AC38" s="52"/>
    </row>
    <row r="39" spans="1:68" ht="16.5" hidden="1" customHeight="1" x14ac:dyDescent="0.25">
      <c r="A39" s="668" t="s">
        <v>110</v>
      </c>
      <c r="B39" s="668"/>
      <c r="C39" s="668"/>
      <c r="D39" s="668"/>
      <c r="E39" s="668"/>
      <c r="F39" s="668"/>
      <c r="G39" s="668"/>
      <c r="H39" s="668"/>
      <c r="I39" s="668"/>
      <c r="J39" s="668"/>
      <c r="K39" s="668"/>
      <c r="L39" s="668"/>
      <c r="M39" s="668"/>
      <c r="N39" s="668"/>
      <c r="O39" s="668"/>
      <c r="P39" s="668"/>
      <c r="Q39" s="668"/>
      <c r="R39" s="668"/>
      <c r="S39" s="668"/>
      <c r="T39" s="668"/>
      <c r="U39" s="668"/>
      <c r="V39" s="668"/>
      <c r="W39" s="668"/>
      <c r="X39" s="668"/>
      <c r="Y39" s="668"/>
      <c r="Z39" s="668"/>
      <c r="AA39" s="62"/>
      <c r="AB39" s="62"/>
      <c r="AC39" s="62"/>
    </row>
    <row r="40" spans="1:68" ht="14.25" hidden="1" customHeight="1" x14ac:dyDescent="0.25">
      <c r="A40" s="669" t="s">
        <v>86</v>
      </c>
      <c r="B40" s="669"/>
      <c r="C40" s="669"/>
      <c r="D40" s="669"/>
      <c r="E40" s="669"/>
      <c r="F40" s="669"/>
      <c r="G40" s="669"/>
      <c r="H40" s="669"/>
      <c r="I40" s="669"/>
      <c r="J40" s="669"/>
      <c r="K40" s="669"/>
      <c r="L40" s="669"/>
      <c r="M40" s="669"/>
      <c r="N40" s="669"/>
      <c r="O40" s="669"/>
      <c r="P40" s="669"/>
      <c r="Q40" s="669"/>
      <c r="R40" s="669"/>
      <c r="S40" s="669"/>
      <c r="T40" s="669"/>
      <c r="U40" s="669"/>
      <c r="V40" s="669"/>
      <c r="W40" s="669"/>
      <c r="X40" s="669"/>
      <c r="Y40" s="669"/>
      <c r="Z40" s="669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670">
        <v>4680115889354</v>
      </c>
      <c r="E41" s="67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68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72"/>
      <c r="R41" s="672"/>
      <c r="S41" s="672"/>
      <c r="T41" s="67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114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115</v>
      </c>
      <c r="B42" s="60" t="s">
        <v>116</v>
      </c>
      <c r="C42" s="34">
        <v>4301052198</v>
      </c>
      <c r="D42" s="670">
        <v>4680115888463</v>
      </c>
      <c r="E42" s="670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2"/>
      <c r="R42" s="672"/>
      <c r="S42" s="672"/>
      <c r="T42" s="673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117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118</v>
      </c>
      <c r="B43" s="60" t="s">
        <v>119</v>
      </c>
      <c r="C43" s="34">
        <v>4301052202</v>
      </c>
      <c r="D43" s="670">
        <v>4680115888494</v>
      </c>
      <c r="E43" s="670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68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2"/>
      <c r="R43" s="672"/>
      <c r="S43" s="672"/>
      <c r="T43" s="673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120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121</v>
      </c>
      <c r="B44" s="60" t="s">
        <v>122</v>
      </c>
      <c r="C44" s="34">
        <v>4301052184</v>
      </c>
      <c r="D44" s="670">
        <v>4680115888272</v>
      </c>
      <c r="E44" s="670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68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2"/>
      <c r="R44" s="672"/>
      <c r="S44" s="672"/>
      <c r="T44" s="673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123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124</v>
      </c>
      <c r="B45" s="60" t="s">
        <v>125</v>
      </c>
      <c r="C45" s="34">
        <v>4301052188</v>
      </c>
      <c r="D45" s="670">
        <v>4680115888364</v>
      </c>
      <c r="E45" s="670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69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2"/>
      <c r="R45" s="672"/>
      <c r="S45" s="672"/>
      <c r="T45" s="673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126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78"/>
      <c r="B46" s="678"/>
      <c r="C46" s="678"/>
      <c r="D46" s="678"/>
      <c r="E46" s="678"/>
      <c r="F46" s="678"/>
      <c r="G46" s="678"/>
      <c r="H46" s="678"/>
      <c r="I46" s="678"/>
      <c r="J46" s="678"/>
      <c r="K46" s="678"/>
      <c r="L46" s="678"/>
      <c r="M46" s="678"/>
      <c r="N46" s="678"/>
      <c r="O46" s="679"/>
      <c r="P46" s="675" t="s">
        <v>40</v>
      </c>
      <c r="Q46" s="676"/>
      <c r="R46" s="676"/>
      <c r="S46" s="676"/>
      <c r="T46" s="676"/>
      <c r="U46" s="676"/>
      <c r="V46" s="677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78"/>
      <c r="B47" s="678"/>
      <c r="C47" s="678"/>
      <c r="D47" s="678"/>
      <c r="E47" s="678"/>
      <c r="F47" s="678"/>
      <c r="G47" s="678"/>
      <c r="H47" s="678"/>
      <c r="I47" s="678"/>
      <c r="J47" s="678"/>
      <c r="K47" s="678"/>
      <c r="L47" s="678"/>
      <c r="M47" s="678"/>
      <c r="N47" s="678"/>
      <c r="O47" s="679"/>
      <c r="P47" s="675" t="s">
        <v>40</v>
      </c>
      <c r="Q47" s="676"/>
      <c r="R47" s="676"/>
      <c r="S47" s="676"/>
      <c r="T47" s="676"/>
      <c r="U47" s="676"/>
      <c r="V47" s="677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67" t="s">
        <v>127</v>
      </c>
      <c r="B48" s="667"/>
      <c r="C48" s="667"/>
      <c r="D48" s="667"/>
      <c r="E48" s="667"/>
      <c r="F48" s="667"/>
      <c r="G48" s="667"/>
      <c r="H48" s="667"/>
      <c r="I48" s="667"/>
      <c r="J48" s="667"/>
      <c r="K48" s="667"/>
      <c r="L48" s="667"/>
      <c r="M48" s="667"/>
      <c r="N48" s="667"/>
      <c r="O48" s="667"/>
      <c r="P48" s="667"/>
      <c r="Q48" s="667"/>
      <c r="R48" s="667"/>
      <c r="S48" s="667"/>
      <c r="T48" s="667"/>
      <c r="U48" s="667"/>
      <c r="V48" s="667"/>
      <c r="W48" s="667"/>
      <c r="X48" s="667"/>
      <c r="Y48" s="667"/>
      <c r="Z48" s="667"/>
      <c r="AA48" s="52"/>
      <c r="AB48" s="52"/>
      <c r="AC48" s="52"/>
    </row>
    <row r="49" spans="1:68" ht="16.5" hidden="1" customHeight="1" x14ac:dyDescent="0.25">
      <c r="A49" s="668" t="s">
        <v>128</v>
      </c>
      <c r="B49" s="668"/>
      <c r="C49" s="668"/>
      <c r="D49" s="668"/>
      <c r="E49" s="668"/>
      <c r="F49" s="668"/>
      <c r="G49" s="668"/>
      <c r="H49" s="668"/>
      <c r="I49" s="668"/>
      <c r="J49" s="668"/>
      <c r="K49" s="668"/>
      <c r="L49" s="668"/>
      <c r="M49" s="668"/>
      <c r="N49" s="668"/>
      <c r="O49" s="668"/>
      <c r="P49" s="668"/>
      <c r="Q49" s="668"/>
      <c r="R49" s="668"/>
      <c r="S49" s="668"/>
      <c r="T49" s="668"/>
      <c r="U49" s="668"/>
      <c r="V49" s="668"/>
      <c r="W49" s="668"/>
      <c r="X49" s="668"/>
      <c r="Y49" s="668"/>
      <c r="Z49" s="668"/>
      <c r="AA49" s="62"/>
      <c r="AB49" s="62"/>
      <c r="AC49" s="62"/>
    </row>
    <row r="50" spans="1:68" ht="14.25" hidden="1" customHeight="1" x14ac:dyDescent="0.25">
      <c r="A50" s="669" t="s">
        <v>129</v>
      </c>
      <c r="B50" s="669"/>
      <c r="C50" s="669"/>
      <c r="D50" s="669"/>
      <c r="E50" s="669"/>
      <c r="F50" s="669"/>
      <c r="G50" s="669"/>
      <c r="H50" s="669"/>
      <c r="I50" s="669"/>
      <c r="J50" s="669"/>
      <c r="K50" s="669"/>
      <c r="L50" s="669"/>
      <c r="M50" s="669"/>
      <c r="N50" s="669"/>
      <c r="O50" s="669"/>
      <c r="P50" s="669"/>
      <c r="Q50" s="669"/>
      <c r="R50" s="669"/>
      <c r="S50" s="669"/>
      <c r="T50" s="669"/>
      <c r="U50" s="669"/>
      <c r="V50" s="669"/>
      <c r="W50" s="669"/>
      <c r="X50" s="669"/>
      <c r="Y50" s="669"/>
      <c r="Z50" s="669"/>
      <c r="AA50" s="63"/>
      <c r="AB50" s="63"/>
      <c r="AC50" s="63"/>
    </row>
    <row r="51" spans="1:68" ht="16.5" hidden="1" customHeight="1" x14ac:dyDescent="0.25">
      <c r="A51" s="60" t="s">
        <v>130</v>
      </c>
      <c r="B51" s="60" t="s">
        <v>131</v>
      </c>
      <c r="C51" s="34">
        <v>4301011380</v>
      </c>
      <c r="D51" s="670">
        <v>4607091385670</v>
      </c>
      <c r="E51" s="670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134</v>
      </c>
      <c r="L51" s="35" t="s">
        <v>46</v>
      </c>
      <c r="M51" s="36" t="s">
        <v>133</v>
      </c>
      <c r="N51" s="36"/>
      <c r="O51" s="35">
        <v>50</v>
      </c>
      <c r="P51" s="6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2"/>
      <c r="R51" s="672"/>
      <c r="S51" s="672"/>
      <c r="T51" s="673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132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135</v>
      </c>
      <c r="B52" s="60" t="s">
        <v>136</v>
      </c>
      <c r="C52" s="34">
        <v>4301012053</v>
      </c>
      <c r="D52" s="670">
        <v>4680115887725</v>
      </c>
      <c r="E52" s="670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138</v>
      </c>
      <c r="L52" s="35" t="s">
        <v>46</v>
      </c>
      <c r="M52" s="36" t="s">
        <v>81</v>
      </c>
      <c r="N52" s="36"/>
      <c r="O52" s="35">
        <v>30</v>
      </c>
      <c r="P52" s="69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2"/>
      <c r="R52" s="672"/>
      <c r="S52" s="672"/>
      <c r="T52" s="673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137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139</v>
      </c>
      <c r="B53" s="60" t="s">
        <v>140</v>
      </c>
      <c r="C53" s="34">
        <v>4301011382</v>
      </c>
      <c r="D53" s="670">
        <v>4607091385687</v>
      </c>
      <c r="E53" s="670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141</v>
      </c>
      <c r="L53" s="35" t="s">
        <v>46</v>
      </c>
      <c r="M53" s="36" t="s">
        <v>90</v>
      </c>
      <c r="N53" s="36"/>
      <c r="O53" s="35">
        <v>50</v>
      </c>
      <c r="P53" s="6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2"/>
      <c r="R53" s="672"/>
      <c r="S53" s="672"/>
      <c r="T53" s="673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132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142</v>
      </c>
      <c r="B54" s="60" t="s">
        <v>143</v>
      </c>
      <c r="C54" s="34">
        <v>4301011565</v>
      </c>
      <c r="D54" s="670">
        <v>4680115882539</v>
      </c>
      <c r="E54" s="670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141</v>
      </c>
      <c r="L54" s="35" t="s">
        <v>46</v>
      </c>
      <c r="M54" s="36" t="s">
        <v>90</v>
      </c>
      <c r="N54" s="36"/>
      <c r="O54" s="35">
        <v>50</v>
      </c>
      <c r="P54" s="6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2"/>
      <c r="R54" s="672"/>
      <c r="S54" s="672"/>
      <c r="T54" s="673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132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78"/>
      <c r="B55" s="678"/>
      <c r="C55" s="678"/>
      <c r="D55" s="678"/>
      <c r="E55" s="678"/>
      <c r="F55" s="678"/>
      <c r="G55" s="678"/>
      <c r="H55" s="678"/>
      <c r="I55" s="678"/>
      <c r="J55" s="678"/>
      <c r="K55" s="678"/>
      <c r="L55" s="678"/>
      <c r="M55" s="678"/>
      <c r="N55" s="678"/>
      <c r="O55" s="679"/>
      <c r="P55" s="675" t="s">
        <v>40</v>
      </c>
      <c r="Q55" s="676"/>
      <c r="R55" s="676"/>
      <c r="S55" s="676"/>
      <c r="T55" s="676"/>
      <c r="U55" s="676"/>
      <c r="V55" s="677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78"/>
      <c r="B56" s="678"/>
      <c r="C56" s="678"/>
      <c r="D56" s="678"/>
      <c r="E56" s="678"/>
      <c r="F56" s="678"/>
      <c r="G56" s="678"/>
      <c r="H56" s="678"/>
      <c r="I56" s="678"/>
      <c r="J56" s="678"/>
      <c r="K56" s="678"/>
      <c r="L56" s="678"/>
      <c r="M56" s="678"/>
      <c r="N56" s="678"/>
      <c r="O56" s="679"/>
      <c r="P56" s="675" t="s">
        <v>40</v>
      </c>
      <c r="Q56" s="676"/>
      <c r="R56" s="676"/>
      <c r="S56" s="676"/>
      <c r="T56" s="676"/>
      <c r="U56" s="676"/>
      <c r="V56" s="677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68" t="s">
        <v>144</v>
      </c>
      <c r="B57" s="668"/>
      <c r="C57" s="668"/>
      <c r="D57" s="668"/>
      <c r="E57" s="668"/>
      <c r="F57" s="668"/>
      <c r="G57" s="668"/>
      <c r="H57" s="668"/>
      <c r="I57" s="668"/>
      <c r="J57" s="668"/>
      <c r="K57" s="668"/>
      <c r="L57" s="668"/>
      <c r="M57" s="668"/>
      <c r="N57" s="668"/>
      <c r="O57" s="668"/>
      <c r="P57" s="668"/>
      <c r="Q57" s="668"/>
      <c r="R57" s="668"/>
      <c r="S57" s="668"/>
      <c r="T57" s="668"/>
      <c r="U57" s="668"/>
      <c r="V57" s="668"/>
      <c r="W57" s="668"/>
      <c r="X57" s="668"/>
      <c r="Y57" s="668"/>
      <c r="Z57" s="668"/>
      <c r="AA57" s="62"/>
      <c r="AB57" s="62"/>
      <c r="AC57" s="62"/>
    </row>
    <row r="58" spans="1:68" ht="14.25" hidden="1" customHeight="1" x14ac:dyDescent="0.25">
      <c r="A58" s="669" t="s">
        <v>129</v>
      </c>
      <c r="B58" s="669"/>
      <c r="C58" s="669"/>
      <c r="D58" s="669"/>
      <c r="E58" s="669"/>
      <c r="F58" s="669"/>
      <c r="G58" s="669"/>
      <c r="H58" s="669"/>
      <c r="I58" s="669"/>
      <c r="J58" s="669"/>
      <c r="K58" s="669"/>
      <c r="L58" s="669"/>
      <c r="M58" s="669"/>
      <c r="N58" s="669"/>
      <c r="O58" s="669"/>
      <c r="P58" s="669"/>
      <c r="Q58" s="669"/>
      <c r="R58" s="669"/>
      <c r="S58" s="669"/>
      <c r="T58" s="669"/>
      <c r="U58" s="669"/>
      <c r="V58" s="669"/>
      <c r="W58" s="669"/>
      <c r="X58" s="669"/>
      <c r="Y58" s="669"/>
      <c r="Z58" s="669"/>
      <c r="AA58" s="63"/>
      <c r="AB58" s="63"/>
      <c r="AC58" s="63"/>
    </row>
    <row r="59" spans="1:68" ht="27" hidden="1" customHeight="1" x14ac:dyDescent="0.25">
      <c r="A59" s="60" t="s">
        <v>145</v>
      </c>
      <c r="B59" s="60" t="s">
        <v>146</v>
      </c>
      <c r="C59" s="34">
        <v>4301012030</v>
      </c>
      <c r="D59" s="670">
        <v>4680115885882</v>
      </c>
      <c r="E59" s="670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134</v>
      </c>
      <c r="L59" s="35" t="s">
        <v>46</v>
      </c>
      <c r="M59" s="36" t="s">
        <v>90</v>
      </c>
      <c r="N59" s="36"/>
      <c r="O59" s="35">
        <v>50</v>
      </c>
      <c r="P59" s="69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2"/>
      <c r="R59" s="672"/>
      <c r="S59" s="672"/>
      <c r="T59" s="67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147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145</v>
      </c>
      <c r="B60" s="60" t="s">
        <v>148</v>
      </c>
      <c r="C60" s="34">
        <v>4301012161</v>
      </c>
      <c r="D60" s="670">
        <v>4680115885882</v>
      </c>
      <c r="E60" s="670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134</v>
      </c>
      <c r="L60" s="35" t="s">
        <v>46</v>
      </c>
      <c r="M60" s="36" t="s">
        <v>133</v>
      </c>
      <c r="N60" s="36"/>
      <c r="O60" s="35">
        <v>50</v>
      </c>
      <c r="P60" s="69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2"/>
      <c r="R60" s="672"/>
      <c r="S60" s="672"/>
      <c r="T60" s="67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149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150</v>
      </c>
      <c r="B61" s="60" t="s">
        <v>151</v>
      </c>
      <c r="C61" s="34">
        <v>4301011816</v>
      </c>
      <c r="D61" s="670">
        <v>4680115881426</v>
      </c>
      <c r="E61" s="670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134</v>
      </c>
      <c r="L61" s="35" t="s">
        <v>46</v>
      </c>
      <c r="M61" s="36" t="s">
        <v>133</v>
      </c>
      <c r="N61" s="36"/>
      <c r="O61" s="35">
        <v>50</v>
      </c>
      <c r="P61" s="6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2"/>
      <c r="R61" s="672"/>
      <c r="S61" s="672"/>
      <c r="T61" s="673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152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153</v>
      </c>
      <c r="B62" s="60" t="s">
        <v>154</v>
      </c>
      <c r="C62" s="34">
        <v>4301011386</v>
      </c>
      <c r="D62" s="670">
        <v>4680115880283</v>
      </c>
      <c r="E62" s="670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141</v>
      </c>
      <c r="L62" s="35" t="s">
        <v>46</v>
      </c>
      <c r="M62" s="36" t="s">
        <v>133</v>
      </c>
      <c r="N62" s="36"/>
      <c r="O62" s="35">
        <v>45</v>
      </c>
      <c r="P62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2"/>
      <c r="R62" s="672"/>
      <c r="S62" s="672"/>
      <c r="T62" s="673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155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153</v>
      </c>
      <c r="B63" s="60" t="s">
        <v>157</v>
      </c>
      <c r="C63" s="34">
        <v>4301012259</v>
      </c>
      <c r="D63" s="670">
        <v>4680115880283</v>
      </c>
      <c r="E63" s="670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141</v>
      </c>
      <c r="L63" s="35" t="s">
        <v>46</v>
      </c>
      <c r="M63" s="36" t="s">
        <v>133</v>
      </c>
      <c r="N63" s="36"/>
      <c r="O63" s="35">
        <v>45</v>
      </c>
      <c r="P63" s="69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72"/>
      <c r="R63" s="672"/>
      <c r="S63" s="672"/>
      <c r="T63" s="673"/>
      <c r="U63" s="37" t="s">
        <v>156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155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4301011806</v>
      </c>
      <c r="D64" s="670">
        <v>4680115881525</v>
      </c>
      <c r="E64" s="670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141</v>
      </c>
      <c r="L64" s="35" t="s">
        <v>46</v>
      </c>
      <c r="M64" s="36" t="s">
        <v>133</v>
      </c>
      <c r="N64" s="36"/>
      <c r="O64" s="35">
        <v>50</v>
      </c>
      <c r="P64" s="70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72"/>
      <c r="R64" s="672"/>
      <c r="S64" s="672"/>
      <c r="T64" s="673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160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161</v>
      </c>
      <c r="B65" s="60" t="s">
        <v>162</v>
      </c>
      <c r="C65" s="34">
        <v>4301012165</v>
      </c>
      <c r="D65" s="670">
        <v>4680115885899</v>
      </c>
      <c r="E65" s="670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133</v>
      </c>
      <c r="N65" s="36"/>
      <c r="O65" s="35">
        <v>50</v>
      </c>
      <c r="P65" s="70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72"/>
      <c r="R65" s="672"/>
      <c r="S65" s="672"/>
      <c r="T65" s="673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149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163</v>
      </c>
      <c r="B66" s="60" t="s">
        <v>164</v>
      </c>
      <c r="C66" s="34">
        <v>4301011801</v>
      </c>
      <c r="D66" s="670">
        <v>4680115881419</v>
      </c>
      <c r="E66" s="670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141</v>
      </c>
      <c r="L66" s="35" t="s">
        <v>46</v>
      </c>
      <c r="M66" s="36" t="s">
        <v>133</v>
      </c>
      <c r="N66" s="36"/>
      <c r="O66" s="35">
        <v>50</v>
      </c>
      <c r="P66" s="7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72"/>
      <c r="R66" s="672"/>
      <c r="S66" s="672"/>
      <c r="T66" s="673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165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78"/>
      <c r="B67" s="678"/>
      <c r="C67" s="678"/>
      <c r="D67" s="678"/>
      <c r="E67" s="678"/>
      <c r="F67" s="678"/>
      <c r="G67" s="678"/>
      <c r="H67" s="678"/>
      <c r="I67" s="678"/>
      <c r="J67" s="678"/>
      <c r="K67" s="678"/>
      <c r="L67" s="678"/>
      <c r="M67" s="678"/>
      <c r="N67" s="678"/>
      <c r="O67" s="679"/>
      <c r="P67" s="675" t="s">
        <v>40</v>
      </c>
      <c r="Q67" s="676"/>
      <c r="R67" s="676"/>
      <c r="S67" s="676"/>
      <c r="T67" s="676"/>
      <c r="U67" s="676"/>
      <c r="V67" s="677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78"/>
      <c r="B68" s="678"/>
      <c r="C68" s="678"/>
      <c r="D68" s="678"/>
      <c r="E68" s="678"/>
      <c r="F68" s="678"/>
      <c r="G68" s="678"/>
      <c r="H68" s="678"/>
      <c r="I68" s="678"/>
      <c r="J68" s="678"/>
      <c r="K68" s="678"/>
      <c r="L68" s="678"/>
      <c r="M68" s="678"/>
      <c r="N68" s="678"/>
      <c r="O68" s="679"/>
      <c r="P68" s="675" t="s">
        <v>40</v>
      </c>
      <c r="Q68" s="676"/>
      <c r="R68" s="676"/>
      <c r="S68" s="676"/>
      <c r="T68" s="676"/>
      <c r="U68" s="676"/>
      <c r="V68" s="677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69" t="s">
        <v>166</v>
      </c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69"/>
      <c r="P69" s="669"/>
      <c r="Q69" s="669"/>
      <c r="R69" s="669"/>
      <c r="S69" s="669"/>
      <c r="T69" s="669"/>
      <c r="U69" s="669"/>
      <c r="V69" s="669"/>
      <c r="W69" s="669"/>
      <c r="X69" s="669"/>
      <c r="Y69" s="669"/>
      <c r="Z69" s="669"/>
      <c r="AA69" s="63"/>
      <c r="AB69" s="63"/>
      <c r="AC69" s="63"/>
    </row>
    <row r="70" spans="1:68" ht="16.5" hidden="1" customHeight="1" x14ac:dyDescent="0.25">
      <c r="A70" s="60" t="s">
        <v>167</v>
      </c>
      <c r="B70" s="60" t="s">
        <v>168</v>
      </c>
      <c r="C70" s="34">
        <v>4301020298</v>
      </c>
      <c r="D70" s="670">
        <v>4680115881440</v>
      </c>
      <c r="E70" s="670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134</v>
      </c>
      <c r="L70" s="35" t="s">
        <v>46</v>
      </c>
      <c r="M70" s="36" t="s">
        <v>133</v>
      </c>
      <c r="N70" s="36"/>
      <c r="O70" s="35">
        <v>50</v>
      </c>
      <c r="P70" s="70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72"/>
      <c r="R70" s="672"/>
      <c r="S70" s="672"/>
      <c r="T70" s="673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169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170</v>
      </c>
      <c r="B71" s="60" t="s">
        <v>171</v>
      </c>
      <c r="C71" s="34">
        <v>4301020358</v>
      </c>
      <c r="D71" s="670">
        <v>4680115885950</v>
      </c>
      <c r="E71" s="670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7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72"/>
      <c r="R71" s="672"/>
      <c r="S71" s="672"/>
      <c r="T71" s="673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169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172</v>
      </c>
      <c r="B72" s="60" t="s">
        <v>173</v>
      </c>
      <c r="C72" s="34">
        <v>4301020371</v>
      </c>
      <c r="D72" s="670">
        <v>4680115887688</v>
      </c>
      <c r="E72" s="670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138</v>
      </c>
      <c r="L72" s="35" t="s">
        <v>46</v>
      </c>
      <c r="M72" s="36" t="s">
        <v>81</v>
      </c>
      <c r="N72" s="36"/>
      <c r="O72" s="35">
        <v>30</v>
      </c>
      <c r="P72" s="7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72"/>
      <c r="R72" s="672"/>
      <c r="S72" s="672"/>
      <c r="T72" s="673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174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175</v>
      </c>
      <c r="B73" s="60" t="s">
        <v>176</v>
      </c>
      <c r="C73" s="34">
        <v>4301020296</v>
      </c>
      <c r="D73" s="670">
        <v>4680115881433</v>
      </c>
      <c r="E73" s="670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133</v>
      </c>
      <c r="N73" s="36"/>
      <c r="O73" s="35">
        <v>50</v>
      </c>
      <c r="P73" s="7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72"/>
      <c r="R73" s="672"/>
      <c r="S73" s="672"/>
      <c r="T73" s="673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169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78"/>
      <c r="B74" s="678"/>
      <c r="C74" s="678"/>
      <c r="D74" s="678"/>
      <c r="E74" s="678"/>
      <c r="F74" s="678"/>
      <c r="G74" s="678"/>
      <c r="H74" s="678"/>
      <c r="I74" s="678"/>
      <c r="J74" s="678"/>
      <c r="K74" s="678"/>
      <c r="L74" s="678"/>
      <c r="M74" s="678"/>
      <c r="N74" s="678"/>
      <c r="O74" s="679"/>
      <c r="P74" s="675" t="s">
        <v>40</v>
      </c>
      <c r="Q74" s="676"/>
      <c r="R74" s="676"/>
      <c r="S74" s="676"/>
      <c r="T74" s="676"/>
      <c r="U74" s="676"/>
      <c r="V74" s="677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78"/>
      <c r="B75" s="678"/>
      <c r="C75" s="678"/>
      <c r="D75" s="678"/>
      <c r="E75" s="678"/>
      <c r="F75" s="678"/>
      <c r="G75" s="678"/>
      <c r="H75" s="678"/>
      <c r="I75" s="678"/>
      <c r="J75" s="678"/>
      <c r="K75" s="678"/>
      <c r="L75" s="678"/>
      <c r="M75" s="678"/>
      <c r="N75" s="678"/>
      <c r="O75" s="679"/>
      <c r="P75" s="675" t="s">
        <v>40</v>
      </c>
      <c r="Q75" s="676"/>
      <c r="R75" s="676"/>
      <c r="S75" s="676"/>
      <c r="T75" s="676"/>
      <c r="U75" s="676"/>
      <c r="V75" s="677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69" t="s">
        <v>86</v>
      </c>
      <c r="B76" s="669"/>
      <c r="C76" s="669"/>
      <c r="D76" s="669"/>
      <c r="E76" s="669"/>
      <c r="F76" s="669"/>
      <c r="G76" s="669"/>
      <c r="H76" s="669"/>
      <c r="I76" s="669"/>
      <c r="J76" s="669"/>
      <c r="K76" s="669"/>
      <c r="L76" s="669"/>
      <c r="M76" s="669"/>
      <c r="N76" s="669"/>
      <c r="O76" s="669"/>
      <c r="P76" s="669"/>
      <c r="Q76" s="669"/>
      <c r="R76" s="669"/>
      <c r="S76" s="669"/>
      <c r="T76" s="669"/>
      <c r="U76" s="669"/>
      <c r="V76" s="669"/>
      <c r="W76" s="669"/>
      <c r="X76" s="669"/>
      <c r="Y76" s="669"/>
      <c r="Z76" s="669"/>
      <c r="AA76" s="63"/>
      <c r="AB76" s="63"/>
      <c r="AC76" s="63"/>
    </row>
    <row r="77" spans="1:68" ht="16.5" hidden="1" customHeight="1" x14ac:dyDescent="0.25">
      <c r="A77" s="60" t="s">
        <v>177</v>
      </c>
      <c r="B77" s="60" t="s">
        <v>178</v>
      </c>
      <c r="C77" s="34">
        <v>4301051837</v>
      </c>
      <c r="D77" s="670">
        <v>4680115884311</v>
      </c>
      <c r="E77" s="670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72"/>
      <c r="R77" s="672"/>
      <c r="S77" s="672"/>
      <c r="T77" s="67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180</v>
      </c>
      <c r="B78" s="60" t="s">
        <v>181</v>
      </c>
      <c r="C78" s="34">
        <v>4301051929</v>
      </c>
      <c r="D78" s="670">
        <v>4680115884403</v>
      </c>
      <c r="E78" s="670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70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72"/>
      <c r="R78" s="672"/>
      <c r="S78" s="672"/>
      <c r="T78" s="673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182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78"/>
      <c r="B79" s="678"/>
      <c r="C79" s="678"/>
      <c r="D79" s="678"/>
      <c r="E79" s="678"/>
      <c r="F79" s="678"/>
      <c r="G79" s="678"/>
      <c r="H79" s="678"/>
      <c r="I79" s="678"/>
      <c r="J79" s="678"/>
      <c r="K79" s="678"/>
      <c r="L79" s="678"/>
      <c r="M79" s="678"/>
      <c r="N79" s="678"/>
      <c r="O79" s="679"/>
      <c r="P79" s="675" t="s">
        <v>40</v>
      </c>
      <c r="Q79" s="676"/>
      <c r="R79" s="676"/>
      <c r="S79" s="676"/>
      <c r="T79" s="676"/>
      <c r="U79" s="676"/>
      <c r="V79" s="677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78"/>
      <c r="B80" s="678"/>
      <c r="C80" s="678"/>
      <c r="D80" s="678"/>
      <c r="E80" s="678"/>
      <c r="F80" s="678"/>
      <c r="G80" s="678"/>
      <c r="H80" s="678"/>
      <c r="I80" s="678"/>
      <c r="J80" s="678"/>
      <c r="K80" s="678"/>
      <c r="L80" s="678"/>
      <c r="M80" s="678"/>
      <c r="N80" s="678"/>
      <c r="O80" s="679"/>
      <c r="P80" s="675" t="s">
        <v>40</v>
      </c>
      <c r="Q80" s="676"/>
      <c r="R80" s="676"/>
      <c r="S80" s="676"/>
      <c r="T80" s="676"/>
      <c r="U80" s="676"/>
      <c r="V80" s="677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69" t="s">
        <v>183</v>
      </c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69"/>
      <c r="P81" s="669"/>
      <c r="Q81" s="669"/>
      <c r="R81" s="669"/>
      <c r="S81" s="669"/>
      <c r="T81" s="669"/>
      <c r="U81" s="669"/>
      <c r="V81" s="669"/>
      <c r="W81" s="669"/>
      <c r="X81" s="669"/>
      <c r="Y81" s="669"/>
      <c r="Z81" s="669"/>
      <c r="AA81" s="63"/>
      <c r="AB81" s="63"/>
      <c r="AC81" s="63"/>
    </row>
    <row r="82" spans="1:68" ht="27" hidden="1" customHeight="1" x14ac:dyDescent="0.25">
      <c r="A82" s="60" t="s">
        <v>184</v>
      </c>
      <c r="B82" s="60" t="s">
        <v>185</v>
      </c>
      <c r="C82" s="34">
        <v>4301060455</v>
      </c>
      <c r="D82" s="670">
        <v>4680115881532</v>
      </c>
      <c r="E82" s="670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134</v>
      </c>
      <c r="L82" s="35" t="s">
        <v>46</v>
      </c>
      <c r="M82" s="36" t="s">
        <v>97</v>
      </c>
      <c r="N82" s="36"/>
      <c r="O82" s="35">
        <v>30</v>
      </c>
      <c r="P82" s="70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72"/>
      <c r="R82" s="672"/>
      <c r="S82" s="672"/>
      <c r="T82" s="673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187</v>
      </c>
      <c r="B83" s="60" t="s">
        <v>188</v>
      </c>
      <c r="C83" s="34">
        <v>4301060351</v>
      </c>
      <c r="D83" s="670">
        <v>4680115881464</v>
      </c>
      <c r="E83" s="670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141</v>
      </c>
      <c r="L83" s="35" t="s">
        <v>46</v>
      </c>
      <c r="M83" s="36" t="s">
        <v>90</v>
      </c>
      <c r="N83" s="36"/>
      <c r="O83" s="35">
        <v>30</v>
      </c>
      <c r="P83" s="71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72"/>
      <c r="R83" s="672"/>
      <c r="S83" s="672"/>
      <c r="T83" s="673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189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78"/>
      <c r="B84" s="678"/>
      <c r="C84" s="678"/>
      <c r="D84" s="678"/>
      <c r="E84" s="678"/>
      <c r="F84" s="678"/>
      <c r="G84" s="678"/>
      <c r="H84" s="678"/>
      <c r="I84" s="678"/>
      <c r="J84" s="678"/>
      <c r="K84" s="678"/>
      <c r="L84" s="678"/>
      <c r="M84" s="678"/>
      <c r="N84" s="678"/>
      <c r="O84" s="679"/>
      <c r="P84" s="675" t="s">
        <v>40</v>
      </c>
      <c r="Q84" s="676"/>
      <c r="R84" s="676"/>
      <c r="S84" s="676"/>
      <c r="T84" s="676"/>
      <c r="U84" s="676"/>
      <c r="V84" s="677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78"/>
      <c r="B85" s="678"/>
      <c r="C85" s="678"/>
      <c r="D85" s="678"/>
      <c r="E85" s="678"/>
      <c r="F85" s="678"/>
      <c r="G85" s="678"/>
      <c r="H85" s="678"/>
      <c r="I85" s="678"/>
      <c r="J85" s="678"/>
      <c r="K85" s="678"/>
      <c r="L85" s="678"/>
      <c r="M85" s="678"/>
      <c r="N85" s="678"/>
      <c r="O85" s="679"/>
      <c r="P85" s="675" t="s">
        <v>40</v>
      </c>
      <c r="Q85" s="676"/>
      <c r="R85" s="676"/>
      <c r="S85" s="676"/>
      <c r="T85" s="676"/>
      <c r="U85" s="676"/>
      <c r="V85" s="677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68" t="s">
        <v>190</v>
      </c>
      <c r="B86" s="668"/>
      <c r="C86" s="668"/>
      <c r="D86" s="668"/>
      <c r="E86" s="668"/>
      <c r="F86" s="668"/>
      <c r="G86" s="668"/>
      <c r="H86" s="668"/>
      <c r="I86" s="668"/>
      <c r="J86" s="668"/>
      <c r="K86" s="668"/>
      <c r="L86" s="668"/>
      <c r="M86" s="668"/>
      <c r="N86" s="668"/>
      <c r="O86" s="668"/>
      <c r="P86" s="668"/>
      <c r="Q86" s="668"/>
      <c r="R86" s="668"/>
      <c r="S86" s="668"/>
      <c r="T86" s="668"/>
      <c r="U86" s="668"/>
      <c r="V86" s="668"/>
      <c r="W86" s="668"/>
      <c r="X86" s="668"/>
      <c r="Y86" s="668"/>
      <c r="Z86" s="668"/>
      <c r="AA86" s="62"/>
      <c r="AB86" s="62"/>
      <c r="AC86" s="62"/>
    </row>
    <row r="87" spans="1:68" ht="14.25" hidden="1" customHeight="1" x14ac:dyDescent="0.25">
      <c r="A87" s="669" t="s">
        <v>129</v>
      </c>
      <c r="B87" s="669"/>
      <c r="C87" s="669"/>
      <c r="D87" s="669"/>
      <c r="E87" s="669"/>
      <c r="F87" s="669"/>
      <c r="G87" s="669"/>
      <c r="H87" s="669"/>
      <c r="I87" s="669"/>
      <c r="J87" s="669"/>
      <c r="K87" s="669"/>
      <c r="L87" s="669"/>
      <c r="M87" s="669"/>
      <c r="N87" s="669"/>
      <c r="O87" s="669"/>
      <c r="P87" s="669"/>
      <c r="Q87" s="669"/>
      <c r="R87" s="669"/>
      <c r="S87" s="669"/>
      <c r="T87" s="669"/>
      <c r="U87" s="669"/>
      <c r="V87" s="669"/>
      <c r="W87" s="669"/>
      <c r="X87" s="669"/>
      <c r="Y87" s="669"/>
      <c r="Z87" s="669"/>
      <c r="AA87" s="63"/>
      <c r="AB87" s="63"/>
      <c r="AC87" s="63"/>
    </row>
    <row r="88" spans="1:68" ht="27" hidden="1" customHeight="1" x14ac:dyDescent="0.25">
      <c r="A88" s="60" t="s">
        <v>191</v>
      </c>
      <c r="B88" s="60" t="s">
        <v>192</v>
      </c>
      <c r="C88" s="34">
        <v>4301011468</v>
      </c>
      <c r="D88" s="670">
        <v>4680115881327</v>
      </c>
      <c r="E88" s="670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134</v>
      </c>
      <c r="L88" s="35" t="s">
        <v>46</v>
      </c>
      <c r="M88" s="36" t="s">
        <v>97</v>
      </c>
      <c r="N88" s="36"/>
      <c r="O88" s="35">
        <v>50</v>
      </c>
      <c r="P88" s="7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72"/>
      <c r="R88" s="672"/>
      <c r="S88" s="672"/>
      <c r="T88" s="673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4301011261</v>
      </c>
      <c r="D89" s="670">
        <v>4680115887732</v>
      </c>
      <c r="E89" s="670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138</v>
      </c>
      <c r="L89" s="35" t="s">
        <v>46</v>
      </c>
      <c r="M89" s="36" t="s">
        <v>81</v>
      </c>
      <c r="N89" s="36"/>
      <c r="O89" s="35">
        <v>30</v>
      </c>
      <c r="P89" s="7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72"/>
      <c r="R89" s="672"/>
      <c r="S89" s="672"/>
      <c r="T89" s="67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196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197</v>
      </c>
      <c r="B90" s="60" t="s">
        <v>198</v>
      </c>
      <c r="C90" s="34">
        <v>4301011476</v>
      </c>
      <c r="D90" s="670">
        <v>4680115881518</v>
      </c>
      <c r="E90" s="670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141</v>
      </c>
      <c r="L90" s="35" t="s">
        <v>46</v>
      </c>
      <c r="M90" s="36" t="s">
        <v>90</v>
      </c>
      <c r="N90" s="36"/>
      <c r="O90" s="35">
        <v>50</v>
      </c>
      <c r="P90" s="7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72"/>
      <c r="R90" s="672"/>
      <c r="S90" s="672"/>
      <c r="T90" s="673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193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199</v>
      </c>
      <c r="B91" s="60" t="s">
        <v>200</v>
      </c>
      <c r="C91" s="34">
        <v>4301011443</v>
      </c>
      <c r="D91" s="670">
        <v>4680115881303</v>
      </c>
      <c r="E91" s="670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141</v>
      </c>
      <c r="L91" s="35" t="s">
        <v>46</v>
      </c>
      <c r="M91" s="36" t="s">
        <v>97</v>
      </c>
      <c r="N91" s="36"/>
      <c r="O91" s="35">
        <v>50</v>
      </c>
      <c r="P91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72"/>
      <c r="R91" s="672"/>
      <c r="S91" s="672"/>
      <c r="T91" s="673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193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78"/>
      <c r="B92" s="678"/>
      <c r="C92" s="678"/>
      <c r="D92" s="678"/>
      <c r="E92" s="678"/>
      <c r="F92" s="678"/>
      <c r="G92" s="678"/>
      <c r="H92" s="678"/>
      <c r="I92" s="678"/>
      <c r="J92" s="678"/>
      <c r="K92" s="678"/>
      <c r="L92" s="678"/>
      <c r="M92" s="678"/>
      <c r="N92" s="678"/>
      <c r="O92" s="679"/>
      <c r="P92" s="675" t="s">
        <v>40</v>
      </c>
      <c r="Q92" s="676"/>
      <c r="R92" s="676"/>
      <c r="S92" s="676"/>
      <c r="T92" s="676"/>
      <c r="U92" s="676"/>
      <c r="V92" s="677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78"/>
      <c r="B93" s="678"/>
      <c r="C93" s="678"/>
      <c r="D93" s="678"/>
      <c r="E93" s="678"/>
      <c r="F93" s="678"/>
      <c r="G93" s="678"/>
      <c r="H93" s="678"/>
      <c r="I93" s="678"/>
      <c r="J93" s="678"/>
      <c r="K93" s="678"/>
      <c r="L93" s="678"/>
      <c r="M93" s="678"/>
      <c r="N93" s="678"/>
      <c r="O93" s="679"/>
      <c r="P93" s="675" t="s">
        <v>40</v>
      </c>
      <c r="Q93" s="676"/>
      <c r="R93" s="676"/>
      <c r="S93" s="676"/>
      <c r="T93" s="676"/>
      <c r="U93" s="676"/>
      <c r="V93" s="677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69" t="s">
        <v>86</v>
      </c>
      <c r="B94" s="669"/>
      <c r="C94" s="669"/>
      <c r="D94" s="669"/>
      <c r="E94" s="669"/>
      <c r="F94" s="669"/>
      <c r="G94" s="669"/>
      <c r="H94" s="669"/>
      <c r="I94" s="669"/>
      <c r="J94" s="669"/>
      <c r="K94" s="669"/>
      <c r="L94" s="669"/>
      <c r="M94" s="669"/>
      <c r="N94" s="669"/>
      <c r="O94" s="669"/>
      <c r="P94" s="669"/>
      <c r="Q94" s="669"/>
      <c r="R94" s="669"/>
      <c r="S94" s="669"/>
      <c r="T94" s="669"/>
      <c r="U94" s="669"/>
      <c r="V94" s="669"/>
      <c r="W94" s="669"/>
      <c r="X94" s="669"/>
      <c r="Y94" s="669"/>
      <c r="Z94" s="669"/>
      <c r="AA94" s="63"/>
      <c r="AB94" s="63"/>
      <c r="AC94" s="63"/>
    </row>
    <row r="95" spans="1:68" ht="27" hidden="1" customHeight="1" x14ac:dyDescent="0.25">
      <c r="A95" s="60" t="s">
        <v>201</v>
      </c>
      <c r="B95" s="60" t="s">
        <v>202</v>
      </c>
      <c r="C95" s="34">
        <v>4301051712</v>
      </c>
      <c r="D95" s="670">
        <v>4607091386967</v>
      </c>
      <c r="E95" s="670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134</v>
      </c>
      <c r="L95" s="35" t="s">
        <v>46</v>
      </c>
      <c r="M95" s="36" t="s">
        <v>97</v>
      </c>
      <c r="N95" s="36"/>
      <c r="O95" s="35">
        <v>45</v>
      </c>
      <c r="P95" s="7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72"/>
      <c r="R95" s="672"/>
      <c r="S95" s="672"/>
      <c r="T95" s="673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203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204</v>
      </c>
      <c r="B96" s="60" t="s">
        <v>205</v>
      </c>
      <c r="C96" s="34">
        <v>4301051788</v>
      </c>
      <c r="D96" s="670">
        <v>4680115884953</v>
      </c>
      <c r="E96" s="670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72"/>
      <c r="R96" s="672"/>
      <c r="S96" s="672"/>
      <c r="T96" s="673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203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206</v>
      </c>
      <c r="B97" s="60" t="s">
        <v>207</v>
      </c>
      <c r="C97" s="34">
        <v>4301051718</v>
      </c>
      <c r="D97" s="670">
        <v>4607091385731</v>
      </c>
      <c r="E97" s="67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2"/>
      <c r="R97" s="672"/>
      <c r="S97" s="672"/>
      <c r="T97" s="673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203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208</v>
      </c>
      <c r="B98" s="60" t="s">
        <v>209</v>
      </c>
      <c r="C98" s="34">
        <v>4301052092</v>
      </c>
      <c r="D98" s="670">
        <v>4680115880894</v>
      </c>
      <c r="E98" s="67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71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72"/>
      <c r="R98" s="672"/>
      <c r="S98" s="672"/>
      <c r="T98" s="673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210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78"/>
      <c r="B99" s="678"/>
      <c r="C99" s="678"/>
      <c r="D99" s="678"/>
      <c r="E99" s="678"/>
      <c r="F99" s="678"/>
      <c r="G99" s="678"/>
      <c r="H99" s="678"/>
      <c r="I99" s="678"/>
      <c r="J99" s="678"/>
      <c r="K99" s="678"/>
      <c r="L99" s="678"/>
      <c r="M99" s="678"/>
      <c r="N99" s="678"/>
      <c r="O99" s="679"/>
      <c r="P99" s="675" t="s">
        <v>40</v>
      </c>
      <c r="Q99" s="676"/>
      <c r="R99" s="676"/>
      <c r="S99" s="676"/>
      <c r="T99" s="676"/>
      <c r="U99" s="676"/>
      <c r="V99" s="677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78"/>
      <c r="B100" s="678"/>
      <c r="C100" s="678"/>
      <c r="D100" s="678"/>
      <c r="E100" s="678"/>
      <c r="F100" s="678"/>
      <c r="G100" s="678"/>
      <c r="H100" s="678"/>
      <c r="I100" s="678"/>
      <c r="J100" s="678"/>
      <c r="K100" s="678"/>
      <c r="L100" s="678"/>
      <c r="M100" s="678"/>
      <c r="N100" s="678"/>
      <c r="O100" s="679"/>
      <c r="P100" s="675" t="s">
        <v>40</v>
      </c>
      <c r="Q100" s="676"/>
      <c r="R100" s="676"/>
      <c r="S100" s="676"/>
      <c r="T100" s="676"/>
      <c r="U100" s="676"/>
      <c r="V100" s="677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68" t="s">
        <v>211</v>
      </c>
      <c r="B101" s="668"/>
      <c r="C101" s="668"/>
      <c r="D101" s="668"/>
      <c r="E101" s="668"/>
      <c r="F101" s="668"/>
      <c r="G101" s="668"/>
      <c r="H101" s="668"/>
      <c r="I101" s="668"/>
      <c r="J101" s="668"/>
      <c r="K101" s="668"/>
      <c r="L101" s="668"/>
      <c r="M101" s="668"/>
      <c r="N101" s="668"/>
      <c r="O101" s="668"/>
      <c r="P101" s="668"/>
      <c r="Q101" s="668"/>
      <c r="R101" s="668"/>
      <c r="S101" s="668"/>
      <c r="T101" s="668"/>
      <c r="U101" s="668"/>
      <c r="V101" s="668"/>
      <c r="W101" s="668"/>
      <c r="X101" s="668"/>
      <c r="Y101" s="668"/>
      <c r="Z101" s="668"/>
      <c r="AA101" s="62"/>
      <c r="AB101" s="62"/>
      <c r="AC101" s="62"/>
    </row>
    <row r="102" spans="1:68" ht="14.25" hidden="1" customHeight="1" x14ac:dyDescent="0.25">
      <c r="A102" s="669" t="s">
        <v>129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3"/>
      <c r="AB102" s="63"/>
      <c r="AC102" s="63"/>
    </row>
    <row r="103" spans="1:68" ht="37.5" hidden="1" customHeight="1" x14ac:dyDescent="0.25">
      <c r="A103" s="60" t="s">
        <v>212</v>
      </c>
      <c r="B103" s="60" t="s">
        <v>213</v>
      </c>
      <c r="C103" s="34">
        <v>4301011514</v>
      </c>
      <c r="D103" s="670">
        <v>4680115882133</v>
      </c>
      <c r="E103" s="670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134</v>
      </c>
      <c r="L103" s="35" t="s">
        <v>46</v>
      </c>
      <c r="M103" s="36" t="s">
        <v>133</v>
      </c>
      <c r="N103" s="36"/>
      <c r="O103" s="35">
        <v>50</v>
      </c>
      <c r="P103" s="7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72"/>
      <c r="R103" s="672"/>
      <c r="S103" s="672"/>
      <c r="T103" s="67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215</v>
      </c>
      <c r="B104" s="60" t="s">
        <v>216</v>
      </c>
      <c r="C104" s="34">
        <v>4301012051</v>
      </c>
      <c r="D104" s="670">
        <v>4680115887718</v>
      </c>
      <c r="E104" s="670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138</v>
      </c>
      <c r="L104" s="35" t="s">
        <v>46</v>
      </c>
      <c r="M104" s="36" t="s">
        <v>81</v>
      </c>
      <c r="N104" s="36"/>
      <c r="O104" s="35">
        <v>30</v>
      </c>
      <c r="P104" s="7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2"/>
      <c r="R104" s="672"/>
      <c r="S104" s="672"/>
      <c r="T104" s="67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217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215</v>
      </c>
      <c r="B105" s="60" t="s">
        <v>218</v>
      </c>
      <c r="C105" s="34">
        <v>4301012334</v>
      </c>
      <c r="D105" s="670">
        <v>4680115887718</v>
      </c>
      <c r="E105" s="670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138</v>
      </c>
      <c r="L105" s="35" t="s">
        <v>46</v>
      </c>
      <c r="M105" s="36" t="s">
        <v>81</v>
      </c>
      <c r="N105" s="36"/>
      <c r="O105" s="35">
        <v>30</v>
      </c>
      <c r="P105" s="72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2"/>
      <c r="R105" s="672"/>
      <c r="S105" s="672"/>
      <c r="T105" s="67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217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4301011417</v>
      </c>
      <c r="D106" s="670">
        <v>4680115880269</v>
      </c>
      <c r="E106" s="670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141</v>
      </c>
      <c r="L106" s="35" t="s">
        <v>46</v>
      </c>
      <c r="M106" s="36" t="s">
        <v>90</v>
      </c>
      <c r="N106" s="36"/>
      <c r="O106" s="35">
        <v>50</v>
      </c>
      <c r="P106" s="72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214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221</v>
      </c>
      <c r="B107" s="60" t="s">
        <v>222</v>
      </c>
      <c r="C107" s="34">
        <v>4301011415</v>
      </c>
      <c r="D107" s="670">
        <v>4680115880429</v>
      </c>
      <c r="E107" s="670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141</v>
      </c>
      <c r="L107" s="35" t="s">
        <v>46</v>
      </c>
      <c r="M107" s="36" t="s">
        <v>90</v>
      </c>
      <c r="N107" s="36"/>
      <c r="O107" s="35">
        <v>50</v>
      </c>
      <c r="P107" s="7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214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223</v>
      </c>
      <c r="B108" s="60" t="s">
        <v>224</v>
      </c>
      <c r="C108" s="34">
        <v>4301011462</v>
      </c>
      <c r="D108" s="670">
        <v>4680115881457</v>
      </c>
      <c r="E108" s="670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141</v>
      </c>
      <c r="L108" s="35" t="s">
        <v>46</v>
      </c>
      <c r="M108" s="36" t="s">
        <v>90</v>
      </c>
      <c r="N108" s="36"/>
      <c r="O108" s="35">
        <v>50</v>
      </c>
      <c r="P108" s="72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214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78"/>
      <c r="B109" s="678"/>
      <c r="C109" s="678"/>
      <c r="D109" s="678"/>
      <c r="E109" s="678"/>
      <c r="F109" s="678"/>
      <c r="G109" s="678"/>
      <c r="H109" s="678"/>
      <c r="I109" s="678"/>
      <c r="J109" s="678"/>
      <c r="K109" s="678"/>
      <c r="L109" s="678"/>
      <c r="M109" s="678"/>
      <c r="N109" s="678"/>
      <c r="O109" s="679"/>
      <c r="P109" s="675" t="s">
        <v>40</v>
      </c>
      <c r="Q109" s="676"/>
      <c r="R109" s="676"/>
      <c r="S109" s="676"/>
      <c r="T109" s="676"/>
      <c r="U109" s="676"/>
      <c r="V109" s="677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78"/>
      <c r="B110" s="678"/>
      <c r="C110" s="678"/>
      <c r="D110" s="678"/>
      <c r="E110" s="678"/>
      <c r="F110" s="678"/>
      <c r="G110" s="678"/>
      <c r="H110" s="678"/>
      <c r="I110" s="678"/>
      <c r="J110" s="678"/>
      <c r="K110" s="678"/>
      <c r="L110" s="678"/>
      <c r="M110" s="678"/>
      <c r="N110" s="678"/>
      <c r="O110" s="679"/>
      <c r="P110" s="675" t="s">
        <v>40</v>
      </c>
      <c r="Q110" s="676"/>
      <c r="R110" s="676"/>
      <c r="S110" s="676"/>
      <c r="T110" s="676"/>
      <c r="U110" s="676"/>
      <c r="V110" s="677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69" t="s">
        <v>166</v>
      </c>
      <c r="B111" s="669"/>
      <c r="C111" s="669"/>
      <c r="D111" s="669"/>
      <c r="E111" s="669"/>
      <c r="F111" s="669"/>
      <c r="G111" s="669"/>
      <c r="H111" s="669"/>
      <c r="I111" s="669"/>
      <c r="J111" s="669"/>
      <c r="K111" s="669"/>
      <c r="L111" s="669"/>
      <c r="M111" s="669"/>
      <c r="N111" s="669"/>
      <c r="O111" s="669"/>
      <c r="P111" s="669"/>
      <c r="Q111" s="669"/>
      <c r="R111" s="669"/>
      <c r="S111" s="669"/>
      <c r="T111" s="669"/>
      <c r="U111" s="669"/>
      <c r="V111" s="669"/>
      <c r="W111" s="669"/>
      <c r="X111" s="669"/>
      <c r="Y111" s="669"/>
      <c r="Z111" s="669"/>
      <c r="AA111" s="63"/>
      <c r="AB111" s="63"/>
      <c r="AC111" s="63"/>
    </row>
    <row r="112" spans="1:68" ht="16.5" hidden="1" customHeight="1" x14ac:dyDescent="0.25">
      <c r="A112" s="60" t="s">
        <v>225</v>
      </c>
      <c r="B112" s="60" t="s">
        <v>226</v>
      </c>
      <c r="C112" s="34">
        <v>4301020345</v>
      </c>
      <c r="D112" s="670">
        <v>4680115881488</v>
      </c>
      <c r="E112" s="670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134</v>
      </c>
      <c r="L112" s="35" t="s">
        <v>46</v>
      </c>
      <c r="M112" s="36" t="s">
        <v>133</v>
      </c>
      <c r="N112" s="36"/>
      <c r="O112" s="35">
        <v>55</v>
      </c>
      <c r="P112" s="72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8" si="10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227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8" si="11">IFERROR(X112*I112/H112,"0")</f>
        <v>0</v>
      </c>
      <c r="BN112" s="75">
        <f t="shared" ref="BN112:BN118" si="12">IFERROR(Y112*I112/H112,"0")</f>
        <v>0</v>
      </c>
      <c r="BO112" s="75">
        <f t="shared" ref="BO112:BO118" si="13">IFERROR(1/J112*(X112/H112),"0")</f>
        <v>0</v>
      </c>
      <c r="BP112" s="75">
        <f t="shared" ref="BP112:BP118" si="14">IFERROR(1/J112*(Y112/H112),"0")</f>
        <v>0</v>
      </c>
    </row>
    <row r="113" spans="1:68" ht="27" hidden="1" customHeight="1" x14ac:dyDescent="0.25">
      <c r="A113" s="60" t="s">
        <v>225</v>
      </c>
      <c r="B113" s="60" t="s">
        <v>228</v>
      </c>
      <c r="C113" s="34">
        <v>4301020391</v>
      </c>
      <c r="D113" s="670">
        <v>4680115881488</v>
      </c>
      <c r="E113" s="670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134</v>
      </c>
      <c r="L113" s="35" t="s">
        <v>46</v>
      </c>
      <c r="M113" s="36" t="s">
        <v>133</v>
      </c>
      <c r="N113" s="36"/>
      <c r="O113" s="35">
        <v>55</v>
      </c>
      <c r="P113" s="72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2"/>
      <c r="R113" s="672"/>
      <c r="S113" s="672"/>
      <c r="T113" s="673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0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229</v>
      </c>
      <c r="AG113" s="75"/>
      <c r="AJ113" s="79" t="s">
        <v>46</v>
      </c>
      <c r="AK113" s="79">
        <v>0</v>
      </c>
      <c r="BB113" s="178" t="s">
        <v>67</v>
      </c>
      <c r="BM113" s="75">
        <f t="shared" si="11"/>
        <v>0</v>
      </c>
      <c r="BN113" s="75">
        <f t="shared" si="12"/>
        <v>0</v>
      </c>
      <c r="BO113" s="75">
        <f t="shared" si="13"/>
        <v>0</v>
      </c>
      <c r="BP113" s="75">
        <f t="shared" si="14"/>
        <v>0</v>
      </c>
    </row>
    <row r="114" spans="1:68" ht="27" hidden="1" customHeight="1" x14ac:dyDescent="0.25">
      <c r="A114" s="60" t="s">
        <v>230</v>
      </c>
      <c r="B114" s="60" t="s">
        <v>231</v>
      </c>
      <c r="C114" s="34">
        <v>4301020186</v>
      </c>
      <c r="D114" s="670">
        <v>4680115887664</v>
      </c>
      <c r="E114" s="670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233</v>
      </c>
      <c r="L114" s="35" t="s">
        <v>46</v>
      </c>
      <c r="M114" s="36" t="s">
        <v>81</v>
      </c>
      <c r="N114" s="36"/>
      <c r="O114" s="35">
        <v>30</v>
      </c>
      <c r="P114" s="72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2"/>
      <c r="R114" s="672"/>
      <c r="S114" s="672"/>
      <c r="T114" s="673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0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232</v>
      </c>
      <c r="AG114" s="75"/>
      <c r="AJ114" s="79" t="s">
        <v>46</v>
      </c>
      <c r="AK114" s="79">
        <v>0</v>
      </c>
      <c r="BB114" s="180" t="s">
        <v>67</v>
      </c>
      <c r="BM114" s="75">
        <f t="shared" si="11"/>
        <v>0</v>
      </c>
      <c r="BN114" s="75">
        <f t="shared" si="12"/>
        <v>0</v>
      </c>
      <c r="BO114" s="75">
        <f t="shared" si="13"/>
        <v>0</v>
      </c>
      <c r="BP114" s="75">
        <f t="shared" si="14"/>
        <v>0</v>
      </c>
    </row>
    <row r="115" spans="1:68" ht="27" hidden="1" customHeight="1" x14ac:dyDescent="0.25">
      <c r="A115" s="60" t="s">
        <v>230</v>
      </c>
      <c r="B115" s="60" t="s">
        <v>234</v>
      </c>
      <c r="C115" s="34">
        <v>4301020430</v>
      </c>
      <c r="D115" s="670">
        <v>4680115887664</v>
      </c>
      <c r="E115" s="670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233</v>
      </c>
      <c r="L115" s="35" t="s">
        <v>46</v>
      </c>
      <c r="M115" s="36" t="s">
        <v>81</v>
      </c>
      <c r="N115" s="36"/>
      <c r="O115" s="35">
        <v>30</v>
      </c>
      <c r="P115" s="72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2"/>
      <c r="R115" s="672"/>
      <c r="S115" s="672"/>
      <c r="T115" s="673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0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232</v>
      </c>
      <c r="AG115" s="75"/>
      <c r="AJ115" s="79" t="s">
        <v>46</v>
      </c>
      <c r="AK115" s="79">
        <v>0</v>
      </c>
      <c r="BB115" s="182" t="s">
        <v>67</v>
      </c>
      <c r="BM115" s="75">
        <f t="shared" si="11"/>
        <v>0</v>
      </c>
      <c r="BN115" s="75">
        <f t="shared" si="12"/>
        <v>0</v>
      </c>
      <c r="BO115" s="75">
        <f t="shared" si="13"/>
        <v>0</v>
      </c>
      <c r="BP115" s="75">
        <f t="shared" si="14"/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4301020393</v>
      </c>
      <c r="D116" s="670">
        <v>4680115882775</v>
      </c>
      <c r="E116" s="670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133</v>
      </c>
      <c r="N116" s="36"/>
      <c r="O116" s="35">
        <v>55</v>
      </c>
      <c r="P116" s="7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2"/>
      <c r="R116" s="672"/>
      <c r="S116" s="672"/>
      <c r="T116" s="673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0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229</v>
      </c>
      <c r="AG116" s="75"/>
      <c r="AJ116" s="79" t="s">
        <v>46</v>
      </c>
      <c r="AK116" s="79">
        <v>0</v>
      </c>
      <c r="BB116" s="184" t="s">
        <v>67</v>
      </c>
      <c r="BM116" s="75">
        <f t="shared" si="11"/>
        <v>0</v>
      </c>
      <c r="BN116" s="75">
        <f t="shared" si="12"/>
        <v>0</v>
      </c>
      <c r="BO116" s="75">
        <f t="shared" si="13"/>
        <v>0</v>
      </c>
      <c r="BP116" s="75">
        <f t="shared" si="14"/>
        <v>0</v>
      </c>
    </row>
    <row r="117" spans="1:68" ht="16.5" hidden="1" customHeight="1" x14ac:dyDescent="0.25">
      <c r="A117" s="60" t="s">
        <v>237</v>
      </c>
      <c r="B117" s="60" t="s">
        <v>238</v>
      </c>
      <c r="C117" s="34">
        <v>4301020344</v>
      </c>
      <c r="D117" s="670">
        <v>4680115880658</v>
      </c>
      <c r="E117" s="670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133</v>
      </c>
      <c r="N117" s="36"/>
      <c r="O117" s="35">
        <v>55</v>
      </c>
      <c r="P117" s="73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2"/>
      <c r="R117" s="672"/>
      <c r="S117" s="672"/>
      <c r="T117" s="673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0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227</v>
      </c>
      <c r="AG117" s="75"/>
      <c r="AJ117" s="79" t="s">
        <v>46</v>
      </c>
      <c r="AK117" s="79">
        <v>0</v>
      </c>
      <c r="BB117" s="186" t="s">
        <v>67</v>
      </c>
      <c r="BM117" s="75">
        <f t="shared" si="11"/>
        <v>0</v>
      </c>
      <c r="BN117" s="75">
        <f t="shared" si="12"/>
        <v>0</v>
      </c>
      <c r="BO117" s="75">
        <f t="shared" si="13"/>
        <v>0</v>
      </c>
      <c r="BP117" s="75">
        <f t="shared" si="14"/>
        <v>0</v>
      </c>
    </row>
    <row r="118" spans="1:68" ht="27" hidden="1" customHeight="1" x14ac:dyDescent="0.25">
      <c r="A118" s="60" t="s">
        <v>237</v>
      </c>
      <c r="B118" s="60" t="s">
        <v>239</v>
      </c>
      <c r="C118" s="34">
        <v>4301020392</v>
      </c>
      <c r="D118" s="670">
        <v>4680115880658</v>
      </c>
      <c r="E118" s="670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133</v>
      </c>
      <c r="N118" s="36"/>
      <c r="O118" s="35">
        <v>55</v>
      </c>
      <c r="P118" s="73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72"/>
      <c r="R118" s="672"/>
      <c r="S118" s="672"/>
      <c r="T118" s="673"/>
      <c r="U118" s="37" t="s">
        <v>46</v>
      </c>
      <c r="V118" s="37" t="s">
        <v>46</v>
      </c>
      <c r="W118" s="38" t="s">
        <v>0</v>
      </c>
      <c r="X118" s="56">
        <v>0</v>
      </c>
      <c r="Y118" s="53">
        <f t="shared" si="10"/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229</v>
      </c>
      <c r="AG118" s="75"/>
      <c r="AJ118" s="79" t="s">
        <v>46</v>
      </c>
      <c r="AK118" s="79">
        <v>0</v>
      </c>
      <c r="BB118" s="188" t="s">
        <v>67</v>
      </c>
      <c r="BM118" s="75">
        <f t="shared" si="11"/>
        <v>0</v>
      </c>
      <c r="BN118" s="75">
        <f t="shared" si="12"/>
        <v>0</v>
      </c>
      <c r="BO118" s="75">
        <f t="shared" si="13"/>
        <v>0</v>
      </c>
      <c r="BP118" s="75">
        <f t="shared" si="14"/>
        <v>0</v>
      </c>
    </row>
    <row r="119" spans="1:68" hidden="1" x14ac:dyDescent="0.2">
      <c r="A119" s="678"/>
      <c r="B119" s="678"/>
      <c r="C119" s="678"/>
      <c r="D119" s="678"/>
      <c r="E119" s="678"/>
      <c r="F119" s="678"/>
      <c r="G119" s="678"/>
      <c r="H119" s="678"/>
      <c r="I119" s="678"/>
      <c r="J119" s="678"/>
      <c r="K119" s="678"/>
      <c r="L119" s="678"/>
      <c r="M119" s="678"/>
      <c r="N119" s="678"/>
      <c r="O119" s="679"/>
      <c r="P119" s="675" t="s">
        <v>40</v>
      </c>
      <c r="Q119" s="676"/>
      <c r="R119" s="676"/>
      <c r="S119" s="676"/>
      <c r="T119" s="676"/>
      <c r="U119" s="676"/>
      <c r="V119" s="677"/>
      <c r="W119" s="40" t="s">
        <v>39</v>
      </c>
      <c r="X119" s="41">
        <f>IFERROR(X112/H112,"0")+IFERROR(X113/H113,"0")+IFERROR(X114/H114,"0")+IFERROR(X115/H115,"0")+IFERROR(X116/H116,"0")+IFERROR(X117/H117,"0")+IFERROR(X118/H118,"0")</f>
        <v>0</v>
      </c>
      <c r="Y119" s="41">
        <f>IFERROR(Y112/H112,"0")+IFERROR(Y113/H113,"0")+IFERROR(Y114/H114,"0")+IFERROR(Y115/H115,"0")+IFERROR(Y116/H116,"0")+IFERROR(Y117/H117,"0")+IFERROR(Y118/H118,"0")</f>
        <v>0</v>
      </c>
      <c r="Z119" s="41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78"/>
      <c r="B120" s="678"/>
      <c r="C120" s="678"/>
      <c r="D120" s="678"/>
      <c r="E120" s="678"/>
      <c r="F120" s="678"/>
      <c r="G120" s="678"/>
      <c r="H120" s="678"/>
      <c r="I120" s="678"/>
      <c r="J120" s="678"/>
      <c r="K120" s="678"/>
      <c r="L120" s="678"/>
      <c r="M120" s="678"/>
      <c r="N120" s="678"/>
      <c r="O120" s="679"/>
      <c r="P120" s="675" t="s">
        <v>40</v>
      </c>
      <c r="Q120" s="676"/>
      <c r="R120" s="676"/>
      <c r="S120" s="676"/>
      <c r="T120" s="676"/>
      <c r="U120" s="676"/>
      <c r="V120" s="677"/>
      <c r="W120" s="40" t="s">
        <v>0</v>
      </c>
      <c r="X120" s="41">
        <f>IFERROR(SUM(X112:X118),"0")</f>
        <v>0</v>
      </c>
      <c r="Y120" s="41">
        <f>IFERROR(SUM(Y112:Y118),"0")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69" t="s">
        <v>86</v>
      </c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69"/>
      <c r="P121" s="669"/>
      <c r="Q121" s="669"/>
      <c r="R121" s="669"/>
      <c r="S121" s="669"/>
      <c r="T121" s="669"/>
      <c r="U121" s="669"/>
      <c r="V121" s="669"/>
      <c r="W121" s="669"/>
      <c r="X121" s="669"/>
      <c r="Y121" s="669"/>
      <c r="Z121" s="669"/>
      <c r="AA121" s="63"/>
      <c r="AB121" s="63"/>
      <c r="AC121" s="63"/>
    </row>
    <row r="122" spans="1:68" ht="27" hidden="1" customHeight="1" x14ac:dyDescent="0.25">
      <c r="A122" s="60" t="s">
        <v>240</v>
      </c>
      <c r="B122" s="60" t="s">
        <v>241</v>
      </c>
      <c r="C122" s="34">
        <v>4301051724</v>
      </c>
      <c r="D122" s="670">
        <v>4607091385168</v>
      </c>
      <c r="E122" s="670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134</v>
      </c>
      <c r="L122" s="35" t="s">
        <v>46</v>
      </c>
      <c r="M122" s="36" t="s">
        <v>97</v>
      </c>
      <c r="N122" s="36"/>
      <c r="O122" s="35">
        <v>45</v>
      </c>
      <c r="P122" s="73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72"/>
      <c r="R122" s="672"/>
      <c r="S122" s="672"/>
      <c r="T122" s="673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89" t="s">
        <v>242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243</v>
      </c>
      <c r="B123" s="60" t="s">
        <v>244</v>
      </c>
      <c r="C123" s="34">
        <v>4301051730</v>
      </c>
      <c r="D123" s="670">
        <v>4607091383256</v>
      </c>
      <c r="E123" s="670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72"/>
      <c r="R123" s="672"/>
      <c r="S123" s="672"/>
      <c r="T123" s="673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242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27" hidden="1" customHeight="1" x14ac:dyDescent="0.25">
      <c r="A124" s="60" t="s">
        <v>245</v>
      </c>
      <c r="B124" s="60" t="s">
        <v>246</v>
      </c>
      <c r="C124" s="34">
        <v>4301051721</v>
      </c>
      <c r="D124" s="670">
        <v>4607091385748</v>
      </c>
      <c r="E124" s="670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73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72"/>
      <c r="R124" s="672"/>
      <c r="S124" s="672"/>
      <c r="T124" s="673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242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t="16.5" hidden="1" customHeight="1" x14ac:dyDescent="0.25">
      <c r="A125" s="60" t="s">
        <v>247</v>
      </c>
      <c r="B125" s="60" t="s">
        <v>248</v>
      </c>
      <c r="C125" s="34">
        <v>4301051740</v>
      </c>
      <c r="D125" s="670">
        <v>4680115884533</v>
      </c>
      <c r="E125" s="670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91</v>
      </c>
      <c r="L125" s="35" t="s">
        <v>46</v>
      </c>
      <c r="M125" s="36" t="s">
        <v>90</v>
      </c>
      <c r="N125" s="36"/>
      <c r="O125" s="35">
        <v>45</v>
      </c>
      <c r="P125" s="73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7" t="s">
        <v>46</v>
      </c>
      <c r="V125" s="37" t="s">
        <v>46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249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idden="1" x14ac:dyDescent="0.2">
      <c r="A126" s="678"/>
      <c r="B126" s="678"/>
      <c r="C126" s="678"/>
      <c r="D126" s="678"/>
      <c r="E126" s="678"/>
      <c r="F126" s="678"/>
      <c r="G126" s="678"/>
      <c r="H126" s="678"/>
      <c r="I126" s="678"/>
      <c r="J126" s="678"/>
      <c r="K126" s="678"/>
      <c r="L126" s="678"/>
      <c r="M126" s="678"/>
      <c r="N126" s="678"/>
      <c r="O126" s="679"/>
      <c r="P126" s="675" t="s">
        <v>40</v>
      </c>
      <c r="Q126" s="676"/>
      <c r="R126" s="676"/>
      <c r="S126" s="676"/>
      <c r="T126" s="676"/>
      <c r="U126" s="676"/>
      <c r="V126" s="677"/>
      <c r="W126" s="40" t="s">
        <v>39</v>
      </c>
      <c r="X126" s="41">
        <f>IFERROR(X122/H122,"0")+IFERROR(X123/H123,"0")+IFERROR(X124/H124,"0")+IFERROR(X125/H125,"0")</f>
        <v>0</v>
      </c>
      <c r="Y126" s="41">
        <f>IFERROR(Y122/H122,"0")+IFERROR(Y123/H123,"0")+IFERROR(Y124/H124,"0")+IFERROR(Y125/H125,"0")</f>
        <v>0</v>
      </c>
      <c r="Z126" s="41">
        <f>IFERROR(IF(Z122="",0,Z122),"0")+IFERROR(IF(Z123="",0,Z123),"0")+IFERROR(IF(Z124="",0,Z124),"0")+IFERROR(IF(Z125="",0,Z125),"0")</f>
        <v>0</v>
      </c>
      <c r="AA126" s="64"/>
      <c r="AB126" s="64"/>
      <c r="AC126" s="64"/>
    </row>
    <row r="127" spans="1:68" hidden="1" x14ac:dyDescent="0.2">
      <c r="A127" s="678"/>
      <c r="B127" s="678"/>
      <c r="C127" s="678"/>
      <c r="D127" s="678"/>
      <c r="E127" s="678"/>
      <c r="F127" s="678"/>
      <c r="G127" s="678"/>
      <c r="H127" s="678"/>
      <c r="I127" s="678"/>
      <c r="J127" s="678"/>
      <c r="K127" s="678"/>
      <c r="L127" s="678"/>
      <c r="M127" s="678"/>
      <c r="N127" s="678"/>
      <c r="O127" s="679"/>
      <c r="P127" s="675" t="s">
        <v>40</v>
      </c>
      <c r="Q127" s="676"/>
      <c r="R127" s="676"/>
      <c r="S127" s="676"/>
      <c r="T127" s="676"/>
      <c r="U127" s="676"/>
      <c r="V127" s="677"/>
      <c r="W127" s="40" t="s">
        <v>0</v>
      </c>
      <c r="X127" s="41">
        <f>IFERROR(SUM(X122:X125),"0")</f>
        <v>0</v>
      </c>
      <c r="Y127" s="41">
        <f>IFERROR(SUM(Y122:Y125),"0")</f>
        <v>0</v>
      </c>
      <c r="Z127" s="40"/>
      <c r="AA127" s="64"/>
      <c r="AB127" s="64"/>
      <c r="AC127" s="64"/>
    </row>
    <row r="128" spans="1:68" ht="14.25" hidden="1" customHeight="1" x14ac:dyDescent="0.25">
      <c r="A128" s="669" t="s">
        <v>183</v>
      </c>
      <c r="B128" s="669"/>
      <c r="C128" s="669"/>
      <c r="D128" s="669"/>
      <c r="E128" s="669"/>
      <c r="F128" s="669"/>
      <c r="G128" s="669"/>
      <c r="H128" s="669"/>
      <c r="I128" s="669"/>
      <c r="J128" s="669"/>
      <c r="K128" s="669"/>
      <c r="L128" s="669"/>
      <c r="M128" s="669"/>
      <c r="N128" s="669"/>
      <c r="O128" s="669"/>
      <c r="P128" s="669"/>
      <c r="Q128" s="669"/>
      <c r="R128" s="669"/>
      <c r="S128" s="669"/>
      <c r="T128" s="669"/>
      <c r="U128" s="669"/>
      <c r="V128" s="669"/>
      <c r="W128" s="669"/>
      <c r="X128" s="669"/>
      <c r="Y128" s="669"/>
      <c r="Z128" s="669"/>
      <c r="AA128" s="63"/>
      <c r="AB128" s="63"/>
      <c r="AC128" s="63"/>
    </row>
    <row r="129" spans="1:68" ht="16.5" hidden="1" customHeight="1" x14ac:dyDescent="0.25">
      <c r="A129" s="60" t="s">
        <v>250</v>
      </c>
      <c r="B129" s="60" t="s">
        <v>251</v>
      </c>
      <c r="C129" s="34">
        <v>4301060317</v>
      </c>
      <c r="D129" s="670">
        <v>4680115880238</v>
      </c>
      <c r="E129" s="670"/>
      <c r="F129" s="59">
        <v>0.33</v>
      </c>
      <c r="G129" s="35">
        <v>6</v>
      </c>
      <c r="H129" s="59">
        <v>1.98</v>
      </c>
      <c r="I129" s="59">
        <v>2.238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40</v>
      </c>
      <c r="P129" s="73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72"/>
      <c r="R129" s="672"/>
      <c r="S129" s="672"/>
      <c r="T129" s="673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197" t="s">
        <v>252</v>
      </c>
      <c r="AG129" s="75"/>
      <c r="AJ129" s="79" t="s">
        <v>46</v>
      </c>
      <c r="AK129" s="79">
        <v>0</v>
      </c>
      <c r="BB129" s="198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78"/>
      <c r="B130" s="678"/>
      <c r="C130" s="678"/>
      <c r="D130" s="678"/>
      <c r="E130" s="678"/>
      <c r="F130" s="678"/>
      <c r="G130" s="678"/>
      <c r="H130" s="678"/>
      <c r="I130" s="678"/>
      <c r="J130" s="678"/>
      <c r="K130" s="678"/>
      <c r="L130" s="678"/>
      <c r="M130" s="678"/>
      <c r="N130" s="678"/>
      <c r="O130" s="679"/>
      <c r="P130" s="675" t="s">
        <v>40</v>
      </c>
      <c r="Q130" s="676"/>
      <c r="R130" s="676"/>
      <c r="S130" s="676"/>
      <c r="T130" s="676"/>
      <c r="U130" s="676"/>
      <c r="V130" s="677"/>
      <c r="W130" s="40" t="s">
        <v>39</v>
      </c>
      <c r="X130" s="41">
        <f>IFERROR(X129/H129,"0")</f>
        <v>0</v>
      </c>
      <c r="Y130" s="41">
        <f>IFERROR(Y129/H129,"0")</f>
        <v>0</v>
      </c>
      <c r="Z130" s="41">
        <f>IFERROR(IF(Z129="",0,Z129),"0")</f>
        <v>0</v>
      </c>
      <c r="AA130" s="64"/>
      <c r="AB130" s="64"/>
      <c r="AC130" s="64"/>
    </row>
    <row r="131" spans="1:68" hidden="1" x14ac:dyDescent="0.2">
      <c r="A131" s="678"/>
      <c r="B131" s="678"/>
      <c r="C131" s="678"/>
      <c r="D131" s="678"/>
      <c r="E131" s="678"/>
      <c r="F131" s="678"/>
      <c r="G131" s="678"/>
      <c r="H131" s="678"/>
      <c r="I131" s="678"/>
      <c r="J131" s="678"/>
      <c r="K131" s="678"/>
      <c r="L131" s="678"/>
      <c r="M131" s="678"/>
      <c r="N131" s="678"/>
      <c r="O131" s="679"/>
      <c r="P131" s="675" t="s">
        <v>40</v>
      </c>
      <c r="Q131" s="676"/>
      <c r="R131" s="676"/>
      <c r="S131" s="676"/>
      <c r="T131" s="676"/>
      <c r="U131" s="676"/>
      <c r="V131" s="677"/>
      <c r="W131" s="40" t="s">
        <v>0</v>
      </c>
      <c r="X131" s="41">
        <f>IFERROR(SUM(X129:X129),"0")</f>
        <v>0</v>
      </c>
      <c r="Y131" s="41">
        <f>IFERROR(SUM(Y129:Y129),"0")</f>
        <v>0</v>
      </c>
      <c r="Z131" s="40"/>
      <c r="AA131" s="64"/>
      <c r="AB131" s="64"/>
      <c r="AC131" s="64"/>
    </row>
    <row r="132" spans="1:68" ht="16.5" hidden="1" customHeight="1" x14ac:dyDescent="0.25">
      <c r="A132" s="668" t="s">
        <v>253</v>
      </c>
      <c r="B132" s="668"/>
      <c r="C132" s="668"/>
      <c r="D132" s="668"/>
      <c r="E132" s="668"/>
      <c r="F132" s="668"/>
      <c r="G132" s="668"/>
      <c r="H132" s="668"/>
      <c r="I132" s="668"/>
      <c r="J132" s="668"/>
      <c r="K132" s="668"/>
      <c r="L132" s="668"/>
      <c r="M132" s="668"/>
      <c r="N132" s="668"/>
      <c r="O132" s="668"/>
      <c r="P132" s="668"/>
      <c r="Q132" s="668"/>
      <c r="R132" s="668"/>
      <c r="S132" s="668"/>
      <c r="T132" s="668"/>
      <c r="U132" s="668"/>
      <c r="V132" s="668"/>
      <c r="W132" s="668"/>
      <c r="X132" s="668"/>
      <c r="Y132" s="668"/>
      <c r="Z132" s="668"/>
      <c r="AA132" s="62"/>
      <c r="AB132" s="62"/>
      <c r="AC132" s="62"/>
    </row>
    <row r="133" spans="1:68" ht="14.25" hidden="1" customHeight="1" x14ac:dyDescent="0.25">
      <c r="A133" s="669" t="s">
        <v>86</v>
      </c>
      <c r="B133" s="669"/>
      <c r="C133" s="669"/>
      <c r="D133" s="669"/>
      <c r="E133" s="669"/>
      <c r="F133" s="669"/>
      <c r="G133" s="669"/>
      <c r="H133" s="669"/>
      <c r="I133" s="669"/>
      <c r="J133" s="669"/>
      <c r="K133" s="669"/>
      <c r="L133" s="669"/>
      <c r="M133" s="669"/>
      <c r="N133" s="669"/>
      <c r="O133" s="669"/>
      <c r="P133" s="669"/>
      <c r="Q133" s="669"/>
      <c r="R133" s="669"/>
      <c r="S133" s="669"/>
      <c r="T133" s="669"/>
      <c r="U133" s="669"/>
      <c r="V133" s="669"/>
      <c r="W133" s="669"/>
      <c r="X133" s="669"/>
      <c r="Y133" s="669"/>
      <c r="Z133" s="669"/>
      <c r="AA133" s="63"/>
      <c r="AB133" s="63"/>
      <c r="AC133" s="63"/>
    </row>
    <row r="134" spans="1:68" ht="27" hidden="1" customHeight="1" x14ac:dyDescent="0.25">
      <c r="A134" s="60" t="s">
        <v>254</v>
      </c>
      <c r="B134" s="60" t="s">
        <v>255</v>
      </c>
      <c r="C134" s="34">
        <v>4301052174</v>
      </c>
      <c r="D134" s="670">
        <v>4680115888203</v>
      </c>
      <c r="E134" s="670"/>
      <c r="F134" s="59">
        <v>0.22</v>
      </c>
      <c r="G134" s="35">
        <v>9</v>
      </c>
      <c r="H134" s="59">
        <v>1.98</v>
      </c>
      <c r="I134" s="59">
        <v>2.2589999999999999</v>
      </c>
      <c r="J134" s="35">
        <v>182</v>
      </c>
      <c r="K134" s="35" t="s">
        <v>91</v>
      </c>
      <c r="L134" s="35" t="s">
        <v>46</v>
      </c>
      <c r="M134" s="36" t="s">
        <v>97</v>
      </c>
      <c r="N134" s="36"/>
      <c r="O134" s="35">
        <v>40</v>
      </c>
      <c r="P134" s="737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34" s="672"/>
      <c r="R134" s="672"/>
      <c r="S134" s="672"/>
      <c r="T134" s="673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256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257</v>
      </c>
      <c r="B135" s="60" t="s">
        <v>258</v>
      </c>
      <c r="C135" s="34">
        <v>4301052172</v>
      </c>
      <c r="D135" s="670">
        <v>4680115888180</v>
      </c>
      <c r="E135" s="670"/>
      <c r="F135" s="59">
        <v>0.22</v>
      </c>
      <c r="G135" s="35">
        <v>9</v>
      </c>
      <c r="H135" s="59">
        <v>1.98</v>
      </c>
      <c r="I135" s="59">
        <v>2.2589999999999999</v>
      </c>
      <c r="J135" s="35">
        <v>182</v>
      </c>
      <c r="K135" s="35" t="s">
        <v>91</v>
      </c>
      <c r="L135" s="35" t="s">
        <v>46</v>
      </c>
      <c r="M135" s="36" t="s">
        <v>97</v>
      </c>
      <c r="N135" s="36"/>
      <c r="O135" s="35">
        <v>40</v>
      </c>
      <c r="P135" s="73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35" s="672"/>
      <c r="R135" s="672"/>
      <c r="S135" s="672"/>
      <c r="T135" s="673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259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260</v>
      </c>
      <c r="B136" s="60" t="s">
        <v>261</v>
      </c>
      <c r="C136" s="34">
        <v>4301052173</v>
      </c>
      <c r="D136" s="670">
        <v>4680115888197</v>
      </c>
      <c r="E136" s="670"/>
      <c r="F136" s="59">
        <v>0.22</v>
      </c>
      <c r="G136" s="35">
        <v>9</v>
      </c>
      <c r="H136" s="59">
        <v>1.98</v>
      </c>
      <c r="I136" s="59">
        <v>2.2589999999999999</v>
      </c>
      <c r="J136" s="35">
        <v>182</v>
      </c>
      <c r="K136" s="35" t="s">
        <v>91</v>
      </c>
      <c r="L136" s="35" t="s">
        <v>46</v>
      </c>
      <c r="M136" s="36" t="s">
        <v>97</v>
      </c>
      <c r="N136" s="36"/>
      <c r="O136" s="35">
        <v>40</v>
      </c>
      <c r="P136" s="73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36" s="672"/>
      <c r="R136" s="672"/>
      <c r="S136" s="672"/>
      <c r="T136" s="673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262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263</v>
      </c>
      <c r="B137" s="60" t="s">
        <v>264</v>
      </c>
      <c r="C137" s="34">
        <v>4301052175</v>
      </c>
      <c r="D137" s="670">
        <v>4680115888210</v>
      </c>
      <c r="E137" s="670"/>
      <c r="F137" s="59">
        <v>0.22</v>
      </c>
      <c r="G137" s="35">
        <v>9</v>
      </c>
      <c r="H137" s="59">
        <v>1.98</v>
      </c>
      <c r="I137" s="59">
        <v>2.2589999999999999</v>
      </c>
      <c r="J137" s="35">
        <v>182</v>
      </c>
      <c r="K137" s="35" t="s">
        <v>91</v>
      </c>
      <c r="L137" s="35" t="s">
        <v>46</v>
      </c>
      <c r="M137" s="36" t="s">
        <v>97</v>
      </c>
      <c r="N137" s="36"/>
      <c r="O137" s="35">
        <v>40</v>
      </c>
      <c r="P137" s="74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37" s="672"/>
      <c r="R137" s="672"/>
      <c r="S137" s="672"/>
      <c r="T137" s="673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265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78"/>
      <c r="B138" s="678"/>
      <c r="C138" s="678"/>
      <c r="D138" s="678"/>
      <c r="E138" s="678"/>
      <c r="F138" s="678"/>
      <c r="G138" s="678"/>
      <c r="H138" s="678"/>
      <c r="I138" s="678"/>
      <c r="J138" s="678"/>
      <c r="K138" s="678"/>
      <c r="L138" s="678"/>
      <c r="M138" s="678"/>
      <c r="N138" s="678"/>
      <c r="O138" s="679"/>
      <c r="P138" s="675" t="s">
        <v>40</v>
      </c>
      <c r="Q138" s="676"/>
      <c r="R138" s="676"/>
      <c r="S138" s="676"/>
      <c r="T138" s="676"/>
      <c r="U138" s="676"/>
      <c r="V138" s="677"/>
      <c r="W138" s="40" t="s">
        <v>39</v>
      </c>
      <c r="X138" s="41">
        <f>IFERROR(X134/H134,"0")+IFERROR(X135/H135,"0")+IFERROR(X136/H136,"0")+IFERROR(X137/H137,"0")</f>
        <v>0</v>
      </c>
      <c r="Y138" s="41">
        <f>IFERROR(Y134/H134,"0")+IFERROR(Y135/H135,"0")+IFERROR(Y136/H136,"0")+IFERROR(Y137/H137,"0")</f>
        <v>0</v>
      </c>
      <c r="Z138" s="41">
        <f>IFERROR(IF(Z134="",0,Z134),"0")+IFERROR(IF(Z135="",0,Z135),"0")+IFERROR(IF(Z136="",0,Z136),"0")+IFERROR(IF(Z137="",0,Z137),"0")</f>
        <v>0</v>
      </c>
      <c r="AA138" s="64"/>
      <c r="AB138" s="64"/>
      <c r="AC138" s="64"/>
    </row>
    <row r="139" spans="1:68" hidden="1" x14ac:dyDescent="0.2">
      <c r="A139" s="678"/>
      <c r="B139" s="678"/>
      <c r="C139" s="678"/>
      <c r="D139" s="678"/>
      <c r="E139" s="678"/>
      <c r="F139" s="678"/>
      <c r="G139" s="678"/>
      <c r="H139" s="678"/>
      <c r="I139" s="678"/>
      <c r="J139" s="678"/>
      <c r="K139" s="678"/>
      <c r="L139" s="678"/>
      <c r="M139" s="678"/>
      <c r="N139" s="678"/>
      <c r="O139" s="679"/>
      <c r="P139" s="675" t="s">
        <v>40</v>
      </c>
      <c r="Q139" s="676"/>
      <c r="R139" s="676"/>
      <c r="S139" s="676"/>
      <c r="T139" s="676"/>
      <c r="U139" s="676"/>
      <c r="V139" s="677"/>
      <c r="W139" s="40" t="s">
        <v>0</v>
      </c>
      <c r="X139" s="41">
        <f>IFERROR(SUM(X134:X137),"0")</f>
        <v>0</v>
      </c>
      <c r="Y139" s="41">
        <f>IFERROR(SUM(Y134:Y137),"0")</f>
        <v>0</v>
      </c>
      <c r="Z139" s="40"/>
      <c r="AA139" s="64"/>
      <c r="AB139" s="64"/>
      <c r="AC139" s="64"/>
    </row>
    <row r="140" spans="1:68" ht="16.5" hidden="1" customHeight="1" x14ac:dyDescent="0.25">
      <c r="A140" s="668" t="s">
        <v>127</v>
      </c>
      <c r="B140" s="668"/>
      <c r="C140" s="668"/>
      <c r="D140" s="668"/>
      <c r="E140" s="668"/>
      <c r="F140" s="668"/>
      <c r="G140" s="668"/>
      <c r="H140" s="668"/>
      <c r="I140" s="668"/>
      <c r="J140" s="668"/>
      <c r="K140" s="668"/>
      <c r="L140" s="668"/>
      <c r="M140" s="668"/>
      <c r="N140" s="668"/>
      <c r="O140" s="668"/>
      <c r="P140" s="668"/>
      <c r="Q140" s="668"/>
      <c r="R140" s="668"/>
      <c r="S140" s="668"/>
      <c r="T140" s="668"/>
      <c r="U140" s="668"/>
      <c r="V140" s="668"/>
      <c r="W140" s="668"/>
      <c r="X140" s="668"/>
      <c r="Y140" s="668"/>
      <c r="Z140" s="668"/>
      <c r="AA140" s="62"/>
      <c r="AB140" s="62"/>
      <c r="AC140" s="62"/>
    </row>
    <row r="141" spans="1:68" ht="14.25" hidden="1" customHeight="1" x14ac:dyDescent="0.25">
      <c r="A141" s="669" t="s">
        <v>129</v>
      </c>
      <c r="B141" s="669"/>
      <c r="C141" s="669"/>
      <c r="D141" s="669"/>
      <c r="E141" s="669"/>
      <c r="F141" s="669"/>
      <c r="G141" s="669"/>
      <c r="H141" s="669"/>
      <c r="I141" s="669"/>
      <c r="J141" s="669"/>
      <c r="K141" s="669"/>
      <c r="L141" s="669"/>
      <c r="M141" s="669"/>
      <c r="N141" s="669"/>
      <c r="O141" s="669"/>
      <c r="P141" s="669"/>
      <c r="Q141" s="669"/>
      <c r="R141" s="669"/>
      <c r="S141" s="669"/>
      <c r="T141" s="669"/>
      <c r="U141" s="669"/>
      <c r="V141" s="669"/>
      <c r="W141" s="669"/>
      <c r="X141" s="669"/>
      <c r="Y141" s="669"/>
      <c r="Z141" s="669"/>
      <c r="AA141" s="63"/>
      <c r="AB141" s="63"/>
      <c r="AC141" s="63"/>
    </row>
    <row r="142" spans="1:68" ht="27" hidden="1" customHeight="1" x14ac:dyDescent="0.25">
      <c r="A142" s="60" t="s">
        <v>266</v>
      </c>
      <c r="B142" s="60" t="s">
        <v>267</v>
      </c>
      <c r="C142" s="34">
        <v>4301012244</v>
      </c>
      <c r="D142" s="670">
        <v>4680115887374</v>
      </c>
      <c r="E142" s="670"/>
      <c r="F142" s="59">
        <v>1.6</v>
      </c>
      <c r="G142" s="35">
        <v>8</v>
      </c>
      <c r="H142" s="59">
        <v>12.8</v>
      </c>
      <c r="I142" s="59">
        <v>13.21</v>
      </c>
      <c r="J142" s="35">
        <v>64</v>
      </c>
      <c r="K142" s="35" t="s">
        <v>134</v>
      </c>
      <c r="L142" s="35" t="s">
        <v>46</v>
      </c>
      <c r="M142" s="36" t="s">
        <v>133</v>
      </c>
      <c r="N142" s="36"/>
      <c r="O142" s="35">
        <v>55</v>
      </c>
      <c r="P142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672"/>
      <c r="R142" s="672"/>
      <c r="S142" s="672"/>
      <c r="T142" s="673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IFERROR(IF(Y142=0,"",ROUNDUP(Y142/H142,0)*0.01898),"")</f>
        <v/>
      </c>
      <c r="AA142" s="65" t="s">
        <v>46</v>
      </c>
      <c r="AB142" s="66" t="s">
        <v>46</v>
      </c>
      <c r="AC142" s="207" t="s">
        <v>268</v>
      </c>
      <c r="AG142" s="75"/>
      <c r="AJ142" s="79" t="s">
        <v>46</v>
      </c>
      <c r="AK142" s="79">
        <v>0</v>
      </c>
      <c r="BB142" s="208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hidden="1" customHeight="1" x14ac:dyDescent="0.25">
      <c r="A143" s="60" t="s">
        <v>269</v>
      </c>
      <c r="B143" s="60" t="s">
        <v>270</v>
      </c>
      <c r="C143" s="34">
        <v>4301011705</v>
      </c>
      <c r="D143" s="670">
        <v>4607091384604</v>
      </c>
      <c r="E143" s="670"/>
      <c r="F143" s="59">
        <v>0.4</v>
      </c>
      <c r="G143" s="35">
        <v>10</v>
      </c>
      <c r="H143" s="59">
        <v>4</v>
      </c>
      <c r="I143" s="59">
        <v>4.1900000000000004</v>
      </c>
      <c r="J143" s="35">
        <v>132</v>
      </c>
      <c r="K143" s="35" t="s">
        <v>141</v>
      </c>
      <c r="L143" s="35" t="s">
        <v>46</v>
      </c>
      <c r="M143" s="36" t="s">
        <v>133</v>
      </c>
      <c r="N143" s="36"/>
      <c r="O143" s="35">
        <v>50</v>
      </c>
      <c r="P143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672"/>
      <c r="R143" s="672"/>
      <c r="S143" s="672"/>
      <c r="T143" s="673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IFERROR(IF(Y143=0,"",ROUNDUP(Y143/H143,0)*0.00902),"")</f>
        <v/>
      </c>
      <c r="AA143" s="65" t="s">
        <v>46</v>
      </c>
      <c r="AB143" s="66" t="s">
        <v>46</v>
      </c>
      <c r="AC143" s="209" t="s">
        <v>271</v>
      </c>
      <c r="AG143" s="75"/>
      <c r="AJ143" s="79" t="s">
        <v>46</v>
      </c>
      <c r="AK143" s="79">
        <v>0</v>
      </c>
      <c r="BB143" s="210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78"/>
      <c r="B144" s="678"/>
      <c r="C144" s="678"/>
      <c r="D144" s="678"/>
      <c r="E144" s="678"/>
      <c r="F144" s="678"/>
      <c r="G144" s="678"/>
      <c r="H144" s="678"/>
      <c r="I144" s="678"/>
      <c r="J144" s="678"/>
      <c r="K144" s="678"/>
      <c r="L144" s="678"/>
      <c r="M144" s="678"/>
      <c r="N144" s="678"/>
      <c r="O144" s="679"/>
      <c r="P144" s="675" t="s">
        <v>40</v>
      </c>
      <c r="Q144" s="676"/>
      <c r="R144" s="676"/>
      <c r="S144" s="676"/>
      <c r="T144" s="676"/>
      <c r="U144" s="676"/>
      <c r="V144" s="677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78"/>
      <c r="B145" s="678"/>
      <c r="C145" s="678"/>
      <c r="D145" s="678"/>
      <c r="E145" s="678"/>
      <c r="F145" s="678"/>
      <c r="G145" s="678"/>
      <c r="H145" s="678"/>
      <c r="I145" s="678"/>
      <c r="J145" s="678"/>
      <c r="K145" s="678"/>
      <c r="L145" s="678"/>
      <c r="M145" s="678"/>
      <c r="N145" s="678"/>
      <c r="O145" s="679"/>
      <c r="P145" s="675" t="s">
        <v>40</v>
      </c>
      <c r="Q145" s="676"/>
      <c r="R145" s="676"/>
      <c r="S145" s="676"/>
      <c r="T145" s="676"/>
      <c r="U145" s="676"/>
      <c r="V145" s="677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hidden="1" customHeight="1" x14ac:dyDescent="0.25">
      <c r="A146" s="669" t="s">
        <v>166</v>
      </c>
      <c r="B146" s="669"/>
      <c r="C146" s="669"/>
      <c r="D146" s="669"/>
      <c r="E146" s="669"/>
      <c r="F146" s="669"/>
      <c r="G146" s="669"/>
      <c r="H146" s="669"/>
      <c r="I146" s="669"/>
      <c r="J146" s="669"/>
      <c r="K146" s="669"/>
      <c r="L146" s="669"/>
      <c r="M146" s="669"/>
      <c r="N146" s="669"/>
      <c r="O146" s="669"/>
      <c r="P146" s="669"/>
      <c r="Q146" s="669"/>
      <c r="R146" s="669"/>
      <c r="S146" s="669"/>
      <c r="T146" s="669"/>
      <c r="U146" s="669"/>
      <c r="V146" s="669"/>
      <c r="W146" s="669"/>
      <c r="X146" s="669"/>
      <c r="Y146" s="669"/>
      <c r="Z146" s="669"/>
      <c r="AA146" s="63"/>
      <c r="AB146" s="63"/>
      <c r="AC146" s="63"/>
    </row>
    <row r="147" spans="1:68" ht="16.5" hidden="1" customHeight="1" x14ac:dyDescent="0.25">
      <c r="A147" s="60" t="s">
        <v>272</v>
      </c>
      <c r="B147" s="60" t="s">
        <v>273</v>
      </c>
      <c r="C147" s="34">
        <v>4301020410</v>
      </c>
      <c r="D147" s="670">
        <v>4680115887695</v>
      </c>
      <c r="E147" s="670"/>
      <c r="F147" s="59">
        <v>0.12</v>
      </c>
      <c r="G147" s="35">
        <v>6</v>
      </c>
      <c r="H147" s="59">
        <v>0.72</v>
      </c>
      <c r="I147" s="59">
        <v>0.85</v>
      </c>
      <c r="J147" s="35">
        <v>252</v>
      </c>
      <c r="K147" s="35" t="s">
        <v>82</v>
      </c>
      <c r="L147" s="35" t="s">
        <v>46</v>
      </c>
      <c r="M147" s="36" t="s">
        <v>81</v>
      </c>
      <c r="N147" s="36"/>
      <c r="O147" s="35">
        <v>30</v>
      </c>
      <c r="P147" s="74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47" s="672"/>
      <c r="R147" s="672"/>
      <c r="S147" s="672"/>
      <c r="T147" s="673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IFERROR(IF(Y147=0,"",ROUNDUP(Y147/H147,0)*0.00556),"")</f>
        <v/>
      </c>
      <c r="AA147" s="65" t="s">
        <v>46</v>
      </c>
      <c r="AB147" s="66" t="s">
        <v>46</v>
      </c>
      <c r="AC147" s="211" t="s">
        <v>274</v>
      </c>
      <c r="AG147" s="75"/>
      <c r="AJ147" s="79" t="s">
        <v>46</v>
      </c>
      <c r="AK147" s="79">
        <v>0</v>
      </c>
      <c r="BB147" s="212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78"/>
      <c r="B148" s="678"/>
      <c r="C148" s="678"/>
      <c r="D148" s="678"/>
      <c r="E148" s="678"/>
      <c r="F148" s="678"/>
      <c r="G148" s="678"/>
      <c r="H148" s="678"/>
      <c r="I148" s="678"/>
      <c r="J148" s="678"/>
      <c r="K148" s="678"/>
      <c r="L148" s="678"/>
      <c r="M148" s="678"/>
      <c r="N148" s="678"/>
      <c r="O148" s="679"/>
      <c r="P148" s="675" t="s">
        <v>40</v>
      </c>
      <c r="Q148" s="676"/>
      <c r="R148" s="676"/>
      <c r="S148" s="676"/>
      <c r="T148" s="676"/>
      <c r="U148" s="676"/>
      <c r="V148" s="677"/>
      <c r="W148" s="40" t="s">
        <v>39</v>
      </c>
      <c r="X148" s="41">
        <f>IFERROR(X147/H147,"0")</f>
        <v>0</v>
      </c>
      <c r="Y148" s="41">
        <f>IFERROR(Y147/H147,"0")</f>
        <v>0</v>
      </c>
      <c r="Z148" s="41">
        <f>IFERROR(IF(Z147="",0,Z147),"0")</f>
        <v>0</v>
      </c>
      <c r="AA148" s="64"/>
      <c r="AB148" s="64"/>
      <c r="AC148" s="64"/>
    </row>
    <row r="149" spans="1:68" hidden="1" x14ac:dyDescent="0.2">
      <c r="A149" s="678"/>
      <c r="B149" s="678"/>
      <c r="C149" s="678"/>
      <c r="D149" s="678"/>
      <c r="E149" s="678"/>
      <c r="F149" s="678"/>
      <c r="G149" s="678"/>
      <c r="H149" s="678"/>
      <c r="I149" s="678"/>
      <c r="J149" s="678"/>
      <c r="K149" s="678"/>
      <c r="L149" s="678"/>
      <c r="M149" s="678"/>
      <c r="N149" s="678"/>
      <c r="O149" s="679"/>
      <c r="P149" s="675" t="s">
        <v>40</v>
      </c>
      <c r="Q149" s="676"/>
      <c r="R149" s="676"/>
      <c r="S149" s="676"/>
      <c r="T149" s="676"/>
      <c r="U149" s="676"/>
      <c r="V149" s="677"/>
      <c r="W149" s="40" t="s">
        <v>0</v>
      </c>
      <c r="X149" s="41">
        <f>IFERROR(SUM(X147:X147),"0")</f>
        <v>0</v>
      </c>
      <c r="Y149" s="41">
        <f>IFERROR(SUM(Y147:Y147),"0")</f>
        <v>0</v>
      </c>
      <c r="Z149" s="40"/>
      <c r="AA149" s="64"/>
      <c r="AB149" s="64"/>
      <c r="AC149" s="64"/>
    </row>
    <row r="150" spans="1:68" ht="14.25" hidden="1" customHeight="1" x14ac:dyDescent="0.25">
      <c r="A150" s="669" t="s">
        <v>77</v>
      </c>
      <c r="B150" s="669"/>
      <c r="C150" s="669"/>
      <c r="D150" s="669"/>
      <c r="E150" s="669"/>
      <c r="F150" s="669"/>
      <c r="G150" s="669"/>
      <c r="H150" s="669"/>
      <c r="I150" s="669"/>
      <c r="J150" s="669"/>
      <c r="K150" s="669"/>
      <c r="L150" s="669"/>
      <c r="M150" s="669"/>
      <c r="N150" s="669"/>
      <c r="O150" s="669"/>
      <c r="P150" s="669"/>
      <c r="Q150" s="669"/>
      <c r="R150" s="669"/>
      <c r="S150" s="669"/>
      <c r="T150" s="669"/>
      <c r="U150" s="669"/>
      <c r="V150" s="669"/>
      <c r="W150" s="669"/>
      <c r="X150" s="669"/>
      <c r="Y150" s="669"/>
      <c r="Z150" s="669"/>
      <c r="AA150" s="63"/>
      <c r="AB150" s="63"/>
      <c r="AC150" s="63"/>
    </row>
    <row r="151" spans="1:68" ht="27" customHeight="1" x14ac:dyDescent="0.25">
      <c r="A151" s="60" t="s">
        <v>275</v>
      </c>
      <c r="B151" s="60" t="s">
        <v>276</v>
      </c>
      <c r="C151" s="34">
        <v>4301031496</v>
      </c>
      <c r="D151" s="670">
        <v>4680115887428</v>
      </c>
      <c r="E151" s="670"/>
      <c r="F151" s="59">
        <v>0.7</v>
      </c>
      <c r="G151" s="35">
        <v>5</v>
      </c>
      <c r="H151" s="59">
        <v>3.5</v>
      </c>
      <c r="I151" s="59">
        <v>3.69</v>
      </c>
      <c r="J151" s="35">
        <v>132</v>
      </c>
      <c r="K151" s="35" t="s">
        <v>141</v>
      </c>
      <c r="L151" s="35" t="s">
        <v>46</v>
      </c>
      <c r="M151" s="36" t="s">
        <v>81</v>
      </c>
      <c r="N151" s="36"/>
      <c r="O151" s="35">
        <v>40</v>
      </c>
      <c r="P151" s="74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51" s="672"/>
      <c r="R151" s="672"/>
      <c r="S151" s="672"/>
      <c r="T151" s="673"/>
      <c r="U151" s="37" t="s">
        <v>46</v>
      </c>
      <c r="V151" s="37" t="s">
        <v>46</v>
      </c>
      <c r="W151" s="38" t="s">
        <v>0</v>
      </c>
      <c r="X151" s="56">
        <v>10</v>
      </c>
      <c r="Y151" s="53">
        <f t="shared" ref="Y151:Y161" si="15">IFERROR(IF(X151="",0,CEILING((X151/$H151),1)*$H151),"")</f>
        <v>10.5</v>
      </c>
      <c r="Z151" s="39">
        <f>IFERROR(IF(Y151=0,"",ROUNDUP(Y151/H151,0)*0.00902),"")</f>
        <v>2.7060000000000001E-2</v>
      </c>
      <c r="AA151" s="65" t="s">
        <v>46</v>
      </c>
      <c r="AB151" s="66" t="s">
        <v>46</v>
      </c>
      <c r="AC151" s="213" t="s">
        <v>277</v>
      </c>
      <c r="AG151" s="75"/>
      <c r="AJ151" s="79" t="s">
        <v>46</v>
      </c>
      <c r="AK151" s="79">
        <v>0</v>
      </c>
      <c r="BB151" s="214" t="s">
        <v>67</v>
      </c>
      <c r="BM151" s="75">
        <f t="shared" ref="BM151:BM161" si="16">IFERROR(X151*I151/H151,"0")</f>
        <v>10.542857142857143</v>
      </c>
      <c r="BN151" s="75">
        <f t="shared" ref="BN151:BN161" si="17">IFERROR(Y151*I151/H151,"0")</f>
        <v>11.069999999999999</v>
      </c>
      <c r="BO151" s="75">
        <f t="shared" ref="BO151:BO161" si="18">IFERROR(1/J151*(X151/H151),"0")</f>
        <v>2.1645021645021648E-2</v>
      </c>
      <c r="BP151" s="75">
        <f t="shared" ref="BP151:BP161" si="19">IFERROR(1/J151*(Y151/H151),"0")</f>
        <v>2.2727272727272728E-2</v>
      </c>
    </row>
    <row r="152" spans="1:68" ht="27" hidden="1" customHeight="1" x14ac:dyDescent="0.25">
      <c r="A152" s="60" t="s">
        <v>278</v>
      </c>
      <c r="B152" s="60" t="s">
        <v>279</v>
      </c>
      <c r="C152" s="34">
        <v>4301030963</v>
      </c>
      <c r="D152" s="670">
        <v>4607091382426</v>
      </c>
      <c r="E152" s="670"/>
      <c r="F152" s="59">
        <v>0.9</v>
      </c>
      <c r="G152" s="35">
        <v>10</v>
      </c>
      <c r="H152" s="59">
        <v>9</v>
      </c>
      <c r="I152" s="59">
        <v>9.56</v>
      </c>
      <c r="J152" s="35">
        <v>64</v>
      </c>
      <c r="K152" s="35" t="s">
        <v>134</v>
      </c>
      <c r="L152" s="35" t="s">
        <v>46</v>
      </c>
      <c r="M152" s="36" t="s">
        <v>81</v>
      </c>
      <c r="N152" s="36"/>
      <c r="O152" s="35">
        <v>40</v>
      </c>
      <c r="P152" s="74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672"/>
      <c r="R152" s="672"/>
      <c r="S152" s="672"/>
      <c r="T152" s="673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>IFERROR(IF(Y152=0,"",ROUNDUP(Y152/H152,0)*0.01898),"")</f>
        <v/>
      </c>
      <c r="AA152" s="65" t="s">
        <v>46</v>
      </c>
      <c r="AB152" s="66" t="s">
        <v>46</v>
      </c>
      <c r="AC152" s="215" t="s">
        <v>280</v>
      </c>
      <c r="AG152" s="75"/>
      <c r="AJ152" s="79" t="s">
        <v>46</v>
      </c>
      <c r="AK152" s="79">
        <v>0</v>
      </c>
      <c r="BB152" s="216" t="s">
        <v>67</v>
      </c>
      <c r="BM152" s="75">
        <f t="shared" si="16"/>
        <v>0</v>
      </c>
      <c r="BN152" s="75">
        <f t="shared" si="17"/>
        <v>0</v>
      </c>
      <c r="BO152" s="75">
        <f t="shared" si="18"/>
        <v>0</v>
      </c>
      <c r="BP152" s="75">
        <f t="shared" si="19"/>
        <v>0</v>
      </c>
    </row>
    <row r="153" spans="1:68" ht="27" customHeight="1" x14ac:dyDescent="0.25">
      <c r="A153" s="60" t="s">
        <v>281</v>
      </c>
      <c r="B153" s="60" t="s">
        <v>282</v>
      </c>
      <c r="C153" s="34">
        <v>4301031498</v>
      </c>
      <c r="D153" s="670">
        <v>4680115887398</v>
      </c>
      <c r="E153" s="670"/>
      <c r="F153" s="59">
        <v>0.7</v>
      </c>
      <c r="G153" s="35">
        <v>5</v>
      </c>
      <c r="H153" s="59">
        <v>3.5</v>
      </c>
      <c r="I153" s="59">
        <v>3.69</v>
      </c>
      <c r="J153" s="35">
        <v>132</v>
      </c>
      <c r="K153" s="35" t="s">
        <v>141</v>
      </c>
      <c r="L153" s="35" t="s">
        <v>46</v>
      </c>
      <c r="M153" s="36" t="s">
        <v>81</v>
      </c>
      <c r="N153" s="36"/>
      <c r="O153" s="35">
        <v>40</v>
      </c>
      <c r="P153" s="74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672"/>
      <c r="R153" s="672"/>
      <c r="S153" s="672"/>
      <c r="T153" s="673"/>
      <c r="U153" s="37" t="s">
        <v>46</v>
      </c>
      <c r="V153" s="37" t="s">
        <v>46</v>
      </c>
      <c r="W153" s="38" t="s">
        <v>0</v>
      </c>
      <c r="X153" s="56">
        <v>10</v>
      </c>
      <c r="Y153" s="53">
        <f t="shared" si="15"/>
        <v>10.5</v>
      </c>
      <c r="Z153" s="39">
        <f>IFERROR(IF(Y153=0,"",ROUNDUP(Y153/H153,0)*0.00902),"")</f>
        <v>2.7060000000000001E-2</v>
      </c>
      <c r="AA153" s="65" t="s">
        <v>46</v>
      </c>
      <c r="AB153" s="66" t="s">
        <v>46</v>
      </c>
      <c r="AC153" s="217" t="s">
        <v>283</v>
      </c>
      <c r="AG153" s="75"/>
      <c r="AJ153" s="79" t="s">
        <v>46</v>
      </c>
      <c r="AK153" s="79">
        <v>0</v>
      </c>
      <c r="BB153" s="218" t="s">
        <v>67</v>
      </c>
      <c r="BM153" s="75">
        <f t="shared" si="16"/>
        <v>10.542857142857143</v>
      </c>
      <c r="BN153" s="75">
        <f t="shared" si="17"/>
        <v>11.069999999999999</v>
      </c>
      <c r="BO153" s="75">
        <f t="shared" si="18"/>
        <v>2.1645021645021648E-2</v>
      </c>
      <c r="BP153" s="75">
        <f t="shared" si="19"/>
        <v>2.2727272727272728E-2</v>
      </c>
    </row>
    <row r="154" spans="1:68" ht="27" customHeight="1" x14ac:dyDescent="0.25">
      <c r="A154" s="60" t="s">
        <v>284</v>
      </c>
      <c r="B154" s="60" t="s">
        <v>285</v>
      </c>
      <c r="C154" s="34">
        <v>4301031497</v>
      </c>
      <c r="D154" s="670">
        <v>4680115887336</v>
      </c>
      <c r="E154" s="670"/>
      <c r="F154" s="59">
        <v>0.7</v>
      </c>
      <c r="G154" s="35">
        <v>5</v>
      </c>
      <c r="H154" s="59">
        <v>3.5</v>
      </c>
      <c r="I154" s="59">
        <v>3.69</v>
      </c>
      <c r="J154" s="35">
        <v>132</v>
      </c>
      <c r="K154" s="35" t="s">
        <v>141</v>
      </c>
      <c r="L154" s="35" t="s">
        <v>46</v>
      </c>
      <c r="M154" s="36" t="s">
        <v>81</v>
      </c>
      <c r="N154" s="36"/>
      <c r="O154" s="35">
        <v>40</v>
      </c>
      <c r="P154" s="74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4" s="672"/>
      <c r="R154" s="672"/>
      <c r="S154" s="672"/>
      <c r="T154" s="673"/>
      <c r="U154" s="37" t="s">
        <v>46</v>
      </c>
      <c r="V154" s="37" t="s">
        <v>46</v>
      </c>
      <c r="W154" s="38" t="s">
        <v>0</v>
      </c>
      <c r="X154" s="56">
        <v>10</v>
      </c>
      <c r="Y154" s="53">
        <f t="shared" si="15"/>
        <v>10.5</v>
      </c>
      <c r="Z154" s="39">
        <f>IFERROR(IF(Y154=0,"",ROUNDUP(Y154/H154,0)*0.00902),"")</f>
        <v>2.7060000000000001E-2</v>
      </c>
      <c r="AA154" s="65" t="s">
        <v>46</v>
      </c>
      <c r="AB154" s="66" t="s">
        <v>46</v>
      </c>
      <c r="AC154" s="219" t="s">
        <v>286</v>
      </c>
      <c r="AG154" s="75"/>
      <c r="AJ154" s="79" t="s">
        <v>46</v>
      </c>
      <c r="AK154" s="79">
        <v>0</v>
      </c>
      <c r="BB154" s="220" t="s">
        <v>67</v>
      </c>
      <c r="BM154" s="75">
        <f t="shared" si="16"/>
        <v>10.542857142857143</v>
      </c>
      <c r="BN154" s="75">
        <f t="shared" si="17"/>
        <v>11.069999999999999</v>
      </c>
      <c r="BO154" s="75">
        <f t="shared" si="18"/>
        <v>2.1645021645021648E-2</v>
      </c>
      <c r="BP154" s="75">
        <f t="shared" si="19"/>
        <v>2.2727272727272728E-2</v>
      </c>
    </row>
    <row r="155" spans="1:68" ht="16.5" hidden="1" customHeight="1" x14ac:dyDescent="0.25">
      <c r="A155" s="60" t="s">
        <v>287</v>
      </c>
      <c r="B155" s="60" t="s">
        <v>288</v>
      </c>
      <c r="C155" s="34">
        <v>4301032049</v>
      </c>
      <c r="D155" s="670">
        <v>4680115887787</v>
      </c>
      <c r="E155" s="670"/>
      <c r="F155" s="59">
        <v>0.09</v>
      </c>
      <c r="G155" s="35">
        <v>10</v>
      </c>
      <c r="H155" s="59">
        <v>0.9</v>
      </c>
      <c r="I155" s="59">
        <v>1.1100000000000001</v>
      </c>
      <c r="J155" s="35">
        <v>336</v>
      </c>
      <c r="K155" s="35" t="s">
        <v>138</v>
      </c>
      <c r="L155" s="35" t="s">
        <v>46</v>
      </c>
      <c r="M155" s="36" t="s">
        <v>81</v>
      </c>
      <c r="N155" s="36"/>
      <c r="O155" s="35">
        <v>45</v>
      </c>
      <c r="P155" s="74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5" s="672"/>
      <c r="R155" s="672"/>
      <c r="S155" s="672"/>
      <c r="T155" s="67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15"/>
        <v>0</v>
      </c>
      <c r="Z155" s="39" t="str">
        <f>IFERROR(IF(Y155=0,"",ROUNDUP(Y155/H155,0)*0.00417),"")</f>
        <v/>
      </c>
      <c r="AA155" s="65" t="s">
        <v>46</v>
      </c>
      <c r="AB155" s="66" t="s">
        <v>46</v>
      </c>
      <c r="AC155" s="221" t="s">
        <v>289</v>
      </c>
      <c r="AG155" s="75"/>
      <c r="AJ155" s="79" t="s">
        <v>46</v>
      </c>
      <c r="AK155" s="79">
        <v>0</v>
      </c>
      <c r="BB155" s="222" t="s">
        <v>67</v>
      </c>
      <c r="BM155" s="75">
        <f t="shared" si="16"/>
        <v>0</v>
      </c>
      <c r="BN155" s="75">
        <f t="shared" si="17"/>
        <v>0</v>
      </c>
      <c r="BO155" s="75">
        <f t="shared" si="18"/>
        <v>0</v>
      </c>
      <c r="BP155" s="75">
        <f t="shared" si="19"/>
        <v>0</v>
      </c>
    </row>
    <row r="156" spans="1:68" ht="27" customHeight="1" x14ac:dyDescent="0.25">
      <c r="A156" s="60" t="s">
        <v>290</v>
      </c>
      <c r="B156" s="60" t="s">
        <v>291</v>
      </c>
      <c r="C156" s="34">
        <v>4301031448</v>
      </c>
      <c r="D156" s="670">
        <v>4680115887503</v>
      </c>
      <c r="E156" s="670"/>
      <c r="F156" s="59">
        <v>0.28000000000000003</v>
      </c>
      <c r="G156" s="35">
        <v>6</v>
      </c>
      <c r="H156" s="59">
        <v>1.68</v>
      </c>
      <c r="I156" s="59">
        <v>1.78</v>
      </c>
      <c r="J156" s="35">
        <v>234</v>
      </c>
      <c r="K156" s="35" t="s">
        <v>82</v>
      </c>
      <c r="L156" s="35" t="s">
        <v>46</v>
      </c>
      <c r="M156" s="36" t="s">
        <v>81</v>
      </c>
      <c r="N156" s="36"/>
      <c r="O156" s="35">
        <v>40</v>
      </c>
      <c r="P156" s="74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56" s="672"/>
      <c r="R156" s="672"/>
      <c r="S156" s="672"/>
      <c r="T156" s="673"/>
      <c r="U156" s="37" t="s">
        <v>46</v>
      </c>
      <c r="V156" s="37" t="s">
        <v>46</v>
      </c>
      <c r="W156" s="38" t="s">
        <v>0</v>
      </c>
      <c r="X156" s="56">
        <v>10</v>
      </c>
      <c r="Y156" s="53">
        <f t="shared" si="15"/>
        <v>10.08</v>
      </c>
      <c r="Z156" s="39">
        <f>IFERROR(IF(Y156=0,"",ROUNDUP(Y156/H156,0)*0.00502),"")</f>
        <v>3.0120000000000001E-2</v>
      </c>
      <c r="AA156" s="65" t="s">
        <v>46</v>
      </c>
      <c r="AB156" s="66" t="s">
        <v>46</v>
      </c>
      <c r="AC156" s="223" t="s">
        <v>277</v>
      </c>
      <c r="AG156" s="75"/>
      <c r="AJ156" s="79" t="s">
        <v>46</v>
      </c>
      <c r="AK156" s="79">
        <v>0</v>
      </c>
      <c r="BB156" s="224" t="s">
        <v>67</v>
      </c>
      <c r="BM156" s="75">
        <f t="shared" si="16"/>
        <v>10.595238095238097</v>
      </c>
      <c r="BN156" s="75">
        <f t="shared" si="17"/>
        <v>10.68</v>
      </c>
      <c r="BO156" s="75">
        <f t="shared" si="18"/>
        <v>2.5437525437525442E-2</v>
      </c>
      <c r="BP156" s="75">
        <f t="shared" si="19"/>
        <v>2.5641025641025644E-2</v>
      </c>
    </row>
    <row r="157" spans="1:68" ht="27" hidden="1" customHeight="1" x14ac:dyDescent="0.25">
      <c r="A157" s="60" t="s">
        <v>292</v>
      </c>
      <c r="B157" s="60" t="s">
        <v>293</v>
      </c>
      <c r="C157" s="34">
        <v>4301031389</v>
      </c>
      <c r="D157" s="670">
        <v>4680115887763</v>
      </c>
      <c r="E157" s="670"/>
      <c r="F157" s="59">
        <v>0.09</v>
      </c>
      <c r="G157" s="35">
        <v>10</v>
      </c>
      <c r="H157" s="59">
        <v>0.9</v>
      </c>
      <c r="I157" s="59">
        <v>1.1100000000000001</v>
      </c>
      <c r="J157" s="35">
        <v>336</v>
      </c>
      <c r="K157" s="35" t="s">
        <v>138</v>
      </c>
      <c r="L157" s="35" t="s">
        <v>46</v>
      </c>
      <c r="M157" s="36" t="s">
        <v>81</v>
      </c>
      <c r="N157" s="36"/>
      <c r="O157" s="35">
        <v>45</v>
      </c>
      <c r="P157" s="75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57" s="672"/>
      <c r="R157" s="672"/>
      <c r="S157" s="672"/>
      <c r="T157" s="673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15"/>
        <v>0</v>
      </c>
      <c r="Z157" s="39" t="str">
        <f>IFERROR(IF(Y157=0,"",ROUNDUP(Y157/H157,0)*0.00417),"")</f>
        <v/>
      </c>
      <c r="AA157" s="65" t="s">
        <v>46</v>
      </c>
      <c r="AB157" s="66" t="s">
        <v>46</v>
      </c>
      <c r="AC157" s="225" t="s">
        <v>294</v>
      </c>
      <c r="AG157" s="75"/>
      <c r="AJ157" s="79" t="s">
        <v>46</v>
      </c>
      <c r="AK157" s="79">
        <v>0</v>
      </c>
      <c r="BB157" s="226" t="s">
        <v>67</v>
      </c>
      <c r="BM157" s="75">
        <f t="shared" si="16"/>
        <v>0</v>
      </c>
      <c r="BN157" s="75">
        <f t="shared" si="17"/>
        <v>0</v>
      </c>
      <c r="BO157" s="75">
        <f t="shared" si="18"/>
        <v>0</v>
      </c>
      <c r="BP157" s="75">
        <f t="shared" si="19"/>
        <v>0</v>
      </c>
    </row>
    <row r="158" spans="1:68" ht="27" hidden="1" customHeight="1" x14ac:dyDescent="0.25">
      <c r="A158" s="60" t="s">
        <v>292</v>
      </c>
      <c r="B158" s="60" t="s">
        <v>295</v>
      </c>
      <c r="C158" s="34">
        <v>4301031510</v>
      </c>
      <c r="D158" s="670">
        <v>4680115887763</v>
      </c>
      <c r="E158" s="670"/>
      <c r="F158" s="59">
        <v>0.09</v>
      </c>
      <c r="G158" s="35">
        <v>8</v>
      </c>
      <c r="H158" s="59">
        <v>0.72</v>
      </c>
      <c r="I158" s="59">
        <v>0.90800000000000003</v>
      </c>
      <c r="J158" s="35">
        <v>336</v>
      </c>
      <c r="K158" s="35" t="s">
        <v>138</v>
      </c>
      <c r="L158" s="35" t="s">
        <v>46</v>
      </c>
      <c r="M158" s="36" t="s">
        <v>81</v>
      </c>
      <c r="N158" s="36"/>
      <c r="O158" s="35">
        <v>45</v>
      </c>
      <c r="P158" s="7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58" s="672"/>
      <c r="R158" s="672"/>
      <c r="S158" s="672"/>
      <c r="T158" s="673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15"/>
        <v>0</v>
      </c>
      <c r="Z158" s="39" t="str">
        <f>IFERROR(IF(Y158=0,"",ROUNDUP(Y158/H158,0)*0.00417),"")</f>
        <v/>
      </c>
      <c r="AA158" s="65" t="s">
        <v>46</v>
      </c>
      <c r="AB158" s="66" t="s">
        <v>46</v>
      </c>
      <c r="AC158" s="227" t="s">
        <v>294</v>
      </c>
      <c r="AG158" s="75"/>
      <c r="AJ158" s="79" t="s">
        <v>46</v>
      </c>
      <c r="AK158" s="79">
        <v>0</v>
      </c>
      <c r="BB158" s="228" t="s">
        <v>67</v>
      </c>
      <c r="BM158" s="75">
        <f t="shared" si="16"/>
        <v>0</v>
      </c>
      <c r="BN158" s="75">
        <f t="shared" si="17"/>
        <v>0</v>
      </c>
      <c r="BO158" s="75">
        <f t="shared" si="18"/>
        <v>0</v>
      </c>
      <c r="BP158" s="75">
        <f t="shared" si="19"/>
        <v>0</v>
      </c>
    </row>
    <row r="159" spans="1:68" ht="27" customHeight="1" x14ac:dyDescent="0.25">
      <c r="A159" s="60" t="s">
        <v>296</v>
      </c>
      <c r="B159" s="60" t="s">
        <v>297</v>
      </c>
      <c r="C159" s="34">
        <v>4301031454</v>
      </c>
      <c r="D159" s="670">
        <v>4680115887480</v>
      </c>
      <c r="E159" s="670"/>
      <c r="F159" s="59">
        <v>0.28000000000000003</v>
      </c>
      <c r="G159" s="35">
        <v>6</v>
      </c>
      <c r="H159" s="59">
        <v>1.68</v>
      </c>
      <c r="I159" s="59">
        <v>1.78</v>
      </c>
      <c r="J159" s="35">
        <v>234</v>
      </c>
      <c r="K159" s="35" t="s">
        <v>82</v>
      </c>
      <c r="L159" s="35" t="s">
        <v>46</v>
      </c>
      <c r="M159" s="36" t="s">
        <v>81</v>
      </c>
      <c r="N159" s="36"/>
      <c r="O159" s="35">
        <v>40</v>
      </c>
      <c r="P159" s="7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59" s="672"/>
      <c r="R159" s="672"/>
      <c r="S159" s="672"/>
      <c r="T159" s="673"/>
      <c r="U159" s="37" t="s">
        <v>46</v>
      </c>
      <c r="V159" s="37" t="s">
        <v>46</v>
      </c>
      <c r="W159" s="38" t="s">
        <v>0</v>
      </c>
      <c r="X159" s="56">
        <v>10</v>
      </c>
      <c r="Y159" s="53">
        <f t="shared" si="15"/>
        <v>10.08</v>
      </c>
      <c r="Z159" s="39">
        <f>IFERROR(IF(Y159=0,"",ROUNDUP(Y159/H159,0)*0.00502),"")</f>
        <v>3.0120000000000001E-2</v>
      </c>
      <c r="AA159" s="65" t="s">
        <v>46</v>
      </c>
      <c r="AB159" s="66" t="s">
        <v>46</v>
      </c>
      <c r="AC159" s="229" t="s">
        <v>283</v>
      </c>
      <c r="AG159" s="75"/>
      <c r="AJ159" s="79" t="s">
        <v>46</v>
      </c>
      <c r="AK159" s="79">
        <v>0</v>
      </c>
      <c r="BB159" s="230" t="s">
        <v>67</v>
      </c>
      <c r="BM159" s="75">
        <f t="shared" si="16"/>
        <v>10.595238095238097</v>
      </c>
      <c r="BN159" s="75">
        <f t="shared" si="17"/>
        <v>10.68</v>
      </c>
      <c r="BO159" s="75">
        <f t="shared" si="18"/>
        <v>2.5437525437525442E-2</v>
      </c>
      <c r="BP159" s="75">
        <f t="shared" si="19"/>
        <v>2.5641025641025644E-2</v>
      </c>
    </row>
    <row r="160" spans="1:68" ht="27" hidden="1" customHeight="1" x14ac:dyDescent="0.25">
      <c r="A160" s="60" t="s">
        <v>298</v>
      </c>
      <c r="B160" s="60" t="s">
        <v>299</v>
      </c>
      <c r="C160" s="34">
        <v>4301031434</v>
      </c>
      <c r="D160" s="670">
        <v>4680115888067</v>
      </c>
      <c r="E160" s="670"/>
      <c r="F160" s="59">
        <v>0.09</v>
      </c>
      <c r="G160" s="35">
        <v>10</v>
      </c>
      <c r="H160" s="59">
        <v>0.9</v>
      </c>
      <c r="I160" s="59">
        <v>1</v>
      </c>
      <c r="J160" s="35">
        <v>336</v>
      </c>
      <c r="K160" s="35" t="s">
        <v>138</v>
      </c>
      <c r="L160" s="35" t="s">
        <v>46</v>
      </c>
      <c r="M160" s="36" t="s">
        <v>81</v>
      </c>
      <c r="N160" s="36"/>
      <c r="O160" s="35">
        <v>45</v>
      </c>
      <c r="P160" s="7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0" s="672"/>
      <c r="R160" s="672"/>
      <c r="S160" s="672"/>
      <c r="T160" s="673"/>
      <c r="U160" s="37" t="s">
        <v>46</v>
      </c>
      <c r="V160" s="37" t="s">
        <v>46</v>
      </c>
      <c r="W160" s="38" t="s">
        <v>0</v>
      </c>
      <c r="X160" s="56"/>
      <c r="Y160" s="53">
        <f t="shared" si="15"/>
        <v>0</v>
      </c>
      <c r="Z160" s="39" t="str">
        <f>IFERROR(IF(Y160=0,"",ROUNDUP(Y160/H160,0)*0.00417),"")</f>
        <v/>
      </c>
      <c r="AA160" s="65" t="s">
        <v>46</v>
      </c>
      <c r="AB160" s="66" t="s">
        <v>46</v>
      </c>
      <c r="AC160" s="231" t="s">
        <v>300</v>
      </c>
      <c r="AG160" s="75"/>
      <c r="AJ160" s="79" t="s">
        <v>46</v>
      </c>
      <c r="AK160" s="79">
        <v>0</v>
      </c>
      <c r="BB160" s="232" t="s">
        <v>67</v>
      </c>
      <c r="BM160" s="75">
        <f t="shared" si="16"/>
        <v>0</v>
      </c>
      <c r="BN160" s="75">
        <f t="shared" si="17"/>
        <v>0</v>
      </c>
      <c r="BO160" s="75">
        <f t="shared" si="18"/>
        <v>0</v>
      </c>
      <c r="BP160" s="75">
        <f t="shared" si="19"/>
        <v>0</v>
      </c>
    </row>
    <row r="161" spans="1:68" ht="27" customHeight="1" x14ac:dyDescent="0.25">
      <c r="A161" s="60" t="s">
        <v>301</v>
      </c>
      <c r="B161" s="60" t="s">
        <v>302</v>
      </c>
      <c r="C161" s="34">
        <v>4301031451</v>
      </c>
      <c r="D161" s="670">
        <v>4680115887435</v>
      </c>
      <c r="E161" s="670"/>
      <c r="F161" s="59">
        <v>0.28000000000000003</v>
      </c>
      <c r="G161" s="35">
        <v>6</v>
      </c>
      <c r="H161" s="59">
        <v>1.68</v>
      </c>
      <c r="I161" s="59">
        <v>1.78</v>
      </c>
      <c r="J161" s="35">
        <v>234</v>
      </c>
      <c r="K161" s="35" t="s">
        <v>82</v>
      </c>
      <c r="L161" s="35" t="s">
        <v>46</v>
      </c>
      <c r="M161" s="36" t="s">
        <v>81</v>
      </c>
      <c r="N161" s="36"/>
      <c r="O161" s="35">
        <v>40</v>
      </c>
      <c r="P161" s="7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1" s="672"/>
      <c r="R161" s="672"/>
      <c r="S161" s="672"/>
      <c r="T161" s="673"/>
      <c r="U161" s="37" t="s">
        <v>46</v>
      </c>
      <c r="V161" s="37" t="s">
        <v>46</v>
      </c>
      <c r="W161" s="38" t="s">
        <v>0</v>
      </c>
      <c r="X161" s="56">
        <v>10</v>
      </c>
      <c r="Y161" s="53">
        <f t="shared" si="15"/>
        <v>10.08</v>
      </c>
      <c r="Z161" s="39">
        <f>IFERROR(IF(Y161=0,"",ROUNDUP(Y161/H161,0)*0.00502),"")</f>
        <v>3.0120000000000001E-2</v>
      </c>
      <c r="AA161" s="65" t="s">
        <v>46</v>
      </c>
      <c r="AB161" s="66" t="s">
        <v>46</v>
      </c>
      <c r="AC161" s="233" t="s">
        <v>286</v>
      </c>
      <c r="AG161" s="75"/>
      <c r="AJ161" s="79" t="s">
        <v>46</v>
      </c>
      <c r="AK161" s="79">
        <v>0</v>
      </c>
      <c r="BB161" s="234" t="s">
        <v>67</v>
      </c>
      <c r="BM161" s="75">
        <f t="shared" si="16"/>
        <v>10.595238095238097</v>
      </c>
      <c r="BN161" s="75">
        <f t="shared" si="17"/>
        <v>10.68</v>
      </c>
      <c r="BO161" s="75">
        <f t="shared" si="18"/>
        <v>2.5437525437525442E-2</v>
      </c>
      <c r="BP161" s="75">
        <f t="shared" si="19"/>
        <v>2.5641025641025644E-2</v>
      </c>
    </row>
    <row r="162" spans="1:68" x14ac:dyDescent="0.2">
      <c r="A162" s="678"/>
      <c r="B162" s="678"/>
      <c r="C162" s="678"/>
      <c r="D162" s="678"/>
      <c r="E162" s="678"/>
      <c r="F162" s="678"/>
      <c r="G162" s="678"/>
      <c r="H162" s="678"/>
      <c r="I162" s="678"/>
      <c r="J162" s="678"/>
      <c r="K162" s="678"/>
      <c r="L162" s="678"/>
      <c r="M162" s="678"/>
      <c r="N162" s="678"/>
      <c r="O162" s="679"/>
      <c r="P162" s="675" t="s">
        <v>40</v>
      </c>
      <c r="Q162" s="676"/>
      <c r="R162" s="676"/>
      <c r="S162" s="676"/>
      <c r="T162" s="676"/>
      <c r="U162" s="676"/>
      <c r="V162" s="677"/>
      <c r="W162" s="40" t="s">
        <v>39</v>
      </c>
      <c r="X162" s="41">
        <f>IFERROR(X151/H151,"0")+IFERROR(X152/H152,"0")+IFERROR(X153/H153,"0")+IFERROR(X154/H154,"0")+IFERROR(X155/H155,"0")+IFERROR(X156/H156,"0")+IFERROR(X157/H157,"0")+IFERROR(X158/H158,"0")+IFERROR(X159/H159,"0")+IFERROR(X160/H160,"0")+IFERROR(X161/H161,"0")</f>
        <v>26.428571428571427</v>
      </c>
      <c r="Y162" s="41">
        <f>IFERROR(Y151/H151,"0")+IFERROR(Y152/H152,"0")+IFERROR(Y153/H153,"0")+IFERROR(Y154/H154,"0")+IFERROR(Y155/H155,"0")+IFERROR(Y156/H156,"0")+IFERROR(Y157/H157,"0")+IFERROR(Y158/H158,"0")+IFERROR(Y159/H159,"0")+IFERROR(Y160/H160,"0")+IFERROR(Y161/H161,"0")</f>
        <v>27</v>
      </c>
      <c r="Z162" s="41">
        <f>IFERROR(IF(Z151="",0,Z151),"0")+IFERROR(IF(Z152="",0,Z152),"0")+IFERROR(IF(Z153="",0,Z153),"0")+IFERROR(IF(Z154="",0,Z154),"0")+IFERROR(IF(Z155="",0,Z155),"0")+IFERROR(IF(Z156="",0,Z156),"0")+IFERROR(IF(Z157="",0,Z157),"0")+IFERROR(IF(Z158="",0,Z158),"0")+IFERROR(IF(Z159="",0,Z159),"0")+IFERROR(IF(Z160="",0,Z160),"0")+IFERROR(IF(Z161="",0,Z161),"0")</f>
        <v>0.17154000000000003</v>
      </c>
      <c r="AA162" s="64"/>
      <c r="AB162" s="64"/>
      <c r="AC162" s="64"/>
    </row>
    <row r="163" spans="1:68" x14ac:dyDescent="0.2">
      <c r="A163" s="678"/>
      <c r="B163" s="678"/>
      <c r="C163" s="678"/>
      <c r="D163" s="678"/>
      <c r="E163" s="678"/>
      <c r="F163" s="678"/>
      <c r="G163" s="678"/>
      <c r="H163" s="678"/>
      <c r="I163" s="678"/>
      <c r="J163" s="678"/>
      <c r="K163" s="678"/>
      <c r="L163" s="678"/>
      <c r="M163" s="678"/>
      <c r="N163" s="678"/>
      <c r="O163" s="679"/>
      <c r="P163" s="675" t="s">
        <v>40</v>
      </c>
      <c r="Q163" s="676"/>
      <c r="R163" s="676"/>
      <c r="S163" s="676"/>
      <c r="T163" s="676"/>
      <c r="U163" s="676"/>
      <c r="V163" s="677"/>
      <c r="W163" s="40" t="s">
        <v>0</v>
      </c>
      <c r="X163" s="41">
        <f>IFERROR(SUM(X151:X161),"0")</f>
        <v>60</v>
      </c>
      <c r="Y163" s="41">
        <f>IFERROR(SUM(Y151:Y161),"0")</f>
        <v>61.739999999999995</v>
      </c>
      <c r="Z163" s="40"/>
      <c r="AA163" s="64"/>
      <c r="AB163" s="64"/>
      <c r="AC163" s="64"/>
    </row>
    <row r="164" spans="1:68" ht="14.25" hidden="1" customHeight="1" x14ac:dyDescent="0.25">
      <c r="A164" s="669" t="s">
        <v>86</v>
      </c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69"/>
      <c r="P164" s="669"/>
      <c r="Q164" s="669"/>
      <c r="R164" s="669"/>
      <c r="S164" s="669"/>
      <c r="T164" s="669"/>
      <c r="U164" s="669"/>
      <c r="V164" s="669"/>
      <c r="W164" s="669"/>
      <c r="X164" s="669"/>
      <c r="Y164" s="669"/>
      <c r="Z164" s="669"/>
      <c r="AA164" s="63"/>
      <c r="AB164" s="63"/>
      <c r="AC164" s="63"/>
    </row>
    <row r="165" spans="1:68" ht="16.5" hidden="1" customHeight="1" x14ac:dyDescent="0.25">
      <c r="A165" s="60" t="s">
        <v>303</v>
      </c>
      <c r="B165" s="60" t="s">
        <v>304</v>
      </c>
      <c r="C165" s="34">
        <v>4301052193</v>
      </c>
      <c r="D165" s="670">
        <v>4680115888395</v>
      </c>
      <c r="E165" s="670"/>
      <c r="F165" s="59">
        <v>0.42</v>
      </c>
      <c r="G165" s="35">
        <v>6</v>
      </c>
      <c r="H165" s="59">
        <v>2.52</v>
      </c>
      <c r="I165" s="59">
        <v>2.766</v>
      </c>
      <c r="J165" s="35">
        <v>182</v>
      </c>
      <c r="K165" s="35" t="s">
        <v>91</v>
      </c>
      <c r="L165" s="35" t="s">
        <v>46</v>
      </c>
      <c r="M165" s="36" t="s">
        <v>97</v>
      </c>
      <c r="N165" s="36"/>
      <c r="O165" s="35">
        <v>40</v>
      </c>
      <c r="P165" s="75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65" s="672"/>
      <c r="R165" s="672"/>
      <c r="S165" s="672"/>
      <c r="T165" s="673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IFERROR(IF(Y165=0,"",ROUNDUP(Y165/H165,0)*0.00651),"")</f>
        <v/>
      </c>
      <c r="AA165" s="65" t="s">
        <v>46</v>
      </c>
      <c r="AB165" s="66" t="s">
        <v>46</v>
      </c>
      <c r="AC165" s="235" t="s">
        <v>305</v>
      </c>
      <c r="AG165" s="75"/>
      <c r="AJ165" s="79" t="s">
        <v>46</v>
      </c>
      <c r="AK165" s="79">
        <v>0</v>
      </c>
      <c r="BB165" s="236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306</v>
      </c>
      <c r="B166" s="60" t="s">
        <v>307</v>
      </c>
      <c r="C166" s="34">
        <v>4301052191</v>
      </c>
      <c r="D166" s="670">
        <v>4680115888371</v>
      </c>
      <c r="E166" s="670"/>
      <c r="F166" s="59">
        <v>0.42</v>
      </c>
      <c r="G166" s="35">
        <v>6</v>
      </c>
      <c r="H166" s="59">
        <v>2.52</v>
      </c>
      <c r="I166" s="59">
        <v>2.766</v>
      </c>
      <c r="J166" s="35">
        <v>182</v>
      </c>
      <c r="K166" s="35" t="s">
        <v>91</v>
      </c>
      <c r="L166" s="35" t="s">
        <v>46</v>
      </c>
      <c r="M166" s="36" t="s">
        <v>97</v>
      </c>
      <c r="N166" s="36"/>
      <c r="O166" s="35">
        <v>40</v>
      </c>
      <c r="P166" s="7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66" s="672"/>
      <c r="R166" s="672"/>
      <c r="S166" s="672"/>
      <c r="T166" s="673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7" t="s">
        <v>308</v>
      </c>
      <c r="AG166" s="75"/>
      <c r="AJ166" s="79" t="s">
        <v>46</v>
      </c>
      <c r="AK166" s="79">
        <v>0</v>
      </c>
      <c r="BB166" s="238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309</v>
      </c>
      <c r="B167" s="60" t="s">
        <v>310</v>
      </c>
      <c r="C167" s="34">
        <v>4301052064</v>
      </c>
      <c r="D167" s="670">
        <v>4680115887459</v>
      </c>
      <c r="E167" s="670"/>
      <c r="F167" s="59">
        <v>0.3</v>
      </c>
      <c r="G167" s="35">
        <v>6</v>
      </c>
      <c r="H167" s="59">
        <v>1.8</v>
      </c>
      <c r="I167" s="59">
        <v>2.0579999999999998</v>
      </c>
      <c r="J167" s="35">
        <v>182</v>
      </c>
      <c r="K167" s="35" t="s">
        <v>91</v>
      </c>
      <c r="L167" s="35" t="s">
        <v>46</v>
      </c>
      <c r="M167" s="36" t="s">
        <v>90</v>
      </c>
      <c r="N167" s="36"/>
      <c r="O167" s="35">
        <v>45</v>
      </c>
      <c r="P167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7" s="672"/>
      <c r="R167" s="672"/>
      <c r="S167" s="672"/>
      <c r="T167" s="673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IFERROR(IF(Y167=0,"",ROUNDUP(Y167/H167,0)*0.00651),"")</f>
        <v/>
      </c>
      <c r="AA167" s="65" t="s">
        <v>46</v>
      </c>
      <c r="AB167" s="66" t="s">
        <v>46</v>
      </c>
      <c r="AC167" s="239" t="s">
        <v>311</v>
      </c>
      <c r="AG167" s="75"/>
      <c r="AJ167" s="79" t="s">
        <v>46</v>
      </c>
      <c r="AK167" s="79">
        <v>0</v>
      </c>
      <c r="BB167" s="240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78"/>
      <c r="B168" s="678"/>
      <c r="C168" s="678"/>
      <c r="D168" s="678"/>
      <c r="E168" s="678"/>
      <c r="F168" s="678"/>
      <c r="G168" s="678"/>
      <c r="H168" s="678"/>
      <c r="I168" s="678"/>
      <c r="J168" s="678"/>
      <c r="K168" s="678"/>
      <c r="L168" s="678"/>
      <c r="M168" s="678"/>
      <c r="N168" s="678"/>
      <c r="O168" s="679"/>
      <c r="P168" s="675" t="s">
        <v>40</v>
      </c>
      <c r="Q168" s="676"/>
      <c r="R168" s="676"/>
      <c r="S168" s="676"/>
      <c r="T168" s="676"/>
      <c r="U168" s="676"/>
      <c r="V168" s="677"/>
      <c r="W168" s="40" t="s">
        <v>39</v>
      </c>
      <c r="X168" s="41">
        <f>IFERROR(X165/H165,"0")+IFERROR(X166/H166,"0")+IFERROR(X167/H167,"0")</f>
        <v>0</v>
      </c>
      <c r="Y168" s="41">
        <f>IFERROR(Y165/H165,"0")+IFERROR(Y166/H166,"0")+IFERROR(Y167/H167,"0")</f>
        <v>0</v>
      </c>
      <c r="Z168" s="41">
        <f>IFERROR(IF(Z165="",0,Z165),"0")+IFERROR(IF(Z166="",0,Z166),"0")+IFERROR(IF(Z167="",0,Z167),"0")</f>
        <v>0</v>
      </c>
      <c r="AA168" s="64"/>
      <c r="AB168" s="64"/>
      <c r="AC168" s="64"/>
    </row>
    <row r="169" spans="1:68" hidden="1" x14ac:dyDescent="0.2">
      <c r="A169" s="678"/>
      <c r="B169" s="678"/>
      <c r="C169" s="678"/>
      <c r="D169" s="678"/>
      <c r="E169" s="678"/>
      <c r="F169" s="678"/>
      <c r="G169" s="678"/>
      <c r="H169" s="678"/>
      <c r="I169" s="678"/>
      <c r="J169" s="678"/>
      <c r="K169" s="678"/>
      <c r="L169" s="678"/>
      <c r="M169" s="678"/>
      <c r="N169" s="678"/>
      <c r="O169" s="679"/>
      <c r="P169" s="675" t="s">
        <v>40</v>
      </c>
      <c r="Q169" s="676"/>
      <c r="R169" s="676"/>
      <c r="S169" s="676"/>
      <c r="T169" s="676"/>
      <c r="U169" s="676"/>
      <c r="V169" s="677"/>
      <c r="W169" s="40" t="s">
        <v>0</v>
      </c>
      <c r="X169" s="41">
        <f>IFERROR(SUM(X165:X167),"0")</f>
        <v>0</v>
      </c>
      <c r="Y169" s="41">
        <f>IFERROR(SUM(Y165:Y167),"0")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69" t="s">
        <v>104</v>
      </c>
      <c r="B170" s="669"/>
      <c r="C170" s="669"/>
      <c r="D170" s="669"/>
      <c r="E170" s="669"/>
      <c r="F170" s="669"/>
      <c r="G170" s="669"/>
      <c r="H170" s="669"/>
      <c r="I170" s="669"/>
      <c r="J170" s="669"/>
      <c r="K170" s="669"/>
      <c r="L170" s="669"/>
      <c r="M170" s="669"/>
      <c r="N170" s="669"/>
      <c r="O170" s="669"/>
      <c r="P170" s="669"/>
      <c r="Q170" s="669"/>
      <c r="R170" s="669"/>
      <c r="S170" s="669"/>
      <c r="T170" s="669"/>
      <c r="U170" s="669"/>
      <c r="V170" s="669"/>
      <c r="W170" s="669"/>
      <c r="X170" s="669"/>
      <c r="Y170" s="669"/>
      <c r="Z170" s="669"/>
      <c r="AA170" s="63"/>
      <c r="AB170" s="63"/>
      <c r="AC170" s="63"/>
    </row>
    <row r="171" spans="1:68" ht="16.5" hidden="1" customHeight="1" x14ac:dyDescent="0.25">
      <c r="A171" s="60" t="s">
        <v>312</v>
      </c>
      <c r="B171" s="60" t="s">
        <v>313</v>
      </c>
      <c r="C171" s="34">
        <v>4301032058</v>
      </c>
      <c r="D171" s="670">
        <v>4680115889026</v>
      </c>
      <c r="E171" s="670"/>
      <c r="F171" s="59">
        <v>0.06</v>
      </c>
      <c r="G171" s="35">
        <v>18</v>
      </c>
      <c r="H171" s="59">
        <v>1.08</v>
      </c>
      <c r="I171" s="59">
        <v>1.36</v>
      </c>
      <c r="J171" s="35">
        <v>216</v>
      </c>
      <c r="K171" s="35" t="s">
        <v>316</v>
      </c>
      <c r="L171" s="35" t="s">
        <v>46</v>
      </c>
      <c r="M171" s="36" t="s">
        <v>315</v>
      </c>
      <c r="N171" s="36"/>
      <c r="O171" s="35">
        <v>60</v>
      </c>
      <c r="P171" s="75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71" s="672"/>
      <c r="R171" s="672"/>
      <c r="S171" s="672"/>
      <c r="T171" s="67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IFERROR(IF(Y171=0,"",ROUNDUP(Y171/H171,0)*0.0059),"")</f>
        <v/>
      </c>
      <c r="AA171" s="65" t="s">
        <v>46</v>
      </c>
      <c r="AB171" s="66" t="s">
        <v>46</v>
      </c>
      <c r="AC171" s="241" t="s">
        <v>314</v>
      </c>
      <c r="AG171" s="75"/>
      <c r="AJ171" s="79" t="s">
        <v>46</v>
      </c>
      <c r="AK171" s="79">
        <v>0</v>
      </c>
      <c r="BB171" s="242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t="27" hidden="1" customHeight="1" x14ac:dyDescent="0.25">
      <c r="A172" s="60" t="s">
        <v>317</v>
      </c>
      <c r="B172" s="60" t="s">
        <v>318</v>
      </c>
      <c r="C172" s="34">
        <v>4301032057</v>
      </c>
      <c r="D172" s="670">
        <v>4680115889088</v>
      </c>
      <c r="E172" s="670"/>
      <c r="F172" s="59">
        <v>0.06</v>
      </c>
      <c r="G172" s="35">
        <v>18</v>
      </c>
      <c r="H172" s="59">
        <v>1.08</v>
      </c>
      <c r="I172" s="59">
        <v>1.36</v>
      </c>
      <c r="J172" s="35">
        <v>216</v>
      </c>
      <c r="K172" s="35" t="s">
        <v>316</v>
      </c>
      <c r="L172" s="35" t="s">
        <v>46</v>
      </c>
      <c r="M172" s="36" t="s">
        <v>315</v>
      </c>
      <c r="N172" s="36"/>
      <c r="O172" s="35">
        <v>45</v>
      </c>
      <c r="P172" s="75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72" s="672"/>
      <c r="R172" s="672"/>
      <c r="S172" s="672"/>
      <c r="T172" s="673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IFERROR(IF(Y172=0,"",ROUNDUP(Y172/H172,0)*0.0059),"")</f>
        <v/>
      </c>
      <c r="AA172" s="65" t="s">
        <v>46</v>
      </c>
      <c r="AB172" s="66" t="s">
        <v>46</v>
      </c>
      <c r="AC172" s="243" t="s">
        <v>319</v>
      </c>
      <c r="AG172" s="75"/>
      <c r="AJ172" s="79" t="s">
        <v>46</v>
      </c>
      <c r="AK172" s="79">
        <v>0</v>
      </c>
      <c r="BB172" s="244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idden="1" x14ac:dyDescent="0.2">
      <c r="A173" s="678"/>
      <c r="B173" s="678"/>
      <c r="C173" s="678"/>
      <c r="D173" s="678"/>
      <c r="E173" s="678"/>
      <c r="F173" s="678"/>
      <c r="G173" s="678"/>
      <c r="H173" s="678"/>
      <c r="I173" s="678"/>
      <c r="J173" s="678"/>
      <c r="K173" s="678"/>
      <c r="L173" s="678"/>
      <c r="M173" s="678"/>
      <c r="N173" s="678"/>
      <c r="O173" s="679"/>
      <c r="P173" s="675" t="s">
        <v>40</v>
      </c>
      <c r="Q173" s="676"/>
      <c r="R173" s="676"/>
      <c r="S173" s="676"/>
      <c r="T173" s="676"/>
      <c r="U173" s="676"/>
      <c r="V173" s="677"/>
      <c r="W173" s="40" t="s">
        <v>39</v>
      </c>
      <c r="X173" s="41">
        <f>IFERROR(X171/H171,"0")+IFERROR(X172/H172,"0")</f>
        <v>0</v>
      </c>
      <c r="Y173" s="41">
        <f>IFERROR(Y171/H171,"0")+IFERROR(Y172/H172,"0")</f>
        <v>0</v>
      </c>
      <c r="Z173" s="41">
        <f>IFERROR(IF(Z171="",0,Z171),"0")+IFERROR(IF(Z172="",0,Z172),"0")</f>
        <v>0</v>
      </c>
      <c r="AA173" s="64"/>
      <c r="AB173" s="64"/>
      <c r="AC173" s="64"/>
    </row>
    <row r="174" spans="1:68" hidden="1" x14ac:dyDescent="0.2">
      <c r="A174" s="678"/>
      <c r="B174" s="678"/>
      <c r="C174" s="678"/>
      <c r="D174" s="678"/>
      <c r="E174" s="678"/>
      <c r="F174" s="678"/>
      <c r="G174" s="678"/>
      <c r="H174" s="678"/>
      <c r="I174" s="678"/>
      <c r="J174" s="678"/>
      <c r="K174" s="678"/>
      <c r="L174" s="678"/>
      <c r="M174" s="678"/>
      <c r="N174" s="678"/>
      <c r="O174" s="679"/>
      <c r="P174" s="675" t="s">
        <v>40</v>
      </c>
      <c r="Q174" s="676"/>
      <c r="R174" s="676"/>
      <c r="S174" s="676"/>
      <c r="T174" s="676"/>
      <c r="U174" s="676"/>
      <c r="V174" s="677"/>
      <c r="W174" s="40" t="s">
        <v>0</v>
      </c>
      <c r="X174" s="41">
        <f>IFERROR(SUM(X171:X172),"0")</f>
        <v>0</v>
      </c>
      <c r="Y174" s="41">
        <f>IFERROR(SUM(Y171:Y172),"0")</f>
        <v>0</v>
      </c>
      <c r="Z174" s="40"/>
      <c r="AA174" s="64"/>
      <c r="AB174" s="64"/>
      <c r="AC174" s="64"/>
    </row>
    <row r="175" spans="1:68" ht="14.25" hidden="1" customHeight="1" x14ac:dyDescent="0.25">
      <c r="A175" s="669" t="s">
        <v>320</v>
      </c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69"/>
      <c r="P175" s="669"/>
      <c r="Q175" s="669"/>
      <c r="R175" s="669"/>
      <c r="S175" s="669"/>
      <c r="T175" s="669"/>
      <c r="U175" s="669"/>
      <c r="V175" s="669"/>
      <c r="W175" s="669"/>
      <c r="X175" s="669"/>
      <c r="Y175" s="669"/>
      <c r="Z175" s="669"/>
      <c r="AA175" s="63"/>
      <c r="AB175" s="63"/>
      <c r="AC175" s="63"/>
    </row>
    <row r="176" spans="1:68" ht="27" hidden="1" customHeight="1" x14ac:dyDescent="0.25">
      <c r="A176" s="60" t="s">
        <v>321</v>
      </c>
      <c r="B176" s="60" t="s">
        <v>322</v>
      </c>
      <c r="C176" s="34">
        <v>4301041009</v>
      </c>
      <c r="D176" s="670">
        <v>4680115889033</v>
      </c>
      <c r="E176" s="670"/>
      <c r="F176" s="59">
        <v>0.11</v>
      </c>
      <c r="G176" s="35">
        <v>15</v>
      </c>
      <c r="H176" s="59">
        <v>1.65</v>
      </c>
      <c r="I176" s="59">
        <v>1.9</v>
      </c>
      <c r="J176" s="35">
        <v>216</v>
      </c>
      <c r="K176" s="35" t="s">
        <v>316</v>
      </c>
      <c r="L176" s="35" t="s">
        <v>46</v>
      </c>
      <c r="M176" s="36" t="s">
        <v>315</v>
      </c>
      <c r="N176" s="36"/>
      <c r="O176" s="35">
        <v>60</v>
      </c>
      <c r="P176" s="76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76" s="672"/>
      <c r="R176" s="672"/>
      <c r="S176" s="672"/>
      <c r="T176" s="673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IFERROR(IF(Y176=0,"",ROUNDUP(Y176/H176,0)*0.0059),"")</f>
        <v/>
      </c>
      <c r="AA176" s="65" t="s">
        <v>46</v>
      </c>
      <c r="AB176" s="66" t="s">
        <v>46</v>
      </c>
      <c r="AC176" s="245" t="s">
        <v>323</v>
      </c>
      <c r="AG176" s="75"/>
      <c r="AJ176" s="79" t="s">
        <v>46</v>
      </c>
      <c r="AK176" s="79">
        <v>0</v>
      </c>
      <c r="BB176" s="246" t="s">
        <v>67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678"/>
      <c r="B177" s="678"/>
      <c r="C177" s="678"/>
      <c r="D177" s="678"/>
      <c r="E177" s="678"/>
      <c r="F177" s="678"/>
      <c r="G177" s="678"/>
      <c r="H177" s="678"/>
      <c r="I177" s="678"/>
      <c r="J177" s="678"/>
      <c r="K177" s="678"/>
      <c r="L177" s="678"/>
      <c r="M177" s="678"/>
      <c r="N177" s="678"/>
      <c r="O177" s="679"/>
      <c r="P177" s="675" t="s">
        <v>40</v>
      </c>
      <c r="Q177" s="676"/>
      <c r="R177" s="676"/>
      <c r="S177" s="676"/>
      <c r="T177" s="676"/>
      <c r="U177" s="676"/>
      <c r="V177" s="677"/>
      <c r="W177" s="40" t="s">
        <v>39</v>
      </c>
      <c r="X177" s="41">
        <f>IFERROR(X176/H176,"0")</f>
        <v>0</v>
      </c>
      <c r="Y177" s="41">
        <f>IFERROR(Y176/H176,"0")</f>
        <v>0</v>
      </c>
      <c r="Z177" s="41">
        <f>IFERROR(IF(Z176="",0,Z176),"0")</f>
        <v>0</v>
      </c>
      <c r="AA177" s="64"/>
      <c r="AB177" s="64"/>
      <c r="AC177" s="64"/>
    </row>
    <row r="178" spans="1:68" hidden="1" x14ac:dyDescent="0.2">
      <c r="A178" s="678"/>
      <c r="B178" s="678"/>
      <c r="C178" s="678"/>
      <c r="D178" s="678"/>
      <c r="E178" s="678"/>
      <c r="F178" s="678"/>
      <c r="G178" s="678"/>
      <c r="H178" s="678"/>
      <c r="I178" s="678"/>
      <c r="J178" s="678"/>
      <c r="K178" s="678"/>
      <c r="L178" s="678"/>
      <c r="M178" s="678"/>
      <c r="N178" s="678"/>
      <c r="O178" s="679"/>
      <c r="P178" s="675" t="s">
        <v>40</v>
      </c>
      <c r="Q178" s="676"/>
      <c r="R178" s="676"/>
      <c r="S178" s="676"/>
      <c r="T178" s="676"/>
      <c r="U178" s="676"/>
      <c r="V178" s="677"/>
      <c r="W178" s="40" t="s">
        <v>0</v>
      </c>
      <c r="X178" s="41">
        <f>IFERROR(SUM(X176:X176),"0")</f>
        <v>0</v>
      </c>
      <c r="Y178" s="41">
        <f>IFERROR(SUM(Y176:Y176),"0")</f>
        <v>0</v>
      </c>
      <c r="Z178" s="40"/>
      <c r="AA178" s="64"/>
      <c r="AB178" s="64"/>
      <c r="AC178" s="64"/>
    </row>
    <row r="179" spans="1:68" ht="27.75" hidden="1" customHeight="1" x14ac:dyDescent="0.2">
      <c r="A179" s="667" t="s">
        <v>324</v>
      </c>
      <c r="B179" s="667"/>
      <c r="C179" s="667"/>
      <c r="D179" s="667"/>
      <c r="E179" s="667"/>
      <c r="F179" s="667"/>
      <c r="G179" s="667"/>
      <c r="H179" s="667"/>
      <c r="I179" s="667"/>
      <c r="J179" s="667"/>
      <c r="K179" s="667"/>
      <c r="L179" s="667"/>
      <c r="M179" s="667"/>
      <c r="N179" s="667"/>
      <c r="O179" s="667"/>
      <c r="P179" s="667"/>
      <c r="Q179" s="667"/>
      <c r="R179" s="667"/>
      <c r="S179" s="667"/>
      <c r="T179" s="667"/>
      <c r="U179" s="667"/>
      <c r="V179" s="667"/>
      <c r="W179" s="667"/>
      <c r="X179" s="667"/>
      <c r="Y179" s="667"/>
      <c r="Z179" s="667"/>
      <c r="AA179" s="52"/>
      <c r="AB179" s="52"/>
      <c r="AC179" s="52"/>
    </row>
    <row r="180" spans="1:68" ht="16.5" hidden="1" customHeight="1" x14ac:dyDescent="0.25">
      <c r="A180" s="668" t="s">
        <v>325</v>
      </c>
      <c r="B180" s="668"/>
      <c r="C180" s="668"/>
      <c r="D180" s="668"/>
      <c r="E180" s="668"/>
      <c r="F180" s="668"/>
      <c r="G180" s="668"/>
      <c r="H180" s="668"/>
      <c r="I180" s="668"/>
      <c r="J180" s="668"/>
      <c r="K180" s="668"/>
      <c r="L180" s="668"/>
      <c r="M180" s="668"/>
      <c r="N180" s="668"/>
      <c r="O180" s="668"/>
      <c r="P180" s="668"/>
      <c r="Q180" s="668"/>
      <c r="R180" s="668"/>
      <c r="S180" s="668"/>
      <c r="T180" s="668"/>
      <c r="U180" s="668"/>
      <c r="V180" s="668"/>
      <c r="W180" s="668"/>
      <c r="X180" s="668"/>
      <c r="Y180" s="668"/>
      <c r="Z180" s="668"/>
      <c r="AA180" s="62"/>
      <c r="AB180" s="62"/>
      <c r="AC180" s="62"/>
    </row>
    <row r="181" spans="1:68" ht="14.25" hidden="1" customHeight="1" x14ac:dyDescent="0.25">
      <c r="A181" s="669" t="s">
        <v>129</v>
      </c>
      <c r="B181" s="669"/>
      <c r="C181" s="669"/>
      <c r="D181" s="669"/>
      <c r="E181" s="669"/>
      <c r="F181" s="669"/>
      <c r="G181" s="669"/>
      <c r="H181" s="669"/>
      <c r="I181" s="669"/>
      <c r="J181" s="669"/>
      <c r="K181" s="669"/>
      <c r="L181" s="669"/>
      <c r="M181" s="669"/>
      <c r="N181" s="669"/>
      <c r="O181" s="669"/>
      <c r="P181" s="669"/>
      <c r="Q181" s="669"/>
      <c r="R181" s="669"/>
      <c r="S181" s="669"/>
      <c r="T181" s="669"/>
      <c r="U181" s="669"/>
      <c r="V181" s="669"/>
      <c r="W181" s="669"/>
      <c r="X181" s="669"/>
      <c r="Y181" s="669"/>
      <c r="Z181" s="669"/>
      <c r="AA181" s="63"/>
      <c r="AB181" s="63"/>
      <c r="AC181" s="63"/>
    </row>
    <row r="182" spans="1:68" ht="27" hidden="1" customHeight="1" x14ac:dyDescent="0.25">
      <c r="A182" s="60" t="s">
        <v>326</v>
      </c>
      <c r="B182" s="60" t="s">
        <v>327</v>
      </c>
      <c r="C182" s="34">
        <v>4301012340</v>
      </c>
      <c r="D182" s="670">
        <v>4680115888760</v>
      </c>
      <c r="E182" s="670"/>
      <c r="F182" s="59">
        <v>1.4</v>
      </c>
      <c r="G182" s="35">
        <v>6</v>
      </c>
      <c r="H182" s="59">
        <v>8.4</v>
      </c>
      <c r="I182" s="59">
        <v>8.81</v>
      </c>
      <c r="J182" s="35">
        <v>64</v>
      </c>
      <c r="K182" s="35" t="s">
        <v>134</v>
      </c>
      <c r="L182" s="35" t="s">
        <v>46</v>
      </c>
      <c r="M182" s="36" t="s">
        <v>90</v>
      </c>
      <c r="N182" s="36"/>
      <c r="O182" s="35">
        <v>35</v>
      </c>
      <c r="P182" s="76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82" s="672"/>
      <c r="R182" s="672"/>
      <c r="S182" s="672"/>
      <c r="T182" s="673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ref="Y182:Y188" si="20">IFERROR(IF(X182="",0,CEILING((X182/$H182),1)*$H182),"")</f>
        <v>0</v>
      </c>
      <c r="Z182" s="39" t="str">
        <f t="shared" ref="Z182:Z188" si="21">IFERROR(IF(Y182=0,"",ROUNDUP(Y182/H182,0)*0.01898),"")</f>
        <v/>
      </c>
      <c r="AA182" s="65" t="s">
        <v>46</v>
      </c>
      <c r="AB182" s="66" t="s">
        <v>114</v>
      </c>
      <c r="AC182" s="247" t="s">
        <v>328</v>
      </c>
      <c r="AG182" s="75"/>
      <c r="AJ182" s="79" t="s">
        <v>46</v>
      </c>
      <c r="AK182" s="79">
        <v>0</v>
      </c>
      <c r="BB182" s="248" t="s">
        <v>67</v>
      </c>
      <c r="BM182" s="75">
        <f t="shared" ref="BM182:BM188" si="22">IFERROR(X182*I182/H182,"0")</f>
        <v>0</v>
      </c>
      <c r="BN182" s="75">
        <f t="shared" ref="BN182:BN188" si="23">IFERROR(Y182*I182/H182,"0")</f>
        <v>0</v>
      </c>
      <c r="BO182" s="75">
        <f t="shared" ref="BO182:BO188" si="24">IFERROR(1/J182*(X182/H182),"0")</f>
        <v>0</v>
      </c>
      <c r="BP182" s="75">
        <f t="shared" ref="BP182:BP188" si="25">IFERROR(1/J182*(Y182/H182),"0")</f>
        <v>0</v>
      </c>
    </row>
    <row r="183" spans="1:68" ht="27" hidden="1" customHeight="1" x14ac:dyDescent="0.25">
      <c r="A183" s="60" t="s">
        <v>329</v>
      </c>
      <c r="B183" s="60" t="s">
        <v>330</v>
      </c>
      <c r="C183" s="34">
        <v>4301012341</v>
      </c>
      <c r="D183" s="670">
        <v>4680115888807</v>
      </c>
      <c r="E183" s="670"/>
      <c r="F183" s="59">
        <v>1.4</v>
      </c>
      <c r="G183" s="35">
        <v>6</v>
      </c>
      <c r="H183" s="59">
        <v>8.4</v>
      </c>
      <c r="I183" s="59">
        <v>8.81</v>
      </c>
      <c r="J183" s="35">
        <v>64</v>
      </c>
      <c r="K183" s="35" t="s">
        <v>134</v>
      </c>
      <c r="L183" s="35" t="s">
        <v>46</v>
      </c>
      <c r="M183" s="36" t="s">
        <v>90</v>
      </c>
      <c r="N183" s="36"/>
      <c r="O183" s="35">
        <v>35</v>
      </c>
      <c r="P183" s="76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83" s="672"/>
      <c r="R183" s="672"/>
      <c r="S183" s="672"/>
      <c r="T183" s="67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0"/>
        <v>0</v>
      </c>
      <c r="Z183" s="39" t="str">
        <f t="shared" si="21"/>
        <v/>
      </c>
      <c r="AA183" s="65" t="s">
        <v>46</v>
      </c>
      <c r="AB183" s="66" t="s">
        <v>114</v>
      </c>
      <c r="AC183" s="249" t="s">
        <v>331</v>
      </c>
      <c r="AG183" s="75"/>
      <c r="AJ183" s="79" t="s">
        <v>46</v>
      </c>
      <c r="AK183" s="79">
        <v>0</v>
      </c>
      <c r="BB183" s="250" t="s">
        <v>67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t="27" hidden="1" customHeight="1" x14ac:dyDescent="0.25">
      <c r="A184" s="60" t="s">
        <v>332</v>
      </c>
      <c r="B184" s="60" t="s">
        <v>333</v>
      </c>
      <c r="C184" s="34">
        <v>4301012342</v>
      </c>
      <c r="D184" s="670">
        <v>4680115888852</v>
      </c>
      <c r="E184" s="670"/>
      <c r="F184" s="59">
        <v>0.9</v>
      </c>
      <c r="G184" s="35">
        <v>6</v>
      </c>
      <c r="H184" s="59">
        <v>5.4</v>
      </c>
      <c r="I184" s="59">
        <v>5.81</v>
      </c>
      <c r="J184" s="35">
        <v>64</v>
      </c>
      <c r="K184" s="35" t="s">
        <v>134</v>
      </c>
      <c r="L184" s="35" t="s">
        <v>46</v>
      </c>
      <c r="M184" s="36" t="s">
        <v>90</v>
      </c>
      <c r="N184" s="36"/>
      <c r="O184" s="35">
        <v>35</v>
      </c>
      <c r="P184" s="76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184" s="672"/>
      <c r="R184" s="672"/>
      <c r="S184" s="672"/>
      <c r="T184" s="67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0"/>
        <v>0</v>
      </c>
      <c r="Z184" s="39" t="str">
        <f t="shared" si="21"/>
        <v/>
      </c>
      <c r="AA184" s="65" t="s">
        <v>46</v>
      </c>
      <c r="AB184" s="66" t="s">
        <v>114</v>
      </c>
      <c r="AC184" s="251" t="s">
        <v>334</v>
      </c>
      <c r="AG184" s="75"/>
      <c r="AJ184" s="79" t="s">
        <v>46</v>
      </c>
      <c r="AK184" s="79">
        <v>0</v>
      </c>
      <c r="BB184" s="252" t="s">
        <v>67</v>
      </c>
      <c r="BM184" s="75">
        <f t="shared" si="22"/>
        <v>0</v>
      </c>
      <c r="BN184" s="75">
        <f t="shared" si="23"/>
        <v>0</v>
      </c>
      <c r="BO184" s="75">
        <f t="shared" si="24"/>
        <v>0</v>
      </c>
      <c r="BP184" s="75">
        <f t="shared" si="25"/>
        <v>0</v>
      </c>
    </row>
    <row r="185" spans="1:68" ht="27" hidden="1" customHeight="1" x14ac:dyDescent="0.25">
      <c r="A185" s="60" t="s">
        <v>335</v>
      </c>
      <c r="B185" s="60" t="s">
        <v>336</v>
      </c>
      <c r="C185" s="34">
        <v>4301011223</v>
      </c>
      <c r="D185" s="670">
        <v>4607091383423</v>
      </c>
      <c r="E185" s="670"/>
      <c r="F185" s="59">
        <v>1.35</v>
      </c>
      <c r="G185" s="35">
        <v>8</v>
      </c>
      <c r="H185" s="59">
        <v>10.8</v>
      </c>
      <c r="I185" s="59">
        <v>11.305999999999999</v>
      </c>
      <c r="J185" s="35">
        <v>64</v>
      </c>
      <c r="K185" s="35" t="s">
        <v>134</v>
      </c>
      <c r="L185" s="35" t="s">
        <v>46</v>
      </c>
      <c r="M185" s="36" t="s">
        <v>90</v>
      </c>
      <c r="N185" s="36"/>
      <c r="O185" s="35">
        <v>35</v>
      </c>
      <c r="P185" s="76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85" s="672"/>
      <c r="R185" s="672"/>
      <c r="S185" s="672"/>
      <c r="T185" s="67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0"/>
        <v>0</v>
      </c>
      <c r="Z185" s="39" t="str">
        <f t="shared" si="21"/>
        <v/>
      </c>
      <c r="AA185" s="65" t="s">
        <v>46</v>
      </c>
      <c r="AB185" s="66" t="s">
        <v>46</v>
      </c>
      <c r="AC185" s="253" t="s">
        <v>132</v>
      </c>
      <c r="AG185" s="75"/>
      <c r="AJ185" s="79" t="s">
        <v>46</v>
      </c>
      <c r="AK185" s="79">
        <v>0</v>
      </c>
      <c r="BB185" s="254" t="s">
        <v>67</v>
      </c>
      <c r="BM185" s="75">
        <f t="shared" si="22"/>
        <v>0</v>
      </c>
      <c r="BN185" s="75">
        <f t="shared" si="23"/>
        <v>0</v>
      </c>
      <c r="BO185" s="75">
        <f t="shared" si="24"/>
        <v>0</v>
      </c>
      <c r="BP185" s="75">
        <f t="shared" si="25"/>
        <v>0</v>
      </c>
    </row>
    <row r="186" spans="1:68" ht="37.5" hidden="1" customHeight="1" x14ac:dyDescent="0.25">
      <c r="A186" s="60" t="s">
        <v>337</v>
      </c>
      <c r="B186" s="60" t="s">
        <v>338</v>
      </c>
      <c r="C186" s="34">
        <v>4301012370</v>
      </c>
      <c r="D186" s="670">
        <v>4680115886957</v>
      </c>
      <c r="E186" s="670"/>
      <c r="F186" s="59">
        <v>1.35</v>
      </c>
      <c r="G186" s="35">
        <v>8</v>
      </c>
      <c r="H186" s="59">
        <v>10.8</v>
      </c>
      <c r="I186" s="59">
        <v>11.29</v>
      </c>
      <c r="J186" s="35">
        <v>64</v>
      </c>
      <c r="K186" s="35" t="s">
        <v>134</v>
      </c>
      <c r="L186" s="35" t="s">
        <v>46</v>
      </c>
      <c r="M186" s="36" t="s">
        <v>90</v>
      </c>
      <c r="N186" s="36"/>
      <c r="O186" s="35">
        <v>35</v>
      </c>
      <c r="P186" s="76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186" s="672"/>
      <c r="R186" s="672"/>
      <c r="S186" s="672"/>
      <c r="T186" s="673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0"/>
        <v>0</v>
      </c>
      <c r="Z186" s="39" t="str">
        <f t="shared" si="21"/>
        <v/>
      </c>
      <c r="AA186" s="65" t="s">
        <v>46</v>
      </c>
      <c r="AB186" s="66" t="s">
        <v>46</v>
      </c>
      <c r="AC186" s="255" t="s">
        <v>339</v>
      </c>
      <c r="AG186" s="75"/>
      <c r="AJ186" s="79" t="s">
        <v>46</v>
      </c>
      <c r="AK186" s="79">
        <v>0</v>
      </c>
      <c r="BB186" s="256" t="s">
        <v>67</v>
      </c>
      <c r="BM186" s="75">
        <f t="shared" si="22"/>
        <v>0</v>
      </c>
      <c r="BN186" s="75">
        <f t="shared" si="23"/>
        <v>0</v>
      </c>
      <c r="BO186" s="75">
        <f t="shared" si="24"/>
        <v>0</v>
      </c>
      <c r="BP186" s="75">
        <f t="shared" si="25"/>
        <v>0</v>
      </c>
    </row>
    <row r="187" spans="1:68" ht="27" hidden="1" customHeight="1" x14ac:dyDescent="0.25">
      <c r="A187" s="60" t="s">
        <v>340</v>
      </c>
      <c r="B187" s="60" t="s">
        <v>341</v>
      </c>
      <c r="C187" s="34">
        <v>4301012098</v>
      </c>
      <c r="D187" s="670">
        <v>4680115885660</v>
      </c>
      <c r="E187" s="670"/>
      <c r="F187" s="59">
        <v>1.35</v>
      </c>
      <c r="G187" s="35">
        <v>8</v>
      </c>
      <c r="H187" s="59">
        <v>10.8</v>
      </c>
      <c r="I187" s="59">
        <v>11.21</v>
      </c>
      <c r="J187" s="35">
        <v>64</v>
      </c>
      <c r="K187" s="35" t="s">
        <v>134</v>
      </c>
      <c r="L187" s="35" t="s">
        <v>46</v>
      </c>
      <c r="M187" s="36" t="s">
        <v>90</v>
      </c>
      <c r="N187" s="36"/>
      <c r="O187" s="35">
        <v>35</v>
      </c>
      <c r="P187" s="76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87" s="672"/>
      <c r="R187" s="672"/>
      <c r="S187" s="672"/>
      <c r="T187" s="673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0"/>
        <v>0</v>
      </c>
      <c r="Z187" s="39" t="str">
        <f t="shared" si="21"/>
        <v/>
      </c>
      <c r="AA187" s="65" t="s">
        <v>46</v>
      </c>
      <c r="AB187" s="66" t="s">
        <v>46</v>
      </c>
      <c r="AC187" s="257" t="s">
        <v>342</v>
      </c>
      <c r="AG187" s="75"/>
      <c r="AJ187" s="79" t="s">
        <v>46</v>
      </c>
      <c r="AK187" s="79">
        <v>0</v>
      </c>
      <c r="BB187" s="258" t="s">
        <v>67</v>
      </c>
      <c r="BM187" s="75">
        <f t="shared" si="22"/>
        <v>0</v>
      </c>
      <c r="BN187" s="75">
        <f t="shared" si="23"/>
        <v>0</v>
      </c>
      <c r="BO187" s="75">
        <f t="shared" si="24"/>
        <v>0</v>
      </c>
      <c r="BP187" s="75">
        <f t="shared" si="25"/>
        <v>0</v>
      </c>
    </row>
    <row r="188" spans="1:68" ht="27" hidden="1" customHeight="1" x14ac:dyDescent="0.25">
      <c r="A188" s="60" t="s">
        <v>343</v>
      </c>
      <c r="B188" s="60" t="s">
        <v>344</v>
      </c>
      <c r="C188" s="34">
        <v>4301012369</v>
      </c>
      <c r="D188" s="670">
        <v>4680115886773</v>
      </c>
      <c r="E188" s="670"/>
      <c r="F188" s="59">
        <v>0.9</v>
      </c>
      <c r="G188" s="35">
        <v>10</v>
      </c>
      <c r="H188" s="59">
        <v>9</v>
      </c>
      <c r="I188" s="59">
        <v>9.51</v>
      </c>
      <c r="J188" s="35">
        <v>64</v>
      </c>
      <c r="K188" s="35" t="s">
        <v>134</v>
      </c>
      <c r="L188" s="35" t="s">
        <v>46</v>
      </c>
      <c r="M188" s="36" t="s">
        <v>90</v>
      </c>
      <c r="N188" s="36"/>
      <c r="O188" s="35">
        <v>35</v>
      </c>
      <c r="P188" s="76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188" s="672"/>
      <c r="R188" s="672"/>
      <c r="S188" s="672"/>
      <c r="T188" s="673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0"/>
        <v>0</v>
      </c>
      <c r="Z188" s="39" t="str">
        <f t="shared" si="21"/>
        <v/>
      </c>
      <c r="AA188" s="65" t="s">
        <v>46</v>
      </c>
      <c r="AB188" s="66" t="s">
        <v>46</v>
      </c>
      <c r="AC188" s="259" t="s">
        <v>345</v>
      </c>
      <c r="AG188" s="75"/>
      <c r="AJ188" s="79" t="s">
        <v>46</v>
      </c>
      <c r="AK188" s="79">
        <v>0</v>
      </c>
      <c r="BB188" s="260" t="s">
        <v>67</v>
      </c>
      <c r="BM188" s="75">
        <f t="shared" si="22"/>
        <v>0</v>
      </c>
      <c r="BN188" s="75">
        <f t="shared" si="23"/>
        <v>0</v>
      </c>
      <c r="BO188" s="75">
        <f t="shared" si="24"/>
        <v>0</v>
      </c>
      <c r="BP188" s="75">
        <f t="shared" si="25"/>
        <v>0</v>
      </c>
    </row>
    <row r="189" spans="1:68" hidden="1" x14ac:dyDescent="0.2">
      <c r="A189" s="678"/>
      <c r="B189" s="678"/>
      <c r="C189" s="678"/>
      <c r="D189" s="678"/>
      <c r="E189" s="678"/>
      <c r="F189" s="678"/>
      <c r="G189" s="678"/>
      <c r="H189" s="678"/>
      <c r="I189" s="678"/>
      <c r="J189" s="678"/>
      <c r="K189" s="678"/>
      <c r="L189" s="678"/>
      <c r="M189" s="678"/>
      <c r="N189" s="678"/>
      <c r="O189" s="679"/>
      <c r="P189" s="675" t="s">
        <v>40</v>
      </c>
      <c r="Q189" s="676"/>
      <c r="R189" s="676"/>
      <c r="S189" s="676"/>
      <c r="T189" s="676"/>
      <c r="U189" s="676"/>
      <c r="V189" s="677"/>
      <c r="W189" s="40" t="s">
        <v>39</v>
      </c>
      <c r="X189" s="41">
        <f>IFERROR(X182/H182,"0")+IFERROR(X183/H183,"0")+IFERROR(X184/H184,"0")+IFERROR(X185/H185,"0")+IFERROR(X186/H186,"0")+IFERROR(X187/H187,"0")+IFERROR(X188/H188,"0")</f>
        <v>0</v>
      </c>
      <c r="Y189" s="41">
        <f>IFERROR(Y182/H182,"0")+IFERROR(Y183/H183,"0")+IFERROR(Y184/H184,"0")+IFERROR(Y185/H185,"0")+IFERROR(Y186/H186,"0")+IFERROR(Y187/H187,"0")+IFERROR(Y188/H188,"0")</f>
        <v>0</v>
      </c>
      <c r="Z189" s="41">
        <f>IFERROR(IF(Z182="",0,Z182),"0")+IFERROR(IF(Z183="",0,Z183),"0")+IFERROR(IF(Z184="",0,Z184),"0")+IFERROR(IF(Z185="",0,Z185),"0")+IFERROR(IF(Z186="",0,Z186),"0")+IFERROR(IF(Z187="",0,Z187),"0")+IFERROR(IF(Z188="",0,Z188),"0")</f>
        <v>0</v>
      </c>
      <c r="AA189" s="64"/>
      <c r="AB189" s="64"/>
      <c r="AC189" s="64"/>
    </row>
    <row r="190" spans="1:68" hidden="1" x14ac:dyDescent="0.2">
      <c r="A190" s="678"/>
      <c r="B190" s="678"/>
      <c r="C190" s="678"/>
      <c r="D190" s="678"/>
      <c r="E190" s="678"/>
      <c r="F190" s="678"/>
      <c r="G190" s="678"/>
      <c r="H190" s="678"/>
      <c r="I190" s="678"/>
      <c r="J190" s="678"/>
      <c r="K190" s="678"/>
      <c r="L190" s="678"/>
      <c r="M190" s="678"/>
      <c r="N190" s="678"/>
      <c r="O190" s="679"/>
      <c r="P190" s="675" t="s">
        <v>40</v>
      </c>
      <c r="Q190" s="676"/>
      <c r="R190" s="676"/>
      <c r="S190" s="676"/>
      <c r="T190" s="676"/>
      <c r="U190" s="676"/>
      <c r="V190" s="677"/>
      <c r="W190" s="40" t="s">
        <v>0</v>
      </c>
      <c r="X190" s="41">
        <f>IFERROR(SUM(X182:X188),"0")</f>
        <v>0</v>
      </c>
      <c r="Y190" s="41">
        <f>IFERROR(SUM(Y182:Y188),"0")</f>
        <v>0</v>
      </c>
      <c r="Z190" s="40"/>
      <c r="AA190" s="64"/>
      <c r="AB190" s="64"/>
      <c r="AC190" s="64"/>
    </row>
    <row r="191" spans="1:68" ht="16.5" hidden="1" customHeight="1" x14ac:dyDescent="0.25">
      <c r="A191" s="668" t="s">
        <v>346</v>
      </c>
      <c r="B191" s="668"/>
      <c r="C191" s="668"/>
      <c r="D191" s="668"/>
      <c r="E191" s="668"/>
      <c r="F191" s="668"/>
      <c r="G191" s="668"/>
      <c r="H191" s="668"/>
      <c r="I191" s="668"/>
      <c r="J191" s="668"/>
      <c r="K191" s="668"/>
      <c r="L191" s="668"/>
      <c r="M191" s="668"/>
      <c r="N191" s="668"/>
      <c r="O191" s="668"/>
      <c r="P191" s="668"/>
      <c r="Q191" s="668"/>
      <c r="R191" s="668"/>
      <c r="S191" s="668"/>
      <c r="T191" s="668"/>
      <c r="U191" s="668"/>
      <c r="V191" s="668"/>
      <c r="W191" s="668"/>
      <c r="X191" s="668"/>
      <c r="Y191" s="668"/>
      <c r="Z191" s="668"/>
      <c r="AA191" s="62"/>
      <c r="AB191" s="62"/>
      <c r="AC191" s="62"/>
    </row>
    <row r="192" spans="1:68" ht="14.25" hidden="1" customHeight="1" x14ac:dyDescent="0.25">
      <c r="A192" s="669" t="s">
        <v>166</v>
      </c>
      <c r="B192" s="669"/>
      <c r="C192" s="669"/>
      <c r="D192" s="669"/>
      <c r="E192" s="669"/>
      <c r="F192" s="669"/>
      <c r="G192" s="669"/>
      <c r="H192" s="669"/>
      <c r="I192" s="669"/>
      <c r="J192" s="669"/>
      <c r="K192" s="669"/>
      <c r="L192" s="669"/>
      <c r="M192" s="669"/>
      <c r="N192" s="669"/>
      <c r="O192" s="669"/>
      <c r="P192" s="669"/>
      <c r="Q192" s="669"/>
      <c r="R192" s="669"/>
      <c r="S192" s="669"/>
      <c r="T192" s="669"/>
      <c r="U192" s="669"/>
      <c r="V192" s="669"/>
      <c r="W192" s="669"/>
      <c r="X192" s="669"/>
      <c r="Y192" s="669"/>
      <c r="Z192" s="669"/>
      <c r="AA192" s="63"/>
      <c r="AB192" s="63"/>
      <c r="AC192" s="63"/>
    </row>
    <row r="193" spans="1:68" ht="27" hidden="1" customHeight="1" x14ac:dyDescent="0.25">
      <c r="A193" s="60" t="s">
        <v>347</v>
      </c>
      <c r="B193" s="60" t="s">
        <v>348</v>
      </c>
      <c r="C193" s="34">
        <v>4301020323</v>
      </c>
      <c r="D193" s="670">
        <v>4680115886223</v>
      </c>
      <c r="E193" s="670"/>
      <c r="F193" s="59">
        <v>0.33</v>
      </c>
      <c r="G193" s="35">
        <v>6</v>
      </c>
      <c r="H193" s="59">
        <v>1.98</v>
      </c>
      <c r="I193" s="59">
        <v>2.08</v>
      </c>
      <c r="J193" s="35">
        <v>234</v>
      </c>
      <c r="K193" s="35" t="s">
        <v>82</v>
      </c>
      <c r="L193" s="35" t="s">
        <v>46</v>
      </c>
      <c r="M193" s="36" t="s">
        <v>81</v>
      </c>
      <c r="N193" s="36"/>
      <c r="O193" s="35">
        <v>40</v>
      </c>
      <c r="P193" s="76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93" s="672"/>
      <c r="R193" s="672"/>
      <c r="S193" s="672"/>
      <c r="T193" s="673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IFERROR(IF(Y193=0,"",ROUNDUP(Y193/H193,0)*0.00502),"")</f>
        <v/>
      </c>
      <c r="AA193" s="65" t="s">
        <v>46</v>
      </c>
      <c r="AB193" s="66" t="s">
        <v>46</v>
      </c>
      <c r="AC193" s="261" t="s">
        <v>349</v>
      </c>
      <c r="AG193" s="75"/>
      <c r="AJ193" s="79" t="s">
        <v>46</v>
      </c>
      <c r="AK193" s="79">
        <v>0</v>
      </c>
      <c r="BB193" s="262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78"/>
      <c r="B194" s="678"/>
      <c r="C194" s="678"/>
      <c r="D194" s="678"/>
      <c r="E194" s="678"/>
      <c r="F194" s="678"/>
      <c r="G194" s="678"/>
      <c r="H194" s="678"/>
      <c r="I194" s="678"/>
      <c r="J194" s="678"/>
      <c r="K194" s="678"/>
      <c r="L194" s="678"/>
      <c r="M194" s="678"/>
      <c r="N194" s="678"/>
      <c r="O194" s="679"/>
      <c r="P194" s="675" t="s">
        <v>40</v>
      </c>
      <c r="Q194" s="676"/>
      <c r="R194" s="676"/>
      <c r="S194" s="676"/>
      <c r="T194" s="676"/>
      <c r="U194" s="676"/>
      <c r="V194" s="677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78"/>
      <c r="B195" s="678"/>
      <c r="C195" s="678"/>
      <c r="D195" s="678"/>
      <c r="E195" s="678"/>
      <c r="F195" s="678"/>
      <c r="G195" s="678"/>
      <c r="H195" s="678"/>
      <c r="I195" s="678"/>
      <c r="J195" s="678"/>
      <c r="K195" s="678"/>
      <c r="L195" s="678"/>
      <c r="M195" s="678"/>
      <c r="N195" s="678"/>
      <c r="O195" s="679"/>
      <c r="P195" s="675" t="s">
        <v>40</v>
      </c>
      <c r="Q195" s="676"/>
      <c r="R195" s="676"/>
      <c r="S195" s="676"/>
      <c r="T195" s="676"/>
      <c r="U195" s="676"/>
      <c r="V195" s="677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69" t="s">
        <v>77</v>
      </c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69"/>
      <c r="P196" s="669"/>
      <c r="Q196" s="669"/>
      <c r="R196" s="669"/>
      <c r="S196" s="669"/>
      <c r="T196" s="669"/>
      <c r="U196" s="669"/>
      <c r="V196" s="669"/>
      <c r="W196" s="669"/>
      <c r="X196" s="669"/>
      <c r="Y196" s="669"/>
      <c r="Z196" s="669"/>
      <c r="AA196" s="63"/>
      <c r="AB196" s="63"/>
      <c r="AC196" s="63"/>
    </row>
    <row r="197" spans="1:68" ht="27" hidden="1" customHeight="1" x14ac:dyDescent="0.25">
      <c r="A197" s="60" t="s">
        <v>350</v>
      </c>
      <c r="B197" s="60" t="s">
        <v>351</v>
      </c>
      <c r="C197" s="34">
        <v>4301031191</v>
      </c>
      <c r="D197" s="670">
        <v>4680115880993</v>
      </c>
      <c r="E197" s="670"/>
      <c r="F197" s="59">
        <v>0.7</v>
      </c>
      <c r="G197" s="35">
        <v>6</v>
      </c>
      <c r="H197" s="59">
        <v>4.2</v>
      </c>
      <c r="I197" s="59">
        <v>4.45</v>
      </c>
      <c r="J197" s="35">
        <v>132</v>
      </c>
      <c r="K197" s="35" t="s">
        <v>141</v>
      </c>
      <c r="L197" s="35" t="s">
        <v>46</v>
      </c>
      <c r="M197" s="36" t="s">
        <v>81</v>
      </c>
      <c r="N197" s="36"/>
      <c r="O197" s="35">
        <v>40</v>
      </c>
      <c r="P197" s="76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97" s="672"/>
      <c r="R197" s="672"/>
      <c r="S197" s="672"/>
      <c r="T197" s="673"/>
      <c r="U197" s="37" t="s">
        <v>46</v>
      </c>
      <c r="V197" s="37" t="s">
        <v>46</v>
      </c>
      <c r="W197" s="38" t="s">
        <v>0</v>
      </c>
      <c r="X197" s="56">
        <v>0</v>
      </c>
      <c r="Y197" s="53">
        <f t="shared" ref="Y197:Y210" si="26">IFERROR(IF(X197="",0,CEILING((X197/$H197),1)*$H197),"")</f>
        <v>0</v>
      </c>
      <c r="Z197" s="39" t="str">
        <f>IFERROR(IF(Y197=0,"",ROUNDUP(Y197/H197,0)*0.00902),"")</f>
        <v/>
      </c>
      <c r="AA197" s="65" t="s">
        <v>46</v>
      </c>
      <c r="AB197" s="66" t="s">
        <v>46</v>
      </c>
      <c r="AC197" s="263" t="s">
        <v>352</v>
      </c>
      <c r="AG197" s="75"/>
      <c r="AJ197" s="79" t="s">
        <v>46</v>
      </c>
      <c r="AK197" s="79">
        <v>0</v>
      </c>
      <c r="BB197" s="264" t="s">
        <v>67</v>
      </c>
      <c r="BM197" s="75">
        <f t="shared" ref="BM197:BM210" si="27">IFERROR(X197*I197/H197,"0")</f>
        <v>0</v>
      </c>
      <c r="BN197" s="75">
        <f t="shared" ref="BN197:BN210" si="28">IFERROR(Y197*I197/H197,"0")</f>
        <v>0</v>
      </c>
      <c r="BO197" s="75">
        <f t="shared" ref="BO197:BO210" si="29">IFERROR(1/J197*(X197/H197),"0")</f>
        <v>0</v>
      </c>
      <c r="BP197" s="75">
        <f t="shared" ref="BP197:BP210" si="30">IFERROR(1/J197*(Y197/H197),"0")</f>
        <v>0</v>
      </c>
    </row>
    <row r="198" spans="1:68" ht="27" hidden="1" customHeight="1" x14ac:dyDescent="0.25">
      <c r="A198" s="60" t="s">
        <v>353</v>
      </c>
      <c r="B198" s="60" t="s">
        <v>354</v>
      </c>
      <c r="C198" s="34">
        <v>4301031204</v>
      </c>
      <c r="D198" s="670">
        <v>4680115881761</v>
      </c>
      <c r="E198" s="670"/>
      <c r="F198" s="59">
        <v>0.7</v>
      </c>
      <c r="G198" s="35">
        <v>6</v>
      </c>
      <c r="H198" s="59">
        <v>4.2</v>
      </c>
      <c r="I198" s="59">
        <v>4.45</v>
      </c>
      <c r="J198" s="35">
        <v>132</v>
      </c>
      <c r="K198" s="35" t="s">
        <v>141</v>
      </c>
      <c r="L198" s="35" t="s">
        <v>46</v>
      </c>
      <c r="M198" s="36" t="s">
        <v>81</v>
      </c>
      <c r="N198" s="36"/>
      <c r="O198" s="35">
        <v>40</v>
      </c>
      <c r="P198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98" s="672"/>
      <c r="R198" s="672"/>
      <c r="S198" s="672"/>
      <c r="T198" s="673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si="26"/>
        <v>0</v>
      </c>
      <c r="Z198" s="39" t="str">
        <f>IFERROR(IF(Y198=0,"",ROUNDUP(Y198/H198,0)*0.00902),"")</f>
        <v/>
      </c>
      <c r="AA198" s="65" t="s">
        <v>46</v>
      </c>
      <c r="AB198" s="66" t="s">
        <v>46</v>
      </c>
      <c r="AC198" s="265" t="s">
        <v>355</v>
      </c>
      <c r="AG198" s="75"/>
      <c r="AJ198" s="79" t="s">
        <v>46</v>
      </c>
      <c r="AK198" s="79">
        <v>0</v>
      </c>
      <c r="BB198" s="266" t="s">
        <v>67</v>
      </c>
      <c r="BM198" s="75">
        <f t="shared" si="27"/>
        <v>0</v>
      </c>
      <c r="BN198" s="75">
        <f t="shared" si="28"/>
        <v>0</v>
      </c>
      <c r="BO198" s="75">
        <f t="shared" si="29"/>
        <v>0</v>
      </c>
      <c r="BP198" s="75">
        <f t="shared" si="30"/>
        <v>0</v>
      </c>
    </row>
    <row r="199" spans="1:68" ht="27" hidden="1" customHeight="1" x14ac:dyDescent="0.25">
      <c r="A199" s="60" t="s">
        <v>356</v>
      </c>
      <c r="B199" s="60" t="s">
        <v>357</v>
      </c>
      <c r="C199" s="34">
        <v>4301031201</v>
      </c>
      <c r="D199" s="670">
        <v>4680115881563</v>
      </c>
      <c r="E199" s="670"/>
      <c r="F199" s="59">
        <v>0.7</v>
      </c>
      <c r="G199" s="35">
        <v>6</v>
      </c>
      <c r="H199" s="59">
        <v>4.2</v>
      </c>
      <c r="I199" s="59">
        <v>4.3899999999999997</v>
      </c>
      <c r="J199" s="35">
        <v>132</v>
      </c>
      <c r="K199" s="35" t="s">
        <v>141</v>
      </c>
      <c r="L199" s="35" t="s">
        <v>46</v>
      </c>
      <c r="M199" s="36" t="s">
        <v>81</v>
      </c>
      <c r="N199" s="36"/>
      <c r="O199" s="35">
        <v>40</v>
      </c>
      <c r="P199" s="77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99" s="672"/>
      <c r="R199" s="672"/>
      <c r="S199" s="672"/>
      <c r="T199" s="673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26"/>
        <v>0</v>
      </c>
      <c r="Z199" s="39" t="str">
        <f>IFERROR(IF(Y199=0,"",ROUNDUP(Y199/H199,0)*0.00902),"")</f>
        <v/>
      </c>
      <c r="AA199" s="65" t="s">
        <v>46</v>
      </c>
      <c r="AB199" s="66" t="s">
        <v>46</v>
      </c>
      <c r="AC199" s="267" t="s">
        <v>358</v>
      </c>
      <c r="AG199" s="75"/>
      <c r="AJ199" s="79" t="s">
        <v>46</v>
      </c>
      <c r="AK199" s="79">
        <v>0</v>
      </c>
      <c r="BB199" s="268" t="s">
        <v>67</v>
      </c>
      <c r="BM199" s="75">
        <f t="shared" si="27"/>
        <v>0</v>
      </c>
      <c r="BN199" s="75">
        <f t="shared" si="28"/>
        <v>0</v>
      </c>
      <c r="BO199" s="75">
        <f t="shared" si="29"/>
        <v>0</v>
      </c>
      <c r="BP199" s="75">
        <f t="shared" si="30"/>
        <v>0</v>
      </c>
    </row>
    <row r="200" spans="1:68" ht="37.5" hidden="1" customHeight="1" x14ac:dyDescent="0.25">
      <c r="A200" s="60" t="s">
        <v>359</v>
      </c>
      <c r="B200" s="60" t="s">
        <v>360</v>
      </c>
      <c r="C200" s="34">
        <v>4301031447</v>
      </c>
      <c r="D200" s="670">
        <v>4680115887565</v>
      </c>
      <c r="E200" s="670"/>
      <c r="F200" s="59">
        <v>0.08</v>
      </c>
      <c r="G200" s="35">
        <v>10</v>
      </c>
      <c r="H200" s="59">
        <v>0.8</v>
      </c>
      <c r="I200" s="59">
        <v>0.93</v>
      </c>
      <c r="J200" s="35">
        <v>252</v>
      </c>
      <c r="K200" s="35" t="s">
        <v>82</v>
      </c>
      <c r="L200" s="35" t="s">
        <v>46</v>
      </c>
      <c r="M200" s="36" t="s">
        <v>81</v>
      </c>
      <c r="N200" s="36"/>
      <c r="O200" s="35">
        <v>45</v>
      </c>
      <c r="P200" s="77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00" s="672"/>
      <c r="R200" s="672"/>
      <c r="S200" s="672"/>
      <c r="T200" s="673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6"/>
        <v>0</v>
      </c>
      <c r="Z200" s="39" t="str">
        <f>IFERROR(IF(Y200=0,"",ROUNDUP(Y200/H200,0)*0.00556),"")</f>
        <v/>
      </c>
      <c r="AA200" s="65" t="s">
        <v>46</v>
      </c>
      <c r="AB200" s="66" t="s">
        <v>46</v>
      </c>
      <c r="AC200" s="269" t="s">
        <v>361</v>
      </c>
      <c r="AG200" s="75"/>
      <c r="AJ200" s="79" t="s">
        <v>46</v>
      </c>
      <c r="AK200" s="79">
        <v>0</v>
      </c>
      <c r="BB200" s="270" t="s">
        <v>67</v>
      </c>
      <c r="BM200" s="75">
        <f t="shared" si="27"/>
        <v>0</v>
      </c>
      <c r="BN200" s="75">
        <f t="shared" si="28"/>
        <v>0</v>
      </c>
      <c r="BO200" s="75">
        <f t="shared" si="29"/>
        <v>0</v>
      </c>
      <c r="BP200" s="75">
        <f t="shared" si="30"/>
        <v>0</v>
      </c>
    </row>
    <row r="201" spans="1:68" ht="27" customHeight="1" x14ac:dyDescent="0.25">
      <c r="A201" s="60" t="s">
        <v>362</v>
      </c>
      <c r="B201" s="60" t="s">
        <v>363</v>
      </c>
      <c r="C201" s="34">
        <v>4301031199</v>
      </c>
      <c r="D201" s="670">
        <v>4680115880986</v>
      </c>
      <c r="E201" s="670"/>
      <c r="F201" s="59">
        <v>0.35</v>
      </c>
      <c r="G201" s="35">
        <v>6</v>
      </c>
      <c r="H201" s="59">
        <v>2.1</v>
      </c>
      <c r="I201" s="59">
        <v>2.23</v>
      </c>
      <c r="J201" s="35">
        <v>234</v>
      </c>
      <c r="K201" s="35" t="s">
        <v>82</v>
      </c>
      <c r="L201" s="35" t="s">
        <v>46</v>
      </c>
      <c r="M201" s="36" t="s">
        <v>81</v>
      </c>
      <c r="N201" s="36"/>
      <c r="O201" s="35">
        <v>40</v>
      </c>
      <c r="P201" s="77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01" s="672"/>
      <c r="R201" s="672"/>
      <c r="S201" s="672"/>
      <c r="T201" s="673"/>
      <c r="U201" s="37" t="s">
        <v>46</v>
      </c>
      <c r="V201" s="37" t="s">
        <v>46</v>
      </c>
      <c r="W201" s="38" t="s">
        <v>0</v>
      </c>
      <c r="X201" s="56">
        <v>6.3</v>
      </c>
      <c r="Y201" s="53">
        <f t="shared" si="26"/>
        <v>6.3000000000000007</v>
      </c>
      <c r="Z201" s="39">
        <f t="shared" ref="Z201:Z206" si="31">IFERROR(IF(Y201=0,"",ROUNDUP(Y201/H201,0)*0.00502),"")</f>
        <v>1.506E-2</v>
      </c>
      <c r="AA201" s="65" t="s">
        <v>46</v>
      </c>
      <c r="AB201" s="66" t="s">
        <v>46</v>
      </c>
      <c r="AC201" s="271" t="s">
        <v>352</v>
      </c>
      <c r="AG201" s="75"/>
      <c r="AJ201" s="79" t="s">
        <v>46</v>
      </c>
      <c r="AK201" s="79">
        <v>0</v>
      </c>
      <c r="BB201" s="272" t="s">
        <v>67</v>
      </c>
      <c r="BM201" s="75">
        <f t="shared" si="27"/>
        <v>6.6899999999999995</v>
      </c>
      <c r="BN201" s="75">
        <f t="shared" si="28"/>
        <v>6.69</v>
      </c>
      <c r="BO201" s="75">
        <f t="shared" si="29"/>
        <v>1.2820512820512822E-2</v>
      </c>
      <c r="BP201" s="75">
        <f t="shared" si="30"/>
        <v>1.2820512820512822E-2</v>
      </c>
    </row>
    <row r="202" spans="1:68" ht="27" hidden="1" customHeight="1" x14ac:dyDescent="0.25">
      <c r="A202" s="60" t="s">
        <v>364</v>
      </c>
      <c r="B202" s="60" t="s">
        <v>365</v>
      </c>
      <c r="C202" s="34">
        <v>4301031443</v>
      </c>
      <c r="D202" s="670">
        <v>4680115887213</v>
      </c>
      <c r="E202" s="670"/>
      <c r="F202" s="59">
        <v>0.3</v>
      </c>
      <c r="G202" s="35">
        <v>6</v>
      </c>
      <c r="H202" s="59">
        <v>1.8</v>
      </c>
      <c r="I202" s="59">
        <v>1.9</v>
      </c>
      <c r="J202" s="35">
        <v>234</v>
      </c>
      <c r="K202" s="35" t="s">
        <v>82</v>
      </c>
      <c r="L202" s="35" t="s">
        <v>46</v>
      </c>
      <c r="M202" s="36" t="s">
        <v>81</v>
      </c>
      <c r="N202" s="36"/>
      <c r="O202" s="35">
        <v>45</v>
      </c>
      <c r="P202" s="7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02" s="672"/>
      <c r="R202" s="672"/>
      <c r="S202" s="672"/>
      <c r="T202" s="673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6"/>
        <v>0</v>
      </c>
      <c r="Z202" s="39" t="str">
        <f t="shared" si="31"/>
        <v/>
      </c>
      <c r="AA202" s="65" t="s">
        <v>46</v>
      </c>
      <c r="AB202" s="66" t="s">
        <v>46</v>
      </c>
      <c r="AC202" s="273" t="s">
        <v>366</v>
      </c>
      <c r="AG202" s="75"/>
      <c r="AJ202" s="79" t="s">
        <v>46</v>
      </c>
      <c r="AK202" s="79">
        <v>0</v>
      </c>
      <c r="BB202" s="274" t="s">
        <v>67</v>
      </c>
      <c r="BM202" s="75">
        <f t="shared" si="27"/>
        <v>0</v>
      </c>
      <c r="BN202" s="75">
        <f t="shared" si="28"/>
        <v>0</v>
      </c>
      <c r="BO202" s="75">
        <f t="shared" si="29"/>
        <v>0</v>
      </c>
      <c r="BP202" s="75">
        <f t="shared" si="30"/>
        <v>0</v>
      </c>
    </row>
    <row r="203" spans="1:68" ht="27" hidden="1" customHeight="1" x14ac:dyDescent="0.25">
      <c r="A203" s="60" t="s">
        <v>367</v>
      </c>
      <c r="B203" s="60" t="s">
        <v>368</v>
      </c>
      <c r="C203" s="34">
        <v>4301031205</v>
      </c>
      <c r="D203" s="670">
        <v>4680115881785</v>
      </c>
      <c r="E203" s="670"/>
      <c r="F203" s="59">
        <v>0.35</v>
      </c>
      <c r="G203" s="35">
        <v>6</v>
      </c>
      <c r="H203" s="59">
        <v>2.1</v>
      </c>
      <c r="I203" s="59">
        <v>2.23</v>
      </c>
      <c r="J203" s="35">
        <v>234</v>
      </c>
      <c r="K203" s="35" t="s">
        <v>82</v>
      </c>
      <c r="L203" s="35" t="s">
        <v>46</v>
      </c>
      <c r="M203" s="36" t="s">
        <v>81</v>
      </c>
      <c r="N203" s="36"/>
      <c r="O203" s="35">
        <v>40</v>
      </c>
      <c r="P203" s="7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03" s="672"/>
      <c r="R203" s="672"/>
      <c r="S203" s="672"/>
      <c r="T203" s="673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6"/>
        <v>0</v>
      </c>
      <c r="Z203" s="39" t="str">
        <f t="shared" si="31"/>
        <v/>
      </c>
      <c r="AA203" s="65" t="s">
        <v>46</v>
      </c>
      <c r="AB203" s="66" t="s">
        <v>46</v>
      </c>
      <c r="AC203" s="275" t="s">
        <v>355</v>
      </c>
      <c r="AG203" s="75"/>
      <c r="AJ203" s="79" t="s">
        <v>46</v>
      </c>
      <c r="AK203" s="79">
        <v>0</v>
      </c>
      <c r="BB203" s="276" t="s">
        <v>67</v>
      </c>
      <c r="BM203" s="75">
        <f t="shared" si="27"/>
        <v>0</v>
      </c>
      <c r="BN203" s="75">
        <f t="shared" si="28"/>
        <v>0</v>
      </c>
      <c r="BO203" s="75">
        <f t="shared" si="29"/>
        <v>0</v>
      </c>
      <c r="BP203" s="75">
        <f t="shared" si="30"/>
        <v>0</v>
      </c>
    </row>
    <row r="204" spans="1:68" ht="27" hidden="1" customHeight="1" x14ac:dyDescent="0.25">
      <c r="A204" s="60" t="s">
        <v>369</v>
      </c>
      <c r="B204" s="60" t="s">
        <v>370</v>
      </c>
      <c r="C204" s="34">
        <v>4301031499</v>
      </c>
      <c r="D204" s="670">
        <v>4680115888432</v>
      </c>
      <c r="E204" s="670"/>
      <c r="F204" s="59">
        <v>0.3</v>
      </c>
      <c r="G204" s="35">
        <v>6</v>
      </c>
      <c r="H204" s="59">
        <v>1.8</v>
      </c>
      <c r="I204" s="59">
        <v>1.93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45</v>
      </c>
      <c r="P204" s="77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04" s="672"/>
      <c r="R204" s="672"/>
      <c r="S204" s="672"/>
      <c r="T204" s="673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31"/>
        <v/>
      </c>
      <c r="AA204" s="65" t="s">
        <v>46</v>
      </c>
      <c r="AB204" s="66" t="s">
        <v>46</v>
      </c>
      <c r="AC204" s="277" t="s">
        <v>371</v>
      </c>
      <c r="AG204" s="75"/>
      <c r="AJ204" s="79" t="s">
        <v>46</v>
      </c>
      <c r="AK204" s="79">
        <v>0</v>
      </c>
      <c r="BB204" s="278" t="s">
        <v>67</v>
      </c>
      <c r="BM204" s="75">
        <f t="shared" si="27"/>
        <v>0</v>
      </c>
      <c r="BN204" s="75">
        <f t="shared" si="28"/>
        <v>0</v>
      </c>
      <c r="BO204" s="75">
        <f t="shared" si="29"/>
        <v>0</v>
      </c>
      <c r="BP204" s="75">
        <f t="shared" si="30"/>
        <v>0</v>
      </c>
    </row>
    <row r="205" spans="1:68" ht="27" hidden="1" customHeight="1" x14ac:dyDescent="0.25">
      <c r="A205" s="60" t="s">
        <v>372</v>
      </c>
      <c r="B205" s="60" t="s">
        <v>373</v>
      </c>
      <c r="C205" s="34">
        <v>4301031427</v>
      </c>
      <c r="D205" s="670">
        <v>4680115888104</v>
      </c>
      <c r="E205" s="670"/>
      <c r="F205" s="59">
        <v>0.35</v>
      </c>
      <c r="G205" s="35">
        <v>6</v>
      </c>
      <c r="H205" s="59">
        <v>2.1</v>
      </c>
      <c r="I205" s="59">
        <v>2.2000000000000002</v>
      </c>
      <c r="J205" s="35">
        <v>234</v>
      </c>
      <c r="K205" s="35" t="s">
        <v>82</v>
      </c>
      <c r="L205" s="35" t="s">
        <v>46</v>
      </c>
      <c r="M205" s="36" t="s">
        <v>81</v>
      </c>
      <c r="N205" s="36"/>
      <c r="O205" s="35">
        <v>45</v>
      </c>
      <c r="P205" s="77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05" s="672"/>
      <c r="R205" s="672"/>
      <c r="S205" s="672"/>
      <c r="T205" s="673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31"/>
        <v/>
      </c>
      <c r="AA205" s="65" t="s">
        <v>46</v>
      </c>
      <c r="AB205" s="66" t="s">
        <v>46</v>
      </c>
      <c r="AC205" s="279" t="s">
        <v>374</v>
      </c>
      <c r="AG205" s="75"/>
      <c r="AJ205" s="79" t="s">
        <v>46</v>
      </c>
      <c r="AK205" s="79">
        <v>0</v>
      </c>
      <c r="BB205" s="280" t="s">
        <v>67</v>
      </c>
      <c r="BM205" s="75">
        <f t="shared" si="27"/>
        <v>0</v>
      </c>
      <c r="BN205" s="75">
        <f t="shared" si="28"/>
        <v>0</v>
      </c>
      <c r="BO205" s="75">
        <f t="shared" si="29"/>
        <v>0</v>
      </c>
      <c r="BP205" s="75">
        <f t="shared" si="30"/>
        <v>0</v>
      </c>
    </row>
    <row r="206" spans="1:68" ht="27" hidden="1" customHeight="1" x14ac:dyDescent="0.25">
      <c r="A206" s="60" t="s">
        <v>375</v>
      </c>
      <c r="B206" s="60" t="s">
        <v>376</v>
      </c>
      <c r="C206" s="34">
        <v>4301031399</v>
      </c>
      <c r="D206" s="670">
        <v>4680115886537</v>
      </c>
      <c r="E206" s="670"/>
      <c r="F206" s="59">
        <v>0.3</v>
      </c>
      <c r="G206" s="35">
        <v>6</v>
      </c>
      <c r="H206" s="59">
        <v>1.8</v>
      </c>
      <c r="I206" s="59">
        <v>1.93</v>
      </c>
      <c r="J206" s="35">
        <v>234</v>
      </c>
      <c r="K206" s="35" t="s">
        <v>82</v>
      </c>
      <c r="L206" s="35" t="s">
        <v>46</v>
      </c>
      <c r="M206" s="36" t="s">
        <v>81</v>
      </c>
      <c r="N206" s="36"/>
      <c r="O206" s="35">
        <v>40</v>
      </c>
      <c r="P206" s="77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06" s="672"/>
      <c r="R206" s="672"/>
      <c r="S206" s="672"/>
      <c r="T206" s="673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31"/>
        <v/>
      </c>
      <c r="AA206" s="65" t="s">
        <v>46</v>
      </c>
      <c r="AB206" s="66" t="s">
        <v>46</v>
      </c>
      <c r="AC206" s="281" t="s">
        <v>377</v>
      </c>
      <c r="AG206" s="75"/>
      <c r="AJ206" s="79" t="s">
        <v>46</v>
      </c>
      <c r="AK206" s="79">
        <v>0</v>
      </c>
      <c r="BB206" s="282" t="s">
        <v>67</v>
      </c>
      <c r="BM206" s="75">
        <f t="shared" si="27"/>
        <v>0</v>
      </c>
      <c r="BN206" s="75">
        <f t="shared" si="28"/>
        <v>0</v>
      </c>
      <c r="BO206" s="75">
        <f t="shared" si="29"/>
        <v>0</v>
      </c>
      <c r="BP206" s="75">
        <f t="shared" si="30"/>
        <v>0</v>
      </c>
    </row>
    <row r="207" spans="1:68" ht="27" hidden="1" customHeight="1" x14ac:dyDescent="0.25">
      <c r="A207" s="60" t="s">
        <v>378</v>
      </c>
      <c r="B207" s="60" t="s">
        <v>379</v>
      </c>
      <c r="C207" s="34">
        <v>4301031279</v>
      </c>
      <c r="D207" s="670">
        <v>4680115887596</v>
      </c>
      <c r="E207" s="670"/>
      <c r="F207" s="59">
        <v>0.08</v>
      </c>
      <c r="G207" s="35">
        <v>10</v>
      </c>
      <c r="H207" s="59">
        <v>0.8</v>
      </c>
      <c r="I207" s="59">
        <v>1.01</v>
      </c>
      <c r="J207" s="35">
        <v>336</v>
      </c>
      <c r="K207" s="35" t="s">
        <v>138</v>
      </c>
      <c r="L207" s="35" t="s">
        <v>46</v>
      </c>
      <c r="M207" s="36" t="s">
        <v>81</v>
      </c>
      <c r="N207" s="36"/>
      <c r="O207" s="35">
        <v>45</v>
      </c>
      <c r="P207" s="77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07" s="672"/>
      <c r="R207" s="672"/>
      <c r="S207" s="672"/>
      <c r="T207" s="673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>IFERROR(IF(Y207=0,"",ROUNDUP(Y207/H207,0)*0.00417),"")</f>
        <v/>
      </c>
      <c r="AA207" s="65" t="s">
        <v>46</v>
      </c>
      <c r="AB207" s="66" t="s">
        <v>46</v>
      </c>
      <c r="AC207" s="283" t="s">
        <v>380</v>
      </c>
      <c r="AG207" s="75"/>
      <c r="AJ207" s="79" t="s">
        <v>46</v>
      </c>
      <c r="AK207" s="79">
        <v>0</v>
      </c>
      <c r="BB207" s="284" t="s">
        <v>67</v>
      </c>
      <c r="BM207" s="75">
        <f t="shared" si="27"/>
        <v>0</v>
      </c>
      <c r="BN207" s="75">
        <f t="shared" si="28"/>
        <v>0</v>
      </c>
      <c r="BO207" s="75">
        <f t="shared" si="29"/>
        <v>0</v>
      </c>
      <c r="BP207" s="75">
        <f t="shared" si="30"/>
        <v>0</v>
      </c>
    </row>
    <row r="208" spans="1:68" ht="37.5" hidden="1" customHeight="1" x14ac:dyDescent="0.25">
      <c r="A208" s="60" t="s">
        <v>381</v>
      </c>
      <c r="B208" s="60" t="s">
        <v>382</v>
      </c>
      <c r="C208" s="34">
        <v>4301031202</v>
      </c>
      <c r="D208" s="670">
        <v>4680115881679</v>
      </c>
      <c r="E208" s="670"/>
      <c r="F208" s="59">
        <v>0.35</v>
      </c>
      <c r="G208" s="35">
        <v>6</v>
      </c>
      <c r="H208" s="59">
        <v>2.1</v>
      </c>
      <c r="I208" s="59">
        <v>2.2000000000000002</v>
      </c>
      <c r="J208" s="35">
        <v>234</v>
      </c>
      <c r="K208" s="35" t="s">
        <v>82</v>
      </c>
      <c r="L208" s="35" t="s">
        <v>46</v>
      </c>
      <c r="M208" s="36" t="s">
        <v>81</v>
      </c>
      <c r="N208" s="36"/>
      <c r="O208" s="35">
        <v>40</v>
      </c>
      <c r="P208" s="7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08" s="672"/>
      <c r="R208" s="672"/>
      <c r="S208" s="672"/>
      <c r="T208" s="673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>IFERROR(IF(Y208=0,"",ROUNDUP(Y208/H208,0)*0.00502),"")</f>
        <v/>
      </c>
      <c r="AA208" s="65" t="s">
        <v>46</v>
      </c>
      <c r="AB208" s="66" t="s">
        <v>46</v>
      </c>
      <c r="AC208" s="285" t="s">
        <v>358</v>
      </c>
      <c r="AG208" s="75"/>
      <c r="AJ208" s="79" t="s">
        <v>46</v>
      </c>
      <c r="AK208" s="79">
        <v>0</v>
      </c>
      <c r="BB208" s="286" t="s">
        <v>67</v>
      </c>
      <c r="BM208" s="75">
        <f t="shared" si="27"/>
        <v>0</v>
      </c>
      <c r="BN208" s="75">
        <f t="shared" si="28"/>
        <v>0</v>
      </c>
      <c r="BO208" s="75">
        <f t="shared" si="29"/>
        <v>0</v>
      </c>
      <c r="BP208" s="75">
        <f t="shared" si="30"/>
        <v>0</v>
      </c>
    </row>
    <row r="209" spans="1:68" ht="27" hidden="1" customHeight="1" x14ac:dyDescent="0.25">
      <c r="A209" s="60" t="s">
        <v>383</v>
      </c>
      <c r="B209" s="60" t="s">
        <v>384</v>
      </c>
      <c r="C209" s="34">
        <v>4301031158</v>
      </c>
      <c r="D209" s="670">
        <v>4680115880191</v>
      </c>
      <c r="E209" s="670"/>
      <c r="F209" s="59">
        <v>0.4</v>
      </c>
      <c r="G209" s="35">
        <v>6</v>
      </c>
      <c r="H209" s="59">
        <v>2.4</v>
      </c>
      <c r="I209" s="59">
        <v>2.58</v>
      </c>
      <c r="J209" s="35">
        <v>182</v>
      </c>
      <c r="K209" s="35" t="s">
        <v>91</v>
      </c>
      <c r="L209" s="35" t="s">
        <v>46</v>
      </c>
      <c r="M209" s="36" t="s">
        <v>81</v>
      </c>
      <c r="N209" s="36"/>
      <c r="O209" s="35">
        <v>40</v>
      </c>
      <c r="P209" s="78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09" s="672"/>
      <c r="R209" s="672"/>
      <c r="S209" s="672"/>
      <c r="T209" s="673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IFERROR(IF(Y209=0,"",ROUNDUP(Y209/H209,0)*0.00651),"")</f>
        <v/>
      </c>
      <c r="AA209" s="65" t="s">
        <v>46</v>
      </c>
      <c r="AB209" s="66" t="s">
        <v>46</v>
      </c>
      <c r="AC209" s="287" t="s">
        <v>358</v>
      </c>
      <c r="AG209" s="75"/>
      <c r="AJ209" s="79" t="s">
        <v>46</v>
      </c>
      <c r="AK209" s="79">
        <v>0</v>
      </c>
      <c r="BB209" s="28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385</v>
      </c>
      <c r="B210" s="60" t="s">
        <v>386</v>
      </c>
      <c r="C210" s="34">
        <v>4301031245</v>
      </c>
      <c r="D210" s="670">
        <v>4680115883963</v>
      </c>
      <c r="E210" s="670"/>
      <c r="F210" s="59">
        <v>0.28000000000000003</v>
      </c>
      <c r="G210" s="35">
        <v>6</v>
      </c>
      <c r="H210" s="59">
        <v>1.68</v>
      </c>
      <c r="I210" s="59">
        <v>1.78</v>
      </c>
      <c r="J210" s="35">
        <v>234</v>
      </c>
      <c r="K210" s="35" t="s">
        <v>82</v>
      </c>
      <c r="L210" s="35" t="s">
        <v>46</v>
      </c>
      <c r="M210" s="36" t="s">
        <v>81</v>
      </c>
      <c r="N210" s="36"/>
      <c r="O210" s="35">
        <v>40</v>
      </c>
      <c r="P210" s="7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10" s="672"/>
      <c r="R210" s="672"/>
      <c r="S210" s="672"/>
      <c r="T210" s="673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IFERROR(IF(Y210=0,"",ROUNDUP(Y210/H210,0)*0.00502),"")</f>
        <v/>
      </c>
      <c r="AA210" s="65" t="s">
        <v>46</v>
      </c>
      <c r="AB210" s="66" t="s">
        <v>46</v>
      </c>
      <c r="AC210" s="289" t="s">
        <v>387</v>
      </c>
      <c r="AG210" s="75"/>
      <c r="AJ210" s="79" t="s">
        <v>46</v>
      </c>
      <c r="AK210" s="79">
        <v>0</v>
      </c>
      <c r="BB210" s="29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x14ac:dyDescent="0.2">
      <c r="A211" s="678"/>
      <c r="B211" s="678"/>
      <c r="C211" s="678"/>
      <c r="D211" s="678"/>
      <c r="E211" s="678"/>
      <c r="F211" s="678"/>
      <c r="G211" s="678"/>
      <c r="H211" s="678"/>
      <c r="I211" s="678"/>
      <c r="J211" s="678"/>
      <c r="K211" s="678"/>
      <c r="L211" s="678"/>
      <c r="M211" s="678"/>
      <c r="N211" s="678"/>
      <c r="O211" s="679"/>
      <c r="P211" s="675" t="s">
        <v>40</v>
      </c>
      <c r="Q211" s="676"/>
      <c r="R211" s="676"/>
      <c r="S211" s="676"/>
      <c r="T211" s="676"/>
      <c r="U211" s="676"/>
      <c r="V211" s="677"/>
      <c r="W211" s="40" t="s">
        <v>39</v>
      </c>
      <c r="X211" s="41">
        <f>IFERROR(X197/H197,"0")+IFERROR(X198/H198,"0")+IFERROR(X199/H199,"0")+IFERROR(X200/H200,"0")+IFERROR(X201/H201,"0")+IFERROR(X202/H202,"0")+IFERROR(X203/H203,"0")+IFERROR(X204/H204,"0")+IFERROR(X205/H205,"0")+IFERROR(X206/H206,"0")+IFERROR(X207/H207,"0")+IFERROR(X208/H208,"0")+IFERROR(X209/H209,"0")+IFERROR(X210/H210,"0")</f>
        <v>3</v>
      </c>
      <c r="Y211" s="41">
        <f>IFERROR(Y197/H197,"0")+IFERROR(Y198/H198,"0")+IFERROR(Y199/H199,"0")+IFERROR(Y200/H200,"0")+IFERROR(Y201/H201,"0")+IFERROR(Y202/H202,"0")+IFERROR(Y203/H203,"0")+IFERROR(Y204/H204,"0")+IFERROR(Y205/H205,"0")+IFERROR(Y206/H206,"0")+IFERROR(Y207/H207,"0")+IFERROR(Y208/H208,"0")+IFERROR(Y209/H209,"0")+IFERROR(Y210/H210,"0")</f>
        <v>3</v>
      </c>
      <c r="Z211" s="41">
        <f>IFERROR(IF(Z197="",0,Z197),"0")+IFERROR(IF(Z198="",0,Z198),"0")+IFERROR(IF(Z199="",0,Z199),"0")+IFERROR(IF(Z200="",0,Z200),"0")+IFERROR(IF(Z201="",0,Z201),"0")+IFERROR(IF(Z202="",0,Z202),"0")+IFERROR(IF(Z203="",0,Z203),"0")+IFERROR(IF(Z204="",0,Z204),"0")+IFERROR(IF(Z205="",0,Z205),"0")+IFERROR(IF(Z206="",0,Z206),"0")+IFERROR(IF(Z207="",0,Z207),"0")+IFERROR(IF(Z208="",0,Z208),"0")+IFERROR(IF(Z209="",0,Z209),"0")+IFERROR(IF(Z210="",0,Z210),"0")</f>
        <v>1.506E-2</v>
      </c>
      <c r="AA211" s="64"/>
      <c r="AB211" s="64"/>
      <c r="AC211" s="64"/>
    </row>
    <row r="212" spans="1:68" x14ac:dyDescent="0.2">
      <c r="A212" s="678"/>
      <c r="B212" s="678"/>
      <c r="C212" s="678"/>
      <c r="D212" s="678"/>
      <c r="E212" s="678"/>
      <c r="F212" s="678"/>
      <c r="G212" s="678"/>
      <c r="H212" s="678"/>
      <c r="I212" s="678"/>
      <c r="J212" s="678"/>
      <c r="K212" s="678"/>
      <c r="L212" s="678"/>
      <c r="M212" s="678"/>
      <c r="N212" s="678"/>
      <c r="O212" s="679"/>
      <c r="P212" s="675" t="s">
        <v>40</v>
      </c>
      <c r="Q212" s="676"/>
      <c r="R212" s="676"/>
      <c r="S212" s="676"/>
      <c r="T212" s="676"/>
      <c r="U212" s="676"/>
      <c r="V212" s="677"/>
      <c r="W212" s="40" t="s">
        <v>0</v>
      </c>
      <c r="X212" s="41">
        <f>IFERROR(SUM(X197:X210),"0")</f>
        <v>6.3</v>
      </c>
      <c r="Y212" s="41">
        <f>IFERROR(SUM(Y197:Y210),"0")</f>
        <v>6.3000000000000007</v>
      </c>
      <c r="Z212" s="40"/>
      <c r="AA212" s="64"/>
      <c r="AB212" s="64"/>
      <c r="AC212" s="64"/>
    </row>
    <row r="213" spans="1:68" ht="14.25" hidden="1" customHeight="1" x14ac:dyDescent="0.25">
      <c r="A213" s="669" t="s">
        <v>86</v>
      </c>
      <c r="B213" s="669"/>
      <c r="C213" s="669"/>
      <c r="D213" s="669"/>
      <c r="E213" s="669"/>
      <c r="F213" s="669"/>
      <c r="G213" s="669"/>
      <c r="H213" s="669"/>
      <c r="I213" s="669"/>
      <c r="J213" s="669"/>
      <c r="K213" s="669"/>
      <c r="L213" s="669"/>
      <c r="M213" s="669"/>
      <c r="N213" s="669"/>
      <c r="O213" s="669"/>
      <c r="P213" s="669"/>
      <c r="Q213" s="669"/>
      <c r="R213" s="669"/>
      <c r="S213" s="669"/>
      <c r="T213" s="669"/>
      <c r="U213" s="669"/>
      <c r="V213" s="669"/>
      <c r="W213" s="669"/>
      <c r="X213" s="669"/>
      <c r="Y213" s="669"/>
      <c r="Z213" s="669"/>
      <c r="AA213" s="63"/>
      <c r="AB213" s="63"/>
      <c r="AC213" s="63"/>
    </row>
    <row r="214" spans="1:68" ht="27" hidden="1" customHeight="1" x14ac:dyDescent="0.25">
      <c r="A214" s="60" t="s">
        <v>388</v>
      </c>
      <c r="B214" s="60" t="s">
        <v>389</v>
      </c>
      <c r="C214" s="34">
        <v>4301052178</v>
      </c>
      <c r="D214" s="670">
        <v>4680115888975</v>
      </c>
      <c r="E214" s="670"/>
      <c r="F214" s="59">
        <v>0.32</v>
      </c>
      <c r="G214" s="35">
        <v>6</v>
      </c>
      <c r="H214" s="59">
        <v>1.92</v>
      </c>
      <c r="I214" s="59">
        <v>2.1819999999999999</v>
      </c>
      <c r="J214" s="35">
        <v>132</v>
      </c>
      <c r="K214" s="35" t="s">
        <v>141</v>
      </c>
      <c r="L214" s="35" t="s">
        <v>46</v>
      </c>
      <c r="M214" s="36" t="s">
        <v>97</v>
      </c>
      <c r="N214" s="36"/>
      <c r="O214" s="35">
        <v>35</v>
      </c>
      <c r="P214" s="78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14" s="672"/>
      <c r="R214" s="672"/>
      <c r="S214" s="672"/>
      <c r="T214" s="673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IFERROR(IF(Y214=0,"",ROUNDUP(Y214/H214,0)*0.00902),"")</f>
        <v/>
      </c>
      <c r="AA214" s="65" t="s">
        <v>46</v>
      </c>
      <c r="AB214" s="66" t="s">
        <v>114</v>
      </c>
      <c r="AC214" s="291" t="s">
        <v>390</v>
      </c>
      <c r="AG214" s="75"/>
      <c r="AJ214" s="79" t="s">
        <v>46</v>
      </c>
      <c r="AK214" s="79">
        <v>0</v>
      </c>
      <c r="BB214" s="292" t="s">
        <v>67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t="16.5" hidden="1" customHeight="1" x14ac:dyDescent="0.25">
      <c r="A215" s="60" t="s">
        <v>391</v>
      </c>
      <c r="B215" s="60" t="s">
        <v>392</v>
      </c>
      <c r="C215" s="34">
        <v>4301052209</v>
      </c>
      <c r="D215" s="670">
        <v>4680115888692</v>
      </c>
      <c r="E215" s="670"/>
      <c r="F215" s="59">
        <v>0.8</v>
      </c>
      <c r="G215" s="35">
        <v>6</v>
      </c>
      <c r="H215" s="59">
        <v>4.8</v>
      </c>
      <c r="I215" s="59">
        <v>5.2220000000000004</v>
      </c>
      <c r="J215" s="35">
        <v>104</v>
      </c>
      <c r="K215" s="35" t="s">
        <v>134</v>
      </c>
      <c r="L215" s="35" t="s">
        <v>46</v>
      </c>
      <c r="M215" s="36" t="s">
        <v>97</v>
      </c>
      <c r="N215" s="36"/>
      <c r="O215" s="35">
        <v>35</v>
      </c>
      <c r="P215" s="78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15" s="672"/>
      <c r="R215" s="672"/>
      <c r="S215" s="672"/>
      <c r="T215" s="673"/>
      <c r="U215" s="37" t="s">
        <v>46</v>
      </c>
      <c r="V215" s="37" t="s">
        <v>46</v>
      </c>
      <c r="W215" s="38" t="s">
        <v>0</v>
      </c>
      <c r="X215" s="56">
        <v>0</v>
      </c>
      <c r="Y215" s="53">
        <f>IFERROR(IF(X215="",0,CEILING((X215/$H215),1)*$H215),"")</f>
        <v>0</v>
      </c>
      <c r="Z215" s="39" t="str">
        <f>IFERROR(IF(Y215=0,"",ROUNDUP(Y215/H215,0)*0.01196),"")</f>
        <v/>
      </c>
      <c r="AA215" s="65" t="s">
        <v>46</v>
      </c>
      <c r="AB215" s="66" t="s">
        <v>46</v>
      </c>
      <c r="AC215" s="293" t="s">
        <v>393</v>
      </c>
      <c r="AG215" s="75"/>
      <c r="AJ215" s="79" t="s">
        <v>46</v>
      </c>
      <c r="AK215" s="79">
        <v>0</v>
      </c>
      <c r="BB215" s="294" t="s">
        <v>67</v>
      </c>
      <c r="BM215" s="75">
        <f>IFERROR(X215*I215/H215,"0")</f>
        <v>0</v>
      </c>
      <c r="BN215" s="75">
        <f>IFERROR(Y215*I215/H215,"0")</f>
        <v>0</v>
      </c>
      <c r="BO215" s="75">
        <f>IFERROR(1/J215*(X215/H215),"0")</f>
        <v>0</v>
      </c>
      <c r="BP215" s="75">
        <f>IFERROR(1/J215*(Y215/H215),"0")</f>
        <v>0</v>
      </c>
    </row>
    <row r="216" spans="1:68" ht="27" hidden="1" customHeight="1" x14ac:dyDescent="0.25">
      <c r="A216" s="60" t="s">
        <v>394</v>
      </c>
      <c r="B216" s="60" t="s">
        <v>395</v>
      </c>
      <c r="C216" s="34">
        <v>4301052213</v>
      </c>
      <c r="D216" s="670">
        <v>4680115888722</v>
      </c>
      <c r="E216" s="670"/>
      <c r="F216" s="59">
        <v>0.8</v>
      </c>
      <c r="G216" s="35">
        <v>6</v>
      </c>
      <c r="H216" s="59">
        <v>4.8</v>
      </c>
      <c r="I216" s="59">
        <v>5.2220000000000004</v>
      </c>
      <c r="J216" s="35">
        <v>104</v>
      </c>
      <c r="K216" s="35" t="s">
        <v>134</v>
      </c>
      <c r="L216" s="35" t="s">
        <v>46</v>
      </c>
      <c r="M216" s="36" t="s">
        <v>97</v>
      </c>
      <c r="N216" s="36"/>
      <c r="O216" s="35">
        <v>35</v>
      </c>
      <c r="P216" s="78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16" s="672"/>
      <c r="R216" s="672"/>
      <c r="S216" s="672"/>
      <c r="T216" s="673"/>
      <c r="U216" s="37" t="s">
        <v>46</v>
      </c>
      <c r="V216" s="37" t="s">
        <v>46</v>
      </c>
      <c r="W216" s="38" t="s">
        <v>0</v>
      </c>
      <c r="X216" s="56">
        <v>0</v>
      </c>
      <c r="Y216" s="53">
        <f>IFERROR(IF(X216="",0,CEILING((X216/$H216),1)*$H216),"")</f>
        <v>0</v>
      </c>
      <c r="Z216" s="39" t="str">
        <f>IFERROR(IF(Y216=0,"",ROUNDUP(Y216/H216,0)*0.01196),"")</f>
        <v/>
      </c>
      <c r="AA216" s="65" t="s">
        <v>46</v>
      </c>
      <c r="AB216" s="66" t="s">
        <v>46</v>
      </c>
      <c r="AC216" s="295" t="s">
        <v>396</v>
      </c>
      <c r="AG216" s="75"/>
      <c r="AJ216" s="79" t="s">
        <v>46</v>
      </c>
      <c r="AK216" s="79">
        <v>0</v>
      </c>
      <c r="BB216" s="296" t="s">
        <v>67</v>
      </c>
      <c r="BM216" s="75">
        <f>IFERROR(X216*I216/H216,"0")</f>
        <v>0</v>
      </c>
      <c r="BN216" s="75">
        <f>IFERROR(Y216*I216/H216,"0")</f>
        <v>0</v>
      </c>
      <c r="BO216" s="75">
        <f>IFERROR(1/J216*(X216/H216),"0")</f>
        <v>0</v>
      </c>
      <c r="BP216" s="75">
        <f>IFERROR(1/J216*(Y216/H216),"0")</f>
        <v>0</v>
      </c>
    </row>
    <row r="217" spans="1:68" ht="27" hidden="1" customHeight="1" x14ac:dyDescent="0.25">
      <c r="A217" s="60" t="s">
        <v>397</v>
      </c>
      <c r="B217" s="60" t="s">
        <v>398</v>
      </c>
      <c r="C217" s="34">
        <v>4301052177</v>
      </c>
      <c r="D217" s="670">
        <v>4680115888951</v>
      </c>
      <c r="E217" s="670"/>
      <c r="F217" s="59">
        <v>0.36</v>
      </c>
      <c r="G217" s="35">
        <v>6</v>
      </c>
      <c r="H217" s="59">
        <v>2.16</v>
      </c>
      <c r="I217" s="59">
        <v>2.4220000000000002</v>
      </c>
      <c r="J217" s="35">
        <v>132</v>
      </c>
      <c r="K217" s="35" t="s">
        <v>141</v>
      </c>
      <c r="L217" s="35" t="s">
        <v>46</v>
      </c>
      <c r="M217" s="36" t="s">
        <v>97</v>
      </c>
      <c r="N217" s="36"/>
      <c r="O217" s="35">
        <v>35</v>
      </c>
      <c r="P217" s="78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17" s="672"/>
      <c r="R217" s="672"/>
      <c r="S217" s="672"/>
      <c r="T217" s="673"/>
      <c r="U217" s="37" t="s">
        <v>46</v>
      </c>
      <c r="V217" s="37" t="s">
        <v>46</v>
      </c>
      <c r="W217" s="38" t="s">
        <v>0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97" t="s">
        <v>399</v>
      </c>
      <c r="AG217" s="75"/>
      <c r="AJ217" s="79" t="s">
        <v>46</v>
      </c>
      <c r="AK217" s="79">
        <v>0</v>
      </c>
      <c r="BB217" s="298" t="s">
        <v>67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t="27" hidden="1" customHeight="1" x14ac:dyDescent="0.25">
      <c r="A218" s="60" t="s">
        <v>400</v>
      </c>
      <c r="B218" s="60" t="s">
        <v>401</v>
      </c>
      <c r="C218" s="34">
        <v>4301052176</v>
      </c>
      <c r="D218" s="670">
        <v>4680115888982</v>
      </c>
      <c r="E218" s="670"/>
      <c r="F218" s="59">
        <v>0.36</v>
      </c>
      <c r="G218" s="35">
        <v>6</v>
      </c>
      <c r="H218" s="59">
        <v>2.16</v>
      </c>
      <c r="I218" s="59">
        <v>2.4220000000000002</v>
      </c>
      <c r="J218" s="35">
        <v>132</v>
      </c>
      <c r="K218" s="35" t="s">
        <v>141</v>
      </c>
      <c r="L218" s="35" t="s">
        <v>46</v>
      </c>
      <c r="M218" s="36" t="s">
        <v>97</v>
      </c>
      <c r="N218" s="36"/>
      <c r="O218" s="35">
        <v>35</v>
      </c>
      <c r="P218" s="78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18" s="672"/>
      <c r="R218" s="672"/>
      <c r="S218" s="672"/>
      <c r="T218" s="673"/>
      <c r="U218" s="37" t="s">
        <v>46</v>
      </c>
      <c r="V218" s="37" t="s">
        <v>46</v>
      </c>
      <c r="W218" s="38" t="s">
        <v>0</v>
      </c>
      <c r="X218" s="56">
        <v>0</v>
      </c>
      <c r="Y218" s="53">
        <f>IFERROR(IF(X218="",0,CEILING((X218/$H218),1)*$H218),"")</f>
        <v>0</v>
      </c>
      <c r="Z218" s="39" t="str">
        <f>IFERROR(IF(Y218=0,"",ROUNDUP(Y218/H218,0)*0.00902),"")</f>
        <v/>
      </c>
      <c r="AA218" s="65" t="s">
        <v>46</v>
      </c>
      <c r="AB218" s="66" t="s">
        <v>46</v>
      </c>
      <c r="AC218" s="299" t="s">
        <v>396</v>
      </c>
      <c r="AG218" s="75"/>
      <c r="AJ218" s="79" t="s">
        <v>46</v>
      </c>
      <c r="AK218" s="79">
        <v>0</v>
      </c>
      <c r="BB218" s="300" t="s">
        <v>67</v>
      </c>
      <c r="BM218" s="75">
        <f>IFERROR(X218*I218/H218,"0")</f>
        <v>0</v>
      </c>
      <c r="BN218" s="75">
        <f>IFERROR(Y218*I218/H218,"0")</f>
        <v>0</v>
      </c>
      <c r="BO218" s="75">
        <f>IFERROR(1/J218*(X218/H218),"0")</f>
        <v>0</v>
      </c>
      <c r="BP218" s="75">
        <f>IFERROR(1/J218*(Y218/H218),"0")</f>
        <v>0</v>
      </c>
    </row>
    <row r="219" spans="1:68" hidden="1" x14ac:dyDescent="0.2">
      <c r="A219" s="678"/>
      <c r="B219" s="678"/>
      <c r="C219" s="678"/>
      <c r="D219" s="678"/>
      <c r="E219" s="678"/>
      <c r="F219" s="678"/>
      <c r="G219" s="678"/>
      <c r="H219" s="678"/>
      <c r="I219" s="678"/>
      <c r="J219" s="678"/>
      <c r="K219" s="678"/>
      <c r="L219" s="678"/>
      <c r="M219" s="678"/>
      <c r="N219" s="678"/>
      <c r="O219" s="679"/>
      <c r="P219" s="675" t="s">
        <v>40</v>
      </c>
      <c r="Q219" s="676"/>
      <c r="R219" s="676"/>
      <c r="S219" s="676"/>
      <c r="T219" s="676"/>
      <c r="U219" s="676"/>
      <c r="V219" s="677"/>
      <c r="W219" s="40" t="s">
        <v>39</v>
      </c>
      <c r="X219" s="41">
        <f>IFERROR(X214/H214,"0")+IFERROR(X215/H215,"0")+IFERROR(X216/H216,"0")+IFERROR(X217/H217,"0")+IFERROR(X218/H218,"0")</f>
        <v>0</v>
      </c>
      <c r="Y219" s="41">
        <f>IFERROR(Y214/H214,"0")+IFERROR(Y215/H215,"0")+IFERROR(Y216/H216,"0")+IFERROR(Y217/H217,"0")+IFERROR(Y218/H218,"0")</f>
        <v>0</v>
      </c>
      <c r="Z219" s="41">
        <f>IFERROR(IF(Z214="",0,Z214),"0")+IFERROR(IF(Z215="",0,Z215),"0")+IFERROR(IF(Z216="",0,Z216),"0")+IFERROR(IF(Z217="",0,Z217),"0")+IFERROR(IF(Z218="",0,Z218),"0")</f>
        <v>0</v>
      </c>
      <c r="AA219" s="64"/>
      <c r="AB219" s="64"/>
      <c r="AC219" s="64"/>
    </row>
    <row r="220" spans="1:68" hidden="1" x14ac:dyDescent="0.2">
      <c r="A220" s="678"/>
      <c r="B220" s="678"/>
      <c r="C220" s="678"/>
      <c r="D220" s="678"/>
      <c r="E220" s="678"/>
      <c r="F220" s="678"/>
      <c r="G220" s="678"/>
      <c r="H220" s="678"/>
      <c r="I220" s="678"/>
      <c r="J220" s="678"/>
      <c r="K220" s="678"/>
      <c r="L220" s="678"/>
      <c r="M220" s="678"/>
      <c r="N220" s="678"/>
      <c r="O220" s="679"/>
      <c r="P220" s="675" t="s">
        <v>40</v>
      </c>
      <c r="Q220" s="676"/>
      <c r="R220" s="676"/>
      <c r="S220" s="676"/>
      <c r="T220" s="676"/>
      <c r="U220" s="676"/>
      <c r="V220" s="677"/>
      <c r="W220" s="40" t="s">
        <v>0</v>
      </c>
      <c r="X220" s="41">
        <f>IFERROR(SUM(X214:X218),"0")</f>
        <v>0</v>
      </c>
      <c r="Y220" s="41">
        <f>IFERROR(SUM(Y214:Y218),"0")</f>
        <v>0</v>
      </c>
      <c r="Z220" s="40"/>
      <c r="AA220" s="64"/>
      <c r="AB220" s="64"/>
      <c r="AC220" s="64"/>
    </row>
    <row r="221" spans="1:68" ht="14.25" hidden="1" customHeight="1" x14ac:dyDescent="0.25">
      <c r="A221" s="669" t="s">
        <v>104</v>
      </c>
      <c r="B221" s="669"/>
      <c r="C221" s="669"/>
      <c r="D221" s="669"/>
      <c r="E221" s="669"/>
      <c r="F221" s="669"/>
      <c r="G221" s="669"/>
      <c r="H221" s="669"/>
      <c r="I221" s="669"/>
      <c r="J221" s="669"/>
      <c r="K221" s="669"/>
      <c r="L221" s="669"/>
      <c r="M221" s="669"/>
      <c r="N221" s="669"/>
      <c r="O221" s="669"/>
      <c r="P221" s="669"/>
      <c r="Q221" s="669"/>
      <c r="R221" s="669"/>
      <c r="S221" s="669"/>
      <c r="T221" s="669"/>
      <c r="U221" s="669"/>
      <c r="V221" s="669"/>
      <c r="W221" s="669"/>
      <c r="X221" s="669"/>
      <c r="Y221" s="669"/>
      <c r="Z221" s="669"/>
      <c r="AA221" s="63"/>
      <c r="AB221" s="63"/>
      <c r="AC221" s="63"/>
    </row>
    <row r="222" spans="1:68" ht="27" hidden="1" customHeight="1" x14ac:dyDescent="0.25">
      <c r="A222" s="60" t="s">
        <v>402</v>
      </c>
      <c r="B222" s="60" t="s">
        <v>403</v>
      </c>
      <c r="C222" s="34">
        <v>4301032053</v>
      </c>
      <c r="D222" s="670">
        <v>4680115886780</v>
      </c>
      <c r="E222" s="670"/>
      <c r="F222" s="59">
        <v>7.0000000000000007E-2</v>
      </c>
      <c r="G222" s="35">
        <v>18</v>
      </c>
      <c r="H222" s="59">
        <v>1.26</v>
      </c>
      <c r="I222" s="59">
        <v>1.45</v>
      </c>
      <c r="J222" s="35">
        <v>216</v>
      </c>
      <c r="K222" s="35" t="s">
        <v>316</v>
      </c>
      <c r="L222" s="35" t="s">
        <v>46</v>
      </c>
      <c r="M222" s="36" t="s">
        <v>315</v>
      </c>
      <c r="N222" s="36"/>
      <c r="O222" s="35">
        <v>60</v>
      </c>
      <c r="P222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22" s="672"/>
      <c r="R222" s="672"/>
      <c r="S222" s="672"/>
      <c r="T222" s="673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IFERROR(IF(Y222=0,"",ROUNDUP(Y222/H222,0)*0.0059),"")</f>
        <v/>
      </c>
      <c r="AA222" s="65" t="s">
        <v>46</v>
      </c>
      <c r="AB222" s="66" t="s">
        <v>46</v>
      </c>
      <c r="AC222" s="301" t="s">
        <v>404</v>
      </c>
      <c r="AG222" s="75"/>
      <c r="AJ222" s="79" t="s">
        <v>46</v>
      </c>
      <c r="AK222" s="79">
        <v>0</v>
      </c>
      <c r="BB222" s="302" t="s">
        <v>67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t="27" hidden="1" customHeight="1" x14ac:dyDescent="0.25">
      <c r="A223" s="60" t="s">
        <v>405</v>
      </c>
      <c r="B223" s="60" t="s">
        <v>406</v>
      </c>
      <c r="C223" s="34">
        <v>4301032051</v>
      </c>
      <c r="D223" s="670">
        <v>4680115886742</v>
      </c>
      <c r="E223" s="670"/>
      <c r="F223" s="59">
        <v>7.0000000000000007E-2</v>
      </c>
      <c r="G223" s="35">
        <v>18</v>
      </c>
      <c r="H223" s="59">
        <v>1.26</v>
      </c>
      <c r="I223" s="59">
        <v>1.45</v>
      </c>
      <c r="J223" s="35">
        <v>216</v>
      </c>
      <c r="K223" s="35" t="s">
        <v>316</v>
      </c>
      <c r="L223" s="35" t="s">
        <v>46</v>
      </c>
      <c r="M223" s="36" t="s">
        <v>315</v>
      </c>
      <c r="N223" s="36"/>
      <c r="O223" s="35">
        <v>90</v>
      </c>
      <c r="P223" s="78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23" s="672"/>
      <c r="R223" s="672"/>
      <c r="S223" s="672"/>
      <c r="T223" s="673"/>
      <c r="U223" s="37" t="s">
        <v>46</v>
      </c>
      <c r="V223" s="37" t="s">
        <v>46</v>
      </c>
      <c r="W223" s="38" t="s">
        <v>0</v>
      </c>
      <c r="X223" s="56">
        <v>0</v>
      </c>
      <c r="Y223" s="53">
        <f>IFERROR(IF(X223="",0,CEILING((X223/$H223),1)*$H223),"")</f>
        <v>0</v>
      </c>
      <c r="Z223" s="39" t="str">
        <f>IFERROR(IF(Y223=0,"",ROUNDUP(Y223/H223,0)*0.0059),"")</f>
        <v/>
      </c>
      <c r="AA223" s="65" t="s">
        <v>46</v>
      </c>
      <c r="AB223" s="66" t="s">
        <v>46</v>
      </c>
      <c r="AC223" s="303" t="s">
        <v>407</v>
      </c>
      <c r="AG223" s="75"/>
      <c r="AJ223" s="79" t="s">
        <v>46</v>
      </c>
      <c r="AK223" s="79">
        <v>0</v>
      </c>
      <c r="BB223" s="304" t="s">
        <v>67</v>
      </c>
      <c r="BM223" s="75">
        <f>IFERROR(X223*I223/H223,"0")</f>
        <v>0</v>
      </c>
      <c r="BN223" s="75">
        <f>IFERROR(Y223*I223/H223,"0")</f>
        <v>0</v>
      </c>
      <c r="BO223" s="75">
        <f>IFERROR(1/J223*(X223/H223),"0")</f>
        <v>0</v>
      </c>
      <c r="BP223" s="75">
        <f>IFERROR(1/J223*(Y223/H223),"0")</f>
        <v>0</v>
      </c>
    </row>
    <row r="224" spans="1:68" ht="27" hidden="1" customHeight="1" x14ac:dyDescent="0.25">
      <c r="A224" s="60" t="s">
        <v>408</v>
      </c>
      <c r="B224" s="60" t="s">
        <v>409</v>
      </c>
      <c r="C224" s="34">
        <v>4301032052</v>
      </c>
      <c r="D224" s="670">
        <v>4680115886766</v>
      </c>
      <c r="E224" s="670"/>
      <c r="F224" s="59">
        <v>7.0000000000000007E-2</v>
      </c>
      <c r="G224" s="35">
        <v>18</v>
      </c>
      <c r="H224" s="59">
        <v>1.26</v>
      </c>
      <c r="I224" s="59">
        <v>1.45</v>
      </c>
      <c r="J224" s="35">
        <v>216</v>
      </c>
      <c r="K224" s="35" t="s">
        <v>316</v>
      </c>
      <c r="L224" s="35" t="s">
        <v>46</v>
      </c>
      <c r="M224" s="36" t="s">
        <v>315</v>
      </c>
      <c r="N224" s="36"/>
      <c r="O224" s="35">
        <v>90</v>
      </c>
      <c r="P224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24" s="672"/>
      <c r="R224" s="672"/>
      <c r="S224" s="672"/>
      <c r="T224" s="673"/>
      <c r="U224" s="37" t="s">
        <v>46</v>
      </c>
      <c r="V224" s="37" t="s">
        <v>46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IFERROR(IF(Y224=0,"",ROUNDUP(Y224/H224,0)*0.0059),"")</f>
        <v/>
      </c>
      <c r="AA224" s="65" t="s">
        <v>46</v>
      </c>
      <c r="AB224" s="66" t="s">
        <v>46</v>
      </c>
      <c r="AC224" s="305" t="s">
        <v>407</v>
      </c>
      <c r="AG224" s="75"/>
      <c r="AJ224" s="79" t="s">
        <v>46</v>
      </c>
      <c r="AK224" s="79">
        <v>0</v>
      </c>
      <c r="BB224" s="306" t="s">
        <v>67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idden="1" x14ac:dyDescent="0.2">
      <c r="A225" s="678"/>
      <c r="B225" s="678"/>
      <c r="C225" s="678"/>
      <c r="D225" s="678"/>
      <c r="E225" s="678"/>
      <c r="F225" s="678"/>
      <c r="G225" s="678"/>
      <c r="H225" s="678"/>
      <c r="I225" s="678"/>
      <c r="J225" s="678"/>
      <c r="K225" s="678"/>
      <c r="L225" s="678"/>
      <c r="M225" s="678"/>
      <c r="N225" s="678"/>
      <c r="O225" s="679"/>
      <c r="P225" s="675" t="s">
        <v>40</v>
      </c>
      <c r="Q225" s="676"/>
      <c r="R225" s="676"/>
      <c r="S225" s="676"/>
      <c r="T225" s="676"/>
      <c r="U225" s="676"/>
      <c r="V225" s="677"/>
      <c r="W225" s="40" t="s">
        <v>39</v>
      </c>
      <c r="X225" s="41">
        <f>IFERROR(X222/H222,"0")+IFERROR(X223/H223,"0")+IFERROR(X224/H224,"0")</f>
        <v>0</v>
      </c>
      <c r="Y225" s="41">
        <f>IFERROR(Y222/H222,"0")+IFERROR(Y223/H223,"0")+IFERROR(Y224/H224,"0")</f>
        <v>0</v>
      </c>
      <c r="Z225" s="41">
        <f>IFERROR(IF(Z222="",0,Z222),"0")+IFERROR(IF(Z223="",0,Z223),"0")+IFERROR(IF(Z224="",0,Z224),"0")</f>
        <v>0</v>
      </c>
      <c r="AA225" s="64"/>
      <c r="AB225" s="64"/>
      <c r="AC225" s="64"/>
    </row>
    <row r="226" spans="1:68" hidden="1" x14ac:dyDescent="0.2">
      <c r="A226" s="678"/>
      <c r="B226" s="678"/>
      <c r="C226" s="678"/>
      <c r="D226" s="678"/>
      <c r="E226" s="678"/>
      <c r="F226" s="678"/>
      <c r="G226" s="678"/>
      <c r="H226" s="678"/>
      <c r="I226" s="678"/>
      <c r="J226" s="678"/>
      <c r="K226" s="678"/>
      <c r="L226" s="678"/>
      <c r="M226" s="678"/>
      <c r="N226" s="678"/>
      <c r="O226" s="679"/>
      <c r="P226" s="675" t="s">
        <v>40</v>
      </c>
      <c r="Q226" s="676"/>
      <c r="R226" s="676"/>
      <c r="S226" s="676"/>
      <c r="T226" s="676"/>
      <c r="U226" s="676"/>
      <c r="V226" s="677"/>
      <c r="W226" s="40" t="s">
        <v>0</v>
      </c>
      <c r="X226" s="41">
        <f>IFERROR(SUM(X222:X224),"0")</f>
        <v>0</v>
      </c>
      <c r="Y226" s="41">
        <f>IFERROR(SUM(Y222:Y224),"0")</f>
        <v>0</v>
      </c>
      <c r="Z226" s="40"/>
      <c r="AA226" s="64"/>
      <c r="AB226" s="64"/>
      <c r="AC226" s="64"/>
    </row>
    <row r="227" spans="1:68" ht="14.25" hidden="1" customHeight="1" x14ac:dyDescent="0.25">
      <c r="A227" s="669" t="s">
        <v>410</v>
      </c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69"/>
      <c r="P227" s="669"/>
      <c r="Q227" s="669"/>
      <c r="R227" s="669"/>
      <c r="S227" s="669"/>
      <c r="T227" s="669"/>
      <c r="U227" s="669"/>
      <c r="V227" s="669"/>
      <c r="W227" s="669"/>
      <c r="X227" s="669"/>
      <c r="Y227" s="669"/>
      <c r="Z227" s="669"/>
      <c r="AA227" s="63"/>
      <c r="AB227" s="63"/>
      <c r="AC227" s="63"/>
    </row>
    <row r="228" spans="1:68" ht="27" hidden="1" customHeight="1" x14ac:dyDescent="0.25">
      <c r="A228" s="60" t="s">
        <v>411</v>
      </c>
      <c r="B228" s="60" t="s">
        <v>412</v>
      </c>
      <c r="C228" s="34">
        <v>4301170013</v>
      </c>
      <c r="D228" s="670">
        <v>4680115886797</v>
      </c>
      <c r="E228" s="670"/>
      <c r="F228" s="59">
        <v>7.0000000000000007E-2</v>
      </c>
      <c r="G228" s="35">
        <v>18</v>
      </c>
      <c r="H228" s="59">
        <v>1.26</v>
      </c>
      <c r="I228" s="59">
        <v>1.45</v>
      </c>
      <c r="J228" s="35">
        <v>216</v>
      </c>
      <c r="K228" s="35" t="s">
        <v>316</v>
      </c>
      <c r="L228" s="35" t="s">
        <v>46</v>
      </c>
      <c r="M228" s="36" t="s">
        <v>315</v>
      </c>
      <c r="N228" s="36"/>
      <c r="O228" s="35">
        <v>90</v>
      </c>
      <c r="P228" s="7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28" s="672"/>
      <c r="R228" s="672"/>
      <c r="S228" s="672"/>
      <c r="T228" s="673"/>
      <c r="U228" s="37" t="s">
        <v>46</v>
      </c>
      <c r="V228" s="37" t="s">
        <v>46</v>
      </c>
      <c r="W228" s="38" t="s">
        <v>0</v>
      </c>
      <c r="X228" s="56">
        <v>0</v>
      </c>
      <c r="Y228" s="53">
        <f>IFERROR(IF(X228="",0,CEILING((X228/$H228),1)*$H228),"")</f>
        <v>0</v>
      </c>
      <c r="Z228" s="39" t="str">
        <f>IFERROR(IF(Y228=0,"",ROUNDUP(Y228/H228,0)*0.0059),"")</f>
        <v/>
      </c>
      <c r="AA228" s="65" t="s">
        <v>46</v>
      </c>
      <c r="AB228" s="66" t="s">
        <v>46</v>
      </c>
      <c r="AC228" s="307" t="s">
        <v>407</v>
      </c>
      <c r="AG228" s="75"/>
      <c r="AJ228" s="79" t="s">
        <v>46</v>
      </c>
      <c r="AK228" s="79">
        <v>0</v>
      </c>
      <c r="BB228" s="308" t="s">
        <v>67</v>
      </c>
      <c r="BM228" s="75">
        <f>IFERROR(X228*I228/H228,"0")</f>
        <v>0</v>
      </c>
      <c r="BN228" s="75">
        <f>IFERROR(Y228*I228/H228,"0")</f>
        <v>0</v>
      </c>
      <c r="BO228" s="75">
        <f>IFERROR(1/J228*(X228/H228),"0")</f>
        <v>0</v>
      </c>
      <c r="BP228" s="75">
        <f>IFERROR(1/J228*(Y228/H228),"0")</f>
        <v>0</v>
      </c>
    </row>
    <row r="229" spans="1:68" hidden="1" x14ac:dyDescent="0.2">
      <c r="A229" s="678"/>
      <c r="B229" s="678"/>
      <c r="C229" s="678"/>
      <c r="D229" s="678"/>
      <c r="E229" s="678"/>
      <c r="F229" s="678"/>
      <c r="G229" s="678"/>
      <c r="H229" s="678"/>
      <c r="I229" s="678"/>
      <c r="J229" s="678"/>
      <c r="K229" s="678"/>
      <c r="L229" s="678"/>
      <c r="M229" s="678"/>
      <c r="N229" s="678"/>
      <c r="O229" s="679"/>
      <c r="P229" s="675" t="s">
        <v>40</v>
      </c>
      <c r="Q229" s="676"/>
      <c r="R229" s="676"/>
      <c r="S229" s="676"/>
      <c r="T229" s="676"/>
      <c r="U229" s="676"/>
      <c r="V229" s="677"/>
      <c r="W229" s="40" t="s">
        <v>39</v>
      </c>
      <c r="X229" s="41">
        <f>IFERROR(X228/H228,"0")</f>
        <v>0</v>
      </c>
      <c r="Y229" s="41">
        <f>IFERROR(Y228/H228,"0")</f>
        <v>0</v>
      </c>
      <c r="Z229" s="41">
        <f>IFERROR(IF(Z228="",0,Z228),"0")</f>
        <v>0</v>
      </c>
      <c r="AA229" s="64"/>
      <c r="AB229" s="64"/>
      <c r="AC229" s="64"/>
    </row>
    <row r="230" spans="1:68" hidden="1" x14ac:dyDescent="0.2">
      <c r="A230" s="678"/>
      <c r="B230" s="678"/>
      <c r="C230" s="678"/>
      <c r="D230" s="678"/>
      <c r="E230" s="678"/>
      <c r="F230" s="678"/>
      <c r="G230" s="678"/>
      <c r="H230" s="678"/>
      <c r="I230" s="678"/>
      <c r="J230" s="678"/>
      <c r="K230" s="678"/>
      <c r="L230" s="678"/>
      <c r="M230" s="678"/>
      <c r="N230" s="678"/>
      <c r="O230" s="679"/>
      <c r="P230" s="675" t="s">
        <v>40</v>
      </c>
      <c r="Q230" s="676"/>
      <c r="R230" s="676"/>
      <c r="S230" s="676"/>
      <c r="T230" s="676"/>
      <c r="U230" s="676"/>
      <c r="V230" s="677"/>
      <c r="W230" s="40" t="s">
        <v>0</v>
      </c>
      <c r="X230" s="41">
        <f>IFERROR(SUM(X228:X228),"0")</f>
        <v>0</v>
      </c>
      <c r="Y230" s="41">
        <f>IFERROR(SUM(Y228:Y228),"0")</f>
        <v>0</v>
      </c>
      <c r="Z230" s="40"/>
      <c r="AA230" s="64"/>
      <c r="AB230" s="64"/>
      <c r="AC230" s="64"/>
    </row>
    <row r="231" spans="1:68" ht="16.5" hidden="1" customHeight="1" x14ac:dyDescent="0.25">
      <c r="A231" s="668" t="s">
        <v>413</v>
      </c>
      <c r="B231" s="668"/>
      <c r="C231" s="668"/>
      <c r="D231" s="668"/>
      <c r="E231" s="668"/>
      <c r="F231" s="668"/>
      <c r="G231" s="668"/>
      <c r="H231" s="668"/>
      <c r="I231" s="668"/>
      <c r="J231" s="668"/>
      <c r="K231" s="668"/>
      <c r="L231" s="668"/>
      <c r="M231" s="668"/>
      <c r="N231" s="668"/>
      <c r="O231" s="668"/>
      <c r="P231" s="668"/>
      <c r="Q231" s="668"/>
      <c r="R231" s="668"/>
      <c r="S231" s="668"/>
      <c r="T231" s="668"/>
      <c r="U231" s="668"/>
      <c r="V231" s="668"/>
      <c r="W231" s="668"/>
      <c r="X231" s="668"/>
      <c r="Y231" s="668"/>
      <c r="Z231" s="668"/>
      <c r="AA231" s="62"/>
      <c r="AB231" s="62"/>
      <c r="AC231" s="62"/>
    </row>
    <row r="232" spans="1:68" ht="14.25" hidden="1" customHeight="1" x14ac:dyDescent="0.25">
      <c r="A232" s="669" t="s">
        <v>129</v>
      </c>
      <c r="B232" s="669"/>
      <c r="C232" s="669"/>
      <c r="D232" s="669"/>
      <c r="E232" s="669"/>
      <c r="F232" s="669"/>
      <c r="G232" s="669"/>
      <c r="H232" s="669"/>
      <c r="I232" s="669"/>
      <c r="J232" s="669"/>
      <c r="K232" s="669"/>
      <c r="L232" s="669"/>
      <c r="M232" s="669"/>
      <c r="N232" s="669"/>
      <c r="O232" s="669"/>
      <c r="P232" s="669"/>
      <c r="Q232" s="669"/>
      <c r="R232" s="669"/>
      <c r="S232" s="669"/>
      <c r="T232" s="669"/>
      <c r="U232" s="669"/>
      <c r="V232" s="669"/>
      <c r="W232" s="669"/>
      <c r="X232" s="669"/>
      <c r="Y232" s="669"/>
      <c r="Z232" s="669"/>
      <c r="AA232" s="63"/>
      <c r="AB232" s="63"/>
      <c r="AC232" s="63"/>
    </row>
    <row r="233" spans="1:68" ht="27" hidden="1" customHeight="1" x14ac:dyDescent="0.25">
      <c r="A233" s="60" t="s">
        <v>414</v>
      </c>
      <c r="B233" s="60" t="s">
        <v>415</v>
      </c>
      <c r="C233" s="34">
        <v>4301011450</v>
      </c>
      <c r="D233" s="670">
        <v>4680115881402</v>
      </c>
      <c r="E233" s="670"/>
      <c r="F233" s="59">
        <v>1.35</v>
      </c>
      <c r="G233" s="35">
        <v>8</v>
      </c>
      <c r="H233" s="59">
        <v>10.8</v>
      </c>
      <c r="I233" s="59">
        <v>11.21</v>
      </c>
      <c r="J233" s="35">
        <v>64</v>
      </c>
      <c r="K233" s="35" t="s">
        <v>134</v>
      </c>
      <c r="L233" s="35" t="s">
        <v>46</v>
      </c>
      <c r="M233" s="36" t="s">
        <v>133</v>
      </c>
      <c r="N233" s="36"/>
      <c r="O233" s="35">
        <v>55</v>
      </c>
      <c r="P233" s="7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33" s="672"/>
      <c r="R233" s="672"/>
      <c r="S233" s="672"/>
      <c r="T233" s="673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IFERROR(IF(Y233=0,"",ROUNDUP(Y233/H233,0)*0.01898),"")</f>
        <v/>
      </c>
      <c r="AA233" s="65" t="s">
        <v>46</v>
      </c>
      <c r="AB233" s="66" t="s">
        <v>46</v>
      </c>
      <c r="AC233" s="309" t="s">
        <v>416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417</v>
      </c>
      <c r="B234" s="60" t="s">
        <v>418</v>
      </c>
      <c r="C234" s="34">
        <v>4301011768</v>
      </c>
      <c r="D234" s="670">
        <v>4680115881396</v>
      </c>
      <c r="E234" s="670"/>
      <c r="F234" s="59">
        <v>0.45</v>
      </c>
      <c r="G234" s="35">
        <v>6</v>
      </c>
      <c r="H234" s="59">
        <v>2.7</v>
      </c>
      <c r="I234" s="59">
        <v>2.88</v>
      </c>
      <c r="J234" s="35">
        <v>182</v>
      </c>
      <c r="K234" s="35" t="s">
        <v>91</v>
      </c>
      <c r="L234" s="35" t="s">
        <v>46</v>
      </c>
      <c r="M234" s="36" t="s">
        <v>133</v>
      </c>
      <c r="N234" s="36"/>
      <c r="O234" s="35">
        <v>55</v>
      </c>
      <c r="P234" s="79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34" s="672"/>
      <c r="R234" s="672"/>
      <c r="S234" s="672"/>
      <c r="T234" s="673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IFERROR(IF(Y234=0,"",ROUNDUP(Y234/H234,0)*0.00651),"")</f>
        <v/>
      </c>
      <c r="AA234" s="65" t="s">
        <v>46</v>
      </c>
      <c r="AB234" s="66" t="s">
        <v>46</v>
      </c>
      <c r="AC234" s="311" t="s">
        <v>416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78"/>
      <c r="B235" s="678"/>
      <c r="C235" s="678"/>
      <c r="D235" s="678"/>
      <c r="E235" s="678"/>
      <c r="F235" s="678"/>
      <c r="G235" s="678"/>
      <c r="H235" s="678"/>
      <c r="I235" s="678"/>
      <c r="J235" s="678"/>
      <c r="K235" s="678"/>
      <c r="L235" s="678"/>
      <c r="M235" s="678"/>
      <c r="N235" s="678"/>
      <c r="O235" s="679"/>
      <c r="P235" s="675" t="s">
        <v>40</v>
      </c>
      <c r="Q235" s="676"/>
      <c r="R235" s="676"/>
      <c r="S235" s="676"/>
      <c r="T235" s="676"/>
      <c r="U235" s="676"/>
      <c r="V235" s="677"/>
      <c r="W235" s="40" t="s">
        <v>39</v>
      </c>
      <c r="X235" s="41">
        <f>IFERROR(X233/H233,"0")+IFERROR(X234/H234,"0")</f>
        <v>0</v>
      </c>
      <c r="Y235" s="41">
        <f>IFERROR(Y233/H233,"0")+IFERROR(Y234/H234,"0")</f>
        <v>0</v>
      </c>
      <c r="Z235" s="41">
        <f>IFERROR(IF(Z233="",0,Z233),"0")+IFERROR(IF(Z234="",0,Z234),"0")</f>
        <v>0</v>
      </c>
      <c r="AA235" s="64"/>
      <c r="AB235" s="64"/>
      <c r="AC235" s="64"/>
    </row>
    <row r="236" spans="1:68" hidden="1" x14ac:dyDescent="0.2">
      <c r="A236" s="678"/>
      <c r="B236" s="678"/>
      <c r="C236" s="678"/>
      <c r="D236" s="678"/>
      <c r="E236" s="678"/>
      <c r="F236" s="678"/>
      <c r="G236" s="678"/>
      <c r="H236" s="678"/>
      <c r="I236" s="678"/>
      <c r="J236" s="678"/>
      <c r="K236" s="678"/>
      <c r="L236" s="678"/>
      <c r="M236" s="678"/>
      <c r="N236" s="678"/>
      <c r="O236" s="679"/>
      <c r="P236" s="675" t="s">
        <v>40</v>
      </c>
      <c r="Q236" s="676"/>
      <c r="R236" s="676"/>
      <c r="S236" s="676"/>
      <c r="T236" s="676"/>
      <c r="U236" s="676"/>
      <c r="V236" s="677"/>
      <c r="W236" s="40" t="s">
        <v>0</v>
      </c>
      <c r="X236" s="41">
        <f>IFERROR(SUM(X233:X234),"0")</f>
        <v>0</v>
      </c>
      <c r="Y236" s="41">
        <f>IFERROR(SUM(Y233:Y234),"0")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69" t="s">
        <v>166</v>
      </c>
      <c r="B237" s="669"/>
      <c r="C237" s="669"/>
      <c r="D237" s="669"/>
      <c r="E237" s="669"/>
      <c r="F237" s="669"/>
      <c r="G237" s="669"/>
      <c r="H237" s="669"/>
      <c r="I237" s="669"/>
      <c r="J237" s="669"/>
      <c r="K237" s="669"/>
      <c r="L237" s="669"/>
      <c r="M237" s="669"/>
      <c r="N237" s="669"/>
      <c r="O237" s="669"/>
      <c r="P237" s="669"/>
      <c r="Q237" s="669"/>
      <c r="R237" s="669"/>
      <c r="S237" s="669"/>
      <c r="T237" s="669"/>
      <c r="U237" s="669"/>
      <c r="V237" s="669"/>
      <c r="W237" s="669"/>
      <c r="X237" s="669"/>
      <c r="Y237" s="669"/>
      <c r="Z237" s="669"/>
      <c r="AA237" s="63"/>
      <c r="AB237" s="63"/>
      <c r="AC237" s="63"/>
    </row>
    <row r="238" spans="1:68" ht="16.5" hidden="1" customHeight="1" x14ac:dyDescent="0.25">
      <c r="A238" s="60" t="s">
        <v>419</v>
      </c>
      <c r="B238" s="60" t="s">
        <v>420</v>
      </c>
      <c r="C238" s="34">
        <v>4301020261</v>
      </c>
      <c r="D238" s="670">
        <v>4680115882935</v>
      </c>
      <c r="E238" s="670"/>
      <c r="F238" s="59">
        <v>1.35</v>
      </c>
      <c r="G238" s="35">
        <v>8</v>
      </c>
      <c r="H238" s="59">
        <v>10.8</v>
      </c>
      <c r="I238" s="59">
        <v>11.21</v>
      </c>
      <c r="J238" s="35">
        <v>64</v>
      </c>
      <c r="K238" s="35" t="s">
        <v>134</v>
      </c>
      <c r="L238" s="35" t="s">
        <v>46</v>
      </c>
      <c r="M238" s="36" t="s">
        <v>133</v>
      </c>
      <c r="N238" s="36"/>
      <c r="O238" s="35">
        <v>50</v>
      </c>
      <c r="P238" s="7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38" s="672"/>
      <c r="R238" s="672"/>
      <c r="S238" s="672"/>
      <c r="T238" s="673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IFERROR(IF(Y238=0,"",ROUNDUP(Y238/H238,0)*0.01898),"")</f>
        <v/>
      </c>
      <c r="AA238" s="65" t="s">
        <v>46</v>
      </c>
      <c r="AB238" s="66" t="s">
        <v>46</v>
      </c>
      <c r="AC238" s="313" t="s">
        <v>421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16.5" hidden="1" customHeight="1" x14ac:dyDescent="0.25">
      <c r="A239" s="60" t="s">
        <v>422</v>
      </c>
      <c r="B239" s="60" t="s">
        <v>423</v>
      </c>
      <c r="C239" s="34">
        <v>4301020220</v>
      </c>
      <c r="D239" s="670">
        <v>4680115880764</v>
      </c>
      <c r="E239" s="670"/>
      <c r="F239" s="59">
        <v>0.35</v>
      </c>
      <c r="G239" s="35">
        <v>6</v>
      </c>
      <c r="H239" s="59">
        <v>2.1</v>
      </c>
      <c r="I239" s="59">
        <v>2.2799999999999998</v>
      </c>
      <c r="J239" s="35">
        <v>182</v>
      </c>
      <c r="K239" s="35" t="s">
        <v>91</v>
      </c>
      <c r="L239" s="35" t="s">
        <v>46</v>
      </c>
      <c r="M239" s="36" t="s">
        <v>133</v>
      </c>
      <c r="N239" s="36"/>
      <c r="O239" s="35">
        <v>50</v>
      </c>
      <c r="P239" s="79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39" s="672"/>
      <c r="R239" s="672"/>
      <c r="S239" s="672"/>
      <c r="T239" s="673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IFERROR(IF(Y239=0,"",ROUNDUP(Y239/H239,0)*0.00651),"")</f>
        <v/>
      </c>
      <c r="AA239" s="65" t="s">
        <v>46</v>
      </c>
      <c r="AB239" s="66" t="s">
        <v>46</v>
      </c>
      <c r="AC239" s="315" t="s">
        <v>421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idden="1" x14ac:dyDescent="0.2">
      <c r="A240" s="678"/>
      <c r="B240" s="678"/>
      <c r="C240" s="678"/>
      <c r="D240" s="678"/>
      <c r="E240" s="678"/>
      <c r="F240" s="678"/>
      <c r="G240" s="678"/>
      <c r="H240" s="678"/>
      <c r="I240" s="678"/>
      <c r="J240" s="678"/>
      <c r="K240" s="678"/>
      <c r="L240" s="678"/>
      <c r="M240" s="678"/>
      <c r="N240" s="678"/>
      <c r="O240" s="679"/>
      <c r="P240" s="675" t="s">
        <v>40</v>
      </c>
      <c r="Q240" s="676"/>
      <c r="R240" s="676"/>
      <c r="S240" s="676"/>
      <c r="T240" s="676"/>
      <c r="U240" s="676"/>
      <c r="V240" s="677"/>
      <c r="W240" s="40" t="s">
        <v>39</v>
      </c>
      <c r="X240" s="41">
        <f>IFERROR(X238/H238,"0")+IFERROR(X239/H239,"0")</f>
        <v>0</v>
      </c>
      <c r="Y240" s="41">
        <f>IFERROR(Y238/H238,"0")+IFERROR(Y239/H239,"0")</f>
        <v>0</v>
      </c>
      <c r="Z240" s="41">
        <f>IFERROR(IF(Z238="",0,Z238),"0")+IFERROR(IF(Z239="",0,Z239),"0")</f>
        <v>0</v>
      </c>
      <c r="AA240" s="64"/>
      <c r="AB240" s="64"/>
      <c r="AC240" s="64"/>
    </row>
    <row r="241" spans="1:68" hidden="1" x14ac:dyDescent="0.2">
      <c r="A241" s="678"/>
      <c r="B241" s="678"/>
      <c r="C241" s="678"/>
      <c r="D241" s="678"/>
      <c r="E241" s="678"/>
      <c r="F241" s="678"/>
      <c r="G241" s="678"/>
      <c r="H241" s="678"/>
      <c r="I241" s="678"/>
      <c r="J241" s="678"/>
      <c r="K241" s="678"/>
      <c r="L241" s="678"/>
      <c r="M241" s="678"/>
      <c r="N241" s="678"/>
      <c r="O241" s="679"/>
      <c r="P241" s="675" t="s">
        <v>40</v>
      </c>
      <c r="Q241" s="676"/>
      <c r="R241" s="676"/>
      <c r="S241" s="676"/>
      <c r="T241" s="676"/>
      <c r="U241" s="676"/>
      <c r="V241" s="677"/>
      <c r="W241" s="40" t="s">
        <v>0</v>
      </c>
      <c r="X241" s="41">
        <f>IFERROR(SUM(X238:X239),"0")</f>
        <v>0</v>
      </c>
      <c r="Y241" s="41">
        <f>IFERROR(SUM(Y238:Y239),"0")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669" t="s">
        <v>77</v>
      </c>
      <c r="B242" s="669"/>
      <c r="C242" s="669"/>
      <c r="D242" s="669"/>
      <c r="E242" s="669"/>
      <c r="F242" s="669"/>
      <c r="G242" s="669"/>
      <c r="H242" s="669"/>
      <c r="I242" s="669"/>
      <c r="J242" s="669"/>
      <c r="K242" s="669"/>
      <c r="L242" s="669"/>
      <c r="M242" s="669"/>
      <c r="N242" s="669"/>
      <c r="O242" s="669"/>
      <c r="P242" s="669"/>
      <c r="Q242" s="669"/>
      <c r="R242" s="669"/>
      <c r="S242" s="669"/>
      <c r="T242" s="669"/>
      <c r="U242" s="669"/>
      <c r="V242" s="669"/>
      <c r="W242" s="669"/>
      <c r="X242" s="669"/>
      <c r="Y242" s="669"/>
      <c r="Z242" s="669"/>
      <c r="AA242" s="63"/>
      <c r="AB242" s="63"/>
      <c r="AC242" s="63"/>
    </row>
    <row r="243" spans="1:68" ht="27" hidden="1" customHeight="1" x14ac:dyDescent="0.25">
      <c r="A243" s="60" t="s">
        <v>424</v>
      </c>
      <c r="B243" s="60" t="s">
        <v>425</v>
      </c>
      <c r="C243" s="34">
        <v>4301031224</v>
      </c>
      <c r="D243" s="670">
        <v>4680115882683</v>
      </c>
      <c r="E243" s="670"/>
      <c r="F243" s="59">
        <v>0.9</v>
      </c>
      <c r="G243" s="35">
        <v>6</v>
      </c>
      <c r="H243" s="59">
        <v>5.4</v>
      </c>
      <c r="I243" s="59">
        <v>5.59</v>
      </c>
      <c r="J243" s="35">
        <v>132</v>
      </c>
      <c r="K243" s="35" t="s">
        <v>141</v>
      </c>
      <c r="L243" s="35" t="s">
        <v>46</v>
      </c>
      <c r="M243" s="36" t="s">
        <v>81</v>
      </c>
      <c r="N243" s="36"/>
      <c r="O243" s="35">
        <v>40</v>
      </c>
      <c r="P243" s="79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43" s="672"/>
      <c r="R243" s="672"/>
      <c r="S243" s="672"/>
      <c r="T243" s="673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ref="Y243:Y250" si="32"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17" t="s">
        <v>426</v>
      </c>
      <c r="AG243" s="75"/>
      <c r="AJ243" s="79" t="s">
        <v>46</v>
      </c>
      <c r="AK243" s="79">
        <v>0</v>
      </c>
      <c r="BB243" s="318" t="s">
        <v>67</v>
      </c>
      <c r="BM243" s="75">
        <f t="shared" ref="BM243:BM250" si="33">IFERROR(X243*I243/H243,"0")</f>
        <v>0</v>
      </c>
      <c r="BN243" s="75">
        <f t="shared" ref="BN243:BN250" si="34">IFERROR(Y243*I243/H243,"0")</f>
        <v>0</v>
      </c>
      <c r="BO243" s="75">
        <f t="shared" ref="BO243:BO250" si="35">IFERROR(1/J243*(X243/H243),"0")</f>
        <v>0</v>
      </c>
      <c r="BP243" s="75">
        <f t="shared" ref="BP243:BP250" si="36">IFERROR(1/J243*(Y243/H243),"0")</f>
        <v>0</v>
      </c>
    </row>
    <row r="244" spans="1:68" ht="27" hidden="1" customHeight="1" x14ac:dyDescent="0.25">
      <c r="A244" s="60" t="s">
        <v>427</v>
      </c>
      <c r="B244" s="60" t="s">
        <v>428</v>
      </c>
      <c r="C244" s="34">
        <v>4301031230</v>
      </c>
      <c r="D244" s="670">
        <v>4680115882690</v>
      </c>
      <c r="E244" s="670"/>
      <c r="F244" s="59">
        <v>0.9</v>
      </c>
      <c r="G244" s="35">
        <v>6</v>
      </c>
      <c r="H244" s="59">
        <v>5.4</v>
      </c>
      <c r="I244" s="59">
        <v>5.59</v>
      </c>
      <c r="J244" s="35">
        <v>132</v>
      </c>
      <c r="K244" s="35" t="s">
        <v>141</v>
      </c>
      <c r="L244" s="35" t="s">
        <v>46</v>
      </c>
      <c r="M244" s="36" t="s">
        <v>81</v>
      </c>
      <c r="N244" s="36"/>
      <c r="O244" s="35">
        <v>40</v>
      </c>
      <c r="P244" s="7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44" s="672"/>
      <c r="R244" s="672"/>
      <c r="S244" s="672"/>
      <c r="T244" s="673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2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19" t="s">
        <v>429</v>
      </c>
      <c r="AG244" s="75"/>
      <c r="AJ244" s="79" t="s">
        <v>46</v>
      </c>
      <c r="AK244" s="79">
        <v>0</v>
      </c>
      <c r="BB244" s="320" t="s">
        <v>67</v>
      </c>
      <c r="BM244" s="75">
        <f t="shared" si="33"/>
        <v>0</v>
      </c>
      <c r="BN244" s="75">
        <f t="shared" si="34"/>
        <v>0</v>
      </c>
      <c r="BO244" s="75">
        <f t="shared" si="35"/>
        <v>0</v>
      </c>
      <c r="BP244" s="75">
        <f t="shared" si="36"/>
        <v>0</v>
      </c>
    </row>
    <row r="245" spans="1:68" ht="27" hidden="1" customHeight="1" x14ac:dyDescent="0.25">
      <c r="A245" s="60" t="s">
        <v>430</v>
      </c>
      <c r="B245" s="60" t="s">
        <v>431</v>
      </c>
      <c r="C245" s="34">
        <v>4301031220</v>
      </c>
      <c r="D245" s="670">
        <v>4680115882669</v>
      </c>
      <c r="E245" s="670"/>
      <c r="F245" s="59">
        <v>0.9</v>
      </c>
      <c r="G245" s="35">
        <v>6</v>
      </c>
      <c r="H245" s="59">
        <v>5.4</v>
      </c>
      <c r="I245" s="59">
        <v>5.59</v>
      </c>
      <c r="J245" s="35">
        <v>132</v>
      </c>
      <c r="K245" s="35" t="s">
        <v>141</v>
      </c>
      <c r="L245" s="35" t="s">
        <v>46</v>
      </c>
      <c r="M245" s="36" t="s">
        <v>81</v>
      </c>
      <c r="N245" s="36"/>
      <c r="O245" s="35">
        <v>40</v>
      </c>
      <c r="P245" s="7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45" s="672"/>
      <c r="R245" s="672"/>
      <c r="S245" s="672"/>
      <c r="T245" s="673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2"/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21" t="s">
        <v>432</v>
      </c>
      <c r="AG245" s="75"/>
      <c r="AJ245" s="79" t="s">
        <v>46</v>
      </c>
      <c r="AK245" s="79">
        <v>0</v>
      </c>
      <c r="BB245" s="322" t="s">
        <v>67</v>
      </c>
      <c r="BM245" s="75">
        <f t="shared" si="33"/>
        <v>0</v>
      </c>
      <c r="BN245" s="75">
        <f t="shared" si="34"/>
        <v>0</v>
      </c>
      <c r="BO245" s="75">
        <f t="shared" si="35"/>
        <v>0</v>
      </c>
      <c r="BP245" s="75">
        <f t="shared" si="36"/>
        <v>0</v>
      </c>
    </row>
    <row r="246" spans="1:68" ht="27" hidden="1" customHeight="1" x14ac:dyDescent="0.25">
      <c r="A246" s="60" t="s">
        <v>433</v>
      </c>
      <c r="B246" s="60" t="s">
        <v>434</v>
      </c>
      <c r="C246" s="34">
        <v>4301031221</v>
      </c>
      <c r="D246" s="670">
        <v>4680115882676</v>
      </c>
      <c r="E246" s="670"/>
      <c r="F246" s="59">
        <v>0.9</v>
      </c>
      <c r="G246" s="35">
        <v>6</v>
      </c>
      <c r="H246" s="59">
        <v>5.4</v>
      </c>
      <c r="I246" s="59">
        <v>5.59</v>
      </c>
      <c r="J246" s="35">
        <v>132</v>
      </c>
      <c r="K246" s="35" t="s">
        <v>141</v>
      </c>
      <c r="L246" s="35" t="s">
        <v>46</v>
      </c>
      <c r="M246" s="36" t="s">
        <v>81</v>
      </c>
      <c r="N246" s="36"/>
      <c r="O246" s="35">
        <v>40</v>
      </c>
      <c r="P246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46" s="672"/>
      <c r="R246" s="672"/>
      <c r="S246" s="672"/>
      <c r="T246" s="673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2"/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23" t="s">
        <v>435</v>
      </c>
      <c r="AG246" s="75"/>
      <c r="AJ246" s="79" t="s">
        <v>46</v>
      </c>
      <c r="AK246" s="79">
        <v>0</v>
      </c>
      <c r="BB246" s="324" t="s">
        <v>67</v>
      </c>
      <c r="BM246" s="75">
        <f t="shared" si="33"/>
        <v>0</v>
      </c>
      <c r="BN246" s="75">
        <f t="shared" si="34"/>
        <v>0</v>
      </c>
      <c r="BO246" s="75">
        <f t="shared" si="35"/>
        <v>0</v>
      </c>
      <c r="BP246" s="75">
        <f t="shared" si="36"/>
        <v>0</v>
      </c>
    </row>
    <row r="247" spans="1:68" ht="27" customHeight="1" x14ac:dyDescent="0.25">
      <c r="A247" s="60" t="s">
        <v>436</v>
      </c>
      <c r="B247" s="60" t="s">
        <v>437</v>
      </c>
      <c r="C247" s="34">
        <v>4301031223</v>
      </c>
      <c r="D247" s="670">
        <v>4680115884014</v>
      </c>
      <c r="E247" s="670"/>
      <c r="F247" s="59">
        <v>0.3</v>
      </c>
      <c r="G247" s="35">
        <v>6</v>
      </c>
      <c r="H247" s="59">
        <v>1.8</v>
      </c>
      <c r="I247" s="59">
        <v>1.93</v>
      </c>
      <c r="J247" s="35">
        <v>234</v>
      </c>
      <c r="K247" s="35" t="s">
        <v>82</v>
      </c>
      <c r="L247" s="35" t="s">
        <v>46</v>
      </c>
      <c r="M247" s="36" t="s">
        <v>81</v>
      </c>
      <c r="N247" s="36"/>
      <c r="O247" s="35">
        <v>40</v>
      </c>
      <c r="P247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47" s="672"/>
      <c r="R247" s="672"/>
      <c r="S247" s="672"/>
      <c r="T247" s="673"/>
      <c r="U247" s="37" t="s">
        <v>46</v>
      </c>
      <c r="V247" s="37" t="s">
        <v>46</v>
      </c>
      <c r="W247" s="38" t="s">
        <v>0</v>
      </c>
      <c r="X247" s="56">
        <v>6</v>
      </c>
      <c r="Y247" s="53">
        <f t="shared" si="32"/>
        <v>7.2</v>
      </c>
      <c r="Z247" s="39">
        <f>IFERROR(IF(Y247=0,"",ROUNDUP(Y247/H247,0)*0.00502),"")</f>
        <v>2.0080000000000001E-2</v>
      </c>
      <c r="AA247" s="65" t="s">
        <v>46</v>
      </c>
      <c r="AB247" s="66" t="s">
        <v>46</v>
      </c>
      <c r="AC247" s="325" t="s">
        <v>426</v>
      </c>
      <c r="AG247" s="75"/>
      <c r="AJ247" s="79" t="s">
        <v>46</v>
      </c>
      <c r="AK247" s="79">
        <v>0</v>
      </c>
      <c r="BB247" s="326" t="s">
        <v>67</v>
      </c>
      <c r="BM247" s="75">
        <f t="shared" si="33"/>
        <v>6.4333333333333336</v>
      </c>
      <c r="BN247" s="75">
        <f t="shared" si="34"/>
        <v>7.7199999999999989</v>
      </c>
      <c r="BO247" s="75">
        <f t="shared" si="35"/>
        <v>1.4245014245014245E-2</v>
      </c>
      <c r="BP247" s="75">
        <f t="shared" si="36"/>
        <v>1.7094017094017096E-2</v>
      </c>
    </row>
    <row r="248" spans="1:68" ht="27" customHeight="1" x14ac:dyDescent="0.25">
      <c r="A248" s="60" t="s">
        <v>438</v>
      </c>
      <c r="B248" s="60" t="s">
        <v>439</v>
      </c>
      <c r="C248" s="34">
        <v>4301031222</v>
      </c>
      <c r="D248" s="670">
        <v>4680115884007</v>
      </c>
      <c r="E248" s="670"/>
      <c r="F248" s="59">
        <v>0.3</v>
      </c>
      <c r="G248" s="35">
        <v>6</v>
      </c>
      <c r="H248" s="59">
        <v>1.8</v>
      </c>
      <c r="I248" s="59">
        <v>1.9</v>
      </c>
      <c r="J248" s="35">
        <v>234</v>
      </c>
      <c r="K248" s="35" t="s">
        <v>82</v>
      </c>
      <c r="L248" s="35" t="s">
        <v>46</v>
      </c>
      <c r="M248" s="36" t="s">
        <v>81</v>
      </c>
      <c r="N248" s="36"/>
      <c r="O248" s="35">
        <v>40</v>
      </c>
      <c r="P248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48" s="672"/>
      <c r="R248" s="672"/>
      <c r="S248" s="672"/>
      <c r="T248" s="673"/>
      <c r="U248" s="37" t="s">
        <v>46</v>
      </c>
      <c r="V248" s="37" t="s">
        <v>46</v>
      </c>
      <c r="W248" s="38" t="s">
        <v>0</v>
      </c>
      <c r="X248" s="56">
        <v>6</v>
      </c>
      <c r="Y248" s="53">
        <f t="shared" si="32"/>
        <v>7.2</v>
      </c>
      <c r="Z248" s="39">
        <f>IFERROR(IF(Y248=0,"",ROUNDUP(Y248/H248,0)*0.00502),"")</f>
        <v>2.0080000000000001E-2</v>
      </c>
      <c r="AA248" s="65" t="s">
        <v>46</v>
      </c>
      <c r="AB248" s="66" t="s">
        <v>46</v>
      </c>
      <c r="AC248" s="327" t="s">
        <v>429</v>
      </c>
      <c r="AG248" s="75"/>
      <c r="AJ248" s="79" t="s">
        <v>46</v>
      </c>
      <c r="AK248" s="79">
        <v>0</v>
      </c>
      <c r="BB248" s="328" t="s">
        <v>67</v>
      </c>
      <c r="BM248" s="75">
        <f t="shared" si="33"/>
        <v>6.3333333333333321</v>
      </c>
      <c r="BN248" s="75">
        <f t="shared" si="34"/>
        <v>7.6</v>
      </c>
      <c r="BO248" s="75">
        <f t="shared" si="35"/>
        <v>1.4245014245014245E-2</v>
      </c>
      <c r="BP248" s="75">
        <f t="shared" si="36"/>
        <v>1.7094017094017096E-2</v>
      </c>
    </row>
    <row r="249" spans="1:68" ht="27" hidden="1" customHeight="1" x14ac:dyDescent="0.25">
      <c r="A249" s="60" t="s">
        <v>440</v>
      </c>
      <c r="B249" s="60" t="s">
        <v>441</v>
      </c>
      <c r="C249" s="34">
        <v>4301031229</v>
      </c>
      <c r="D249" s="670">
        <v>4680115884038</v>
      </c>
      <c r="E249" s="670"/>
      <c r="F249" s="59">
        <v>0.3</v>
      </c>
      <c r="G249" s="35">
        <v>6</v>
      </c>
      <c r="H249" s="59">
        <v>1.8</v>
      </c>
      <c r="I249" s="59">
        <v>1.9</v>
      </c>
      <c r="J249" s="35">
        <v>234</v>
      </c>
      <c r="K249" s="35" t="s">
        <v>82</v>
      </c>
      <c r="L249" s="35" t="s">
        <v>46</v>
      </c>
      <c r="M249" s="36" t="s">
        <v>81</v>
      </c>
      <c r="N249" s="36"/>
      <c r="O249" s="35">
        <v>40</v>
      </c>
      <c r="P249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49" s="672"/>
      <c r="R249" s="672"/>
      <c r="S249" s="672"/>
      <c r="T249" s="673"/>
      <c r="U249" s="37" t="s">
        <v>46</v>
      </c>
      <c r="V249" s="37" t="s">
        <v>46</v>
      </c>
      <c r="W249" s="38" t="s">
        <v>0</v>
      </c>
      <c r="X249" s="56">
        <v>0</v>
      </c>
      <c r="Y249" s="53">
        <f t="shared" si="32"/>
        <v>0</v>
      </c>
      <c r="Z249" s="39" t="str">
        <f>IFERROR(IF(Y249=0,"",ROUNDUP(Y249/H249,0)*0.00502),"")</f>
        <v/>
      </c>
      <c r="AA249" s="65" t="s">
        <v>46</v>
      </c>
      <c r="AB249" s="66" t="s">
        <v>46</v>
      </c>
      <c r="AC249" s="329" t="s">
        <v>432</v>
      </c>
      <c r="AG249" s="75"/>
      <c r="AJ249" s="79" t="s">
        <v>46</v>
      </c>
      <c r="AK249" s="79">
        <v>0</v>
      </c>
      <c r="BB249" s="330" t="s">
        <v>67</v>
      </c>
      <c r="BM249" s="75">
        <f t="shared" si="33"/>
        <v>0</v>
      </c>
      <c r="BN249" s="75">
        <f t="shared" si="34"/>
        <v>0</v>
      </c>
      <c r="BO249" s="75">
        <f t="shared" si="35"/>
        <v>0</v>
      </c>
      <c r="BP249" s="75">
        <f t="shared" si="36"/>
        <v>0</v>
      </c>
    </row>
    <row r="250" spans="1:68" ht="27" hidden="1" customHeight="1" x14ac:dyDescent="0.25">
      <c r="A250" s="60" t="s">
        <v>442</v>
      </c>
      <c r="B250" s="60" t="s">
        <v>443</v>
      </c>
      <c r="C250" s="34">
        <v>4301031225</v>
      </c>
      <c r="D250" s="670">
        <v>4680115884021</v>
      </c>
      <c r="E250" s="670"/>
      <c r="F250" s="59">
        <v>0.3</v>
      </c>
      <c r="G250" s="35">
        <v>6</v>
      </c>
      <c r="H250" s="59">
        <v>1.8</v>
      </c>
      <c r="I250" s="59">
        <v>1.9</v>
      </c>
      <c r="J250" s="35">
        <v>234</v>
      </c>
      <c r="K250" s="35" t="s">
        <v>82</v>
      </c>
      <c r="L250" s="35" t="s">
        <v>46</v>
      </c>
      <c r="M250" s="36" t="s">
        <v>81</v>
      </c>
      <c r="N250" s="36"/>
      <c r="O250" s="35">
        <v>40</v>
      </c>
      <c r="P250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0" s="672"/>
      <c r="R250" s="672"/>
      <c r="S250" s="672"/>
      <c r="T250" s="673"/>
      <c r="U250" s="37" t="s">
        <v>46</v>
      </c>
      <c r="V250" s="37" t="s">
        <v>46</v>
      </c>
      <c r="W250" s="38" t="s">
        <v>0</v>
      </c>
      <c r="X250" s="56">
        <v>0</v>
      </c>
      <c r="Y250" s="53">
        <f t="shared" si="32"/>
        <v>0</v>
      </c>
      <c r="Z250" s="39" t="str">
        <f>IFERROR(IF(Y250=0,"",ROUNDUP(Y250/H250,0)*0.00502),"")</f>
        <v/>
      </c>
      <c r="AA250" s="65" t="s">
        <v>46</v>
      </c>
      <c r="AB250" s="66" t="s">
        <v>46</v>
      </c>
      <c r="AC250" s="331" t="s">
        <v>435</v>
      </c>
      <c r="AG250" s="75"/>
      <c r="AJ250" s="79" t="s">
        <v>46</v>
      </c>
      <c r="AK250" s="79">
        <v>0</v>
      </c>
      <c r="BB250" s="332" t="s">
        <v>67</v>
      </c>
      <c r="BM250" s="75">
        <f t="shared" si="33"/>
        <v>0</v>
      </c>
      <c r="BN250" s="75">
        <f t="shared" si="34"/>
        <v>0</v>
      </c>
      <c r="BO250" s="75">
        <f t="shared" si="35"/>
        <v>0</v>
      </c>
      <c r="BP250" s="75">
        <f t="shared" si="36"/>
        <v>0</v>
      </c>
    </row>
    <row r="251" spans="1:68" x14ac:dyDescent="0.2">
      <c r="A251" s="678"/>
      <c r="B251" s="678"/>
      <c r="C251" s="678"/>
      <c r="D251" s="678"/>
      <c r="E251" s="678"/>
      <c r="F251" s="678"/>
      <c r="G251" s="678"/>
      <c r="H251" s="678"/>
      <c r="I251" s="678"/>
      <c r="J251" s="678"/>
      <c r="K251" s="678"/>
      <c r="L251" s="678"/>
      <c r="M251" s="678"/>
      <c r="N251" s="678"/>
      <c r="O251" s="679"/>
      <c r="P251" s="675" t="s">
        <v>40</v>
      </c>
      <c r="Q251" s="676"/>
      <c r="R251" s="676"/>
      <c r="S251" s="676"/>
      <c r="T251" s="676"/>
      <c r="U251" s="676"/>
      <c r="V251" s="677"/>
      <c r="W251" s="40" t="s">
        <v>39</v>
      </c>
      <c r="X251" s="41">
        <f>IFERROR(X243/H243,"0")+IFERROR(X244/H244,"0")+IFERROR(X245/H245,"0")+IFERROR(X246/H246,"0")+IFERROR(X247/H247,"0")+IFERROR(X248/H248,"0")+IFERROR(X249/H249,"0")+IFERROR(X250/H250,"0")</f>
        <v>6.6666666666666661</v>
      </c>
      <c r="Y251" s="41">
        <f>IFERROR(Y243/H243,"0")+IFERROR(Y244/H244,"0")+IFERROR(Y245/H245,"0")+IFERROR(Y246/H246,"0")+IFERROR(Y247/H247,"0")+IFERROR(Y248/H248,"0")+IFERROR(Y249/H249,"0")+IFERROR(Y250/H250,"0")</f>
        <v>8</v>
      </c>
      <c r="Z251" s="41">
        <f>IFERROR(IF(Z243="",0,Z243),"0")+IFERROR(IF(Z244="",0,Z244),"0")+IFERROR(IF(Z245="",0,Z245),"0")+IFERROR(IF(Z246="",0,Z246),"0")+IFERROR(IF(Z247="",0,Z247),"0")+IFERROR(IF(Z248="",0,Z248),"0")+IFERROR(IF(Z249="",0,Z249),"0")+IFERROR(IF(Z250="",0,Z250),"0")</f>
        <v>4.0160000000000001E-2</v>
      </c>
      <c r="AA251" s="64"/>
      <c r="AB251" s="64"/>
      <c r="AC251" s="64"/>
    </row>
    <row r="252" spans="1:68" x14ac:dyDescent="0.2">
      <c r="A252" s="678"/>
      <c r="B252" s="678"/>
      <c r="C252" s="678"/>
      <c r="D252" s="678"/>
      <c r="E252" s="678"/>
      <c r="F252" s="678"/>
      <c r="G252" s="678"/>
      <c r="H252" s="678"/>
      <c r="I252" s="678"/>
      <c r="J252" s="678"/>
      <c r="K252" s="678"/>
      <c r="L252" s="678"/>
      <c r="M252" s="678"/>
      <c r="N252" s="678"/>
      <c r="O252" s="679"/>
      <c r="P252" s="675" t="s">
        <v>40</v>
      </c>
      <c r="Q252" s="676"/>
      <c r="R252" s="676"/>
      <c r="S252" s="676"/>
      <c r="T252" s="676"/>
      <c r="U252" s="676"/>
      <c r="V252" s="677"/>
      <c r="W252" s="40" t="s">
        <v>0</v>
      </c>
      <c r="X252" s="41">
        <f>IFERROR(SUM(X243:X250),"0")</f>
        <v>12</v>
      </c>
      <c r="Y252" s="41">
        <f>IFERROR(SUM(Y243:Y250),"0")</f>
        <v>14.4</v>
      </c>
      <c r="Z252" s="40"/>
      <c r="AA252" s="64"/>
      <c r="AB252" s="64"/>
      <c r="AC252" s="64"/>
    </row>
    <row r="253" spans="1:68" ht="14.25" hidden="1" customHeight="1" x14ac:dyDescent="0.25">
      <c r="A253" s="669" t="s">
        <v>86</v>
      </c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69"/>
      <c r="P253" s="669"/>
      <c r="Q253" s="669"/>
      <c r="R253" s="669"/>
      <c r="S253" s="669"/>
      <c r="T253" s="669"/>
      <c r="U253" s="669"/>
      <c r="V253" s="669"/>
      <c r="W253" s="669"/>
      <c r="X253" s="669"/>
      <c r="Y253" s="669"/>
      <c r="Z253" s="669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4301051408</v>
      </c>
      <c r="D254" s="670">
        <v>4680115881594</v>
      </c>
      <c r="E254" s="670"/>
      <c r="F254" s="59">
        <v>1.35</v>
      </c>
      <c r="G254" s="35">
        <v>6</v>
      </c>
      <c r="H254" s="59">
        <v>8.1</v>
      </c>
      <c r="I254" s="59">
        <v>8.5939999999999994</v>
      </c>
      <c r="J254" s="35">
        <v>64</v>
      </c>
      <c r="K254" s="35" t="s">
        <v>134</v>
      </c>
      <c r="L254" s="35" t="s">
        <v>46</v>
      </c>
      <c r="M254" s="36" t="s">
        <v>90</v>
      </c>
      <c r="N254" s="36"/>
      <c r="O254" s="35">
        <v>40</v>
      </c>
      <c r="P254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54" s="672"/>
      <c r="R254" s="672"/>
      <c r="S254" s="672"/>
      <c r="T254" s="673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ref="Y254:Y265" si="37"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33" t="s">
        <v>446</v>
      </c>
      <c r="AG254" s="75"/>
      <c r="AJ254" s="79" t="s">
        <v>46</v>
      </c>
      <c r="AK254" s="79">
        <v>0</v>
      </c>
      <c r="BB254" s="334" t="s">
        <v>67</v>
      </c>
      <c r="BM254" s="75">
        <f t="shared" ref="BM254:BM265" si="38">IFERROR(X254*I254/H254,"0")</f>
        <v>0</v>
      </c>
      <c r="BN254" s="75">
        <f t="shared" ref="BN254:BN265" si="39">IFERROR(Y254*I254/H254,"0")</f>
        <v>0</v>
      </c>
      <c r="BO254" s="75">
        <f t="shared" ref="BO254:BO265" si="40">IFERROR(1/J254*(X254/H254),"0")</f>
        <v>0</v>
      </c>
      <c r="BP254" s="75">
        <f t="shared" ref="BP254:BP265" si="41">IFERROR(1/J254*(Y254/H254),"0")</f>
        <v>0</v>
      </c>
    </row>
    <row r="255" spans="1:68" ht="27" hidden="1" customHeight="1" x14ac:dyDescent="0.25">
      <c r="A255" s="60" t="s">
        <v>447</v>
      </c>
      <c r="B255" s="60" t="s">
        <v>448</v>
      </c>
      <c r="C255" s="34">
        <v>4301051411</v>
      </c>
      <c r="D255" s="670">
        <v>4680115881617</v>
      </c>
      <c r="E255" s="670"/>
      <c r="F255" s="59">
        <v>1.35</v>
      </c>
      <c r="G255" s="35">
        <v>6</v>
      </c>
      <c r="H255" s="59">
        <v>8.1</v>
      </c>
      <c r="I255" s="59">
        <v>8.5760000000000005</v>
      </c>
      <c r="J255" s="35">
        <v>64</v>
      </c>
      <c r="K255" s="35" t="s">
        <v>134</v>
      </c>
      <c r="L255" s="35" t="s">
        <v>46</v>
      </c>
      <c r="M255" s="36" t="s">
        <v>90</v>
      </c>
      <c r="N255" s="36"/>
      <c r="O255" s="35">
        <v>40</v>
      </c>
      <c r="P255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55" s="672"/>
      <c r="R255" s="672"/>
      <c r="S255" s="672"/>
      <c r="T255" s="673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7"/>
        <v>0</v>
      </c>
      <c r="Z255" s="39" t="str">
        <f>IFERROR(IF(Y255=0,"",ROUNDUP(Y255/H255,0)*0.01898),"")</f>
        <v/>
      </c>
      <c r="AA255" s="65" t="s">
        <v>46</v>
      </c>
      <c r="AB255" s="66" t="s">
        <v>46</v>
      </c>
      <c r="AC255" s="335" t="s">
        <v>449</v>
      </c>
      <c r="AG255" s="75"/>
      <c r="AJ255" s="79" t="s">
        <v>46</v>
      </c>
      <c r="AK255" s="79">
        <v>0</v>
      </c>
      <c r="BB255" s="336" t="s">
        <v>67</v>
      </c>
      <c r="BM255" s="75">
        <f t="shared" si="38"/>
        <v>0</v>
      </c>
      <c r="BN255" s="75">
        <f t="shared" si="39"/>
        <v>0</v>
      </c>
      <c r="BO255" s="75">
        <f t="shared" si="40"/>
        <v>0</v>
      </c>
      <c r="BP255" s="75">
        <f t="shared" si="41"/>
        <v>0</v>
      </c>
    </row>
    <row r="256" spans="1:68" ht="27" hidden="1" customHeight="1" x14ac:dyDescent="0.25">
      <c r="A256" s="60" t="s">
        <v>450</v>
      </c>
      <c r="B256" s="60" t="s">
        <v>451</v>
      </c>
      <c r="C256" s="34">
        <v>4301051656</v>
      </c>
      <c r="D256" s="670">
        <v>4680115880573</v>
      </c>
      <c r="E256" s="670"/>
      <c r="F256" s="59">
        <v>1.45</v>
      </c>
      <c r="G256" s="35">
        <v>6</v>
      </c>
      <c r="H256" s="59">
        <v>8.6999999999999993</v>
      </c>
      <c r="I256" s="59">
        <v>9.1940000000000008</v>
      </c>
      <c r="J256" s="35">
        <v>64</v>
      </c>
      <c r="K256" s="35" t="s">
        <v>134</v>
      </c>
      <c r="L256" s="35" t="s">
        <v>46</v>
      </c>
      <c r="M256" s="36" t="s">
        <v>90</v>
      </c>
      <c r="N256" s="36"/>
      <c r="O256" s="35">
        <v>45</v>
      </c>
      <c r="P256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56" s="672"/>
      <c r="R256" s="672"/>
      <c r="S256" s="672"/>
      <c r="T256" s="673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7"/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37" t="s">
        <v>452</v>
      </c>
      <c r="AG256" s="75"/>
      <c r="AJ256" s="79" t="s">
        <v>46</v>
      </c>
      <c r="AK256" s="79">
        <v>0</v>
      </c>
      <c r="BB256" s="338" t="s">
        <v>67</v>
      </c>
      <c r="BM256" s="75">
        <f t="shared" si="38"/>
        <v>0</v>
      </c>
      <c r="BN256" s="75">
        <f t="shared" si="39"/>
        <v>0</v>
      </c>
      <c r="BO256" s="75">
        <f t="shared" si="40"/>
        <v>0</v>
      </c>
      <c r="BP256" s="75">
        <f t="shared" si="41"/>
        <v>0</v>
      </c>
    </row>
    <row r="257" spans="1:68" ht="27" customHeight="1" x14ac:dyDescent="0.25">
      <c r="A257" s="60" t="s">
        <v>453</v>
      </c>
      <c r="B257" s="60" t="s">
        <v>454</v>
      </c>
      <c r="C257" s="34">
        <v>4301051407</v>
      </c>
      <c r="D257" s="670">
        <v>4680115882195</v>
      </c>
      <c r="E257" s="670"/>
      <c r="F257" s="59">
        <v>0.4</v>
      </c>
      <c r="G257" s="35">
        <v>6</v>
      </c>
      <c r="H257" s="59">
        <v>2.4</v>
      </c>
      <c r="I257" s="59">
        <v>2.67</v>
      </c>
      <c r="J257" s="35">
        <v>182</v>
      </c>
      <c r="K257" s="35" t="s">
        <v>91</v>
      </c>
      <c r="L257" s="35" t="s">
        <v>46</v>
      </c>
      <c r="M257" s="36" t="s">
        <v>90</v>
      </c>
      <c r="N257" s="36"/>
      <c r="O257" s="35">
        <v>40</v>
      </c>
      <c r="P257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57" s="672"/>
      <c r="R257" s="672"/>
      <c r="S257" s="672"/>
      <c r="T257" s="673"/>
      <c r="U257" s="37" t="s">
        <v>46</v>
      </c>
      <c r="V257" s="37" t="s">
        <v>46</v>
      </c>
      <c r="W257" s="38" t="s">
        <v>0</v>
      </c>
      <c r="X257" s="56">
        <v>32</v>
      </c>
      <c r="Y257" s="53">
        <f t="shared" si="37"/>
        <v>33.6</v>
      </c>
      <c r="Z257" s="39">
        <f>IFERROR(IF(Y257=0,"",ROUNDUP(Y257/H257,0)*0.00651),"")</f>
        <v>9.1139999999999999E-2</v>
      </c>
      <c r="AA257" s="65" t="s">
        <v>46</v>
      </c>
      <c r="AB257" s="66" t="s">
        <v>46</v>
      </c>
      <c r="AC257" s="339" t="s">
        <v>446</v>
      </c>
      <c r="AG257" s="75"/>
      <c r="AJ257" s="79" t="s">
        <v>46</v>
      </c>
      <c r="AK257" s="79">
        <v>0</v>
      </c>
      <c r="BB257" s="340" t="s">
        <v>67</v>
      </c>
      <c r="BM257" s="75">
        <f t="shared" si="38"/>
        <v>35.6</v>
      </c>
      <c r="BN257" s="75">
        <f t="shared" si="39"/>
        <v>37.380000000000003</v>
      </c>
      <c r="BO257" s="75">
        <f t="shared" si="40"/>
        <v>7.3260073260073263E-2</v>
      </c>
      <c r="BP257" s="75">
        <f t="shared" si="41"/>
        <v>7.6923076923076941E-2</v>
      </c>
    </row>
    <row r="258" spans="1:68" ht="27" hidden="1" customHeight="1" x14ac:dyDescent="0.25">
      <c r="A258" s="60" t="s">
        <v>455</v>
      </c>
      <c r="B258" s="60" t="s">
        <v>456</v>
      </c>
      <c r="C258" s="34">
        <v>4301051752</v>
      </c>
      <c r="D258" s="670">
        <v>4680115882607</v>
      </c>
      <c r="E258" s="670"/>
      <c r="F258" s="59">
        <v>0.3</v>
      </c>
      <c r="G258" s="35">
        <v>6</v>
      </c>
      <c r="H258" s="59">
        <v>1.8</v>
      </c>
      <c r="I258" s="59">
        <v>2.052</v>
      </c>
      <c r="J258" s="35">
        <v>182</v>
      </c>
      <c r="K258" s="35" t="s">
        <v>91</v>
      </c>
      <c r="L258" s="35" t="s">
        <v>46</v>
      </c>
      <c r="M258" s="36" t="s">
        <v>97</v>
      </c>
      <c r="N258" s="36"/>
      <c r="O258" s="35">
        <v>45</v>
      </c>
      <c r="P258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58" s="672"/>
      <c r="R258" s="672"/>
      <c r="S258" s="672"/>
      <c r="T258" s="673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7"/>
        <v>0</v>
      </c>
      <c r="Z258" s="39" t="str">
        <f>IFERROR(IF(Y258=0,"",ROUNDUP(Y258/H258,0)*0.00651),"")</f>
        <v/>
      </c>
      <c r="AA258" s="65" t="s">
        <v>46</v>
      </c>
      <c r="AB258" s="66" t="s">
        <v>46</v>
      </c>
      <c r="AC258" s="341" t="s">
        <v>452</v>
      </c>
      <c r="AG258" s="75"/>
      <c r="AJ258" s="79" t="s">
        <v>46</v>
      </c>
      <c r="AK258" s="79">
        <v>0</v>
      </c>
      <c r="BB258" s="342" t="s">
        <v>67</v>
      </c>
      <c r="BM258" s="75">
        <f t="shared" si="38"/>
        <v>0</v>
      </c>
      <c r="BN258" s="75">
        <f t="shared" si="39"/>
        <v>0</v>
      </c>
      <c r="BO258" s="75">
        <f t="shared" si="40"/>
        <v>0</v>
      </c>
      <c r="BP258" s="75">
        <f t="shared" si="41"/>
        <v>0</v>
      </c>
    </row>
    <row r="259" spans="1:68" ht="27" hidden="1" customHeight="1" x14ac:dyDescent="0.25">
      <c r="A259" s="60" t="s">
        <v>457</v>
      </c>
      <c r="B259" s="60" t="s">
        <v>458</v>
      </c>
      <c r="C259" s="34">
        <v>4301052143</v>
      </c>
      <c r="D259" s="670">
        <v>4680115882607</v>
      </c>
      <c r="E259" s="670"/>
      <c r="F259" s="59">
        <v>0.3</v>
      </c>
      <c r="G259" s="35">
        <v>6</v>
      </c>
      <c r="H259" s="59">
        <v>1.8</v>
      </c>
      <c r="I259" s="59">
        <v>2.0619999999999998</v>
      </c>
      <c r="J259" s="35">
        <v>132</v>
      </c>
      <c r="K259" s="35" t="s">
        <v>141</v>
      </c>
      <c r="L259" s="35" t="s">
        <v>46</v>
      </c>
      <c r="M259" s="36" t="s">
        <v>90</v>
      </c>
      <c r="N259" s="36"/>
      <c r="O259" s="35">
        <v>45</v>
      </c>
      <c r="P259" s="80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59" s="672"/>
      <c r="R259" s="672"/>
      <c r="S259" s="672"/>
      <c r="T259" s="673"/>
      <c r="U259" s="37" t="s">
        <v>46</v>
      </c>
      <c r="V259" s="37" t="s">
        <v>46</v>
      </c>
      <c r="W259" s="38" t="s">
        <v>0</v>
      </c>
      <c r="X259" s="56">
        <v>0</v>
      </c>
      <c r="Y259" s="53">
        <f t="shared" si="37"/>
        <v>0</v>
      </c>
      <c r="Z259" s="39" t="str">
        <f>IFERROR(IF(Y259=0,"",ROUNDUP(Y259/H259,0)*0.00902),"")</f>
        <v/>
      </c>
      <c r="AA259" s="65" t="s">
        <v>46</v>
      </c>
      <c r="AB259" s="66" t="s">
        <v>46</v>
      </c>
      <c r="AC259" s="343" t="s">
        <v>459</v>
      </c>
      <c r="AG259" s="75"/>
      <c r="AJ259" s="79" t="s">
        <v>46</v>
      </c>
      <c r="AK259" s="79">
        <v>0</v>
      </c>
      <c r="BB259" s="344" t="s">
        <v>67</v>
      </c>
      <c r="BM259" s="75">
        <f t="shared" si="38"/>
        <v>0</v>
      </c>
      <c r="BN259" s="75">
        <f t="shared" si="39"/>
        <v>0</v>
      </c>
      <c r="BO259" s="75">
        <f t="shared" si="40"/>
        <v>0</v>
      </c>
      <c r="BP259" s="75">
        <f t="shared" si="41"/>
        <v>0</v>
      </c>
    </row>
    <row r="260" spans="1:68" ht="27" customHeight="1" x14ac:dyDescent="0.25">
      <c r="A260" s="60" t="s">
        <v>460</v>
      </c>
      <c r="B260" s="60" t="s">
        <v>461</v>
      </c>
      <c r="C260" s="34">
        <v>4301051666</v>
      </c>
      <c r="D260" s="670">
        <v>4680115880092</v>
      </c>
      <c r="E260" s="670"/>
      <c r="F260" s="59">
        <v>0.4</v>
      </c>
      <c r="G260" s="35">
        <v>6</v>
      </c>
      <c r="H260" s="59">
        <v>2.4</v>
      </c>
      <c r="I260" s="59">
        <v>2.6520000000000001</v>
      </c>
      <c r="J260" s="35">
        <v>182</v>
      </c>
      <c r="K260" s="35" t="s">
        <v>91</v>
      </c>
      <c r="L260" s="35" t="s">
        <v>46</v>
      </c>
      <c r="M260" s="36" t="s">
        <v>90</v>
      </c>
      <c r="N260" s="36"/>
      <c r="O260" s="35">
        <v>45</v>
      </c>
      <c r="P260" s="8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0" s="672"/>
      <c r="R260" s="672"/>
      <c r="S260" s="672"/>
      <c r="T260" s="673"/>
      <c r="U260" s="37" t="s">
        <v>46</v>
      </c>
      <c r="V260" s="37" t="s">
        <v>46</v>
      </c>
      <c r="W260" s="38" t="s">
        <v>0</v>
      </c>
      <c r="X260" s="56">
        <v>24</v>
      </c>
      <c r="Y260" s="53">
        <f t="shared" si="37"/>
        <v>24</v>
      </c>
      <c r="Z260" s="39">
        <f>IFERROR(IF(Y260=0,"",ROUNDUP(Y260/H260,0)*0.00651),"")</f>
        <v>6.5100000000000005E-2</v>
      </c>
      <c r="AA260" s="65" t="s">
        <v>46</v>
      </c>
      <c r="AB260" s="66" t="s">
        <v>46</v>
      </c>
      <c r="AC260" s="345" t="s">
        <v>452</v>
      </c>
      <c r="AG260" s="75"/>
      <c r="AJ260" s="79" t="s">
        <v>46</v>
      </c>
      <c r="AK260" s="79">
        <v>0</v>
      </c>
      <c r="BB260" s="346" t="s">
        <v>67</v>
      </c>
      <c r="BM260" s="75">
        <f t="shared" si="38"/>
        <v>26.520000000000003</v>
      </c>
      <c r="BN260" s="75">
        <f t="shared" si="39"/>
        <v>26.520000000000003</v>
      </c>
      <c r="BO260" s="75">
        <f t="shared" si="40"/>
        <v>5.4945054945054951E-2</v>
      </c>
      <c r="BP260" s="75">
        <f t="shared" si="41"/>
        <v>5.4945054945054951E-2</v>
      </c>
    </row>
    <row r="261" spans="1:68" ht="27" hidden="1" customHeight="1" x14ac:dyDescent="0.25">
      <c r="A261" s="60" t="s">
        <v>462</v>
      </c>
      <c r="B261" s="60" t="s">
        <v>463</v>
      </c>
      <c r="C261" s="34">
        <v>4301052214</v>
      </c>
      <c r="D261" s="670">
        <v>4680115889064</v>
      </c>
      <c r="E261" s="670"/>
      <c r="F261" s="59">
        <v>0.7</v>
      </c>
      <c r="G261" s="35">
        <v>6</v>
      </c>
      <c r="H261" s="59">
        <v>4.2</v>
      </c>
      <c r="I261" s="59">
        <v>4.6159999999999997</v>
      </c>
      <c r="J261" s="35">
        <v>104</v>
      </c>
      <c r="K261" s="35" t="s">
        <v>134</v>
      </c>
      <c r="L261" s="35" t="s">
        <v>46</v>
      </c>
      <c r="M261" s="36" t="s">
        <v>90</v>
      </c>
      <c r="N261" s="36"/>
      <c r="O261" s="35">
        <v>45</v>
      </c>
      <c r="P261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1" s="672"/>
      <c r="R261" s="672"/>
      <c r="S261" s="672"/>
      <c r="T261" s="673"/>
      <c r="U261" s="37" t="s">
        <v>46</v>
      </c>
      <c r="V261" s="37" t="s">
        <v>46</v>
      </c>
      <c r="W261" s="38" t="s">
        <v>0</v>
      </c>
      <c r="X261" s="56">
        <v>0</v>
      </c>
      <c r="Y261" s="53">
        <f t="shared" si="37"/>
        <v>0</v>
      </c>
      <c r="Z261" s="39" t="str">
        <f>IFERROR(IF(Y261=0,"",ROUNDUP(Y261/H261,0)*0.01196),"")</f>
        <v/>
      </c>
      <c r="AA261" s="65" t="s">
        <v>46</v>
      </c>
      <c r="AB261" s="66" t="s">
        <v>46</v>
      </c>
      <c r="AC261" s="347" t="s">
        <v>459</v>
      </c>
      <c r="AG261" s="75"/>
      <c r="AJ261" s="79" t="s">
        <v>46</v>
      </c>
      <c r="AK261" s="79">
        <v>0</v>
      </c>
      <c r="BB261" s="348" t="s">
        <v>67</v>
      </c>
      <c r="BM261" s="75">
        <f t="shared" si="38"/>
        <v>0</v>
      </c>
      <c r="BN261" s="75">
        <f t="shared" si="39"/>
        <v>0</v>
      </c>
      <c r="BO261" s="75">
        <f t="shared" si="40"/>
        <v>0</v>
      </c>
      <c r="BP261" s="75">
        <f t="shared" si="41"/>
        <v>0</v>
      </c>
    </row>
    <row r="262" spans="1:68" ht="27" hidden="1" customHeight="1" x14ac:dyDescent="0.25">
      <c r="A262" s="60" t="s">
        <v>464</v>
      </c>
      <c r="B262" s="60" t="s">
        <v>465</v>
      </c>
      <c r="C262" s="34">
        <v>4301051668</v>
      </c>
      <c r="D262" s="670">
        <v>4680115880221</v>
      </c>
      <c r="E262" s="670"/>
      <c r="F262" s="59">
        <v>0.4</v>
      </c>
      <c r="G262" s="35">
        <v>6</v>
      </c>
      <c r="H262" s="59">
        <v>2.4</v>
      </c>
      <c r="I262" s="59">
        <v>2.6520000000000001</v>
      </c>
      <c r="J262" s="35">
        <v>182</v>
      </c>
      <c r="K262" s="35" t="s">
        <v>91</v>
      </c>
      <c r="L262" s="35" t="s">
        <v>46</v>
      </c>
      <c r="M262" s="36" t="s">
        <v>90</v>
      </c>
      <c r="N262" s="36"/>
      <c r="O262" s="35">
        <v>45</v>
      </c>
      <c r="P262" s="8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2" s="672"/>
      <c r="R262" s="672"/>
      <c r="S262" s="672"/>
      <c r="T262" s="673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37"/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9" t="s">
        <v>452</v>
      </c>
      <c r="AG262" s="75"/>
      <c r="AJ262" s="79" t="s">
        <v>46</v>
      </c>
      <c r="AK262" s="79">
        <v>0</v>
      </c>
      <c r="BB262" s="350" t="s">
        <v>67</v>
      </c>
      <c r="BM262" s="75">
        <f t="shared" si="38"/>
        <v>0</v>
      </c>
      <c r="BN262" s="75">
        <f t="shared" si="39"/>
        <v>0</v>
      </c>
      <c r="BO262" s="75">
        <f t="shared" si="40"/>
        <v>0</v>
      </c>
      <c r="BP262" s="75">
        <f t="shared" si="41"/>
        <v>0</v>
      </c>
    </row>
    <row r="263" spans="1:68" ht="27" customHeight="1" x14ac:dyDescent="0.25">
      <c r="A263" s="60" t="s">
        <v>466</v>
      </c>
      <c r="B263" s="60" t="s">
        <v>467</v>
      </c>
      <c r="C263" s="34">
        <v>4301051945</v>
      </c>
      <c r="D263" s="670">
        <v>4680115880504</v>
      </c>
      <c r="E263" s="670"/>
      <c r="F263" s="59">
        <v>0.4</v>
      </c>
      <c r="G263" s="35">
        <v>6</v>
      </c>
      <c r="H263" s="59">
        <v>2.4</v>
      </c>
      <c r="I263" s="59">
        <v>2.6520000000000001</v>
      </c>
      <c r="J263" s="35">
        <v>182</v>
      </c>
      <c r="K263" s="35" t="s">
        <v>91</v>
      </c>
      <c r="L263" s="35" t="s">
        <v>46</v>
      </c>
      <c r="M263" s="36" t="s">
        <v>97</v>
      </c>
      <c r="N263" s="36"/>
      <c r="O263" s="35">
        <v>40</v>
      </c>
      <c r="P263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3" s="672"/>
      <c r="R263" s="672"/>
      <c r="S263" s="672"/>
      <c r="T263" s="673"/>
      <c r="U263" s="37" t="s">
        <v>46</v>
      </c>
      <c r="V263" s="37" t="s">
        <v>46</v>
      </c>
      <c r="W263" s="38" t="s">
        <v>0</v>
      </c>
      <c r="X263" s="56">
        <v>12</v>
      </c>
      <c r="Y263" s="53">
        <f t="shared" si="37"/>
        <v>12</v>
      </c>
      <c r="Z263" s="39">
        <f>IFERROR(IF(Y263=0,"",ROUNDUP(Y263/H263,0)*0.00651),"")</f>
        <v>3.2550000000000003E-2</v>
      </c>
      <c r="AA263" s="65" t="s">
        <v>46</v>
      </c>
      <c r="AB263" s="66" t="s">
        <v>46</v>
      </c>
      <c r="AC263" s="351" t="s">
        <v>468</v>
      </c>
      <c r="AG263" s="75"/>
      <c r="AJ263" s="79" t="s">
        <v>46</v>
      </c>
      <c r="AK263" s="79">
        <v>0</v>
      </c>
      <c r="BB263" s="352" t="s">
        <v>67</v>
      </c>
      <c r="BM263" s="75">
        <f t="shared" si="38"/>
        <v>13.260000000000002</v>
      </c>
      <c r="BN263" s="75">
        <f t="shared" si="39"/>
        <v>13.260000000000002</v>
      </c>
      <c r="BO263" s="75">
        <f t="shared" si="40"/>
        <v>2.7472527472527476E-2</v>
      </c>
      <c r="BP263" s="75">
        <f t="shared" si="41"/>
        <v>2.7472527472527476E-2</v>
      </c>
    </row>
    <row r="264" spans="1:68" ht="27" customHeight="1" x14ac:dyDescent="0.25">
      <c r="A264" s="60" t="s">
        <v>469</v>
      </c>
      <c r="B264" s="60" t="s">
        <v>470</v>
      </c>
      <c r="C264" s="34">
        <v>4301051410</v>
      </c>
      <c r="D264" s="670">
        <v>4680115882164</v>
      </c>
      <c r="E264" s="670"/>
      <c r="F264" s="59">
        <v>0.4</v>
      </c>
      <c r="G264" s="35">
        <v>6</v>
      </c>
      <c r="H264" s="59">
        <v>2.4</v>
      </c>
      <c r="I264" s="59">
        <v>2.6579999999999999</v>
      </c>
      <c r="J264" s="35">
        <v>182</v>
      </c>
      <c r="K264" s="35" t="s">
        <v>91</v>
      </c>
      <c r="L264" s="35" t="s">
        <v>46</v>
      </c>
      <c r="M264" s="36" t="s">
        <v>90</v>
      </c>
      <c r="N264" s="36"/>
      <c r="O264" s="35">
        <v>40</v>
      </c>
      <c r="P264" s="81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64" s="672"/>
      <c r="R264" s="672"/>
      <c r="S264" s="672"/>
      <c r="T264" s="673"/>
      <c r="U264" s="37" t="s">
        <v>46</v>
      </c>
      <c r="V264" s="37" t="s">
        <v>46</v>
      </c>
      <c r="W264" s="38" t="s">
        <v>0</v>
      </c>
      <c r="X264" s="56">
        <v>12</v>
      </c>
      <c r="Y264" s="53">
        <f t="shared" si="37"/>
        <v>12</v>
      </c>
      <c r="Z264" s="39">
        <f>IFERROR(IF(Y264=0,"",ROUNDUP(Y264/H264,0)*0.00651),"")</f>
        <v>3.2550000000000003E-2</v>
      </c>
      <c r="AA264" s="65" t="s">
        <v>46</v>
      </c>
      <c r="AB264" s="66" t="s">
        <v>46</v>
      </c>
      <c r="AC264" s="353" t="s">
        <v>471</v>
      </c>
      <c r="AG264" s="75"/>
      <c r="AJ264" s="79" t="s">
        <v>46</v>
      </c>
      <c r="AK264" s="79">
        <v>0</v>
      </c>
      <c r="BB264" s="354" t="s">
        <v>67</v>
      </c>
      <c r="BM264" s="75">
        <f t="shared" si="38"/>
        <v>13.290000000000001</v>
      </c>
      <c r="BN264" s="75">
        <f t="shared" si="39"/>
        <v>13.290000000000001</v>
      </c>
      <c r="BO264" s="75">
        <f t="shared" si="40"/>
        <v>2.7472527472527476E-2</v>
      </c>
      <c r="BP264" s="75">
        <f t="shared" si="41"/>
        <v>2.7472527472527476E-2</v>
      </c>
    </row>
    <row r="265" spans="1:68" ht="27" hidden="1" customHeight="1" x14ac:dyDescent="0.25">
      <c r="A265" s="60" t="s">
        <v>472</v>
      </c>
      <c r="B265" s="60" t="s">
        <v>473</v>
      </c>
      <c r="C265" s="34">
        <v>4301052180</v>
      </c>
      <c r="D265" s="670">
        <v>4680115888340</v>
      </c>
      <c r="E265" s="670"/>
      <c r="F265" s="59">
        <v>0.4</v>
      </c>
      <c r="G265" s="35">
        <v>6</v>
      </c>
      <c r="H265" s="59">
        <v>2.4</v>
      </c>
      <c r="I265" s="59">
        <v>2.6520000000000001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45</v>
      </c>
      <c r="P265" s="81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65" s="672"/>
      <c r="R265" s="672"/>
      <c r="S265" s="672"/>
      <c r="T265" s="673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55" t="s">
        <v>474</v>
      </c>
      <c r="AG265" s="75"/>
      <c r="AJ265" s="79" t="s">
        <v>46</v>
      </c>
      <c r="AK265" s="79">
        <v>0</v>
      </c>
      <c r="BB265" s="356" t="s">
        <v>67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x14ac:dyDescent="0.2">
      <c r="A266" s="678"/>
      <c r="B266" s="678"/>
      <c r="C266" s="678"/>
      <c r="D266" s="678"/>
      <c r="E266" s="678"/>
      <c r="F266" s="678"/>
      <c r="G266" s="678"/>
      <c r="H266" s="678"/>
      <c r="I266" s="678"/>
      <c r="J266" s="678"/>
      <c r="K266" s="678"/>
      <c r="L266" s="678"/>
      <c r="M266" s="678"/>
      <c r="N266" s="678"/>
      <c r="O266" s="679"/>
      <c r="P266" s="675" t="s">
        <v>40</v>
      </c>
      <c r="Q266" s="676"/>
      <c r="R266" s="676"/>
      <c r="S266" s="676"/>
      <c r="T266" s="676"/>
      <c r="U266" s="676"/>
      <c r="V266" s="677"/>
      <c r="W266" s="40" t="s">
        <v>39</v>
      </c>
      <c r="X266" s="41">
        <f>IFERROR(X254/H254,"0")+IFERROR(X255/H255,"0")+IFERROR(X256/H256,"0")+IFERROR(X257/H257,"0")+IFERROR(X258/H258,"0")+IFERROR(X259/H259,"0")+IFERROR(X260/H260,"0")+IFERROR(X261/H261,"0")+IFERROR(X262/H262,"0")+IFERROR(X263/H263,"0")+IFERROR(X264/H264,"0")+IFERROR(X265/H265,"0")</f>
        <v>33.333333333333336</v>
      </c>
      <c r="Y266" s="41">
        <f>IFERROR(Y254/H254,"0")+IFERROR(Y255/H255,"0")+IFERROR(Y256/H256,"0")+IFERROR(Y257/H257,"0")+IFERROR(Y258/H258,"0")+IFERROR(Y259/H259,"0")+IFERROR(Y260/H260,"0")+IFERROR(Y261/H261,"0")+IFERROR(Y262/H262,"0")+IFERROR(Y263/H263,"0")+IFERROR(Y264/H264,"0")+IFERROR(Y265/H265,"0")</f>
        <v>34</v>
      </c>
      <c r="Z266" s="41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+IFERROR(IF(Z264="",0,Z264),"0")+IFERROR(IF(Z265="",0,Z265),"0")</f>
        <v>0.22133999999999998</v>
      </c>
      <c r="AA266" s="64"/>
      <c r="AB266" s="64"/>
      <c r="AC266" s="64"/>
    </row>
    <row r="267" spans="1:68" x14ac:dyDescent="0.2">
      <c r="A267" s="678"/>
      <c r="B267" s="678"/>
      <c r="C267" s="678"/>
      <c r="D267" s="678"/>
      <c r="E267" s="678"/>
      <c r="F267" s="678"/>
      <c r="G267" s="678"/>
      <c r="H267" s="678"/>
      <c r="I267" s="678"/>
      <c r="J267" s="678"/>
      <c r="K267" s="678"/>
      <c r="L267" s="678"/>
      <c r="M267" s="678"/>
      <c r="N267" s="678"/>
      <c r="O267" s="679"/>
      <c r="P267" s="675" t="s">
        <v>40</v>
      </c>
      <c r="Q267" s="676"/>
      <c r="R267" s="676"/>
      <c r="S267" s="676"/>
      <c r="T267" s="676"/>
      <c r="U267" s="676"/>
      <c r="V267" s="677"/>
      <c r="W267" s="40" t="s">
        <v>0</v>
      </c>
      <c r="X267" s="41">
        <f>IFERROR(SUM(X254:X265),"0")</f>
        <v>80</v>
      </c>
      <c r="Y267" s="41">
        <f>IFERROR(SUM(Y254:Y265),"0")</f>
        <v>81.599999999999994</v>
      </c>
      <c r="Z267" s="40"/>
      <c r="AA267" s="64"/>
      <c r="AB267" s="64"/>
      <c r="AC267" s="64"/>
    </row>
    <row r="268" spans="1:68" ht="14.25" hidden="1" customHeight="1" x14ac:dyDescent="0.25">
      <c r="A268" s="669" t="s">
        <v>183</v>
      </c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69"/>
      <c r="P268" s="669"/>
      <c r="Q268" s="669"/>
      <c r="R268" s="669"/>
      <c r="S268" s="669"/>
      <c r="T268" s="669"/>
      <c r="U268" s="669"/>
      <c r="V268" s="669"/>
      <c r="W268" s="669"/>
      <c r="X268" s="669"/>
      <c r="Y268" s="669"/>
      <c r="Z268" s="669"/>
      <c r="AA268" s="63"/>
      <c r="AB268" s="63"/>
      <c r="AC268" s="63"/>
    </row>
    <row r="269" spans="1:68" ht="27" hidden="1" customHeight="1" x14ac:dyDescent="0.25">
      <c r="A269" s="60" t="s">
        <v>475</v>
      </c>
      <c r="B269" s="60" t="s">
        <v>476</v>
      </c>
      <c r="C269" s="34">
        <v>4301060463</v>
      </c>
      <c r="D269" s="670">
        <v>4680115880818</v>
      </c>
      <c r="E269" s="670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91</v>
      </c>
      <c r="L269" s="35" t="s">
        <v>46</v>
      </c>
      <c r="M269" s="36" t="s">
        <v>97</v>
      </c>
      <c r="N269" s="36"/>
      <c r="O269" s="35">
        <v>40</v>
      </c>
      <c r="P269" s="81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69" s="672"/>
      <c r="R269" s="672"/>
      <c r="S269" s="672"/>
      <c r="T269" s="673"/>
      <c r="U269" s="37" t="s">
        <v>46</v>
      </c>
      <c r="V269" s="37" t="s">
        <v>46</v>
      </c>
      <c r="W269" s="38" t="s">
        <v>0</v>
      </c>
      <c r="X269" s="56">
        <v>0</v>
      </c>
      <c r="Y269" s="53">
        <f>IFERROR(IF(X269="",0,CEILING((X269/$H269),1)*$H269),"")</f>
        <v>0</v>
      </c>
      <c r="Z269" s="39" t="str">
        <f>IFERROR(IF(Y269=0,"",ROUNDUP(Y269/H269,0)*0.00651),"")</f>
        <v/>
      </c>
      <c r="AA269" s="65" t="s">
        <v>46</v>
      </c>
      <c r="AB269" s="66" t="s">
        <v>46</v>
      </c>
      <c r="AC269" s="357" t="s">
        <v>477</v>
      </c>
      <c r="AG269" s="75"/>
      <c r="AJ269" s="79" t="s">
        <v>46</v>
      </c>
      <c r="AK269" s="79">
        <v>0</v>
      </c>
      <c r="BB269" s="358" t="s">
        <v>67</v>
      </c>
      <c r="BM269" s="75">
        <f>IFERROR(X269*I269/H269,"0")</f>
        <v>0</v>
      </c>
      <c r="BN269" s="75">
        <f>IFERROR(Y269*I269/H269,"0")</f>
        <v>0</v>
      </c>
      <c r="BO269" s="75">
        <f>IFERROR(1/J269*(X269/H269),"0")</f>
        <v>0</v>
      </c>
      <c r="BP269" s="75">
        <f>IFERROR(1/J269*(Y269/H269),"0")</f>
        <v>0</v>
      </c>
    </row>
    <row r="270" spans="1:68" ht="27" hidden="1" customHeight="1" x14ac:dyDescent="0.25">
      <c r="A270" s="60" t="s">
        <v>478</v>
      </c>
      <c r="B270" s="60" t="s">
        <v>479</v>
      </c>
      <c r="C270" s="34">
        <v>4301060389</v>
      </c>
      <c r="D270" s="670">
        <v>4680115880801</v>
      </c>
      <c r="E270" s="670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40</v>
      </c>
      <c r="P270" s="81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0" s="672"/>
      <c r="R270" s="672"/>
      <c r="S270" s="672"/>
      <c r="T270" s="673"/>
      <c r="U270" s="37" t="s">
        <v>46</v>
      </c>
      <c r="V270" s="37" t="s">
        <v>46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59" t="s">
        <v>480</v>
      </c>
      <c r="AG270" s="75"/>
      <c r="AJ270" s="79" t="s">
        <v>46</v>
      </c>
      <c r="AK270" s="79">
        <v>0</v>
      </c>
      <c r="BB270" s="360" t="s">
        <v>67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idden="1" x14ac:dyDescent="0.2">
      <c r="A271" s="678"/>
      <c r="B271" s="678"/>
      <c r="C271" s="678"/>
      <c r="D271" s="678"/>
      <c r="E271" s="678"/>
      <c r="F271" s="678"/>
      <c r="G271" s="678"/>
      <c r="H271" s="678"/>
      <c r="I271" s="678"/>
      <c r="J271" s="678"/>
      <c r="K271" s="678"/>
      <c r="L271" s="678"/>
      <c r="M271" s="678"/>
      <c r="N271" s="678"/>
      <c r="O271" s="679"/>
      <c r="P271" s="675" t="s">
        <v>40</v>
      </c>
      <c r="Q271" s="676"/>
      <c r="R271" s="676"/>
      <c r="S271" s="676"/>
      <c r="T271" s="676"/>
      <c r="U271" s="676"/>
      <c r="V271" s="677"/>
      <c r="W271" s="40" t="s">
        <v>39</v>
      </c>
      <c r="X271" s="41">
        <f>IFERROR(X269/H269,"0")+IFERROR(X270/H270,"0")</f>
        <v>0</v>
      </c>
      <c r="Y271" s="41">
        <f>IFERROR(Y269/H269,"0")+IFERROR(Y270/H270,"0")</f>
        <v>0</v>
      </c>
      <c r="Z271" s="41">
        <f>IFERROR(IF(Z269="",0,Z269),"0")+IFERROR(IF(Z270="",0,Z270),"0")</f>
        <v>0</v>
      </c>
      <c r="AA271" s="64"/>
      <c r="AB271" s="64"/>
      <c r="AC271" s="64"/>
    </row>
    <row r="272" spans="1:68" hidden="1" x14ac:dyDescent="0.2">
      <c r="A272" s="678"/>
      <c r="B272" s="678"/>
      <c r="C272" s="678"/>
      <c r="D272" s="678"/>
      <c r="E272" s="678"/>
      <c r="F272" s="678"/>
      <c r="G272" s="678"/>
      <c r="H272" s="678"/>
      <c r="I272" s="678"/>
      <c r="J272" s="678"/>
      <c r="K272" s="678"/>
      <c r="L272" s="678"/>
      <c r="M272" s="678"/>
      <c r="N272" s="678"/>
      <c r="O272" s="679"/>
      <c r="P272" s="675" t="s">
        <v>40</v>
      </c>
      <c r="Q272" s="676"/>
      <c r="R272" s="676"/>
      <c r="S272" s="676"/>
      <c r="T272" s="676"/>
      <c r="U272" s="676"/>
      <c r="V272" s="677"/>
      <c r="W272" s="40" t="s">
        <v>0</v>
      </c>
      <c r="X272" s="41">
        <f>IFERROR(SUM(X269:X270),"0")</f>
        <v>0</v>
      </c>
      <c r="Y272" s="41">
        <f>IFERROR(SUM(Y269:Y270),"0")</f>
        <v>0</v>
      </c>
      <c r="Z272" s="40"/>
      <c r="AA272" s="64"/>
      <c r="AB272" s="64"/>
      <c r="AC272" s="64"/>
    </row>
    <row r="273" spans="1:68" ht="16.5" hidden="1" customHeight="1" x14ac:dyDescent="0.25">
      <c r="A273" s="668" t="s">
        <v>481</v>
      </c>
      <c r="B273" s="668"/>
      <c r="C273" s="668"/>
      <c r="D273" s="668"/>
      <c r="E273" s="668"/>
      <c r="F273" s="668"/>
      <c r="G273" s="668"/>
      <c r="H273" s="668"/>
      <c r="I273" s="668"/>
      <c r="J273" s="668"/>
      <c r="K273" s="668"/>
      <c r="L273" s="668"/>
      <c r="M273" s="668"/>
      <c r="N273" s="668"/>
      <c r="O273" s="668"/>
      <c r="P273" s="668"/>
      <c r="Q273" s="668"/>
      <c r="R273" s="668"/>
      <c r="S273" s="668"/>
      <c r="T273" s="668"/>
      <c r="U273" s="668"/>
      <c r="V273" s="668"/>
      <c r="W273" s="668"/>
      <c r="X273" s="668"/>
      <c r="Y273" s="668"/>
      <c r="Z273" s="668"/>
      <c r="AA273" s="62"/>
      <c r="AB273" s="62"/>
      <c r="AC273" s="62"/>
    </row>
    <row r="274" spans="1:68" ht="14.25" hidden="1" customHeight="1" x14ac:dyDescent="0.25">
      <c r="A274" s="669" t="s">
        <v>129</v>
      </c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69"/>
      <c r="P274" s="669"/>
      <c r="Q274" s="669"/>
      <c r="R274" s="669"/>
      <c r="S274" s="669"/>
      <c r="T274" s="669"/>
      <c r="U274" s="669"/>
      <c r="V274" s="669"/>
      <c r="W274" s="669"/>
      <c r="X274" s="669"/>
      <c r="Y274" s="669"/>
      <c r="Z274" s="669"/>
      <c r="AA274" s="63"/>
      <c r="AB274" s="63"/>
      <c r="AC274" s="63"/>
    </row>
    <row r="275" spans="1:68" ht="27" hidden="1" customHeight="1" x14ac:dyDescent="0.25">
      <c r="A275" s="60" t="s">
        <v>482</v>
      </c>
      <c r="B275" s="60" t="s">
        <v>483</v>
      </c>
      <c r="C275" s="34">
        <v>4301011826</v>
      </c>
      <c r="D275" s="670">
        <v>4680115884137</v>
      </c>
      <c r="E275" s="670"/>
      <c r="F275" s="59">
        <v>1.45</v>
      </c>
      <c r="G275" s="35">
        <v>8</v>
      </c>
      <c r="H275" s="59">
        <v>11.6</v>
      </c>
      <c r="I275" s="59">
        <v>12.01</v>
      </c>
      <c r="J275" s="35">
        <v>64</v>
      </c>
      <c r="K275" s="35" t="s">
        <v>134</v>
      </c>
      <c r="L275" s="35" t="s">
        <v>46</v>
      </c>
      <c r="M275" s="36" t="s">
        <v>133</v>
      </c>
      <c r="N275" s="36"/>
      <c r="O275" s="35">
        <v>55</v>
      </c>
      <c r="P275" s="81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75" s="672"/>
      <c r="R275" s="672"/>
      <c r="S275" s="672"/>
      <c r="T275" s="673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ref="Y275:Y281" si="42">IFERROR(IF(X275="",0,CEILING((X275/$H275),1)*$H275),"")</f>
        <v>0</v>
      </c>
      <c r="Z275" s="39" t="str">
        <f>IFERROR(IF(Y275=0,"",ROUNDUP(Y275/H275,0)*0.01898),"")</f>
        <v/>
      </c>
      <c r="AA275" s="65" t="s">
        <v>46</v>
      </c>
      <c r="AB275" s="66" t="s">
        <v>46</v>
      </c>
      <c r="AC275" s="361" t="s">
        <v>484</v>
      </c>
      <c r="AG275" s="75"/>
      <c r="AJ275" s="79" t="s">
        <v>46</v>
      </c>
      <c r="AK275" s="79">
        <v>0</v>
      </c>
      <c r="BB275" s="362" t="s">
        <v>67</v>
      </c>
      <c r="BM275" s="75">
        <f t="shared" ref="BM275:BM281" si="43">IFERROR(X275*I275/H275,"0")</f>
        <v>0</v>
      </c>
      <c r="BN275" s="75">
        <f t="shared" ref="BN275:BN281" si="44">IFERROR(Y275*I275/H275,"0")</f>
        <v>0</v>
      </c>
      <c r="BO275" s="75">
        <f t="shared" ref="BO275:BO281" si="45">IFERROR(1/J275*(X275/H275),"0")</f>
        <v>0</v>
      </c>
      <c r="BP275" s="75">
        <f t="shared" ref="BP275:BP281" si="46">IFERROR(1/J275*(Y275/H275),"0")</f>
        <v>0</v>
      </c>
    </row>
    <row r="276" spans="1:68" ht="27" hidden="1" customHeight="1" x14ac:dyDescent="0.25">
      <c r="A276" s="60" t="s">
        <v>485</v>
      </c>
      <c r="B276" s="60" t="s">
        <v>486</v>
      </c>
      <c r="C276" s="34">
        <v>4301011724</v>
      </c>
      <c r="D276" s="670">
        <v>4680115884236</v>
      </c>
      <c r="E276" s="670"/>
      <c r="F276" s="59">
        <v>1.45</v>
      </c>
      <c r="G276" s="35">
        <v>8</v>
      </c>
      <c r="H276" s="59">
        <v>11.6</v>
      </c>
      <c r="I276" s="59">
        <v>12.01</v>
      </c>
      <c r="J276" s="35">
        <v>64</v>
      </c>
      <c r="K276" s="35" t="s">
        <v>134</v>
      </c>
      <c r="L276" s="35" t="s">
        <v>46</v>
      </c>
      <c r="M276" s="36" t="s">
        <v>133</v>
      </c>
      <c r="N276" s="36"/>
      <c r="O276" s="35">
        <v>55</v>
      </c>
      <c r="P276" s="81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76" s="672"/>
      <c r="R276" s="672"/>
      <c r="S276" s="672"/>
      <c r="T276" s="673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2"/>
        <v>0</v>
      </c>
      <c r="Z276" s="39" t="str">
        <f>IFERROR(IF(Y276=0,"",ROUNDUP(Y276/H276,0)*0.01898),"")</f>
        <v/>
      </c>
      <c r="AA276" s="65" t="s">
        <v>46</v>
      </c>
      <c r="AB276" s="66" t="s">
        <v>46</v>
      </c>
      <c r="AC276" s="363" t="s">
        <v>487</v>
      </c>
      <c r="AG276" s="75"/>
      <c r="AJ276" s="79" t="s">
        <v>46</v>
      </c>
      <c r="AK276" s="79">
        <v>0</v>
      </c>
      <c r="BB276" s="364" t="s">
        <v>67</v>
      </c>
      <c r="BM276" s="75">
        <f t="shared" si="43"/>
        <v>0</v>
      </c>
      <c r="BN276" s="75">
        <f t="shared" si="44"/>
        <v>0</v>
      </c>
      <c r="BO276" s="75">
        <f t="shared" si="45"/>
        <v>0</v>
      </c>
      <c r="BP276" s="75">
        <f t="shared" si="46"/>
        <v>0</v>
      </c>
    </row>
    <row r="277" spans="1:68" ht="27" hidden="1" customHeight="1" x14ac:dyDescent="0.25">
      <c r="A277" s="60" t="s">
        <v>488</v>
      </c>
      <c r="B277" s="60" t="s">
        <v>489</v>
      </c>
      <c r="C277" s="34">
        <v>4301011721</v>
      </c>
      <c r="D277" s="670">
        <v>4680115884175</v>
      </c>
      <c r="E277" s="670"/>
      <c r="F277" s="59">
        <v>1.45</v>
      </c>
      <c r="G277" s="35">
        <v>8</v>
      </c>
      <c r="H277" s="59">
        <v>11.6</v>
      </c>
      <c r="I277" s="59">
        <v>12.01</v>
      </c>
      <c r="J277" s="35">
        <v>64</v>
      </c>
      <c r="K277" s="35" t="s">
        <v>134</v>
      </c>
      <c r="L277" s="35" t="s">
        <v>46</v>
      </c>
      <c r="M277" s="36" t="s">
        <v>133</v>
      </c>
      <c r="N277" s="36"/>
      <c r="O277" s="35">
        <v>55</v>
      </c>
      <c r="P277" s="82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77" s="672"/>
      <c r="R277" s="672"/>
      <c r="S277" s="672"/>
      <c r="T277" s="673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2"/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342</v>
      </c>
      <c r="AG277" s="75"/>
      <c r="AJ277" s="79" t="s">
        <v>46</v>
      </c>
      <c r="AK277" s="79">
        <v>0</v>
      </c>
      <c r="BB277" s="366" t="s">
        <v>67</v>
      </c>
      <c r="BM277" s="75">
        <f t="shared" si="43"/>
        <v>0</v>
      </c>
      <c r="BN277" s="75">
        <f t="shared" si="44"/>
        <v>0</v>
      </c>
      <c r="BO277" s="75">
        <f t="shared" si="45"/>
        <v>0</v>
      </c>
      <c r="BP277" s="75">
        <f t="shared" si="46"/>
        <v>0</v>
      </c>
    </row>
    <row r="278" spans="1:68" ht="27" hidden="1" customHeight="1" x14ac:dyDescent="0.25">
      <c r="A278" s="60" t="s">
        <v>490</v>
      </c>
      <c r="B278" s="60" t="s">
        <v>491</v>
      </c>
      <c r="C278" s="34">
        <v>4301011824</v>
      </c>
      <c r="D278" s="670">
        <v>4680115884144</v>
      </c>
      <c r="E278" s="670"/>
      <c r="F278" s="59">
        <v>0.4</v>
      </c>
      <c r="G278" s="35">
        <v>10</v>
      </c>
      <c r="H278" s="59">
        <v>4</v>
      </c>
      <c r="I278" s="59">
        <v>4.1900000000000004</v>
      </c>
      <c r="J278" s="35">
        <v>132</v>
      </c>
      <c r="K278" s="35" t="s">
        <v>141</v>
      </c>
      <c r="L278" s="35" t="s">
        <v>46</v>
      </c>
      <c r="M278" s="36" t="s">
        <v>133</v>
      </c>
      <c r="N278" s="36"/>
      <c r="O278" s="35">
        <v>55</v>
      </c>
      <c r="P278" s="8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78" s="672"/>
      <c r="R278" s="672"/>
      <c r="S278" s="672"/>
      <c r="T278" s="673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2"/>
        <v>0</v>
      </c>
      <c r="Z278" s="39" t="str">
        <f>IFERROR(IF(Y278=0,"",ROUNDUP(Y278/H278,0)*0.00902),"")</f>
        <v/>
      </c>
      <c r="AA278" s="65" t="s">
        <v>46</v>
      </c>
      <c r="AB278" s="66" t="s">
        <v>46</v>
      </c>
      <c r="AC278" s="367" t="s">
        <v>484</v>
      </c>
      <c r="AG278" s="75"/>
      <c r="AJ278" s="79" t="s">
        <v>46</v>
      </c>
      <c r="AK278" s="79">
        <v>0</v>
      </c>
      <c r="BB278" s="368" t="s">
        <v>67</v>
      </c>
      <c r="BM278" s="75">
        <f t="shared" si="43"/>
        <v>0</v>
      </c>
      <c r="BN278" s="75">
        <f t="shared" si="44"/>
        <v>0</v>
      </c>
      <c r="BO278" s="75">
        <f t="shared" si="45"/>
        <v>0</v>
      </c>
      <c r="BP278" s="75">
        <f t="shared" si="46"/>
        <v>0</v>
      </c>
    </row>
    <row r="279" spans="1:68" ht="27" hidden="1" customHeight="1" x14ac:dyDescent="0.25">
      <c r="A279" s="60" t="s">
        <v>492</v>
      </c>
      <c r="B279" s="60" t="s">
        <v>493</v>
      </c>
      <c r="C279" s="34">
        <v>4301012149</v>
      </c>
      <c r="D279" s="670">
        <v>4680115886551</v>
      </c>
      <c r="E279" s="670"/>
      <c r="F279" s="59">
        <v>0.4</v>
      </c>
      <c r="G279" s="35">
        <v>10</v>
      </c>
      <c r="H279" s="59">
        <v>4</v>
      </c>
      <c r="I279" s="59">
        <v>4.1900000000000004</v>
      </c>
      <c r="J279" s="35">
        <v>132</v>
      </c>
      <c r="K279" s="35" t="s">
        <v>141</v>
      </c>
      <c r="L279" s="35" t="s">
        <v>46</v>
      </c>
      <c r="M279" s="36" t="s">
        <v>133</v>
      </c>
      <c r="N279" s="36"/>
      <c r="O279" s="35">
        <v>55</v>
      </c>
      <c r="P279" s="8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79" s="672"/>
      <c r="R279" s="672"/>
      <c r="S279" s="672"/>
      <c r="T279" s="673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2"/>
        <v>0</v>
      </c>
      <c r="Z279" s="39" t="str">
        <f>IFERROR(IF(Y279=0,"",ROUNDUP(Y279/H279,0)*0.00902),"")</f>
        <v/>
      </c>
      <c r="AA279" s="65" t="s">
        <v>46</v>
      </c>
      <c r="AB279" s="66" t="s">
        <v>46</v>
      </c>
      <c r="AC279" s="369" t="s">
        <v>494</v>
      </c>
      <c r="AG279" s="75"/>
      <c r="AJ279" s="79" t="s">
        <v>46</v>
      </c>
      <c r="AK279" s="79">
        <v>0</v>
      </c>
      <c r="BB279" s="370" t="s">
        <v>67</v>
      </c>
      <c r="BM279" s="75">
        <f t="shared" si="43"/>
        <v>0</v>
      </c>
      <c r="BN279" s="75">
        <f t="shared" si="44"/>
        <v>0</v>
      </c>
      <c r="BO279" s="75">
        <f t="shared" si="45"/>
        <v>0</v>
      </c>
      <c r="BP279" s="75">
        <f t="shared" si="46"/>
        <v>0</v>
      </c>
    </row>
    <row r="280" spans="1:68" ht="27" hidden="1" customHeight="1" x14ac:dyDescent="0.25">
      <c r="A280" s="60" t="s">
        <v>495</v>
      </c>
      <c r="B280" s="60" t="s">
        <v>496</v>
      </c>
      <c r="C280" s="34">
        <v>4301012228</v>
      </c>
      <c r="D280" s="670">
        <v>4680115887282</v>
      </c>
      <c r="E280" s="670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91</v>
      </c>
      <c r="L280" s="35" t="s">
        <v>46</v>
      </c>
      <c r="M280" s="36" t="s">
        <v>133</v>
      </c>
      <c r="N280" s="36"/>
      <c r="O280" s="35">
        <v>55</v>
      </c>
      <c r="P280" s="82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0" s="672"/>
      <c r="R280" s="672"/>
      <c r="S280" s="672"/>
      <c r="T280" s="673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2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497</v>
      </c>
      <c r="AG280" s="75"/>
      <c r="AJ280" s="79" t="s">
        <v>46</v>
      </c>
      <c r="AK280" s="79">
        <v>0</v>
      </c>
      <c r="BB280" s="372" t="s">
        <v>67</v>
      </c>
      <c r="BM280" s="75">
        <f t="shared" si="43"/>
        <v>0</v>
      </c>
      <c r="BN280" s="75">
        <f t="shared" si="44"/>
        <v>0</v>
      </c>
      <c r="BO280" s="75">
        <f t="shared" si="45"/>
        <v>0</v>
      </c>
      <c r="BP280" s="75">
        <f t="shared" si="46"/>
        <v>0</v>
      </c>
    </row>
    <row r="281" spans="1:68" ht="27" hidden="1" customHeight="1" x14ac:dyDescent="0.25">
      <c r="A281" s="60" t="s">
        <v>498</v>
      </c>
      <c r="B281" s="60" t="s">
        <v>499</v>
      </c>
      <c r="C281" s="34">
        <v>4301011722</v>
      </c>
      <c r="D281" s="670">
        <v>4680115884205</v>
      </c>
      <c r="E281" s="670"/>
      <c r="F281" s="59">
        <v>0.4</v>
      </c>
      <c r="G281" s="35">
        <v>10</v>
      </c>
      <c r="H281" s="59">
        <v>4</v>
      </c>
      <c r="I281" s="59">
        <v>4.1900000000000004</v>
      </c>
      <c r="J281" s="35">
        <v>132</v>
      </c>
      <c r="K281" s="35" t="s">
        <v>141</v>
      </c>
      <c r="L281" s="35" t="s">
        <v>46</v>
      </c>
      <c r="M281" s="36" t="s">
        <v>133</v>
      </c>
      <c r="N281" s="36"/>
      <c r="O281" s="35">
        <v>55</v>
      </c>
      <c r="P281" s="82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1" s="672"/>
      <c r="R281" s="672"/>
      <c r="S281" s="672"/>
      <c r="T281" s="673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2"/>
        <v>0</v>
      </c>
      <c r="Z281" s="39" t="str">
        <f>IFERROR(IF(Y281=0,"",ROUNDUP(Y281/H281,0)*0.00902),"")</f>
        <v/>
      </c>
      <c r="AA281" s="65" t="s">
        <v>46</v>
      </c>
      <c r="AB281" s="66" t="s">
        <v>46</v>
      </c>
      <c r="AC281" s="373" t="s">
        <v>342</v>
      </c>
      <c r="AG281" s="75"/>
      <c r="AJ281" s="79" t="s">
        <v>46</v>
      </c>
      <c r="AK281" s="79">
        <v>0</v>
      </c>
      <c r="BB281" s="374" t="s">
        <v>67</v>
      </c>
      <c r="BM281" s="75">
        <f t="shared" si="43"/>
        <v>0</v>
      </c>
      <c r="BN281" s="75">
        <f t="shared" si="44"/>
        <v>0</v>
      </c>
      <c r="BO281" s="75">
        <f t="shared" si="45"/>
        <v>0</v>
      </c>
      <c r="BP281" s="75">
        <f t="shared" si="46"/>
        <v>0</v>
      </c>
    </row>
    <row r="282" spans="1:68" hidden="1" x14ac:dyDescent="0.2">
      <c r="A282" s="678"/>
      <c r="B282" s="678"/>
      <c r="C282" s="678"/>
      <c r="D282" s="678"/>
      <c r="E282" s="678"/>
      <c r="F282" s="678"/>
      <c r="G282" s="678"/>
      <c r="H282" s="678"/>
      <c r="I282" s="678"/>
      <c r="J282" s="678"/>
      <c r="K282" s="678"/>
      <c r="L282" s="678"/>
      <c r="M282" s="678"/>
      <c r="N282" s="678"/>
      <c r="O282" s="679"/>
      <c r="P282" s="675" t="s">
        <v>40</v>
      </c>
      <c r="Q282" s="676"/>
      <c r="R282" s="676"/>
      <c r="S282" s="676"/>
      <c r="T282" s="676"/>
      <c r="U282" s="676"/>
      <c r="V282" s="677"/>
      <c r="W282" s="40" t="s">
        <v>39</v>
      </c>
      <c r="X282" s="41">
        <f>IFERROR(X275/H275,"0")+IFERROR(X276/H276,"0")+IFERROR(X277/H277,"0")+IFERROR(X278/H278,"0")+IFERROR(X279/H279,"0")+IFERROR(X280/H280,"0")+IFERROR(X281/H281,"0")</f>
        <v>0</v>
      </c>
      <c r="Y282" s="41">
        <f>IFERROR(Y275/H275,"0")+IFERROR(Y276/H276,"0")+IFERROR(Y277/H277,"0")+IFERROR(Y278/H278,"0")+IFERROR(Y279/H279,"0")+IFERROR(Y280/H280,"0")+IFERROR(Y281/H281,"0")</f>
        <v>0</v>
      </c>
      <c r="Z282" s="41">
        <f>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678"/>
      <c r="B283" s="678"/>
      <c r="C283" s="678"/>
      <c r="D283" s="678"/>
      <c r="E283" s="678"/>
      <c r="F283" s="678"/>
      <c r="G283" s="678"/>
      <c r="H283" s="678"/>
      <c r="I283" s="678"/>
      <c r="J283" s="678"/>
      <c r="K283" s="678"/>
      <c r="L283" s="678"/>
      <c r="M283" s="678"/>
      <c r="N283" s="678"/>
      <c r="O283" s="679"/>
      <c r="P283" s="675" t="s">
        <v>40</v>
      </c>
      <c r="Q283" s="676"/>
      <c r="R283" s="676"/>
      <c r="S283" s="676"/>
      <c r="T283" s="676"/>
      <c r="U283" s="676"/>
      <c r="V283" s="677"/>
      <c r="W283" s="40" t="s">
        <v>0</v>
      </c>
      <c r="X283" s="41">
        <f>IFERROR(SUM(X275:X281),"0")</f>
        <v>0</v>
      </c>
      <c r="Y283" s="41">
        <f>IFERROR(SUM(Y275:Y281),"0")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69" t="s">
        <v>166</v>
      </c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69"/>
      <c r="P284" s="669"/>
      <c r="Q284" s="669"/>
      <c r="R284" s="669"/>
      <c r="S284" s="669"/>
      <c r="T284" s="669"/>
      <c r="U284" s="669"/>
      <c r="V284" s="669"/>
      <c r="W284" s="669"/>
      <c r="X284" s="669"/>
      <c r="Y284" s="669"/>
      <c r="Z284" s="669"/>
      <c r="AA284" s="63"/>
      <c r="AB284" s="63"/>
      <c r="AC284" s="63"/>
    </row>
    <row r="285" spans="1:68" ht="27" hidden="1" customHeight="1" x14ac:dyDescent="0.25">
      <c r="A285" s="60" t="s">
        <v>500</v>
      </c>
      <c r="B285" s="60" t="s">
        <v>501</v>
      </c>
      <c r="C285" s="34">
        <v>4301020377</v>
      </c>
      <c r="D285" s="670">
        <v>4680115885981</v>
      </c>
      <c r="E285" s="670"/>
      <c r="F285" s="59">
        <v>0.33</v>
      </c>
      <c r="G285" s="35">
        <v>6</v>
      </c>
      <c r="H285" s="59">
        <v>1.98</v>
      </c>
      <c r="I285" s="59">
        <v>2.08</v>
      </c>
      <c r="J285" s="35">
        <v>234</v>
      </c>
      <c r="K285" s="35" t="s">
        <v>82</v>
      </c>
      <c r="L285" s="35" t="s">
        <v>46</v>
      </c>
      <c r="M285" s="36" t="s">
        <v>90</v>
      </c>
      <c r="N285" s="36"/>
      <c r="O285" s="35">
        <v>50</v>
      </c>
      <c r="P285" s="8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85" s="672"/>
      <c r="R285" s="672"/>
      <c r="S285" s="672"/>
      <c r="T285" s="673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IFERROR(IF(Y285=0,"",ROUNDUP(Y285/H285,0)*0.00502),"")</f>
        <v/>
      </c>
      <c r="AA285" s="65" t="s">
        <v>46</v>
      </c>
      <c r="AB285" s="66" t="s">
        <v>46</v>
      </c>
      <c r="AC285" s="375" t="s">
        <v>502</v>
      </c>
      <c r="AG285" s="75"/>
      <c r="AJ285" s="79" t="s">
        <v>46</v>
      </c>
      <c r="AK285" s="79">
        <v>0</v>
      </c>
      <c r="BB285" s="376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idden="1" x14ac:dyDescent="0.2">
      <c r="A286" s="678"/>
      <c r="B286" s="678"/>
      <c r="C286" s="678"/>
      <c r="D286" s="678"/>
      <c r="E286" s="678"/>
      <c r="F286" s="678"/>
      <c r="G286" s="678"/>
      <c r="H286" s="678"/>
      <c r="I286" s="678"/>
      <c r="J286" s="678"/>
      <c r="K286" s="678"/>
      <c r="L286" s="678"/>
      <c r="M286" s="678"/>
      <c r="N286" s="678"/>
      <c r="O286" s="679"/>
      <c r="P286" s="675" t="s">
        <v>40</v>
      </c>
      <c r="Q286" s="676"/>
      <c r="R286" s="676"/>
      <c r="S286" s="676"/>
      <c r="T286" s="676"/>
      <c r="U286" s="676"/>
      <c r="V286" s="677"/>
      <c r="W286" s="40" t="s">
        <v>39</v>
      </c>
      <c r="X286" s="41">
        <f>IFERROR(X285/H285,"0")</f>
        <v>0</v>
      </c>
      <c r="Y286" s="41">
        <f>IFERROR(Y285/H285,"0")</f>
        <v>0</v>
      </c>
      <c r="Z286" s="41">
        <f>IFERROR(IF(Z285="",0,Z285),"0")</f>
        <v>0</v>
      </c>
      <c r="AA286" s="64"/>
      <c r="AB286" s="64"/>
      <c r="AC286" s="64"/>
    </row>
    <row r="287" spans="1:68" hidden="1" x14ac:dyDescent="0.2">
      <c r="A287" s="678"/>
      <c r="B287" s="678"/>
      <c r="C287" s="678"/>
      <c r="D287" s="678"/>
      <c r="E287" s="678"/>
      <c r="F287" s="678"/>
      <c r="G287" s="678"/>
      <c r="H287" s="678"/>
      <c r="I287" s="678"/>
      <c r="J287" s="678"/>
      <c r="K287" s="678"/>
      <c r="L287" s="678"/>
      <c r="M287" s="678"/>
      <c r="N287" s="678"/>
      <c r="O287" s="679"/>
      <c r="P287" s="675" t="s">
        <v>40</v>
      </c>
      <c r="Q287" s="676"/>
      <c r="R287" s="676"/>
      <c r="S287" s="676"/>
      <c r="T287" s="676"/>
      <c r="U287" s="676"/>
      <c r="V287" s="677"/>
      <c r="W287" s="40" t="s">
        <v>0</v>
      </c>
      <c r="X287" s="41">
        <f>IFERROR(SUM(X285:X285),"0")</f>
        <v>0</v>
      </c>
      <c r="Y287" s="41">
        <f>IFERROR(SUM(Y285:Y285),"0")</f>
        <v>0</v>
      </c>
      <c r="Z287" s="40"/>
      <c r="AA287" s="64"/>
      <c r="AB287" s="64"/>
      <c r="AC287" s="64"/>
    </row>
    <row r="288" spans="1:68" ht="14.25" hidden="1" customHeight="1" x14ac:dyDescent="0.25">
      <c r="A288" s="669" t="s">
        <v>503</v>
      </c>
      <c r="B288" s="669"/>
      <c r="C288" s="669"/>
      <c r="D288" s="669"/>
      <c r="E288" s="669"/>
      <c r="F288" s="669"/>
      <c r="G288" s="669"/>
      <c r="H288" s="669"/>
      <c r="I288" s="669"/>
      <c r="J288" s="669"/>
      <c r="K288" s="669"/>
      <c r="L288" s="669"/>
      <c r="M288" s="669"/>
      <c r="N288" s="669"/>
      <c r="O288" s="669"/>
      <c r="P288" s="669"/>
      <c r="Q288" s="669"/>
      <c r="R288" s="669"/>
      <c r="S288" s="669"/>
      <c r="T288" s="669"/>
      <c r="U288" s="669"/>
      <c r="V288" s="669"/>
      <c r="W288" s="669"/>
      <c r="X288" s="669"/>
      <c r="Y288" s="669"/>
      <c r="Z288" s="669"/>
      <c r="AA288" s="63"/>
      <c r="AB288" s="63"/>
      <c r="AC288" s="63"/>
    </row>
    <row r="289" spans="1:68" ht="27" hidden="1" customHeight="1" x14ac:dyDescent="0.25">
      <c r="A289" s="60" t="s">
        <v>504</v>
      </c>
      <c r="B289" s="60" t="s">
        <v>505</v>
      </c>
      <c r="C289" s="34">
        <v>4301040362</v>
      </c>
      <c r="D289" s="670">
        <v>4680115886803</v>
      </c>
      <c r="E289" s="670"/>
      <c r="F289" s="59">
        <v>0.12</v>
      </c>
      <c r="G289" s="35">
        <v>15</v>
      </c>
      <c r="H289" s="59">
        <v>1.8</v>
      </c>
      <c r="I289" s="59">
        <v>1.9750000000000001</v>
      </c>
      <c r="J289" s="35">
        <v>216</v>
      </c>
      <c r="K289" s="35" t="s">
        <v>316</v>
      </c>
      <c r="L289" s="35" t="s">
        <v>46</v>
      </c>
      <c r="M289" s="36" t="s">
        <v>315</v>
      </c>
      <c r="N289" s="36"/>
      <c r="O289" s="35">
        <v>45</v>
      </c>
      <c r="P289" s="82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89" s="672"/>
      <c r="R289" s="672"/>
      <c r="S289" s="672"/>
      <c r="T289" s="673"/>
      <c r="U289" s="37" t="s">
        <v>46</v>
      </c>
      <c r="V289" s="37" t="s">
        <v>46</v>
      </c>
      <c r="W289" s="38" t="s">
        <v>0</v>
      </c>
      <c r="X289" s="56">
        <v>0</v>
      </c>
      <c r="Y289" s="53">
        <f>IFERROR(IF(X289="",0,CEILING((X289/$H289),1)*$H289),"")</f>
        <v>0</v>
      </c>
      <c r="Z289" s="39" t="str">
        <f>IFERROR(IF(Y289=0,"",ROUNDUP(Y289/H289,0)*0.0059),"")</f>
        <v/>
      </c>
      <c r="AA289" s="65" t="s">
        <v>46</v>
      </c>
      <c r="AB289" s="66" t="s">
        <v>46</v>
      </c>
      <c r="AC289" s="377" t="s">
        <v>506</v>
      </c>
      <c r="AG289" s="75"/>
      <c r="AJ289" s="79" t="s">
        <v>46</v>
      </c>
      <c r="AK289" s="79">
        <v>0</v>
      </c>
      <c r="BB289" s="378" t="s">
        <v>67</v>
      </c>
      <c r="BM289" s="75">
        <f>IFERROR(X289*I289/H289,"0")</f>
        <v>0</v>
      </c>
      <c r="BN289" s="75">
        <f>IFERROR(Y289*I289/H289,"0")</f>
        <v>0</v>
      </c>
      <c r="BO289" s="75">
        <f>IFERROR(1/J289*(X289/H289),"0")</f>
        <v>0</v>
      </c>
      <c r="BP289" s="75">
        <f>IFERROR(1/J289*(Y289/H289),"0")</f>
        <v>0</v>
      </c>
    </row>
    <row r="290" spans="1:68" hidden="1" x14ac:dyDescent="0.2">
      <c r="A290" s="678"/>
      <c r="B290" s="678"/>
      <c r="C290" s="678"/>
      <c r="D290" s="678"/>
      <c r="E290" s="678"/>
      <c r="F290" s="678"/>
      <c r="G290" s="678"/>
      <c r="H290" s="678"/>
      <c r="I290" s="678"/>
      <c r="J290" s="678"/>
      <c r="K290" s="678"/>
      <c r="L290" s="678"/>
      <c r="M290" s="678"/>
      <c r="N290" s="678"/>
      <c r="O290" s="679"/>
      <c r="P290" s="675" t="s">
        <v>40</v>
      </c>
      <c r="Q290" s="676"/>
      <c r="R290" s="676"/>
      <c r="S290" s="676"/>
      <c r="T290" s="676"/>
      <c r="U290" s="676"/>
      <c r="V290" s="677"/>
      <c r="W290" s="40" t="s">
        <v>39</v>
      </c>
      <c r="X290" s="41">
        <f>IFERROR(X289/H289,"0")</f>
        <v>0</v>
      </c>
      <c r="Y290" s="41">
        <f>IFERROR(Y289/H289,"0")</f>
        <v>0</v>
      </c>
      <c r="Z290" s="41">
        <f>IFERROR(IF(Z289="",0,Z289),"0")</f>
        <v>0</v>
      </c>
      <c r="AA290" s="64"/>
      <c r="AB290" s="64"/>
      <c r="AC290" s="64"/>
    </row>
    <row r="291" spans="1:68" hidden="1" x14ac:dyDescent="0.2">
      <c r="A291" s="678"/>
      <c r="B291" s="678"/>
      <c r="C291" s="678"/>
      <c r="D291" s="678"/>
      <c r="E291" s="678"/>
      <c r="F291" s="678"/>
      <c r="G291" s="678"/>
      <c r="H291" s="678"/>
      <c r="I291" s="678"/>
      <c r="J291" s="678"/>
      <c r="K291" s="678"/>
      <c r="L291" s="678"/>
      <c r="M291" s="678"/>
      <c r="N291" s="678"/>
      <c r="O291" s="679"/>
      <c r="P291" s="675" t="s">
        <v>40</v>
      </c>
      <c r="Q291" s="676"/>
      <c r="R291" s="676"/>
      <c r="S291" s="676"/>
      <c r="T291" s="676"/>
      <c r="U291" s="676"/>
      <c r="V291" s="677"/>
      <c r="W291" s="40" t="s">
        <v>0</v>
      </c>
      <c r="X291" s="41">
        <f>IFERROR(SUM(X289:X289),"0")</f>
        <v>0</v>
      </c>
      <c r="Y291" s="41">
        <f>IFERROR(SUM(Y289:Y289),"0")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69" t="s">
        <v>320</v>
      </c>
      <c r="B292" s="669"/>
      <c r="C292" s="669"/>
      <c r="D292" s="669"/>
      <c r="E292" s="669"/>
      <c r="F292" s="669"/>
      <c r="G292" s="669"/>
      <c r="H292" s="669"/>
      <c r="I292" s="669"/>
      <c r="J292" s="669"/>
      <c r="K292" s="669"/>
      <c r="L292" s="669"/>
      <c r="M292" s="669"/>
      <c r="N292" s="669"/>
      <c r="O292" s="669"/>
      <c r="P292" s="669"/>
      <c r="Q292" s="669"/>
      <c r="R292" s="669"/>
      <c r="S292" s="669"/>
      <c r="T292" s="669"/>
      <c r="U292" s="669"/>
      <c r="V292" s="669"/>
      <c r="W292" s="669"/>
      <c r="X292" s="669"/>
      <c r="Y292" s="669"/>
      <c r="Z292" s="669"/>
      <c r="AA292" s="63"/>
      <c r="AB292" s="63"/>
      <c r="AC292" s="63"/>
    </row>
    <row r="293" spans="1:68" ht="27" hidden="1" customHeight="1" x14ac:dyDescent="0.25">
      <c r="A293" s="60" t="s">
        <v>507</v>
      </c>
      <c r="B293" s="60" t="s">
        <v>508</v>
      </c>
      <c r="C293" s="34">
        <v>4301041004</v>
      </c>
      <c r="D293" s="670">
        <v>4680115886704</v>
      </c>
      <c r="E293" s="670"/>
      <c r="F293" s="59">
        <v>5.5E-2</v>
      </c>
      <c r="G293" s="35">
        <v>18</v>
      </c>
      <c r="H293" s="59">
        <v>0.99</v>
      </c>
      <c r="I293" s="59">
        <v>1.18</v>
      </c>
      <c r="J293" s="35">
        <v>216</v>
      </c>
      <c r="K293" s="35" t="s">
        <v>316</v>
      </c>
      <c r="L293" s="35" t="s">
        <v>46</v>
      </c>
      <c r="M293" s="36" t="s">
        <v>315</v>
      </c>
      <c r="N293" s="36"/>
      <c r="O293" s="35">
        <v>90</v>
      </c>
      <c r="P293" s="82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3" s="672"/>
      <c r="R293" s="672"/>
      <c r="S293" s="672"/>
      <c r="T293" s="673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IFERROR(IF(Y293=0,"",ROUNDUP(Y293/H293,0)*0.0059),"")</f>
        <v/>
      </c>
      <c r="AA293" s="65" t="s">
        <v>46</v>
      </c>
      <c r="AB293" s="66" t="s">
        <v>46</v>
      </c>
      <c r="AC293" s="379" t="s">
        <v>509</v>
      </c>
      <c r="AG293" s="75"/>
      <c r="AJ293" s="79" t="s">
        <v>46</v>
      </c>
      <c r="AK293" s="79">
        <v>0</v>
      </c>
      <c r="BB293" s="380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t="27" hidden="1" customHeight="1" x14ac:dyDescent="0.25">
      <c r="A294" s="60" t="s">
        <v>510</v>
      </c>
      <c r="B294" s="60" t="s">
        <v>511</v>
      </c>
      <c r="C294" s="34">
        <v>4301041008</v>
      </c>
      <c r="D294" s="670">
        <v>4680115886681</v>
      </c>
      <c r="E294" s="670"/>
      <c r="F294" s="59">
        <v>0.12</v>
      </c>
      <c r="G294" s="35">
        <v>15</v>
      </c>
      <c r="H294" s="59">
        <v>1.8</v>
      </c>
      <c r="I294" s="59">
        <v>1.9750000000000001</v>
      </c>
      <c r="J294" s="35">
        <v>216</v>
      </c>
      <c r="K294" s="35" t="s">
        <v>316</v>
      </c>
      <c r="L294" s="35" t="s">
        <v>46</v>
      </c>
      <c r="M294" s="36" t="s">
        <v>315</v>
      </c>
      <c r="N294" s="36"/>
      <c r="O294" s="35">
        <v>90</v>
      </c>
      <c r="P294" s="82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94" s="672"/>
      <c r="R294" s="672"/>
      <c r="S294" s="672"/>
      <c r="T294" s="673"/>
      <c r="U294" s="37" t="s">
        <v>46</v>
      </c>
      <c r="V294" s="37" t="s">
        <v>46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IFERROR(IF(Y294=0,"",ROUNDUP(Y294/H294,0)*0.0059),"")</f>
        <v/>
      </c>
      <c r="AA294" s="65" t="s">
        <v>46</v>
      </c>
      <c r="AB294" s="66" t="s">
        <v>46</v>
      </c>
      <c r="AC294" s="381" t="s">
        <v>509</v>
      </c>
      <c r="AG294" s="75"/>
      <c r="AJ294" s="79" t="s">
        <v>46</v>
      </c>
      <c r="AK294" s="79">
        <v>0</v>
      </c>
      <c r="BB294" s="382" t="s">
        <v>67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t="27" hidden="1" customHeight="1" x14ac:dyDescent="0.25">
      <c r="A295" s="60" t="s">
        <v>512</v>
      </c>
      <c r="B295" s="60" t="s">
        <v>513</v>
      </c>
      <c r="C295" s="34">
        <v>4301041007</v>
      </c>
      <c r="D295" s="670">
        <v>4680115886735</v>
      </c>
      <c r="E295" s="670"/>
      <c r="F295" s="59">
        <v>0.05</v>
      </c>
      <c r="G295" s="35">
        <v>18</v>
      </c>
      <c r="H295" s="59">
        <v>0.9</v>
      </c>
      <c r="I295" s="59">
        <v>1.0900000000000001</v>
      </c>
      <c r="J295" s="35">
        <v>216</v>
      </c>
      <c r="K295" s="35" t="s">
        <v>316</v>
      </c>
      <c r="L295" s="35" t="s">
        <v>46</v>
      </c>
      <c r="M295" s="36" t="s">
        <v>315</v>
      </c>
      <c r="N295" s="36"/>
      <c r="O295" s="35">
        <v>90</v>
      </c>
      <c r="P295" s="82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95" s="672"/>
      <c r="R295" s="672"/>
      <c r="S295" s="672"/>
      <c r="T295" s="673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83" t="s">
        <v>509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idden="1" x14ac:dyDescent="0.2">
      <c r="A296" s="678"/>
      <c r="B296" s="678"/>
      <c r="C296" s="678"/>
      <c r="D296" s="678"/>
      <c r="E296" s="678"/>
      <c r="F296" s="678"/>
      <c r="G296" s="678"/>
      <c r="H296" s="678"/>
      <c r="I296" s="678"/>
      <c r="J296" s="678"/>
      <c r="K296" s="678"/>
      <c r="L296" s="678"/>
      <c r="M296" s="678"/>
      <c r="N296" s="678"/>
      <c r="O296" s="679"/>
      <c r="P296" s="675" t="s">
        <v>40</v>
      </c>
      <c r="Q296" s="676"/>
      <c r="R296" s="676"/>
      <c r="S296" s="676"/>
      <c r="T296" s="676"/>
      <c r="U296" s="676"/>
      <c r="V296" s="677"/>
      <c r="W296" s="40" t="s">
        <v>39</v>
      </c>
      <c r="X296" s="41">
        <f>IFERROR(X293/H293,"0")+IFERROR(X294/H294,"0")+IFERROR(X295/H295,"0")</f>
        <v>0</v>
      </c>
      <c r="Y296" s="41">
        <f>IFERROR(Y293/H293,"0")+IFERROR(Y294/H294,"0")+IFERROR(Y295/H295,"0")</f>
        <v>0</v>
      </c>
      <c r="Z296" s="41">
        <f>IFERROR(IF(Z293="",0,Z293),"0")+IFERROR(IF(Z294="",0,Z294),"0")+IFERROR(IF(Z295="",0,Z295),"0")</f>
        <v>0</v>
      </c>
      <c r="AA296" s="64"/>
      <c r="AB296" s="64"/>
      <c r="AC296" s="64"/>
    </row>
    <row r="297" spans="1:68" hidden="1" x14ac:dyDescent="0.2">
      <c r="A297" s="678"/>
      <c r="B297" s="678"/>
      <c r="C297" s="678"/>
      <c r="D297" s="678"/>
      <c r="E297" s="678"/>
      <c r="F297" s="678"/>
      <c r="G297" s="678"/>
      <c r="H297" s="678"/>
      <c r="I297" s="678"/>
      <c r="J297" s="678"/>
      <c r="K297" s="678"/>
      <c r="L297" s="678"/>
      <c r="M297" s="678"/>
      <c r="N297" s="678"/>
      <c r="O297" s="679"/>
      <c r="P297" s="675" t="s">
        <v>40</v>
      </c>
      <c r="Q297" s="676"/>
      <c r="R297" s="676"/>
      <c r="S297" s="676"/>
      <c r="T297" s="676"/>
      <c r="U297" s="676"/>
      <c r="V297" s="677"/>
      <c r="W297" s="40" t="s">
        <v>0</v>
      </c>
      <c r="X297" s="41">
        <f>IFERROR(SUM(X293:X295),"0")</f>
        <v>0</v>
      </c>
      <c r="Y297" s="41">
        <f>IFERROR(SUM(Y293:Y295),"0")</f>
        <v>0</v>
      </c>
      <c r="Z297" s="40"/>
      <c r="AA297" s="64"/>
      <c r="AB297" s="64"/>
      <c r="AC297" s="64"/>
    </row>
    <row r="298" spans="1:68" ht="16.5" hidden="1" customHeight="1" x14ac:dyDescent="0.25">
      <c r="A298" s="668" t="s">
        <v>514</v>
      </c>
      <c r="B298" s="668"/>
      <c r="C298" s="668"/>
      <c r="D298" s="668"/>
      <c r="E298" s="668"/>
      <c r="F298" s="668"/>
      <c r="G298" s="668"/>
      <c r="H298" s="668"/>
      <c r="I298" s="668"/>
      <c r="J298" s="668"/>
      <c r="K298" s="668"/>
      <c r="L298" s="668"/>
      <c r="M298" s="668"/>
      <c r="N298" s="668"/>
      <c r="O298" s="668"/>
      <c r="P298" s="668"/>
      <c r="Q298" s="668"/>
      <c r="R298" s="668"/>
      <c r="S298" s="668"/>
      <c r="T298" s="668"/>
      <c r="U298" s="668"/>
      <c r="V298" s="668"/>
      <c r="W298" s="668"/>
      <c r="X298" s="668"/>
      <c r="Y298" s="668"/>
      <c r="Z298" s="668"/>
      <c r="AA298" s="62"/>
      <c r="AB298" s="62"/>
      <c r="AC298" s="62"/>
    </row>
    <row r="299" spans="1:68" ht="14.25" hidden="1" customHeight="1" x14ac:dyDescent="0.25">
      <c r="A299" s="669" t="s">
        <v>129</v>
      </c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69"/>
      <c r="P299" s="669"/>
      <c r="Q299" s="669"/>
      <c r="R299" s="669"/>
      <c r="S299" s="669"/>
      <c r="T299" s="669"/>
      <c r="U299" s="669"/>
      <c r="V299" s="669"/>
      <c r="W299" s="669"/>
      <c r="X299" s="669"/>
      <c r="Y299" s="669"/>
      <c r="Z299" s="669"/>
      <c r="AA299" s="63"/>
      <c r="AB299" s="63"/>
      <c r="AC299" s="63"/>
    </row>
    <row r="300" spans="1:68" ht="27" hidden="1" customHeight="1" x14ac:dyDescent="0.25">
      <c r="A300" s="60" t="s">
        <v>515</v>
      </c>
      <c r="B300" s="60" t="s">
        <v>516</v>
      </c>
      <c r="C300" s="34">
        <v>4301011855</v>
      </c>
      <c r="D300" s="670">
        <v>4680115885837</v>
      </c>
      <c r="E300" s="670"/>
      <c r="F300" s="59">
        <v>1.35</v>
      </c>
      <c r="G300" s="35">
        <v>8</v>
      </c>
      <c r="H300" s="59">
        <v>10.8</v>
      </c>
      <c r="I300" s="59">
        <v>11.21</v>
      </c>
      <c r="J300" s="35">
        <v>64</v>
      </c>
      <c r="K300" s="35" t="s">
        <v>134</v>
      </c>
      <c r="L300" s="35" t="s">
        <v>46</v>
      </c>
      <c r="M300" s="36" t="s">
        <v>133</v>
      </c>
      <c r="N300" s="36"/>
      <c r="O300" s="35">
        <v>55</v>
      </c>
      <c r="P300" s="83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0" s="672"/>
      <c r="R300" s="672"/>
      <c r="S300" s="672"/>
      <c r="T300" s="673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85" t="s">
        <v>517</v>
      </c>
      <c r="AG300" s="75"/>
      <c r="AJ300" s="79" t="s">
        <v>46</v>
      </c>
      <c r="AK300" s="79">
        <v>0</v>
      </c>
      <c r="BB300" s="386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37.5" hidden="1" customHeight="1" x14ac:dyDescent="0.25">
      <c r="A301" s="60" t="s">
        <v>518</v>
      </c>
      <c r="B301" s="60" t="s">
        <v>519</v>
      </c>
      <c r="C301" s="34">
        <v>4301012234</v>
      </c>
      <c r="D301" s="670">
        <v>4680115887237</v>
      </c>
      <c r="E301" s="670"/>
      <c r="F301" s="59">
        <v>1.35</v>
      </c>
      <c r="G301" s="35">
        <v>8</v>
      </c>
      <c r="H301" s="59">
        <v>10.8</v>
      </c>
      <c r="I301" s="59">
        <v>11.21</v>
      </c>
      <c r="J301" s="35">
        <v>64</v>
      </c>
      <c r="K301" s="35" t="s">
        <v>134</v>
      </c>
      <c r="L301" s="35" t="s">
        <v>46</v>
      </c>
      <c r="M301" s="36" t="s">
        <v>133</v>
      </c>
      <c r="N301" s="36"/>
      <c r="O301" s="35">
        <v>55</v>
      </c>
      <c r="P301" s="83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1" s="672"/>
      <c r="R301" s="672"/>
      <c r="S301" s="672"/>
      <c r="T301" s="673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520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521</v>
      </c>
      <c r="B302" s="60" t="s">
        <v>522</v>
      </c>
      <c r="C302" s="34">
        <v>4301011850</v>
      </c>
      <c r="D302" s="670">
        <v>4680115885806</v>
      </c>
      <c r="E302" s="670"/>
      <c r="F302" s="59">
        <v>1.35</v>
      </c>
      <c r="G302" s="35">
        <v>8</v>
      </c>
      <c r="H302" s="59">
        <v>10.8</v>
      </c>
      <c r="I302" s="59">
        <v>11.21</v>
      </c>
      <c r="J302" s="35">
        <v>64</v>
      </c>
      <c r="K302" s="35" t="s">
        <v>134</v>
      </c>
      <c r="L302" s="35" t="s">
        <v>46</v>
      </c>
      <c r="M302" s="36" t="s">
        <v>133</v>
      </c>
      <c r="N302" s="36"/>
      <c r="O302" s="35">
        <v>55</v>
      </c>
      <c r="P302" s="8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02" s="672"/>
      <c r="R302" s="672"/>
      <c r="S302" s="672"/>
      <c r="T302" s="673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523</v>
      </c>
      <c r="AG302" s="75"/>
      <c r="AJ302" s="79" t="s">
        <v>46</v>
      </c>
      <c r="AK302" s="79">
        <v>0</v>
      </c>
      <c r="BB302" s="390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524</v>
      </c>
      <c r="B303" s="60" t="s">
        <v>525</v>
      </c>
      <c r="C303" s="34">
        <v>4301011852</v>
      </c>
      <c r="D303" s="670">
        <v>4680115885844</v>
      </c>
      <c r="E303" s="670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141</v>
      </c>
      <c r="L303" s="35" t="s">
        <v>46</v>
      </c>
      <c r="M303" s="36" t="s">
        <v>133</v>
      </c>
      <c r="N303" s="36"/>
      <c r="O303" s="35">
        <v>55</v>
      </c>
      <c r="P303" s="8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03" s="672"/>
      <c r="R303" s="672"/>
      <c r="S303" s="672"/>
      <c r="T303" s="673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IFERROR(IF(Y303=0,"",ROUNDUP(Y303/H303,0)*0.00902),"")</f>
        <v/>
      </c>
      <c r="AA303" s="65" t="s">
        <v>46</v>
      </c>
      <c r="AB303" s="66" t="s">
        <v>46</v>
      </c>
      <c r="AC303" s="391" t="s">
        <v>526</v>
      </c>
      <c r="AG303" s="75"/>
      <c r="AJ303" s="79" t="s">
        <v>46</v>
      </c>
      <c r="AK303" s="79">
        <v>0</v>
      </c>
      <c r="BB303" s="392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37.5" hidden="1" customHeight="1" x14ac:dyDescent="0.25">
      <c r="A304" s="60" t="s">
        <v>527</v>
      </c>
      <c r="B304" s="60" t="s">
        <v>528</v>
      </c>
      <c r="C304" s="34">
        <v>4301011851</v>
      </c>
      <c r="D304" s="670">
        <v>4680115885820</v>
      </c>
      <c r="E304" s="670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141</v>
      </c>
      <c r="L304" s="35" t="s">
        <v>46</v>
      </c>
      <c r="M304" s="36" t="s">
        <v>133</v>
      </c>
      <c r="N304" s="36"/>
      <c r="O304" s="35">
        <v>55</v>
      </c>
      <c r="P304" s="83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04" s="672"/>
      <c r="R304" s="672"/>
      <c r="S304" s="672"/>
      <c r="T304" s="673"/>
      <c r="U304" s="37" t="s">
        <v>46</v>
      </c>
      <c r="V304" s="37" t="s">
        <v>46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529</v>
      </c>
      <c r="AG304" s="75"/>
      <c r="AJ304" s="79" t="s">
        <v>46</v>
      </c>
      <c r="AK304" s="79">
        <v>0</v>
      </c>
      <c r="BB304" s="394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78"/>
      <c r="B305" s="678"/>
      <c r="C305" s="678"/>
      <c r="D305" s="678"/>
      <c r="E305" s="678"/>
      <c r="F305" s="678"/>
      <c r="G305" s="678"/>
      <c r="H305" s="678"/>
      <c r="I305" s="678"/>
      <c r="J305" s="678"/>
      <c r="K305" s="678"/>
      <c r="L305" s="678"/>
      <c r="M305" s="678"/>
      <c r="N305" s="678"/>
      <c r="O305" s="679"/>
      <c r="P305" s="675" t="s">
        <v>40</v>
      </c>
      <c r="Q305" s="676"/>
      <c r="R305" s="676"/>
      <c r="S305" s="676"/>
      <c r="T305" s="676"/>
      <c r="U305" s="676"/>
      <c r="V305" s="677"/>
      <c r="W305" s="40" t="s">
        <v>39</v>
      </c>
      <c r="X305" s="41">
        <f>IFERROR(X300/H300,"0")+IFERROR(X301/H301,"0")+IFERROR(X302/H302,"0")+IFERROR(X303/H303,"0")+IFERROR(X304/H304,"0")</f>
        <v>0</v>
      </c>
      <c r="Y305" s="41">
        <f>IFERROR(Y300/H300,"0")+IFERROR(Y301/H301,"0")+IFERROR(Y302/H302,"0")+IFERROR(Y303/H303,"0")+IFERROR(Y304/H304,"0")</f>
        <v>0</v>
      </c>
      <c r="Z305" s="41">
        <f>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78"/>
      <c r="B306" s="678"/>
      <c r="C306" s="678"/>
      <c r="D306" s="678"/>
      <c r="E306" s="678"/>
      <c r="F306" s="678"/>
      <c r="G306" s="678"/>
      <c r="H306" s="678"/>
      <c r="I306" s="678"/>
      <c r="J306" s="678"/>
      <c r="K306" s="678"/>
      <c r="L306" s="678"/>
      <c r="M306" s="678"/>
      <c r="N306" s="678"/>
      <c r="O306" s="679"/>
      <c r="P306" s="675" t="s">
        <v>40</v>
      </c>
      <c r="Q306" s="676"/>
      <c r="R306" s="676"/>
      <c r="S306" s="676"/>
      <c r="T306" s="676"/>
      <c r="U306" s="676"/>
      <c r="V306" s="677"/>
      <c r="W306" s="40" t="s">
        <v>0</v>
      </c>
      <c r="X306" s="41">
        <f>IFERROR(SUM(X300:X304),"0")</f>
        <v>0</v>
      </c>
      <c r="Y306" s="41">
        <f>IFERROR(SUM(Y300:Y304),"0")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68" t="s">
        <v>530</v>
      </c>
      <c r="B307" s="668"/>
      <c r="C307" s="668"/>
      <c r="D307" s="668"/>
      <c r="E307" s="668"/>
      <c r="F307" s="668"/>
      <c r="G307" s="668"/>
      <c r="H307" s="668"/>
      <c r="I307" s="668"/>
      <c r="J307" s="668"/>
      <c r="K307" s="668"/>
      <c r="L307" s="668"/>
      <c r="M307" s="668"/>
      <c r="N307" s="668"/>
      <c r="O307" s="668"/>
      <c r="P307" s="668"/>
      <c r="Q307" s="668"/>
      <c r="R307" s="668"/>
      <c r="S307" s="668"/>
      <c r="T307" s="668"/>
      <c r="U307" s="668"/>
      <c r="V307" s="668"/>
      <c r="W307" s="668"/>
      <c r="X307" s="668"/>
      <c r="Y307" s="668"/>
      <c r="Z307" s="668"/>
      <c r="AA307" s="62"/>
      <c r="AB307" s="62"/>
      <c r="AC307" s="62"/>
    </row>
    <row r="308" spans="1:68" ht="14.25" hidden="1" customHeight="1" x14ac:dyDescent="0.25">
      <c r="A308" s="669" t="s">
        <v>86</v>
      </c>
      <c r="B308" s="669"/>
      <c r="C308" s="669"/>
      <c r="D308" s="669"/>
      <c r="E308" s="669"/>
      <c r="F308" s="669"/>
      <c r="G308" s="669"/>
      <c r="H308" s="669"/>
      <c r="I308" s="669"/>
      <c r="J308" s="669"/>
      <c r="K308" s="669"/>
      <c r="L308" s="669"/>
      <c r="M308" s="669"/>
      <c r="N308" s="669"/>
      <c r="O308" s="669"/>
      <c r="P308" s="669"/>
      <c r="Q308" s="669"/>
      <c r="R308" s="669"/>
      <c r="S308" s="669"/>
      <c r="T308" s="669"/>
      <c r="U308" s="669"/>
      <c r="V308" s="669"/>
      <c r="W308" s="669"/>
      <c r="X308" s="669"/>
      <c r="Y308" s="669"/>
      <c r="Z308" s="669"/>
      <c r="AA308" s="63"/>
      <c r="AB308" s="63"/>
      <c r="AC308" s="63"/>
    </row>
    <row r="309" spans="1:68" ht="27" hidden="1" customHeight="1" x14ac:dyDescent="0.25">
      <c r="A309" s="60" t="s">
        <v>531</v>
      </c>
      <c r="B309" s="60" t="s">
        <v>532</v>
      </c>
      <c r="C309" s="34">
        <v>4301051893</v>
      </c>
      <c r="D309" s="670">
        <v>4680115886186</v>
      </c>
      <c r="E309" s="670"/>
      <c r="F309" s="59">
        <v>0.3</v>
      </c>
      <c r="G309" s="35">
        <v>6</v>
      </c>
      <c r="H309" s="59">
        <v>1.8</v>
      </c>
      <c r="I309" s="59">
        <v>1.98</v>
      </c>
      <c r="J309" s="35">
        <v>182</v>
      </c>
      <c r="K309" s="35" t="s">
        <v>91</v>
      </c>
      <c r="L309" s="35" t="s">
        <v>46</v>
      </c>
      <c r="M309" s="36" t="s">
        <v>90</v>
      </c>
      <c r="N309" s="36"/>
      <c r="O309" s="35">
        <v>45</v>
      </c>
      <c r="P309" s="83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09" s="672"/>
      <c r="R309" s="672"/>
      <c r="S309" s="672"/>
      <c r="T309" s="673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395" t="s">
        <v>533</v>
      </c>
      <c r="AG309" s="75"/>
      <c r="AJ309" s="79" t="s">
        <v>46</v>
      </c>
      <c r="AK309" s="79">
        <v>0</v>
      </c>
      <c r="BB309" s="396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534</v>
      </c>
      <c r="B310" s="60" t="s">
        <v>535</v>
      </c>
      <c r="C310" s="34">
        <v>4301051795</v>
      </c>
      <c r="D310" s="670">
        <v>4680115881228</v>
      </c>
      <c r="E310" s="670"/>
      <c r="F310" s="59">
        <v>0.4</v>
      </c>
      <c r="G310" s="35">
        <v>6</v>
      </c>
      <c r="H310" s="59">
        <v>2.4</v>
      </c>
      <c r="I310" s="59">
        <v>2.6520000000000001</v>
      </c>
      <c r="J310" s="35">
        <v>182</v>
      </c>
      <c r="K310" s="35" t="s">
        <v>91</v>
      </c>
      <c r="L310" s="35" t="s">
        <v>46</v>
      </c>
      <c r="M310" s="36" t="s">
        <v>97</v>
      </c>
      <c r="N310" s="36"/>
      <c r="O310" s="35">
        <v>40</v>
      </c>
      <c r="P310" s="8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0" s="672"/>
      <c r="R310" s="672"/>
      <c r="S310" s="672"/>
      <c r="T310" s="673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IFERROR(IF(Y310=0,"",ROUNDUP(Y310/H310,0)*0.00651),"")</f>
        <v/>
      </c>
      <c r="AA310" s="65" t="s">
        <v>46</v>
      </c>
      <c r="AB310" s="66" t="s">
        <v>46</v>
      </c>
      <c r="AC310" s="397" t="s">
        <v>536</v>
      </c>
      <c r="AG310" s="75"/>
      <c r="AJ310" s="79" t="s">
        <v>46</v>
      </c>
      <c r="AK310" s="79">
        <v>0</v>
      </c>
      <c r="BB310" s="398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537</v>
      </c>
      <c r="B311" s="60" t="s">
        <v>538</v>
      </c>
      <c r="C311" s="34">
        <v>4301051388</v>
      </c>
      <c r="D311" s="670">
        <v>4680115881211</v>
      </c>
      <c r="E311" s="670"/>
      <c r="F311" s="59">
        <v>0.4</v>
      </c>
      <c r="G311" s="35">
        <v>6</v>
      </c>
      <c r="H311" s="59">
        <v>2.4</v>
      </c>
      <c r="I311" s="59">
        <v>2.58</v>
      </c>
      <c r="J311" s="35">
        <v>182</v>
      </c>
      <c r="K311" s="35" t="s">
        <v>91</v>
      </c>
      <c r="L311" s="35" t="s">
        <v>46</v>
      </c>
      <c r="M311" s="36" t="s">
        <v>90</v>
      </c>
      <c r="N311" s="36"/>
      <c r="O311" s="35">
        <v>45</v>
      </c>
      <c r="P311" s="83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1" s="672"/>
      <c r="R311" s="672"/>
      <c r="S311" s="672"/>
      <c r="T311" s="673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IFERROR(IF(Y311=0,"",ROUNDUP(Y311/H311,0)*0.00651),"")</f>
        <v/>
      </c>
      <c r="AA311" s="65" t="s">
        <v>46</v>
      </c>
      <c r="AB311" s="66" t="s">
        <v>46</v>
      </c>
      <c r="AC311" s="399" t="s">
        <v>533</v>
      </c>
      <c r="AG311" s="75"/>
      <c r="AJ311" s="79" t="s">
        <v>46</v>
      </c>
      <c r="AK311" s="79">
        <v>0</v>
      </c>
      <c r="BB311" s="400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78"/>
      <c r="B312" s="678"/>
      <c r="C312" s="678"/>
      <c r="D312" s="678"/>
      <c r="E312" s="678"/>
      <c r="F312" s="678"/>
      <c r="G312" s="678"/>
      <c r="H312" s="678"/>
      <c r="I312" s="678"/>
      <c r="J312" s="678"/>
      <c r="K312" s="678"/>
      <c r="L312" s="678"/>
      <c r="M312" s="678"/>
      <c r="N312" s="678"/>
      <c r="O312" s="679"/>
      <c r="P312" s="675" t="s">
        <v>40</v>
      </c>
      <c r="Q312" s="676"/>
      <c r="R312" s="676"/>
      <c r="S312" s="676"/>
      <c r="T312" s="676"/>
      <c r="U312" s="676"/>
      <c r="V312" s="677"/>
      <c r="W312" s="40" t="s">
        <v>39</v>
      </c>
      <c r="X312" s="41">
        <f>IFERROR(X309/H309,"0")+IFERROR(X310/H310,"0")+IFERROR(X311/H311,"0")</f>
        <v>0</v>
      </c>
      <c r="Y312" s="41">
        <f>IFERROR(Y309/H309,"0")+IFERROR(Y310/H310,"0")+IFERROR(Y311/H311,"0")</f>
        <v>0</v>
      </c>
      <c r="Z312" s="41">
        <f>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678"/>
      <c r="B313" s="678"/>
      <c r="C313" s="678"/>
      <c r="D313" s="678"/>
      <c r="E313" s="678"/>
      <c r="F313" s="678"/>
      <c r="G313" s="678"/>
      <c r="H313" s="678"/>
      <c r="I313" s="678"/>
      <c r="J313" s="678"/>
      <c r="K313" s="678"/>
      <c r="L313" s="678"/>
      <c r="M313" s="678"/>
      <c r="N313" s="678"/>
      <c r="O313" s="679"/>
      <c r="P313" s="675" t="s">
        <v>40</v>
      </c>
      <c r="Q313" s="676"/>
      <c r="R313" s="676"/>
      <c r="S313" s="676"/>
      <c r="T313" s="676"/>
      <c r="U313" s="676"/>
      <c r="V313" s="677"/>
      <c r="W313" s="40" t="s">
        <v>0</v>
      </c>
      <c r="X313" s="41">
        <f>IFERROR(SUM(X309:X311),"0")</f>
        <v>0</v>
      </c>
      <c r="Y313" s="41">
        <f>IFERROR(SUM(Y309:Y311),"0")</f>
        <v>0</v>
      </c>
      <c r="Z313" s="40"/>
      <c r="AA313" s="64"/>
      <c r="AB313" s="64"/>
      <c r="AC313" s="64"/>
    </row>
    <row r="314" spans="1:68" ht="16.5" hidden="1" customHeight="1" x14ac:dyDescent="0.25">
      <c r="A314" s="668" t="s">
        <v>539</v>
      </c>
      <c r="B314" s="668"/>
      <c r="C314" s="668"/>
      <c r="D314" s="668"/>
      <c r="E314" s="668"/>
      <c r="F314" s="668"/>
      <c r="G314" s="668"/>
      <c r="H314" s="668"/>
      <c r="I314" s="668"/>
      <c r="J314" s="668"/>
      <c r="K314" s="668"/>
      <c r="L314" s="668"/>
      <c r="M314" s="668"/>
      <c r="N314" s="668"/>
      <c r="O314" s="668"/>
      <c r="P314" s="668"/>
      <c r="Q314" s="668"/>
      <c r="R314" s="668"/>
      <c r="S314" s="668"/>
      <c r="T314" s="668"/>
      <c r="U314" s="668"/>
      <c r="V314" s="668"/>
      <c r="W314" s="668"/>
      <c r="X314" s="668"/>
      <c r="Y314" s="668"/>
      <c r="Z314" s="668"/>
      <c r="AA314" s="62"/>
      <c r="AB314" s="62"/>
      <c r="AC314" s="62"/>
    </row>
    <row r="315" spans="1:68" ht="14.25" hidden="1" customHeight="1" x14ac:dyDescent="0.25">
      <c r="A315" s="669" t="s">
        <v>77</v>
      </c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69"/>
      <c r="P315" s="669"/>
      <c r="Q315" s="669"/>
      <c r="R315" s="669"/>
      <c r="S315" s="669"/>
      <c r="T315" s="669"/>
      <c r="U315" s="669"/>
      <c r="V315" s="669"/>
      <c r="W315" s="669"/>
      <c r="X315" s="669"/>
      <c r="Y315" s="669"/>
      <c r="Z315" s="669"/>
      <c r="AA315" s="63"/>
      <c r="AB315" s="63"/>
      <c r="AC315" s="63"/>
    </row>
    <row r="316" spans="1:68" ht="27" hidden="1" customHeight="1" x14ac:dyDescent="0.25">
      <c r="A316" s="60" t="s">
        <v>540</v>
      </c>
      <c r="B316" s="60" t="s">
        <v>541</v>
      </c>
      <c r="C316" s="34">
        <v>4301031445</v>
      </c>
      <c r="D316" s="670">
        <v>4680115888319</v>
      </c>
      <c r="E316" s="670"/>
      <c r="F316" s="59">
        <v>0.35</v>
      </c>
      <c r="G316" s="35">
        <v>6</v>
      </c>
      <c r="H316" s="59">
        <v>2.1</v>
      </c>
      <c r="I316" s="59">
        <v>2.23</v>
      </c>
      <c r="J316" s="35">
        <v>234</v>
      </c>
      <c r="K316" s="35" t="s">
        <v>82</v>
      </c>
      <c r="L316" s="35" t="s">
        <v>46</v>
      </c>
      <c r="M316" s="36" t="s">
        <v>81</v>
      </c>
      <c r="N316" s="36"/>
      <c r="O316" s="35">
        <v>45</v>
      </c>
      <c r="P316" s="83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16" s="672"/>
      <c r="R316" s="672"/>
      <c r="S316" s="672"/>
      <c r="T316" s="673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IFERROR(IF(Y316=0,"",ROUNDUP(Y316/H316,0)*0.00502),"")</f>
        <v/>
      </c>
      <c r="AA316" s="65" t="s">
        <v>46</v>
      </c>
      <c r="AB316" s="66" t="s">
        <v>46</v>
      </c>
      <c r="AC316" s="401" t="s">
        <v>374</v>
      </c>
      <c r="AG316" s="75"/>
      <c r="AJ316" s="79" t="s">
        <v>46</v>
      </c>
      <c r="AK316" s="79">
        <v>0</v>
      </c>
      <c r="BB316" s="40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542</v>
      </c>
      <c r="B317" s="60" t="s">
        <v>543</v>
      </c>
      <c r="C317" s="34">
        <v>4301031502</v>
      </c>
      <c r="D317" s="670">
        <v>4680115884700</v>
      </c>
      <c r="E317" s="670"/>
      <c r="F317" s="59">
        <v>0.57999999999999996</v>
      </c>
      <c r="G317" s="35">
        <v>4</v>
      </c>
      <c r="H317" s="59">
        <v>2.3199999999999998</v>
      </c>
      <c r="I317" s="59">
        <v>2.42</v>
      </c>
      <c r="J317" s="35">
        <v>234</v>
      </c>
      <c r="K317" s="35" t="s">
        <v>82</v>
      </c>
      <c r="L317" s="35" t="s">
        <v>46</v>
      </c>
      <c r="M317" s="36" t="s">
        <v>81</v>
      </c>
      <c r="N317" s="36"/>
      <c r="O317" s="35">
        <v>40</v>
      </c>
      <c r="P317" s="83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17" s="672"/>
      <c r="R317" s="672"/>
      <c r="S317" s="672"/>
      <c r="T317" s="673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IFERROR(IF(Y317=0,"",ROUNDUP(Y317/H317,0)*0.00502),"")</f>
        <v/>
      </c>
      <c r="AA317" s="65" t="s">
        <v>46</v>
      </c>
      <c r="AB317" s="66" t="s">
        <v>46</v>
      </c>
      <c r="AC317" s="403" t="s">
        <v>544</v>
      </c>
      <c r="AG317" s="75"/>
      <c r="AJ317" s="79" t="s">
        <v>46</v>
      </c>
      <c r="AK317" s="79">
        <v>0</v>
      </c>
      <c r="BB317" s="404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545</v>
      </c>
      <c r="B318" s="60" t="s">
        <v>546</v>
      </c>
      <c r="C318" s="34">
        <v>4301031307</v>
      </c>
      <c r="D318" s="670">
        <v>4680115880344</v>
      </c>
      <c r="E318" s="670"/>
      <c r="F318" s="59">
        <v>0.28000000000000003</v>
      </c>
      <c r="G318" s="35">
        <v>6</v>
      </c>
      <c r="H318" s="59">
        <v>1.68</v>
      </c>
      <c r="I318" s="59">
        <v>1.78</v>
      </c>
      <c r="J318" s="35">
        <v>234</v>
      </c>
      <c r="K318" s="35" t="s">
        <v>82</v>
      </c>
      <c r="L318" s="35" t="s">
        <v>46</v>
      </c>
      <c r="M318" s="36" t="s">
        <v>81</v>
      </c>
      <c r="N318" s="36"/>
      <c r="O318" s="35">
        <v>40</v>
      </c>
      <c r="P318" s="84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18" s="672"/>
      <c r="R318" s="672"/>
      <c r="S318" s="672"/>
      <c r="T318" s="67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IFERROR(IF(Y318=0,"",ROUNDUP(Y318/H318,0)*0.00502),"")</f>
        <v/>
      </c>
      <c r="AA318" s="65" t="s">
        <v>46</v>
      </c>
      <c r="AB318" s="66" t="s">
        <v>46</v>
      </c>
      <c r="AC318" s="405" t="s">
        <v>547</v>
      </c>
      <c r="AG318" s="75"/>
      <c r="AJ318" s="79" t="s">
        <v>46</v>
      </c>
      <c r="AK318" s="79">
        <v>0</v>
      </c>
      <c r="BB318" s="406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548</v>
      </c>
      <c r="B319" s="60" t="s">
        <v>549</v>
      </c>
      <c r="C319" s="34">
        <v>4301031501</v>
      </c>
      <c r="D319" s="670">
        <v>4680115886919</v>
      </c>
      <c r="E319" s="670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91</v>
      </c>
      <c r="L319" s="35" t="s">
        <v>46</v>
      </c>
      <c r="M319" s="36" t="s">
        <v>81</v>
      </c>
      <c r="N319" s="36"/>
      <c r="O319" s="35">
        <v>40</v>
      </c>
      <c r="P319" s="84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19" s="672"/>
      <c r="R319" s="672"/>
      <c r="S319" s="672"/>
      <c r="T319" s="673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407" t="s">
        <v>550</v>
      </c>
      <c r="AG319" s="75"/>
      <c r="AJ319" s="79" t="s">
        <v>46</v>
      </c>
      <c r="AK319" s="79">
        <v>0</v>
      </c>
      <c r="BB319" s="408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551</v>
      </c>
      <c r="B320" s="60" t="s">
        <v>552</v>
      </c>
      <c r="C320" s="34">
        <v>4301031246</v>
      </c>
      <c r="D320" s="670">
        <v>4680115883970</v>
      </c>
      <c r="E320" s="670"/>
      <c r="F320" s="59">
        <v>0.28000000000000003</v>
      </c>
      <c r="G320" s="35">
        <v>6</v>
      </c>
      <c r="H320" s="59">
        <v>1.68</v>
      </c>
      <c r="I320" s="59">
        <v>2.5</v>
      </c>
      <c r="J320" s="35">
        <v>234</v>
      </c>
      <c r="K320" s="35" t="s">
        <v>82</v>
      </c>
      <c r="L320" s="35" t="s">
        <v>46</v>
      </c>
      <c r="M320" s="36" t="s">
        <v>81</v>
      </c>
      <c r="N320" s="36"/>
      <c r="O320" s="35">
        <v>40</v>
      </c>
      <c r="P320" s="84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0" s="672"/>
      <c r="R320" s="672"/>
      <c r="S320" s="672"/>
      <c r="T320" s="673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IFERROR(IF(Y320=0,"",ROUNDUP(Y320/H320,0)*0.00502),"")</f>
        <v/>
      </c>
      <c r="AA320" s="65" t="s">
        <v>46</v>
      </c>
      <c r="AB320" s="66" t="s">
        <v>46</v>
      </c>
      <c r="AC320" s="409" t="s">
        <v>553</v>
      </c>
      <c r="AG320" s="75"/>
      <c r="AJ320" s="79" t="s">
        <v>46</v>
      </c>
      <c r="AK320" s="79">
        <v>0</v>
      </c>
      <c r="BB320" s="410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78"/>
      <c r="B321" s="678"/>
      <c r="C321" s="678"/>
      <c r="D321" s="678"/>
      <c r="E321" s="678"/>
      <c r="F321" s="678"/>
      <c r="G321" s="678"/>
      <c r="H321" s="678"/>
      <c r="I321" s="678"/>
      <c r="J321" s="678"/>
      <c r="K321" s="678"/>
      <c r="L321" s="678"/>
      <c r="M321" s="678"/>
      <c r="N321" s="678"/>
      <c r="O321" s="679"/>
      <c r="P321" s="675" t="s">
        <v>40</v>
      </c>
      <c r="Q321" s="676"/>
      <c r="R321" s="676"/>
      <c r="S321" s="676"/>
      <c r="T321" s="676"/>
      <c r="U321" s="676"/>
      <c r="V321" s="677"/>
      <c r="W321" s="40" t="s">
        <v>39</v>
      </c>
      <c r="X321" s="41">
        <f>IFERROR(X316/H316,"0")+IFERROR(X317/H317,"0")+IFERROR(X318/H318,"0")+IFERROR(X319/H319,"0")+IFERROR(X320/H320,"0")</f>
        <v>0</v>
      </c>
      <c r="Y321" s="41">
        <f>IFERROR(Y316/H316,"0")+IFERROR(Y317/H317,"0")+IFERROR(Y318/H318,"0")+IFERROR(Y319/H319,"0")+IFERROR(Y320/H320,"0")</f>
        <v>0</v>
      </c>
      <c r="Z321" s="41">
        <f>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78"/>
      <c r="B322" s="678"/>
      <c r="C322" s="678"/>
      <c r="D322" s="678"/>
      <c r="E322" s="678"/>
      <c r="F322" s="678"/>
      <c r="G322" s="678"/>
      <c r="H322" s="678"/>
      <c r="I322" s="678"/>
      <c r="J322" s="678"/>
      <c r="K322" s="678"/>
      <c r="L322" s="678"/>
      <c r="M322" s="678"/>
      <c r="N322" s="678"/>
      <c r="O322" s="679"/>
      <c r="P322" s="675" t="s">
        <v>40</v>
      </c>
      <c r="Q322" s="676"/>
      <c r="R322" s="676"/>
      <c r="S322" s="676"/>
      <c r="T322" s="676"/>
      <c r="U322" s="676"/>
      <c r="V322" s="677"/>
      <c r="W322" s="40" t="s">
        <v>0</v>
      </c>
      <c r="X322" s="41">
        <f>IFERROR(SUM(X316:X320),"0")</f>
        <v>0</v>
      </c>
      <c r="Y322" s="41">
        <f>IFERROR(SUM(Y316:Y320),"0")</f>
        <v>0</v>
      </c>
      <c r="Z322" s="40"/>
      <c r="AA322" s="64"/>
      <c r="AB322" s="64"/>
      <c r="AC322" s="64"/>
    </row>
    <row r="323" spans="1:68" ht="14.25" hidden="1" customHeight="1" x14ac:dyDescent="0.25">
      <c r="A323" s="669" t="s">
        <v>86</v>
      </c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69"/>
      <c r="P323" s="669"/>
      <c r="Q323" s="669"/>
      <c r="R323" s="669"/>
      <c r="S323" s="669"/>
      <c r="T323" s="669"/>
      <c r="U323" s="669"/>
      <c r="V323" s="669"/>
      <c r="W323" s="669"/>
      <c r="X323" s="669"/>
      <c r="Y323" s="669"/>
      <c r="Z323" s="669"/>
      <c r="AA323" s="63"/>
      <c r="AB323" s="63"/>
      <c r="AC323" s="63"/>
    </row>
    <row r="324" spans="1:68" ht="27" hidden="1" customHeight="1" x14ac:dyDescent="0.25">
      <c r="A324" s="60" t="s">
        <v>554</v>
      </c>
      <c r="B324" s="60" t="s">
        <v>555</v>
      </c>
      <c r="C324" s="34">
        <v>4301051782</v>
      </c>
      <c r="D324" s="670">
        <v>4680115884618</v>
      </c>
      <c r="E324" s="670"/>
      <c r="F324" s="59">
        <v>0.6</v>
      </c>
      <c r="G324" s="35">
        <v>6</v>
      </c>
      <c r="H324" s="59">
        <v>3.6</v>
      </c>
      <c r="I324" s="59">
        <v>3.79</v>
      </c>
      <c r="J324" s="35">
        <v>132</v>
      </c>
      <c r="K324" s="35" t="s">
        <v>141</v>
      </c>
      <c r="L324" s="35" t="s">
        <v>46</v>
      </c>
      <c r="M324" s="36" t="s">
        <v>90</v>
      </c>
      <c r="N324" s="36"/>
      <c r="O324" s="35">
        <v>45</v>
      </c>
      <c r="P324" s="8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24" s="672"/>
      <c r="R324" s="672"/>
      <c r="S324" s="672"/>
      <c r="T324" s="673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IFERROR(IF(Y324=0,"",ROUNDUP(Y324/H324,0)*0.00902),"")</f>
        <v/>
      </c>
      <c r="AA324" s="65" t="s">
        <v>46</v>
      </c>
      <c r="AB324" s="66" t="s">
        <v>46</v>
      </c>
      <c r="AC324" s="411" t="s">
        <v>556</v>
      </c>
      <c r="AG324" s="75"/>
      <c r="AJ324" s="79" t="s">
        <v>46</v>
      </c>
      <c r="AK324" s="79">
        <v>0</v>
      </c>
      <c r="BB324" s="412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557</v>
      </c>
      <c r="B325" s="60" t="s">
        <v>558</v>
      </c>
      <c r="C325" s="34">
        <v>4301052057</v>
      </c>
      <c r="D325" s="670">
        <v>4680115887114</v>
      </c>
      <c r="E325" s="670"/>
      <c r="F325" s="59">
        <v>0.55000000000000004</v>
      </c>
      <c r="G325" s="35">
        <v>6</v>
      </c>
      <c r="H325" s="59">
        <v>3.3</v>
      </c>
      <c r="I325" s="59">
        <v>3.49</v>
      </c>
      <c r="J325" s="35">
        <v>132</v>
      </c>
      <c r="K325" s="35" t="s">
        <v>141</v>
      </c>
      <c r="L325" s="35" t="s">
        <v>46</v>
      </c>
      <c r="M325" s="36" t="s">
        <v>90</v>
      </c>
      <c r="N325" s="36"/>
      <c r="O325" s="35">
        <v>45</v>
      </c>
      <c r="P325" s="84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25" s="672"/>
      <c r="R325" s="672"/>
      <c r="S325" s="672"/>
      <c r="T325" s="673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13" t="s">
        <v>559</v>
      </c>
      <c r="AG325" s="75"/>
      <c r="AJ325" s="79" t="s">
        <v>46</v>
      </c>
      <c r="AK325" s="79">
        <v>0</v>
      </c>
      <c r="BB325" s="414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idden="1" x14ac:dyDescent="0.2">
      <c r="A326" s="678"/>
      <c r="B326" s="678"/>
      <c r="C326" s="678"/>
      <c r="D326" s="678"/>
      <c r="E326" s="678"/>
      <c r="F326" s="678"/>
      <c r="G326" s="678"/>
      <c r="H326" s="678"/>
      <c r="I326" s="678"/>
      <c r="J326" s="678"/>
      <c r="K326" s="678"/>
      <c r="L326" s="678"/>
      <c r="M326" s="678"/>
      <c r="N326" s="678"/>
      <c r="O326" s="679"/>
      <c r="P326" s="675" t="s">
        <v>40</v>
      </c>
      <c r="Q326" s="676"/>
      <c r="R326" s="676"/>
      <c r="S326" s="676"/>
      <c r="T326" s="676"/>
      <c r="U326" s="676"/>
      <c r="V326" s="677"/>
      <c r="W326" s="40" t="s">
        <v>39</v>
      </c>
      <c r="X326" s="41">
        <f>IFERROR(X324/H324,"0")+IFERROR(X325/H325,"0")</f>
        <v>0</v>
      </c>
      <c r="Y326" s="41">
        <f>IFERROR(Y324/H324,"0")+IFERROR(Y325/H325,"0")</f>
        <v>0</v>
      </c>
      <c r="Z326" s="41">
        <f>IFERROR(IF(Z324="",0,Z324),"0")+IFERROR(IF(Z325="",0,Z325),"0")</f>
        <v>0</v>
      </c>
      <c r="AA326" s="64"/>
      <c r="AB326" s="64"/>
      <c r="AC326" s="64"/>
    </row>
    <row r="327" spans="1:68" hidden="1" x14ac:dyDescent="0.2">
      <c r="A327" s="678"/>
      <c r="B327" s="678"/>
      <c r="C327" s="678"/>
      <c r="D327" s="678"/>
      <c r="E327" s="678"/>
      <c r="F327" s="678"/>
      <c r="G327" s="678"/>
      <c r="H327" s="678"/>
      <c r="I327" s="678"/>
      <c r="J327" s="678"/>
      <c r="K327" s="678"/>
      <c r="L327" s="678"/>
      <c r="M327" s="678"/>
      <c r="N327" s="678"/>
      <c r="O327" s="679"/>
      <c r="P327" s="675" t="s">
        <v>40</v>
      </c>
      <c r="Q327" s="676"/>
      <c r="R327" s="676"/>
      <c r="S327" s="676"/>
      <c r="T327" s="676"/>
      <c r="U327" s="676"/>
      <c r="V327" s="677"/>
      <c r="W327" s="40" t="s">
        <v>0</v>
      </c>
      <c r="X327" s="41">
        <f>IFERROR(SUM(X324:X325),"0")</f>
        <v>0</v>
      </c>
      <c r="Y327" s="41">
        <f>IFERROR(SUM(Y324:Y325),"0")</f>
        <v>0</v>
      </c>
      <c r="Z327" s="40"/>
      <c r="AA327" s="64"/>
      <c r="AB327" s="64"/>
      <c r="AC327" s="64"/>
    </row>
    <row r="328" spans="1:68" ht="16.5" hidden="1" customHeight="1" x14ac:dyDescent="0.25">
      <c r="A328" s="668" t="s">
        <v>560</v>
      </c>
      <c r="B328" s="668"/>
      <c r="C328" s="668"/>
      <c r="D328" s="668"/>
      <c r="E328" s="668"/>
      <c r="F328" s="668"/>
      <c r="G328" s="668"/>
      <c r="H328" s="668"/>
      <c r="I328" s="668"/>
      <c r="J328" s="668"/>
      <c r="K328" s="668"/>
      <c r="L328" s="668"/>
      <c r="M328" s="668"/>
      <c r="N328" s="668"/>
      <c r="O328" s="668"/>
      <c r="P328" s="668"/>
      <c r="Q328" s="668"/>
      <c r="R328" s="668"/>
      <c r="S328" s="668"/>
      <c r="T328" s="668"/>
      <c r="U328" s="668"/>
      <c r="V328" s="668"/>
      <c r="W328" s="668"/>
      <c r="X328" s="668"/>
      <c r="Y328" s="668"/>
      <c r="Z328" s="668"/>
      <c r="AA328" s="62"/>
      <c r="AB328" s="62"/>
      <c r="AC328" s="62"/>
    </row>
    <row r="329" spans="1:68" ht="14.25" hidden="1" customHeight="1" x14ac:dyDescent="0.25">
      <c r="A329" s="669" t="s">
        <v>129</v>
      </c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69"/>
      <c r="P329" s="669"/>
      <c r="Q329" s="669"/>
      <c r="R329" s="669"/>
      <c r="S329" s="669"/>
      <c r="T329" s="669"/>
      <c r="U329" s="669"/>
      <c r="V329" s="669"/>
      <c r="W329" s="669"/>
      <c r="X329" s="669"/>
      <c r="Y329" s="669"/>
      <c r="Z329" s="669"/>
      <c r="AA329" s="63"/>
      <c r="AB329" s="63"/>
      <c r="AC329" s="63"/>
    </row>
    <row r="330" spans="1:68" ht="27" hidden="1" customHeight="1" x14ac:dyDescent="0.25">
      <c r="A330" s="60" t="s">
        <v>561</v>
      </c>
      <c r="B330" s="60" t="s">
        <v>562</v>
      </c>
      <c r="C330" s="34">
        <v>4301012324</v>
      </c>
      <c r="D330" s="670">
        <v>4680115887947</v>
      </c>
      <c r="E330" s="670"/>
      <c r="F330" s="59">
        <v>1.3</v>
      </c>
      <c r="G330" s="35">
        <v>6</v>
      </c>
      <c r="H330" s="59">
        <v>7.8</v>
      </c>
      <c r="I330" s="59">
        <v>8.2100000000000009</v>
      </c>
      <c r="J330" s="35">
        <v>64</v>
      </c>
      <c r="K330" s="35" t="s">
        <v>134</v>
      </c>
      <c r="L330" s="35" t="s">
        <v>46</v>
      </c>
      <c r="M330" s="36" t="s">
        <v>90</v>
      </c>
      <c r="N330" s="36"/>
      <c r="O330" s="35">
        <v>60</v>
      </c>
      <c r="P330" s="84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0" s="672"/>
      <c r="R330" s="672"/>
      <c r="S330" s="672"/>
      <c r="T330" s="673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15" t="s">
        <v>331</v>
      </c>
      <c r="AG330" s="75"/>
      <c r="AJ330" s="79" t="s">
        <v>46</v>
      </c>
      <c r="AK330" s="79">
        <v>0</v>
      </c>
      <c r="BB330" s="416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563</v>
      </c>
      <c r="B331" s="60" t="s">
        <v>564</v>
      </c>
      <c r="C331" s="34">
        <v>4301012325</v>
      </c>
      <c r="D331" s="670">
        <v>4680115887978</v>
      </c>
      <c r="E331" s="670"/>
      <c r="F331" s="59">
        <v>1.3</v>
      </c>
      <c r="G331" s="35">
        <v>6</v>
      </c>
      <c r="H331" s="59">
        <v>7.8</v>
      </c>
      <c r="I331" s="59">
        <v>8.2100000000000009</v>
      </c>
      <c r="J331" s="35">
        <v>64</v>
      </c>
      <c r="K331" s="35" t="s">
        <v>134</v>
      </c>
      <c r="L331" s="35" t="s">
        <v>46</v>
      </c>
      <c r="M331" s="36" t="s">
        <v>90</v>
      </c>
      <c r="N331" s="36"/>
      <c r="O331" s="35">
        <v>60</v>
      </c>
      <c r="P331" s="84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1" s="672"/>
      <c r="R331" s="672"/>
      <c r="S331" s="672"/>
      <c r="T331" s="673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17" t="s">
        <v>565</v>
      </c>
      <c r="AG331" s="75"/>
      <c r="AJ331" s="79" t="s">
        <v>46</v>
      </c>
      <c r="AK331" s="79">
        <v>0</v>
      </c>
      <c r="BB331" s="418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566</v>
      </c>
      <c r="B332" s="60" t="s">
        <v>567</v>
      </c>
      <c r="C332" s="34">
        <v>4301012327</v>
      </c>
      <c r="D332" s="670">
        <v>4680115887992</v>
      </c>
      <c r="E332" s="670"/>
      <c r="F332" s="59">
        <v>1.3</v>
      </c>
      <c r="G332" s="35">
        <v>6</v>
      </c>
      <c r="H332" s="59">
        <v>7.8</v>
      </c>
      <c r="I332" s="59">
        <v>8.2100000000000009</v>
      </c>
      <c r="J332" s="35">
        <v>64</v>
      </c>
      <c r="K332" s="35" t="s">
        <v>134</v>
      </c>
      <c r="L332" s="35" t="s">
        <v>46</v>
      </c>
      <c r="M332" s="36" t="s">
        <v>90</v>
      </c>
      <c r="N332" s="36"/>
      <c r="O332" s="35">
        <v>60</v>
      </c>
      <c r="P332" s="84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32" s="672"/>
      <c r="R332" s="672"/>
      <c r="S332" s="672"/>
      <c r="T332" s="673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IFERROR(IF(Y332=0,"",ROUNDUP(Y332/H332,0)*0.01898),"")</f>
        <v/>
      </c>
      <c r="AA332" s="65" t="s">
        <v>46</v>
      </c>
      <c r="AB332" s="66" t="s">
        <v>46</v>
      </c>
      <c r="AC332" s="419" t="s">
        <v>568</v>
      </c>
      <c r="AG332" s="75"/>
      <c r="AJ332" s="79" t="s">
        <v>46</v>
      </c>
      <c r="AK332" s="79">
        <v>0</v>
      </c>
      <c r="BB332" s="420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idden="1" x14ac:dyDescent="0.2">
      <c r="A333" s="678"/>
      <c r="B333" s="678"/>
      <c r="C333" s="678"/>
      <c r="D333" s="678"/>
      <c r="E333" s="678"/>
      <c r="F333" s="678"/>
      <c r="G333" s="678"/>
      <c r="H333" s="678"/>
      <c r="I333" s="678"/>
      <c r="J333" s="678"/>
      <c r="K333" s="678"/>
      <c r="L333" s="678"/>
      <c r="M333" s="678"/>
      <c r="N333" s="678"/>
      <c r="O333" s="679"/>
      <c r="P333" s="675" t="s">
        <v>40</v>
      </c>
      <c r="Q333" s="676"/>
      <c r="R333" s="676"/>
      <c r="S333" s="676"/>
      <c r="T333" s="676"/>
      <c r="U333" s="676"/>
      <c r="V333" s="677"/>
      <c r="W333" s="40" t="s">
        <v>39</v>
      </c>
      <c r="X333" s="41">
        <f>IFERROR(X330/H330,"0")+IFERROR(X331/H331,"0")+IFERROR(X332/H332,"0")</f>
        <v>0</v>
      </c>
      <c r="Y333" s="41">
        <f>IFERROR(Y330/H330,"0")+IFERROR(Y331/H331,"0")+IFERROR(Y332/H332,"0")</f>
        <v>0</v>
      </c>
      <c r="Z333" s="41">
        <f>IFERROR(IF(Z330="",0,Z330),"0")+IFERROR(IF(Z331="",0,Z331),"0")+IFERROR(IF(Z332="",0,Z332),"0")</f>
        <v>0</v>
      </c>
      <c r="AA333" s="64"/>
      <c r="AB333" s="64"/>
      <c r="AC333" s="64"/>
    </row>
    <row r="334" spans="1:68" hidden="1" x14ac:dyDescent="0.2">
      <c r="A334" s="678"/>
      <c r="B334" s="678"/>
      <c r="C334" s="678"/>
      <c r="D334" s="678"/>
      <c r="E334" s="678"/>
      <c r="F334" s="678"/>
      <c r="G334" s="678"/>
      <c r="H334" s="678"/>
      <c r="I334" s="678"/>
      <c r="J334" s="678"/>
      <c r="K334" s="678"/>
      <c r="L334" s="678"/>
      <c r="M334" s="678"/>
      <c r="N334" s="678"/>
      <c r="O334" s="679"/>
      <c r="P334" s="675" t="s">
        <v>40</v>
      </c>
      <c r="Q334" s="676"/>
      <c r="R334" s="676"/>
      <c r="S334" s="676"/>
      <c r="T334" s="676"/>
      <c r="U334" s="676"/>
      <c r="V334" s="677"/>
      <c r="W334" s="40" t="s">
        <v>0</v>
      </c>
      <c r="X334" s="41">
        <f>IFERROR(SUM(X330:X332),"0")</f>
        <v>0</v>
      </c>
      <c r="Y334" s="41">
        <f>IFERROR(SUM(Y330:Y332),"0")</f>
        <v>0</v>
      </c>
      <c r="Z334" s="40"/>
      <c r="AA334" s="64"/>
      <c r="AB334" s="64"/>
      <c r="AC334" s="64"/>
    </row>
    <row r="335" spans="1:68" ht="16.5" hidden="1" customHeight="1" x14ac:dyDescent="0.25">
      <c r="A335" s="668" t="s">
        <v>569</v>
      </c>
      <c r="B335" s="668"/>
      <c r="C335" s="668"/>
      <c r="D335" s="668"/>
      <c r="E335" s="668"/>
      <c r="F335" s="668"/>
      <c r="G335" s="668"/>
      <c r="H335" s="668"/>
      <c r="I335" s="668"/>
      <c r="J335" s="668"/>
      <c r="K335" s="668"/>
      <c r="L335" s="668"/>
      <c r="M335" s="668"/>
      <c r="N335" s="668"/>
      <c r="O335" s="668"/>
      <c r="P335" s="668"/>
      <c r="Q335" s="668"/>
      <c r="R335" s="668"/>
      <c r="S335" s="668"/>
      <c r="T335" s="668"/>
      <c r="U335" s="668"/>
      <c r="V335" s="668"/>
      <c r="W335" s="668"/>
      <c r="X335" s="668"/>
      <c r="Y335" s="668"/>
      <c r="Z335" s="668"/>
      <c r="AA335" s="62"/>
      <c r="AB335" s="62"/>
      <c r="AC335" s="62"/>
    </row>
    <row r="336" spans="1:68" ht="14.25" hidden="1" customHeight="1" x14ac:dyDescent="0.25">
      <c r="A336" s="669" t="s">
        <v>129</v>
      </c>
      <c r="B336" s="669"/>
      <c r="C336" s="669"/>
      <c r="D336" s="669"/>
      <c r="E336" s="669"/>
      <c r="F336" s="669"/>
      <c r="G336" s="669"/>
      <c r="H336" s="669"/>
      <c r="I336" s="669"/>
      <c r="J336" s="669"/>
      <c r="K336" s="669"/>
      <c r="L336" s="669"/>
      <c r="M336" s="669"/>
      <c r="N336" s="669"/>
      <c r="O336" s="669"/>
      <c r="P336" s="669"/>
      <c r="Q336" s="669"/>
      <c r="R336" s="669"/>
      <c r="S336" s="669"/>
      <c r="T336" s="669"/>
      <c r="U336" s="669"/>
      <c r="V336" s="669"/>
      <c r="W336" s="669"/>
      <c r="X336" s="669"/>
      <c r="Y336" s="669"/>
      <c r="Z336" s="669"/>
      <c r="AA336" s="63"/>
      <c r="AB336" s="63"/>
      <c r="AC336" s="63"/>
    </row>
    <row r="337" spans="1:68" ht="27" hidden="1" customHeight="1" x14ac:dyDescent="0.25">
      <c r="A337" s="60" t="s">
        <v>570</v>
      </c>
      <c r="B337" s="60" t="s">
        <v>571</v>
      </c>
      <c r="C337" s="34">
        <v>4301012126</v>
      </c>
      <c r="D337" s="670">
        <v>4607091386004</v>
      </c>
      <c r="E337" s="670"/>
      <c r="F337" s="59">
        <v>1.35</v>
      </c>
      <c r="G337" s="35">
        <v>8</v>
      </c>
      <c r="H337" s="59">
        <v>10.8</v>
      </c>
      <c r="I337" s="59">
        <v>11.21</v>
      </c>
      <c r="J337" s="35">
        <v>64</v>
      </c>
      <c r="K337" s="35" t="s">
        <v>134</v>
      </c>
      <c r="L337" s="35" t="s">
        <v>46</v>
      </c>
      <c r="M337" s="36" t="s">
        <v>133</v>
      </c>
      <c r="N337" s="36"/>
      <c r="O337" s="35">
        <v>55</v>
      </c>
      <c r="P337" s="84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37" s="672"/>
      <c r="R337" s="672"/>
      <c r="S337" s="672"/>
      <c r="T337" s="673"/>
      <c r="U337" s="37" t="s">
        <v>46</v>
      </c>
      <c r="V337" s="37" t="s">
        <v>46</v>
      </c>
      <c r="W337" s="38" t="s">
        <v>0</v>
      </c>
      <c r="X337" s="56">
        <v>0</v>
      </c>
      <c r="Y337" s="53">
        <f t="shared" ref="Y337:Y342" si="47">IFERROR(IF(X337="",0,CEILING((X337/$H337),1)*$H337),"")</f>
        <v>0</v>
      </c>
      <c r="Z337" s="39" t="str">
        <f>IFERROR(IF(Y337=0,"",ROUNDUP(Y337/H337,0)*0.01898),"")</f>
        <v/>
      </c>
      <c r="AA337" s="65" t="s">
        <v>46</v>
      </c>
      <c r="AB337" s="66" t="s">
        <v>46</v>
      </c>
      <c r="AC337" s="421" t="s">
        <v>572</v>
      </c>
      <c r="AG337" s="75"/>
      <c r="AJ337" s="79" t="s">
        <v>46</v>
      </c>
      <c r="AK337" s="79">
        <v>0</v>
      </c>
      <c r="BB337" s="422" t="s">
        <v>67</v>
      </c>
      <c r="BM337" s="75">
        <f t="shared" ref="BM337:BM342" si="48">IFERROR(X337*I337/H337,"0")</f>
        <v>0</v>
      </c>
      <c r="BN337" s="75">
        <f t="shared" ref="BN337:BN342" si="49">IFERROR(Y337*I337/H337,"0")</f>
        <v>0</v>
      </c>
      <c r="BO337" s="75">
        <f t="shared" ref="BO337:BO342" si="50">IFERROR(1/J337*(X337/H337),"0")</f>
        <v>0</v>
      </c>
      <c r="BP337" s="75">
        <f t="shared" ref="BP337:BP342" si="51">IFERROR(1/J337*(Y337/H337),"0")</f>
        <v>0</v>
      </c>
    </row>
    <row r="338" spans="1:68" ht="27" hidden="1" customHeight="1" x14ac:dyDescent="0.25">
      <c r="A338" s="60" t="s">
        <v>573</v>
      </c>
      <c r="B338" s="60" t="s">
        <v>574</v>
      </c>
      <c r="C338" s="34">
        <v>4301012235</v>
      </c>
      <c r="D338" s="670">
        <v>4680115887190</v>
      </c>
      <c r="E338" s="670"/>
      <c r="F338" s="59">
        <v>1.35</v>
      </c>
      <c r="G338" s="35">
        <v>8</v>
      </c>
      <c r="H338" s="59">
        <v>10.8</v>
      </c>
      <c r="I338" s="59">
        <v>11.21</v>
      </c>
      <c r="J338" s="35">
        <v>64</v>
      </c>
      <c r="K338" s="35" t="s">
        <v>134</v>
      </c>
      <c r="L338" s="35" t="s">
        <v>46</v>
      </c>
      <c r="M338" s="36" t="s">
        <v>133</v>
      </c>
      <c r="N338" s="36"/>
      <c r="O338" s="35">
        <v>55</v>
      </c>
      <c r="P338" s="84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38" s="672"/>
      <c r="R338" s="672"/>
      <c r="S338" s="672"/>
      <c r="T338" s="673"/>
      <c r="U338" s="37" t="s">
        <v>46</v>
      </c>
      <c r="V338" s="37" t="s">
        <v>46</v>
      </c>
      <c r="W338" s="38" t="s">
        <v>0</v>
      </c>
      <c r="X338" s="56">
        <v>0</v>
      </c>
      <c r="Y338" s="53">
        <f t="shared" si="47"/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23" t="s">
        <v>575</v>
      </c>
      <c r="AG338" s="75"/>
      <c r="AJ338" s="79" t="s">
        <v>46</v>
      </c>
      <c r="AK338" s="79">
        <v>0</v>
      </c>
      <c r="BB338" s="424" t="s">
        <v>67</v>
      </c>
      <c r="BM338" s="75">
        <f t="shared" si="48"/>
        <v>0</v>
      </c>
      <c r="BN338" s="75">
        <f t="shared" si="49"/>
        <v>0</v>
      </c>
      <c r="BO338" s="75">
        <f t="shared" si="50"/>
        <v>0</v>
      </c>
      <c r="BP338" s="75">
        <f t="shared" si="51"/>
        <v>0</v>
      </c>
    </row>
    <row r="339" spans="1:68" ht="37.5" hidden="1" customHeight="1" x14ac:dyDescent="0.25">
      <c r="A339" s="60" t="s">
        <v>576</v>
      </c>
      <c r="B339" s="60" t="s">
        <v>577</v>
      </c>
      <c r="C339" s="34">
        <v>4301012233</v>
      </c>
      <c r="D339" s="670">
        <v>4680115887138</v>
      </c>
      <c r="E339" s="670"/>
      <c r="F339" s="59">
        <v>1.35</v>
      </c>
      <c r="G339" s="35">
        <v>8</v>
      </c>
      <c r="H339" s="59">
        <v>10.8</v>
      </c>
      <c r="I339" s="59">
        <v>11.21</v>
      </c>
      <c r="J339" s="35">
        <v>64</v>
      </c>
      <c r="K339" s="35" t="s">
        <v>134</v>
      </c>
      <c r="L339" s="35" t="s">
        <v>46</v>
      </c>
      <c r="M339" s="36" t="s">
        <v>133</v>
      </c>
      <c r="N339" s="36"/>
      <c r="O339" s="35">
        <v>55</v>
      </c>
      <c r="P339" s="8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39" s="672"/>
      <c r="R339" s="672"/>
      <c r="S339" s="672"/>
      <c r="T339" s="673"/>
      <c r="U339" s="37" t="s">
        <v>46</v>
      </c>
      <c r="V339" s="37" t="s">
        <v>46</v>
      </c>
      <c r="W339" s="38" t="s">
        <v>0</v>
      </c>
      <c r="X339" s="56">
        <v>0</v>
      </c>
      <c r="Y339" s="53">
        <f t="shared" si="47"/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25" t="s">
        <v>578</v>
      </c>
      <c r="AG339" s="75"/>
      <c r="AJ339" s="79" t="s">
        <v>46</v>
      </c>
      <c r="AK339" s="79">
        <v>0</v>
      </c>
      <c r="BB339" s="426" t="s">
        <v>67</v>
      </c>
      <c r="BM339" s="75">
        <f t="shared" si="48"/>
        <v>0</v>
      </c>
      <c r="BN339" s="75">
        <f t="shared" si="49"/>
        <v>0</v>
      </c>
      <c r="BO339" s="75">
        <f t="shared" si="50"/>
        <v>0</v>
      </c>
      <c r="BP339" s="75">
        <f t="shared" si="51"/>
        <v>0</v>
      </c>
    </row>
    <row r="340" spans="1:68" ht="27" hidden="1" customHeight="1" x14ac:dyDescent="0.25">
      <c r="A340" s="60" t="s">
        <v>579</v>
      </c>
      <c r="B340" s="60" t="s">
        <v>580</v>
      </c>
      <c r="C340" s="34">
        <v>4301012016</v>
      </c>
      <c r="D340" s="670">
        <v>4680115885554</v>
      </c>
      <c r="E340" s="670"/>
      <c r="F340" s="59">
        <v>1.35</v>
      </c>
      <c r="G340" s="35">
        <v>8</v>
      </c>
      <c r="H340" s="59">
        <v>10.8</v>
      </c>
      <c r="I340" s="59">
        <v>11.21</v>
      </c>
      <c r="J340" s="35">
        <v>64</v>
      </c>
      <c r="K340" s="35" t="s">
        <v>134</v>
      </c>
      <c r="L340" s="35" t="s">
        <v>46</v>
      </c>
      <c r="M340" s="36" t="s">
        <v>90</v>
      </c>
      <c r="N340" s="36"/>
      <c r="O340" s="35">
        <v>55</v>
      </c>
      <c r="P340" s="8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0" s="672"/>
      <c r="R340" s="672"/>
      <c r="S340" s="672"/>
      <c r="T340" s="673"/>
      <c r="U340" s="37" t="s">
        <v>46</v>
      </c>
      <c r="V340" s="37" t="s">
        <v>46</v>
      </c>
      <c r="W340" s="38" t="s">
        <v>0</v>
      </c>
      <c r="X340" s="56">
        <v>0</v>
      </c>
      <c r="Y340" s="53">
        <f t="shared" si="47"/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27" t="s">
        <v>581</v>
      </c>
      <c r="AG340" s="75"/>
      <c r="AJ340" s="79" t="s">
        <v>46</v>
      </c>
      <c r="AK340" s="79">
        <v>0</v>
      </c>
      <c r="BB340" s="428" t="s">
        <v>67</v>
      </c>
      <c r="BM340" s="75">
        <f t="shared" si="48"/>
        <v>0</v>
      </c>
      <c r="BN340" s="75">
        <f t="shared" si="49"/>
        <v>0</v>
      </c>
      <c r="BO340" s="75">
        <f t="shared" si="50"/>
        <v>0</v>
      </c>
      <c r="BP340" s="75">
        <f t="shared" si="51"/>
        <v>0</v>
      </c>
    </row>
    <row r="341" spans="1:68" ht="27" hidden="1" customHeight="1" x14ac:dyDescent="0.25">
      <c r="A341" s="60" t="s">
        <v>582</v>
      </c>
      <c r="B341" s="60" t="s">
        <v>583</v>
      </c>
      <c r="C341" s="34">
        <v>4301012236</v>
      </c>
      <c r="D341" s="670">
        <v>4680115887220</v>
      </c>
      <c r="E341" s="670"/>
      <c r="F341" s="59">
        <v>0.4</v>
      </c>
      <c r="G341" s="35">
        <v>10</v>
      </c>
      <c r="H341" s="59">
        <v>4</v>
      </c>
      <c r="I341" s="59">
        <v>4.1900000000000004</v>
      </c>
      <c r="J341" s="35">
        <v>132</v>
      </c>
      <c r="K341" s="35" t="s">
        <v>141</v>
      </c>
      <c r="L341" s="35" t="s">
        <v>46</v>
      </c>
      <c r="M341" s="36" t="s">
        <v>133</v>
      </c>
      <c r="N341" s="36"/>
      <c r="O341" s="35">
        <v>55</v>
      </c>
      <c r="P341" s="8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1" s="672"/>
      <c r="R341" s="672"/>
      <c r="S341" s="672"/>
      <c r="T341" s="673"/>
      <c r="U341" s="37" t="s">
        <v>46</v>
      </c>
      <c r="V341" s="37" t="s">
        <v>46</v>
      </c>
      <c r="W341" s="38" t="s">
        <v>0</v>
      </c>
      <c r="X341" s="56">
        <v>0</v>
      </c>
      <c r="Y341" s="53">
        <f t="shared" si="47"/>
        <v>0</v>
      </c>
      <c r="Z341" s="39" t="str">
        <f>IFERROR(IF(Y341=0,"",ROUNDUP(Y341/H341,0)*0.00902),"")</f>
        <v/>
      </c>
      <c r="AA341" s="65" t="s">
        <v>46</v>
      </c>
      <c r="AB341" s="66" t="s">
        <v>46</v>
      </c>
      <c r="AC341" s="429" t="s">
        <v>575</v>
      </c>
      <c r="AG341" s="75"/>
      <c r="AJ341" s="79" t="s">
        <v>46</v>
      </c>
      <c r="AK341" s="79">
        <v>0</v>
      </c>
      <c r="BB341" s="430" t="s">
        <v>67</v>
      </c>
      <c r="BM341" s="75">
        <f t="shared" si="48"/>
        <v>0</v>
      </c>
      <c r="BN341" s="75">
        <f t="shared" si="49"/>
        <v>0</v>
      </c>
      <c r="BO341" s="75">
        <f t="shared" si="50"/>
        <v>0</v>
      </c>
      <c r="BP341" s="75">
        <f t="shared" si="51"/>
        <v>0</v>
      </c>
    </row>
    <row r="342" spans="1:68" ht="27" hidden="1" customHeight="1" x14ac:dyDescent="0.25">
      <c r="A342" s="60" t="s">
        <v>584</v>
      </c>
      <c r="B342" s="60" t="s">
        <v>585</v>
      </c>
      <c r="C342" s="34">
        <v>4301011859</v>
      </c>
      <c r="D342" s="670">
        <v>4680115885608</v>
      </c>
      <c r="E342" s="670"/>
      <c r="F342" s="59">
        <v>0.4</v>
      </c>
      <c r="G342" s="35">
        <v>10</v>
      </c>
      <c r="H342" s="59">
        <v>4</v>
      </c>
      <c r="I342" s="59">
        <v>4.1900000000000004</v>
      </c>
      <c r="J342" s="35">
        <v>132</v>
      </c>
      <c r="K342" s="35" t="s">
        <v>141</v>
      </c>
      <c r="L342" s="35" t="s">
        <v>46</v>
      </c>
      <c r="M342" s="36" t="s">
        <v>133</v>
      </c>
      <c r="N342" s="36"/>
      <c r="O342" s="35">
        <v>55</v>
      </c>
      <c r="P342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42" s="672"/>
      <c r="R342" s="672"/>
      <c r="S342" s="672"/>
      <c r="T342" s="673"/>
      <c r="U342" s="37" t="s">
        <v>46</v>
      </c>
      <c r="V342" s="37" t="s">
        <v>46</v>
      </c>
      <c r="W342" s="38" t="s">
        <v>0</v>
      </c>
      <c r="X342" s="56">
        <v>0</v>
      </c>
      <c r="Y342" s="53">
        <f t="shared" si="47"/>
        <v>0</v>
      </c>
      <c r="Z342" s="39" t="str">
        <f>IFERROR(IF(Y342=0,"",ROUNDUP(Y342/H342,0)*0.00902),"")</f>
        <v/>
      </c>
      <c r="AA342" s="65" t="s">
        <v>46</v>
      </c>
      <c r="AB342" s="66" t="s">
        <v>46</v>
      </c>
      <c r="AC342" s="431" t="s">
        <v>586</v>
      </c>
      <c r="AG342" s="75"/>
      <c r="AJ342" s="79" t="s">
        <v>46</v>
      </c>
      <c r="AK342" s="79">
        <v>0</v>
      </c>
      <c r="BB342" s="432" t="s">
        <v>67</v>
      </c>
      <c r="BM342" s="75">
        <f t="shared" si="48"/>
        <v>0</v>
      </c>
      <c r="BN342" s="75">
        <f t="shared" si="49"/>
        <v>0</v>
      </c>
      <c r="BO342" s="75">
        <f t="shared" si="50"/>
        <v>0</v>
      </c>
      <c r="BP342" s="75">
        <f t="shared" si="51"/>
        <v>0</v>
      </c>
    </row>
    <row r="343" spans="1:68" hidden="1" x14ac:dyDescent="0.2">
      <c r="A343" s="678"/>
      <c r="B343" s="678"/>
      <c r="C343" s="678"/>
      <c r="D343" s="678"/>
      <c r="E343" s="678"/>
      <c r="F343" s="678"/>
      <c r="G343" s="678"/>
      <c r="H343" s="678"/>
      <c r="I343" s="678"/>
      <c r="J343" s="678"/>
      <c r="K343" s="678"/>
      <c r="L343" s="678"/>
      <c r="M343" s="678"/>
      <c r="N343" s="678"/>
      <c r="O343" s="679"/>
      <c r="P343" s="675" t="s">
        <v>40</v>
      </c>
      <c r="Q343" s="676"/>
      <c r="R343" s="676"/>
      <c r="S343" s="676"/>
      <c r="T343" s="676"/>
      <c r="U343" s="676"/>
      <c r="V343" s="677"/>
      <c r="W343" s="40" t="s">
        <v>39</v>
      </c>
      <c r="X343" s="41">
        <f>IFERROR(X337/H337,"0")+IFERROR(X338/H338,"0")+IFERROR(X339/H339,"0")+IFERROR(X340/H340,"0")+IFERROR(X341/H341,"0")+IFERROR(X342/H342,"0")</f>
        <v>0</v>
      </c>
      <c r="Y343" s="41">
        <f>IFERROR(Y337/H337,"0")+IFERROR(Y338/H338,"0")+IFERROR(Y339/H339,"0")+IFERROR(Y340/H340,"0")+IFERROR(Y341/H341,"0")+IFERROR(Y342/H342,"0")</f>
        <v>0</v>
      </c>
      <c r="Z343" s="41">
        <f>IFERROR(IF(Z337="",0,Z337),"0")+IFERROR(IF(Z338="",0,Z338),"0")+IFERROR(IF(Z339="",0,Z339),"0")+IFERROR(IF(Z340="",0,Z340),"0")+IFERROR(IF(Z341="",0,Z341),"0")+IFERROR(IF(Z342="",0,Z342),"0")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678"/>
      <c r="B344" s="678"/>
      <c r="C344" s="678"/>
      <c r="D344" s="678"/>
      <c r="E344" s="678"/>
      <c r="F344" s="678"/>
      <c r="G344" s="678"/>
      <c r="H344" s="678"/>
      <c r="I344" s="678"/>
      <c r="J344" s="678"/>
      <c r="K344" s="678"/>
      <c r="L344" s="678"/>
      <c r="M344" s="678"/>
      <c r="N344" s="678"/>
      <c r="O344" s="679"/>
      <c r="P344" s="675" t="s">
        <v>40</v>
      </c>
      <c r="Q344" s="676"/>
      <c r="R344" s="676"/>
      <c r="S344" s="676"/>
      <c r="T344" s="676"/>
      <c r="U344" s="676"/>
      <c r="V344" s="677"/>
      <c r="W344" s="40" t="s">
        <v>0</v>
      </c>
      <c r="X344" s="41">
        <f>IFERROR(SUM(X337:X342),"0")</f>
        <v>0</v>
      </c>
      <c r="Y344" s="41">
        <f>IFERROR(SUM(Y337:Y342),"0")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669" t="s">
        <v>77</v>
      </c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69"/>
      <c r="P345" s="669"/>
      <c r="Q345" s="669"/>
      <c r="R345" s="669"/>
      <c r="S345" s="669"/>
      <c r="T345" s="669"/>
      <c r="U345" s="669"/>
      <c r="V345" s="669"/>
      <c r="W345" s="669"/>
      <c r="X345" s="669"/>
      <c r="Y345" s="669"/>
      <c r="Z345" s="669"/>
      <c r="AA345" s="63"/>
      <c r="AB345" s="63"/>
      <c r="AC345" s="63"/>
    </row>
    <row r="346" spans="1:68" ht="27" hidden="1" customHeight="1" x14ac:dyDescent="0.25">
      <c r="A346" s="60" t="s">
        <v>587</v>
      </c>
      <c r="B346" s="60" t="s">
        <v>588</v>
      </c>
      <c r="C346" s="34">
        <v>4301030878</v>
      </c>
      <c r="D346" s="670">
        <v>4607091387193</v>
      </c>
      <c r="E346" s="670"/>
      <c r="F346" s="59">
        <v>0.7</v>
      </c>
      <c r="G346" s="35">
        <v>6</v>
      </c>
      <c r="H346" s="59">
        <v>4.2</v>
      </c>
      <c r="I346" s="59">
        <v>4.45</v>
      </c>
      <c r="J346" s="35">
        <v>132</v>
      </c>
      <c r="K346" s="35" t="s">
        <v>141</v>
      </c>
      <c r="L346" s="35" t="s">
        <v>46</v>
      </c>
      <c r="M346" s="36" t="s">
        <v>81</v>
      </c>
      <c r="N346" s="36"/>
      <c r="O346" s="35">
        <v>35</v>
      </c>
      <c r="P346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46" s="672"/>
      <c r="R346" s="672"/>
      <c r="S346" s="672"/>
      <c r="T346" s="673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ref="Y346:Y352" si="52"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33" t="s">
        <v>589</v>
      </c>
      <c r="AG346" s="75"/>
      <c r="AJ346" s="79" t="s">
        <v>46</v>
      </c>
      <c r="AK346" s="79">
        <v>0</v>
      </c>
      <c r="BB346" s="434" t="s">
        <v>67</v>
      </c>
      <c r="BM346" s="75">
        <f t="shared" ref="BM346:BM352" si="53">IFERROR(X346*I346/H346,"0")</f>
        <v>0</v>
      </c>
      <c r="BN346" s="75">
        <f t="shared" ref="BN346:BN352" si="54">IFERROR(Y346*I346/H346,"0")</f>
        <v>0</v>
      </c>
      <c r="BO346" s="75">
        <f t="shared" ref="BO346:BO352" si="55">IFERROR(1/J346*(X346/H346),"0")</f>
        <v>0</v>
      </c>
      <c r="BP346" s="75">
        <f t="shared" ref="BP346:BP352" si="56">IFERROR(1/J346*(Y346/H346),"0")</f>
        <v>0</v>
      </c>
    </row>
    <row r="347" spans="1:68" ht="27" hidden="1" customHeight="1" x14ac:dyDescent="0.25">
      <c r="A347" s="60" t="s">
        <v>590</v>
      </c>
      <c r="B347" s="60" t="s">
        <v>591</v>
      </c>
      <c r="C347" s="34">
        <v>4301031153</v>
      </c>
      <c r="D347" s="670">
        <v>4607091387230</v>
      </c>
      <c r="E347" s="670"/>
      <c r="F347" s="59">
        <v>0.7</v>
      </c>
      <c r="G347" s="35">
        <v>6</v>
      </c>
      <c r="H347" s="59">
        <v>4.2</v>
      </c>
      <c r="I347" s="59">
        <v>4.45</v>
      </c>
      <c r="J347" s="35">
        <v>132</v>
      </c>
      <c r="K347" s="35" t="s">
        <v>141</v>
      </c>
      <c r="L347" s="35" t="s">
        <v>46</v>
      </c>
      <c r="M347" s="36" t="s">
        <v>81</v>
      </c>
      <c r="N347" s="36"/>
      <c r="O347" s="35">
        <v>40</v>
      </c>
      <c r="P347" s="85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47" s="672"/>
      <c r="R347" s="672"/>
      <c r="S347" s="672"/>
      <c r="T347" s="673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52"/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35" t="s">
        <v>592</v>
      </c>
      <c r="AG347" s="75"/>
      <c r="AJ347" s="79" t="s">
        <v>46</v>
      </c>
      <c r="AK347" s="79">
        <v>0</v>
      </c>
      <c r="BB347" s="436" t="s">
        <v>67</v>
      </c>
      <c r="BM347" s="75">
        <f t="shared" si="53"/>
        <v>0</v>
      </c>
      <c r="BN347" s="75">
        <f t="shared" si="54"/>
        <v>0</v>
      </c>
      <c r="BO347" s="75">
        <f t="shared" si="55"/>
        <v>0</v>
      </c>
      <c r="BP347" s="75">
        <f t="shared" si="56"/>
        <v>0</v>
      </c>
    </row>
    <row r="348" spans="1:68" ht="27" hidden="1" customHeight="1" x14ac:dyDescent="0.25">
      <c r="A348" s="60" t="s">
        <v>593</v>
      </c>
      <c r="B348" s="60" t="s">
        <v>594</v>
      </c>
      <c r="C348" s="34">
        <v>4301031154</v>
      </c>
      <c r="D348" s="670">
        <v>4607091387292</v>
      </c>
      <c r="E348" s="670"/>
      <c r="F348" s="59">
        <v>0.73</v>
      </c>
      <c r="G348" s="35">
        <v>6</v>
      </c>
      <c r="H348" s="59">
        <v>4.38</v>
      </c>
      <c r="I348" s="59">
        <v>4.63</v>
      </c>
      <c r="J348" s="35">
        <v>132</v>
      </c>
      <c r="K348" s="35" t="s">
        <v>141</v>
      </c>
      <c r="L348" s="35" t="s">
        <v>46</v>
      </c>
      <c r="M348" s="36" t="s">
        <v>81</v>
      </c>
      <c r="N348" s="36"/>
      <c r="O348" s="35">
        <v>45</v>
      </c>
      <c r="P348" s="85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48" s="672"/>
      <c r="R348" s="672"/>
      <c r="S348" s="672"/>
      <c r="T348" s="673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52"/>
        <v>0</v>
      </c>
      <c r="Z348" s="39" t="str">
        <f>IFERROR(IF(Y348=0,"",ROUNDUP(Y348/H348,0)*0.00902),"")</f>
        <v/>
      </c>
      <c r="AA348" s="65" t="s">
        <v>46</v>
      </c>
      <c r="AB348" s="66" t="s">
        <v>46</v>
      </c>
      <c r="AC348" s="437" t="s">
        <v>595</v>
      </c>
      <c r="AG348" s="75"/>
      <c r="AJ348" s="79" t="s">
        <v>46</v>
      </c>
      <c r="AK348" s="79">
        <v>0</v>
      </c>
      <c r="BB348" s="438" t="s">
        <v>67</v>
      </c>
      <c r="BM348" s="75">
        <f t="shared" si="53"/>
        <v>0</v>
      </c>
      <c r="BN348" s="75">
        <f t="shared" si="54"/>
        <v>0</v>
      </c>
      <c r="BO348" s="75">
        <f t="shared" si="55"/>
        <v>0</v>
      </c>
      <c r="BP348" s="75">
        <f t="shared" si="56"/>
        <v>0</v>
      </c>
    </row>
    <row r="349" spans="1:68" ht="27" hidden="1" customHeight="1" x14ac:dyDescent="0.25">
      <c r="A349" s="60" t="s">
        <v>596</v>
      </c>
      <c r="B349" s="60" t="s">
        <v>597</v>
      </c>
      <c r="C349" s="34">
        <v>4301031152</v>
      </c>
      <c r="D349" s="670">
        <v>4607091387285</v>
      </c>
      <c r="E349" s="670"/>
      <c r="F349" s="59">
        <v>0.35</v>
      </c>
      <c r="G349" s="35">
        <v>6</v>
      </c>
      <c r="H349" s="59">
        <v>2.1</v>
      </c>
      <c r="I349" s="59">
        <v>2.23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40</v>
      </c>
      <c r="P349" s="8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49" s="672"/>
      <c r="R349" s="672"/>
      <c r="S349" s="672"/>
      <c r="T349" s="673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52"/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39" t="s">
        <v>592</v>
      </c>
      <c r="AG349" s="75"/>
      <c r="AJ349" s="79" t="s">
        <v>46</v>
      </c>
      <c r="AK349" s="79">
        <v>0</v>
      </c>
      <c r="BB349" s="440" t="s">
        <v>67</v>
      </c>
      <c r="BM349" s="75">
        <f t="shared" si="53"/>
        <v>0</v>
      </c>
      <c r="BN349" s="75">
        <f t="shared" si="54"/>
        <v>0</v>
      </c>
      <c r="BO349" s="75">
        <f t="shared" si="55"/>
        <v>0</v>
      </c>
      <c r="BP349" s="75">
        <f t="shared" si="56"/>
        <v>0</v>
      </c>
    </row>
    <row r="350" spans="1:68" ht="27" customHeight="1" x14ac:dyDescent="0.25">
      <c r="A350" s="60" t="s">
        <v>598</v>
      </c>
      <c r="B350" s="60" t="s">
        <v>599</v>
      </c>
      <c r="C350" s="34">
        <v>4301031305</v>
      </c>
      <c r="D350" s="670">
        <v>4607091389845</v>
      </c>
      <c r="E350" s="670"/>
      <c r="F350" s="59">
        <v>0.35</v>
      </c>
      <c r="G350" s="35">
        <v>6</v>
      </c>
      <c r="H350" s="59">
        <v>2.1</v>
      </c>
      <c r="I350" s="59">
        <v>2.2000000000000002</v>
      </c>
      <c r="J350" s="35">
        <v>234</v>
      </c>
      <c r="K350" s="35" t="s">
        <v>82</v>
      </c>
      <c r="L350" s="35" t="s">
        <v>46</v>
      </c>
      <c r="M350" s="36" t="s">
        <v>81</v>
      </c>
      <c r="N350" s="36"/>
      <c r="O350" s="35">
        <v>40</v>
      </c>
      <c r="P350" s="85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0" s="672"/>
      <c r="R350" s="672"/>
      <c r="S350" s="672"/>
      <c r="T350" s="673"/>
      <c r="U350" s="37" t="s">
        <v>46</v>
      </c>
      <c r="V350" s="37" t="s">
        <v>46</v>
      </c>
      <c r="W350" s="38" t="s">
        <v>0</v>
      </c>
      <c r="X350" s="56">
        <v>23</v>
      </c>
      <c r="Y350" s="53">
        <f t="shared" si="52"/>
        <v>23.1</v>
      </c>
      <c r="Z350" s="39">
        <f>IFERROR(IF(Y350=0,"",ROUNDUP(Y350/H350,0)*0.00502),"")</f>
        <v>5.5220000000000005E-2</v>
      </c>
      <c r="AA350" s="65" t="s">
        <v>46</v>
      </c>
      <c r="AB350" s="66" t="s">
        <v>46</v>
      </c>
      <c r="AC350" s="441" t="s">
        <v>600</v>
      </c>
      <c r="AG350" s="75"/>
      <c r="AJ350" s="79" t="s">
        <v>46</v>
      </c>
      <c r="AK350" s="79">
        <v>0</v>
      </c>
      <c r="BB350" s="442" t="s">
        <v>67</v>
      </c>
      <c r="BM350" s="75">
        <f t="shared" si="53"/>
        <v>24.095238095238095</v>
      </c>
      <c r="BN350" s="75">
        <f t="shared" si="54"/>
        <v>24.200000000000003</v>
      </c>
      <c r="BO350" s="75">
        <f t="shared" si="55"/>
        <v>4.680504680504681E-2</v>
      </c>
      <c r="BP350" s="75">
        <f t="shared" si="56"/>
        <v>4.7008547008547015E-2</v>
      </c>
    </row>
    <row r="351" spans="1:68" ht="27" hidden="1" customHeight="1" x14ac:dyDescent="0.25">
      <c r="A351" s="60" t="s">
        <v>601</v>
      </c>
      <c r="B351" s="60" t="s">
        <v>602</v>
      </c>
      <c r="C351" s="34">
        <v>4301031460</v>
      </c>
      <c r="D351" s="670">
        <v>4680115887442</v>
      </c>
      <c r="E351" s="670"/>
      <c r="F351" s="59">
        <v>0.73</v>
      </c>
      <c r="G351" s="35">
        <v>6</v>
      </c>
      <c r="H351" s="59">
        <v>4.38</v>
      </c>
      <c r="I351" s="59">
        <v>4.63</v>
      </c>
      <c r="J351" s="35">
        <v>132</v>
      </c>
      <c r="K351" s="35" t="s">
        <v>141</v>
      </c>
      <c r="L351" s="35" t="s">
        <v>46</v>
      </c>
      <c r="M351" s="36" t="s">
        <v>81</v>
      </c>
      <c r="N351" s="36"/>
      <c r="O351" s="35">
        <v>45</v>
      </c>
      <c r="P351" s="8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1" s="672"/>
      <c r="R351" s="672"/>
      <c r="S351" s="672"/>
      <c r="T351" s="673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52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3" t="s">
        <v>595</v>
      </c>
      <c r="AG351" s="75"/>
      <c r="AJ351" s="79" t="s">
        <v>46</v>
      </c>
      <c r="AK351" s="79">
        <v>0</v>
      </c>
      <c r="BB351" s="444" t="s">
        <v>67</v>
      </c>
      <c r="BM351" s="75">
        <f t="shared" si="53"/>
        <v>0</v>
      </c>
      <c r="BN351" s="75">
        <f t="shared" si="54"/>
        <v>0</v>
      </c>
      <c r="BO351" s="75">
        <f t="shared" si="55"/>
        <v>0</v>
      </c>
      <c r="BP351" s="75">
        <f t="shared" si="56"/>
        <v>0</v>
      </c>
    </row>
    <row r="352" spans="1:68" ht="27" hidden="1" customHeight="1" x14ac:dyDescent="0.25">
      <c r="A352" s="60" t="s">
        <v>603</v>
      </c>
      <c r="B352" s="60" t="s">
        <v>604</v>
      </c>
      <c r="C352" s="34">
        <v>4301031066</v>
      </c>
      <c r="D352" s="670">
        <v>4607091383836</v>
      </c>
      <c r="E352" s="670"/>
      <c r="F352" s="59">
        <v>0.3</v>
      </c>
      <c r="G352" s="35">
        <v>6</v>
      </c>
      <c r="H352" s="59">
        <v>1.8</v>
      </c>
      <c r="I352" s="59">
        <v>2.028</v>
      </c>
      <c r="J352" s="35">
        <v>182</v>
      </c>
      <c r="K352" s="35" t="s">
        <v>91</v>
      </c>
      <c r="L352" s="35" t="s">
        <v>46</v>
      </c>
      <c r="M352" s="36" t="s">
        <v>81</v>
      </c>
      <c r="N352" s="36"/>
      <c r="O352" s="35">
        <v>40</v>
      </c>
      <c r="P352" s="8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52" s="672"/>
      <c r="R352" s="672"/>
      <c r="S352" s="672"/>
      <c r="T352" s="673"/>
      <c r="U352" s="37" t="s">
        <v>46</v>
      </c>
      <c r="V352" s="37" t="s">
        <v>46</v>
      </c>
      <c r="W352" s="38" t="s">
        <v>0</v>
      </c>
      <c r="X352" s="56">
        <v>0</v>
      </c>
      <c r="Y352" s="53">
        <f t="shared" si="52"/>
        <v>0</v>
      </c>
      <c r="Z352" s="39" t="str">
        <f>IFERROR(IF(Y352=0,"",ROUNDUP(Y352/H352,0)*0.00651),"")</f>
        <v/>
      </c>
      <c r="AA352" s="65" t="s">
        <v>46</v>
      </c>
      <c r="AB352" s="66" t="s">
        <v>46</v>
      </c>
      <c r="AC352" s="445" t="s">
        <v>605</v>
      </c>
      <c r="AG352" s="75"/>
      <c r="AJ352" s="79" t="s">
        <v>46</v>
      </c>
      <c r="AK352" s="79">
        <v>0</v>
      </c>
      <c r="BB352" s="446" t="s">
        <v>67</v>
      </c>
      <c r="BM352" s="75">
        <f t="shared" si="53"/>
        <v>0</v>
      </c>
      <c r="BN352" s="75">
        <f t="shared" si="54"/>
        <v>0</v>
      </c>
      <c r="BO352" s="75">
        <f t="shared" si="55"/>
        <v>0</v>
      </c>
      <c r="BP352" s="75">
        <f t="shared" si="56"/>
        <v>0</v>
      </c>
    </row>
    <row r="353" spans="1:68" x14ac:dyDescent="0.2">
      <c r="A353" s="678"/>
      <c r="B353" s="678"/>
      <c r="C353" s="678"/>
      <c r="D353" s="678"/>
      <c r="E353" s="678"/>
      <c r="F353" s="678"/>
      <c r="G353" s="678"/>
      <c r="H353" s="678"/>
      <c r="I353" s="678"/>
      <c r="J353" s="678"/>
      <c r="K353" s="678"/>
      <c r="L353" s="678"/>
      <c r="M353" s="678"/>
      <c r="N353" s="678"/>
      <c r="O353" s="679"/>
      <c r="P353" s="675" t="s">
        <v>40</v>
      </c>
      <c r="Q353" s="676"/>
      <c r="R353" s="676"/>
      <c r="S353" s="676"/>
      <c r="T353" s="676"/>
      <c r="U353" s="676"/>
      <c r="V353" s="677"/>
      <c r="W353" s="40" t="s">
        <v>39</v>
      </c>
      <c r="X353" s="41">
        <f>IFERROR(X346/H346,"0")+IFERROR(X347/H347,"0")+IFERROR(X348/H348,"0")+IFERROR(X349/H349,"0")+IFERROR(X350/H350,"0")+IFERROR(X351/H351,"0")+IFERROR(X352/H352,"0")</f>
        <v>10.952380952380953</v>
      </c>
      <c r="Y353" s="41">
        <f>IFERROR(Y346/H346,"0")+IFERROR(Y347/H347,"0")+IFERROR(Y348/H348,"0")+IFERROR(Y349/H349,"0")+IFERROR(Y350/H350,"0")+IFERROR(Y351/H351,"0")+IFERROR(Y352/H352,"0")</f>
        <v>11</v>
      </c>
      <c r="Z353" s="41">
        <f>IFERROR(IF(Z346="",0,Z346),"0")+IFERROR(IF(Z347="",0,Z347),"0")+IFERROR(IF(Z348="",0,Z348),"0")+IFERROR(IF(Z349="",0,Z349),"0")+IFERROR(IF(Z350="",0,Z350),"0")+IFERROR(IF(Z351="",0,Z351),"0")+IFERROR(IF(Z352="",0,Z352),"0")</f>
        <v>5.5220000000000005E-2</v>
      </c>
      <c r="AA353" s="64"/>
      <c r="AB353" s="64"/>
      <c r="AC353" s="64"/>
    </row>
    <row r="354" spans="1:68" x14ac:dyDescent="0.2">
      <c r="A354" s="678"/>
      <c r="B354" s="678"/>
      <c r="C354" s="678"/>
      <c r="D354" s="678"/>
      <c r="E354" s="678"/>
      <c r="F354" s="678"/>
      <c r="G354" s="678"/>
      <c r="H354" s="678"/>
      <c r="I354" s="678"/>
      <c r="J354" s="678"/>
      <c r="K354" s="678"/>
      <c r="L354" s="678"/>
      <c r="M354" s="678"/>
      <c r="N354" s="678"/>
      <c r="O354" s="679"/>
      <c r="P354" s="675" t="s">
        <v>40</v>
      </c>
      <c r="Q354" s="676"/>
      <c r="R354" s="676"/>
      <c r="S354" s="676"/>
      <c r="T354" s="676"/>
      <c r="U354" s="676"/>
      <c r="V354" s="677"/>
      <c r="W354" s="40" t="s">
        <v>0</v>
      </c>
      <c r="X354" s="41">
        <f>IFERROR(SUM(X346:X352),"0")</f>
        <v>23</v>
      </c>
      <c r="Y354" s="41">
        <f>IFERROR(SUM(Y346:Y352),"0")</f>
        <v>23.1</v>
      </c>
      <c r="Z354" s="40"/>
      <c r="AA354" s="64"/>
      <c r="AB354" s="64"/>
      <c r="AC354" s="64"/>
    </row>
    <row r="355" spans="1:68" ht="14.25" hidden="1" customHeight="1" x14ac:dyDescent="0.25">
      <c r="A355" s="669" t="s">
        <v>86</v>
      </c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69"/>
      <c r="P355" s="669"/>
      <c r="Q355" s="669"/>
      <c r="R355" s="669"/>
      <c r="S355" s="669"/>
      <c r="T355" s="669"/>
      <c r="U355" s="669"/>
      <c r="V355" s="669"/>
      <c r="W355" s="669"/>
      <c r="X355" s="669"/>
      <c r="Y355" s="669"/>
      <c r="Z355" s="669"/>
      <c r="AA355" s="63"/>
      <c r="AB355" s="63"/>
      <c r="AC355" s="63"/>
    </row>
    <row r="356" spans="1:68" ht="27" hidden="1" customHeight="1" x14ac:dyDescent="0.25">
      <c r="A356" s="60" t="s">
        <v>606</v>
      </c>
      <c r="B356" s="60" t="s">
        <v>607</v>
      </c>
      <c r="C356" s="34">
        <v>4301051100</v>
      </c>
      <c r="D356" s="670">
        <v>4607091387766</v>
      </c>
      <c r="E356" s="670"/>
      <c r="F356" s="59">
        <v>1.3</v>
      </c>
      <c r="G356" s="35">
        <v>6</v>
      </c>
      <c r="H356" s="59">
        <v>7.8</v>
      </c>
      <c r="I356" s="59">
        <v>8.2880000000000003</v>
      </c>
      <c r="J356" s="35">
        <v>64</v>
      </c>
      <c r="K356" s="35" t="s">
        <v>134</v>
      </c>
      <c r="L356" s="35" t="s">
        <v>46</v>
      </c>
      <c r="M356" s="36" t="s">
        <v>90</v>
      </c>
      <c r="N356" s="36"/>
      <c r="O356" s="35">
        <v>40</v>
      </c>
      <c r="P356" s="8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56" s="672"/>
      <c r="R356" s="672"/>
      <c r="S356" s="672"/>
      <c r="T356" s="673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608</v>
      </c>
      <c r="AG356" s="75"/>
      <c r="AJ356" s="79" t="s">
        <v>46</v>
      </c>
      <c r="AK356" s="79">
        <v>0</v>
      </c>
      <c r="BB356" s="448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609</v>
      </c>
      <c r="B357" s="60" t="s">
        <v>610</v>
      </c>
      <c r="C357" s="34">
        <v>4301051818</v>
      </c>
      <c r="D357" s="670">
        <v>4607091387957</v>
      </c>
      <c r="E357" s="670"/>
      <c r="F357" s="59">
        <v>1.3</v>
      </c>
      <c r="G357" s="35">
        <v>6</v>
      </c>
      <c r="H357" s="59">
        <v>7.8</v>
      </c>
      <c r="I357" s="59">
        <v>8.2940000000000005</v>
      </c>
      <c r="J357" s="35">
        <v>64</v>
      </c>
      <c r="K357" s="35" t="s">
        <v>134</v>
      </c>
      <c r="L357" s="35" t="s">
        <v>46</v>
      </c>
      <c r="M357" s="36" t="s">
        <v>90</v>
      </c>
      <c r="N357" s="36"/>
      <c r="O357" s="35">
        <v>40</v>
      </c>
      <c r="P357" s="86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57" s="672"/>
      <c r="R357" s="672"/>
      <c r="S357" s="672"/>
      <c r="T357" s="673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611</v>
      </c>
      <c r="AG357" s="75"/>
      <c r="AJ357" s="79" t="s">
        <v>46</v>
      </c>
      <c r="AK357" s="79">
        <v>0</v>
      </c>
      <c r="BB357" s="450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612</v>
      </c>
      <c r="B358" s="60" t="s">
        <v>613</v>
      </c>
      <c r="C358" s="34">
        <v>4301051819</v>
      </c>
      <c r="D358" s="670">
        <v>4607091387964</v>
      </c>
      <c r="E358" s="670"/>
      <c r="F358" s="59">
        <v>1.35</v>
      </c>
      <c r="G358" s="35">
        <v>6</v>
      </c>
      <c r="H358" s="59">
        <v>8.1</v>
      </c>
      <c r="I358" s="59">
        <v>8.5760000000000005</v>
      </c>
      <c r="J358" s="35">
        <v>64</v>
      </c>
      <c r="K358" s="35" t="s">
        <v>134</v>
      </c>
      <c r="L358" s="35" t="s">
        <v>46</v>
      </c>
      <c r="M358" s="36" t="s">
        <v>90</v>
      </c>
      <c r="N358" s="36"/>
      <c r="O358" s="35">
        <v>40</v>
      </c>
      <c r="P358" s="8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58" s="672"/>
      <c r="R358" s="672"/>
      <c r="S358" s="672"/>
      <c r="T358" s="673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614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hidden="1" customHeight="1" x14ac:dyDescent="0.25">
      <c r="A359" s="60" t="s">
        <v>615</v>
      </c>
      <c r="B359" s="60" t="s">
        <v>616</v>
      </c>
      <c r="C359" s="34">
        <v>4301051734</v>
      </c>
      <c r="D359" s="670">
        <v>4680115884588</v>
      </c>
      <c r="E359" s="670"/>
      <c r="F359" s="59">
        <v>0.5</v>
      </c>
      <c r="G359" s="35">
        <v>6</v>
      </c>
      <c r="H359" s="59">
        <v>3</v>
      </c>
      <c r="I359" s="59">
        <v>3.246</v>
      </c>
      <c r="J359" s="35">
        <v>182</v>
      </c>
      <c r="K359" s="35" t="s">
        <v>91</v>
      </c>
      <c r="L359" s="35" t="s">
        <v>46</v>
      </c>
      <c r="M359" s="36" t="s">
        <v>90</v>
      </c>
      <c r="N359" s="36"/>
      <c r="O359" s="35">
        <v>40</v>
      </c>
      <c r="P359" s="86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59" s="672"/>
      <c r="R359" s="672"/>
      <c r="S359" s="672"/>
      <c r="T359" s="673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IFERROR(IF(Y359=0,"",ROUNDUP(Y359/H359,0)*0.00651),"")</f>
        <v/>
      </c>
      <c r="AA359" s="65" t="s">
        <v>46</v>
      </c>
      <c r="AB359" s="66" t="s">
        <v>46</v>
      </c>
      <c r="AC359" s="453" t="s">
        <v>608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idden="1" x14ac:dyDescent="0.2">
      <c r="A360" s="678"/>
      <c r="B360" s="678"/>
      <c r="C360" s="678"/>
      <c r="D360" s="678"/>
      <c r="E360" s="678"/>
      <c r="F360" s="678"/>
      <c r="G360" s="678"/>
      <c r="H360" s="678"/>
      <c r="I360" s="678"/>
      <c r="J360" s="678"/>
      <c r="K360" s="678"/>
      <c r="L360" s="678"/>
      <c r="M360" s="678"/>
      <c r="N360" s="678"/>
      <c r="O360" s="679"/>
      <c r="P360" s="675" t="s">
        <v>40</v>
      </c>
      <c r="Q360" s="676"/>
      <c r="R360" s="676"/>
      <c r="S360" s="676"/>
      <c r="T360" s="676"/>
      <c r="U360" s="676"/>
      <c r="V360" s="677"/>
      <c r="W360" s="40" t="s">
        <v>39</v>
      </c>
      <c r="X360" s="41">
        <f>IFERROR(X356/H356,"0")+IFERROR(X357/H357,"0")+IFERROR(X358/H358,"0")+IFERROR(X359/H359,"0")</f>
        <v>0</v>
      </c>
      <c r="Y360" s="41">
        <f>IFERROR(Y356/H356,"0")+IFERROR(Y357/H357,"0")+IFERROR(Y358/H358,"0")+IFERROR(Y359/H359,"0")</f>
        <v>0</v>
      </c>
      <c r="Z360" s="41">
        <f>IFERROR(IF(Z356="",0,Z356),"0")+IFERROR(IF(Z357="",0,Z357),"0")+IFERROR(IF(Z358="",0,Z358),"0")+IFERROR(IF(Z359="",0,Z359),"0")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78"/>
      <c r="B361" s="678"/>
      <c r="C361" s="678"/>
      <c r="D361" s="678"/>
      <c r="E361" s="678"/>
      <c r="F361" s="678"/>
      <c r="G361" s="678"/>
      <c r="H361" s="678"/>
      <c r="I361" s="678"/>
      <c r="J361" s="678"/>
      <c r="K361" s="678"/>
      <c r="L361" s="678"/>
      <c r="M361" s="678"/>
      <c r="N361" s="678"/>
      <c r="O361" s="679"/>
      <c r="P361" s="675" t="s">
        <v>40</v>
      </c>
      <c r="Q361" s="676"/>
      <c r="R361" s="676"/>
      <c r="S361" s="676"/>
      <c r="T361" s="676"/>
      <c r="U361" s="676"/>
      <c r="V361" s="677"/>
      <c r="W361" s="40" t="s">
        <v>0</v>
      </c>
      <c r="X361" s="41">
        <f>IFERROR(SUM(X356:X359),"0")</f>
        <v>0</v>
      </c>
      <c r="Y361" s="41">
        <f>IFERROR(SUM(Y356:Y359),"0")</f>
        <v>0</v>
      </c>
      <c r="Z361" s="40"/>
      <c r="AA361" s="64"/>
      <c r="AB361" s="64"/>
      <c r="AC361" s="64"/>
    </row>
    <row r="362" spans="1:68" ht="14.25" hidden="1" customHeight="1" x14ac:dyDescent="0.25">
      <c r="A362" s="669" t="s">
        <v>183</v>
      </c>
      <c r="B362" s="669"/>
      <c r="C362" s="669"/>
      <c r="D362" s="669"/>
      <c r="E362" s="669"/>
      <c r="F362" s="669"/>
      <c r="G362" s="669"/>
      <c r="H362" s="669"/>
      <c r="I362" s="669"/>
      <c r="J362" s="669"/>
      <c r="K362" s="669"/>
      <c r="L362" s="669"/>
      <c r="M362" s="669"/>
      <c r="N362" s="669"/>
      <c r="O362" s="669"/>
      <c r="P362" s="669"/>
      <c r="Q362" s="669"/>
      <c r="R362" s="669"/>
      <c r="S362" s="669"/>
      <c r="T362" s="669"/>
      <c r="U362" s="669"/>
      <c r="V362" s="669"/>
      <c r="W362" s="669"/>
      <c r="X362" s="669"/>
      <c r="Y362" s="669"/>
      <c r="Z362" s="669"/>
      <c r="AA362" s="63"/>
      <c r="AB362" s="63"/>
      <c r="AC362" s="63"/>
    </row>
    <row r="363" spans="1:68" ht="27" hidden="1" customHeight="1" x14ac:dyDescent="0.25">
      <c r="A363" s="60" t="s">
        <v>617</v>
      </c>
      <c r="B363" s="60" t="s">
        <v>618</v>
      </c>
      <c r="C363" s="34">
        <v>4301060387</v>
      </c>
      <c r="D363" s="670">
        <v>4607091380880</v>
      </c>
      <c r="E363" s="670"/>
      <c r="F363" s="59">
        <v>1.4</v>
      </c>
      <c r="G363" s="35">
        <v>6</v>
      </c>
      <c r="H363" s="59">
        <v>8.4</v>
      </c>
      <c r="I363" s="59">
        <v>8.8940000000000001</v>
      </c>
      <c r="J363" s="35">
        <v>64</v>
      </c>
      <c r="K363" s="35" t="s">
        <v>134</v>
      </c>
      <c r="L363" s="35" t="s">
        <v>46</v>
      </c>
      <c r="M363" s="36" t="s">
        <v>90</v>
      </c>
      <c r="N363" s="36"/>
      <c r="O363" s="35">
        <v>30</v>
      </c>
      <c r="P363" s="86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63" s="672"/>
      <c r="R363" s="672"/>
      <c r="S363" s="672"/>
      <c r="T363" s="673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5" t="s">
        <v>619</v>
      </c>
      <c r="AG363" s="75"/>
      <c r="AJ363" s="79" t="s">
        <v>46</v>
      </c>
      <c r="AK363" s="79">
        <v>0</v>
      </c>
      <c r="BB363" s="456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hidden="1" customHeight="1" x14ac:dyDescent="0.25">
      <c r="A364" s="60" t="s">
        <v>620</v>
      </c>
      <c r="B364" s="60" t="s">
        <v>621</v>
      </c>
      <c r="C364" s="34">
        <v>4301060406</v>
      </c>
      <c r="D364" s="670">
        <v>4607091384482</v>
      </c>
      <c r="E364" s="670"/>
      <c r="F364" s="59">
        <v>1.3</v>
      </c>
      <c r="G364" s="35">
        <v>6</v>
      </c>
      <c r="H364" s="59">
        <v>7.8</v>
      </c>
      <c r="I364" s="59">
        <v>8.2940000000000005</v>
      </c>
      <c r="J364" s="35">
        <v>64</v>
      </c>
      <c r="K364" s="35" t="s">
        <v>134</v>
      </c>
      <c r="L364" s="35" t="s">
        <v>46</v>
      </c>
      <c r="M364" s="36" t="s">
        <v>90</v>
      </c>
      <c r="N364" s="36"/>
      <c r="O364" s="35">
        <v>30</v>
      </c>
      <c r="P364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64" s="672"/>
      <c r="R364" s="672"/>
      <c r="S364" s="672"/>
      <c r="T364" s="673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7" t="s">
        <v>622</v>
      </c>
      <c r="AG364" s="75"/>
      <c r="AJ364" s="79" t="s">
        <v>46</v>
      </c>
      <c r="AK364" s="79">
        <v>0</v>
      </c>
      <c r="BB364" s="458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16.5" hidden="1" customHeight="1" x14ac:dyDescent="0.25">
      <c r="A365" s="60" t="s">
        <v>623</v>
      </c>
      <c r="B365" s="60" t="s">
        <v>624</v>
      </c>
      <c r="C365" s="34">
        <v>4301060484</v>
      </c>
      <c r="D365" s="670">
        <v>4607091380897</v>
      </c>
      <c r="E365" s="670"/>
      <c r="F365" s="59">
        <v>1.4</v>
      </c>
      <c r="G365" s="35">
        <v>6</v>
      </c>
      <c r="H365" s="59">
        <v>8.4</v>
      </c>
      <c r="I365" s="59">
        <v>8.8940000000000001</v>
      </c>
      <c r="J365" s="35">
        <v>64</v>
      </c>
      <c r="K365" s="35" t="s">
        <v>134</v>
      </c>
      <c r="L365" s="35" t="s">
        <v>46</v>
      </c>
      <c r="M365" s="36" t="s">
        <v>97</v>
      </c>
      <c r="N365" s="36"/>
      <c r="O365" s="35">
        <v>30</v>
      </c>
      <c r="P365" s="8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65" s="672"/>
      <c r="R365" s="672"/>
      <c r="S365" s="672"/>
      <c r="T365" s="673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9" t="s">
        <v>625</v>
      </c>
      <c r="AG365" s="75"/>
      <c r="AJ365" s="79" t="s">
        <v>46</v>
      </c>
      <c r="AK365" s="79">
        <v>0</v>
      </c>
      <c r="BB365" s="460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idden="1" x14ac:dyDescent="0.2">
      <c r="A366" s="678"/>
      <c r="B366" s="678"/>
      <c r="C366" s="678"/>
      <c r="D366" s="678"/>
      <c r="E366" s="678"/>
      <c r="F366" s="678"/>
      <c r="G366" s="678"/>
      <c r="H366" s="678"/>
      <c r="I366" s="678"/>
      <c r="J366" s="678"/>
      <c r="K366" s="678"/>
      <c r="L366" s="678"/>
      <c r="M366" s="678"/>
      <c r="N366" s="678"/>
      <c r="O366" s="679"/>
      <c r="P366" s="675" t="s">
        <v>40</v>
      </c>
      <c r="Q366" s="676"/>
      <c r="R366" s="676"/>
      <c r="S366" s="676"/>
      <c r="T366" s="676"/>
      <c r="U366" s="676"/>
      <c r="V366" s="677"/>
      <c r="W366" s="40" t="s">
        <v>39</v>
      </c>
      <c r="X366" s="41">
        <f>IFERROR(X363/H363,"0")+IFERROR(X364/H364,"0")+IFERROR(X365/H365,"0")</f>
        <v>0</v>
      </c>
      <c r="Y366" s="41">
        <f>IFERROR(Y363/H363,"0")+IFERROR(Y364/H364,"0")+IFERROR(Y365/H365,"0")</f>
        <v>0</v>
      </c>
      <c r="Z366" s="41">
        <f>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78"/>
      <c r="B367" s="678"/>
      <c r="C367" s="678"/>
      <c r="D367" s="678"/>
      <c r="E367" s="678"/>
      <c r="F367" s="678"/>
      <c r="G367" s="678"/>
      <c r="H367" s="678"/>
      <c r="I367" s="678"/>
      <c r="J367" s="678"/>
      <c r="K367" s="678"/>
      <c r="L367" s="678"/>
      <c r="M367" s="678"/>
      <c r="N367" s="678"/>
      <c r="O367" s="679"/>
      <c r="P367" s="675" t="s">
        <v>40</v>
      </c>
      <c r="Q367" s="676"/>
      <c r="R367" s="676"/>
      <c r="S367" s="676"/>
      <c r="T367" s="676"/>
      <c r="U367" s="676"/>
      <c r="V367" s="677"/>
      <c r="W367" s="40" t="s">
        <v>0</v>
      </c>
      <c r="X367" s="41">
        <f>IFERROR(SUM(X363:X365),"0")</f>
        <v>0</v>
      </c>
      <c r="Y367" s="41">
        <f>IFERROR(SUM(Y363:Y365),"0")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69" t="s">
        <v>104</v>
      </c>
      <c r="B368" s="669"/>
      <c r="C368" s="669"/>
      <c r="D368" s="669"/>
      <c r="E368" s="669"/>
      <c r="F368" s="669"/>
      <c r="G368" s="669"/>
      <c r="H368" s="669"/>
      <c r="I368" s="669"/>
      <c r="J368" s="669"/>
      <c r="K368" s="669"/>
      <c r="L368" s="669"/>
      <c r="M368" s="669"/>
      <c r="N368" s="669"/>
      <c r="O368" s="669"/>
      <c r="P368" s="669"/>
      <c r="Q368" s="669"/>
      <c r="R368" s="669"/>
      <c r="S368" s="669"/>
      <c r="T368" s="669"/>
      <c r="U368" s="669"/>
      <c r="V368" s="669"/>
      <c r="W368" s="669"/>
      <c r="X368" s="669"/>
      <c r="Y368" s="669"/>
      <c r="Z368" s="669"/>
      <c r="AA368" s="63"/>
      <c r="AB368" s="63"/>
      <c r="AC368" s="63"/>
    </row>
    <row r="369" spans="1:68" ht="27" hidden="1" customHeight="1" x14ac:dyDescent="0.25">
      <c r="A369" s="60" t="s">
        <v>626</v>
      </c>
      <c r="B369" s="60" t="s">
        <v>627</v>
      </c>
      <c r="C369" s="34">
        <v>4301030235</v>
      </c>
      <c r="D369" s="670">
        <v>4607091388381</v>
      </c>
      <c r="E369" s="670"/>
      <c r="F369" s="59">
        <v>0.38</v>
      </c>
      <c r="G369" s="35">
        <v>8</v>
      </c>
      <c r="H369" s="59">
        <v>3.04</v>
      </c>
      <c r="I369" s="59">
        <v>3.31</v>
      </c>
      <c r="J369" s="35">
        <v>132</v>
      </c>
      <c r="K369" s="35" t="s">
        <v>141</v>
      </c>
      <c r="L369" s="35" t="s">
        <v>46</v>
      </c>
      <c r="M369" s="36" t="s">
        <v>109</v>
      </c>
      <c r="N369" s="36"/>
      <c r="O369" s="35">
        <v>180</v>
      </c>
      <c r="P369" s="86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69" s="672"/>
      <c r="R369" s="672"/>
      <c r="S369" s="672"/>
      <c r="T369" s="673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1" t="s">
        <v>628</v>
      </c>
      <c r="AG369" s="75"/>
      <c r="AJ369" s="79" t="s">
        <v>46</v>
      </c>
      <c r="AK369" s="79">
        <v>0</v>
      </c>
      <c r="BB369" s="462" t="s">
        <v>67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629</v>
      </c>
      <c r="B370" s="60" t="s">
        <v>630</v>
      </c>
      <c r="C370" s="34">
        <v>4301030232</v>
      </c>
      <c r="D370" s="670">
        <v>4607091388374</v>
      </c>
      <c r="E370" s="670"/>
      <c r="F370" s="59">
        <v>0.38</v>
      </c>
      <c r="G370" s="35">
        <v>8</v>
      </c>
      <c r="H370" s="59">
        <v>3.04</v>
      </c>
      <c r="I370" s="59">
        <v>3.27</v>
      </c>
      <c r="J370" s="35">
        <v>132</v>
      </c>
      <c r="K370" s="35" t="s">
        <v>141</v>
      </c>
      <c r="L370" s="35" t="s">
        <v>46</v>
      </c>
      <c r="M370" s="36" t="s">
        <v>109</v>
      </c>
      <c r="N370" s="36"/>
      <c r="O370" s="35">
        <v>180</v>
      </c>
      <c r="P370" s="86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0" s="672"/>
      <c r="R370" s="672"/>
      <c r="S370" s="672"/>
      <c r="T370" s="673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3" t="s">
        <v>628</v>
      </c>
      <c r="AG370" s="75"/>
      <c r="AJ370" s="79" t="s">
        <v>46</v>
      </c>
      <c r="AK370" s="79">
        <v>0</v>
      </c>
      <c r="BB370" s="464" t="s">
        <v>67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t="27" hidden="1" customHeight="1" x14ac:dyDescent="0.25">
      <c r="A371" s="60" t="s">
        <v>631</v>
      </c>
      <c r="B371" s="60" t="s">
        <v>632</v>
      </c>
      <c r="C371" s="34">
        <v>4301032015</v>
      </c>
      <c r="D371" s="670">
        <v>4607091383102</v>
      </c>
      <c r="E371" s="670"/>
      <c r="F371" s="59">
        <v>0.17</v>
      </c>
      <c r="G371" s="35">
        <v>15</v>
      </c>
      <c r="H371" s="59">
        <v>2.5499999999999998</v>
      </c>
      <c r="I371" s="59">
        <v>2.9550000000000001</v>
      </c>
      <c r="J371" s="35">
        <v>182</v>
      </c>
      <c r="K371" s="35" t="s">
        <v>91</v>
      </c>
      <c r="L371" s="35" t="s">
        <v>46</v>
      </c>
      <c r="M371" s="36" t="s">
        <v>109</v>
      </c>
      <c r="N371" s="36"/>
      <c r="O371" s="35">
        <v>180</v>
      </c>
      <c r="P371" s="87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1" s="672"/>
      <c r="R371" s="672"/>
      <c r="S371" s="672"/>
      <c r="T371" s="673"/>
      <c r="U371" s="37" t="s">
        <v>46</v>
      </c>
      <c r="V371" s="37" t="s">
        <v>46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IFERROR(IF(Y371=0,"",ROUNDUP(Y371/H371,0)*0.00651),"")</f>
        <v/>
      </c>
      <c r="AA371" s="65" t="s">
        <v>46</v>
      </c>
      <c r="AB371" s="66" t="s">
        <v>46</v>
      </c>
      <c r="AC371" s="465" t="s">
        <v>628</v>
      </c>
      <c r="AG371" s="75"/>
      <c r="AJ371" s="79" t="s">
        <v>46</v>
      </c>
      <c r="AK371" s="79">
        <v>0</v>
      </c>
      <c r="BB371" s="466" t="s">
        <v>67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customHeight="1" x14ac:dyDescent="0.25">
      <c r="A372" s="60" t="s">
        <v>633</v>
      </c>
      <c r="B372" s="60" t="s">
        <v>634</v>
      </c>
      <c r="C372" s="34">
        <v>4301030233</v>
      </c>
      <c r="D372" s="670">
        <v>4607091388404</v>
      </c>
      <c r="E372" s="670"/>
      <c r="F372" s="59">
        <v>0.17</v>
      </c>
      <c r="G372" s="35">
        <v>15</v>
      </c>
      <c r="H372" s="59">
        <v>2.5499999999999998</v>
      </c>
      <c r="I372" s="59">
        <v>2.88</v>
      </c>
      <c r="J372" s="35">
        <v>182</v>
      </c>
      <c r="K372" s="35" t="s">
        <v>91</v>
      </c>
      <c r="L372" s="35" t="s">
        <v>46</v>
      </c>
      <c r="M372" s="36" t="s">
        <v>109</v>
      </c>
      <c r="N372" s="36"/>
      <c r="O372" s="35">
        <v>180</v>
      </c>
      <c r="P372" s="87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72" s="672"/>
      <c r="R372" s="672"/>
      <c r="S372" s="672"/>
      <c r="T372" s="673"/>
      <c r="U372" s="37" t="s">
        <v>46</v>
      </c>
      <c r="V372" s="37" t="s">
        <v>46</v>
      </c>
      <c r="W372" s="38" t="s">
        <v>0</v>
      </c>
      <c r="X372" s="56">
        <v>34</v>
      </c>
      <c r="Y372" s="53">
        <f>IFERROR(IF(X372="",0,CEILING((X372/$H372),1)*$H372),"")</f>
        <v>35.699999999999996</v>
      </c>
      <c r="Z372" s="39">
        <f>IFERROR(IF(Y372=0,"",ROUNDUP(Y372/H372,0)*0.00651),"")</f>
        <v>9.1139999999999999E-2</v>
      </c>
      <c r="AA372" s="65" t="s">
        <v>46</v>
      </c>
      <c r="AB372" s="66" t="s">
        <v>46</v>
      </c>
      <c r="AC372" s="467" t="s">
        <v>628</v>
      </c>
      <c r="AG372" s="75"/>
      <c r="AJ372" s="79" t="s">
        <v>46</v>
      </c>
      <c r="AK372" s="79">
        <v>0</v>
      </c>
      <c r="BB372" s="468" t="s">
        <v>67</v>
      </c>
      <c r="BM372" s="75">
        <f>IFERROR(X372*I372/H372,"0")</f>
        <v>38.400000000000006</v>
      </c>
      <c r="BN372" s="75">
        <f>IFERROR(Y372*I372/H372,"0")</f>
        <v>40.32</v>
      </c>
      <c r="BO372" s="75">
        <f>IFERROR(1/J372*(X372/H372),"0")</f>
        <v>7.3260073260073263E-2</v>
      </c>
      <c r="BP372" s="75">
        <f>IFERROR(1/J372*(Y372/H372),"0")</f>
        <v>7.6923076923076927E-2</v>
      </c>
    </row>
    <row r="373" spans="1:68" x14ac:dyDescent="0.2">
      <c r="A373" s="678"/>
      <c r="B373" s="678"/>
      <c r="C373" s="678"/>
      <c r="D373" s="678"/>
      <c r="E373" s="678"/>
      <c r="F373" s="678"/>
      <c r="G373" s="678"/>
      <c r="H373" s="678"/>
      <c r="I373" s="678"/>
      <c r="J373" s="678"/>
      <c r="K373" s="678"/>
      <c r="L373" s="678"/>
      <c r="M373" s="678"/>
      <c r="N373" s="678"/>
      <c r="O373" s="679"/>
      <c r="P373" s="675" t="s">
        <v>40</v>
      </c>
      <c r="Q373" s="676"/>
      <c r="R373" s="676"/>
      <c r="S373" s="676"/>
      <c r="T373" s="676"/>
      <c r="U373" s="676"/>
      <c r="V373" s="677"/>
      <c r="W373" s="40" t="s">
        <v>39</v>
      </c>
      <c r="X373" s="41">
        <f>IFERROR(X369/H369,"0")+IFERROR(X370/H370,"0")+IFERROR(X371/H371,"0")+IFERROR(X372/H372,"0")</f>
        <v>13.333333333333334</v>
      </c>
      <c r="Y373" s="41">
        <f>IFERROR(Y369/H369,"0")+IFERROR(Y370/H370,"0")+IFERROR(Y371/H371,"0")+IFERROR(Y372/H372,"0")</f>
        <v>14</v>
      </c>
      <c r="Z373" s="41">
        <f>IFERROR(IF(Z369="",0,Z369),"0")+IFERROR(IF(Z370="",0,Z370),"0")+IFERROR(IF(Z371="",0,Z371),"0")+IFERROR(IF(Z372="",0,Z372),"0")</f>
        <v>9.1139999999999999E-2</v>
      </c>
      <c r="AA373" s="64"/>
      <c r="AB373" s="64"/>
      <c r="AC373" s="64"/>
    </row>
    <row r="374" spans="1:68" x14ac:dyDescent="0.2">
      <c r="A374" s="678"/>
      <c r="B374" s="678"/>
      <c r="C374" s="678"/>
      <c r="D374" s="678"/>
      <c r="E374" s="678"/>
      <c r="F374" s="678"/>
      <c r="G374" s="678"/>
      <c r="H374" s="678"/>
      <c r="I374" s="678"/>
      <c r="J374" s="678"/>
      <c r="K374" s="678"/>
      <c r="L374" s="678"/>
      <c r="M374" s="678"/>
      <c r="N374" s="678"/>
      <c r="O374" s="679"/>
      <c r="P374" s="675" t="s">
        <v>40</v>
      </c>
      <c r="Q374" s="676"/>
      <c r="R374" s="676"/>
      <c r="S374" s="676"/>
      <c r="T374" s="676"/>
      <c r="U374" s="676"/>
      <c r="V374" s="677"/>
      <c r="W374" s="40" t="s">
        <v>0</v>
      </c>
      <c r="X374" s="41">
        <f>IFERROR(SUM(X369:X372),"0")</f>
        <v>34</v>
      </c>
      <c r="Y374" s="41">
        <f>IFERROR(SUM(Y369:Y372),"0")</f>
        <v>35.699999999999996</v>
      </c>
      <c r="Z374" s="40"/>
      <c r="AA374" s="64"/>
      <c r="AB374" s="64"/>
      <c r="AC374" s="64"/>
    </row>
    <row r="375" spans="1:68" ht="14.25" hidden="1" customHeight="1" x14ac:dyDescent="0.25">
      <c r="A375" s="669" t="s">
        <v>635</v>
      </c>
      <c r="B375" s="669"/>
      <c r="C375" s="669"/>
      <c r="D375" s="669"/>
      <c r="E375" s="669"/>
      <c r="F375" s="669"/>
      <c r="G375" s="669"/>
      <c r="H375" s="669"/>
      <c r="I375" s="669"/>
      <c r="J375" s="669"/>
      <c r="K375" s="669"/>
      <c r="L375" s="669"/>
      <c r="M375" s="669"/>
      <c r="N375" s="669"/>
      <c r="O375" s="669"/>
      <c r="P375" s="669"/>
      <c r="Q375" s="669"/>
      <c r="R375" s="669"/>
      <c r="S375" s="669"/>
      <c r="T375" s="669"/>
      <c r="U375" s="669"/>
      <c r="V375" s="669"/>
      <c r="W375" s="669"/>
      <c r="X375" s="669"/>
      <c r="Y375" s="669"/>
      <c r="Z375" s="669"/>
      <c r="AA375" s="63"/>
      <c r="AB375" s="63"/>
      <c r="AC375" s="63"/>
    </row>
    <row r="376" spans="1:68" ht="16.5" hidden="1" customHeight="1" x14ac:dyDescent="0.25">
      <c r="A376" s="60" t="s">
        <v>636</v>
      </c>
      <c r="B376" s="60" t="s">
        <v>637</v>
      </c>
      <c r="C376" s="34">
        <v>4301180007</v>
      </c>
      <c r="D376" s="670">
        <v>4680115881808</v>
      </c>
      <c r="E376" s="670"/>
      <c r="F376" s="59">
        <v>0.1</v>
      </c>
      <c r="G376" s="35">
        <v>20</v>
      </c>
      <c r="H376" s="59">
        <v>2</v>
      </c>
      <c r="I376" s="59">
        <v>2.2400000000000002</v>
      </c>
      <c r="J376" s="35">
        <v>238</v>
      </c>
      <c r="K376" s="35" t="s">
        <v>91</v>
      </c>
      <c r="L376" s="35" t="s">
        <v>46</v>
      </c>
      <c r="M376" s="36" t="s">
        <v>639</v>
      </c>
      <c r="N376" s="36"/>
      <c r="O376" s="35">
        <v>731</v>
      </c>
      <c r="P376" s="87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76" s="672"/>
      <c r="R376" s="672"/>
      <c r="S376" s="672"/>
      <c r="T376" s="673"/>
      <c r="U376" s="37" t="s">
        <v>46</v>
      </c>
      <c r="V376" s="37" t="s">
        <v>46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IFERROR(IF(Y376=0,"",ROUNDUP(Y376/H376,0)*0.00474),"")</f>
        <v/>
      </c>
      <c r="AA376" s="65" t="s">
        <v>46</v>
      </c>
      <c r="AB376" s="66" t="s">
        <v>46</v>
      </c>
      <c r="AC376" s="469" t="s">
        <v>638</v>
      </c>
      <c r="AG376" s="75"/>
      <c r="AJ376" s="79" t="s">
        <v>46</v>
      </c>
      <c r="AK376" s="79">
        <v>0</v>
      </c>
      <c r="BB376" s="470" t="s">
        <v>67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t="27" hidden="1" customHeight="1" x14ac:dyDescent="0.25">
      <c r="A377" s="60" t="s">
        <v>640</v>
      </c>
      <c r="B377" s="60" t="s">
        <v>641</v>
      </c>
      <c r="C377" s="34">
        <v>4301180006</v>
      </c>
      <c r="D377" s="670">
        <v>4680115881822</v>
      </c>
      <c r="E377" s="670"/>
      <c r="F377" s="59">
        <v>0.1</v>
      </c>
      <c r="G377" s="35">
        <v>20</v>
      </c>
      <c r="H377" s="59">
        <v>2</v>
      </c>
      <c r="I377" s="59">
        <v>2.2400000000000002</v>
      </c>
      <c r="J377" s="35">
        <v>238</v>
      </c>
      <c r="K377" s="35" t="s">
        <v>91</v>
      </c>
      <c r="L377" s="35" t="s">
        <v>46</v>
      </c>
      <c r="M377" s="36" t="s">
        <v>639</v>
      </c>
      <c r="N377" s="36"/>
      <c r="O377" s="35">
        <v>731</v>
      </c>
      <c r="P377" s="87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77" s="672"/>
      <c r="R377" s="672"/>
      <c r="S377" s="672"/>
      <c r="T377" s="673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IFERROR(IF(Y377=0,"",ROUNDUP(Y377/H377,0)*0.00474),"")</f>
        <v/>
      </c>
      <c r="AA377" s="65" t="s">
        <v>46</v>
      </c>
      <c r="AB377" s="66" t="s">
        <v>46</v>
      </c>
      <c r="AC377" s="471" t="s">
        <v>638</v>
      </c>
      <c r="AG377" s="75"/>
      <c r="AJ377" s="79" t="s">
        <v>46</v>
      </c>
      <c r="AK377" s="79">
        <v>0</v>
      </c>
      <c r="BB377" s="472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642</v>
      </c>
      <c r="B378" s="60" t="s">
        <v>643</v>
      </c>
      <c r="C378" s="34">
        <v>4301180001</v>
      </c>
      <c r="D378" s="670">
        <v>4680115880016</v>
      </c>
      <c r="E378" s="670"/>
      <c r="F378" s="59">
        <v>0.1</v>
      </c>
      <c r="G378" s="35">
        <v>20</v>
      </c>
      <c r="H378" s="59">
        <v>2</v>
      </c>
      <c r="I378" s="59">
        <v>2.2400000000000002</v>
      </c>
      <c r="J378" s="35">
        <v>238</v>
      </c>
      <c r="K378" s="35" t="s">
        <v>91</v>
      </c>
      <c r="L378" s="35" t="s">
        <v>46</v>
      </c>
      <c r="M378" s="36" t="s">
        <v>639</v>
      </c>
      <c r="N378" s="36"/>
      <c r="O378" s="35">
        <v>731</v>
      </c>
      <c r="P378" s="87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78" s="672"/>
      <c r="R378" s="672"/>
      <c r="S378" s="672"/>
      <c r="T378" s="673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IFERROR(IF(Y378=0,"",ROUNDUP(Y378/H378,0)*0.00474),"")</f>
        <v/>
      </c>
      <c r="AA378" s="65" t="s">
        <v>46</v>
      </c>
      <c r="AB378" s="66" t="s">
        <v>46</v>
      </c>
      <c r="AC378" s="473" t="s">
        <v>638</v>
      </c>
      <c r="AG378" s="75"/>
      <c r="AJ378" s="79" t="s">
        <v>46</v>
      </c>
      <c r="AK378" s="79">
        <v>0</v>
      </c>
      <c r="BB378" s="474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idden="1" x14ac:dyDescent="0.2">
      <c r="A379" s="678"/>
      <c r="B379" s="678"/>
      <c r="C379" s="678"/>
      <c r="D379" s="678"/>
      <c r="E379" s="678"/>
      <c r="F379" s="678"/>
      <c r="G379" s="678"/>
      <c r="H379" s="678"/>
      <c r="I379" s="678"/>
      <c r="J379" s="678"/>
      <c r="K379" s="678"/>
      <c r="L379" s="678"/>
      <c r="M379" s="678"/>
      <c r="N379" s="678"/>
      <c r="O379" s="679"/>
      <c r="P379" s="675" t="s">
        <v>40</v>
      </c>
      <c r="Q379" s="676"/>
      <c r="R379" s="676"/>
      <c r="S379" s="676"/>
      <c r="T379" s="676"/>
      <c r="U379" s="676"/>
      <c r="V379" s="677"/>
      <c r="W379" s="40" t="s">
        <v>39</v>
      </c>
      <c r="X379" s="41">
        <f>IFERROR(X376/H376,"0")+IFERROR(X377/H377,"0")+IFERROR(X378/H378,"0")</f>
        <v>0</v>
      </c>
      <c r="Y379" s="41">
        <f>IFERROR(Y376/H376,"0")+IFERROR(Y377/H377,"0")+IFERROR(Y378/H378,"0")</f>
        <v>0</v>
      </c>
      <c r="Z379" s="41">
        <f>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78"/>
      <c r="B380" s="678"/>
      <c r="C380" s="678"/>
      <c r="D380" s="678"/>
      <c r="E380" s="678"/>
      <c r="F380" s="678"/>
      <c r="G380" s="678"/>
      <c r="H380" s="678"/>
      <c r="I380" s="678"/>
      <c r="J380" s="678"/>
      <c r="K380" s="678"/>
      <c r="L380" s="678"/>
      <c r="M380" s="678"/>
      <c r="N380" s="678"/>
      <c r="O380" s="679"/>
      <c r="P380" s="675" t="s">
        <v>40</v>
      </c>
      <c r="Q380" s="676"/>
      <c r="R380" s="676"/>
      <c r="S380" s="676"/>
      <c r="T380" s="676"/>
      <c r="U380" s="676"/>
      <c r="V380" s="677"/>
      <c r="W380" s="40" t="s">
        <v>0</v>
      </c>
      <c r="X380" s="41">
        <f>IFERROR(SUM(X376:X378),"0")</f>
        <v>0</v>
      </c>
      <c r="Y380" s="41">
        <f>IFERROR(SUM(Y376:Y378),"0")</f>
        <v>0</v>
      </c>
      <c r="Z380" s="40"/>
      <c r="AA380" s="64"/>
      <c r="AB380" s="64"/>
      <c r="AC380" s="64"/>
    </row>
    <row r="381" spans="1:68" ht="16.5" hidden="1" customHeight="1" x14ac:dyDescent="0.25">
      <c r="A381" s="668" t="s">
        <v>644</v>
      </c>
      <c r="B381" s="668"/>
      <c r="C381" s="668"/>
      <c r="D381" s="668"/>
      <c r="E381" s="668"/>
      <c r="F381" s="668"/>
      <c r="G381" s="668"/>
      <c r="H381" s="668"/>
      <c r="I381" s="668"/>
      <c r="J381" s="668"/>
      <c r="K381" s="668"/>
      <c r="L381" s="668"/>
      <c r="M381" s="668"/>
      <c r="N381" s="668"/>
      <c r="O381" s="668"/>
      <c r="P381" s="668"/>
      <c r="Q381" s="668"/>
      <c r="R381" s="668"/>
      <c r="S381" s="668"/>
      <c r="T381" s="668"/>
      <c r="U381" s="668"/>
      <c r="V381" s="668"/>
      <c r="W381" s="668"/>
      <c r="X381" s="668"/>
      <c r="Y381" s="668"/>
      <c r="Z381" s="668"/>
      <c r="AA381" s="62"/>
      <c r="AB381" s="62"/>
      <c r="AC381" s="62"/>
    </row>
    <row r="382" spans="1:68" ht="14.25" hidden="1" customHeight="1" x14ac:dyDescent="0.25">
      <c r="A382" s="669" t="s">
        <v>86</v>
      </c>
      <c r="B382" s="669"/>
      <c r="C382" s="669"/>
      <c r="D382" s="669"/>
      <c r="E382" s="669"/>
      <c r="F382" s="669"/>
      <c r="G382" s="669"/>
      <c r="H382" s="669"/>
      <c r="I382" s="669"/>
      <c r="J382" s="669"/>
      <c r="K382" s="669"/>
      <c r="L382" s="669"/>
      <c r="M382" s="669"/>
      <c r="N382" s="669"/>
      <c r="O382" s="669"/>
      <c r="P382" s="669"/>
      <c r="Q382" s="669"/>
      <c r="R382" s="669"/>
      <c r="S382" s="669"/>
      <c r="T382" s="669"/>
      <c r="U382" s="669"/>
      <c r="V382" s="669"/>
      <c r="W382" s="669"/>
      <c r="X382" s="669"/>
      <c r="Y382" s="669"/>
      <c r="Z382" s="669"/>
      <c r="AA382" s="63"/>
      <c r="AB382" s="63"/>
      <c r="AC382" s="63"/>
    </row>
    <row r="383" spans="1:68" ht="27" hidden="1" customHeight="1" x14ac:dyDescent="0.25">
      <c r="A383" s="60" t="s">
        <v>645</v>
      </c>
      <c r="B383" s="60" t="s">
        <v>646</v>
      </c>
      <c r="C383" s="34">
        <v>4301051489</v>
      </c>
      <c r="D383" s="670">
        <v>4607091387919</v>
      </c>
      <c r="E383" s="670"/>
      <c r="F383" s="59">
        <v>1.35</v>
      </c>
      <c r="G383" s="35">
        <v>6</v>
      </c>
      <c r="H383" s="59">
        <v>8.1</v>
      </c>
      <c r="I383" s="59">
        <v>8.5939999999999994</v>
      </c>
      <c r="J383" s="35">
        <v>64</v>
      </c>
      <c r="K383" s="35" t="s">
        <v>134</v>
      </c>
      <c r="L383" s="35" t="s">
        <v>46</v>
      </c>
      <c r="M383" s="36" t="s">
        <v>97</v>
      </c>
      <c r="N383" s="36"/>
      <c r="O383" s="35">
        <v>45</v>
      </c>
      <c r="P383" s="87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83" s="672"/>
      <c r="R383" s="672"/>
      <c r="S383" s="672"/>
      <c r="T383" s="673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647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customHeight="1" x14ac:dyDescent="0.25">
      <c r="A384" s="60" t="s">
        <v>648</v>
      </c>
      <c r="B384" s="60" t="s">
        <v>649</v>
      </c>
      <c r="C384" s="34">
        <v>4301051461</v>
      </c>
      <c r="D384" s="670">
        <v>4680115883604</v>
      </c>
      <c r="E384" s="670"/>
      <c r="F384" s="59">
        <v>0.35</v>
      </c>
      <c r="G384" s="35">
        <v>6</v>
      </c>
      <c r="H384" s="59">
        <v>2.1</v>
      </c>
      <c r="I384" s="59">
        <v>2.3519999999999999</v>
      </c>
      <c r="J384" s="35">
        <v>182</v>
      </c>
      <c r="K384" s="35" t="s">
        <v>91</v>
      </c>
      <c r="L384" s="35" t="s">
        <v>46</v>
      </c>
      <c r="M384" s="36" t="s">
        <v>90</v>
      </c>
      <c r="N384" s="36"/>
      <c r="O384" s="35">
        <v>45</v>
      </c>
      <c r="P384" s="87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84" s="672"/>
      <c r="R384" s="672"/>
      <c r="S384" s="672"/>
      <c r="T384" s="673"/>
      <c r="U384" s="37" t="s">
        <v>46</v>
      </c>
      <c r="V384" s="37" t="s">
        <v>46</v>
      </c>
      <c r="W384" s="38" t="s">
        <v>0</v>
      </c>
      <c r="X384" s="56">
        <v>11</v>
      </c>
      <c r="Y384" s="53">
        <f>IFERROR(IF(X384="",0,CEILING((X384/$H384),1)*$H384),"")</f>
        <v>12.600000000000001</v>
      </c>
      <c r="Z384" s="39">
        <f>IFERROR(IF(Y384=0,"",ROUNDUP(Y384/H384,0)*0.00651),"")</f>
        <v>3.9059999999999997E-2</v>
      </c>
      <c r="AA384" s="65" t="s">
        <v>46</v>
      </c>
      <c r="AB384" s="66" t="s">
        <v>46</v>
      </c>
      <c r="AC384" s="477" t="s">
        <v>650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12.32</v>
      </c>
      <c r="BN384" s="75">
        <f>IFERROR(Y384*I384/H384,"0")</f>
        <v>14.112</v>
      </c>
      <c r="BO384" s="75">
        <f>IFERROR(1/J384*(X384/H384),"0")</f>
        <v>2.8780743066457355E-2</v>
      </c>
      <c r="BP384" s="75">
        <f>IFERROR(1/J384*(Y384/H384),"0")</f>
        <v>3.2967032967032968E-2</v>
      </c>
    </row>
    <row r="385" spans="1:68" ht="27" hidden="1" customHeight="1" x14ac:dyDescent="0.25">
      <c r="A385" s="60" t="s">
        <v>651</v>
      </c>
      <c r="B385" s="60" t="s">
        <v>652</v>
      </c>
      <c r="C385" s="34">
        <v>4301051864</v>
      </c>
      <c r="D385" s="670">
        <v>4680115883567</v>
      </c>
      <c r="E385" s="670"/>
      <c r="F385" s="59">
        <v>0.35</v>
      </c>
      <c r="G385" s="35">
        <v>6</v>
      </c>
      <c r="H385" s="59">
        <v>2.1</v>
      </c>
      <c r="I385" s="59">
        <v>2.34</v>
      </c>
      <c r="J385" s="35">
        <v>182</v>
      </c>
      <c r="K385" s="35" t="s">
        <v>91</v>
      </c>
      <c r="L385" s="35" t="s">
        <v>46</v>
      </c>
      <c r="M385" s="36" t="s">
        <v>97</v>
      </c>
      <c r="N385" s="36"/>
      <c r="O385" s="35">
        <v>40</v>
      </c>
      <c r="P385" s="8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85" s="672"/>
      <c r="R385" s="672"/>
      <c r="S385" s="672"/>
      <c r="T385" s="67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653</v>
      </c>
      <c r="AG385" s="75"/>
      <c r="AJ385" s="79" t="s">
        <v>46</v>
      </c>
      <c r="AK385" s="79">
        <v>0</v>
      </c>
      <c r="BB385" s="480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x14ac:dyDescent="0.2">
      <c r="A386" s="678"/>
      <c r="B386" s="678"/>
      <c r="C386" s="678"/>
      <c r="D386" s="678"/>
      <c r="E386" s="678"/>
      <c r="F386" s="678"/>
      <c r="G386" s="678"/>
      <c r="H386" s="678"/>
      <c r="I386" s="678"/>
      <c r="J386" s="678"/>
      <c r="K386" s="678"/>
      <c r="L386" s="678"/>
      <c r="M386" s="678"/>
      <c r="N386" s="678"/>
      <c r="O386" s="679"/>
      <c r="P386" s="675" t="s">
        <v>40</v>
      </c>
      <c r="Q386" s="676"/>
      <c r="R386" s="676"/>
      <c r="S386" s="676"/>
      <c r="T386" s="676"/>
      <c r="U386" s="676"/>
      <c r="V386" s="677"/>
      <c r="W386" s="40" t="s">
        <v>39</v>
      </c>
      <c r="X386" s="41">
        <f>IFERROR(X383/H383,"0")+IFERROR(X384/H384,"0")+IFERROR(X385/H385,"0")</f>
        <v>5.2380952380952381</v>
      </c>
      <c r="Y386" s="41">
        <f>IFERROR(Y383/H383,"0")+IFERROR(Y384/H384,"0")+IFERROR(Y385/H385,"0")</f>
        <v>6</v>
      </c>
      <c r="Z386" s="41">
        <f>IFERROR(IF(Z383="",0,Z383),"0")+IFERROR(IF(Z384="",0,Z384),"0")+IFERROR(IF(Z385="",0,Z385),"0")</f>
        <v>3.9059999999999997E-2</v>
      </c>
      <c r="AA386" s="64"/>
      <c r="AB386" s="64"/>
      <c r="AC386" s="64"/>
    </row>
    <row r="387" spans="1:68" x14ac:dyDescent="0.2">
      <c r="A387" s="678"/>
      <c r="B387" s="678"/>
      <c r="C387" s="678"/>
      <c r="D387" s="678"/>
      <c r="E387" s="678"/>
      <c r="F387" s="678"/>
      <c r="G387" s="678"/>
      <c r="H387" s="678"/>
      <c r="I387" s="678"/>
      <c r="J387" s="678"/>
      <c r="K387" s="678"/>
      <c r="L387" s="678"/>
      <c r="M387" s="678"/>
      <c r="N387" s="678"/>
      <c r="O387" s="679"/>
      <c r="P387" s="675" t="s">
        <v>40</v>
      </c>
      <c r="Q387" s="676"/>
      <c r="R387" s="676"/>
      <c r="S387" s="676"/>
      <c r="T387" s="676"/>
      <c r="U387" s="676"/>
      <c r="V387" s="677"/>
      <c r="W387" s="40" t="s">
        <v>0</v>
      </c>
      <c r="X387" s="41">
        <f>IFERROR(SUM(X383:X385),"0")</f>
        <v>11</v>
      </c>
      <c r="Y387" s="41">
        <f>IFERROR(SUM(Y383:Y385),"0")</f>
        <v>12.600000000000001</v>
      </c>
      <c r="Z387" s="40"/>
      <c r="AA387" s="64"/>
      <c r="AB387" s="64"/>
      <c r="AC387" s="64"/>
    </row>
    <row r="388" spans="1:68" ht="27.75" hidden="1" customHeight="1" x14ac:dyDescent="0.2">
      <c r="A388" s="667" t="s">
        <v>654</v>
      </c>
      <c r="B388" s="667"/>
      <c r="C388" s="667"/>
      <c r="D388" s="667"/>
      <c r="E388" s="667"/>
      <c r="F388" s="667"/>
      <c r="G388" s="667"/>
      <c r="H388" s="667"/>
      <c r="I388" s="667"/>
      <c r="J388" s="667"/>
      <c r="K388" s="667"/>
      <c r="L388" s="667"/>
      <c r="M388" s="667"/>
      <c r="N388" s="667"/>
      <c r="O388" s="667"/>
      <c r="P388" s="667"/>
      <c r="Q388" s="667"/>
      <c r="R388" s="667"/>
      <c r="S388" s="667"/>
      <c r="T388" s="667"/>
      <c r="U388" s="667"/>
      <c r="V388" s="667"/>
      <c r="W388" s="667"/>
      <c r="X388" s="667"/>
      <c r="Y388" s="667"/>
      <c r="Z388" s="667"/>
      <c r="AA388" s="52"/>
      <c r="AB388" s="52"/>
      <c r="AC388" s="52"/>
    </row>
    <row r="389" spans="1:68" ht="16.5" hidden="1" customHeight="1" x14ac:dyDescent="0.25">
      <c r="A389" s="668" t="s">
        <v>655</v>
      </c>
      <c r="B389" s="668"/>
      <c r="C389" s="668"/>
      <c r="D389" s="668"/>
      <c r="E389" s="668"/>
      <c r="F389" s="668"/>
      <c r="G389" s="668"/>
      <c r="H389" s="668"/>
      <c r="I389" s="668"/>
      <c r="J389" s="668"/>
      <c r="K389" s="668"/>
      <c r="L389" s="668"/>
      <c r="M389" s="668"/>
      <c r="N389" s="668"/>
      <c r="O389" s="668"/>
      <c r="P389" s="668"/>
      <c r="Q389" s="668"/>
      <c r="R389" s="668"/>
      <c r="S389" s="668"/>
      <c r="T389" s="668"/>
      <c r="U389" s="668"/>
      <c r="V389" s="668"/>
      <c r="W389" s="668"/>
      <c r="X389" s="668"/>
      <c r="Y389" s="668"/>
      <c r="Z389" s="668"/>
      <c r="AA389" s="62"/>
      <c r="AB389" s="62"/>
      <c r="AC389" s="62"/>
    </row>
    <row r="390" spans="1:68" ht="14.25" hidden="1" customHeight="1" x14ac:dyDescent="0.25">
      <c r="A390" s="669" t="s">
        <v>129</v>
      </c>
      <c r="B390" s="669"/>
      <c r="C390" s="669"/>
      <c r="D390" s="669"/>
      <c r="E390" s="669"/>
      <c r="F390" s="669"/>
      <c r="G390" s="669"/>
      <c r="H390" s="669"/>
      <c r="I390" s="669"/>
      <c r="J390" s="669"/>
      <c r="K390" s="669"/>
      <c r="L390" s="669"/>
      <c r="M390" s="669"/>
      <c r="N390" s="669"/>
      <c r="O390" s="669"/>
      <c r="P390" s="669"/>
      <c r="Q390" s="669"/>
      <c r="R390" s="669"/>
      <c r="S390" s="669"/>
      <c r="T390" s="669"/>
      <c r="U390" s="669"/>
      <c r="V390" s="669"/>
      <c r="W390" s="669"/>
      <c r="X390" s="669"/>
      <c r="Y390" s="669"/>
      <c r="Z390" s="669"/>
      <c r="AA390" s="63"/>
      <c r="AB390" s="63"/>
      <c r="AC390" s="63"/>
    </row>
    <row r="391" spans="1:68" ht="27" hidden="1" customHeight="1" x14ac:dyDescent="0.25">
      <c r="A391" s="60" t="s">
        <v>656</v>
      </c>
      <c r="B391" s="60" t="s">
        <v>657</v>
      </c>
      <c r="C391" s="34">
        <v>4301012332</v>
      </c>
      <c r="D391" s="670">
        <v>4680115888401</v>
      </c>
      <c r="E391" s="670"/>
      <c r="F391" s="59">
        <v>2.5</v>
      </c>
      <c r="G391" s="35">
        <v>6</v>
      </c>
      <c r="H391" s="59">
        <v>15</v>
      </c>
      <c r="I391" s="59">
        <v>15.47</v>
      </c>
      <c r="J391" s="35">
        <v>48</v>
      </c>
      <c r="K391" s="35" t="s">
        <v>134</v>
      </c>
      <c r="L391" s="35" t="s">
        <v>46</v>
      </c>
      <c r="M391" s="36" t="s">
        <v>97</v>
      </c>
      <c r="N391" s="36"/>
      <c r="O391" s="35">
        <v>60</v>
      </c>
      <c r="P391" s="87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1" s="672"/>
      <c r="R391" s="672"/>
      <c r="S391" s="672"/>
      <c r="T391" s="673"/>
      <c r="U391" s="37" t="s">
        <v>46</v>
      </c>
      <c r="V391" s="37" t="s">
        <v>46</v>
      </c>
      <c r="W391" s="38" t="s">
        <v>0</v>
      </c>
      <c r="X391" s="56">
        <v>0</v>
      </c>
      <c r="Y391" s="53">
        <f t="shared" ref="Y391:Y398" si="57">IFERROR(IF(X391="",0,CEILING((X391/$H391),1)*$H391),"")</f>
        <v>0</v>
      </c>
      <c r="Z391" s="39" t="str">
        <f>IFERROR(IF(Y391=0,"",ROUNDUP(Y391/H391,0)*0.02175),"")</f>
        <v/>
      </c>
      <c r="AA391" s="65" t="s">
        <v>46</v>
      </c>
      <c r="AB391" s="66" t="s">
        <v>46</v>
      </c>
      <c r="AC391" s="481" t="s">
        <v>658</v>
      </c>
      <c r="AG391" s="75"/>
      <c r="AJ391" s="79" t="s">
        <v>46</v>
      </c>
      <c r="AK391" s="79">
        <v>0</v>
      </c>
      <c r="BB391" s="482" t="s">
        <v>67</v>
      </c>
      <c r="BM391" s="75">
        <f t="shared" ref="BM391:BM398" si="58">IFERROR(X391*I391/H391,"0")</f>
        <v>0</v>
      </c>
      <c r="BN391" s="75">
        <f t="shared" ref="BN391:BN398" si="59">IFERROR(Y391*I391/H391,"0")</f>
        <v>0</v>
      </c>
      <c r="BO391" s="75">
        <f t="shared" ref="BO391:BO398" si="60">IFERROR(1/J391*(X391/H391),"0")</f>
        <v>0</v>
      </c>
      <c r="BP391" s="75">
        <f t="shared" ref="BP391:BP398" si="61">IFERROR(1/J391*(Y391/H391),"0")</f>
        <v>0</v>
      </c>
    </row>
    <row r="392" spans="1:68" ht="37.5" customHeight="1" x14ac:dyDescent="0.25">
      <c r="A392" s="60" t="s">
        <v>659</v>
      </c>
      <c r="B392" s="60" t="s">
        <v>660</v>
      </c>
      <c r="C392" s="34">
        <v>4301011869</v>
      </c>
      <c r="D392" s="670">
        <v>4680115884847</v>
      </c>
      <c r="E392" s="670"/>
      <c r="F392" s="59">
        <v>2.5</v>
      </c>
      <c r="G392" s="35">
        <v>6</v>
      </c>
      <c r="H392" s="59">
        <v>15</v>
      </c>
      <c r="I392" s="59">
        <v>15.47</v>
      </c>
      <c r="J392" s="35">
        <v>48</v>
      </c>
      <c r="K392" s="35" t="s">
        <v>134</v>
      </c>
      <c r="L392" s="35" t="s">
        <v>46</v>
      </c>
      <c r="M392" s="36" t="s">
        <v>81</v>
      </c>
      <c r="N392" s="36"/>
      <c r="O392" s="35">
        <v>60</v>
      </c>
      <c r="P392" s="8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92" s="672"/>
      <c r="R392" s="672"/>
      <c r="S392" s="672"/>
      <c r="T392" s="673"/>
      <c r="U392" s="37" t="s">
        <v>46</v>
      </c>
      <c r="V392" s="37" t="s">
        <v>46</v>
      </c>
      <c r="W392" s="38" t="s">
        <v>0</v>
      </c>
      <c r="X392" s="56">
        <v>120</v>
      </c>
      <c r="Y392" s="53">
        <f t="shared" si="57"/>
        <v>120</v>
      </c>
      <c r="Z392" s="39">
        <f>IFERROR(IF(Y392=0,"",ROUNDUP(Y392/H392,0)*0.02175),"")</f>
        <v>0.17399999999999999</v>
      </c>
      <c r="AA392" s="65" t="s">
        <v>46</v>
      </c>
      <c r="AB392" s="66" t="s">
        <v>46</v>
      </c>
      <c r="AC392" s="483" t="s">
        <v>661</v>
      </c>
      <c r="AG392" s="75"/>
      <c r="AJ392" s="79" t="s">
        <v>46</v>
      </c>
      <c r="AK392" s="79">
        <v>0</v>
      </c>
      <c r="BB392" s="484" t="s">
        <v>67</v>
      </c>
      <c r="BM392" s="75">
        <f t="shared" si="58"/>
        <v>123.76</v>
      </c>
      <c r="BN392" s="75">
        <f t="shared" si="59"/>
        <v>123.76</v>
      </c>
      <c r="BO392" s="75">
        <f t="shared" si="60"/>
        <v>0.16666666666666666</v>
      </c>
      <c r="BP392" s="75">
        <f t="shared" si="61"/>
        <v>0.16666666666666666</v>
      </c>
    </row>
    <row r="393" spans="1:68" ht="27" hidden="1" customHeight="1" x14ac:dyDescent="0.25">
      <c r="A393" s="60" t="s">
        <v>662</v>
      </c>
      <c r="B393" s="60" t="s">
        <v>663</v>
      </c>
      <c r="C393" s="34">
        <v>4301012083</v>
      </c>
      <c r="D393" s="670">
        <v>4680115884854</v>
      </c>
      <c r="E393" s="670"/>
      <c r="F393" s="59">
        <v>2.5</v>
      </c>
      <c r="G393" s="35">
        <v>6</v>
      </c>
      <c r="H393" s="59">
        <v>15</v>
      </c>
      <c r="I393" s="59">
        <v>15.47</v>
      </c>
      <c r="J393" s="35">
        <v>48</v>
      </c>
      <c r="K393" s="35" t="s">
        <v>134</v>
      </c>
      <c r="L393" s="35" t="s">
        <v>46</v>
      </c>
      <c r="M393" s="36" t="s">
        <v>133</v>
      </c>
      <c r="N393" s="36"/>
      <c r="O393" s="35">
        <v>60</v>
      </c>
      <c r="P393" s="88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93" s="672"/>
      <c r="R393" s="672"/>
      <c r="S393" s="672"/>
      <c r="T393" s="673"/>
      <c r="U393" s="37" t="s">
        <v>46</v>
      </c>
      <c r="V393" s="37" t="s">
        <v>46</v>
      </c>
      <c r="W393" s="38" t="s">
        <v>0</v>
      </c>
      <c r="X393" s="56">
        <v>0</v>
      </c>
      <c r="Y393" s="53">
        <f t="shared" si="57"/>
        <v>0</v>
      </c>
      <c r="Z393" s="39" t="str">
        <f>IFERROR(IF(Y393=0,"",ROUNDUP(Y393/H393,0)*0.02175),"")</f>
        <v/>
      </c>
      <c r="AA393" s="65" t="s">
        <v>46</v>
      </c>
      <c r="AB393" s="66" t="s">
        <v>46</v>
      </c>
      <c r="AC393" s="485" t="s">
        <v>664</v>
      </c>
      <c r="AG393" s="75"/>
      <c r="AJ393" s="79" t="s">
        <v>46</v>
      </c>
      <c r="AK393" s="79">
        <v>0</v>
      </c>
      <c r="BB393" s="486" t="s">
        <v>67</v>
      </c>
      <c r="BM393" s="75">
        <f t="shared" si="58"/>
        <v>0</v>
      </c>
      <c r="BN393" s="75">
        <f t="shared" si="59"/>
        <v>0</v>
      </c>
      <c r="BO393" s="75">
        <f t="shared" si="60"/>
        <v>0</v>
      </c>
      <c r="BP393" s="75">
        <f t="shared" si="61"/>
        <v>0</v>
      </c>
    </row>
    <row r="394" spans="1:68" ht="27" hidden="1" customHeight="1" x14ac:dyDescent="0.25">
      <c r="A394" s="60" t="s">
        <v>665</v>
      </c>
      <c r="B394" s="60" t="s">
        <v>666</v>
      </c>
      <c r="C394" s="34">
        <v>4301011867</v>
      </c>
      <c r="D394" s="670">
        <v>4680115884830</v>
      </c>
      <c r="E394" s="670"/>
      <c r="F394" s="59">
        <v>2.5</v>
      </c>
      <c r="G394" s="35">
        <v>6</v>
      </c>
      <c r="H394" s="59">
        <v>15</v>
      </c>
      <c r="I394" s="59">
        <v>15.47</v>
      </c>
      <c r="J394" s="35">
        <v>48</v>
      </c>
      <c r="K394" s="35" t="s">
        <v>134</v>
      </c>
      <c r="L394" s="35" t="s">
        <v>46</v>
      </c>
      <c r="M394" s="36" t="s">
        <v>81</v>
      </c>
      <c r="N394" s="36"/>
      <c r="O394" s="35">
        <v>60</v>
      </c>
      <c r="P394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94" s="672"/>
      <c r="R394" s="672"/>
      <c r="S394" s="672"/>
      <c r="T394" s="673"/>
      <c r="U394" s="37" t="s">
        <v>46</v>
      </c>
      <c r="V394" s="37" t="s">
        <v>46</v>
      </c>
      <c r="W394" s="38" t="s">
        <v>0</v>
      </c>
      <c r="X394" s="56">
        <v>0</v>
      </c>
      <c r="Y394" s="53">
        <f t="shared" si="57"/>
        <v>0</v>
      </c>
      <c r="Z394" s="39" t="str">
        <f>IFERROR(IF(Y394=0,"",ROUNDUP(Y394/H394,0)*0.02175),"")</f>
        <v/>
      </c>
      <c r="AA394" s="65" t="s">
        <v>46</v>
      </c>
      <c r="AB394" s="66" t="s">
        <v>46</v>
      </c>
      <c r="AC394" s="487" t="s">
        <v>667</v>
      </c>
      <c r="AG394" s="75"/>
      <c r="AJ394" s="79" t="s">
        <v>46</v>
      </c>
      <c r="AK394" s="79">
        <v>0</v>
      </c>
      <c r="BB394" s="488" t="s">
        <v>67</v>
      </c>
      <c r="BM394" s="75">
        <f t="shared" si="58"/>
        <v>0</v>
      </c>
      <c r="BN394" s="75">
        <f t="shared" si="59"/>
        <v>0</v>
      </c>
      <c r="BO394" s="75">
        <f t="shared" si="60"/>
        <v>0</v>
      </c>
      <c r="BP394" s="75">
        <f t="shared" si="61"/>
        <v>0</v>
      </c>
    </row>
    <row r="395" spans="1:68" ht="27" hidden="1" customHeight="1" x14ac:dyDescent="0.25">
      <c r="A395" s="60" t="s">
        <v>668</v>
      </c>
      <c r="B395" s="60" t="s">
        <v>669</v>
      </c>
      <c r="C395" s="34">
        <v>4301012356</v>
      </c>
      <c r="D395" s="670">
        <v>4680115889231</v>
      </c>
      <c r="E395" s="670"/>
      <c r="F395" s="59">
        <v>2.5</v>
      </c>
      <c r="G395" s="35">
        <v>6</v>
      </c>
      <c r="H395" s="59">
        <v>15</v>
      </c>
      <c r="I395" s="59">
        <v>15.47</v>
      </c>
      <c r="J395" s="35">
        <v>48</v>
      </c>
      <c r="K395" s="35" t="s">
        <v>134</v>
      </c>
      <c r="L395" s="35" t="s">
        <v>46</v>
      </c>
      <c r="M395" s="36" t="s">
        <v>97</v>
      </c>
      <c r="N395" s="36"/>
      <c r="O395" s="35">
        <v>60</v>
      </c>
      <c r="P395" s="8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395" s="672"/>
      <c r="R395" s="672"/>
      <c r="S395" s="672"/>
      <c r="T395" s="673"/>
      <c r="U395" s="37" t="s">
        <v>46</v>
      </c>
      <c r="V395" s="37" t="s">
        <v>46</v>
      </c>
      <c r="W395" s="38" t="s">
        <v>0</v>
      </c>
      <c r="X395" s="56">
        <v>0</v>
      </c>
      <c r="Y395" s="53">
        <f t="shared" si="57"/>
        <v>0</v>
      </c>
      <c r="Z395" s="39" t="str">
        <f>IFERROR(IF(Y395=0,"",ROUNDUP(Y395/H395,0)*0.02175),"")</f>
        <v/>
      </c>
      <c r="AA395" s="65" t="s">
        <v>46</v>
      </c>
      <c r="AB395" s="66" t="s">
        <v>46</v>
      </c>
      <c r="AC395" s="489" t="s">
        <v>670</v>
      </c>
      <c r="AG395" s="75"/>
      <c r="AJ395" s="79" t="s">
        <v>46</v>
      </c>
      <c r="AK395" s="79">
        <v>0</v>
      </c>
      <c r="BB395" s="490" t="s">
        <v>67</v>
      </c>
      <c r="BM395" s="75">
        <f t="shared" si="58"/>
        <v>0</v>
      </c>
      <c r="BN395" s="75">
        <f t="shared" si="59"/>
        <v>0</v>
      </c>
      <c r="BO395" s="75">
        <f t="shared" si="60"/>
        <v>0</v>
      </c>
      <c r="BP395" s="75">
        <f t="shared" si="61"/>
        <v>0</v>
      </c>
    </row>
    <row r="396" spans="1:68" ht="27" customHeight="1" x14ac:dyDescent="0.25">
      <c r="A396" s="60" t="s">
        <v>671</v>
      </c>
      <c r="B396" s="60" t="s">
        <v>672</v>
      </c>
      <c r="C396" s="34">
        <v>4301011433</v>
      </c>
      <c r="D396" s="670">
        <v>4680115882638</v>
      </c>
      <c r="E396" s="670"/>
      <c r="F396" s="59">
        <v>0.4</v>
      </c>
      <c r="G396" s="35">
        <v>10</v>
      </c>
      <c r="H396" s="59">
        <v>4</v>
      </c>
      <c r="I396" s="59">
        <v>4.1900000000000004</v>
      </c>
      <c r="J396" s="35">
        <v>132</v>
      </c>
      <c r="K396" s="35" t="s">
        <v>141</v>
      </c>
      <c r="L396" s="35" t="s">
        <v>46</v>
      </c>
      <c r="M396" s="36" t="s">
        <v>133</v>
      </c>
      <c r="N396" s="36"/>
      <c r="O396" s="35">
        <v>90</v>
      </c>
      <c r="P396" s="88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6" s="672"/>
      <c r="R396" s="672"/>
      <c r="S396" s="672"/>
      <c r="T396" s="673"/>
      <c r="U396" s="37" t="s">
        <v>46</v>
      </c>
      <c r="V396" s="37" t="s">
        <v>46</v>
      </c>
      <c r="W396" s="38" t="s">
        <v>0</v>
      </c>
      <c r="X396" s="56">
        <v>8</v>
      </c>
      <c r="Y396" s="53">
        <f t="shared" si="57"/>
        <v>8</v>
      </c>
      <c r="Z396" s="39">
        <f>IFERROR(IF(Y396=0,"",ROUNDUP(Y396/H396,0)*0.00902),"")</f>
        <v>1.804E-2</v>
      </c>
      <c r="AA396" s="65" t="s">
        <v>46</v>
      </c>
      <c r="AB396" s="66" t="s">
        <v>46</v>
      </c>
      <c r="AC396" s="491" t="s">
        <v>673</v>
      </c>
      <c r="AG396" s="75"/>
      <c r="AJ396" s="79" t="s">
        <v>46</v>
      </c>
      <c r="AK396" s="79">
        <v>0</v>
      </c>
      <c r="BB396" s="492" t="s">
        <v>67</v>
      </c>
      <c r="BM396" s="75">
        <f t="shared" si="58"/>
        <v>8.3800000000000008</v>
      </c>
      <c r="BN396" s="75">
        <f t="shared" si="59"/>
        <v>8.3800000000000008</v>
      </c>
      <c r="BO396" s="75">
        <f t="shared" si="60"/>
        <v>1.5151515151515152E-2</v>
      </c>
      <c r="BP396" s="75">
        <f t="shared" si="61"/>
        <v>1.5151515151515152E-2</v>
      </c>
    </row>
    <row r="397" spans="1:68" ht="27" hidden="1" customHeight="1" x14ac:dyDescent="0.25">
      <c r="A397" s="60" t="s">
        <v>674</v>
      </c>
      <c r="B397" s="60" t="s">
        <v>675</v>
      </c>
      <c r="C397" s="34">
        <v>4301011952</v>
      </c>
      <c r="D397" s="670">
        <v>4680115884922</v>
      </c>
      <c r="E397" s="670"/>
      <c r="F397" s="59">
        <v>0.5</v>
      </c>
      <c r="G397" s="35">
        <v>10</v>
      </c>
      <c r="H397" s="59">
        <v>5</v>
      </c>
      <c r="I397" s="59">
        <v>5.19</v>
      </c>
      <c r="J397" s="35">
        <v>132</v>
      </c>
      <c r="K397" s="35" t="s">
        <v>141</v>
      </c>
      <c r="L397" s="35" t="s">
        <v>46</v>
      </c>
      <c r="M397" s="36" t="s">
        <v>81</v>
      </c>
      <c r="N397" s="36"/>
      <c r="O397" s="35">
        <v>60</v>
      </c>
      <c r="P397" s="88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7" s="672"/>
      <c r="R397" s="672"/>
      <c r="S397" s="672"/>
      <c r="T397" s="673"/>
      <c r="U397" s="37" t="s">
        <v>46</v>
      </c>
      <c r="V397" s="37" t="s">
        <v>46</v>
      </c>
      <c r="W397" s="38" t="s">
        <v>0</v>
      </c>
      <c r="X397" s="56">
        <v>0</v>
      </c>
      <c r="Y397" s="53">
        <f t="shared" si="57"/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3" t="s">
        <v>676</v>
      </c>
      <c r="AG397" s="75"/>
      <c r="AJ397" s="79" t="s">
        <v>46</v>
      </c>
      <c r="AK397" s="79">
        <v>0</v>
      </c>
      <c r="BB397" s="494" t="s">
        <v>67</v>
      </c>
      <c r="BM397" s="75">
        <f t="shared" si="58"/>
        <v>0</v>
      </c>
      <c r="BN397" s="75">
        <f t="shared" si="59"/>
        <v>0</v>
      </c>
      <c r="BO397" s="75">
        <f t="shared" si="60"/>
        <v>0</v>
      </c>
      <c r="BP397" s="75">
        <f t="shared" si="61"/>
        <v>0</v>
      </c>
    </row>
    <row r="398" spans="1:68" ht="37.5" hidden="1" customHeight="1" x14ac:dyDescent="0.25">
      <c r="A398" s="60" t="s">
        <v>677</v>
      </c>
      <c r="B398" s="60" t="s">
        <v>678</v>
      </c>
      <c r="C398" s="34">
        <v>4301011868</v>
      </c>
      <c r="D398" s="670">
        <v>4680115884861</v>
      </c>
      <c r="E398" s="670"/>
      <c r="F398" s="59">
        <v>0.5</v>
      </c>
      <c r="G398" s="35">
        <v>10</v>
      </c>
      <c r="H398" s="59">
        <v>5</v>
      </c>
      <c r="I398" s="59">
        <v>5.19</v>
      </c>
      <c r="J398" s="35">
        <v>132</v>
      </c>
      <c r="K398" s="35" t="s">
        <v>141</v>
      </c>
      <c r="L398" s="35" t="s">
        <v>46</v>
      </c>
      <c r="M398" s="36" t="s">
        <v>81</v>
      </c>
      <c r="N398" s="36"/>
      <c r="O398" s="35">
        <v>60</v>
      </c>
      <c r="P398" s="8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8" s="672"/>
      <c r="R398" s="672"/>
      <c r="S398" s="672"/>
      <c r="T398" s="673"/>
      <c r="U398" s="37" t="s">
        <v>46</v>
      </c>
      <c r="V398" s="37" t="s">
        <v>46</v>
      </c>
      <c r="W398" s="38" t="s">
        <v>0</v>
      </c>
      <c r="X398" s="56">
        <v>0</v>
      </c>
      <c r="Y398" s="53">
        <f t="shared" si="57"/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5" t="s">
        <v>679</v>
      </c>
      <c r="AG398" s="75"/>
      <c r="AJ398" s="79" t="s">
        <v>46</v>
      </c>
      <c r="AK398" s="79">
        <v>0</v>
      </c>
      <c r="BB398" s="496" t="s">
        <v>67</v>
      </c>
      <c r="BM398" s="75">
        <f t="shared" si="58"/>
        <v>0</v>
      </c>
      <c r="BN398" s="75">
        <f t="shared" si="59"/>
        <v>0</v>
      </c>
      <c r="BO398" s="75">
        <f t="shared" si="60"/>
        <v>0</v>
      </c>
      <c r="BP398" s="75">
        <f t="shared" si="61"/>
        <v>0</v>
      </c>
    </row>
    <row r="399" spans="1:68" x14ac:dyDescent="0.2">
      <c r="A399" s="678"/>
      <c r="B399" s="678"/>
      <c r="C399" s="678"/>
      <c r="D399" s="678"/>
      <c r="E399" s="678"/>
      <c r="F399" s="678"/>
      <c r="G399" s="678"/>
      <c r="H399" s="678"/>
      <c r="I399" s="678"/>
      <c r="J399" s="678"/>
      <c r="K399" s="678"/>
      <c r="L399" s="678"/>
      <c r="M399" s="678"/>
      <c r="N399" s="678"/>
      <c r="O399" s="679"/>
      <c r="P399" s="675" t="s">
        <v>40</v>
      </c>
      <c r="Q399" s="676"/>
      <c r="R399" s="676"/>
      <c r="S399" s="676"/>
      <c r="T399" s="676"/>
      <c r="U399" s="676"/>
      <c r="V399" s="677"/>
      <c r="W399" s="40" t="s">
        <v>39</v>
      </c>
      <c r="X399" s="41">
        <f>IFERROR(X391/H391,"0")+IFERROR(X392/H392,"0")+IFERROR(X393/H393,"0")+IFERROR(X394/H394,"0")+IFERROR(X395/H395,"0")+IFERROR(X396/H396,"0")+IFERROR(X397/H397,"0")+IFERROR(X398/H398,"0")</f>
        <v>10</v>
      </c>
      <c r="Y399" s="41">
        <f>IFERROR(Y391/H391,"0")+IFERROR(Y392/H392,"0")+IFERROR(Y393/H393,"0")+IFERROR(Y394/H394,"0")+IFERROR(Y395/H395,"0")+IFERROR(Y396/H396,"0")+IFERROR(Y397/H397,"0")+IFERROR(Y398/H398,"0")</f>
        <v>10</v>
      </c>
      <c r="Z399" s="41">
        <f>IFERROR(IF(Z391="",0,Z391),"0")+IFERROR(IF(Z392="",0,Z392),"0")+IFERROR(IF(Z393="",0,Z393),"0")+IFERROR(IF(Z394="",0,Z394),"0")+IFERROR(IF(Z395="",0,Z395),"0")+IFERROR(IF(Z396="",0,Z396),"0")+IFERROR(IF(Z397="",0,Z397),"0")+IFERROR(IF(Z398="",0,Z398),"0")</f>
        <v>0.19203999999999999</v>
      </c>
      <c r="AA399" s="64"/>
      <c r="AB399" s="64"/>
      <c r="AC399" s="64"/>
    </row>
    <row r="400" spans="1:68" x14ac:dyDescent="0.2">
      <c r="A400" s="678"/>
      <c r="B400" s="678"/>
      <c r="C400" s="678"/>
      <c r="D400" s="678"/>
      <c r="E400" s="678"/>
      <c r="F400" s="678"/>
      <c r="G400" s="678"/>
      <c r="H400" s="678"/>
      <c r="I400" s="678"/>
      <c r="J400" s="678"/>
      <c r="K400" s="678"/>
      <c r="L400" s="678"/>
      <c r="M400" s="678"/>
      <c r="N400" s="678"/>
      <c r="O400" s="679"/>
      <c r="P400" s="675" t="s">
        <v>40</v>
      </c>
      <c r="Q400" s="676"/>
      <c r="R400" s="676"/>
      <c r="S400" s="676"/>
      <c r="T400" s="676"/>
      <c r="U400" s="676"/>
      <c r="V400" s="677"/>
      <c r="W400" s="40" t="s">
        <v>0</v>
      </c>
      <c r="X400" s="41">
        <f>IFERROR(SUM(X391:X398),"0")</f>
        <v>128</v>
      </c>
      <c r="Y400" s="41">
        <f>IFERROR(SUM(Y391:Y398),"0")</f>
        <v>128</v>
      </c>
      <c r="Z400" s="40"/>
      <c r="AA400" s="64"/>
      <c r="AB400" s="64"/>
      <c r="AC400" s="64"/>
    </row>
    <row r="401" spans="1:68" ht="14.25" hidden="1" customHeight="1" x14ac:dyDescent="0.25">
      <c r="A401" s="669" t="s">
        <v>166</v>
      </c>
      <c r="B401" s="669"/>
      <c r="C401" s="669"/>
      <c r="D401" s="669"/>
      <c r="E401" s="669"/>
      <c r="F401" s="669"/>
      <c r="G401" s="669"/>
      <c r="H401" s="669"/>
      <c r="I401" s="669"/>
      <c r="J401" s="669"/>
      <c r="K401" s="669"/>
      <c r="L401" s="669"/>
      <c r="M401" s="669"/>
      <c r="N401" s="669"/>
      <c r="O401" s="669"/>
      <c r="P401" s="669"/>
      <c r="Q401" s="669"/>
      <c r="R401" s="669"/>
      <c r="S401" s="669"/>
      <c r="T401" s="669"/>
      <c r="U401" s="669"/>
      <c r="V401" s="669"/>
      <c r="W401" s="669"/>
      <c r="X401" s="669"/>
      <c r="Y401" s="669"/>
      <c r="Z401" s="669"/>
      <c r="AA401" s="63"/>
      <c r="AB401" s="63"/>
      <c r="AC401" s="63"/>
    </row>
    <row r="402" spans="1:68" ht="27" customHeight="1" x14ac:dyDescent="0.25">
      <c r="A402" s="60" t="s">
        <v>680</v>
      </c>
      <c r="B402" s="60" t="s">
        <v>681</v>
      </c>
      <c r="C402" s="34">
        <v>4301020178</v>
      </c>
      <c r="D402" s="670">
        <v>4607091383980</v>
      </c>
      <c r="E402" s="670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134</v>
      </c>
      <c r="L402" s="35" t="s">
        <v>46</v>
      </c>
      <c r="M402" s="36" t="s">
        <v>133</v>
      </c>
      <c r="N402" s="36"/>
      <c r="O402" s="35">
        <v>50</v>
      </c>
      <c r="P402" s="88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02" s="672"/>
      <c r="R402" s="672"/>
      <c r="S402" s="672"/>
      <c r="T402" s="673"/>
      <c r="U402" s="37" t="s">
        <v>46</v>
      </c>
      <c r="V402" s="37" t="s">
        <v>46</v>
      </c>
      <c r="W402" s="38" t="s">
        <v>0</v>
      </c>
      <c r="X402" s="56">
        <v>60</v>
      </c>
      <c r="Y402" s="53">
        <f>IFERROR(IF(X402="",0,CEILING((X402/$H402),1)*$H402),"")</f>
        <v>60</v>
      </c>
      <c r="Z402" s="39">
        <f>IFERROR(IF(Y402=0,"",ROUNDUP(Y402/H402,0)*0.02175),"")</f>
        <v>8.6999999999999994E-2</v>
      </c>
      <c r="AA402" s="65" t="s">
        <v>46</v>
      </c>
      <c r="AB402" s="66" t="s">
        <v>46</v>
      </c>
      <c r="AC402" s="497" t="s">
        <v>682</v>
      </c>
      <c r="AG402" s="75"/>
      <c r="AJ402" s="79" t="s">
        <v>46</v>
      </c>
      <c r="AK402" s="79">
        <v>0</v>
      </c>
      <c r="BB402" s="498" t="s">
        <v>67</v>
      </c>
      <c r="BM402" s="75">
        <f>IFERROR(X402*I402/H402,"0")</f>
        <v>61.88</v>
      </c>
      <c r="BN402" s="75">
        <f>IFERROR(Y402*I402/H402,"0")</f>
        <v>61.88</v>
      </c>
      <c r="BO402" s="75">
        <f>IFERROR(1/J402*(X402/H402),"0")</f>
        <v>8.3333333333333329E-2</v>
      </c>
      <c r="BP402" s="75">
        <f>IFERROR(1/J402*(Y402/H402),"0")</f>
        <v>8.3333333333333329E-2</v>
      </c>
    </row>
    <row r="403" spans="1:68" ht="27" hidden="1" customHeight="1" x14ac:dyDescent="0.25">
      <c r="A403" s="60" t="s">
        <v>683</v>
      </c>
      <c r="B403" s="60" t="s">
        <v>684</v>
      </c>
      <c r="C403" s="34">
        <v>4301020355</v>
      </c>
      <c r="D403" s="670">
        <v>4680115888425</v>
      </c>
      <c r="E403" s="670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134</v>
      </c>
      <c r="L403" s="35" t="s">
        <v>46</v>
      </c>
      <c r="M403" s="36" t="s">
        <v>133</v>
      </c>
      <c r="N403" s="36"/>
      <c r="O403" s="35">
        <v>50</v>
      </c>
      <c r="P403" s="88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03" s="672"/>
      <c r="R403" s="672"/>
      <c r="S403" s="672"/>
      <c r="T403" s="673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99" t="s">
        <v>685</v>
      </c>
      <c r="AG403" s="75"/>
      <c r="AJ403" s="79" t="s">
        <v>46</v>
      </c>
      <c r="AK403" s="79">
        <v>0</v>
      </c>
      <c r="BB403" s="500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686</v>
      </c>
      <c r="B404" s="60" t="s">
        <v>687</v>
      </c>
      <c r="C404" s="34">
        <v>4301020179</v>
      </c>
      <c r="D404" s="670">
        <v>4607091384178</v>
      </c>
      <c r="E404" s="670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141</v>
      </c>
      <c r="L404" s="35" t="s">
        <v>46</v>
      </c>
      <c r="M404" s="36" t="s">
        <v>133</v>
      </c>
      <c r="N404" s="36"/>
      <c r="O404" s="35">
        <v>50</v>
      </c>
      <c r="P404" s="8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04" s="672"/>
      <c r="R404" s="672"/>
      <c r="S404" s="672"/>
      <c r="T404" s="673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501" t="s">
        <v>688</v>
      </c>
      <c r="AG404" s="75"/>
      <c r="AJ404" s="79" t="s">
        <v>46</v>
      </c>
      <c r="AK404" s="79">
        <v>0</v>
      </c>
      <c r="BB404" s="502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x14ac:dyDescent="0.2">
      <c r="A405" s="678"/>
      <c r="B405" s="678"/>
      <c r="C405" s="678"/>
      <c r="D405" s="678"/>
      <c r="E405" s="678"/>
      <c r="F405" s="678"/>
      <c r="G405" s="678"/>
      <c r="H405" s="678"/>
      <c r="I405" s="678"/>
      <c r="J405" s="678"/>
      <c r="K405" s="678"/>
      <c r="L405" s="678"/>
      <c r="M405" s="678"/>
      <c r="N405" s="678"/>
      <c r="O405" s="679"/>
      <c r="P405" s="675" t="s">
        <v>40</v>
      </c>
      <c r="Q405" s="676"/>
      <c r="R405" s="676"/>
      <c r="S405" s="676"/>
      <c r="T405" s="676"/>
      <c r="U405" s="676"/>
      <c r="V405" s="677"/>
      <c r="W405" s="40" t="s">
        <v>39</v>
      </c>
      <c r="X405" s="41">
        <f>IFERROR(X402/H402,"0")+IFERROR(X403/H403,"0")+IFERROR(X404/H404,"0")</f>
        <v>4</v>
      </c>
      <c r="Y405" s="41">
        <f>IFERROR(Y402/H402,"0")+IFERROR(Y403/H403,"0")+IFERROR(Y404/H404,"0")</f>
        <v>4</v>
      </c>
      <c r="Z405" s="41">
        <f>IFERROR(IF(Z402="",0,Z402),"0")+IFERROR(IF(Z403="",0,Z403),"0")+IFERROR(IF(Z404="",0,Z404),"0")</f>
        <v>8.6999999999999994E-2</v>
      </c>
      <c r="AA405" s="64"/>
      <c r="AB405" s="64"/>
      <c r="AC405" s="64"/>
    </row>
    <row r="406" spans="1:68" x14ac:dyDescent="0.2">
      <c r="A406" s="678"/>
      <c r="B406" s="678"/>
      <c r="C406" s="678"/>
      <c r="D406" s="678"/>
      <c r="E406" s="678"/>
      <c r="F406" s="678"/>
      <c r="G406" s="678"/>
      <c r="H406" s="678"/>
      <c r="I406" s="678"/>
      <c r="J406" s="678"/>
      <c r="K406" s="678"/>
      <c r="L406" s="678"/>
      <c r="M406" s="678"/>
      <c r="N406" s="678"/>
      <c r="O406" s="679"/>
      <c r="P406" s="675" t="s">
        <v>40</v>
      </c>
      <c r="Q406" s="676"/>
      <c r="R406" s="676"/>
      <c r="S406" s="676"/>
      <c r="T406" s="676"/>
      <c r="U406" s="676"/>
      <c r="V406" s="677"/>
      <c r="W406" s="40" t="s">
        <v>0</v>
      </c>
      <c r="X406" s="41">
        <f>IFERROR(SUM(X402:X404),"0")</f>
        <v>60</v>
      </c>
      <c r="Y406" s="41">
        <f>IFERROR(SUM(Y402:Y404),"0")</f>
        <v>60</v>
      </c>
      <c r="Z406" s="40"/>
      <c r="AA406" s="64"/>
      <c r="AB406" s="64"/>
      <c r="AC406" s="64"/>
    </row>
    <row r="407" spans="1:68" ht="14.25" hidden="1" customHeight="1" x14ac:dyDescent="0.25">
      <c r="A407" s="669" t="s">
        <v>86</v>
      </c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69"/>
      <c r="P407" s="669"/>
      <c r="Q407" s="669"/>
      <c r="R407" s="669"/>
      <c r="S407" s="669"/>
      <c r="T407" s="669"/>
      <c r="U407" s="669"/>
      <c r="V407" s="669"/>
      <c r="W407" s="669"/>
      <c r="X407" s="669"/>
      <c r="Y407" s="669"/>
      <c r="Z407" s="669"/>
      <c r="AA407" s="63"/>
      <c r="AB407" s="63"/>
      <c r="AC407" s="63"/>
    </row>
    <row r="408" spans="1:68" ht="27" hidden="1" customHeight="1" x14ac:dyDescent="0.25">
      <c r="A408" s="60" t="s">
        <v>689</v>
      </c>
      <c r="B408" s="60" t="s">
        <v>690</v>
      </c>
      <c r="C408" s="34">
        <v>4301051903</v>
      </c>
      <c r="D408" s="670">
        <v>4607091383928</v>
      </c>
      <c r="E408" s="670"/>
      <c r="F408" s="59">
        <v>1.5</v>
      </c>
      <c r="G408" s="35">
        <v>6</v>
      </c>
      <c r="H408" s="59">
        <v>9</v>
      </c>
      <c r="I408" s="59">
        <v>9.5</v>
      </c>
      <c r="J408" s="35">
        <v>64</v>
      </c>
      <c r="K408" s="35" t="s">
        <v>134</v>
      </c>
      <c r="L408" s="35" t="s">
        <v>46</v>
      </c>
      <c r="M408" s="36" t="s">
        <v>90</v>
      </c>
      <c r="N408" s="36"/>
      <c r="O408" s="35">
        <v>40</v>
      </c>
      <c r="P408" s="8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08" s="672"/>
      <c r="R408" s="672"/>
      <c r="S408" s="672"/>
      <c r="T408" s="673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IFERROR(IF(Y408=0,"",ROUNDUP(Y408/H408,0)*0.01898),"")</f>
        <v/>
      </c>
      <c r="AA408" s="65" t="s">
        <v>46</v>
      </c>
      <c r="AB408" s="66" t="s">
        <v>46</v>
      </c>
      <c r="AC408" s="503" t="s">
        <v>691</v>
      </c>
      <c r="AG408" s="75"/>
      <c r="AJ408" s="79" t="s">
        <v>46</v>
      </c>
      <c r="AK408" s="79">
        <v>0</v>
      </c>
      <c r="BB408" s="504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692</v>
      </c>
      <c r="B409" s="60" t="s">
        <v>693</v>
      </c>
      <c r="C409" s="34">
        <v>4301051897</v>
      </c>
      <c r="D409" s="670">
        <v>4607091384260</v>
      </c>
      <c r="E409" s="670"/>
      <c r="F409" s="59">
        <v>1.5</v>
      </c>
      <c r="G409" s="35">
        <v>6</v>
      </c>
      <c r="H409" s="59">
        <v>9</v>
      </c>
      <c r="I409" s="59">
        <v>9.4939999999999998</v>
      </c>
      <c r="J409" s="35">
        <v>64</v>
      </c>
      <c r="K409" s="35" t="s">
        <v>134</v>
      </c>
      <c r="L409" s="35" t="s">
        <v>46</v>
      </c>
      <c r="M409" s="36" t="s">
        <v>90</v>
      </c>
      <c r="N409" s="36"/>
      <c r="O409" s="35">
        <v>40</v>
      </c>
      <c r="P409" s="8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09" s="672"/>
      <c r="R409" s="672"/>
      <c r="S409" s="672"/>
      <c r="T409" s="673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IFERROR(IF(Y409=0,"",ROUNDUP(Y409/H409,0)*0.01898),"")</f>
        <v/>
      </c>
      <c r="AA409" s="65" t="s">
        <v>46</v>
      </c>
      <c r="AB409" s="66" t="s">
        <v>46</v>
      </c>
      <c r="AC409" s="505" t="s">
        <v>694</v>
      </c>
      <c r="AG409" s="75"/>
      <c r="AJ409" s="79" t="s">
        <v>46</v>
      </c>
      <c r="AK409" s="79">
        <v>0</v>
      </c>
      <c r="BB409" s="506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idden="1" x14ac:dyDescent="0.2">
      <c r="A410" s="678"/>
      <c r="B410" s="678"/>
      <c r="C410" s="678"/>
      <c r="D410" s="678"/>
      <c r="E410" s="678"/>
      <c r="F410" s="678"/>
      <c r="G410" s="678"/>
      <c r="H410" s="678"/>
      <c r="I410" s="678"/>
      <c r="J410" s="678"/>
      <c r="K410" s="678"/>
      <c r="L410" s="678"/>
      <c r="M410" s="678"/>
      <c r="N410" s="678"/>
      <c r="O410" s="679"/>
      <c r="P410" s="675" t="s">
        <v>40</v>
      </c>
      <c r="Q410" s="676"/>
      <c r="R410" s="676"/>
      <c r="S410" s="676"/>
      <c r="T410" s="676"/>
      <c r="U410" s="676"/>
      <c r="V410" s="677"/>
      <c r="W410" s="40" t="s">
        <v>39</v>
      </c>
      <c r="X410" s="41">
        <f>IFERROR(X408/H408,"0")+IFERROR(X409/H409,"0")</f>
        <v>0</v>
      </c>
      <c r="Y410" s="41">
        <f>IFERROR(Y408/H408,"0")+IFERROR(Y409/H409,"0")</f>
        <v>0</v>
      </c>
      <c r="Z410" s="41">
        <f>IFERROR(IF(Z408="",0,Z408),"0")+IFERROR(IF(Z409="",0,Z409),"0")</f>
        <v>0</v>
      </c>
      <c r="AA410" s="64"/>
      <c r="AB410" s="64"/>
      <c r="AC410" s="64"/>
    </row>
    <row r="411" spans="1:68" hidden="1" x14ac:dyDescent="0.2">
      <c r="A411" s="678"/>
      <c r="B411" s="678"/>
      <c r="C411" s="678"/>
      <c r="D411" s="678"/>
      <c r="E411" s="678"/>
      <c r="F411" s="678"/>
      <c r="G411" s="678"/>
      <c r="H411" s="678"/>
      <c r="I411" s="678"/>
      <c r="J411" s="678"/>
      <c r="K411" s="678"/>
      <c r="L411" s="678"/>
      <c r="M411" s="678"/>
      <c r="N411" s="678"/>
      <c r="O411" s="679"/>
      <c r="P411" s="675" t="s">
        <v>40</v>
      </c>
      <c r="Q411" s="676"/>
      <c r="R411" s="676"/>
      <c r="S411" s="676"/>
      <c r="T411" s="676"/>
      <c r="U411" s="676"/>
      <c r="V411" s="677"/>
      <c r="W411" s="40" t="s">
        <v>0</v>
      </c>
      <c r="X411" s="41">
        <f>IFERROR(SUM(X408:X409),"0")</f>
        <v>0</v>
      </c>
      <c r="Y411" s="41">
        <f>IFERROR(SUM(Y408:Y409),"0")</f>
        <v>0</v>
      </c>
      <c r="Z411" s="40"/>
      <c r="AA411" s="64"/>
      <c r="AB411" s="64"/>
      <c r="AC411" s="64"/>
    </row>
    <row r="412" spans="1:68" ht="14.25" hidden="1" customHeight="1" x14ac:dyDescent="0.25">
      <c r="A412" s="669" t="s">
        <v>183</v>
      </c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69"/>
      <c r="P412" s="669"/>
      <c r="Q412" s="669"/>
      <c r="R412" s="669"/>
      <c r="S412" s="669"/>
      <c r="T412" s="669"/>
      <c r="U412" s="669"/>
      <c r="V412" s="669"/>
      <c r="W412" s="669"/>
      <c r="X412" s="669"/>
      <c r="Y412" s="669"/>
      <c r="Z412" s="669"/>
      <c r="AA412" s="63"/>
      <c r="AB412" s="63"/>
      <c r="AC412" s="63"/>
    </row>
    <row r="413" spans="1:68" ht="16.5" hidden="1" customHeight="1" x14ac:dyDescent="0.25">
      <c r="A413" s="60" t="s">
        <v>695</v>
      </c>
      <c r="B413" s="60" t="s">
        <v>696</v>
      </c>
      <c r="C413" s="34">
        <v>4301060524</v>
      </c>
      <c r="D413" s="670">
        <v>4607091384673</v>
      </c>
      <c r="E413" s="670"/>
      <c r="F413" s="59">
        <v>1.5</v>
      </c>
      <c r="G413" s="35">
        <v>6</v>
      </c>
      <c r="H413" s="59">
        <v>9</v>
      </c>
      <c r="I413" s="59">
        <v>9.4939999999999998</v>
      </c>
      <c r="J413" s="35">
        <v>64</v>
      </c>
      <c r="K413" s="35" t="s">
        <v>134</v>
      </c>
      <c r="L413" s="35" t="s">
        <v>46</v>
      </c>
      <c r="M413" s="36" t="s">
        <v>90</v>
      </c>
      <c r="N413" s="36"/>
      <c r="O413" s="35">
        <v>40</v>
      </c>
      <c r="P413" s="89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13" s="672"/>
      <c r="R413" s="672"/>
      <c r="S413" s="672"/>
      <c r="T413" s="67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07" t="s">
        <v>697</v>
      </c>
      <c r="AG413" s="75"/>
      <c r="AJ413" s="79" t="s">
        <v>46</v>
      </c>
      <c r="AK413" s="79">
        <v>0</v>
      </c>
      <c r="BB413" s="508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78"/>
      <c r="B414" s="678"/>
      <c r="C414" s="678"/>
      <c r="D414" s="678"/>
      <c r="E414" s="678"/>
      <c r="F414" s="678"/>
      <c r="G414" s="678"/>
      <c r="H414" s="678"/>
      <c r="I414" s="678"/>
      <c r="J414" s="678"/>
      <c r="K414" s="678"/>
      <c r="L414" s="678"/>
      <c r="M414" s="678"/>
      <c r="N414" s="678"/>
      <c r="O414" s="679"/>
      <c r="P414" s="675" t="s">
        <v>40</v>
      </c>
      <c r="Q414" s="676"/>
      <c r="R414" s="676"/>
      <c r="S414" s="676"/>
      <c r="T414" s="676"/>
      <c r="U414" s="676"/>
      <c r="V414" s="677"/>
      <c r="W414" s="40" t="s">
        <v>39</v>
      </c>
      <c r="X414" s="41">
        <f>IFERROR(X413/H413,"0")</f>
        <v>0</v>
      </c>
      <c r="Y414" s="41">
        <f>IFERROR(Y413/H413,"0")</f>
        <v>0</v>
      </c>
      <c r="Z414" s="41">
        <f>IFERROR(IF(Z413="",0,Z413),"0")</f>
        <v>0</v>
      </c>
      <c r="AA414" s="64"/>
      <c r="AB414" s="64"/>
      <c r="AC414" s="64"/>
    </row>
    <row r="415" spans="1:68" hidden="1" x14ac:dyDescent="0.2">
      <c r="A415" s="678"/>
      <c r="B415" s="678"/>
      <c r="C415" s="678"/>
      <c r="D415" s="678"/>
      <c r="E415" s="678"/>
      <c r="F415" s="678"/>
      <c r="G415" s="678"/>
      <c r="H415" s="678"/>
      <c r="I415" s="678"/>
      <c r="J415" s="678"/>
      <c r="K415" s="678"/>
      <c r="L415" s="678"/>
      <c r="M415" s="678"/>
      <c r="N415" s="678"/>
      <c r="O415" s="679"/>
      <c r="P415" s="675" t="s">
        <v>40</v>
      </c>
      <c r="Q415" s="676"/>
      <c r="R415" s="676"/>
      <c r="S415" s="676"/>
      <c r="T415" s="676"/>
      <c r="U415" s="676"/>
      <c r="V415" s="677"/>
      <c r="W415" s="40" t="s">
        <v>0</v>
      </c>
      <c r="X415" s="41">
        <f>IFERROR(SUM(X413:X413),"0")</f>
        <v>0</v>
      </c>
      <c r="Y415" s="41">
        <f>IFERROR(SUM(Y413:Y413),"0")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68" t="s">
        <v>698</v>
      </c>
      <c r="B416" s="668"/>
      <c r="C416" s="668"/>
      <c r="D416" s="668"/>
      <c r="E416" s="668"/>
      <c r="F416" s="668"/>
      <c r="G416" s="668"/>
      <c r="H416" s="668"/>
      <c r="I416" s="668"/>
      <c r="J416" s="668"/>
      <c r="K416" s="668"/>
      <c r="L416" s="668"/>
      <c r="M416" s="668"/>
      <c r="N416" s="668"/>
      <c r="O416" s="668"/>
      <c r="P416" s="668"/>
      <c r="Q416" s="668"/>
      <c r="R416" s="668"/>
      <c r="S416" s="668"/>
      <c r="T416" s="668"/>
      <c r="U416" s="668"/>
      <c r="V416" s="668"/>
      <c r="W416" s="668"/>
      <c r="X416" s="668"/>
      <c r="Y416" s="668"/>
      <c r="Z416" s="668"/>
      <c r="AA416" s="62"/>
      <c r="AB416" s="62"/>
      <c r="AC416" s="62"/>
    </row>
    <row r="417" spans="1:68" ht="14.25" hidden="1" customHeight="1" x14ac:dyDescent="0.25">
      <c r="A417" s="669" t="s">
        <v>129</v>
      </c>
      <c r="B417" s="669"/>
      <c r="C417" s="669"/>
      <c r="D417" s="669"/>
      <c r="E417" s="669"/>
      <c r="F417" s="669"/>
      <c r="G417" s="669"/>
      <c r="H417" s="669"/>
      <c r="I417" s="669"/>
      <c r="J417" s="669"/>
      <c r="K417" s="669"/>
      <c r="L417" s="669"/>
      <c r="M417" s="669"/>
      <c r="N417" s="669"/>
      <c r="O417" s="669"/>
      <c r="P417" s="669"/>
      <c r="Q417" s="669"/>
      <c r="R417" s="669"/>
      <c r="S417" s="669"/>
      <c r="T417" s="669"/>
      <c r="U417" s="669"/>
      <c r="V417" s="669"/>
      <c r="W417" s="669"/>
      <c r="X417" s="669"/>
      <c r="Y417" s="669"/>
      <c r="Z417" s="669"/>
      <c r="AA417" s="63"/>
      <c r="AB417" s="63"/>
      <c r="AC417" s="63"/>
    </row>
    <row r="418" spans="1:68" ht="27" customHeight="1" x14ac:dyDescent="0.25">
      <c r="A418" s="60" t="s">
        <v>699</v>
      </c>
      <c r="B418" s="60" t="s">
        <v>700</v>
      </c>
      <c r="C418" s="34">
        <v>4301011875</v>
      </c>
      <c r="D418" s="670">
        <v>4680115884885</v>
      </c>
      <c r="E418" s="670"/>
      <c r="F418" s="59">
        <v>0.8</v>
      </c>
      <c r="G418" s="35">
        <v>15</v>
      </c>
      <c r="H418" s="59">
        <v>12</v>
      </c>
      <c r="I418" s="59">
        <v>12.41</v>
      </c>
      <c r="J418" s="35">
        <v>64</v>
      </c>
      <c r="K418" s="35" t="s">
        <v>134</v>
      </c>
      <c r="L418" s="35" t="s">
        <v>46</v>
      </c>
      <c r="M418" s="36" t="s">
        <v>81</v>
      </c>
      <c r="N418" s="36"/>
      <c r="O418" s="35">
        <v>60</v>
      </c>
      <c r="P418" s="89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8" s="672"/>
      <c r="R418" s="672"/>
      <c r="S418" s="672"/>
      <c r="T418" s="673"/>
      <c r="U418" s="37" t="s">
        <v>46</v>
      </c>
      <c r="V418" s="37" t="s">
        <v>46</v>
      </c>
      <c r="W418" s="38" t="s">
        <v>0</v>
      </c>
      <c r="X418" s="56">
        <v>100</v>
      </c>
      <c r="Y418" s="53">
        <f>IFERROR(IF(X418="",0,CEILING((X418/$H418),1)*$H418),"")</f>
        <v>108</v>
      </c>
      <c r="Z418" s="39">
        <f>IFERROR(IF(Y418=0,"",ROUNDUP(Y418/H418,0)*0.01898),"")</f>
        <v>0.17082</v>
      </c>
      <c r="AA418" s="65" t="s">
        <v>46</v>
      </c>
      <c r="AB418" s="66" t="s">
        <v>46</v>
      </c>
      <c r="AC418" s="509" t="s">
        <v>701</v>
      </c>
      <c r="AG418" s="75"/>
      <c r="AJ418" s="79" t="s">
        <v>46</v>
      </c>
      <c r="AK418" s="79">
        <v>0</v>
      </c>
      <c r="BB418" s="510" t="s">
        <v>67</v>
      </c>
      <c r="BM418" s="75">
        <f>IFERROR(X418*I418/H418,"0")</f>
        <v>103.41666666666667</v>
      </c>
      <c r="BN418" s="75">
        <f>IFERROR(Y418*I418/H418,"0")</f>
        <v>111.69</v>
      </c>
      <c r="BO418" s="75">
        <f>IFERROR(1/J418*(X418/H418),"0")</f>
        <v>0.13020833333333334</v>
      </c>
      <c r="BP418" s="75">
        <f>IFERROR(1/J418*(Y418/H418),"0")</f>
        <v>0.140625</v>
      </c>
    </row>
    <row r="419" spans="1:68" ht="37.5" hidden="1" customHeight="1" x14ac:dyDescent="0.25">
      <c r="A419" s="60" t="s">
        <v>702</v>
      </c>
      <c r="B419" s="60" t="s">
        <v>703</v>
      </c>
      <c r="C419" s="34">
        <v>4301011871</v>
      </c>
      <c r="D419" s="670">
        <v>4680115884908</v>
      </c>
      <c r="E419" s="670"/>
      <c r="F419" s="59">
        <v>0.4</v>
      </c>
      <c r="G419" s="35">
        <v>10</v>
      </c>
      <c r="H419" s="59">
        <v>4</v>
      </c>
      <c r="I419" s="59">
        <v>4.1900000000000004</v>
      </c>
      <c r="J419" s="35">
        <v>132</v>
      </c>
      <c r="K419" s="35" t="s">
        <v>141</v>
      </c>
      <c r="L419" s="35" t="s">
        <v>46</v>
      </c>
      <c r="M419" s="36" t="s">
        <v>81</v>
      </c>
      <c r="N419" s="36"/>
      <c r="O419" s="35">
        <v>60</v>
      </c>
      <c r="P419" s="8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9" s="672"/>
      <c r="R419" s="672"/>
      <c r="S419" s="672"/>
      <c r="T419" s="67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IFERROR(IF(Y419=0,"",ROUNDUP(Y419/H419,0)*0.00902),"")</f>
        <v/>
      </c>
      <c r="AA419" s="65" t="s">
        <v>46</v>
      </c>
      <c r="AB419" s="66" t="s">
        <v>46</v>
      </c>
      <c r="AC419" s="511" t="s">
        <v>701</v>
      </c>
      <c r="AG419" s="75"/>
      <c r="AJ419" s="79" t="s">
        <v>46</v>
      </c>
      <c r="AK419" s="79">
        <v>0</v>
      </c>
      <c r="BB419" s="512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x14ac:dyDescent="0.2">
      <c r="A420" s="678"/>
      <c r="B420" s="678"/>
      <c r="C420" s="678"/>
      <c r="D420" s="678"/>
      <c r="E420" s="678"/>
      <c r="F420" s="678"/>
      <c r="G420" s="678"/>
      <c r="H420" s="678"/>
      <c r="I420" s="678"/>
      <c r="J420" s="678"/>
      <c r="K420" s="678"/>
      <c r="L420" s="678"/>
      <c r="M420" s="678"/>
      <c r="N420" s="678"/>
      <c r="O420" s="679"/>
      <c r="P420" s="675" t="s">
        <v>40</v>
      </c>
      <c r="Q420" s="676"/>
      <c r="R420" s="676"/>
      <c r="S420" s="676"/>
      <c r="T420" s="676"/>
      <c r="U420" s="676"/>
      <c r="V420" s="677"/>
      <c r="W420" s="40" t="s">
        <v>39</v>
      </c>
      <c r="X420" s="41">
        <f>IFERROR(X418/H418,"0")+IFERROR(X419/H419,"0")</f>
        <v>8.3333333333333339</v>
      </c>
      <c r="Y420" s="41">
        <f>IFERROR(Y418/H418,"0")+IFERROR(Y419/H419,"0")</f>
        <v>9</v>
      </c>
      <c r="Z420" s="41">
        <f>IFERROR(IF(Z418="",0,Z418),"0")+IFERROR(IF(Z419="",0,Z419),"0")</f>
        <v>0.17082</v>
      </c>
      <c r="AA420" s="64"/>
      <c r="AB420" s="64"/>
      <c r="AC420" s="64"/>
    </row>
    <row r="421" spans="1:68" x14ac:dyDescent="0.2">
      <c r="A421" s="678"/>
      <c r="B421" s="678"/>
      <c r="C421" s="678"/>
      <c r="D421" s="678"/>
      <c r="E421" s="678"/>
      <c r="F421" s="678"/>
      <c r="G421" s="678"/>
      <c r="H421" s="678"/>
      <c r="I421" s="678"/>
      <c r="J421" s="678"/>
      <c r="K421" s="678"/>
      <c r="L421" s="678"/>
      <c r="M421" s="678"/>
      <c r="N421" s="678"/>
      <c r="O421" s="679"/>
      <c r="P421" s="675" t="s">
        <v>40</v>
      </c>
      <c r="Q421" s="676"/>
      <c r="R421" s="676"/>
      <c r="S421" s="676"/>
      <c r="T421" s="676"/>
      <c r="U421" s="676"/>
      <c r="V421" s="677"/>
      <c r="W421" s="40" t="s">
        <v>0</v>
      </c>
      <c r="X421" s="41">
        <f>IFERROR(SUM(X418:X419),"0")</f>
        <v>100</v>
      </c>
      <c r="Y421" s="41">
        <f>IFERROR(SUM(Y418:Y419),"0")</f>
        <v>108</v>
      </c>
      <c r="Z421" s="40"/>
      <c r="AA421" s="64"/>
      <c r="AB421" s="64"/>
      <c r="AC421" s="64"/>
    </row>
    <row r="422" spans="1:68" ht="14.25" hidden="1" customHeight="1" x14ac:dyDescent="0.25">
      <c r="A422" s="669" t="s">
        <v>77</v>
      </c>
      <c r="B422" s="669"/>
      <c r="C422" s="669"/>
      <c r="D422" s="669"/>
      <c r="E422" s="669"/>
      <c r="F422" s="669"/>
      <c r="G422" s="669"/>
      <c r="H422" s="669"/>
      <c r="I422" s="669"/>
      <c r="J422" s="669"/>
      <c r="K422" s="669"/>
      <c r="L422" s="669"/>
      <c r="M422" s="669"/>
      <c r="N422" s="669"/>
      <c r="O422" s="669"/>
      <c r="P422" s="669"/>
      <c r="Q422" s="669"/>
      <c r="R422" s="669"/>
      <c r="S422" s="669"/>
      <c r="T422" s="669"/>
      <c r="U422" s="669"/>
      <c r="V422" s="669"/>
      <c r="W422" s="669"/>
      <c r="X422" s="669"/>
      <c r="Y422" s="669"/>
      <c r="Z422" s="669"/>
      <c r="AA422" s="63"/>
      <c r="AB422" s="63"/>
      <c r="AC422" s="63"/>
    </row>
    <row r="423" spans="1:68" ht="27" hidden="1" customHeight="1" x14ac:dyDescent="0.25">
      <c r="A423" s="60" t="s">
        <v>704</v>
      </c>
      <c r="B423" s="60" t="s">
        <v>705</v>
      </c>
      <c r="C423" s="34">
        <v>4301031457</v>
      </c>
      <c r="D423" s="670">
        <v>4607091384802</v>
      </c>
      <c r="E423" s="670"/>
      <c r="F423" s="59">
        <v>0.7</v>
      </c>
      <c r="G423" s="35">
        <v>6</v>
      </c>
      <c r="H423" s="59">
        <v>4.2</v>
      </c>
      <c r="I423" s="59">
        <v>4.45</v>
      </c>
      <c r="J423" s="35">
        <v>132</v>
      </c>
      <c r="K423" s="35" t="s">
        <v>141</v>
      </c>
      <c r="L423" s="35" t="s">
        <v>46</v>
      </c>
      <c r="M423" s="36" t="s">
        <v>81</v>
      </c>
      <c r="N423" s="36"/>
      <c r="O423" s="35">
        <v>50</v>
      </c>
      <c r="P423" s="89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23" s="672"/>
      <c r="R423" s="672"/>
      <c r="S423" s="672"/>
      <c r="T423" s="673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IFERROR(IF(Y423=0,"",ROUNDUP(Y423/H423,0)*0.00902),"")</f>
        <v/>
      </c>
      <c r="AA423" s="65" t="s">
        <v>46</v>
      </c>
      <c r="AB423" s="66" t="s">
        <v>46</v>
      </c>
      <c r="AC423" s="513" t="s">
        <v>706</v>
      </c>
      <c r="AG423" s="75"/>
      <c r="AJ423" s="79" t="s">
        <v>46</v>
      </c>
      <c r="AK423" s="79">
        <v>0</v>
      </c>
      <c r="BB423" s="514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678"/>
      <c r="B424" s="678"/>
      <c r="C424" s="678"/>
      <c r="D424" s="678"/>
      <c r="E424" s="678"/>
      <c r="F424" s="678"/>
      <c r="G424" s="678"/>
      <c r="H424" s="678"/>
      <c r="I424" s="678"/>
      <c r="J424" s="678"/>
      <c r="K424" s="678"/>
      <c r="L424" s="678"/>
      <c r="M424" s="678"/>
      <c r="N424" s="678"/>
      <c r="O424" s="679"/>
      <c r="P424" s="675" t="s">
        <v>40</v>
      </c>
      <c r="Q424" s="676"/>
      <c r="R424" s="676"/>
      <c r="S424" s="676"/>
      <c r="T424" s="676"/>
      <c r="U424" s="676"/>
      <c r="V424" s="677"/>
      <c r="W424" s="40" t="s">
        <v>39</v>
      </c>
      <c r="X424" s="41">
        <f>IFERROR(X423/H423,"0")</f>
        <v>0</v>
      </c>
      <c r="Y424" s="41">
        <f>IFERROR(Y423/H423,"0")</f>
        <v>0</v>
      </c>
      <c r="Z424" s="41">
        <f>IFERROR(IF(Z423="",0,Z423),"0")</f>
        <v>0</v>
      </c>
      <c r="AA424" s="64"/>
      <c r="AB424" s="64"/>
      <c r="AC424" s="64"/>
    </row>
    <row r="425" spans="1:68" hidden="1" x14ac:dyDescent="0.2">
      <c r="A425" s="678"/>
      <c r="B425" s="678"/>
      <c r="C425" s="678"/>
      <c r="D425" s="678"/>
      <c r="E425" s="678"/>
      <c r="F425" s="678"/>
      <c r="G425" s="678"/>
      <c r="H425" s="678"/>
      <c r="I425" s="678"/>
      <c r="J425" s="678"/>
      <c r="K425" s="678"/>
      <c r="L425" s="678"/>
      <c r="M425" s="678"/>
      <c r="N425" s="678"/>
      <c r="O425" s="679"/>
      <c r="P425" s="675" t="s">
        <v>40</v>
      </c>
      <c r="Q425" s="676"/>
      <c r="R425" s="676"/>
      <c r="S425" s="676"/>
      <c r="T425" s="676"/>
      <c r="U425" s="676"/>
      <c r="V425" s="677"/>
      <c r="W425" s="40" t="s">
        <v>0</v>
      </c>
      <c r="X425" s="41">
        <f>IFERROR(SUM(X423:X423),"0")</f>
        <v>0</v>
      </c>
      <c r="Y425" s="41">
        <f>IFERROR(SUM(Y423:Y423),"0")</f>
        <v>0</v>
      </c>
      <c r="Z425" s="40"/>
      <c r="AA425" s="64"/>
      <c r="AB425" s="64"/>
      <c r="AC425" s="64"/>
    </row>
    <row r="426" spans="1:68" ht="14.25" hidden="1" customHeight="1" x14ac:dyDescent="0.25">
      <c r="A426" s="669" t="s">
        <v>86</v>
      </c>
      <c r="B426" s="669"/>
      <c r="C426" s="669"/>
      <c r="D426" s="669"/>
      <c r="E426" s="669"/>
      <c r="F426" s="669"/>
      <c r="G426" s="669"/>
      <c r="H426" s="669"/>
      <c r="I426" s="669"/>
      <c r="J426" s="669"/>
      <c r="K426" s="669"/>
      <c r="L426" s="669"/>
      <c r="M426" s="669"/>
      <c r="N426" s="669"/>
      <c r="O426" s="669"/>
      <c r="P426" s="669"/>
      <c r="Q426" s="669"/>
      <c r="R426" s="669"/>
      <c r="S426" s="669"/>
      <c r="T426" s="669"/>
      <c r="U426" s="669"/>
      <c r="V426" s="669"/>
      <c r="W426" s="669"/>
      <c r="X426" s="669"/>
      <c r="Y426" s="669"/>
      <c r="Z426" s="669"/>
      <c r="AA426" s="63"/>
      <c r="AB426" s="63"/>
      <c r="AC426" s="63"/>
    </row>
    <row r="427" spans="1:68" ht="27" customHeight="1" x14ac:dyDescent="0.25">
      <c r="A427" s="60" t="s">
        <v>707</v>
      </c>
      <c r="B427" s="60" t="s">
        <v>708</v>
      </c>
      <c r="C427" s="34">
        <v>4301051899</v>
      </c>
      <c r="D427" s="670">
        <v>4607091384246</v>
      </c>
      <c r="E427" s="670"/>
      <c r="F427" s="59">
        <v>1.5</v>
      </c>
      <c r="G427" s="35">
        <v>6</v>
      </c>
      <c r="H427" s="59">
        <v>9</v>
      </c>
      <c r="I427" s="59">
        <v>9.4939999999999998</v>
      </c>
      <c r="J427" s="35">
        <v>64</v>
      </c>
      <c r="K427" s="35" t="s">
        <v>134</v>
      </c>
      <c r="L427" s="35" t="s">
        <v>46</v>
      </c>
      <c r="M427" s="36" t="s">
        <v>90</v>
      </c>
      <c r="N427" s="36"/>
      <c r="O427" s="35">
        <v>40</v>
      </c>
      <c r="P427" s="8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7" s="672"/>
      <c r="R427" s="672"/>
      <c r="S427" s="672"/>
      <c r="T427" s="673"/>
      <c r="U427" s="37" t="s">
        <v>46</v>
      </c>
      <c r="V427" s="37" t="s">
        <v>46</v>
      </c>
      <c r="W427" s="38" t="s">
        <v>0</v>
      </c>
      <c r="X427" s="56">
        <v>3000</v>
      </c>
      <c r="Y427" s="53">
        <f>IFERROR(IF(X427="",0,CEILING((X427/$H427),1)*$H427),"")</f>
        <v>3006</v>
      </c>
      <c r="Z427" s="39">
        <f>IFERROR(IF(Y427=0,"",ROUNDUP(Y427/H427,0)*0.01898),"")</f>
        <v>6.3393199999999998</v>
      </c>
      <c r="AA427" s="65" t="s">
        <v>46</v>
      </c>
      <c r="AB427" s="66" t="s">
        <v>46</v>
      </c>
      <c r="AC427" s="515" t="s">
        <v>709</v>
      </c>
      <c r="AG427" s="75"/>
      <c r="AJ427" s="79" t="s">
        <v>46</v>
      </c>
      <c r="AK427" s="79">
        <v>0</v>
      </c>
      <c r="BB427" s="516" t="s">
        <v>67</v>
      </c>
      <c r="BM427" s="75">
        <f>IFERROR(X427*I427/H427,"0")</f>
        <v>3164.6666666666665</v>
      </c>
      <c r="BN427" s="75">
        <f>IFERROR(Y427*I427/H427,"0")</f>
        <v>3170.9960000000001</v>
      </c>
      <c r="BO427" s="75">
        <f>IFERROR(1/J427*(X427/H427),"0")</f>
        <v>5.208333333333333</v>
      </c>
      <c r="BP427" s="75">
        <f>IFERROR(1/J427*(Y427/H427),"0")</f>
        <v>5.21875</v>
      </c>
    </row>
    <row r="428" spans="1:68" ht="27" customHeight="1" x14ac:dyDescent="0.25">
      <c r="A428" s="60" t="s">
        <v>710</v>
      </c>
      <c r="B428" s="60" t="s">
        <v>711</v>
      </c>
      <c r="C428" s="34">
        <v>4301051660</v>
      </c>
      <c r="D428" s="670">
        <v>4607091384253</v>
      </c>
      <c r="E428" s="670"/>
      <c r="F428" s="59">
        <v>0.4</v>
      </c>
      <c r="G428" s="35">
        <v>6</v>
      </c>
      <c r="H428" s="59">
        <v>2.4</v>
      </c>
      <c r="I428" s="59">
        <v>2.6640000000000001</v>
      </c>
      <c r="J428" s="35">
        <v>182</v>
      </c>
      <c r="K428" s="35" t="s">
        <v>91</v>
      </c>
      <c r="L428" s="35" t="s">
        <v>46</v>
      </c>
      <c r="M428" s="36" t="s">
        <v>90</v>
      </c>
      <c r="N428" s="36"/>
      <c r="O428" s="35">
        <v>40</v>
      </c>
      <c r="P428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8" s="672"/>
      <c r="R428" s="672"/>
      <c r="S428" s="672"/>
      <c r="T428" s="673"/>
      <c r="U428" s="37" t="s">
        <v>46</v>
      </c>
      <c r="V428" s="37" t="s">
        <v>46</v>
      </c>
      <c r="W428" s="38" t="s">
        <v>0</v>
      </c>
      <c r="X428" s="56">
        <v>500</v>
      </c>
      <c r="Y428" s="53">
        <f>IFERROR(IF(X428="",0,CEILING((X428/$H428),1)*$H428),"")</f>
        <v>501.59999999999997</v>
      </c>
      <c r="Z428" s="39">
        <f>IFERROR(IF(Y428=0,"",ROUNDUP(Y428/H428,0)*0.00651),"")</f>
        <v>1.36059</v>
      </c>
      <c r="AA428" s="65" t="s">
        <v>46</v>
      </c>
      <c r="AB428" s="66" t="s">
        <v>46</v>
      </c>
      <c r="AC428" s="517" t="s">
        <v>709</v>
      </c>
      <c r="AG428" s="75"/>
      <c r="AJ428" s="79" t="s">
        <v>46</v>
      </c>
      <c r="AK428" s="79">
        <v>0</v>
      </c>
      <c r="BB428" s="518" t="s">
        <v>67</v>
      </c>
      <c r="BM428" s="75">
        <f>IFERROR(X428*I428/H428,"0")</f>
        <v>555</v>
      </c>
      <c r="BN428" s="75">
        <f>IFERROR(Y428*I428/H428,"0")</f>
        <v>556.77600000000007</v>
      </c>
      <c r="BO428" s="75">
        <f>IFERROR(1/J428*(X428/H428),"0")</f>
        <v>1.1446886446886448</v>
      </c>
      <c r="BP428" s="75">
        <f>IFERROR(1/J428*(Y428/H428),"0")</f>
        <v>1.1483516483516485</v>
      </c>
    </row>
    <row r="429" spans="1:68" ht="27" hidden="1" customHeight="1" x14ac:dyDescent="0.25">
      <c r="A429" s="60" t="s">
        <v>710</v>
      </c>
      <c r="B429" s="60" t="s">
        <v>712</v>
      </c>
      <c r="C429" s="34">
        <v>4301052069</v>
      </c>
      <c r="D429" s="670">
        <v>4607091384253</v>
      </c>
      <c r="E429" s="670"/>
      <c r="F429" s="59">
        <v>0.4</v>
      </c>
      <c r="G429" s="35">
        <v>6</v>
      </c>
      <c r="H429" s="59">
        <v>2.4</v>
      </c>
      <c r="I429" s="59">
        <v>2.6640000000000001</v>
      </c>
      <c r="J429" s="35">
        <v>182</v>
      </c>
      <c r="K429" s="35" t="s">
        <v>91</v>
      </c>
      <c r="L429" s="35" t="s">
        <v>46</v>
      </c>
      <c r="M429" s="36" t="s">
        <v>90</v>
      </c>
      <c r="N429" s="36"/>
      <c r="O429" s="35">
        <v>40</v>
      </c>
      <c r="P429" s="89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29" s="672"/>
      <c r="R429" s="672"/>
      <c r="S429" s="672"/>
      <c r="T429" s="673"/>
      <c r="U429" s="37" t="s">
        <v>46</v>
      </c>
      <c r="V429" s="37" t="s">
        <v>46</v>
      </c>
      <c r="W429" s="38" t="s">
        <v>0</v>
      </c>
      <c r="X429" s="56">
        <v>0</v>
      </c>
      <c r="Y429" s="53">
        <f>IFERROR(IF(X429="",0,CEILING((X429/$H429),1)*$H429),"")</f>
        <v>0</v>
      </c>
      <c r="Z429" s="39" t="str">
        <f>IFERROR(IF(Y429=0,"",ROUNDUP(Y429/H429,0)*0.00651),"")</f>
        <v/>
      </c>
      <c r="AA429" s="65" t="s">
        <v>46</v>
      </c>
      <c r="AB429" s="66" t="s">
        <v>46</v>
      </c>
      <c r="AC429" s="519" t="s">
        <v>713</v>
      </c>
      <c r="AG429" s="75"/>
      <c r="AJ429" s="79" t="s">
        <v>46</v>
      </c>
      <c r="AK429" s="79">
        <v>0</v>
      </c>
      <c r="BB429" s="520" t="s">
        <v>67</v>
      </c>
      <c r="BM429" s="75">
        <f>IFERROR(X429*I429/H429,"0")</f>
        <v>0</v>
      </c>
      <c r="BN429" s="75">
        <f>IFERROR(Y429*I429/H429,"0")</f>
        <v>0</v>
      </c>
      <c r="BO429" s="75">
        <f>IFERROR(1/J429*(X429/H429),"0")</f>
        <v>0</v>
      </c>
      <c r="BP429" s="75">
        <f>IFERROR(1/J429*(Y429/H429),"0")</f>
        <v>0</v>
      </c>
    </row>
    <row r="430" spans="1:68" x14ac:dyDescent="0.2">
      <c r="A430" s="678"/>
      <c r="B430" s="678"/>
      <c r="C430" s="678"/>
      <c r="D430" s="678"/>
      <c r="E430" s="678"/>
      <c r="F430" s="678"/>
      <c r="G430" s="678"/>
      <c r="H430" s="678"/>
      <c r="I430" s="678"/>
      <c r="J430" s="678"/>
      <c r="K430" s="678"/>
      <c r="L430" s="678"/>
      <c r="M430" s="678"/>
      <c r="N430" s="678"/>
      <c r="O430" s="679"/>
      <c r="P430" s="675" t="s">
        <v>40</v>
      </c>
      <c r="Q430" s="676"/>
      <c r="R430" s="676"/>
      <c r="S430" s="676"/>
      <c r="T430" s="676"/>
      <c r="U430" s="676"/>
      <c r="V430" s="677"/>
      <c r="W430" s="40" t="s">
        <v>39</v>
      </c>
      <c r="X430" s="41">
        <f>IFERROR(X427/H427,"0")+IFERROR(X428/H428,"0")+IFERROR(X429/H429,"0")</f>
        <v>541.66666666666663</v>
      </c>
      <c r="Y430" s="41">
        <f>IFERROR(Y427/H427,"0")+IFERROR(Y428/H428,"0")+IFERROR(Y429/H429,"0")</f>
        <v>543</v>
      </c>
      <c r="Z430" s="41">
        <f>IFERROR(IF(Z427="",0,Z427),"0")+IFERROR(IF(Z428="",0,Z428),"0")+IFERROR(IF(Z429="",0,Z429),"0")</f>
        <v>7.69991</v>
      </c>
      <c r="AA430" s="64"/>
      <c r="AB430" s="64"/>
      <c r="AC430" s="64"/>
    </row>
    <row r="431" spans="1:68" x14ac:dyDescent="0.2">
      <c r="A431" s="678"/>
      <c r="B431" s="678"/>
      <c r="C431" s="678"/>
      <c r="D431" s="678"/>
      <c r="E431" s="678"/>
      <c r="F431" s="678"/>
      <c r="G431" s="678"/>
      <c r="H431" s="678"/>
      <c r="I431" s="678"/>
      <c r="J431" s="678"/>
      <c r="K431" s="678"/>
      <c r="L431" s="678"/>
      <c r="M431" s="678"/>
      <c r="N431" s="678"/>
      <c r="O431" s="679"/>
      <c r="P431" s="675" t="s">
        <v>40</v>
      </c>
      <c r="Q431" s="676"/>
      <c r="R431" s="676"/>
      <c r="S431" s="676"/>
      <c r="T431" s="676"/>
      <c r="U431" s="676"/>
      <c r="V431" s="677"/>
      <c r="W431" s="40" t="s">
        <v>0</v>
      </c>
      <c r="X431" s="41">
        <f>IFERROR(SUM(X427:X429),"0")</f>
        <v>3500</v>
      </c>
      <c r="Y431" s="41">
        <f>IFERROR(SUM(Y427:Y429),"0")</f>
        <v>3507.6</v>
      </c>
      <c r="Z431" s="40"/>
      <c r="AA431" s="64"/>
      <c r="AB431" s="64"/>
      <c r="AC431" s="64"/>
    </row>
    <row r="432" spans="1:68" ht="27.75" hidden="1" customHeight="1" x14ac:dyDescent="0.2">
      <c r="A432" s="667" t="s">
        <v>714</v>
      </c>
      <c r="B432" s="667"/>
      <c r="C432" s="667"/>
      <c r="D432" s="667"/>
      <c r="E432" s="667"/>
      <c r="F432" s="667"/>
      <c r="G432" s="667"/>
      <c r="H432" s="667"/>
      <c r="I432" s="667"/>
      <c r="J432" s="667"/>
      <c r="K432" s="667"/>
      <c r="L432" s="667"/>
      <c r="M432" s="667"/>
      <c r="N432" s="667"/>
      <c r="O432" s="667"/>
      <c r="P432" s="667"/>
      <c r="Q432" s="667"/>
      <c r="R432" s="667"/>
      <c r="S432" s="667"/>
      <c r="T432" s="667"/>
      <c r="U432" s="667"/>
      <c r="V432" s="667"/>
      <c r="W432" s="667"/>
      <c r="X432" s="667"/>
      <c r="Y432" s="667"/>
      <c r="Z432" s="667"/>
      <c r="AA432" s="52"/>
      <c r="AB432" s="52"/>
      <c r="AC432" s="52"/>
    </row>
    <row r="433" spans="1:68" ht="16.5" hidden="1" customHeight="1" x14ac:dyDescent="0.25">
      <c r="A433" s="668" t="s">
        <v>715</v>
      </c>
      <c r="B433" s="668"/>
      <c r="C433" s="668"/>
      <c r="D433" s="668"/>
      <c r="E433" s="668"/>
      <c r="F433" s="668"/>
      <c r="G433" s="668"/>
      <c r="H433" s="668"/>
      <c r="I433" s="668"/>
      <c r="J433" s="668"/>
      <c r="K433" s="668"/>
      <c r="L433" s="668"/>
      <c r="M433" s="668"/>
      <c r="N433" s="668"/>
      <c r="O433" s="668"/>
      <c r="P433" s="668"/>
      <c r="Q433" s="668"/>
      <c r="R433" s="668"/>
      <c r="S433" s="668"/>
      <c r="T433" s="668"/>
      <c r="U433" s="668"/>
      <c r="V433" s="668"/>
      <c r="W433" s="668"/>
      <c r="X433" s="668"/>
      <c r="Y433" s="668"/>
      <c r="Z433" s="668"/>
      <c r="AA433" s="62"/>
      <c r="AB433" s="62"/>
      <c r="AC433" s="62"/>
    </row>
    <row r="434" spans="1:68" ht="14.25" hidden="1" customHeight="1" x14ac:dyDescent="0.25">
      <c r="A434" s="669" t="s">
        <v>77</v>
      </c>
      <c r="B434" s="669"/>
      <c r="C434" s="669"/>
      <c r="D434" s="669"/>
      <c r="E434" s="669"/>
      <c r="F434" s="669"/>
      <c r="G434" s="669"/>
      <c r="H434" s="669"/>
      <c r="I434" s="669"/>
      <c r="J434" s="669"/>
      <c r="K434" s="669"/>
      <c r="L434" s="669"/>
      <c r="M434" s="669"/>
      <c r="N434" s="669"/>
      <c r="O434" s="669"/>
      <c r="P434" s="669"/>
      <c r="Q434" s="669"/>
      <c r="R434" s="669"/>
      <c r="S434" s="669"/>
      <c r="T434" s="669"/>
      <c r="U434" s="669"/>
      <c r="V434" s="669"/>
      <c r="W434" s="669"/>
      <c r="X434" s="669"/>
      <c r="Y434" s="669"/>
      <c r="Z434" s="669"/>
      <c r="AA434" s="63"/>
      <c r="AB434" s="63"/>
      <c r="AC434" s="63"/>
    </row>
    <row r="435" spans="1:68" ht="27" hidden="1" customHeight="1" x14ac:dyDescent="0.25">
      <c r="A435" s="60" t="s">
        <v>716</v>
      </c>
      <c r="B435" s="60" t="s">
        <v>717</v>
      </c>
      <c r="C435" s="34">
        <v>4301031405</v>
      </c>
      <c r="D435" s="670">
        <v>4680115886100</v>
      </c>
      <c r="E435" s="670"/>
      <c r="F435" s="59">
        <v>0.9</v>
      </c>
      <c r="G435" s="35">
        <v>6</v>
      </c>
      <c r="H435" s="59">
        <v>5.4</v>
      </c>
      <c r="I435" s="59">
        <v>5.59</v>
      </c>
      <c r="J435" s="35">
        <v>132</v>
      </c>
      <c r="K435" s="35" t="s">
        <v>141</v>
      </c>
      <c r="L435" s="35" t="s">
        <v>46</v>
      </c>
      <c r="M435" s="36" t="s">
        <v>81</v>
      </c>
      <c r="N435" s="36"/>
      <c r="O435" s="35">
        <v>50</v>
      </c>
      <c r="P435" s="89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35" s="672"/>
      <c r="R435" s="672"/>
      <c r="S435" s="672"/>
      <c r="T435" s="673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ref="Y435:Y440" si="62"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21" t="s">
        <v>718</v>
      </c>
      <c r="AG435" s="75"/>
      <c r="AJ435" s="79" t="s">
        <v>46</v>
      </c>
      <c r="AK435" s="79">
        <v>0</v>
      </c>
      <c r="BB435" s="522" t="s">
        <v>67</v>
      </c>
      <c r="BM435" s="75">
        <f t="shared" ref="BM435:BM440" si="63">IFERROR(X435*I435/H435,"0")</f>
        <v>0</v>
      </c>
      <c r="BN435" s="75">
        <f t="shared" ref="BN435:BN440" si="64">IFERROR(Y435*I435/H435,"0")</f>
        <v>0</v>
      </c>
      <c r="BO435" s="75">
        <f t="shared" ref="BO435:BO440" si="65">IFERROR(1/J435*(X435/H435),"0")</f>
        <v>0</v>
      </c>
      <c r="BP435" s="75">
        <f t="shared" ref="BP435:BP440" si="66">IFERROR(1/J435*(Y435/H435),"0")</f>
        <v>0</v>
      </c>
    </row>
    <row r="436" spans="1:68" ht="27" hidden="1" customHeight="1" x14ac:dyDescent="0.25">
      <c r="A436" s="60" t="s">
        <v>719</v>
      </c>
      <c r="B436" s="60" t="s">
        <v>720</v>
      </c>
      <c r="C436" s="34">
        <v>4301031402</v>
      </c>
      <c r="D436" s="670">
        <v>4680115886124</v>
      </c>
      <c r="E436" s="670"/>
      <c r="F436" s="59">
        <v>0.9</v>
      </c>
      <c r="G436" s="35">
        <v>6</v>
      </c>
      <c r="H436" s="59">
        <v>5.4</v>
      </c>
      <c r="I436" s="59">
        <v>5.59</v>
      </c>
      <c r="J436" s="35">
        <v>132</v>
      </c>
      <c r="K436" s="35" t="s">
        <v>141</v>
      </c>
      <c r="L436" s="35" t="s">
        <v>46</v>
      </c>
      <c r="M436" s="36" t="s">
        <v>81</v>
      </c>
      <c r="N436" s="36"/>
      <c r="O436" s="35">
        <v>50</v>
      </c>
      <c r="P436" s="89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36" s="672"/>
      <c r="R436" s="672"/>
      <c r="S436" s="672"/>
      <c r="T436" s="673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2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23" t="s">
        <v>721</v>
      </c>
      <c r="AG436" s="75"/>
      <c r="AJ436" s="79" t="s">
        <v>46</v>
      </c>
      <c r="AK436" s="79">
        <v>0</v>
      </c>
      <c r="BB436" s="524" t="s">
        <v>67</v>
      </c>
      <c r="BM436" s="75">
        <f t="shared" si="63"/>
        <v>0</v>
      </c>
      <c r="BN436" s="75">
        <f t="shared" si="64"/>
        <v>0</v>
      </c>
      <c r="BO436" s="75">
        <f t="shared" si="65"/>
        <v>0</v>
      </c>
      <c r="BP436" s="75">
        <f t="shared" si="66"/>
        <v>0</v>
      </c>
    </row>
    <row r="437" spans="1:68" ht="27" hidden="1" customHeight="1" x14ac:dyDescent="0.25">
      <c r="A437" s="60" t="s">
        <v>722</v>
      </c>
      <c r="B437" s="60" t="s">
        <v>723</v>
      </c>
      <c r="C437" s="34">
        <v>4301031362</v>
      </c>
      <c r="D437" s="670">
        <v>4607091384338</v>
      </c>
      <c r="E437" s="670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82</v>
      </c>
      <c r="L437" s="35" t="s">
        <v>46</v>
      </c>
      <c r="M437" s="36" t="s">
        <v>81</v>
      </c>
      <c r="N437" s="36"/>
      <c r="O437" s="35">
        <v>50</v>
      </c>
      <c r="P437" s="90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2"/>
        <v>0</v>
      </c>
      <c r="Z437" s="39" t="str">
        <f>IFERROR(IF(Y437=0,"",ROUNDUP(Y437/H437,0)*0.00502),"")</f>
        <v/>
      </c>
      <c r="AA437" s="65" t="s">
        <v>46</v>
      </c>
      <c r="AB437" s="66" t="s">
        <v>46</v>
      </c>
      <c r="AC437" s="525" t="s">
        <v>718</v>
      </c>
      <c r="AG437" s="75"/>
      <c r="AJ437" s="79" t="s">
        <v>46</v>
      </c>
      <c r="AK437" s="79">
        <v>0</v>
      </c>
      <c r="BB437" s="526" t="s">
        <v>67</v>
      </c>
      <c r="BM437" s="75">
        <f t="shared" si="63"/>
        <v>0</v>
      </c>
      <c r="BN437" s="75">
        <f t="shared" si="64"/>
        <v>0</v>
      </c>
      <c r="BO437" s="75">
        <f t="shared" si="65"/>
        <v>0</v>
      </c>
      <c r="BP437" s="75">
        <f t="shared" si="66"/>
        <v>0</v>
      </c>
    </row>
    <row r="438" spans="1:68" ht="27" hidden="1" customHeight="1" x14ac:dyDescent="0.25">
      <c r="A438" s="60" t="s">
        <v>724</v>
      </c>
      <c r="B438" s="60" t="s">
        <v>725</v>
      </c>
      <c r="C438" s="34">
        <v>4301031364</v>
      </c>
      <c r="D438" s="670">
        <v>4680115883161</v>
      </c>
      <c r="E438" s="670"/>
      <c r="F438" s="59">
        <v>0.28000000000000003</v>
      </c>
      <c r="G438" s="35">
        <v>6</v>
      </c>
      <c r="H438" s="59">
        <v>1.68</v>
      </c>
      <c r="I438" s="59">
        <v>1.81</v>
      </c>
      <c r="J438" s="35">
        <v>234</v>
      </c>
      <c r="K438" s="35" t="s">
        <v>82</v>
      </c>
      <c r="L438" s="35" t="s">
        <v>46</v>
      </c>
      <c r="M438" s="36" t="s">
        <v>81</v>
      </c>
      <c r="N438" s="36"/>
      <c r="O438" s="35">
        <v>50</v>
      </c>
      <c r="P438" s="90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2"/>
      <c r="R438" s="672"/>
      <c r="S438" s="672"/>
      <c r="T438" s="673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2"/>
        <v>0</v>
      </c>
      <c r="Z438" s="39" t="str">
        <f>IFERROR(IF(Y438=0,"",ROUNDUP(Y438/H438,0)*0.00502),"")</f>
        <v/>
      </c>
      <c r="AA438" s="65" t="s">
        <v>46</v>
      </c>
      <c r="AB438" s="66" t="s">
        <v>46</v>
      </c>
      <c r="AC438" s="527" t="s">
        <v>726</v>
      </c>
      <c r="AG438" s="75"/>
      <c r="AJ438" s="79" t="s">
        <v>46</v>
      </c>
      <c r="AK438" s="79">
        <v>0</v>
      </c>
      <c r="BB438" s="528" t="s">
        <v>67</v>
      </c>
      <c r="BM438" s="75">
        <f t="shared" si="63"/>
        <v>0</v>
      </c>
      <c r="BN438" s="75">
        <f t="shared" si="64"/>
        <v>0</v>
      </c>
      <c r="BO438" s="75">
        <f t="shared" si="65"/>
        <v>0</v>
      </c>
      <c r="BP438" s="75">
        <f t="shared" si="66"/>
        <v>0</v>
      </c>
    </row>
    <row r="439" spans="1:68" ht="27" hidden="1" customHeight="1" x14ac:dyDescent="0.25">
      <c r="A439" s="60" t="s">
        <v>727</v>
      </c>
      <c r="B439" s="60" t="s">
        <v>728</v>
      </c>
      <c r="C439" s="34">
        <v>4301031358</v>
      </c>
      <c r="D439" s="670">
        <v>4607091389531</v>
      </c>
      <c r="E439" s="670"/>
      <c r="F439" s="59">
        <v>0.35</v>
      </c>
      <c r="G439" s="35">
        <v>6</v>
      </c>
      <c r="H439" s="59">
        <v>2.1</v>
      </c>
      <c r="I439" s="59">
        <v>2.23</v>
      </c>
      <c r="J439" s="35">
        <v>234</v>
      </c>
      <c r="K439" s="35" t="s">
        <v>82</v>
      </c>
      <c r="L439" s="35" t="s">
        <v>46</v>
      </c>
      <c r="M439" s="36" t="s">
        <v>81</v>
      </c>
      <c r="N439" s="36"/>
      <c r="O439" s="35">
        <v>50</v>
      </c>
      <c r="P439" s="90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39" s="672"/>
      <c r="R439" s="672"/>
      <c r="S439" s="672"/>
      <c r="T439" s="673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62"/>
        <v>0</v>
      </c>
      <c r="Z439" s="39" t="str">
        <f>IFERROR(IF(Y439=0,"",ROUNDUP(Y439/H439,0)*0.00502),"")</f>
        <v/>
      </c>
      <c r="AA439" s="65" t="s">
        <v>46</v>
      </c>
      <c r="AB439" s="66" t="s">
        <v>46</v>
      </c>
      <c r="AC439" s="529" t="s">
        <v>729</v>
      </c>
      <c r="AG439" s="75"/>
      <c r="AJ439" s="79" t="s">
        <v>46</v>
      </c>
      <c r="AK439" s="79">
        <v>0</v>
      </c>
      <c r="BB439" s="530" t="s">
        <v>67</v>
      </c>
      <c r="BM439" s="75">
        <f t="shared" si="63"/>
        <v>0</v>
      </c>
      <c r="BN439" s="75">
        <f t="shared" si="64"/>
        <v>0</v>
      </c>
      <c r="BO439" s="75">
        <f t="shared" si="65"/>
        <v>0</v>
      </c>
      <c r="BP439" s="75">
        <f t="shared" si="66"/>
        <v>0</v>
      </c>
    </row>
    <row r="440" spans="1:68" ht="37.5" hidden="1" customHeight="1" x14ac:dyDescent="0.25">
      <c r="A440" s="60" t="s">
        <v>730</v>
      </c>
      <c r="B440" s="60" t="s">
        <v>731</v>
      </c>
      <c r="C440" s="34">
        <v>4301031360</v>
      </c>
      <c r="D440" s="670">
        <v>4607091384345</v>
      </c>
      <c r="E440" s="670"/>
      <c r="F440" s="59">
        <v>0.35</v>
      </c>
      <c r="G440" s="35">
        <v>6</v>
      </c>
      <c r="H440" s="59">
        <v>2.1</v>
      </c>
      <c r="I440" s="59">
        <v>2.23</v>
      </c>
      <c r="J440" s="35">
        <v>234</v>
      </c>
      <c r="K440" s="35" t="s">
        <v>82</v>
      </c>
      <c r="L440" s="35" t="s">
        <v>46</v>
      </c>
      <c r="M440" s="36" t="s">
        <v>81</v>
      </c>
      <c r="N440" s="36"/>
      <c r="O440" s="35">
        <v>50</v>
      </c>
      <c r="P440" s="90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0" s="672"/>
      <c r="R440" s="672"/>
      <c r="S440" s="672"/>
      <c r="T440" s="673"/>
      <c r="U440" s="37" t="s">
        <v>46</v>
      </c>
      <c r="V440" s="37" t="s">
        <v>46</v>
      </c>
      <c r="W440" s="38" t="s">
        <v>0</v>
      </c>
      <c r="X440" s="56">
        <v>0</v>
      </c>
      <c r="Y440" s="53">
        <f t="shared" si="62"/>
        <v>0</v>
      </c>
      <c r="Z440" s="39" t="str">
        <f>IFERROR(IF(Y440=0,"",ROUNDUP(Y440/H440,0)*0.00502),"")</f>
        <v/>
      </c>
      <c r="AA440" s="65" t="s">
        <v>46</v>
      </c>
      <c r="AB440" s="66" t="s">
        <v>46</v>
      </c>
      <c r="AC440" s="531" t="s">
        <v>726</v>
      </c>
      <c r="AG440" s="75"/>
      <c r="AJ440" s="79" t="s">
        <v>46</v>
      </c>
      <c r="AK440" s="79">
        <v>0</v>
      </c>
      <c r="BB440" s="532" t="s">
        <v>67</v>
      </c>
      <c r="BM440" s="75">
        <f t="shared" si="63"/>
        <v>0</v>
      </c>
      <c r="BN440" s="75">
        <f t="shared" si="64"/>
        <v>0</v>
      </c>
      <c r="BO440" s="75">
        <f t="shared" si="65"/>
        <v>0</v>
      </c>
      <c r="BP440" s="75">
        <f t="shared" si="66"/>
        <v>0</v>
      </c>
    </row>
    <row r="441" spans="1:68" hidden="1" x14ac:dyDescent="0.2">
      <c r="A441" s="678"/>
      <c r="B441" s="678"/>
      <c r="C441" s="678"/>
      <c r="D441" s="678"/>
      <c r="E441" s="678"/>
      <c r="F441" s="678"/>
      <c r="G441" s="678"/>
      <c r="H441" s="678"/>
      <c r="I441" s="678"/>
      <c r="J441" s="678"/>
      <c r="K441" s="678"/>
      <c r="L441" s="678"/>
      <c r="M441" s="678"/>
      <c r="N441" s="678"/>
      <c r="O441" s="679"/>
      <c r="P441" s="675" t="s">
        <v>40</v>
      </c>
      <c r="Q441" s="676"/>
      <c r="R441" s="676"/>
      <c r="S441" s="676"/>
      <c r="T441" s="676"/>
      <c r="U441" s="676"/>
      <c r="V441" s="677"/>
      <c r="W441" s="40" t="s">
        <v>39</v>
      </c>
      <c r="X441" s="41">
        <f>IFERROR(X435/H435,"0")+IFERROR(X436/H436,"0")+IFERROR(X437/H437,"0")+IFERROR(X438/H438,"0")+IFERROR(X439/H439,"0")+IFERROR(X440/H440,"0")</f>
        <v>0</v>
      </c>
      <c r="Y441" s="41">
        <f>IFERROR(Y435/H435,"0")+IFERROR(Y436/H436,"0")+IFERROR(Y437/H437,"0")+IFERROR(Y438/H438,"0")+IFERROR(Y439/H439,"0")+IFERROR(Y440/H440,"0")</f>
        <v>0</v>
      </c>
      <c r="Z441" s="41">
        <f>IFERROR(IF(Z435="",0,Z435),"0")+IFERROR(IF(Z436="",0,Z436),"0")+IFERROR(IF(Z437="",0,Z437),"0")+IFERROR(IF(Z438="",0,Z438),"0")+IFERROR(IF(Z439="",0,Z439),"0")+IFERROR(IF(Z440="",0,Z440),"0")</f>
        <v>0</v>
      </c>
      <c r="AA441" s="64"/>
      <c r="AB441" s="64"/>
      <c r="AC441" s="64"/>
    </row>
    <row r="442" spans="1:68" hidden="1" x14ac:dyDescent="0.2">
      <c r="A442" s="678"/>
      <c r="B442" s="678"/>
      <c r="C442" s="678"/>
      <c r="D442" s="678"/>
      <c r="E442" s="678"/>
      <c r="F442" s="678"/>
      <c r="G442" s="678"/>
      <c r="H442" s="678"/>
      <c r="I442" s="678"/>
      <c r="J442" s="678"/>
      <c r="K442" s="678"/>
      <c r="L442" s="678"/>
      <c r="M442" s="678"/>
      <c r="N442" s="678"/>
      <c r="O442" s="679"/>
      <c r="P442" s="675" t="s">
        <v>40</v>
      </c>
      <c r="Q442" s="676"/>
      <c r="R442" s="676"/>
      <c r="S442" s="676"/>
      <c r="T442" s="676"/>
      <c r="U442" s="676"/>
      <c r="V442" s="677"/>
      <c r="W442" s="40" t="s">
        <v>0</v>
      </c>
      <c r="X442" s="41">
        <f>IFERROR(SUM(X435:X440),"0")</f>
        <v>0</v>
      </c>
      <c r="Y442" s="41">
        <f>IFERROR(SUM(Y435:Y440),"0")</f>
        <v>0</v>
      </c>
      <c r="Z442" s="40"/>
      <c r="AA442" s="64"/>
      <c r="AB442" s="64"/>
      <c r="AC442" s="64"/>
    </row>
    <row r="443" spans="1:68" ht="14.25" hidden="1" customHeight="1" x14ac:dyDescent="0.25">
      <c r="A443" s="669" t="s">
        <v>86</v>
      </c>
      <c r="B443" s="669"/>
      <c r="C443" s="669"/>
      <c r="D443" s="669"/>
      <c r="E443" s="669"/>
      <c r="F443" s="669"/>
      <c r="G443" s="669"/>
      <c r="H443" s="669"/>
      <c r="I443" s="669"/>
      <c r="J443" s="669"/>
      <c r="K443" s="669"/>
      <c r="L443" s="669"/>
      <c r="M443" s="669"/>
      <c r="N443" s="669"/>
      <c r="O443" s="669"/>
      <c r="P443" s="669"/>
      <c r="Q443" s="669"/>
      <c r="R443" s="669"/>
      <c r="S443" s="669"/>
      <c r="T443" s="669"/>
      <c r="U443" s="669"/>
      <c r="V443" s="669"/>
      <c r="W443" s="669"/>
      <c r="X443" s="669"/>
      <c r="Y443" s="669"/>
      <c r="Z443" s="669"/>
      <c r="AA443" s="63"/>
      <c r="AB443" s="63"/>
      <c r="AC443" s="63"/>
    </row>
    <row r="444" spans="1:68" ht="27" hidden="1" customHeight="1" x14ac:dyDescent="0.25">
      <c r="A444" s="60" t="s">
        <v>732</v>
      </c>
      <c r="B444" s="60" t="s">
        <v>733</v>
      </c>
      <c r="C444" s="34">
        <v>4301051284</v>
      </c>
      <c r="D444" s="670">
        <v>4607091384352</v>
      </c>
      <c r="E444" s="670"/>
      <c r="F444" s="59">
        <v>0.6</v>
      </c>
      <c r="G444" s="35">
        <v>4</v>
      </c>
      <c r="H444" s="59">
        <v>2.4</v>
      </c>
      <c r="I444" s="59">
        <v>2.6259999999999999</v>
      </c>
      <c r="J444" s="35">
        <v>132</v>
      </c>
      <c r="K444" s="35" t="s">
        <v>141</v>
      </c>
      <c r="L444" s="35" t="s">
        <v>46</v>
      </c>
      <c r="M444" s="36" t="s">
        <v>90</v>
      </c>
      <c r="N444" s="36"/>
      <c r="O444" s="35">
        <v>45</v>
      </c>
      <c r="P444" s="90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4" s="672"/>
      <c r="R444" s="672"/>
      <c r="S444" s="672"/>
      <c r="T444" s="673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33" t="s">
        <v>734</v>
      </c>
      <c r="AG444" s="75"/>
      <c r="AJ444" s="79" t="s">
        <v>46</v>
      </c>
      <c r="AK444" s="79">
        <v>0</v>
      </c>
      <c r="BB444" s="534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735</v>
      </c>
      <c r="B445" s="60" t="s">
        <v>736</v>
      </c>
      <c r="C445" s="34">
        <v>4301051431</v>
      </c>
      <c r="D445" s="670">
        <v>4607091389654</v>
      </c>
      <c r="E445" s="670"/>
      <c r="F445" s="59">
        <v>0.33</v>
      </c>
      <c r="G445" s="35">
        <v>6</v>
      </c>
      <c r="H445" s="59">
        <v>1.98</v>
      </c>
      <c r="I445" s="59">
        <v>2.238</v>
      </c>
      <c r="J445" s="35">
        <v>182</v>
      </c>
      <c r="K445" s="35" t="s">
        <v>91</v>
      </c>
      <c r="L445" s="35" t="s">
        <v>46</v>
      </c>
      <c r="M445" s="36" t="s">
        <v>90</v>
      </c>
      <c r="N445" s="36"/>
      <c r="O445" s="35">
        <v>45</v>
      </c>
      <c r="P445" s="90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5" s="672"/>
      <c r="R445" s="672"/>
      <c r="S445" s="672"/>
      <c r="T445" s="67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IFERROR(IF(Y445=0,"",ROUNDUP(Y445/H445,0)*0.00651),"")</f>
        <v/>
      </c>
      <c r="AA445" s="65" t="s">
        <v>46</v>
      </c>
      <c r="AB445" s="66" t="s">
        <v>46</v>
      </c>
      <c r="AC445" s="535" t="s">
        <v>737</v>
      </c>
      <c r="AG445" s="75"/>
      <c r="AJ445" s="79" t="s">
        <v>46</v>
      </c>
      <c r="AK445" s="79">
        <v>0</v>
      </c>
      <c r="BB445" s="536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78"/>
      <c r="B446" s="678"/>
      <c r="C446" s="678"/>
      <c r="D446" s="678"/>
      <c r="E446" s="678"/>
      <c r="F446" s="678"/>
      <c r="G446" s="678"/>
      <c r="H446" s="678"/>
      <c r="I446" s="678"/>
      <c r="J446" s="678"/>
      <c r="K446" s="678"/>
      <c r="L446" s="678"/>
      <c r="M446" s="678"/>
      <c r="N446" s="678"/>
      <c r="O446" s="679"/>
      <c r="P446" s="675" t="s">
        <v>40</v>
      </c>
      <c r="Q446" s="676"/>
      <c r="R446" s="676"/>
      <c r="S446" s="676"/>
      <c r="T446" s="676"/>
      <c r="U446" s="676"/>
      <c r="V446" s="677"/>
      <c r="W446" s="40" t="s">
        <v>39</v>
      </c>
      <c r="X446" s="41">
        <f>IFERROR(X444/H444,"0")+IFERROR(X445/H445,"0")</f>
        <v>0</v>
      </c>
      <c r="Y446" s="41">
        <f>IFERROR(Y444/H444,"0")+IFERROR(Y445/H445,"0")</f>
        <v>0</v>
      </c>
      <c r="Z446" s="41">
        <f>IFERROR(IF(Z444="",0,Z444),"0")+IFERROR(IF(Z445="",0,Z445),"0")</f>
        <v>0</v>
      </c>
      <c r="AA446" s="64"/>
      <c r="AB446" s="64"/>
      <c r="AC446" s="64"/>
    </row>
    <row r="447" spans="1:68" hidden="1" x14ac:dyDescent="0.2">
      <c r="A447" s="678"/>
      <c r="B447" s="678"/>
      <c r="C447" s="678"/>
      <c r="D447" s="678"/>
      <c r="E447" s="678"/>
      <c r="F447" s="678"/>
      <c r="G447" s="678"/>
      <c r="H447" s="678"/>
      <c r="I447" s="678"/>
      <c r="J447" s="678"/>
      <c r="K447" s="678"/>
      <c r="L447" s="678"/>
      <c r="M447" s="678"/>
      <c r="N447" s="678"/>
      <c r="O447" s="679"/>
      <c r="P447" s="675" t="s">
        <v>40</v>
      </c>
      <c r="Q447" s="676"/>
      <c r="R447" s="676"/>
      <c r="S447" s="676"/>
      <c r="T447" s="676"/>
      <c r="U447" s="676"/>
      <c r="V447" s="677"/>
      <c r="W447" s="40" t="s">
        <v>0</v>
      </c>
      <c r="X447" s="41">
        <f>IFERROR(SUM(X444:X445),"0")</f>
        <v>0</v>
      </c>
      <c r="Y447" s="41">
        <f>IFERROR(SUM(Y444:Y445),"0")</f>
        <v>0</v>
      </c>
      <c r="Z447" s="40"/>
      <c r="AA447" s="64"/>
      <c r="AB447" s="64"/>
      <c r="AC447" s="64"/>
    </row>
    <row r="448" spans="1:68" ht="16.5" hidden="1" customHeight="1" x14ac:dyDescent="0.25">
      <c r="A448" s="668" t="s">
        <v>738</v>
      </c>
      <c r="B448" s="668"/>
      <c r="C448" s="668"/>
      <c r="D448" s="668"/>
      <c r="E448" s="668"/>
      <c r="F448" s="668"/>
      <c r="G448" s="668"/>
      <c r="H448" s="668"/>
      <c r="I448" s="668"/>
      <c r="J448" s="668"/>
      <c r="K448" s="668"/>
      <c r="L448" s="668"/>
      <c r="M448" s="668"/>
      <c r="N448" s="668"/>
      <c r="O448" s="668"/>
      <c r="P448" s="668"/>
      <c r="Q448" s="668"/>
      <c r="R448" s="668"/>
      <c r="S448" s="668"/>
      <c r="T448" s="668"/>
      <c r="U448" s="668"/>
      <c r="V448" s="668"/>
      <c r="W448" s="668"/>
      <c r="X448" s="668"/>
      <c r="Y448" s="668"/>
      <c r="Z448" s="668"/>
      <c r="AA448" s="62"/>
      <c r="AB448" s="62"/>
      <c r="AC448" s="62"/>
    </row>
    <row r="449" spans="1:68" ht="14.25" hidden="1" customHeight="1" x14ac:dyDescent="0.25">
      <c r="A449" s="669" t="s">
        <v>166</v>
      </c>
      <c r="B449" s="669"/>
      <c r="C449" s="669"/>
      <c r="D449" s="669"/>
      <c r="E449" s="669"/>
      <c r="F449" s="669"/>
      <c r="G449" s="669"/>
      <c r="H449" s="669"/>
      <c r="I449" s="669"/>
      <c r="J449" s="669"/>
      <c r="K449" s="669"/>
      <c r="L449" s="669"/>
      <c r="M449" s="669"/>
      <c r="N449" s="669"/>
      <c r="O449" s="669"/>
      <c r="P449" s="669"/>
      <c r="Q449" s="669"/>
      <c r="R449" s="669"/>
      <c r="S449" s="669"/>
      <c r="T449" s="669"/>
      <c r="U449" s="669"/>
      <c r="V449" s="669"/>
      <c r="W449" s="669"/>
      <c r="X449" s="669"/>
      <c r="Y449" s="669"/>
      <c r="Z449" s="669"/>
      <c r="AA449" s="63"/>
      <c r="AB449" s="63"/>
      <c r="AC449" s="63"/>
    </row>
    <row r="450" spans="1:68" ht="27" hidden="1" customHeight="1" x14ac:dyDescent="0.25">
      <c r="A450" s="60" t="s">
        <v>739</v>
      </c>
      <c r="B450" s="60" t="s">
        <v>740</v>
      </c>
      <c r="C450" s="34">
        <v>4301020416</v>
      </c>
      <c r="D450" s="670">
        <v>4680115885240</v>
      </c>
      <c r="E450" s="670"/>
      <c r="F450" s="59">
        <v>0.35</v>
      </c>
      <c r="G450" s="35">
        <v>6</v>
      </c>
      <c r="H450" s="59">
        <v>2.1</v>
      </c>
      <c r="I450" s="59">
        <v>2.31</v>
      </c>
      <c r="J450" s="35">
        <v>182</v>
      </c>
      <c r="K450" s="35" t="s">
        <v>91</v>
      </c>
      <c r="L450" s="35" t="s">
        <v>46</v>
      </c>
      <c r="M450" s="36" t="s">
        <v>81</v>
      </c>
      <c r="N450" s="36"/>
      <c r="O450" s="35">
        <v>40</v>
      </c>
      <c r="P450" s="90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0" s="672"/>
      <c r="R450" s="672"/>
      <c r="S450" s="672"/>
      <c r="T450" s="67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IFERROR(IF(Y450=0,"",ROUNDUP(Y450/H450,0)*0.00651),"")</f>
        <v/>
      </c>
      <c r="AA450" s="65" t="s">
        <v>46</v>
      </c>
      <c r="AB450" s="66" t="s">
        <v>46</v>
      </c>
      <c r="AC450" s="537" t="s">
        <v>741</v>
      </c>
      <c r="AG450" s="75"/>
      <c r="AJ450" s="79" t="s">
        <v>46</v>
      </c>
      <c r="AK450" s="79">
        <v>0</v>
      </c>
      <c r="BB450" s="538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78"/>
      <c r="B451" s="678"/>
      <c r="C451" s="678"/>
      <c r="D451" s="678"/>
      <c r="E451" s="678"/>
      <c r="F451" s="678"/>
      <c r="G451" s="678"/>
      <c r="H451" s="678"/>
      <c r="I451" s="678"/>
      <c r="J451" s="678"/>
      <c r="K451" s="678"/>
      <c r="L451" s="678"/>
      <c r="M451" s="678"/>
      <c r="N451" s="678"/>
      <c r="O451" s="679"/>
      <c r="P451" s="675" t="s">
        <v>40</v>
      </c>
      <c r="Q451" s="676"/>
      <c r="R451" s="676"/>
      <c r="S451" s="676"/>
      <c r="T451" s="676"/>
      <c r="U451" s="676"/>
      <c r="V451" s="677"/>
      <c r="W451" s="40" t="s">
        <v>39</v>
      </c>
      <c r="X451" s="41">
        <f>IFERROR(X450/H450,"0")</f>
        <v>0</v>
      </c>
      <c r="Y451" s="41">
        <f>IFERROR(Y450/H450,"0")</f>
        <v>0</v>
      </c>
      <c r="Z451" s="41">
        <f>IFERROR(IF(Z450="",0,Z450),"0")</f>
        <v>0</v>
      </c>
      <c r="AA451" s="64"/>
      <c r="AB451" s="64"/>
      <c r="AC451" s="64"/>
    </row>
    <row r="452" spans="1:68" hidden="1" x14ac:dyDescent="0.2">
      <c r="A452" s="678"/>
      <c r="B452" s="678"/>
      <c r="C452" s="678"/>
      <c r="D452" s="678"/>
      <c r="E452" s="678"/>
      <c r="F452" s="678"/>
      <c r="G452" s="678"/>
      <c r="H452" s="678"/>
      <c r="I452" s="678"/>
      <c r="J452" s="678"/>
      <c r="K452" s="678"/>
      <c r="L452" s="678"/>
      <c r="M452" s="678"/>
      <c r="N452" s="678"/>
      <c r="O452" s="679"/>
      <c r="P452" s="675" t="s">
        <v>40</v>
      </c>
      <c r="Q452" s="676"/>
      <c r="R452" s="676"/>
      <c r="S452" s="676"/>
      <c r="T452" s="676"/>
      <c r="U452" s="676"/>
      <c r="V452" s="677"/>
      <c r="W452" s="40" t="s">
        <v>0</v>
      </c>
      <c r="X452" s="41">
        <f>IFERROR(SUM(X450:X450),"0")</f>
        <v>0</v>
      </c>
      <c r="Y452" s="41">
        <f>IFERROR(SUM(Y450:Y450),"0")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69" t="s">
        <v>77</v>
      </c>
      <c r="B453" s="669"/>
      <c r="C453" s="669"/>
      <c r="D453" s="669"/>
      <c r="E453" s="669"/>
      <c r="F453" s="669"/>
      <c r="G453" s="669"/>
      <c r="H453" s="669"/>
      <c r="I453" s="669"/>
      <c r="J453" s="669"/>
      <c r="K453" s="669"/>
      <c r="L453" s="669"/>
      <c r="M453" s="669"/>
      <c r="N453" s="669"/>
      <c r="O453" s="669"/>
      <c r="P453" s="669"/>
      <c r="Q453" s="669"/>
      <c r="R453" s="669"/>
      <c r="S453" s="669"/>
      <c r="T453" s="669"/>
      <c r="U453" s="669"/>
      <c r="V453" s="669"/>
      <c r="W453" s="669"/>
      <c r="X453" s="669"/>
      <c r="Y453" s="669"/>
      <c r="Z453" s="669"/>
      <c r="AA453" s="63"/>
      <c r="AB453" s="63"/>
      <c r="AC453" s="63"/>
    </row>
    <row r="454" spans="1:68" ht="27" hidden="1" customHeight="1" x14ac:dyDescent="0.25">
      <c r="A454" s="60" t="s">
        <v>742</v>
      </c>
      <c r="B454" s="60" t="s">
        <v>743</v>
      </c>
      <c r="C454" s="34">
        <v>4301031407</v>
      </c>
      <c r="D454" s="670">
        <v>4680115886094</v>
      </c>
      <c r="E454" s="670"/>
      <c r="F454" s="59">
        <v>0.9</v>
      </c>
      <c r="G454" s="35">
        <v>6</v>
      </c>
      <c r="H454" s="59">
        <v>5.4</v>
      </c>
      <c r="I454" s="59">
        <v>5.59</v>
      </c>
      <c r="J454" s="35">
        <v>132</v>
      </c>
      <c r="K454" s="35" t="s">
        <v>141</v>
      </c>
      <c r="L454" s="35" t="s">
        <v>46</v>
      </c>
      <c r="M454" s="36" t="s">
        <v>81</v>
      </c>
      <c r="N454" s="36"/>
      <c r="O454" s="35">
        <v>50</v>
      </c>
      <c r="P454" s="90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54" s="672"/>
      <c r="R454" s="672"/>
      <c r="S454" s="672"/>
      <c r="T454" s="673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39" t="s">
        <v>744</v>
      </c>
      <c r="AG454" s="75"/>
      <c r="AJ454" s="79" t="s">
        <v>46</v>
      </c>
      <c r="AK454" s="79">
        <v>0</v>
      </c>
      <c r="BB454" s="540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27" hidden="1" customHeight="1" x14ac:dyDescent="0.25">
      <c r="A455" s="60" t="s">
        <v>745</v>
      </c>
      <c r="B455" s="60" t="s">
        <v>746</v>
      </c>
      <c r="C455" s="34">
        <v>4301031373</v>
      </c>
      <c r="D455" s="670">
        <v>4680115880771</v>
      </c>
      <c r="E455" s="670"/>
      <c r="F455" s="59">
        <v>0.28000000000000003</v>
      </c>
      <c r="G455" s="35">
        <v>6</v>
      </c>
      <c r="H455" s="59">
        <v>1.68</v>
      </c>
      <c r="I455" s="59">
        <v>1.81</v>
      </c>
      <c r="J455" s="35">
        <v>234</v>
      </c>
      <c r="K455" s="35" t="s">
        <v>82</v>
      </c>
      <c r="L455" s="35" t="s">
        <v>46</v>
      </c>
      <c r="M455" s="36" t="s">
        <v>81</v>
      </c>
      <c r="N455" s="36"/>
      <c r="O455" s="35">
        <v>50</v>
      </c>
      <c r="P455" s="90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55" s="672"/>
      <c r="R455" s="672"/>
      <c r="S455" s="672"/>
      <c r="T455" s="673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IFERROR(IF(Y455=0,"",ROUNDUP(Y455/H455,0)*0.00502),"")</f>
        <v/>
      </c>
      <c r="AA455" s="65" t="s">
        <v>46</v>
      </c>
      <c r="AB455" s="66" t="s">
        <v>46</v>
      </c>
      <c r="AC455" s="541" t="s">
        <v>747</v>
      </c>
      <c r="AG455" s="75"/>
      <c r="AJ455" s="79" t="s">
        <v>46</v>
      </c>
      <c r="AK455" s="79">
        <v>0</v>
      </c>
      <c r="BB455" s="542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27" hidden="1" customHeight="1" x14ac:dyDescent="0.25">
      <c r="A456" s="60" t="s">
        <v>748</v>
      </c>
      <c r="B456" s="60" t="s">
        <v>749</v>
      </c>
      <c r="C456" s="34">
        <v>4301031359</v>
      </c>
      <c r="D456" s="670">
        <v>4607091389500</v>
      </c>
      <c r="E456" s="670"/>
      <c r="F456" s="59">
        <v>0.35</v>
      </c>
      <c r="G456" s="35">
        <v>6</v>
      </c>
      <c r="H456" s="59">
        <v>2.1</v>
      </c>
      <c r="I456" s="59">
        <v>2.23</v>
      </c>
      <c r="J456" s="35">
        <v>234</v>
      </c>
      <c r="K456" s="35" t="s">
        <v>82</v>
      </c>
      <c r="L456" s="35" t="s">
        <v>46</v>
      </c>
      <c r="M456" s="36" t="s">
        <v>81</v>
      </c>
      <c r="N456" s="36"/>
      <c r="O456" s="35">
        <v>50</v>
      </c>
      <c r="P456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6" s="672"/>
      <c r="R456" s="672"/>
      <c r="S456" s="672"/>
      <c r="T456" s="67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IFERROR(IF(Y456=0,"",ROUNDUP(Y456/H456,0)*0.00502),"")</f>
        <v/>
      </c>
      <c r="AA456" s="65" t="s">
        <v>46</v>
      </c>
      <c r="AB456" s="66" t="s">
        <v>46</v>
      </c>
      <c r="AC456" s="543" t="s">
        <v>747</v>
      </c>
      <c r="AG456" s="75"/>
      <c r="AJ456" s="79" t="s">
        <v>46</v>
      </c>
      <c r="AK456" s="79">
        <v>0</v>
      </c>
      <c r="BB456" s="544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78"/>
      <c r="B457" s="678"/>
      <c r="C457" s="678"/>
      <c r="D457" s="678"/>
      <c r="E457" s="678"/>
      <c r="F457" s="678"/>
      <c r="G457" s="678"/>
      <c r="H457" s="678"/>
      <c r="I457" s="678"/>
      <c r="J457" s="678"/>
      <c r="K457" s="678"/>
      <c r="L457" s="678"/>
      <c r="M457" s="678"/>
      <c r="N457" s="678"/>
      <c r="O457" s="679"/>
      <c r="P457" s="675" t="s">
        <v>40</v>
      </c>
      <c r="Q457" s="676"/>
      <c r="R457" s="676"/>
      <c r="S457" s="676"/>
      <c r="T457" s="676"/>
      <c r="U457" s="676"/>
      <c r="V457" s="677"/>
      <c r="W457" s="40" t="s">
        <v>39</v>
      </c>
      <c r="X457" s="41">
        <f>IFERROR(X454/H454,"0")+IFERROR(X455/H455,"0")+IFERROR(X456/H456,"0")</f>
        <v>0</v>
      </c>
      <c r="Y457" s="41">
        <f>IFERROR(Y454/H454,"0")+IFERROR(Y455/H455,"0")+IFERROR(Y456/H456,"0")</f>
        <v>0</v>
      </c>
      <c r="Z457" s="41">
        <f>IFERROR(IF(Z454="",0,Z454),"0")+IFERROR(IF(Z455="",0,Z455),"0")+IFERROR(IF(Z456="",0,Z456),"0")</f>
        <v>0</v>
      </c>
      <c r="AA457" s="64"/>
      <c r="AB457" s="64"/>
      <c r="AC457" s="64"/>
    </row>
    <row r="458" spans="1:68" hidden="1" x14ac:dyDescent="0.2">
      <c r="A458" s="678"/>
      <c r="B458" s="678"/>
      <c r="C458" s="678"/>
      <c r="D458" s="678"/>
      <c r="E458" s="678"/>
      <c r="F458" s="678"/>
      <c r="G458" s="678"/>
      <c r="H458" s="678"/>
      <c r="I458" s="678"/>
      <c r="J458" s="678"/>
      <c r="K458" s="678"/>
      <c r="L458" s="678"/>
      <c r="M458" s="678"/>
      <c r="N458" s="678"/>
      <c r="O458" s="679"/>
      <c r="P458" s="675" t="s">
        <v>40</v>
      </c>
      <c r="Q458" s="676"/>
      <c r="R458" s="676"/>
      <c r="S458" s="676"/>
      <c r="T458" s="676"/>
      <c r="U458" s="676"/>
      <c r="V458" s="677"/>
      <c r="W458" s="40" t="s">
        <v>0</v>
      </c>
      <c r="X458" s="41">
        <f>IFERROR(SUM(X454:X456),"0")</f>
        <v>0</v>
      </c>
      <c r="Y458" s="41">
        <f>IFERROR(SUM(Y454:Y456),"0")</f>
        <v>0</v>
      </c>
      <c r="Z458" s="40"/>
      <c r="AA458" s="64"/>
      <c r="AB458" s="64"/>
      <c r="AC458" s="64"/>
    </row>
    <row r="459" spans="1:68" ht="27.75" hidden="1" customHeight="1" x14ac:dyDescent="0.2">
      <c r="A459" s="667" t="s">
        <v>750</v>
      </c>
      <c r="B459" s="667"/>
      <c r="C459" s="667"/>
      <c r="D459" s="667"/>
      <c r="E459" s="667"/>
      <c r="F459" s="667"/>
      <c r="G459" s="667"/>
      <c r="H459" s="667"/>
      <c r="I459" s="667"/>
      <c r="J459" s="667"/>
      <c r="K459" s="667"/>
      <c r="L459" s="667"/>
      <c r="M459" s="667"/>
      <c r="N459" s="667"/>
      <c r="O459" s="667"/>
      <c r="P459" s="667"/>
      <c r="Q459" s="667"/>
      <c r="R459" s="667"/>
      <c r="S459" s="667"/>
      <c r="T459" s="667"/>
      <c r="U459" s="667"/>
      <c r="V459" s="667"/>
      <c r="W459" s="667"/>
      <c r="X459" s="667"/>
      <c r="Y459" s="667"/>
      <c r="Z459" s="667"/>
      <c r="AA459" s="52"/>
      <c r="AB459" s="52"/>
      <c r="AC459" s="52"/>
    </row>
    <row r="460" spans="1:68" ht="16.5" hidden="1" customHeight="1" x14ac:dyDescent="0.25">
      <c r="A460" s="668" t="s">
        <v>750</v>
      </c>
      <c r="B460" s="668"/>
      <c r="C460" s="668"/>
      <c r="D460" s="668"/>
      <c r="E460" s="668"/>
      <c r="F460" s="668"/>
      <c r="G460" s="668"/>
      <c r="H460" s="668"/>
      <c r="I460" s="668"/>
      <c r="J460" s="668"/>
      <c r="K460" s="668"/>
      <c r="L460" s="668"/>
      <c r="M460" s="668"/>
      <c r="N460" s="668"/>
      <c r="O460" s="668"/>
      <c r="P460" s="668"/>
      <c r="Q460" s="668"/>
      <c r="R460" s="668"/>
      <c r="S460" s="668"/>
      <c r="T460" s="668"/>
      <c r="U460" s="668"/>
      <c r="V460" s="668"/>
      <c r="W460" s="668"/>
      <c r="X460" s="668"/>
      <c r="Y460" s="668"/>
      <c r="Z460" s="668"/>
      <c r="AA460" s="62"/>
      <c r="AB460" s="62"/>
      <c r="AC460" s="62"/>
    </row>
    <row r="461" spans="1:68" ht="14.25" hidden="1" customHeight="1" x14ac:dyDescent="0.25">
      <c r="A461" s="669" t="s">
        <v>129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63"/>
      <c r="AB461" s="63"/>
      <c r="AC461" s="63"/>
    </row>
    <row r="462" spans="1:68" ht="27" hidden="1" customHeight="1" x14ac:dyDescent="0.25">
      <c r="A462" s="60" t="s">
        <v>751</v>
      </c>
      <c r="B462" s="60" t="s">
        <v>752</v>
      </c>
      <c r="C462" s="34">
        <v>4301011769</v>
      </c>
      <c r="D462" s="670">
        <v>4607091389067</v>
      </c>
      <c r="E462" s="670"/>
      <c r="F462" s="59">
        <v>0.88</v>
      </c>
      <c r="G462" s="35">
        <v>6</v>
      </c>
      <c r="H462" s="59">
        <v>5.28</v>
      </c>
      <c r="I462" s="59">
        <v>5.63</v>
      </c>
      <c r="J462" s="35">
        <v>104</v>
      </c>
      <c r="K462" s="35" t="s">
        <v>134</v>
      </c>
      <c r="L462" s="35" t="s">
        <v>46</v>
      </c>
      <c r="M462" s="36" t="s">
        <v>90</v>
      </c>
      <c r="N462" s="36"/>
      <c r="O462" s="35">
        <v>60</v>
      </c>
      <c r="P462" s="9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62" s="672"/>
      <c r="R462" s="672"/>
      <c r="S462" s="672"/>
      <c r="T462" s="673"/>
      <c r="U462" s="37" t="s">
        <v>46</v>
      </c>
      <c r="V462" s="37" t="s">
        <v>46</v>
      </c>
      <c r="W462" s="38" t="s">
        <v>0</v>
      </c>
      <c r="X462" s="56">
        <v>0</v>
      </c>
      <c r="Y462" s="53">
        <f t="shared" ref="Y462:Y470" si="67">IFERROR(IF(X462="",0,CEILING((X462/$H462),1)*$H462),"")</f>
        <v>0</v>
      </c>
      <c r="Z462" s="39" t="str">
        <f t="shared" ref="Z462:Z467" si="68">IFERROR(IF(Y462=0,"",ROUNDUP(Y462/H462,0)*0.01196),"")</f>
        <v/>
      </c>
      <c r="AA462" s="65" t="s">
        <v>46</v>
      </c>
      <c r="AB462" s="66" t="s">
        <v>46</v>
      </c>
      <c r="AC462" s="545" t="s">
        <v>132</v>
      </c>
      <c r="AG462" s="75"/>
      <c r="AJ462" s="79" t="s">
        <v>46</v>
      </c>
      <c r="AK462" s="79">
        <v>0</v>
      </c>
      <c r="BB462" s="546" t="s">
        <v>67</v>
      </c>
      <c r="BM462" s="75">
        <f t="shared" ref="BM462:BM470" si="69">IFERROR(X462*I462/H462,"0")</f>
        <v>0</v>
      </c>
      <c r="BN462" s="75">
        <f t="shared" ref="BN462:BN470" si="70">IFERROR(Y462*I462/H462,"0")</f>
        <v>0</v>
      </c>
      <c r="BO462" s="75">
        <f t="shared" ref="BO462:BO470" si="71">IFERROR(1/J462*(X462/H462),"0")</f>
        <v>0</v>
      </c>
      <c r="BP462" s="75">
        <f t="shared" ref="BP462:BP470" si="72">IFERROR(1/J462*(Y462/H462),"0")</f>
        <v>0</v>
      </c>
    </row>
    <row r="463" spans="1:68" ht="16.5" hidden="1" customHeight="1" x14ac:dyDescent="0.25">
      <c r="A463" s="60" t="s">
        <v>753</v>
      </c>
      <c r="B463" s="60" t="s">
        <v>754</v>
      </c>
      <c r="C463" s="34">
        <v>4301012380</v>
      </c>
      <c r="D463" s="670">
        <v>4680115889576</v>
      </c>
      <c r="E463" s="670"/>
      <c r="F463" s="59">
        <v>0.88</v>
      </c>
      <c r="G463" s="35">
        <v>6</v>
      </c>
      <c r="H463" s="59">
        <v>5.28</v>
      </c>
      <c r="I463" s="59">
        <v>5.63</v>
      </c>
      <c r="J463" s="35">
        <v>104</v>
      </c>
      <c r="K463" s="35" t="s">
        <v>134</v>
      </c>
      <c r="L463" s="35" t="s">
        <v>46</v>
      </c>
      <c r="M463" s="36" t="s">
        <v>133</v>
      </c>
      <c r="N463" s="36"/>
      <c r="O463" s="35">
        <v>60</v>
      </c>
      <c r="P463" s="91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63" s="672"/>
      <c r="R463" s="672"/>
      <c r="S463" s="672"/>
      <c r="T463" s="673"/>
      <c r="U463" s="37" t="s">
        <v>46</v>
      </c>
      <c r="V463" s="37" t="s">
        <v>46</v>
      </c>
      <c r="W463" s="38" t="s">
        <v>0</v>
      </c>
      <c r="X463" s="56">
        <v>0</v>
      </c>
      <c r="Y463" s="53">
        <f t="shared" si="67"/>
        <v>0</v>
      </c>
      <c r="Z463" s="39" t="str">
        <f t="shared" si="68"/>
        <v/>
      </c>
      <c r="AA463" s="65" t="s">
        <v>46</v>
      </c>
      <c r="AB463" s="66" t="s">
        <v>46</v>
      </c>
      <c r="AC463" s="547" t="s">
        <v>755</v>
      </c>
      <c r="AG463" s="75"/>
      <c r="AJ463" s="79" t="s">
        <v>46</v>
      </c>
      <c r="AK463" s="79">
        <v>0</v>
      </c>
      <c r="BB463" s="548" t="s">
        <v>67</v>
      </c>
      <c r="BM463" s="75">
        <f t="shared" si="69"/>
        <v>0</v>
      </c>
      <c r="BN463" s="75">
        <f t="shared" si="70"/>
        <v>0</v>
      </c>
      <c r="BO463" s="75">
        <f t="shared" si="71"/>
        <v>0</v>
      </c>
      <c r="BP463" s="75">
        <f t="shared" si="72"/>
        <v>0</v>
      </c>
    </row>
    <row r="464" spans="1:68" ht="27" hidden="1" customHeight="1" x14ac:dyDescent="0.25">
      <c r="A464" s="60" t="s">
        <v>756</v>
      </c>
      <c r="B464" s="60" t="s">
        <v>757</v>
      </c>
      <c r="C464" s="34">
        <v>4301011961</v>
      </c>
      <c r="D464" s="670">
        <v>4680115885271</v>
      </c>
      <c r="E464" s="670"/>
      <c r="F464" s="59">
        <v>0.88</v>
      </c>
      <c r="G464" s="35">
        <v>6</v>
      </c>
      <c r="H464" s="59">
        <v>5.28</v>
      </c>
      <c r="I464" s="59">
        <v>5.63</v>
      </c>
      <c r="J464" s="35">
        <v>104</v>
      </c>
      <c r="K464" s="35" t="s">
        <v>134</v>
      </c>
      <c r="L464" s="35" t="s">
        <v>46</v>
      </c>
      <c r="M464" s="36" t="s">
        <v>133</v>
      </c>
      <c r="N464" s="36"/>
      <c r="O464" s="35">
        <v>60</v>
      </c>
      <c r="P464" s="91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64" s="672"/>
      <c r="R464" s="672"/>
      <c r="S464" s="672"/>
      <c r="T464" s="673"/>
      <c r="U464" s="37" t="s">
        <v>46</v>
      </c>
      <c r="V464" s="37" t="s">
        <v>46</v>
      </c>
      <c r="W464" s="38" t="s">
        <v>0</v>
      </c>
      <c r="X464" s="56">
        <v>0</v>
      </c>
      <c r="Y464" s="53">
        <f t="shared" si="67"/>
        <v>0</v>
      </c>
      <c r="Z464" s="39" t="str">
        <f t="shared" si="68"/>
        <v/>
      </c>
      <c r="AA464" s="65" t="s">
        <v>46</v>
      </c>
      <c r="AB464" s="66" t="s">
        <v>46</v>
      </c>
      <c r="AC464" s="549" t="s">
        <v>758</v>
      </c>
      <c r="AG464" s="75"/>
      <c r="AJ464" s="79" t="s">
        <v>46</v>
      </c>
      <c r="AK464" s="79">
        <v>0</v>
      </c>
      <c r="BB464" s="550" t="s">
        <v>67</v>
      </c>
      <c r="BM464" s="75">
        <f t="shared" si="69"/>
        <v>0</v>
      </c>
      <c r="BN464" s="75">
        <f t="shared" si="70"/>
        <v>0</v>
      </c>
      <c r="BO464" s="75">
        <f t="shared" si="71"/>
        <v>0</v>
      </c>
      <c r="BP464" s="75">
        <f t="shared" si="72"/>
        <v>0</v>
      </c>
    </row>
    <row r="465" spans="1:68" ht="27" hidden="1" customHeight="1" x14ac:dyDescent="0.25">
      <c r="A465" s="60" t="s">
        <v>759</v>
      </c>
      <c r="B465" s="60" t="s">
        <v>760</v>
      </c>
      <c r="C465" s="34">
        <v>4301011369</v>
      </c>
      <c r="D465" s="670">
        <v>4680115885226</v>
      </c>
      <c r="E465" s="670"/>
      <c r="F465" s="59">
        <v>0.88</v>
      </c>
      <c r="G465" s="35">
        <v>6</v>
      </c>
      <c r="H465" s="59">
        <v>5.28</v>
      </c>
      <c r="I465" s="59">
        <v>5.63</v>
      </c>
      <c r="J465" s="35">
        <v>104</v>
      </c>
      <c r="K465" s="35" t="s">
        <v>134</v>
      </c>
      <c r="L465" s="35" t="s">
        <v>46</v>
      </c>
      <c r="M465" s="36" t="s">
        <v>133</v>
      </c>
      <c r="N465" s="36"/>
      <c r="O465" s="35">
        <v>60</v>
      </c>
      <c r="P465" s="9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65" s="672"/>
      <c r="R465" s="672"/>
      <c r="S465" s="672"/>
      <c r="T465" s="673"/>
      <c r="U465" s="37" t="s">
        <v>46</v>
      </c>
      <c r="V465" s="37" t="s">
        <v>46</v>
      </c>
      <c r="W465" s="38" t="s">
        <v>0</v>
      </c>
      <c r="X465" s="56">
        <v>0</v>
      </c>
      <c r="Y465" s="53">
        <f t="shared" si="67"/>
        <v>0</v>
      </c>
      <c r="Z465" s="39" t="str">
        <f t="shared" si="68"/>
        <v/>
      </c>
      <c r="AA465" s="65" t="s">
        <v>46</v>
      </c>
      <c r="AB465" s="66" t="s">
        <v>46</v>
      </c>
      <c r="AC465" s="551" t="s">
        <v>761</v>
      </c>
      <c r="AG465" s="75"/>
      <c r="AJ465" s="79" t="s">
        <v>46</v>
      </c>
      <c r="AK465" s="79">
        <v>0</v>
      </c>
      <c r="BB465" s="552" t="s">
        <v>67</v>
      </c>
      <c r="BM465" s="75">
        <f t="shared" si="69"/>
        <v>0</v>
      </c>
      <c r="BN465" s="75">
        <f t="shared" si="70"/>
        <v>0</v>
      </c>
      <c r="BO465" s="75">
        <f t="shared" si="71"/>
        <v>0</v>
      </c>
      <c r="BP465" s="75">
        <f t="shared" si="72"/>
        <v>0</v>
      </c>
    </row>
    <row r="466" spans="1:68" ht="16.5" hidden="1" customHeight="1" x14ac:dyDescent="0.25">
      <c r="A466" s="60" t="s">
        <v>762</v>
      </c>
      <c r="B466" s="60" t="s">
        <v>763</v>
      </c>
      <c r="C466" s="34">
        <v>4301011797</v>
      </c>
      <c r="D466" s="670">
        <v>4680115884502</v>
      </c>
      <c r="E466" s="670"/>
      <c r="F466" s="59">
        <v>0.88</v>
      </c>
      <c r="G466" s="35">
        <v>6</v>
      </c>
      <c r="H466" s="59">
        <v>5.28</v>
      </c>
      <c r="I466" s="59">
        <v>5.63</v>
      </c>
      <c r="J466" s="35">
        <v>104</v>
      </c>
      <c r="K466" s="35" t="s">
        <v>134</v>
      </c>
      <c r="L466" s="35" t="s">
        <v>46</v>
      </c>
      <c r="M466" s="36" t="s">
        <v>90</v>
      </c>
      <c r="N466" s="36"/>
      <c r="O466" s="35">
        <v>60</v>
      </c>
      <c r="P466" s="91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66" s="672"/>
      <c r="R466" s="672"/>
      <c r="S466" s="672"/>
      <c r="T466" s="673"/>
      <c r="U466" s="37" t="s">
        <v>46</v>
      </c>
      <c r="V466" s="37" t="s">
        <v>46</v>
      </c>
      <c r="W466" s="38" t="s">
        <v>0</v>
      </c>
      <c r="X466" s="56">
        <v>0</v>
      </c>
      <c r="Y466" s="53">
        <f t="shared" si="67"/>
        <v>0</v>
      </c>
      <c r="Z466" s="39" t="str">
        <f t="shared" si="68"/>
        <v/>
      </c>
      <c r="AA466" s="65" t="s">
        <v>46</v>
      </c>
      <c r="AB466" s="66" t="s">
        <v>46</v>
      </c>
      <c r="AC466" s="553" t="s">
        <v>764</v>
      </c>
      <c r="AG466" s="75"/>
      <c r="AJ466" s="79" t="s">
        <v>46</v>
      </c>
      <c r="AK466" s="79">
        <v>0</v>
      </c>
      <c r="BB466" s="554" t="s">
        <v>67</v>
      </c>
      <c r="BM466" s="75">
        <f t="shared" si="69"/>
        <v>0</v>
      </c>
      <c r="BN466" s="75">
        <f t="shared" si="70"/>
        <v>0</v>
      </c>
      <c r="BO466" s="75">
        <f t="shared" si="71"/>
        <v>0</v>
      </c>
      <c r="BP466" s="75">
        <f t="shared" si="72"/>
        <v>0</v>
      </c>
    </row>
    <row r="467" spans="1:68" ht="27" hidden="1" customHeight="1" x14ac:dyDescent="0.25">
      <c r="A467" s="60" t="s">
        <v>765</v>
      </c>
      <c r="B467" s="60" t="s">
        <v>766</v>
      </c>
      <c r="C467" s="34">
        <v>4301011771</v>
      </c>
      <c r="D467" s="670">
        <v>4607091389104</v>
      </c>
      <c r="E467" s="670"/>
      <c r="F467" s="59">
        <v>0.88</v>
      </c>
      <c r="G467" s="35">
        <v>6</v>
      </c>
      <c r="H467" s="59">
        <v>5.28</v>
      </c>
      <c r="I467" s="59">
        <v>5.63</v>
      </c>
      <c r="J467" s="35">
        <v>104</v>
      </c>
      <c r="K467" s="35" t="s">
        <v>134</v>
      </c>
      <c r="L467" s="35" t="s">
        <v>46</v>
      </c>
      <c r="M467" s="36" t="s">
        <v>133</v>
      </c>
      <c r="N467" s="36"/>
      <c r="O467" s="35">
        <v>60</v>
      </c>
      <c r="P467" s="91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67" s="672"/>
      <c r="R467" s="672"/>
      <c r="S467" s="672"/>
      <c r="T467" s="673"/>
      <c r="U467" s="37" t="s">
        <v>46</v>
      </c>
      <c r="V467" s="37" t="s">
        <v>46</v>
      </c>
      <c r="W467" s="38" t="s">
        <v>0</v>
      </c>
      <c r="X467" s="56">
        <v>0</v>
      </c>
      <c r="Y467" s="53">
        <f t="shared" si="67"/>
        <v>0</v>
      </c>
      <c r="Z467" s="39" t="str">
        <f t="shared" si="68"/>
        <v/>
      </c>
      <c r="AA467" s="65" t="s">
        <v>46</v>
      </c>
      <c r="AB467" s="66" t="s">
        <v>46</v>
      </c>
      <c r="AC467" s="555" t="s">
        <v>767</v>
      </c>
      <c r="AG467" s="75"/>
      <c r="AJ467" s="79" t="s">
        <v>46</v>
      </c>
      <c r="AK467" s="79">
        <v>0</v>
      </c>
      <c r="BB467" s="556" t="s">
        <v>67</v>
      </c>
      <c r="BM467" s="75">
        <f t="shared" si="69"/>
        <v>0</v>
      </c>
      <c r="BN467" s="75">
        <f t="shared" si="70"/>
        <v>0</v>
      </c>
      <c r="BO467" s="75">
        <f t="shared" si="71"/>
        <v>0</v>
      </c>
      <c r="BP467" s="75">
        <f t="shared" si="72"/>
        <v>0</v>
      </c>
    </row>
    <row r="468" spans="1:68" ht="27" hidden="1" customHeight="1" x14ac:dyDescent="0.25">
      <c r="A468" s="60" t="s">
        <v>768</v>
      </c>
      <c r="B468" s="60" t="s">
        <v>769</v>
      </c>
      <c r="C468" s="34">
        <v>4301012125</v>
      </c>
      <c r="D468" s="670">
        <v>4680115886391</v>
      </c>
      <c r="E468" s="670"/>
      <c r="F468" s="59">
        <v>0.4</v>
      </c>
      <c r="G468" s="35">
        <v>6</v>
      </c>
      <c r="H468" s="59">
        <v>2.4</v>
      </c>
      <c r="I468" s="59">
        <v>2.58</v>
      </c>
      <c r="J468" s="35">
        <v>182</v>
      </c>
      <c r="K468" s="35" t="s">
        <v>91</v>
      </c>
      <c r="L468" s="35" t="s">
        <v>46</v>
      </c>
      <c r="M468" s="36" t="s">
        <v>90</v>
      </c>
      <c r="N468" s="36"/>
      <c r="O468" s="35">
        <v>60</v>
      </c>
      <c r="P468" s="91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68" s="672"/>
      <c r="R468" s="672"/>
      <c r="S468" s="672"/>
      <c r="T468" s="673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si="67"/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57" t="s">
        <v>132</v>
      </c>
      <c r="AG468" s="75"/>
      <c r="AJ468" s="79" t="s">
        <v>46</v>
      </c>
      <c r="AK468" s="79">
        <v>0</v>
      </c>
      <c r="BB468" s="558" t="s">
        <v>67</v>
      </c>
      <c r="BM468" s="75">
        <f t="shared" si="69"/>
        <v>0</v>
      </c>
      <c r="BN468" s="75">
        <f t="shared" si="70"/>
        <v>0</v>
      </c>
      <c r="BO468" s="75">
        <f t="shared" si="71"/>
        <v>0</v>
      </c>
      <c r="BP468" s="75">
        <f t="shared" si="72"/>
        <v>0</v>
      </c>
    </row>
    <row r="469" spans="1:68" ht="27" hidden="1" customHeight="1" x14ac:dyDescent="0.25">
      <c r="A469" s="60" t="s">
        <v>770</v>
      </c>
      <c r="B469" s="60" t="s">
        <v>771</v>
      </c>
      <c r="C469" s="34">
        <v>4301012048</v>
      </c>
      <c r="D469" s="670">
        <v>4680115880603</v>
      </c>
      <c r="E469" s="670"/>
      <c r="F469" s="59">
        <v>0.6</v>
      </c>
      <c r="G469" s="35">
        <v>8</v>
      </c>
      <c r="H469" s="59">
        <v>4.8</v>
      </c>
      <c r="I469" s="59">
        <v>6.91</v>
      </c>
      <c r="J469" s="35">
        <v>132</v>
      </c>
      <c r="K469" s="35" t="s">
        <v>141</v>
      </c>
      <c r="L469" s="35" t="s">
        <v>46</v>
      </c>
      <c r="M469" s="36" t="s">
        <v>90</v>
      </c>
      <c r="N469" s="36"/>
      <c r="O469" s="35">
        <v>60</v>
      </c>
      <c r="P469" s="91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69" s="672"/>
      <c r="R469" s="672"/>
      <c r="S469" s="672"/>
      <c r="T469" s="673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67"/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9" t="s">
        <v>132</v>
      </c>
      <c r="AG469" s="75"/>
      <c r="AJ469" s="79" t="s">
        <v>46</v>
      </c>
      <c r="AK469" s="79">
        <v>0</v>
      </c>
      <c r="BB469" s="560" t="s">
        <v>67</v>
      </c>
      <c r="BM469" s="75">
        <f t="shared" si="69"/>
        <v>0</v>
      </c>
      <c r="BN469" s="75">
        <f t="shared" si="70"/>
        <v>0</v>
      </c>
      <c r="BO469" s="75">
        <f t="shared" si="71"/>
        <v>0</v>
      </c>
      <c r="BP469" s="75">
        <f t="shared" si="72"/>
        <v>0</v>
      </c>
    </row>
    <row r="470" spans="1:68" ht="27" hidden="1" customHeight="1" x14ac:dyDescent="0.25">
      <c r="A470" s="60" t="s">
        <v>772</v>
      </c>
      <c r="B470" s="60" t="s">
        <v>773</v>
      </c>
      <c r="C470" s="34">
        <v>4301012034</v>
      </c>
      <c r="D470" s="670">
        <v>4607091389982</v>
      </c>
      <c r="E470" s="670"/>
      <c r="F470" s="59">
        <v>0.6</v>
      </c>
      <c r="G470" s="35">
        <v>8</v>
      </c>
      <c r="H470" s="59">
        <v>4.8</v>
      </c>
      <c r="I470" s="59">
        <v>6.91</v>
      </c>
      <c r="J470" s="35">
        <v>132</v>
      </c>
      <c r="K470" s="35" t="s">
        <v>141</v>
      </c>
      <c r="L470" s="35" t="s">
        <v>46</v>
      </c>
      <c r="M470" s="36" t="s">
        <v>133</v>
      </c>
      <c r="N470" s="36"/>
      <c r="O470" s="35">
        <v>60</v>
      </c>
      <c r="P470" s="91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0" s="672"/>
      <c r="R470" s="672"/>
      <c r="S470" s="672"/>
      <c r="T470" s="673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6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61" t="s">
        <v>767</v>
      </c>
      <c r="AG470" s="75"/>
      <c r="AJ470" s="79" t="s">
        <v>46</v>
      </c>
      <c r="AK470" s="79">
        <v>0</v>
      </c>
      <c r="BB470" s="562" t="s">
        <v>67</v>
      </c>
      <c r="BM470" s="75">
        <f t="shared" si="69"/>
        <v>0</v>
      </c>
      <c r="BN470" s="75">
        <f t="shared" si="70"/>
        <v>0</v>
      </c>
      <c r="BO470" s="75">
        <f t="shared" si="71"/>
        <v>0</v>
      </c>
      <c r="BP470" s="75">
        <f t="shared" si="72"/>
        <v>0</v>
      </c>
    </row>
    <row r="471" spans="1:68" hidden="1" x14ac:dyDescent="0.2">
      <c r="A471" s="678"/>
      <c r="B471" s="678"/>
      <c r="C471" s="678"/>
      <c r="D471" s="678"/>
      <c r="E471" s="678"/>
      <c r="F471" s="678"/>
      <c r="G471" s="678"/>
      <c r="H471" s="678"/>
      <c r="I471" s="678"/>
      <c r="J471" s="678"/>
      <c r="K471" s="678"/>
      <c r="L471" s="678"/>
      <c r="M471" s="678"/>
      <c r="N471" s="678"/>
      <c r="O471" s="679"/>
      <c r="P471" s="675" t="s">
        <v>40</v>
      </c>
      <c r="Q471" s="676"/>
      <c r="R471" s="676"/>
      <c r="S471" s="676"/>
      <c r="T471" s="676"/>
      <c r="U471" s="676"/>
      <c r="V471" s="677"/>
      <c r="W471" s="40" t="s">
        <v>39</v>
      </c>
      <c r="X471" s="41">
        <f>IFERROR(X462/H462,"0")+IFERROR(X463/H463,"0")+IFERROR(X464/H464,"0")+IFERROR(X465/H465,"0")+IFERROR(X466/H466,"0")+IFERROR(X467/H467,"0")+IFERROR(X468/H468,"0")+IFERROR(X469/H469,"0")+IFERROR(X470/H470,"0")</f>
        <v>0</v>
      </c>
      <c r="Y471" s="41">
        <f>IFERROR(Y462/H462,"0")+IFERROR(Y463/H463,"0")+IFERROR(Y464/H464,"0")+IFERROR(Y465/H465,"0")+IFERROR(Y466/H466,"0")+IFERROR(Y467/H467,"0")+IFERROR(Y468/H468,"0")+IFERROR(Y469/H469,"0")+IFERROR(Y470/H470,"0")</f>
        <v>0</v>
      </c>
      <c r="Z471" s="41">
        <f>IFERROR(IF(Z462="",0,Z462),"0")+IFERROR(IF(Z463="",0,Z463),"0")+IFERROR(IF(Z464="",0,Z464),"0")+IFERROR(IF(Z465="",0,Z465),"0")+IFERROR(IF(Z466="",0,Z466),"0")+IFERROR(IF(Z467="",0,Z467),"0")+IFERROR(IF(Z468="",0,Z468),"0")+IFERROR(IF(Z469="",0,Z469),"0")+IFERROR(IF(Z470="",0,Z470),"0")</f>
        <v>0</v>
      </c>
      <c r="AA471" s="64"/>
      <c r="AB471" s="64"/>
      <c r="AC471" s="64"/>
    </row>
    <row r="472" spans="1:68" hidden="1" x14ac:dyDescent="0.2">
      <c r="A472" s="678"/>
      <c r="B472" s="678"/>
      <c r="C472" s="678"/>
      <c r="D472" s="678"/>
      <c r="E472" s="678"/>
      <c r="F472" s="678"/>
      <c r="G472" s="678"/>
      <c r="H472" s="678"/>
      <c r="I472" s="678"/>
      <c r="J472" s="678"/>
      <c r="K472" s="678"/>
      <c r="L472" s="678"/>
      <c r="M472" s="678"/>
      <c r="N472" s="678"/>
      <c r="O472" s="679"/>
      <c r="P472" s="675" t="s">
        <v>40</v>
      </c>
      <c r="Q472" s="676"/>
      <c r="R472" s="676"/>
      <c r="S472" s="676"/>
      <c r="T472" s="676"/>
      <c r="U472" s="676"/>
      <c r="V472" s="677"/>
      <c r="W472" s="40" t="s">
        <v>0</v>
      </c>
      <c r="X472" s="41">
        <f>IFERROR(SUM(X462:X470),"0")</f>
        <v>0</v>
      </c>
      <c r="Y472" s="41">
        <f>IFERROR(SUM(Y462:Y470),"0")</f>
        <v>0</v>
      </c>
      <c r="Z472" s="40"/>
      <c r="AA472" s="64"/>
      <c r="AB472" s="64"/>
      <c r="AC472" s="64"/>
    </row>
    <row r="473" spans="1:68" ht="14.25" hidden="1" customHeight="1" x14ac:dyDescent="0.25">
      <c r="A473" s="669" t="s">
        <v>166</v>
      </c>
      <c r="B473" s="669"/>
      <c r="C473" s="669"/>
      <c r="D473" s="669"/>
      <c r="E473" s="669"/>
      <c r="F473" s="669"/>
      <c r="G473" s="669"/>
      <c r="H473" s="669"/>
      <c r="I473" s="669"/>
      <c r="J473" s="669"/>
      <c r="K473" s="669"/>
      <c r="L473" s="669"/>
      <c r="M473" s="669"/>
      <c r="N473" s="669"/>
      <c r="O473" s="669"/>
      <c r="P473" s="669"/>
      <c r="Q473" s="669"/>
      <c r="R473" s="669"/>
      <c r="S473" s="669"/>
      <c r="T473" s="669"/>
      <c r="U473" s="669"/>
      <c r="V473" s="669"/>
      <c r="W473" s="669"/>
      <c r="X473" s="669"/>
      <c r="Y473" s="669"/>
      <c r="Z473" s="669"/>
      <c r="AA473" s="63"/>
      <c r="AB473" s="63"/>
      <c r="AC473" s="63"/>
    </row>
    <row r="474" spans="1:68" ht="16.5" hidden="1" customHeight="1" x14ac:dyDescent="0.25">
      <c r="A474" s="60" t="s">
        <v>774</v>
      </c>
      <c r="B474" s="60" t="s">
        <v>775</v>
      </c>
      <c r="C474" s="34">
        <v>4301020334</v>
      </c>
      <c r="D474" s="670">
        <v>4607091388930</v>
      </c>
      <c r="E474" s="670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134</v>
      </c>
      <c r="L474" s="35" t="s">
        <v>46</v>
      </c>
      <c r="M474" s="36" t="s">
        <v>90</v>
      </c>
      <c r="N474" s="36"/>
      <c r="O474" s="35">
        <v>70</v>
      </c>
      <c r="P474" s="91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74" s="672"/>
      <c r="R474" s="672"/>
      <c r="S474" s="672"/>
      <c r="T474" s="673"/>
      <c r="U474" s="37" t="s">
        <v>46</v>
      </c>
      <c r="V474" s="37" t="s">
        <v>46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IFERROR(IF(Y474=0,"",ROUNDUP(Y474/H474,0)*0.01196),"")</f>
        <v/>
      </c>
      <c r="AA474" s="65" t="s">
        <v>46</v>
      </c>
      <c r="AB474" s="66" t="s">
        <v>46</v>
      </c>
      <c r="AC474" s="563" t="s">
        <v>776</v>
      </c>
      <c r="AG474" s="75"/>
      <c r="AJ474" s="79" t="s">
        <v>46</v>
      </c>
      <c r="AK474" s="79">
        <v>0</v>
      </c>
      <c r="BB474" s="564" t="s">
        <v>67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t="16.5" hidden="1" customHeight="1" x14ac:dyDescent="0.25">
      <c r="A475" s="60" t="s">
        <v>777</v>
      </c>
      <c r="B475" s="60" t="s">
        <v>778</v>
      </c>
      <c r="C475" s="34">
        <v>4301020374</v>
      </c>
      <c r="D475" s="670">
        <v>4680115886407</v>
      </c>
      <c r="E475" s="670"/>
      <c r="F475" s="59">
        <v>0.4</v>
      </c>
      <c r="G475" s="35">
        <v>6</v>
      </c>
      <c r="H475" s="59">
        <v>2.4</v>
      </c>
      <c r="I475" s="59">
        <v>2.58</v>
      </c>
      <c r="J475" s="35">
        <v>182</v>
      </c>
      <c r="K475" s="35" t="s">
        <v>91</v>
      </c>
      <c r="L475" s="35" t="s">
        <v>46</v>
      </c>
      <c r="M475" s="36" t="s">
        <v>133</v>
      </c>
      <c r="N475" s="36"/>
      <c r="O475" s="35">
        <v>70</v>
      </c>
      <c r="P475" s="9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75" s="672"/>
      <c r="R475" s="672"/>
      <c r="S475" s="672"/>
      <c r="T475" s="673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IFERROR(IF(Y475=0,"",ROUNDUP(Y475/H475,0)*0.00651),"")</f>
        <v/>
      </c>
      <c r="AA475" s="65" t="s">
        <v>46</v>
      </c>
      <c r="AB475" s="66" t="s">
        <v>46</v>
      </c>
      <c r="AC475" s="565" t="s">
        <v>776</v>
      </c>
      <c r="AG475" s="75"/>
      <c r="AJ475" s="79" t="s">
        <v>46</v>
      </c>
      <c r="AK475" s="79">
        <v>0</v>
      </c>
      <c r="BB475" s="566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t="16.5" hidden="1" customHeight="1" x14ac:dyDescent="0.25">
      <c r="A476" s="60" t="s">
        <v>779</v>
      </c>
      <c r="B476" s="60" t="s">
        <v>780</v>
      </c>
      <c r="C476" s="34">
        <v>4301020385</v>
      </c>
      <c r="D476" s="670">
        <v>4680115880054</v>
      </c>
      <c r="E476" s="670"/>
      <c r="F476" s="59">
        <v>0.6</v>
      </c>
      <c r="G476" s="35">
        <v>8</v>
      </c>
      <c r="H476" s="59">
        <v>4.8</v>
      </c>
      <c r="I476" s="59">
        <v>6.91</v>
      </c>
      <c r="J476" s="35">
        <v>132</v>
      </c>
      <c r="K476" s="35" t="s">
        <v>141</v>
      </c>
      <c r="L476" s="35" t="s">
        <v>46</v>
      </c>
      <c r="M476" s="36" t="s">
        <v>133</v>
      </c>
      <c r="N476" s="36"/>
      <c r="O476" s="35">
        <v>70</v>
      </c>
      <c r="P476" s="9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76" s="672"/>
      <c r="R476" s="672"/>
      <c r="S476" s="672"/>
      <c r="T476" s="673"/>
      <c r="U476" s="37" t="s">
        <v>46</v>
      </c>
      <c r="V476" s="37" t="s">
        <v>46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7" t="s">
        <v>776</v>
      </c>
      <c r="AG476" s="75"/>
      <c r="AJ476" s="79" t="s">
        <v>46</v>
      </c>
      <c r="AK476" s="79">
        <v>0</v>
      </c>
      <c r="BB476" s="568" t="s">
        <v>67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hidden="1" x14ac:dyDescent="0.2">
      <c r="A477" s="678"/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9"/>
      <c r="P477" s="675" t="s">
        <v>40</v>
      </c>
      <c r="Q477" s="676"/>
      <c r="R477" s="676"/>
      <c r="S477" s="676"/>
      <c r="T477" s="676"/>
      <c r="U477" s="676"/>
      <c r="V477" s="677"/>
      <c r="W477" s="40" t="s">
        <v>39</v>
      </c>
      <c r="X477" s="41">
        <f>IFERROR(X474/H474,"0")+IFERROR(X475/H475,"0")+IFERROR(X476/H476,"0")</f>
        <v>0</v>
      </c>
      <c r="Y477" s="41">
        <f>IFERROR(Y474/H474,"0")+IFERROR(Y475/H475,"0")+IFERROR(Y476/H476,"0")</f>
        <v>0</v>
      </c>
      <c r="Z477" s="41">
        <f>IFERROR(IF(Z474="",0,Z474),"0")+IFERROR(IF(Z475="",0,Z475),"0")+IFERROR(IF(Z476="",0,Z476),"0")</f>
        <v>0</v>
      </c>
      <c r="AA477" s="64"/>
      <c r="AB477" s="64"/>
      <c r="AC477" s="64"/>
    </row>
    <row r="478" spans="1:68" hidden="1" x14ac:dyDescent="0.2">
      <c r="A478" s="678"/>
      <c r="B478" s="678"/>
      <c r="C478" s="678"/>
      <c r="D478" s="678"/>
      <c r="E478" s="678"/>
      <c r="F478" s="678"/>
      <c r="G478" s="678"/>
      <c r="H478" s="678"/>
      <c r="I478" s="678"/>
      <c r="J478" s="678"/>
      <c r="K478" s="678"/>
      <c r="L478" s="678"/>
      <c r="M478" s="678"/>
      <c r="N478" s="678"/>
      <c r="O478" s="679"/>
      <c r="P478" s="675" t="s">
        <v>40</v>
      </c>
      <c r="Q478" s="676"/>
      <c r="R478" s="676"/>
      <c r="S478" s="676"/>
      <c r="T478" s="676"/>
      <c r="U478" s="676"/>
      <c r="V478" s="677"/>
      <c r="W478" s="40" t="s">
        <v>0</v>
      </c>
      <c r="X478" s="41">
        <f>IFERROR(SUM(X474:X476),"0")</f>
        <v>0</v>
      </c>
      <c r="Y478" s="41">
        <f>IFERROR(SUM(Y474:Y476),"0")</f>
        <v>0</v>
      </c>
      <c r="Z478" s="40"/>
      <c r="AA478" s="64"/>
      <c r="AB478" s="64"/>
      <c r="AC478" s="64"/>
    </row>
    <row r="479" spans="1:68" ht="14.25" hidden="1" customHeight="1" x14ac:dyDescent="0.25">
      <c r="A479" s="669" t="s">
        <v>77</v>
      </c>
      <c r="B479" s="669"/>
      <c r="C479" s="669"/>
      <c r="D479" s="669"/>
      <c r="E479" s="669"/>
      <c r="F479" s="669"/>
      <c r="G479" s="669"/>
      <c r="H479" s="669"/>
      <c r="I479" s="669"/>
      <c r="J479" s="669"/>
      <c r="K479" s="669"/>
      <c r="L479" s="669"/>
      <c r="M479" s="669"/>
      <c r="N479" s="669"/>
      <c r="O479" s="669"/>
      <c r="P479" s="669"/>
      <c r="Q479" s="669"/>
      <c r="R479" s="669"/>
      <c r="S479" s="669"/>
      <c r="T479" s="669"/>
      <c r="U479" s="669"/>
      <c r="V479" s="669"/>
      <c r="W479" s="669"/>
      <c r="X479" s="669"/>
      <c r="Y479" s="669"/>
      <c r="Z479" s="669"/>
      <c r="AA479" s="63"/>
      <c r="AB479" s="63"/>
      <c r="AC479" s="63"/>
    </row>
    <row r="480" spans="1:68" ht="27" hidden="1" customHeight="1" x14ac:dyDescent="0.25">
      <c r="A480" s="60" t="s">
        <v>781</v>
      </c>
      <c r="B480" s="60" t="s">
        <v>782</v>
      </c>
      <c r="C480" s="34">
        <v>4301031349</v>
      </c>
      <c r="D480" s="670">
        <v>4680115883116</v>
      </c>
      <c r="E480" s="670"/>
      <c r="F480" s="59">
        <v>0.88</v>
      </c>
      <c r="G480" s="35">
        <v>6</v>
      </c>
      <c r="H480" s="59">
        <v>5.28</v>
      </c>
      <c r="I480" s="59">
        <v>5.63</v>
      </c>
      <c r="J480" s="35">
        <v>104</v>
      </c>
      <c r="K480" s="35" t="s">
        <v>134</v>
      </c>
      <c r="L480" s="35" t="s">
        <v>46</v>
      </c>
      <c r="M480" s="36" t="s">
        <v>133</v>
      </c>
      <c r="N480" s="36"/>
      <c r="O480" s="35">
        <v>70</v>
      </c>
      <c r="P480" s="92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0" s="672"/>
      <c r="R480" s="672"/>
      <c r="S480" s="672"/>
      <c r="T480" s="673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ref="Y480:Y486" si="73">IFERROR(IF(X480="",0,CEILING((X480/$H480),1)*$H480),"")</f>
        <v>0</v>
      </c>
      <c r="Z480" s="39" t="str">
        <f>IFERROR(IF(Y480=0,"",ROUNDUP(Y480/H480,0)*0.01196),"")</f>
        <v/>
      </c>
      <c r="AA480" s="65" t="s">
        <v>46</v>
      </c>
      <c r="AB480" s="66" t="s">
        <v>46</v>
      </c>
      <c r="AC480" s="569" t="s">
        <v>783</v>
      </c>
      <c r="AG480" s="75"/>
      <c r="AJ480" s="79" t="s">
        <v>46</v>
      </c>
      <c r="AK480" s="79">
        <v>0</v>
      </c>
      <c r="BB480" s="570" t="s">
        <v>67</v>
      </c>
      <c r="BM480" s="75">
        <f t="shared" ref="BM480:BM486" si="74">IFERROR(X480*I480/H480,"0")</f>
        <v>0</v>
      </c>
      <c r="BN480" s="75">
        <f t="shared" ref="BN480:BN486" si="75">IFERROR(Y480*I480/H480,"0")</f>
        <v>0</v>
      </c>
      <c r="BO480" s="75">
        <f t="shared" ref="BO480:BO486" si="76">IFERROR(1/J480*(X480/H480),"0")</f>
        <v>0</v>
      </c>
      <c r="BP480" s="75">
        <f t="shared" ref="BP480:BP486" si="77">IFERROR(1/J480*(Y480/H480),"0")</f>
        <v>0</v>
      </c>
    </row>
    <row r="481" spans="1:68" ht="27" hidden="1" customHeight="1" x14ac:dyDescent="0.25">
      <c r="A481" s="60" t="s">
        <v>784</v>
      </c>
      <c r="B481" s="60" t="s">
        <v>785</v>
      </c>
      <c r="C481" s="34">
        <v>4301031350</v>
      </c>
      <c r="D481" s="670">
        <v>4680115883093</v>
      </c>
      <c r="E481" s="670"/>
      <c r="F481" s="59">
        <v>0.88</v>
      </c>
      <c r="G481" s="35">
        <v>6</v>
      </c>
      <c r="H481" s="59">
        <v>5.28</v>
      </c>
      <c r="I481" s="59">
        <v>5.63</v>
      </c>
      <c r="J481" s="35">
        <v>104</v>
      </c>
      <c r="K481" s="35" t="s">
        <v>134</v>
      </c>
      <c r="L481" s="35" t="s">
        <v>46</v>
      </c>
      <c r="M481" s="36" t="s">
        <v>81</v>
      </c>
      <c r="N481" s="36"/>
      <c r="O481" s="35">
        <v>70</v>
      </c>
      <c r="P481" s="92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1" s="672"/>
      <c r="R481" s="672"/>
      <c r="S481" s="672"/>
      <c r="T481" s="673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IFERROR(IF(Y481=0,"",ROUNDUP(Y481/H481,0)*0.01196),"")</f>
        <v/>
      </c>
      <c r="AA481" s="65" t="s">
        <v>46</v>
      </c>
      <c r="AB481" s="66" t="s">
        <v>46</v>
      </c>
      <c r="AC481" s="571" t="s">
        <v>786</v>
      </c>
      <c r="AG481" s="75"/>
      <c r="AJ481" s="79" t="s">
        <v>46</v>
      </c>
      <c r="AK481" s="79">
        <v>0</v>
      </c>
      <c r="BB481" s="572" t="s">
        <v>67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27" hidden="1" customHeight="1" x14ac:dyDescent="0.25">
      <c r="A482" s="60" t="s">
        <v>787</v>
      </c>
      <c r="B482" s="60" t="s">
        <v>788</v>
      </c>
      <c r="C482" s="34">
        <v>4301031353</v>
      </c>
      <c r="D482" s="670">
        <v>4680115883109</v>
      </c>
      <c r="E482" s="670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134</v>
      </c>
      <c r="L482" s="35" t="s">
        <v>46</v>
      </c>
      <c r="M482" s="36" t="s">
        <v>81</v>
      </c>
      <c r="N482" s="36"/>
      <c r="O482" s="35">
        <v>70</v>
      </c>
      <c r="P482" s="92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82" s="672"/>
      <c r="R482" s="672"/>
      <c r="S482" s="672"/>
      <c r="T482" s="673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IFERROR(IF(Y482=0,"",ROUNDUP(Y482/H482,0)*0.01196),"")</f>
        <v/>
      </c>
      <c r="AA482" s="65" t="s">
        <v>46</v>
      </c>
      <c r="AB482" s="66" t="s">
        <v>46</v>
      </c>
      <c r="AC482" s="573" t="s">
        <v>789</v>
      </c>
      <c r="AG482" s="75"/>
      <c r="AJ482" s="79" t="s">
        <v>46</v>
      </c>
      <c r="AK482" s="79">
        <v>0</v>
      </c>
      <c r="BB482" s="574" t="s">
        <v>67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t="27" hidden="1" customHeight="1" x14ac:dyDescent="0.25">
      <c r="A483" s="60" t="s">
        <v>790</v>
      </c>
      <c r="B483" s="60" t="s">
        <v>791</v>
      </c>
      <c r="C483" s="34">
        <v>4301031419</v>
      </c>
      <c r="D483" s="670">
        <v>4680115882072</v>
      </c>
      <c r="E483" s="670"/>
      <c r="F483" s="59">
        <v>0.6</v>
      </c>
      <c r="G483" s="35">
        <v>8</v>
      </c>
      <c r="H483" s="59">
        <v>4.8</v>
      </c>
      <c r="I483" s="59">
        <v>6.91</v>
      </c>
      <c r="J483" s="35">
        <v>132</v>
      </c>
      <c r="K483" s="35" t="s">
        <v>141</v>
      </c>
      <c r="L483" s="35" t="s">
        <v>46</v>
      </c>
      <c r="M483" s="36" t="s">
        <v>133</v>
      </c>
      <c r="N483" s="36"/>
      <c r="O483" s="35">
        <v>70</v>
      </c>
      <c r="P483" s="92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83" s="672"/>
      <c r="R483" s="672"/>
      <c r="S483" s="672"/>
      <c r="T483" s="673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3"/>
        <v>0</v>
      </c>
      <c r="Z483" s="39" t="str">
        <f>IFERROR(IF(Y483=0,"",ROUNDUP(Y483/H483,0)*0.00902),"")</f>
        <v/>
      </c>
      <c r="AA483" s="65" t="s">
        <v>46</v>
      </c>
      <c r="AB483" s="66" t="s">
        <v>46</v>
      </c>
      <c r="AC483" s="575" t="s">
        <v>783</v>
      </c>
      <c r="AG483" s="75"/>
      <c r="AJ483" s="79" t="s">
        <v>46</v>
      </c>
      <c r="AK483" s="79">
        <v>0</v>
      </c>
      <c r="BB483" s="576" t="s">
        <v>67</v>
      </c>
      <c r="BM483" s="75">
        <f t="shared" si="74"/>
        <v>0</v>
      </c>
      <c r="BN483" s="75">
        <f t="shared" si="75"/>
        <v>0</v>
      </c>
      <c r="BO483" s="75">
        <f t="shared" si="76"/>
        <v>0</v>
      </c>
      <c r="BP483" s="75">
        <f t="shared" si="77"/>
        <v>0</v>
      </c>
    </row>
    <row r="484" spans="1:68" ht="27" hidden="1" customHeight="1" x14ac:dyDescent="0.25">
      <c r="A484" s="60" t="s">
        <v>792</v>
      </c>
      <c r="B484" s="60" t="s">
        <v>793</v>
      </c>
      <c r="C484" s="34">
        <v>4301031352</v>
      </c>
      <c r="D484" s="670">
        <v>4680115882102</v>
      </c>
      <c r="E484" s="670"/>
      <c r="F484" s="59">
        <v>0.6</v>
      </c>
      <c r="G484" s="35">
        <v>6</v>
      </c>
      <c r="H484" s="59">
        <v>3.6</v>
      </c>
      <c r="I484" s="59">
        <v>3.79</v>
      </c>
      <c r="J484" s="35">
        <v>132</v>
      </c>
      <c r="K484" s="35" t="s">
        <v>141</v>
      </c>
      <c r="L484" s="35" t="s">
        <v>46</v>
      </c>
      <c r="M484" s="36" t="s">
        <v>81</v>
      </c>
      <c r="N484" s="36"/>
      <c r="O484" s="35">
        <v>70</v>
      </c>
      <c r="P484" s="92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84" s="672"/>
      <c r="R484" s="672"/>
      <c r="S484" s="672"/>
      <c r="T484" s="673"/>
      <c r="U484" s="37" t="s">
        <v>46</v>
      </c>
      <c r="V484" s="37" t="s">
        <v>46</v>
      </c>
      <c r="W484" s="38" t="s">
        <v>0</v>
      </c>
      <c r="X484" s="56">
        <v>0</v>
      </c>
      <c r="Y484" s="53">
        <f t="shared" si="73"/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7" t="s">
        <v>786</v>
      </c>
      <c r="AG484" s="75"/>
      <c r="AJ484" s="79" t="s">
        <v>46</v>
      </c>
      <c r="AK484" s="79">
        <v>0</v>
      </c>
      <c r="BB484" s="578" t="s">
        <v>67</v>
      </c>
      <c r="BM484" s="75">
        <f t="shared" si="74"/>
        <v>0</v>
      </c>
      <c r="BN484" s="75">
        <f t="shared" si="75"/>
        <v>0</v>
      </c>
      <c r="BO484" s="75">
        <f t="shared" si="76"/>
        <v>0</v>
      </c>
      <c r="BP484" s="75">
        <f t="shared" si="77"/>
        <v>0</v>
      </c>
    </row>
    <row r="485" spans="1:68" ht="27" hidden="1" customHeight="1" x14ac:dyDescent="0.25">
      <c r="A485" s="60" t="s">
        <v>792</v>
      </c>
      <c r="B485" s="60" t="s">
        <v>794</v>
      </c>
      <c r="C485" s="34">
        <v>4301031418</v>
      </c>
      <c r="D485" s="670">
        <v>4680115882102</v>
      </c>
      <c r="E485" s="670"/>
      <c r="F485" s="59">
        <v>0.6</v>
      </c>
      <c r="G485" s="35">
        <v>8</v>
      </c>
      <c r="H485" s="59">
        <v>4.8</v>
      </c>
      <c r="I485" s="59">
        <v>6.67</v>
      </c>
      <c r="J485" s="35">
        <v>132</v>
      </c>
      <c r="K485" s="35" t="s">
        <v>141</v>
      </c>
      <c r="L485" s="35" t="s">
        <v>46</v>
      </c>
      <c r="M485" s="36" t="s">
        <v>81</v>
      </c>
      <c r="N485" s="36"/>
      <c r="O485" s="35">
        <v>70</v>
      </c>
      <c r="P485" s="92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85" s="672"/>
      <c r="R485" s="672"/>
      <c r="S485" s="672"/>
      <c r="T485" s="673"/>
      <c r="U485" s="37" t="s">
        <v>46</v>
      </c>
      <c r="V485" s="37" t="s">
        <v>46</v>
      </c>
      <c r="W485" s="38" t="s">
        <v>0</v>
      </c>
      <c r="X485" s="56">
        <v>0</v>
      </c>
      <c r="Y485" s="53">
        <f t="shared" si="73"/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79" t="s">
        <v>786</v>
      </c>
      <c r="AG485" s="75"/>
      <c r="AJ485" s="79" t="s">
        <v>46</v>
      </c>
      <c r="AK485" s="79">
        <v>0</v>
      </c>
      <c r="BB485" s="580" t="s">
        <v>67</v>
      </c>
      <c r="BM485" s="75">
        <f t="shared" si="74"/>
        <v>0</v>
      </c>
      <c r="BN485" s="75">
        <f t="shared" si="75"/>
        <v>0</v>
      </c>
      <c r="BO485" s="75">
        <f t="shared" si="76"/>
        <v>0</v>
      </c>
      <c r="BP485" s="75">
        <f t="shared" si="77"/>
        <v>0</v>
      </c>
    </row>
    <row r="486" spans="1:68" ht="27" hidden="1" customHeight="1" x14ac:dyDescent="0.25">
      <c r="A486" s="60" t="s">
        <v>795</v>
      </c>
      <c r="B486" s="60" t="s">
        <v>796</v>
      </c>
      <c r="C486" s="34">
        <v>4301031417</v>
      </c>
      <c r="D486" s="670">
        <v>4680115882096</v>
      </c>
      <c r="E486" s="670"/>
      <c r="F486" s="59">
        <v>0.6</v>
      </c>
      <c r="G486" s="35">
        <v>8</v>
      </c>
      <c r="H486" s="59">
        <v>4.8</v>
      </c>
      <c r="I486" s="59">
        <v>6.67</v>
      </c>
      <c r="J486" s="35">
        <v>132</v>
      </c>
      <c r="K486" s="35" t="s">
        <v>141</v>
      </c>
      <c r="L486" s="35" t="s">
        <v>46</v>
      </c>
      <c r="M486" s="36" t="s">
        <v>81</v>
      </c>
      <c r="N486" s="36"/>
      <c r="O486" s="35">
        <v>70</v>
      </c>
      <c r="P486" s="92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86" s="672"/>
      <c r="R486" s="672"/>
      <c r="S486" s="672"/>
      <c r="T486" s="673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si="73"/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1" t="s">
        <v>789</v>
      </c>
      <c r="AG486" s="75"/>
      <c r="AJ486" s="79" t="s">
        <v>46</v>
      </c>
      <c r="AK486" s="79">
        <v>0</v>
      </c>
      <c r="BB486" s="582" t="s">
        <v>67</v>
      </c>
      <c r="BM486" s="75">
        <f t="shared" si="74"/>
        <v>0</v>
      </c>
      <c r="BN486" s="75">
        <f t="shared" si="75"/>
        <v>0</v>
      </c>
      <c r="BO486" s="75">
        <f t="shared" si="76"/>
        <v>0</v>
      </c>
      <c r="BP486" s="75">
        <f t="shared" si="77"/>
        <v>0</v>
      </c>
    </row>
    <row r="487" spans="1:68" hidden="1" x14ac:dyDescent="0.2">
      <c r="A487" s="678"/>
      <c r="B487" s="678"/>
      <c r="C487" s="678"/>
      <c r="D487" s="678"/>
      <c r="E487" s="678"/>
      <c r="F487" s="678"/>
      <c r="G487" s="678"/>
      <c r="H487" s="678"/>
      <c r="I487" s="678"/>
      <c r="J487" s="678"/>
      <c r="K487" s="678"/>
      <c r="L487" s="678"/>
      <c r="M487" s="678"/>
      <c r="N487" s="678"/>
      <c r="O487" s="679"/>
      <c r="P487" s="675" t="s">
        <v>40</v>
      </c>
      <c r="Q487" s="676"/>
      <c r="R487" s="676"/>
      <c r="S487" s="676"/>
      <c r="T487" s="676"/>
      <c r="U487" s="676"/>
      <c r="V487" s="677"/>
      <c r="W487" s="40" t="s">
        <v>39</v>
      </c>
      <c r="X487" s="41">
        <f>IFERROR(X480/H480,"0")+IFERROR(X481/H481,"0")+IFERROR(X482/H482,"0")+IFERROR(X483/H483,"0")+IFERROR(X484/H484,"0")+IFERROR(X485/H485,"0")+IFERROR(X486/H486,"0")</f>
        <v>0</v>
      </c>
      <c r="Y487" s="41">
        <f>IFERROR(Y480/H480,"0")+IFERROR(Y481/H481,"0")+IFERROR(Y482/H482,"0")+IFERROR(Y483/H483,"0")+IFERROR(Y484/H484,"0")+IFERROR(Y485/H485,"0")+IFERROR(Y486/H486,"0")</f>
        <v>0</v>
      </c>
      <c r="Z487" s="41">
        <f>IFERROR(IF(Z480="",0,Z480),"0")+IFERROR(IF(Z481="",0,Z481),"0")+IFERROR(IF(Z482="",0,Z482),"0")+IFERROR(IF(Z483="",0,Z483),"0")+IFERROR(IF(Z484="",0,Z484),"0")+IFERROR(IF(Z485="",0,Z485),"0")+IFERROR(IF(Z486="",0,Z486),"0")</f>
        <v>0</v>
      </c>
      <c r="AA487" s="64"/>
      <c r="AB487" s="64"/>
      <c r="AC487" s="64"/>
    </row>
    <row r="488" spans="1:68" hidden="1" x14ac:dyDescent="0.2">
      <c r="A488" s="678"/>
      <c r="B488" s="678"/>
      <c r="C488" s="678"/>
      <c r="D488" s="678"/>
      <c r="E488" s="678"/>
      <c r="F488" s="678"/>
      <c r="G488" s="678"/>
      <c r="H488" s="678"/>
      <c r="I488" s="678"/>
      <c r="J488" s="678"/>
      <c r="K488" s="678"/>
      <c r="L488" s="678"/>
      <c r="M488" s="678"/>
      <c r="N488" s="678"/>
      <c r="O488" s="679"/>
      <c r="P488" s="675" t="s">
        <v>40</v>
      </c>
      <c r="Q488" s="676"/>
      <c r="R488" s="676"/>
      <c r="S488" s="676"/>
      <c r="T488" s="676"/>
      <c r="U488" s="676"/>
      <c r="V488" s="677"/>
      <c r="W488" s="40" t="s">
        <v>0</v>
      </c>
      <c r="X488" s="41">
        <f>IFERROR(SUM(X480:X486),"0")</f>
        <v>0</v>
      </c>
      <c r="Y488" s="41">
        <f>IFERROR(SUM(Y480:Y486),"0")</f>
        <v>0</v>
      </c>
      <c r="Z488" s="40"/>
      <c r="AA488" s="64"/>
      <c r="AB488" s="64"/>
      <c r="AC488" s="64"/>
    </row>
    <row r="489" spans="1:68" ht="27.75" hidden="1" customHeight="1" x14ac:dyDescent="0.2">
      <c r="A489" s="667" t="s">
        <v>797</v>
      </c>
      <c r="B489" s="667"/>
      <c r="C489" s="667"/>
      <c r="D489" s="667"/>
      <c r="E489" s="667"/>
      <c r="F489" s="667"/>
      <c r="G489" s="667"/>
      <c r="H489" s="667"/>
      <c r="I489" s="667"/>
      <c r="J489" s="667"/>
      <c r="K489" s="667"/>
      <c r="L489" s="667"/>
      <c r="M489" s="667"/>
      <c r="N489" s="667"/>
      <c r="O489" s="667"/>
      <c r="P489" s="667"/>
      <c r="Q489" s="667"/>
      <c r="R489" s="667"/>
      <c r="S489" s="667"/>
      <c r="T489" s="667"/>
      <c r="U489" s="667"/>
      <c r="V489" s="667"/>
      <c r="W489" s="667"/>
      <c r="X489" s="667"/>
      <c r="Y489" s="667"/>
      <c r="Z489" s="667"/>
      <c r="AA489" s="52"/>
      <c r="AB489" s="52"/>
      <c r="AC489" s="52"/>
    </row>
    <row r="490" spans="1:68" ht="16.5" hidden="1" customHeight="1" x14ac:dyDescent="0.25">
      <c r="A490" s="668" t="s">
        <v>797</v>
      </c>
      <c r="B490" s="668"/>
      <c r="C490" s="668"/>
      <c r="D490" s="668"/>
      <c r="E490" s="668"/>
      <c r="F490" s="668"/>
      <c r="G490" s="668"/>
      <c r="H490" s="668"/>
      <c r="I490" s="668"/>
      <c r="J490" s="668"/>
      <c r="K490" s="668"/>
      <c r="L490" s="668"/>
      <c r="M490" s="668"/>
      <c r="N490" s="668"/>
      <c r="O490" s="668"/>
      <c r="P490" s="668"/>
      <c r="Q490" s="668"/>
      <c r="R490" s="668"/>
      <c r="S490" s="668"/>
      <c r="T490" s="668"/>
      <c r="U490" s="668"/>
      <c r="V490" s="668"/>
      <c r="W490" s="668"/>
      <c r="X490" s="668"/>
      <c r="Y490" s="668"/>
      <c r="Z490" s="668"/>
      <c r="AA490" s="62"/>
      <c r="AB490" s="62"/>
      <c r="AC490" s="62"/>
    </row>
    <row r="491" spans="1:68" ht="14.25" hidden="1" customHeight="1" x14ac:dyDescent="0.25">
      <c r="A491" s="669" t="s">
        <v>129</v>
      </c>
      <c r="B491" s="669"/>
      <c r="C491" s="669"/>
      <c r="D491" s="669"/>
      <c r="E491" s="669"/>
      <c r="F491" s="669"/>
      <c r="G491" s="669"/>
      <c r="H491" s="669"/>
      <c r="I491" s="669"/>
      <c r="J491" s="669"/>
      <c r="K491" s="669"/>
      <c r="L491" s="669"/>
      <c r="M491" s="669"/>
      <c r="N491" s="669"/>
      <c r="O491" s="669"/>
      <c r="P491" s="669"/>
      <c r="Q491" s="669"/>
      <c r="R491" s="669"/>
      <c r="S491" s="669"/>
      <c r="T491" s="669"/>
      <c r="U491" s="669"/>
      <c r="V491" s="669"/>
      <c r="W491" s="669"/>
      <c r="X491" s="669"/>
      <c r="Y491" s="669"/>
      <c r="Z491" s="669"/>
      <c r="AA491" s="63"/>
      <c r="AB491" s="63"/>
      <c r="AC491" s="63"/>
    </row>
    <row r="492" spans="1:68" ht="27" hidden="1" customHeight="1" x14ac:dyDescent="0.25">
      <c r="A492" s="60" t="s">
        <v>798</v>
      </c>
      <c r="B492" s="60" t="s">
        <v>799</v>
      </c>
      <c r="C492" s="34">
        <v>4301011584</v>
      </c>
      <c r="D492" s="670">
        <v>4640242180564</v>
      </c>
      <c r="E492" s="670"/>
      <c r="F492" s="59">
        <v>1.5</v>
      </c>
      <c r="G492" s="35">
        <v>8</v>
      </c>
      <c r="H492" s="59">
        <v>12</v>
      </c>
      <c r="I492" s="59">
        <v>12.41</v>
      </c>
      <c r="J492" s="35">
        <v>64</v>
      </c>
      <c r="K492" s="35" t="s">
        <v>134</v>
      </c>
      <c r="L492" s="35" t="s">
        <v>46</v>
      </c>
      <c r="M492" s="36" t="s">
        <v>133</v>
      </c>
      <c r="N492" s="36"/>
      <c r="O492" s="35">
        <v>50</v>
      </c>
      <c r="P492" s="92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92" s="672"/>
      <c r="R492" s="672"/>
      <c r="S492" s="672"/>
      <c r="T492" s="673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IFERROR(IF(Y492=0,"",ROUNDUP(Y492/H492,0)*0.01898),"")</f>
        <v/>
      </c>
      <c r="AA492" s="65" t="s">
        <v>46</v>
      </c>
      <c r="AB492" s="66" t="s">
        <v>46</v>
      </c>
      <c r="AC492" s="583" t="s">
        <v>800</v>
      </c>
      <c r="AG492" s="75"/>
      <c r="AJ492" s="79" t="s">
        <v>46</v>
      </c>
      <c r="AK492" s="79">
        <v>0</v>
      </c>
      <c r="BB492" s="584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678"/>
      <c r="B493" s="678"/>
      <c r="C493" s="678"/>
      <c r="D493" s="678"/>
      <c r="E493" s="678"/>
      <c r="F493" s="678"/>
      <c r="G493" s="678"/>
      <c r="H493" s="678"/>
      <c r="I493" s="678"/>
      <c r="J493" s="678"/>
      <c r="K493" s="678"/>
      <c r="L493" s="678"/>
      <c r="M493" s="678"/>
      <c r="N493" s="678"/>
      <c r="O493" s="679"/>
      <c r="P493" s="675" t="s">
        <v>40</v>
      </c>
      <c r="Q493" s="676"/>
      <c r="R493" s="676"/>
      <c r="S493" s="676"/>
      <c r="T493" s="676"/>
      <c r="U493" s="676"/>
      <c r="V493" s="677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678"/>
      <c r="B494" s="678"/>
      <c r="C494" s="678"/>
      <c r="D494" s="678"/>
      <c r="E494" s="678"/>
      <c r="F494" s="678"/>
      <c r="G494" s="678"/>
      <c r="H494" s="678"/>
      <c r="I494" s="678"/>
      <c r="J494" s="678"/>
      <c r="K494" s="678"/>
      <c r="L494" s="678"/>
      <c r="M494" s="678"/>
      <c r="N494" s="678"/>
      <c r="O494" s="679"/>
      <c r="P494" s="675" t="s">
        <v>40</v>
      </c>
      <c r="Q494" s="676"/>
      <c r="R494" s="676"/>
      <c r="S494" s="676"/>
      <c r="T494" s="676"/>
      <c r="U494" s="676"/>
      <c r="V494" s="677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69" t="s">
        <v>166</v>
      </c>
      <c r="B495" s="669"/>
      <c r="C495" s="669"/>
      <c r="D495" s="669"/>
      <c r="E495" s="669"/>
      <c r="F495" s="669"/>
      <c r="G495" s="669"/>
      <c r="H495" s="669"/>
      <c r="I495" s="669"/>
      <c r="J495" s="669"/>
      <c r="K495" s="669"/>
      <c r="L495" s="669"/>
      <c r="M495" s="669"/>
      <c r="N495" s="669"/>
      <c r="O495" s="669"/>
      <c r="P495" s="669"/>
      <c r="Q495" s="669"/>
      <c r="R495" s="669"/>
      <c r="S495" s="669"/>
      <c r="T495" s="669"/>
      <c r="U495" s="669"/>
      <c r="V495" s="669"/>
      <c r="W495" s="669"/>
      <c r="X495" s="669"/>
      <c r="Y495" s="669"/>
      <c r="Z495" s="669"/>
      <c r="AA495" s="63"/>
      <c r="AB495" s="63"/>
      <c r="AC495" s="63"/>
    </row>
    <row r="496" spans="1:68" ht="27" hidden="1" customHeight="1" x14ac:dyDescent="0.25">
      <c r="A496" s="60" t="s">
        <v>801</v>
      </c>
      <c r="B496" s="60" t="s">
        <v>802</v>
      </c>
      <c r="C496" s="34">
        <v>4301020400</v>
      </c>
      <c r="D496" s="670">
        <v>4640242180519</v>
      </c>
      <c r="E496" s="670"/>
      <c r="F496" s="59">
        <v>1.5</v>
      </c>
      <c r="G496" s="35">
        <v>8</v>
      </c>
      <c r="H496" s="59">
        <v>12</v>
      </c>
      <c r="I496" s="59">
        <v>12.41</v>
      </c>
      <c r="J496" s="35">
        <v>64</v>
      </c>
      <c r="K496" s="35" t="s">
        <v>134</v>
      </c>
      <c r="L496" s="35" t="s">
        <v>46</v>
      </c>
      <c r="M496" s="36" t="s">
        <v>133</v>
      </c>
      <c r="N496" s="36"/>
      <c r="O496" s="35">
        <v>50</v>
      </c>
      <c r="P496" s="9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96" s="672"/>
      <c r="R496" s="672"/>
      <c r="S496" s="672"/>
      <c r="T496" s="673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IFERROR(IF(Y496=0,"",ROUNDUP(Y496/H496,0)*0.01898),"")</f>
        <v/>
      </c>
      <c r="AA496" s="65" t="s">
        <v>46</v>
      </c>
      <c r="AB496" s="66" t="s">
        <v>46</v>
      </c>
      <c r="AC496" s="585" t="s">
        <v>803</v>
      </c>
      <c r="AG496" s="75"/>
      <c r="AJ496" s="79" t="s">
        <v>46</v>
      </c>
      <c r="AK496" s="79">
        <v>0</v>
      </c>
      <c r="BB496" s="586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678"/>
      <c r="B497" s="678"/>
      <c r="C497" s="678"/>
      <c r="D497" s="678"/>
      <c r="E497" s="678"/>
      <c r="F497" s="678"/>
      <c r="G497" s="678"/>
      <c r="H497" s="678"/>
      <c r="I497" s="678"/>
      <c r="J497" s="678"/>
      <c r="K497" s="678"/>
      <c r="L497" s="678"/>
      <c r="M497" s="678"/>
      <c r="N497" s="678"/>
      <c r="O497" s="679"/>
      <c r="P497" s="675" t="s">
        <v>40</v>
      </c>
      <c r="Q497" s="676"/>
      <c r="R497" s="676"/>
      <c r="S497" s="676"/>
      <c r="T497" s="676"/>
      <c r="U497" s="676"/>
      <c r="V497" s="677"/>
      <c r="W497" s="40" t="s">
        <v>39</v>
      </c>
      <c r="X497" s="41">
        <f>IFERROR(X496/H496,"0")</f>
        <v>0</v>
      </c>
      <c r="Y497" s="41">
        <f>IFERROR(Y496/H496,"0")</f>
        <v>0</v>
      </c>
      <c r="Z497" s="41">
        <f>IFERROR(IF(Z496="",0,Z496),"0")</f>
        <v>0</v>
      </c>
      <c r="AA497" s="64"/>
      <c r="AB497" s="64"/>
      <c r="AC497" s="64"/>
    </row>
    <row r="498" spans="1:68" hidden="1" x14ac:dyDescent="0.2">
      <c r="A498" s="678"/>
      <c r="B498" s="678"/>
      <c r="C498" s="678"/>
      <c r="D498" s="678"/>
      <c r="E498" s="678"/>
      <c r="F498" s="678"/>
      <c r="G498" s="678"/>
      <c r="H498" s="678"/>
      <c r="I498" s="678"/>
      <c r="J498" s="678"/>
      <c r="K498" s="678"/>
      <c r="L498" s="678"/>
      <c r="M498" s="678"/>
      <c r="N498" s="678"/>
      <c r="O498" s="679"/>
      <c r="P498" s="675" t="s">
        <v>40</v>
      </c>
      <c r="Q498" s="676"/>
      <c r="R498" s="676"/>
      <c r="S498" s="676"/>
      <c r="T498" s="676"/>
      <c r="U498" s="676"/>
      <c r="V498" s="677"/>
      <c r="W498" s="40" t="s">
        <v>0</v>
      </c>
      <c r="X498" s="41">
        <f>IFERROR(SUM(X496:X496),"0")</f>
        <v>0</v>
      </c>
      <c r="Y498" s="41">
        <f>IFERROR(SUM(Y496:Y496),"0")</f>
        <v>0</v>
      </c>
      <c r="Z498" s="40"/>
      <c r="AA498" s="64"/>
      <c r="AB498" s="64"/>
      <c r="AC498" s="64"/>
    </row>
    <row r="499" spans="1:68" ht="14.25" hidden="1" customHeight="1" x14ac:dyDescent="0.25">
      <c r="A499" s="669" t="s">
        <v>77</v>
      </c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69"/>
      <c r="P499" s="669"/>
      <c r="Q499" s="669"/>
      <c r="R499" s="669"/>
      <c r="S499" s="669"/>
      <c r="T499" s="669"/>
      <c r="U499" s="669"/>
      <c r="V499" s="669"/>
      <c r="W499" s="669"/>
      <c r="X499" s="669"/>
      <c r="Y499" s="669"/>
      <c r="Z499" s="669"/>
      <c r="AA499" s="63"/>
      <c r="AB499" s="63"/>
      <c r="AC499" s="63"/>
    </row>
    <row r="500" spans="1:68" ht="27" hidden="1" customHeight="1" x14ac:dyDescent="0.25">
      <c r="A500" s="60" t="s">
        <v>804</v>
      </c>
      <c r="B500" s="60" t="s">
        <v>805</v>
      </c>
      <c r="C500" s="34">
        <v>4301031467</v>
      </c>
      <c r="D500" s="670">
        <v>4640242180595</v>
      </c>
      <c r="E500" s="670"/>
      <c r="F500" s="59">
        <v>0.8</v>
      </c>
      <c r="G500" s="35">
        <v>6</v>
      </c>
      <c r="H500" s="59">
        <v>4.8</v>
      </c>
      <c r="I500" s="59">
        <v>5.05</v>
      </c>
      <c r="J500" s="35">
        <v>132</v>
      </c>
      <c r="K500" s="35" t="s">
        <v>141</v>
      </c>
      <c r="L500" s="35" t="s">
        <v>46</v>
      </c>
      <c r="M500" s="36" t="s">
        <v>81</v>
      </c>
      <c r="N500" s="36"/>
      <c r="O500" s="35">
        <v>40</v>
      </c>
      <c r="P500" s="93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0" s="672"/>
      <c r="R500" s="672"/>
      <c r="S500" s="672"/>
      <c r="T500" s="673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IFERROR(IF(Y500=0,"",ROUNDUP(Y500/H500,0)*0.00902),"")</f>
        <v/>
      </c>
      <c r="AA500" s="65" t="s">
        <v>46</v>
      </c>
      <c r="AB500" s="66" t="s">
        <v>46</v>
      </c>
      <c r="AC500" s="587" t="s">
        <v>806</v>
      </c>
      <c r="AG500" s="75"/>
      <c r="AJ500" s="79" t="s">
        <v>46</v>
      </c>
      <c r="AK500" s="79">
        <v>0</v>
      </c>
      <c r="BB500" s="588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27" hidden="1" customHeight="1" x14ac:dyDescent="0.25">
      <c r="A501" s="60" t="s">
        <v>804</v>
      </c>
      <c r="B501" s="60" t="s">
        <v>807</v>
      </c>
      <c r="C501" s="34">
        <v>4301031500</v>
      </c>
      <c r="D501" s="670">
        <v>4640242180595</v>
      </c>
      <c r="E501" s="670"/>
      <c r="F501" s="59">
        <v>0.7</v>
      </c>
      <c r="G501" s="35">
        <v>6</v>
      </c>
      <c r="H501" s="59">
        <v>4.2</v>
      </c>
      <c r="I501" s="59">
        <v>4.45</v>
      </c>
      <c r="J501" s="35">
        <v>132</v>
      </c>
      <c r="K501" s="35" t="s">
        <v>141</v>
      </c>
      <c r="L501" s="35" t="s">
        <v>46</v>
      </c>
      <c r="M501" s="36" t="s">
        <v>81</v>
      </c>
      <c r="N501" s="36"/>
      <c r="O501" s="35">
        <v>40</v>
      </c>
      <c r="P501" s="93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1" s="672"/>
      <c r="R501" s="672"/>
      <c r="S501" s="672"/>
      <c r="T501" s="673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IFERROR(IF(Y501=0,"",ROUNDUP(Y501/H501,0)*0.00902),"")</f>
        <v/>
      </c>
      <c r="AA501" s="65" t="s">
        <v>46</v>
      </c>
      <c r="AB501" s="66" t="s">
        <v>46</v>
      </c>
      <c r="AC501" s="589" t="s">
        <v>808</v>
      </c>
      <c r="AG501" s="75"/>
      <c r="AJ501" s="79" t="s">
        <v>46</v>
      </c>
      <c r="AK501" s="79">
        <v>0</v>
      </c>
      <c r="BB501" s="590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idden="1" x14ac:dyDescent="0.2">
      <c r="A502" s="678"/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9"/>
      <c r="P502" s="675" t="s">
        <v>40</v>
      </c>
      <c r="Q502" s="676"/>
      <c r="R502" s="676"/>
      <c r="S502" s="676"/>
      <c r="T502" s="676"/>
      <c r="U502" s="676"/>
      <c r="V502" s="677"/>
      <c r="W502" s="40" t="s">
        <v>39</v>
      </c>
      <c r="X502" s="41">
        <f>IFERROR(X500/H500,"0")+IFERROR(X501/H501,"0")</f>
        <v>0</v>
      </c>
      <c r="Y502" s="41">
        <f>IFERROR(Y500/H500,"0")+IFERROR(Y501/H501,"0")</f>
        <v>0</v>
      </c>
      <c r="Z502" s="41">
        <f>IFERROR(IF(Z500="",0,Z500),"0")+IFERROR(IF(Z501="",0,Z501),"0")</f>
        <v>0</v>
      </c>
      <c r="AA502" s="64"/>
      <c r="AB502" s="64"/>
      <c r="AC502" s="64"/>
    </row>
    <row r="503" spans="1:68" hidden="1" x14ac:dyDescent="0.2">
      <c r="A503" s="678"/>
      <c r="B503" s="678"/>
      <c r="C503" s="678"/>
      <c r="D503" s="678"/>
      <c r="E503" s="678"/>
      <c r="F503" s="678"/>
      <c r="G503" s="678"/>
      <c r="H503" s="678"/>
      <c r="I503" s="678"/>
      <c r="J503" s="678"/>
      <c r="K503" s="678"/>
      <c r="L503" s="678"/>
      <c r="M503" s="678"/>
      <c r="N503" s="678"/>
      <c r="O503" s="679"/>
      <c r="P503" s="675" t="s">
        <v>40</v>
      </c>
      <c r="Q503" s="676"/>
      <c r="R503" s="676"/>
      <c r="S503" s="676"/>
      <c r="T503" s="676"/>
      <c r="U503" s="676"/>
      <c r="V503" s="677"/>
      <c r="W503" s="40" t="s">
        <v>0</v>
      </c>
      <c r="X503" s="41">
        <f>IFERROR(SUM(X500:X501),"0")</f>
        <v>0</v>
      </c>
      <c r="Y503" s="41">
        <f>IFERROR(SUM(Y500:Y501),"0")</f>
        <v>0</v>
      </c>
      <c r="Z503" s="40"/>
      <c r="AA503" s="64"/>
      <c r="AB503" s="64"/>
      <c r="AC503" s="64"/>
    </row>
    <row r="504" spans="1:68" ht="14.25" hidden="1" customHeight="1" x14ac:dyDescent="0.25">
      <c r="A504" s="669" t="s">
        <v>86</v>
      </c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69"/>
      <c r="P504" s="669"/>
      <c r="Q504" s="669"/>
      <c r="R504" s="669"/>
      <c r="S504" s="669"/>
      <c r="T504" s="669"/>
      <c r="U504" s="669"/>
      <c r="V504" s="669"/>
      <c r="W504" s="669"/>
      <c r="X504" s="669"/>
      <c r="Y504" s="669"/>
      <c r="Z504" s="669"/>
      <c r="AA504" s="63"/>
      <c r="AB504" s="63"/>
      <c r="AC504" s="63"/>
    </row>
    <row r="505" spans="1:68" ht="27" hidden="1" customHeight="1" x14ac:dyDescent="0.25">
      <c r="A505" s="60" t="s">
        <v>809</v>
      </c>
      <c r="B505" s="60" t="s">
        <v>810</v>
      </c>
      <c r="C505" s="34">
        <v>4301052043</v>
      </c>
      <c r="D505" s="670">
        <v>4640242180533</v>
      </c>
      <c r="E505" s="670"/>
      <c r="F505" s="59">
        <v>1.5</v>
      </c>
      <c r="G505" s="35">
        <v>6</v>
      </c>
      <c r="H505" s="59">
        <v>9</v>
      </c>
      <c r="I505" s="59">
        <v>9.4939999999999998</v>
      </c>
      <c r="J505" s="35">
        <v>64</v>
      </c>
      <c r="K505" s="35" t="s">
        <v>134</v>
      </c>
      <c r="L505" s="35" t="s">
        <v>46</v>
      </c>
      <c r="M505" s="36" t="s">
        <v>90</v>
      </c>
      <c r="N505" s="36"/>
      <c r="O505" s="35">
        <v>45</v>
      </c>
      <c r="P505" s="9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05" s="672"/>
      <c r="R505" s="672"/>
      <c r="S505" s="672"/>
      <c r="T505" s="673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91" t="s">
        <v>811</v>
      </c>
      <c r="AG505" s="75"/>
      <c r="AJ505" s="79" t="s">
        <v>46</v>
      </c>
      <c r="AK505" s="79">
        <v>0</v>
      </c>
      <c r="BB505" s="592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78"/>
      <c r="B506" s="678"/>
      <c r="C506" s="678"/>
      <c r="D506" s="678"/>
      <c r="E506" s="678"/>
      <c r="F506" s="678"/>
      <c r="G506" s="678"/>
      <c r="H506" s="678"/>
      <c r="I506" s="678"/>
      <c r="J506" s="678"/>
      <c r="K506" s="678"/>
      <c r="L506" s="678"/>
      <c r="M506" s="678"/>
      <c r="N506" s="678"/>
      <c r="O506" s="679"/>
      <c r="P506" s="675" t="s">
        <v>40</v>
      </c>
      <c r="Q506" s="676"/>
      <c r="R506" s="676"/>
      <c r="S506" s="676"/>
      <c r="T506" s="676"/>
      <c r="U506" s="676"/>
      <c r="V506" s="677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hidden="1" x14ac:dyDescent="0.2">
      <c r="A507" s="678"/>
      <c r="B507" s="678"/>
      <c r="C507" s="678"/>
      <c r="D507" s="678"/>
      <c r="E507" s="678"/>
      <c r="F507" s="678"/>
      <c r="G507" s="678"/>
      <c r="H507" s="678"/>
      <c r="I507" s="678"/>
      <c r="J507" s="678"/>
      <c r="K507" s="678"/>
      <c r="L507" s="678"/>
      <c r="M507" s="678"/>
      <c r="N507" s="678"/>
      <c r="O507" s="679"/>
      <c r="P507" s="675" t="s">
        <v>40</v>
      </c>
      <c r="Q507" s="676"/>
      <c r="R507" s="676"/>
      <c r="S507" s="676"/>
      <c r="T507" s="676"/>
      <c r="U507" s="676"/>
      <c r="V507" s="677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69" t="s">
        <v>183</v>
      </c>
      <c r="B508" s="669"/>
      <c r="C508" s="669"/>
      <c r="D508" s="669"/>
      <c r="E508" s="669"/>
      <c r="F508" s="669"/>
      <c r="G508" s="669"/>
      <c r="H508" s="669"/>
      <c r="I508" s="669"/>
      <c r="J508" s="669"/>
      <c r="K508" s="669"/>
      <c r="L508" s="669"/>
      <c r="M508" s="669"/>
      <c r="N508" s="669"/>
      <c r="O508" s="669"/>
      <c r="P508" s="669"/>
      <c r="Q508" s="669"/>
      <c r="R508" s="669"/>
      <c r="S508" s="669"/>
      <c r="T508" s="669"/>
      <c r="U508" s="669"/>
      <c r="V508" s="669"/>
      <c r="W508" s="669"/>
      <c r="X508" s="669"/>
      <c r="Y508" s="669"/>
      <c r="Z508" s="669"/>
      <c r="AA508" s="63"/>
      <c r="AB508" s="63"/>
      <c r="AC508" s="63"/>
    </row>
    <row r="509" spans="1:68" ht="27" hidden="1" customHeight="1" x14ac:dyDescent="0.25">
      <c r="A509" s="60" t="s">
        <v>812</v>
      </c>
      <c r="B509" s="60" t="s">
        <v>813</v>
      </c>
      <c r="C509" s="34">
        <v>4301060535</v>
      </c>
      <c r="D509" s="670">
        <v>4640242180120</v>
      </c>
      <c r="E509" s="670"/>
      <c r="F509" s="59">
        <v>1.5</v>
      </c>
      <c r="G509" s="35">
        <v>6</v>
      </c>
      <c r="H509" s="59">
        <v>9</v>
      </c>
      <c r="I509" s="59">
        <v>9.41</v>
      </c>
      <c r="J509" s="35">
        <v>64</v>
      </c>
      <c r="K509" s="35" t="s">
        <v>134</v>
      </c>
      <c r="L509" s="35" t="s">
        <v>46</v>
      </c>
      <c r="M509" s="36" t="s">
        <v>90</v>
      </c>
      <c r="N509" s="36"/>
      <c r="O509" s="35">
        <v>40</v>
      </c>
      <c r="P509" s="9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09" s="672"/>
      <c r="R509" s="672"/>
      <c r="S509" s="672"/>
      <c r="T509" s="673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IFERROR(IF(Y509=0,"",ROUNDUP(Y509/H509,0)*0.01898),"")</f>
        <v/>
      </c>
      <c r="AA509" s="65" t="s">
        <v>46</v>
      </c>
      <c r="AB509" s="66" t="s">
        <v>46</v>
      </c>
      <c r="AC509" s="593" t="s">
        <v>814</v>
      </c>
      <c r="AG509" s="75"/>
      <c r="AJ509" s="79" t="s">
        <v>46</v>
      </c>
      <c r="AK509" s="79">
        <v>0</v>
      </c>
      <c r="BB509" s="594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hidden="1" customHeight="1" x14ac:dyDescent="0.25">
      <c r="A510" s="60" t="s">
        <v>815</v>
      </c>
      <c r="B510" s="60" t="s">
        <v>816</v>
      </c>
      <c r="C510" s="34">
        <v>4301060536</v>
      </c>
      <c r="D510" s="670">
        <v>4640242180137</v>
      </c>
      <c r="E510" s="670"/>
      <c r="F510" s="59">
        <v>1.5</v>
      </c>
      <c r="G510" s="35">
        <v>6</v>
      </c>
      <c r="H510" s="59">
        <v>9</v>
      </c>
      <c r="I510" s="59">
        <v>9.41</v>
      </c>
      <c r="J510" s="35">
        <v>64</v>
      </c>
      <c r="K510" s="35" t="s">
        <v>134</v>
      </c>
      <c r="L510" s="35" t="s">
        <v>46</v>
      </c>
      <c r="M510" s="36" t="s">
        <v>90</v>
      </c>
      <c r="N510" s="36"/>
      <c r="O510" s="35">
        <v>40</v>
      </c>
      <c r="P510" s="9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0" s="672"/>
      <c r="R510" s="672"/>
      <c r="S510" s="672"/>
      <c r="T510" s="673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IFERROR(IF(Y510=0,"",ROUNDUP(Y510/H510,0)*0.01898),"")</f>
        <v/>
      </c>
      <c r="AA510" s="65" t="s">
        <v>46</v>
      </c>
      <c r="AB510" s="66" t="s">
        <v>46</v>
      </c>
      <c r="AC510" s="595" t="s">
        <v>817</v>
      </c>
      <c r="AG510" s="75"/>
      <c r="AJ510" s="79" t="s">
        <v>46</v>
      </c>
      <c r="AK510" s="79">
        <v>0</v>
      </c>
      <c r="BB510" s="596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78"/>
      <c r="B511" s="678"/>
      <c r="C511" s="678"/>
      <c r="D511" s="678"/>
      <c r="E511" s="678"/>
      <c r="F511" s="678"/>
      <c r="G511" s="678"/>
      <c r="H511" s="678"/>
      <c r="I511" s="678"/>
      <c r="J511" s="678"/>
      <c r="K511" s="678"/>
      <c r="L511" s="678"/>
      <c r="M511" s="678"/>
      <c r="N511" s="678"/>
      <c r="O511" s="679"/>
      <c r="P511" s="675" t="s">
        <v>40</v>
      </c>
      <c r="Q511" s="676"/>
      <c r="R511" s="676"/>
      <c r="S511" s="676"/>
      <c r="T511" s="676"/>
      <c r="U511" s="676"/>
      <c r="V511" s="677"/>
      <c r="W511" s="40" t="s">
        <v>39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hidden="1" x14ac:dyDescent="0.2">
      <c r="A512" s="678"/>
      <c r="B512" s="678"/>
      <c r="C512" s="678"/>
      <c r="D512" s="678"/>
      <c r="E512" s="678"/>
      <c r="F512" s="678"/>
      <c r="G512" s="678"/>
      <c r="H512" s="678"/>
      <c r="I512" s="678"/>
      <c r="J512" s="678"/>
      <c r="K512" s="678"/>
      <c r="L512" s="678"/>
      <c r="M512" s="678"/>
      <c r="N512" s="678"/>
      <c r="O512" s="679"/>
      <c r="P512" s="675" t="s">
        <v>40</v>
      </c>
      <c r="Q512" s="676"/>
      <c r="R512" s="676"/>
      <c r="S512" s="676"/>
      <c r="T512" s="676"/>
      <c r="U512" s="676"/>
      <c r="V512" s="677"/>
      <c r="W512" s="40" t="s">
        <v>0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6.5" hidden="1" customHeight="1" x14ac:dyDescent="0.25">
      <c r="A513" s="668" t="s">
        <v>818</v>
      </c>
      <c r="B513" s="668"/>
      <c r="C513" s="668"/>
      <c r="D513" s="668"/>
      <c r="E513" s="668"/>
      <c r="F513" s="668"/>
      <c r="G513" s="668"/>
      <c r="H513" s="668"/>
      <c r="I513" s="668"/>
      <c r="J513" s="668"/>
      <c r="K513" s="668"/>
      <c r="L513" s="668"/>
      <c r="M513" s="668"/>
      <c r="N513" s="668"/>
      <c r="O513" s="668"/>
      <c r="P513" s="668"/>
      <c r="Q513" s="668"/>
      <c r="R513" s="668"/>
      <c r="S513" s="668"/>
      <c r="T513" s="668"/>
      <c r="U513" s="668"/>
      <c r="V513" s="668"/>
      <c r="W513" s="668"/>
      <c r="X513" s="668"/>
      <c r="Y513" s="668"/>
      <c r="Z513" s="668"/>
      <c r="AA513" s="62"/>
      <c r="AB513" s="62"/>
      <c r="AC513" s="62"/>
    </row>
    <row r="514" spans="1:68" ht="14.25" hidden="1" customHeight="1" x14ac:dyDescent="0.25">
      <c r="A514" s="669" t="s">
        <v>166</v>
      </c>
      <c r="B514" s="669"/>
      <c r="C514" s="669"/>
      <c r="D514" s="669"/>
      <c r="E514" s="669"/>
      <c r="F514" s="669"/>
      <c r="G514" s="669"/>
      <c r="H514" s="669"/>
      <c r="I514" s="669"/>
      <c r="J514" s="669"/>
      <c r="K514" s="669"/>
      <c r="L514" s="669"/>
      <c r="M514" s="669"/>
      <c r="N514" s="669"/>
      <c r="O514" s="669"/>
      <c r="P514" s="669"/>
      <c r="Q514" s="669"/>
      <c r="R514" s="669"/>
      <c r="S514" s="669"/>
      <c r="T514" s="669"/>
      <c r="U514" s="669"/>
      <c r="V514" s="669"/>
      <c r="W514" s="669"/>
      <c r="X514" s="669"/>
      <c r="Y514" s="669"/>
      <c r="Z514" s="669"/>
      <c r="AA514" s="63"/>
      <c r="AB514" s="63"/>
      <c r="AC514" s="63"/>
    </row>
    <row r="515" spans="1:68" ht="27" hidden="1" customHeight="1" x14ac:dyDescent="0.25">
      <c r="A515" s="60" t="s">
        <v>819</v>
      </c>
      <c r="B515" s="60" t="s">
        <v>820</v>
      </c>
      <c r="C515" s="34">
        <v>4301020428</v>
      </c>
      <c r="D515" s="670">
        <v>4640242180090</v>
      </c>
      <c r="E515" s="670"/>
      <c r="F515" s="59">
        <v>1.5</v>
      </c>
      <c r="G515" s="35">
        <v>8</v>
      </c>
      <c r="H515" s="59">
        <v>12</v>
      </c>
      <c r="I515" s="59">
        <v>12.41</v>
      </c>
      <c r="J515" s="35">
        <v>64</v>
      </c>
      <c r="K515" s="35" t="s">
        <v>134</v>
      </c>
      <c r="L515" s="35" t="s">
        <v>46</v>
      </c>
      <c r="M515" s="36" t="s">
        <v>133</v>
      </c>
      <c r="N515" s="36"/>
      <c r="O515" s="35">
        <v>50</v>
      </c>
      <c r="P515" s="93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15" s="672"/>
      <c r="R515" s="672"/>
      <c r="S515" s="672"/>
      <c r="T515" s="673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IFERROR(IF(Y515=0,"",ROUNDUP(Y515/H515,0)*0.01898),"")</f>
        <v/>
      </c>
      <c r="AA515" s="65" t="s">
        <v>46</v>
      </c>
      <c r="AB515" s="66" t="s">
        <v>46</v>
      </c>
      <c r="AC515" s="597" t="s">
        <v>821</v>
      </c>
      <c r="AG515" s="75"/>
      <c r="AJ515" s="79" t="s">
        <v>46</v>
      </c>
      <c r="AK515" s="79">
        <v>0</v>
      </c>
      <c r="BB515" s="598" t="s">
        <v>67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idden="1" x14ac:dyDescent="0.2">
      <c r="A516" s="678"/>
      <c r="B516" s="678"/>
      <c r="C516" s="678"/>
      <c r="D516" s="678"/>
      <c r="E516" s="678"/>
      <c r="F516" s="678"/>
      <c r="G516" s="678"/>
      <c r="H516" s="678"/>
      <c r="I516" s="678"/>
      <c r="J516" s="678"/>
      <c r="K516" s="678"/>
      <c r="L516" s="678"/>
      <c r="M516" s="678"/>
      <c r="N516" s="678"/>
      <c r="O516" s="679"/>
      <c r="P516" s="675" t="s">
        <v>40</v>
      </c>
      <c r="Q516" s="676"/>
      <c r="R516" s="676"/>
      <c r="S516" s="676"/>
      <c r="T516" s="676"/>
      <c r="U516" s="676"/>
      <c r="V516" s="677"/>
      <c r="W516" s="40" t="s">
        <v>39</v>
      </c>
      <c r="X516" s="41">
        <f>IFERROR(X515/H515,"0")</f>
        <v>0</v>
      </c>
      <c r="Y516" s="41">
        <f>IFERROR(Y515/H515,"0")</f>
        <v>0</v>
      </c>
      <c r="Z516" s="41">
        <f>IFERROR(IF(Z515="",0,Z515),"0")</f>
        <v>0</v>
      </c>
      <c r="AA516" s="64"/>
      <c r="AB516" s="64"/>
      <c r="AC516" s="64"/>
    </row>
    <row r="517" spans="1:68" hidden="1" x14ac:dyDescent="0.2">
      <c r="A517" s="678"/>
      <c r="B517" s="678"/>
      <c r="C517" s="678"/>
      <c r="D517" s="678"/>
      <c r="E517" s="678"/>
      <c r="F517" s="678"/>
      <c r="G517" s="678"/>
      <c r="H517" s="678"/>
      <c r="I517" s="678"/>
      <c r="J517" s="678"/>
      <c r="K517" s="678"/>
      <c r="L517" s="678"/>
      <c r="M517" s="678"/>
      <c r="N517" s="678"/>
      <c r="O517" s="679"/>
      <c r="P517" s="675" t="s">
        <v>40</v>
      </c>
      <c r="Q517" s="676"/>
      <c r="R517" s="676"/>
      <c r="S517" s="676"/>
      <c r="T517" s="676"/>
      <c r="U517" s="676"/>
      <c r="V517" s="677"/>
      <c r="W517" s="40" t="s">
        <v>0</v>
      </c>
      <c r="X517" s="41">
        <f>IFERROR(SUM(X515:X515),"0")</f>
        <v>0</v>
      </c>
      <c r="Y517" s="41">
        <f>IFERROR(SUM(Y515:Y515),"0")</f>
        <v>0</v>
      </c>
      <c r="Z517" s="40"/>
      <c r="AA517" s="64"/>
      <c r="AB517" s="64"/>
      <c r="AC517" s="64"/>
    </row>
    <row r="518" spans="1:68" ht="15" customHeight="1" x14ac:dyDescent="0.2">
      <c r="A518" s="678"/>
      <c r="B518" s="678"/>
      <c r="C518" s="678"/>
      <c r="D518" s="678"/>
      <c r="E518" s="678"/>
      <c r="F518" s="678"/>
      <c r="G518" s="678"/>
      <c r="H518" s="678"/>
      <c r="I518" s="678"/>
      <c r="J518" s="678"/>
      <c r="K518" s="678"/>
      <c r="L518" s="678"/>
      <c r="M518" s="678"/>
      <c r="N518" s="678"/>
      <c r="O518" s="940"/>
      <c r="P518" s="937" t="s">
        <v>33</v>
      </c>
      <c r="Q518" s="938"/>
      <c r="R518" s="938"/>
      <c r="S518" s="938"/>
      <c r="T518" s="938"/>
      <c r="U518" s="938"/>
      <c r="V518" s="939"/>
      <c r="W518" s="40" t="s">
        <v>0</v>
      </c>
      <c r="X518" s="41">
        <f>IFERROR(X25+X33+X37+X47+X56+X68+X75+X80+X85+X93+X100+X110+X120+X127+X131+X139+X145+X149+X163+X169+X174+X178+X190+X195+X212+X220+X226+X230+X236+X241+X252+X267+X272+X283+X287+X291+X297+X306+X313+X322+X327+X334+X344+X354+X361+X367+X374+X380+X387+X400+X406+X411+X415+X421+X425+X431+X442+X447+X452+X458+X472+X478+X488+X494+X498+X503+X507+X512+X517,"0")</f>
        <v>4014.3</v>
      </c>
      <c r="Y518" s="41">
        <f>IFERROR(Y25+Y33+Y37+Y47+Y56+Y68+Y75+Y80+Y85+Y93+Y100+Y110+Y120+Y127+Y131+Y139+Y145+Y149+Y163+Y169+Y174+Y178+Y190+Y195+Y212+Y220+Y226+Y230+Y236+Y241+Y252+Y267+Y272+Y283+Y287+Y291+Y297+Y306+Y313+Y322+Y327+Y334+Y344+Y354+Y361+Y367+Y374+Y380+Y387+Y400+Y406+Y411+Y415+Y421+Y425+Y431+Y442+Y447+Y452+Y458+Y472+Y478+Y488+Y494+Y498+Y503+Y507+Y512+Y517,"0")</f>
        <v>4039.04</v>
      </c>
      <c r="Z518" s="40"/>
      <c r="AA518" s="64"/>
      <c r="AB518" s="64"/>
      <c r="AC518" s="64"/>
    </row>
    <row r="519" spans="1:68" x14ac:dyDescent="0.2">
      <c r="A519" s="678"/>
      <c r="B519" s="678"/>
      <c r="C519" s="678"/>
      <c r="D519" s="678"/>
      <c r="E519" s="678"/>
      <c r="F519" s="678"/>
      <c r="G519" s="678"/>
      <c r="H519" s="678"/>
      <c r="I519" s="678"/>
      <c r="J519" s="678"/>
      <c r="K519" s="678"/>
      <c r="L519" s="678"/>
      <c r="M519" s="678"/>
      <c r="N519" s="678"/>
      <c r="O519" s="940"/>
      <c r="P519" s="937" t="s">
        <v>34</v>
      </c>
      <c r="Q519" s="938"/>
      <c r="R519" s="938"/>
      <c r="S519" s="938"/>
      <c r="T519" s="938"/>
      <c r="U519" s="938"/>
      <c r="V519" s="939"/>
      <c r="W519" s="40" t="s">
        <v>0</v>
      </c>
      <c r="X519" s="41">
        <f>IFERROR(SUM(BM22:BM515),"0")</f>
        <v>4263.4595238095235</v>
      </c>
      <c r="Y519" s="41">
        <f>IFERROR(SUM(BN22:BN515),"0")</f>
        <v>4289.8239999999996</v>
      </c>
      <c r="Z519" s="40"/>
      <c r="AA519" s="64"/>
      <c r="AB519" s="64"/>
      <c r="AC519" s="64"/>
    </row>
    <row r="520" spans="1:68" x14ac:dyDescent="0.2">
      <c r="A520" s="678"/>
      <c r="B520" s="678"/>
      <c r="C520" s="678"/>
      <c r="D520" s="678"/>
      <c r="E520" s="678"/>
      <c r="F520" s="678"/>
      <c r="G520" s="678"/>
      <c r="H520" s="678"/>
      <c r="I520" s="678"/>
      <c r="J520" s="678"/>
      <c r="K520" s="678"/>
      <c r="L520" s="678"/>
      <c r="M520" s="678"/>
      <c r="N520" s="678"/>
      <c r="O520" s="940"/>
      <c r="P520" s="937" t="s">
        <v>35</v>
      </c>
      <c r="Q520" s="938"/>
      <c r="R520" s="938"/>
      <c r="S520" s="938"/>
      <c r="T520" s="938"/>
      <c r="U520" s="938"/>
      <c r="V520" s="939"/>
      <c r="W520" s="40" t="s">
        <v>20</v>
      </c>
      <c r="X520" s="42">
        <f>ROUNDUP(SUM(BO22:BO515),0)</f>
        <v>8</v>
      </c>
      <c r="Y520" s="42">
        <f>ROUNDUP(SUM(BP22:BP515),0)</f>
        <v>8</v>
      </c>
      <c r="Z520" s="40"/>
      <c r="AA520" s="64"/>
      <c r="AB520" s="64"/>
      <c r="AC520" s="64"/>
    </row>
    <row r="521" spans="1:68" x14ac:dyDescent="0.2">
      <c r="A521" s="678"/>
      <c r="B521" s="678"/>
      <c r="C521" s="678"/>
      <c r="D521" s="678"/>
      <c r="E521" s="678"/>
      <c r="F521" s="678"/>
      <c r="G521" s="678"/>
      <c r="H521" s="678"/>
      <c r="I521" s="678"/>
      <c r="J521" s="678"/>
      <c r="K521" s="678"/>
      <c r="L521" s="678"/>
      <c r="M521" s="678"/>
      <c r="N521" s="678"/>
      <c r="O521" s="940"/>
      <c r="P521" s="937" t="s">
        <v>36</v>
      </c>
      <c r="Q521" s="938"/>
      <c r="R521" s="938"/>
      <c r="S521" s="938"/>
      <c r="T521" s="938"/>
      <c r="U521" s="938"/>
      <c r="V521" s="939"/>
      <c r="W521" s="40" t="s">
        <v>0</v>
      </c>
      <c r="X521" s="41">
        <f>GrossWeightTotal+PalletQtyTotal*25</f>
        <v>4463.4595238095235</v>
      </c>
      <c r="Y521" s="41">
        <f>GrossWeightTotalR+PalletQtyTotalR*25</f>
        <v>4489.8239999999996</v>
      </c>
      <c r="Z521" s="40"/>
      <c r="AA521" s="64"/>
      <c r="AB521" s="64"/>
      <c r="AC521" s="64"/>
    </row>
    <row r="522" spans="1:68" x14ac:dyDescent="0.2">
      <c r="A522" s="678"/>
      <c r="B522" s="678"/>
      <c r="C522" s="678"/>
      <c r="D522" s="678"/>
      <c r="E522" s="678"/>
      <c r="F522" s="678"/>
      <c r="G522" s="678"/>
      <c r="H522" s="678"/>
      <c r="I522" s="678"/>
      <c r="J522" s="678"/>
      <c r="K522" s="678"/>
      <c r="L522" s="678"/>
      <c r="M522" s="678"/>
      <c r="N522" s="678"/>
      <c r="O522" s="940"/>
      <c r="P522" s="937" t="s">
        <v>37</v>
      </c>
      <c r="Q522" s="938"/>
      <c r="R522" s="938"/>
      <c r="S522" s="938"/>
      <c r="T522" s="938"/>
      <c r="U522" s="938"/>
      <c r="V522" s="939"/>
      <c r="W522" s="40" t="s">
        <v>20</v>
      </c>
      <c r="X522" s="41">
        <f>IFERROR(X24+X32+X36+X46+X55+X67+X74+X79+X84+X92+X99+X109+X119+X126+X130+X138+X144+X148+X162+X168+X173+X177+X189+X194+X211+X219+X225+X229+X235+X240+X251+X266+X271+X282+X286+X290+X296+X305+X312+X321+X326+X333+X343+X353+X360+X366+X373+X379+X386+X399+X405+X410+X414+X420+X424+X430+X441+X446+X451+X457+X471+X477+X487+X493+X497+X502+X506+X511+X516,"0")</f>
        <v>662.95238095238096</v>
      </c>
      <c r="Y522" s="41">
        <f>IFERROR(Y24+Y32+Y36+Y46+Y55+Y67+Y74+Y79+Y84+Y92+Y99+Y109+Y119+Y126+Y130+Y138+Y144+Y148+Y162+Y168+Y173+Y177+Y189+Y194+Y211+Y219+Y225+Y229+Y235+Y240+Y251+Y266+Y271+Y282+Y286+Y290+Y296+Y305+Y312+Y321+Y326+Y333+Y343+Y353+Y360+Y366+Y373+Y379+Y386+Y399+Y405+Y410+Y414+Y420+Y424+Y430+Y441+Y446+Y451+Y457+Y471+Y477+Y487+Y493+Y497+Y502+Y506+Y511+Y516,"0")</f>
        <v>669</v>
      </c>
      <c r="Z522" s="40"/>
      <c r="AA522" s="64"/>
      <c r="AB522" s="64"/>
      <c r="AC522" s="64"/>
    </row>
    <row r="523" spans="1:68" ht="14.25" hidden="1" x14ac:dyDescent="0.2">
      <c r="A523" s="678"/>
      <c r="B523" s="678"/>
      <c r="C523" s="678"/>
      <c r="D523" s="678"/>
      <c r="E523" s="678"/>
      <c r="F523" s="678"/>
      <c r="G523" s="678"/>
      <c r="H523" s="678"/>
      <c r="I523" s="678"/>
      <c r="J523" s="678"/>
      <c r="K523" s="678"/>
      <c r="L523" s="678"/>
      <c r="M523" s="678"/>
      <c r="N523" s="678"/>
      <c r="O523" s="940"/>
      <c r="P523" s="937" t="s">
        <v>38</v>
      </c>
      <c r="Q523" s="938"/>
      <c r="R523" s="938"/>
      <c r="S523" s="938"/>
      <c r="T523" s="938"/>
      <c r="U523" s="938"/>
      <c r="V523" s="939"/>
      <c r="W523" s="43" t="s">
        <v>52</v>
      </c>
      <c r="X523" s="40"/>
      <c r="Y523" s="40"/>
      <c r="Z523" s="40">
        <f>IFERROR(Z24+Z32+Z36+Z46+Z55+Z67+Z74+Z79+Z84+Z92+Z99+Z109+Z119+Z126+Z130+Z138+Z144+Z148+Z162+Z168+Z173+Z177+Z189+Z194+Z211+Z219+Z225+Z229+Z235+Z240+Z251+Z266+Z271+Z282+Z286+Z290+Z296+Z305+Z312+Z321+Z326+Z333+Z343+Z353+Z360+Z366+Z373+Z379+Z386+Z399+Z405+Z410+Z414+Z420+Z424+Z430+Z441+Z446+Z451+Z457+Z471+Z477+Z487+Z493+Z497+Z502+Z506+Z511+Z516,"0")</f>
        <v>8.7832900000000009</v>
      </c>
      <c r="AA523" s="64"/>
      <c r="AB523" s="64"/>
      <c r="AC523" s="64"/>
    </row>
    <row r="524" spans="1:68" ht="13.5" thickBot="1" x14ac:dyDescent="0.25"/>
    <row r="525" spans="1:68" ht="27" thickTop="1" thickBot="1" x14ac:dyDescent="0.25">
      <c r="A525" s="44" t="s">
        <v>9</v>
      </c>
      <c r="B525" s="80" t="s">
        <v>76</v>
      </c>
      <c r="C525" s="80" t="s">
        <v>45</v>
      </c>
      <c r="D525" s="943" t="s">
        <v>127</v>
      </c>
      <c r="E525" s="943" t="s">
        <v>127</v>
      </c>
      <c r="F525" s="943" t="s">
        <v>127</v>
      </c>
      <c r="G525" s="943" t="s">
        <v>127</v>
      </c>
      <c r="H525" s="943" t="s">
        <v>127</v>
      </c>
      <c r="I525" s="943" t="s">
        <v>127</v>
      </c>
      <c r="J525" s="943" t="s">
        <v>324</v>
      </c>
      <c r="K525" s="943" t="s">
        <v>324</v>
      </c>
      <c r="L525" s="943" t="s">
        <v>324</v>
      </c>
      <c r="M525" s="943" t="s">
        <v>324</v>
      </c>
      <c r="N525" s="944"/>
      <c r="O525" s="943" t="s">
        <v>324</v>
      </c>
      <c r="P525" s="943" t="s">
        <v>324</v>
      </c>
      <c r="Q525" s="943" t="s">
        <v>324</v>
      </c>
      <c r="R525" s="943" t="s">
        <v>324</v>
      </c>
      <c r="S525" s="943" t="s">
        <v>324</v>
      </c>
      <c r="T525" s="943" t="s">
        <v>324</v>
      </c>
      <c r="U525" s="943" t="s">
        <v>654</v>
      </c>
      <c r="V525" s="943" t="s">
        <v>654</v>
      </c>
      <c r="W525" s="943" t="s">
        <v>714</v>
      </c>
      <c r="X525" s="943" t="s">
        <v>714</v>
      </c>
      <c r="Y525" s="80" t="s">
        <v>750</v>
      </c>
      <c r="Z525" s="943" t="s">
        <v>797</v>
      </c>
      <c r="AA525" s="943" t="s">
        <v>797</v>
      </c>
      <c r="AB525" s="9"/>
      <c r="AC525" s="9"/>
      <c r="AF525" s="1"/>
    </row>
    <row r="526" spans="1:68" ht="14.25" customHeight="1" thickTop="1" x14ac:dyDescent="0.2">
      <c r="A526" s="941" t="s">
        <v>10</v>
      </c>
      <c r="B526" s="943" t="s">
        <v>76</v>
      </c>
      <c r="C526" s="943" t="s">
        <v>110</v>
      </c>
      <c r="D526" s="943" t="s">
        <v>128</v>
      </c>
      <c r="E526" s="943" t="s">
        <v>144</v>
      </c>
      <c r="F526" s="943" t="s">
        <v>190</v>
      </c>
      <c r="G526" s="943" t="s">
        <v>211</v>
      </c>
      <c r="H526" s="943" t="s">
        <v>253</v>
      </c>
      <c r="I526" s="943" t="s">
        <v>127</v>
      </c>
      <c r="J526" s="943" t="s">
        <v>325</v>
      </c>
      <c r="K526" s="943" t="s">
        <v>346</v>
      </c>
      <c r="L526" s="943" t="s">
        <v>413</v>
      </c>
      <c r="M526" s="943" t="s">
        <v>481</v>
      </c>
      <c r="N526" s="1"/>
      <c r="O526" s="943" t="s">
        <v>514</v>
      </c>
      <c r="P526" s="943" t="s">
        <v>530</v>
      </c>
      <c r="Q526" s="943" t="s">
        <v>539</v>
      </c>
      <c r="R526" s="943" t="s">
        <v>560</v>
      </c>
      <c r="S526" s="943" t="s">
        <v>569</v>
      </c>
      <c r="T526" s="943" t="s">
        <v>644</v>
      </c>
      <c r="U526" s="943" t="s">
        <v>655</v>
      </c>
      <c r="V526" s="943" t="s">
        <v>698</v>
      </c>
      <c r="W526" s="943" t="s">
        <v>715</v>
      </c>
      <c r="X526" s="943" t="s">
        <v>738</v>
      </c>
      <c r="Y526" s="943" t="s">
        <v>750</v>
      </c>
      <c r="Z526" s="943" t="s">
        <v>797</v>
      </c>
      <c r="AA526" s="943" t="s">
        <v>818</v>
      </c>
      <c r="AB526" s="9"/>
      <c r="AC526" s="9"/>
      <c r="AF526" s="1"/>
    </row>
    <row r="527" spans="1:68" ht="13.5" thickBot="1" x14ac:dyDescent="0.25">
      <c r="A527" s="942"/>
      <c r="B527" s="943"/>
      <c r="C527" s="943"/>
      <c r="D527" s="943"/>
      <c r="E527" s="943"/>
      <c r="F527" s="943"/>
      <c r="G527" s="943"/>
      <c r="H527" s="943"/>
      <c r="I527" s="943"/>
      <c r="J527" s="943"/>
      <c r="K527" s="943"/>
      <c r="L527" s="943"/>
      <c r="M527" s="943"/>
      <c r="N527" s="1"/>
      <c r="O527" s="943"/>
      <c r="P527" s="943"/>
      <c r="Q527" s="943"/>
      <c r="R527" s="943"/>
      <c r="S527" s="943"/>
      <c r="T527" s="943"/>
      <c r="U527" s="943"/>
      <c r="V527" s="943"/>
      <c r="W527" s="943"/>
      <c r="X527" s="943"/>
      <c r="Y527" s="943"/>
      <c r="Z527" s="943"/>
      <c r="AA527" s="943"/>
      <c r="AB527" s="9"/>
      <c r="AC527" s="9"/>
      <c r="AF527" s="1"/>
    </row>
    <row r="528" spans="1:68" ht="18" thickTop="1" thickBot="1" x14ac:dyDescent="0.25">
      <c r="A528" s="44" t="s">
        <v>13</v>
      </c>
      <c r="B528" s="50">
        <f>IFERROR(Y22*1,"0")+IFERROR(Y23*1,"0")+IFERROR(Y27*1,"0")+IFERROR(Y28*1,"0")+IFERROR(Y29*1,"0")+IFERROR(Y30*1,"0")+IFERROR(Y31*1,"0")+IFERROR(Y35*1,"0")</f>
        <v>0</v>
      </c>
      <c r="C528" s="50">
        <f>IFERROR(Y41*1,"0")+IFERROR(Y42*1,"0")+IFERROR(Y43*1,"0")+IFERROR(Y44*1,"0")+IFERROR(Y45*1,"0")</f>
        <v>0</v>
      </c>
      <c r="D528" s="50">
        <f>IFERROR(Y51*1,"0")+IFERROR(Y52*1,"0")+IFERROR(Y53*1,"0")+IFERROR(Y54*1,"0")</f>
        <v>0</v>
      </c>
      <c r="E528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28" s="50">
        <f>IFERROR(Y88*1,"0")+IFERROR(Y89*1,"0")+IFERROR(Y90*1,"0")+IFERROR(Y91*1,"0")+IFERROR(Y95*1,"0")+IFERROR(Y96*1,"0")+IFERROR(Y97*1,"0")+IFERROR(Y98*1,"0")</f>
        <v>0</v>
      </c>
      <c r="G528" s="50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28" s="50">
        <f>IFERROR(Y134*1,"0")+IFERROR(Y135*1,"0")+IFERROR(Y136*1,"0")+IFERROR(Y137*1,"0")</f>
        <v>0</v>
      </c>
      <c r="I528" s="50">
        <f>IFERROR(Y142*1,"0")+IFERROR(Y143*1,"0")+IFERROR(Y147*1,"0")+IFERROR(Y151*1,"0")+IFERROR(Y152*1,"0")+IFERROR(Y153*1,"0")+IFERROR(Y154*1,"0")+IFERROR(Y155*1,"0")+IFERROR(Y156*1,"0")+IFERROR(Y157*1,"0")+IFERROR(Y158*1,"0")+IFERROR(Y159*1,"0")+IFERROR(Y160*1,"0")+IFERROR(Y161*1,"0")+IFERROR(Y165*1,"0")+IFERROR(Y166*1,"0")+IFERROR(Y167*1,"0")+IFERROR(Y171*1,"0")+IFERROR(Y172*1,"0")+IFERROR(Y176*1,"0")</f>
        <v>61.739999999999995</v>
      </c>
      <c r="J528" s="50">
        <f>IFERROR(Y182*1,"0")+IFERROR(Y183*1,"0")+IFERROR(Y184*1,"0")+IFERROR(Y185*1,"0")+IFERROR(Y186*1,"0")+IFERROR(Y187*1,"0")+IFERROR(Y188*1,"0")</f>
        <v>0</v>
      </c>
      <c r="K528" s="50">
        <f>IFERROR(Y193*1,"0")+IFERROR(Y197*1,"0")+IFERROR(Y198*1,"0")+IFERROR(Y199*1,"0")+IFERROR(Y200*1,"0")+IFERROR(Y201*1,"0")+IFERROR(Y202*1,"0")+IFERROR(Y203*1,"0")+IFERROR(Y204*1,"0")+IFERROR(Y205*1,"0")+IFERROR(Y206*1,"0")+IFERROR(Y207*1,"0")+IFERROR(Y208*1,"0")+IFERROR(Y209*1,"0")+IFERROR(Y210*1,"0")+IFERROR(Y214*1,"0")+IFERROR(Y215*1,"0")+IFERROR(Y216*1,"0")+IFERROR(Y217*1,"0")+IFERROR(Y218*1,"0")+IFERROR(Y222*1,"0")+IFERROR(Y223*1,"0")+IFERROR(Y224*1,"0")+IFERROR(Y228*1,"0")</f>
        <v>6.3000000000000007</v>
      </c>
      <c r="L528" s="50">
        <f>IFERROR(Y233*1,"0")+IFERROR(Y234*1,"0")+IFERROR(Y238*1,"0")+IFERROR(Y239*1,"0")+IFERROR(Y243*1,"0")+IFERROR(Y244*1,"0")+IFERROR(Y245*1,"0")+IFERROR(Y246*1,"0")+IFERROR(Y247*1,"0")+IFERROR(Y248*1,"0")+IFERROR(Y249*1,"0")+IFERROR(Y250*1,"0")+IFERROR(Y254*1,"0")+IFERROR(Y255*1,"0")+IFERROR(Y256*1,"0")+IFERROR(Y257*1,"0")+IFERROR(Y258*1,"0")+IFERROR(Y259*1,"0")+IFERROR(Y260*1,"0")+IFERROR(Y261*1,"0")+IFERROR(Y262*1,"0")+IFERROR(Y263*1,"0")+IFERROR(Y264*1,"0")+IFERROR(Y265*1,"0")+IFERROR(Y269*1,"0")+IFERROR(Y270*1,"0")</f>
        <v>96</v>
      </c>
      <c r="M528" s="50">
        <f>IFERROR(Y275*1,"0")+IFERROR(Y276*1,"0")+IFERROR(Y277*1,"0")+IFERROR(Y278*1,"0")+IFERROR(Y279*1,"0")+IFERROR(Y280*1,"0")+IFERROR(Y281*1,"0")+IFERROR(Y285*1,"0")+IFERROR(Y289*1,"0")+IFERROR(Y293*1,"0")+IFERROR(Y294*1,"0")+IFERROR(Y295*1,"0")</f>
        <v>0</v>
      </c>
      <c r="N528" s="1"/>
      <c r="O528" s="50">
        <f>IFERROR(Y300*1,"0")+IFERROR(Y301*1,"0")+IFERROR(Y302*1,"0")+IFERROR(Y303*1,"0")+IFERROR(Y304*1,"0")</f>
        <v>0</v>
      </c>
      <c r="P528" s="50">
        <f>IFERROR(Y309*1,"0")+IFERROR(Y310*1,"0")+IFERROR(Y311*1,"0")</f>
        <v>0</v>
      </c>
      <c r="Q528" s="50">
        <f>IFERROR(Y316*1,"0")+IFERROR(Y317*1,"0")+IFERROR(Y318*1,"0")+IFERROR(Y319*1,"0")+IFERROR(Y320*1,"0")+IFERROR(Y324*1,"0")+IFERROR(Y325*1,"0")</f>
        <v>0</v>
      </c>
      <c r="R528" s="50">
        <f>IFERROR(Y330*1,"0")+IFERROR(Y331*1,"0")+IFERROR(Y332*1,"0")</f>
        <v>0</v>
      </c>
      <c r="S528" s="50">
        <f>IFERROR(Y337*1,"0")+IFERROR(Y338*1,"0")+IFERROR(Y339*1,"0")+IFERROR(Y340*1,"0")+IFERROR(Y341*1,"0")+IFERROR(Y342*1,"0")+IFERROR(Y346*1,"0")+IFERROR(Y347*1,"0")+IFERROR(Y348*1,"0")+IFERROR(Y349*1,"0")+IFERROR(Y350*1,"0")+IFERROR(Y351*1,"0")+IFERROR(Y352*1,"0")+IFERROR(Y356*1,"0")+IFERROR(Y357*1,"0")+IFERROR(Y358*1,"0")+IFERROR(Y359*1,"0")+IFERROR(Y363*1,"0")+IFERROR(Y364*1,"0")+IFERROR(Y365*1,"0")+IFERROR(Y369*1,"0")+IFERROR(Y370*1,"0")+IFERROR(Y371*1,"0")+IFERROR(Y372*1,"0")+IFERROR(Y376*1,"0")+IFERROR(Y377*1,"0")+IFERROR(Y378*1,"0")</f>
        <v>58.8</v>
      </c>
      <c r="T528" s="50">
        <f>IFERROR(Y383*1,"0")+IFERROR(Y384*1,"0")+IFERROR(Y385*1,"0")</f>
        <v>12.600000000000001</v>
      </c>
      <c r="U528" s="50">
        <f>IFERROR(Y391*1,"0")+IFERROR(Y392*1,"0")+IFERROR(Y393*1,"0")+IFERROR(Y394*1,"0")+IFERROR(Y395*1,"0")+IFERROR(Y396*1,"0")+IFERROR(Y397*1,"0")+IFERROR(Y398*1,"0")+IFERROR(Y402*1,"0")+IFERROR(Y403*1,"0")+IFERROR(Y404*1,"0")+IFERROR(Y408*1,"0")+IFERROR(Y409*1,"0")+IFERROR(Y413*1,"0")</f>
        <v>188</v>
      </c>
      <c r="V528" s="50">
        <f>IFERROR(Y418*1,"0")+IFERROR(Y419*1,"0")+IFERROR(Y423*1,"0")+IFERROR(Y427*1,"0")+IFERROR(Y428*1,"0")+IFERROR(Y429*1,"0")</f>
        <v>3615.6</v>
      </c>
      <c r="W528" s="50">
        <f>IFERROR(Y435*1,"0")+IFERROR(Y436*1,"0")+IFERROR(Y437*1,"0")+IFERROR(Y438*1,"0")+IFERROR(Y439*1,"0")+IFERROR(Y440*1,"0")+IFERROR(Y444*1,"0")+IFERROR(Y445*1,"0")</f>
        <v>0</v>
      </c>
      <c r="X528" s="50">
        <f>IFERROR(Y450*1,"0")+IFERROR(Y454*1,"0")+IFERROR(Y455*1,"0")+IFERROR(Y456*1,"0")</f>
        <v>0</v>
      </c>
      <c r="Y528" s="50">
        <f>IFERROR(Y462*1,"0")+IFERROR(Y463*1,"0")+IFERROR(Y464*1,"0")+IFERROR(Y465*1,"0")+IFERROR(Y466*1,"0")+IFERROR(Y467*1,"0")+IFERROR(Y468*1,"0")+IFERROR(Y469*1,"0")+IFERROR(Y470*1,"0")+IFERROR(Y474*1,"0")+IFERROR(Y475*1,"0")+IFERROR(Y476*1,"0")+IFERROR(Y480*1,"0")+IFERROR(Y481*1,"0")+IFERROR(Y482*1,"0")+IFERROR(Y483*1,"0")+IFERROR(Y484*1,"0")+IFERROR(Y485*1,"0")+IFERROR(Y486*1,"0")</f>
        <v>0</v>
      </c>
      <c r="Z528" s="50">
        <f>IFERROR(Y492*1,"0")+IFERROR(Y496*1,"0")+IFERROR(Y500*1,"0")+IFERROR(Y501*1,"0")+IFERROR(Y505*1,"0")+IFERROR(Y509*1,"0")+IFERROR(Y510*1,"0")</f>
        <v>0</v>
      </c>
      <c r="AA528" s="50">
        <f>IFERROR(Y515*1,"0")</f>
        <v>0</v>
      </c>
      <c r="AB528" s="9"/>
      <c r="AC528" s="9"/>
      <c r="AF528" s="1"/>
    </row>
  </sheetData>
  <sheetProtection algorithmName="SHA-512" hashValue="4L80r7jVoJvEVJ8yPOJD2pGpknH+BpXONw1bW9kC7UezJHo/DLzIOn82caENBILjHbjJ2pcPlU0K/1iCi+S7UQ==" saltValue="DqqaNJmW5XnbDsBfWf3ryw==" spinCount="100000" sheet="1" objects="1" scenarios="1" sort="0" autoFilter="0" pivotTables="0"/>
  <autoFilter ref="A18:AF52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,95"/>
        <filter val="100,00"/>
        <filter val="11,00"/>
        <filter val="12,00"/>
        <filter val="120,00"/>
        <filter val="128,00"/>
        <filter val="13,33"/>
        <filter val="23,00"/>
        <filter val="24,00"/>
        <filter val="26,43"/>
        <filter val="3 000,00"/>
        <filter val="3 500,00"/>
        <filter val="3,00"/>
        <filter val="32,00"/>
        <filter val="33,33"/>
        <filter val="34,00"/>
        <filter val="4 014,30"/>
        <filter val="4 263,46"/>
        <filter val="4 463,46"/>
        <filter val="4,00"/>
        <filter val="5,24"/>
        <filter val="500,00"/>
        <filter val="541,67"/>
        <filter val="6,00"/>
        <filter val="6,30"/>
        <filter val="6,67"/>
        <filter val="60,00"/>
        <filter val="662,95"/>
        <filter val="8"/>
        <filter val="8,00"/>
        <filter val="8,33"/>
        <filter val="80,00"/>
      </filters>
    </filterColumn>
    <filterColumn colId="29" showButton="0"/>
    <filterColumn colId="30" showButton="0"/>
  </autoFilter>
  <dataConsolidate/>
  <mergeCells count="931">
    <mergeCell ref="U526:U527"/>
    <mergeCell ref="V526:V527"/>
    <mergeCell ref="W526:W527"/>
    <mergeCell ref="X526:X527"/>
    <mergeCell ref="Y526:Y527"/>
    <mergeCell ref="Z526:Z527"/>
    <mergeCell ref="AA526:AA527"/>
    <mergeCell ref="D525:I525"/>
    <mergeCell ref="J525:T525"/>
    <mergeCell ref="U525:V525"/>
    <mergeCell ref="W525:X525"/>
    <mergeCell ref="Z525:AA525"/>
    <mergeCell ref="J526:J527"/>
    <mergeCell ref="K526:K527"/>
    <mergeCell ref="L526:L527"/>
    <mergeCell ref="M526:M527"/>
    <mergeCell ref="O526:O527"/>
    <mergeCell ref="P526:P527"/>
    <mergeCell ref="Q526:Q527"/>
    <mergeCell ref="R526:R527"/>
    <mergeCell ref="S526:S527"/>
    <mergeCell ref="T526:T527"/>
    <mergeCell ref="A526:A527"/>
    <mergeCell ref="B526:B527"/>
    <mergeCell ref="C526:C527"/>
    <mergeCell ref="D526:D527"/>
    <mergeCell ref="E526:E527"/>
    <mergeCell ref="F526:F527"/>
    <mergeCell ref="G526:G527"/>
    <mergeCell ref="H526:H527"/>
    <mergeCell ref="I526:I527"/>
    <mergeCell ref="A514:Z514"/>
    <mergeCell ref="D515:E515"/>
    <mergeCell ref="P515:T515"/>
    <mergeCell ref="P516:V516"/>
    <mergeCell ref="A516:O517"/>
    <mergeCell ref="P517:V517"/>
    <mergeCell ref="P518:V518"/>
    <mergeCell ref="A518:O523"/>
    <mergeCell ref="P519:V519"/>
    <mergeCell ref="P520:V520"/>
    <mergeCell ref="P521:V521"/>
    <mergeCell ref="P522:V522"/>
    <mergeCell ref="P523:V523"/>
    <mergeCell ref="A508:Z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P502:V502"/>
    <mergeCell ref="A502:O503"/>
    <mergeCell ref="P503:V503"/>
    <mergeCell ref="A504:Z504"/>
    <mergeCell ref="D505:E505"/>
    <mergeCell ref="P505:T505"/>
    <mergeCell ref="P506:V506"/>
    <mergeCell ref="A506:O507"/>
    <mergeCell ref="P507:V507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A489:Z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D482:E482"/>
    <mergeCell ref="P482:T482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A461:Z461"/>
    <mergeCell ref="D462:E462"/>
    <mergeCell ref="P462:T462"/>
    <mergeCell ref="D463:E463"/>
    <mergeCell ref="P463:T463"/>
    <mergeCell ref="D464:E464"/>
    <mergeCell ref="P464:T464"/>
    <mergeCell ref="D465:E465"/>
    <mergeCell ref="P465:T465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A449:Z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A443:Z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32:Z432"/>
    <mergeCell ref="A433:Z433"/>
    <mergeCell ref="A434:Z434"/>
    <mergeCell ref="D435:E435"/>
    <mergeCell ref="P435:T435"/>
    <mergeCell ref="D436:E436"/>
    <mergeCell ref="P436:T436"/>
    <mergeCell ref="D437:E437"/>
    <mergeCell ref="P437:T437"/>
    <mergeCell ref="A426:Z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D419:E419"/>
    <mergeCell ref="P419:T419"/>
    <mergeCell ref="P420:V420"/>
    <mergeCell ref="A420:O421"/>
    <mergeCell ref="P421:V421"/>
    <mergeCell ref="A422:Z422"/>
    <mergeCell ref="D423:E423"/>
    <mergeCell ref="P423:T423"/>
    <mergeCell ref="P424:V424"/>
    <mergeCell ref="A424:O425"/>
    <mergeCell ref="P425:V425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A407:Z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A389:Z389"/>
    <mergeCell ref="D378:E378"/>
    <mergeCell ref="P378:T378"/>
    <mergeCell ref="P379:V379"/>
    <mergeCell ref="A379:O380"/>
    <mergeCell ref="P380:V380"/>
    <mergeCell ref="A381:Z381"/>
    <mergeCell ref="A382:Z382"/>
    <mergeCell ref="D383:E383"/>
    <mergeCell ref="P383:T383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A355:Z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P326:V326"/>
    <mergeCell ref="A326:O327"/>
    <mergeCell ref="P327:V327"/>
    <mergeCell ref="A328:Z328"/>
    <mergeCell ref="A329:Z329"/>
    <mergeCell ref="D330:E330"/>
    <mergeCell ref="P330:T330"/>
    <mergeCell ref="D331:E331"/>
    <mergeCell ref="P331:T331"/>
    <mergeCell ref="D320:E320"/>
    <mergeCell ref="P320:T320"/>
    <mergeCell ref="P321:V321"/>
    <mergeCell ref="A321:O322"/>
    <mergeCell ref="P322:V322"/>
    <mergeCell ref="A323:Z323"/>
    <mergeCell ref="D324:E324"/>
    <mergeCell ref="P324:T324"/>
    <mergeCell ref="D325:E325"/>
    <mergeCell ref="P325:T325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A307:Z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P296:V296"/>
    <mergeCell ref="A296:O297"/>
    <mergeCell ref="P297:V297"/>
    <mergeCell ref="A298:Z298"/>
    <mergeCell ref="A299:Z299"/>
    <mergeCell ref="D300:E300"/>
    <mergeCell ref="P300:T300"/>
    <mergeCell ref="D301:E301"/>
    <mergeCell ref="P301:T301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D295:E295"/>
    <mergeCell ref="P295:T295"/>
    <mergeCell ref="A284:Z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8:Z268"/>
    <mergeCell ref="D269:E269"/>
    <mergeCell ref="P269:T269"/>
    <mergeCell ref="D270:E270"/>
    <mergeCell ref="P270:T270"/>
    <mergeCell ref="P271:V271"/>
    <mergeCell ref="A271:O272"/>
    <mergeCell ref="P272:V272"/>
    <mergeCell ref="A273:Z273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P266:V266"/>
    <mergeCell ref="A266:O267"/>
    <mergeCell ref="P267:V267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D256:E256"/>
    <mergeCell ref="P256:T256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D233:E233"/>
    <mergeCell ref="P233:T233"/>
    <mergeCell ref="A221:Z221"/>
    <mergeCell ref="D222:E222"/>
    <mergeCell ref="P222:T222"/>
    <mergeCell ref="D223:E223"/>
    <mergeCell ref="P223:T223"/>
    <mergeCell ref="D224:E224"/>
    <mergeCell ref="P224:T224"/>
    <mergeCell ref="P225:V225"/>
    <mergeCell ref="A225:O226"/>
    <mergeCell ref="P226:V226"/>
    <mergeCell ref="D216:E216"/>
    <mergeCell ref="P216:T216"/>
    <mergeCell ref="D217:E217"/>
    <mergeCell ref="P217:T217"/>
    <mergeCell ref="D218:E218"/>
    <mergeCell ref="P218:T218"/>
    <mergeCell ref="P219:V219"/>
    <mergeCell ref="A219:O220"/>
    <mergeCell ref="P220:V220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D199:E199"/>
    <mergeCell ref="P199:T199"/>
    <mergeCell ref="D188:E188"/>
    <mergeCell ref="P188:T188"/>
    <mergeCell ref="P189:V189"/>
    <mergeCell ref="A189:O190"/>
    <mergeCell ref="P190:V190"/>
    <mergeCell ref="A191:Z191"/>
    <mergeCell ref="A192:Z192"/>
    <mergeCell ref="D193:E193"/>
    <mergeCell ref="P193:T193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76:E176"/>
    <mergeCell ref="P176:T176"/>
    <mergeCell ref="P177:V177"/>
    <mergeCell ref="A177:O178"/>
    <mergeCell ref="P178:V178"/>
    <mergeCell ref="A179:Z179"/>
    <mergeCell ref="A180:Z180"/>
    <mergeCell ref="A181:Z181"/>
    <mergeCell ref="D182:E182"/>
    <mergeCell ref="P182:T182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A164:Z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P148:V148"/>
    <mergeCell ref="A148:O149"/>
    <mergeCell ref="P149:V149"/>
    <mergeCell ref="A150:Z150"/>
    <mergeCell ref="D151:E151"/>
    <mergeCell ref="P151:T151"/>
    <mergeCell ref="D152:E152"/>
    <mergeCell ref="P152:T152"/>
    <mergeCell ref="D153:E153"/>
    <mergeCell ref="P153:T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822</v>
      </c>
      <c r="H1" s="9"/>
    </row>
    <row r="3" spans="2:8" x14ac:dyDescent="0.2">
      <c r="B3" s="51" t="s">
        <v>823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825</v>
      </c>
      <c r="C6" s="51" t="s">
        <v>826</v>
      </c>
      <c r="D6" s="51" t="s">
        <v>827</v>
      </c>
      <c r="E6" s="51" t="s">
        <v>46</v>
      </c>
    </row>
    <row r="7" spans="2:8" x14ac:dyDescent="0.2">
      <c r="B7" s="51" t="s">
        <v>828</v>
      </c>
      <c r="C7" s="51" t="s">
        <v>829</v>
      </c>
      <c r="D7" s="51" t="s">
        <v>830</v>
      </c>
      <c r="E7" s="51" t="s">
        <v>46</v>
      </c>
    </row>
    <row r="9" spans="2:8" x14ac:dyDescent="0.2">
      <c r="B9" s="51" t="s">
        <v>831</v>
      </c>
      <c r="C9" s="51" t="s">
        <v>826</v>
      </c>
      <c r="D9" s="51" t="s">
        <v>46</v>
      </c>
      <c r="E9" s="51" t="s">
        <v>46</v>
      </c>
    </row>
    <row r="11" spans="2:8" x14ac:dyDescent="0.2">
      <c r="B11" s="51" t="s">
        <v>832</v>
      </c>
      <c r="C11" s="51" t="s">
        <v>829</v>
      </c>
      <c r="D11" s="51" t="s">
        <v>46</v>
      </c>
      <c r="E11" s="51" t="s">
        <v>46</v>
      </c>
    </row>
    <row r="13" spans="2:8" x14ac:dyDescent="0.2">
      <c r="B13" s="51" t="s">
        <v>833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834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835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836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837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838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839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840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841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842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843</v>
      </c>
      <c r="C23" s="51" t="s">
        <v>46</v>
      </c>
      <c r="D23" s="51" t="s">
        <v>46</v>
      </c>
      <c r="E23" s="51" t="s">
        <v>46</v>
      </c>
    </row>
  </sheetData>
  <sheetProtection algorithmName="SHA-512" hashValue="FvYitt4c+nxKML7vfdNiimABfHFBDXfB7kv0JUp9M85wKZW7srxHBA4CvcZK4UmROd/5950RX6hT3QyNVI3/Gw==" saltValue="yO3MeoM3IzGky/0LPu48e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  <ds:schemaRef ds:uri="bb0b2827-4eb3-461f-8866-28597c48f47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1079</vt:i4>
      </vt:variant>
    </vt:vector>
  </HeadingPairs>
  <TitlesOfParts>
    <vt:vector size="10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2026-07-10T10:15:54Z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