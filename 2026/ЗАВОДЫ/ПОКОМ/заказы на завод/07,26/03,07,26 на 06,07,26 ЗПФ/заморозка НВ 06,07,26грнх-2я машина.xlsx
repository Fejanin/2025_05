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59595F-3449-40B0-ACF7-29AE6CC92C8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<sst xmlns="http://schemas.openxmlformats.org/spreadsheetml/2006/main" count="1702" uniqueCount="399">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</sst>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5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51" t="s">
        <v>26</v>
      </c>
      <c r="E1" s="451"/>
      <c r="F1" s="451"/>
      <c r="G1" s="14" t="s">
        <v>70</v>
      </c>
      <c r="H1" s="451" t="s">
        <v>47</v>
      </c>
      <c r="I1" s="451"/>
      <c r="J1" s="451"/>
      <c r="K1" s="451"/>
      <c r="L1" s="451"/>
      <c r="M1" s="451"/>
      <c r="N1" s="451"/>
      <c r="O1" s="451"/>
      <c r="P1" s="451"/>
      <c r="Q1" s="451"/>
      <c r="R1" s="452" t="s">
        <v>71</v>
      </c>
      <c r="S1" s="453"/>
      <c r="T1" s="45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4"/>
      <c r="R2" s="454"/>
      <c r="S2" s="454"/>
      <c r="T2" s="454"/>
      <c r="U2" s="454"/>
      <c r="V2" s="454"/>
      <c r="W2" s="45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4"/>
      <c r="Q3" s="454"/>
      <c r="R3" s="454"/>
      <c r="S3" s="454"/>
      <c r="T3" s="454"/>
      <c r="U3" s="454"/>
      <c r="V3" s="454"/>
      <c r="W3" s="45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33" t="s">
        <v>8</v>
      </c>
      <c r="B5" s="433"/>
      <c r="C5" s="433"/>
      <c r="D5" s="455"/>
      <c r="E5" s="455"/>
      <c r="F5" s="456" t="s">
        <v>14</v>
      </c>
      <c r="G5" s="456"/>
      <c r="H5" s="455" t="s">
        <v>398</v>
      </c>
      <c r="I5" s="455"/>
      <c r="J5" s="455"/>
      <c r="K5" s="455"/>
      <c r="L5" s="455"/>
      <c r="M5" s="455"/>
      <c r="N5" s="72"/>
      <c r="P5" s="26" t="s">
        <v>4</v>
      </c>
      <c r="Q5" s="457">
        <v>46209</v>
      </c>
      <c r="R5" s="458"/>
      <c r="T5" s="459" t="s">
        <v>3</v>
      </c>
      <c r="U5" s="460"/>
      <c r="V5" s="461" t="s">
        <v>384</v>
      </c>
      <c r="W5" s="462"/>
      <c r="AB5" s="57"/>
      <c r="AC5" s="57"/>
      <c r="AD5" s="57"/>
      <c r="AE5" s="57"/>
    </row>
    <row r="6" spans="1:32" s="17" customFormat="1" ht="24" customHeight="1" x14ac:dyDescent="0.2">
      <c r="A6" s="433" t="s">
        <v>1</v>
      </c>
      <c r="B6" s="433"/>
      <c r="C6" s="433"/>
      <c r="D6" s="434" t="s">
        <v>79</v>
      </c>
      <c r="E6" s="434"/>
      <c r="F6" s="434"/>
      <c r="G6" s="434"/>
      <c r="H6" s="434"/>
      <c r="I6" s="434"/>
      <c r="J6" s="434"/>
      <c r="K6" s="434"/>
      <c r="L6" s="434"/>
      <c r="M6" s="434"/>
      <c r="N6" s="73"/>
      <c r="P6" s="26" t="s">
        <v>27</v>
      </c>
      <c r="Q6" s="435" t="str">
        <f>IF(Q5=0," ",CHOOSE(WEEKDAY(Q5,2),"Понедельник","Вторник","Среда","Четверг","Пятница","Суббота","Воскресенье"))</f>
        <v>Понедельник</v>
      </c>
      <c r="R6" s="435"/>
      <c r="T6" s="436" t="s">
        <v>5</v>
      </c>
      <c r="U6" s="437"/>
      <c r="V6" s="438" t="s">
        <v>73</v>
      </c>
      <c r="W6" s="439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44" t="str">
        <f>IFERROR(VLOOKUP(DeliveryAddress,Table,3,0),1)</f>
        <v>1</v>
      </c>
      <c r="E7" s="445"/>
      <c r="F7" s="445"/>
      <c r="G7" s="445"/>
      <c r="H7" s="445"/>
      <c r="I7" s="445"/>
      <c r="J7" s="445"/>
      <c r="K7" s="445"/>
      <c r="L7" s="445"/>
      <c r="M7" s="446"/>
      <c r="N7" s="74"/>
      <c r="P7" s="26"/>
      <c r="Q7" s="46"/>
      <c r="R7" s="46"/>
      <c r="T7" s="436"/>
      <c r="U7" s="437"/>
      <c r="V7" s="440"/>
      <c r="W7" s="441"/>
      <c r="AB7" s="57"/>
      <c r="AC7" s="57"/>
      <c r="AD7" s="57"/>
      <c r="AE7" s="57"/>
    </row>
    <row r="8" spans="1:32" s="17" customFormat="1" ht="25.5" customHeight="1" x14ac:dyDescent="0.2">
      <c r="A8" s="447" t="s">
        <v>58</v>
      </c>
      <c r="B8" s="447"/>
      <c r="C8" s="447"/>
      <c r="D8" s="448" t="s">
        <v>80</v>
      </c>
      <c r="E8" s="448"/>
      <c r="F8" s="448"/>
      <c r="G8" s="448"/>
      <c r="H8" s="448"/>
      <c r="I8" s="448"/>
      <c r="J8" s="448"/>
      <c r="K8" s="448"/>
      <c r="L8" s="448"/>
      <c r="M8" s="448"/>
      <c r="N8" s="75"/>
      <c r="P8" s="26" t="s">
        <v>11</v>
      </c>
      <c r="Q8" s="431">
        <v>0.45833333333333331</v>
      </c>
      <c r="R8" s="431"/>
      <c r="T8" s="436"/>
      <c r="U8" s="437"/>
      <c r="V8" s="440"/>
      <c r="W8" s="441"/>
      <c r="AB8" s="57"/>
      <c r="AC8" s="57"/>
      <c r="AD8" s="57"/>
      <c r="AE8" s="57"/>
    </row>
    <row r="9" spans="1:32" s="17" customFormat="1" ht="39.950000000000003" customHeight="1" x14ac:dyDescent="0.2">
      <c r="A9" s="42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3"/>
      <c r="C9" s="423"/>
      <c r="D9" s="424" t="s">
        <v>46</v>
      </c>
      <c r="E9" s="425"/>
      <c r="F9" s="42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3"/>
      <c r="H9" s="449" t="str">
        <f>IF(AND($A$9="Тип доверенности/получателя при получении в адресе перегруза:",$D$9="Разовая доверенность"),"Введите ФИО","")</f>
        <v/>
      </c>
      <c r="I9" s="449"/>
      <c r="J9" s="44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9"/>
      <c r="L9" s="449"/>
      <c r="M9" s="449"/>
      <c r="N9" s="70"/>
      <c r="P9" s="29" t="s">
        <v>15</v>
      </c>
      <c r="Q9" s="450">
        <v>46212</v>
      </c>
      <c r="R9" s="450"/>
      <c r="T9" s="436"/>
      <c r="U9" s="437"/>
      <c r="V9" s="442"/>
      <c r="W9" s="443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2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3"/>
      <c r="C10" s="423"/>
      <c r="D10" s="424"/>
      <c r="E10" s="425"/>
      <c r="F10" s="42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3"/>
      <c r="H10" s="426" t="str">
        <f>IFERROR(VLOOKUP($D$10,Proxy,2,FALSE),"")</f>
        <v/>
      </c>
      <c r="I10" s="426"/>
      <c r="J10" s="426"/>
      <c r="K10" s="426"/>
      <c r="L10" s="426"/>
      <c r="M10" s="426"/>
      <c r="N10" s="71"/>
      <c r="P10" s="29" t="s">
        <v>32</v>
      </c>
      <c r="Q10" s="427">
        <v>0.375</v>
      </c>
      <c r="R10" s="427"/>
      <c r="U10" s="26" t="s">
        <v>12</v>
      </c>
      <c r="V10" s="428" t="s">
        <v>74</v>
      </c>
      <c r="W10" s="4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30"/>
      <c r="R11" s="430"/>
      <c r="U11" s="26" t="s">
        <v>28</v>
      </c>
      <c r="V11" s="409" t="s">
        <v>55</v>
      </c>
      <c r="W11" s="40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08" t="s">
        <v>75</v>
      </c>
      <c r="B12" s="408"/>
      <c r="C12" s="408"/>
      <c r="D12" s="408"/>
      <c r="E12" s="408"/>
      <c r="F12" s="408"/>
      <c r="G12" s="408"/>
      <c r="H12" s="408"/>
      <c r="I12" s="408"/>
      <c r="J12" s="408"/>
      <c r="K12" s="408"/>
      <c r="L12" s="408"/>
      <c r="M12" s="408"/>
      <c r="N12" s="76"/>
      <c r="P12" s="26" t="s">
        <v>30</v>
      </c>
      <c r="Q12" s="431"/>
      <c r="R12" s="431"/>
      <c r="S12" s="27"/>
      <c r="T12"/>
      <c r="U12" s="26" t="s">
        <v>46</v>
      </c>
      <c r="V12" s="432"/>
      <c r="W12" s="432"/>
      <c r="X12"/>
      <c r="AB12" s="57"/>
      <c r="AC12" s="57"/>
      <c r="AD12" s="57"/>
      <c r="AE12" s="57"/>
    </row>
    <row r="13" spans="1:32" s="17" customFormat="1" ht="23.25" customHeight="1" x14ac:dyDescent="0.2">
      <c r="A13" s="408" t="s">
        <v>76</v>
      </c>
      <c r="B13" s="408"/>
      <c r="C13" s="408"/>
      <c r="D13" s="408"/>
      <c r="E13" s="408"/>
      <c r="F13" s="408"/>
      <c r="G13" s="408"/>
      <c r="H13" s="408"/>
      <c r="I13" s="408"/>
      <c r="J13" s="408"/>
      <c r="K13" s="408"/>
      <c r="L13" s="408"/>
      <c r="M13" s="408"/>
      <c r="N13" s="76"/>
      <c r="O13" s="29"/>
      <c r="P13" s="29" t="s">
        <v>31</v>
      </c>
      <c r="Q13" s="409"/>
      <c r="R13" s="40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08" t="s">
        <v>77</v>
      </c>
      <c r="B14" s="408"/>
      <c r="C14" s="408"/>
      <c r="D14" s="408"/>
      <c r="E14" s="408"/>
      <c r="F14" s="408"/>
      <c r="G14" s="408"/>
      <c r="H14" s="408"/>
      <c r="I14" s="408"/>
      <c r="J14" s="408"/>
      <c r="K14" s="408"/>
      <c r="L14" s="408"/>
      <c r="M14" s="40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10" t="s">
        <v>78</v>
      </c>
      <c r="B15" s="410"/>
      <c r="C15" s="410"/>
      <c r="D15" s="410"/>
      <c r="E15" s="410"/>
      <c r="F15" s="410"/>
      <c r="G15" s="410"/>
      <c r="H15" s="410"/>
      <c r="I15" s="410"/>
      <c r="J15" s="410"/>
      <c r="K15" s="410"/>
      <c r="L15" s="410"/>
      <c r="M15" s="410"/>
      <c r="N15" s="77"/>
      <c r="O15"/>
      <c r="P15" s="411" t="s">
        <v>61</v>
      </c>
      <c r="Q15" s="411"/>
      <c r="R15" s="411"/>
      <c r="S15" s="411"/>
      <c r="T15" s="41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2"/>
      <c r="Q16" s="412"/>
      <c r="R16" s="412"/>
      <c r="S16" s="412"/>
      <c r="T16" s="41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4" t="s">
        <v>59</v>
      </c>
      <c r="B17" s="394" t="s">
        <v>49</v>
      </c>
      <c r="C17" s="415" t="s">
        <v>48</v>
      </c>
      <c r="D17" s="417" t="s">
        <v>50</v>
      </c>
      <c r="E17" s="418"/>
      <c r="F17" s="394" t="s">
        <v>21</v>
      </c>
      <c r="G17" s="394" t="s">
        <v>24</v>
      </c>
      <c r="H17" s="394" t="s">
        <v>22</v>
      </c>
      <c r="I17" s="394" t="s">
        <v>23</v>
      </c>
      <c r="J17" s="394" t="s">
        <v>16</v>
      </c>
      <c r="K17" s="394" t="s">
        <v>69</v>
      </c>
      <c r="L17" s="394" t="s">
        <v>67</v>
      </c>
      <c r="M17" s="394" t="s">
        <v>2</v>
      </c>
      <c r="N17" s="394" t="s">
        <v>66</v>
      </c>
      <c r="O17" s="394" t="s">
        <v>25</v>
      </c>
      <c r="P17" s="417" t="s">
        <v>17</v>
      </c>
      <c r="Q17" s="421"/>
      <c r="R17" s="421"/>
      <c r="S17" s="421"/>
      <c r="T17" s="418"/>
      <c r="U17" s="413" t="s">
        <v>56</v>
      </c>
      <c r="V17" s="414"/>
      <c r="W17" s="394" t="s">
        <v>6</v>
      </c>
      <c r="X17" s="394" t="s">
        <v>41</v>
      </c>
      <c r="Y17" s="396" t="s">
        <v>54</v>
      </c>
      <c r="Z17" s="398" t="s">
        <v>18</v>
      </c>
      <c r="AA17" s="400" t="s">
        <v>60</v>
      </c>
      <c r="AB17" s="400" t="s">
        <v>19</v>
      </c>
      <c r="AC17" s="400" t="s">
        <v>68</v>
      </c>
      <c r="AD17" s="402" t="s">
        <v>57</v>
      </c>
      <c r="AE17" s="403"/>
      <c r="AF17" s="404"/>
      <c r="AG17" s="80"/>
      <c r="BD17" s="79" t="s">
        <v>64</v>
      </c>
    </row>
    <row r="18" spans="1:68" ht="14.25" customHeight="1" x14ac:dyDescent="0.2">
      <c r="A18" s="395"/>
      <c r="B18" s="395"/>
      <c r="C18" s="416"/>
      <c r="D18" s="419"/>
      <c r="E18" s="420"/>
      <c r="F18" s="395"/>
      <c r="G18" s="395"/>
      <c r="H18" s="395"/>
      <c r="I18" s="395"/>
      <c r="J18" s="395"/>
      <c r="K18" s="395"/>
      <c r="L18" s="395"/>
      <c r="M18" s="395"/>
      <c r="N18" s="395"/>
      <c r="O18" s="395"/>
      <c r="P18" s="419"/>
      <c r="Q18" s="422"/>
      <c r="R18" s="422"/>
      <c r="S18" s="422"/>
      <c r="T18" s="420"/>
      <c r="U18" s="81" t="s">
        <v>44</v>
      </c>
      <c r="V18" s="81" t="s">
        <v>43</v>
      </c>
      <c r="W18" s="395"/>
      <c r="X18" s="395"/>
      <c r="Y18" s="397"/>
      <c r="Z18" s="399"/>
      <c r="AA18" s="401"/>
      <c r="AB18" s="401"/>
      <c r="AC18" s="401"/>
      <c r="AD18" s="405"/>
      <c r="AE18" s="406"/>
      <c r="AF18" s="407"/>
      <c r="AG18" s="80"/>
      <c r="BD18" s="79"/>
    </row>
    <row r="19" spans="1:68" ht="27.75" hidden="1" customHeight="1" x14ac:dyDescent="0.2">
      <c r="A19" s="309" t="s">
        <v>81</v>
      </c>
      <c r="B19" s="309"/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09"/>
      <c r="O19" s="309"/>
      <c r="P19" s="309"/>
      <c r="Q19" s="309"/>
      <c r="R19" s="309"/>
      <c r="S19" s="309"/>
      <c r="T19" s="309"/>
      <c r="U19" s="309"/>
      <c r="V19" s="309"/>
      <c r="W19" s="309"/>
      <c r="X19" s="309"/>
      <c r="Y19" s="309"/>
      <c r="Z19" s="309"/>
      <c r="AA19" s="52"/>
      <c r="AB19" s="52"/>
      <c r="AC19" s="52"/>
    </row>
    <row r="20" spans="1:68" ht="16.5" hidden="1" customHeight="1" x14ac:dyDescent="0.25">
      <c r="A20" s="310" t="s">
        <v>81</v>
      </c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62"/>
      <c r="AB20" s="62"/>
      <c r="AC20" s="62"/>
    </row>
    <row r="21" spans="1:68" ht="14.25" hidden="1" customHeight="1" x14ac:dyDescent="0.25">
      <c r="A21" s="300" t="s">
        <v>82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82">
        <v>4620207491508</v>
      </c>
      <c r="E22" s="282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9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4"/>
      <c r="R22" s="284"/>
      <c r="S22" s="284"/>
      <c r="T22" s="285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82">
        <v>4620207491256</v>
      </c>
      <c r="E23" s="282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91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4"/>
      <c r="R23" s="284"/>
      <c r="S23" s="284"/>
      <c r="T23" s="285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4301071108</v>
      </c>
      <c r="D24" s="282">
        <v>4607111035912</v>
      </c>
      <c r="E24" s="282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4"/>
      <c r="R24" s="284"/>
      <c r="S24" s="284"/>
      <c r="T24" s="285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4301071110</v>
      </c>
      <c r="D25" s="282">
        <v>4607111035103</v>
      </c>
      <c r="E25" s="282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9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284"/>
      <c r="R25" s="284"/>
      <c r="S25" s="284"/>
      <c r="T25" s="285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4301071109</v>
      </c>
      <c r="D26" s="282">
        <v>4607111035929</v>
      </c>
      <c r="E26" s="282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8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284"/>
      <c r="R26" s="284"/>
      <c r="S26" s="284"/>
      <c r="T26" s="285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94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99</v>
      </c>
      <c r="B27" s="60" t="s">
        <v>100</v>
      </c>
      <c r="C27" s="34">
        <v>4301071106</v>
      </c>
      <c r="D27" s="282">
        <v>4607111035882</v>
      </c>
      <c r="E27" s="282"/>
      <c r="F27" s="59">
        <v>0.43</v>
      </c>
      <c r="G27" s="35">
        <v>16</v>
      </c>
      <c r="H27" s="59">
        <v>6.88</v>
      </c>
      <c r="I27" s="59">
        <v>7.19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8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284"/>
      <c r="R27" s="284"/>
      <c r="S27" s="284"/>
      <c r="T27" s="285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94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101</v>
      </c>
      <c r="B28" s="60" t="s">
        <v>102</v>
      </c>
      <c r="C28" s="34">
        <v>4301071105</v>
      </c>
      <c r="D28" s="282">
        <v>4607111035110</v>
      </c>
      <c r="E28" s="282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88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284"/>
      <c r="R28" s="284"/>
      <c r="S28" s="284"/>
      <c r="T28" s="285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94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103</v>
      </c>
      <c r="B29" s="60" t="s">
        <v>104</v>
      </c>
      <c r="C29" s="34">
        <v>4301071107</v>
      </c>
      <c r="D29" s="282">
        <v>4607111035905</v>
      </c>
      <c r="E29" s="282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4"/>
      <c r="R29" s="284"/>
      <c r="S29" s="284"/>
      <c r="T29" s="285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94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12.75" hidden="1" customHeight="1" x14ac:dyDescent="0.2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0"/>
      <c r="P30" s="286" t="s">
        <v>40</v>
      </c>
      <c r="Q30" s="287"/>
      <c r="R30" s="287"/>
      <c r="S30" s="287"/>
      <c r="T30" s="287"/>
      <c r="U30" s="287"/>
      <c r="V30" s="288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t="12.75" hidden="1" customHeight="1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0"/>
      <c r="P31" s="286" t="s">
        <v>40</v>
      </c>
      <c r="Q31" s="287"/>
      <c r="R31" s="287"/>
      <c r="S31" s="287"/>
      <c r="T31" s="287"/>
      <c r="U31" s="287"/>
      <c r="V31" s="288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0" t="s">
        <v>105</v>
      </c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62"/>
      <c r="AB32" s="62"/>
      <c r="AC32" s="62"/>
    </row>
    <row r="33" spans="1:68" ht="14.25" hidden="1" customHeight="1" x14ac:dyDescent="0.25">
      <c r="A33" s="300" t="s">
        <v>82</v>
      </c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63"/>
      <c r="AB33" s="63"/>
      <c r="AC33" s="63"/>
    </row>
    <row r="34" spans="1:68" ht="16.5" hidden="1" customHeight="1" x14ac:dyDescent="0.25">
      <c r="A34" s="60" t="s">
        <v>106</v>
      </c>
      <c r="B34" s="60" t="s">
        <v>107</v>
      </c>
      <c r="C34" s="34">
        <v>4301071099</v>
      </c>
      <c r="D34" s="282">
        <v>4607111039019</v>
      </c>
      <c r="E34" s="282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8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4"/>
      <c r="R34" s="284"/>
      <c r="S34" s="284"/>
      <c r="T34" s="285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108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109</v>
      </c>
      <c r="B35" s="60" t="s">
        <v>110</v>
      </c>
      <c r="C35" s="34">
        <v>4301071100</v>
      </c>
      <c r="D35" s="282">
        <v>4607111038708</v>
      </c>
      <c r="E35" s="282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4"/>
      <c r="R35" s="284"/>
      <c r="S35" s="284"/>
      <c r="T35" s="285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108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t="12.75" hidden="1" customHeight="1" x14ac:dyDescent="0.2">
      <c r="A36" s="289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90"/>
      <c r="P36" s="286" t="s">
        <v>40</v>
      </c>
      <c r="Q36" s="287"/>
      <c r="R36" s="287"/>
      <c r="S36" s="287"/>
      <c r="T36" s="287"/>
      <c r="U36" s="287"/>
      <c r="V36" s="288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t="12.75" hidden="1" customHeight="1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0"/>
      <c r="P37" s="286" t="s">
        <v>40</v>
      </c>
      <c r="Q37" s="287"/>
      <c r="R37" s="287"/>
      <c r="S37" s="287"/>
      <c r="T37" s="287"/>
      <c r="U37" s="287"/>
      <c r="V37" s="288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09" t="s">
        <v>45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09"/>
      <c r="Q38" s="309"/>
      <c r="R38" s="309"/>
      <c r="S38" s="309"/>
      <c r="T38" s="309"/>
      <c r="U38" s="309"/>
      <c r="V38" s="309"/>
      <c r="W38" s="309"/>
      <c r="X38" s="309"/>
      <c r="Y38" s="309"/>
      <c r="Z38" s="309"/>
      <c r="AA38" s="52"/>
      <c r="AB38" s="52"/>
      <c r="AC38" s="52"/>
    </row>
    <row r="39" spans="1:68" ht="16.5" hidden="1" customHeight="1" x14ac:dyDescent="0.25">
      <c r="A39" s="310" t="s">
        <v>111</v>
      </c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62"/>
      <c r="AB39" s="62"/>
      <c r="AC39" s="62"/>
    </row>
    <row r="40" spans="1:68" ht="14.25" hidden="1" customHeight="1" x14ac:dyDescent="0.25">
      <c r="A40" s="300" t="s">
        <v>112</v>
      </c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63"/>
      <c r="AB40" s="63"/>
      <c r="AC40" s="63"/>
    </row>
    <row r="41" spans="1:68" ht="27" customHeight="1" x14ac:dyDescent="0.25">
      <c r="A41" s="60" t="s">
        <v>113</v>
      </c>
      <c r="B41" s="60" t="s">
        <v>114</v>
      </c>
      <c r="C41" s="34">
        <v>4301132190</v>
      </c>
      <c r="D41" s="282">
        <v>4607111036537</v>
      </c>
      <c r="E41" s="282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117</v>
      </c>
      <c r="L41" s="35" t="s">
        <v>118</v>
      </c>
      <c r="M41" s="36" t="s">
        <v>86</v>
      </c>
      <c r="N41" s="36"/>
      <c r="O41" s="35">
        <v>365</v>
      </c>
      <c r="P41" s="38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4"/>
      <c r="R41" s="284"/>
      <c r="S41" s="284"/>
      <c r="T41" s="285"/>
      <c r="U41" s="37" t="s">
        <v>46</v>
      </c>
      <c r="V41" s="37" t="s">
        <v>46</v>
      </c>
      <c r="W41" s="38" t="s">
        <v>39</v>
      </c>
      <c r="X41" s="56">
        <v>126</v>
      </c>
      <c r="Y41" s="53">
        <f>IFERROR(IF(X41="","",X41),"")</f>
        <v>126</v>
      </c>
      <c r="Z41" s="39">
        <f>IFERROR(IF(X41="","",X41*0.00941),"")</f>
        <v>1.1856599999999999</v>
      </c>
      <c r="AA41" s="65" t="s">
        <v>46</v>
      </c>
      <c r="AB41" s="66" t="s">
        <v>46</v>
      </c>
      <c r="AC41" s="104" t="s">
        <v>115</v>
      </c>
      <c r="AG41" s="78"/>
      <c r="AJ41" s="82" t="s">
        <v>119</v>
      </c>
      <c r="AK41" s="82">
        <v>14</v>
      </c>
      <c r="BB41" s="105" t="s">
        <v>116</v>
      </c>
      <c r="BM41" s="78">
        <f>IFERROR(X41*I41,"0")</f>
        <v>242.14679999999998</v>
      </c>
      <c r="BN41" s="78">
        <f>IFERROR(Y41*I41,"0")</f>
        <v>242.14679999999998</v>
      </c>
      <c r="BO41" s="78">
        <f>IFERROR(X41/J41,"0")</f>
        <v>0.9</v>
      </c>
      <c r="BP41" s="78">
        <f>IFERROR(Y41/J41,"0")</f>
        <v>0.9</v>
      </c>
    </row>
    <row r="42" spans="1:68" ht="27" customHeight="1" x14ac:dyDescent="0.25">
      <c r="A42" s="60" t="s">
        <v>120</v>
      </c>
      <c r="B42" s="60" t="s">
        <v>121</v>
      </c>
      <c r="C42" s="34">
        <v>4301132188</v>
      </c>
      <c r="D42" s="282">
        <v>4607111036605</v>
      </c>
      <c r="E42" s="282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117</v>
      </c>
      <c r="L42" s="35" t="s">
        <v>118</v>
      </c>
      <c r="M42" s="36" t="s">
        <v>86</v>
      </c>
      <c r="N42" s="36"/>
      <c r="O42" s="35">
        <v>365</v>
      </c>
      <c r="P42" s="38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4"/>
      <c r="R42" s="284"/>
      <c r="S42" s="284"/>
      <c r="T42" s="285"/>
      <c r="U42" s="37" t="s">
        <v>46</v>
      </c>
      <c r="V42" s="37" t="s">
        <v>46</v>
      </c>
      <c r="W42" s="38" t="s">
        <v>39</v>
      </c>
      <c r="X42" s="56">
        <v>84</v>
      </c>
      <c r="Y42" s="53">
        <f>IFERROR(IF(X42="","",X42),"")</f>
        <v>84</v>
      </c>
      <c r="Z42" s="39">
        <f>IFERROR(IF(X42="","",X42*0.00941),"")</f>
        <v>0.79044000000000003</v>
      </c>
      <c r="AA42" s="65" t="s">
        <v>46</v>
      </c>
      <c r="AB42" s="66" t="s">
        <v>46</v>
      </c>
      <c r="AC42" s="106" t="s">
        <v>115</v>
      </c>
      <c r="AG42" s="78"/>
      <c r="AJ42" s="82" t="s">
        <v>119</v>
      </c>
      <c r="AK42" s="82">
        <v>14</v>
      </c>
      <c r="BB42" s="107" t="s">
        <v>116</v>
      </c>
      <c r="BM42" s="78">
        <f>IFERROR(X42*I42,"0")</f>
        <v>161.43119999999999</v>
      </c>
      <c r="BN42" s="78">
        <f>IFERROR(Y42*I42,"0")</f>
        <v>161.43119999999999</v>
      </c>
      <c r="BO42" s="78">
        <f>IFERROR(X42/J42,"0")</f>
        <v>0.6</v>
      </c>
      <c r="BP42" s="78">
        <f>IFERROR(Y42/J42,"0")</f>
        <v>0.6</v>
      </c>
    </row>
    <row r="43" spans="1:68" x14ac:dyDescent="0.2">
      <c r="A43" s="289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90"/>
      <c r="P43" s="286" t="s">
        <v>40</v>
      </c>
      <c r="Q43" s="287"/>
      <c r="R43" s="287"/>
      <c r="S43" s="287"/>
      <c r="T43" s="287"/>
      <c r="U43" s="287"/>
      <c r="V43" s="288"/>
      <c r="W43" s="40" t="s">
        <v>39</v>
      </c>
      <c r="X43" s="41">
        <f>IFERROR(SUM(X41:X42),"0")</f>
        <v>210</v>
      </c>
      <c r="Y43" s="41">
        <f>IFERROR(SUM(Y41:Y42),"0")</f>
        <v>210</v>
      </c>
      <c r="Z43" s="41">
        <f>IFERROR(IF(Z41="",0,Z41),"0")+IFERROR(IF(Z42="",0,Z42),"0")</f>
        <v>1.9761</v>
      </c>
      <c r="AA43" s="64"/>
      <c r="AB43" s="64"/>
      <c r="AC43" s="64"/>
    </row>
    <row r="44" spans="1:68" x14ac:dyDescent="0.2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90"/>
      <c r="P44" s="286" t="s">
        <v>40</v>
      </c>
      <c r="Q44" s="287"/>
      <c r="R44" s="287"/>
      <c r="S44" s="287"/>
      <c r="T44" s="287"/>
      <c r="U44" s="287"/>
      <c r="V44" s="288"/>
      <c r="W44" s="40" t="s">
        <v>0</v>
      </c>
      <c r="X44" s="41">
        <f>IFERROR(SUMPRODUCT(X41:X42*H41:H42),"0")</f>
        <v>315</v>
      </c>
      <c r="Y44" s="41">
        <f>IFERROR(SUMPRODUCT(Y41:Y42*H41:H42),"0")</f>
        <v>315</v>
      </c>
      <c r="Z44" s="40"/>
      <c r="AA44" s="64"/>
      <c r="AB44" s="64"/>
      <c r="AC44" s="64"/>
    </row>
    <row r="45" spans="1:68" ht="16.5" hidden="1" customHeight="1" x14ac:dyDescent="0.25">
      <c r="A45" s="310" t="s">
        <v>122</v>
      </c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62"/>
      <c r="AB45" s="62"/>
      <c r="AC45" s="62"/>
    </row>
    <row r="46" spans="1:68" ht="14.25" hidden="1" customHeight="1" x14ac:dyDescent="0.25">
      <c r="A46" s="300" t="s">
        <v>82</v>
      </c>
      <c r="B46" s="300"/>
      <c r="C46" s="300"/>
      <c r="D46" s="300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63"/>
      <c r="AB46" s="63"/>
      <c r="AC46" s="63"/>
    </row>
    <row r="47" spans="1:68" ht="27" hidden="1" customHeight="1" x14ac:dyDescent="0.25">
      <c r="A47" s="60" t="s">
        <v>123</v>
      </c>
      <c r="B47" s="60" t="s">
        <v>124</v>
      </c>
      <c r="C47" s="34">
        <v>4301071090</v>
      </c>
      <c r="D47" s="282">
        <v>4620207490075</v>
      </c>
      <c r="E47" s="282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118</v>
      </c>
      <c r="M47" s="36" t="s">
        <v>86</v>
      </c>
      <c r="N47" s="36"/>
      <c r="O47" s="35">
        <v>180</v>
      </c>
      <c r="P47" s="37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4"/>
      <c r="R47" s="284"/>
      <c r="S47" s="284"/>
      <c r="T47" s="285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119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126</v>
      </c>
      <c r="B48" s="60" t="s">
        <v>127</v>
      </c>
      <c r="C48" s="34">
        <v>4301071092</v>
      </c>
      <c r="D48" s="282">
        <v>4620207490174</v>
      </c>
      <c r="E48" s="282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118</v>
      </c>
      <c r="M48" s="36" t="s">
        <v>86</v>
      </c>
      <c r="N48" s="36"/>
      <c r="O48" s="35">
        <v>180</v>
      </c>
      <c r="P48" s="38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4"/>
      <c r="R48" s="284"/>
      <c r="S48" s="284"/>
      <c r="T48" s="285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119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129</v>
      </c>
      <c r="B49" s="60" t="s">
        <v>130</v>
      </c>
      <c r="C49" s="34">
        <v>4301071091</v>
      </c>
      <c r="D49" s="282">
        <v>4620207490044</v>
      </c>
      <c r="E49" s="282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118</v>
      </c>
      <c r="M49" s="36" t="s">
        <v>86</v>
      </c>
      <c r="N49" s="36"/>
      <c r="O49" s="35">
        <v>180</v>
      </c>
      <c r="P49" s="38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4"/>
      <c r="R49" s="284"/>
      <c r="S49" s="284"/>
      <c r="T49" s="285"/>
      <c r="U49" s="37" t="s">
        <v>46</v>
      </c>
      <c r="V49" s="37" t="s">
        <v>46</v>
      </c>
      <c r="W49" s="38" t="s">
        <v>39</v>
      </c>
      <c r="X49" s="56"/>
      <c r="Y49" s="53" t="str">
        <f>IFERROR(IF(X49="","",X49),"")</f>
        <v/>
      </c>
      <c r="Z49" s="39" t="str">
        <f>IFERROR(IF(X49="","",X49*0.0155),"")</f>
        <v/>
      </c>
      <c r="AA49" s="65" t="s">
        <v>46</v>
      </c>
      <c r="AB49" s="66" t="s">
        <v>46</v>
      </c>
      <c r="AC49" s="112" t="s">
        <v>131</v>
      </c>
      <c r="AG49" s="78"/>
      <c r="AJ49" s="82" t="s">
        <v>119</v>
      </c>
      <c r="AK49" s="82">
        <v>12</v>
      </c>
      <c r="BB49" s="113" t="s">
        <v>70</v>
      </c>
      <c r="BM49" s="78">
        <f>IFERROR(X49*I49,"0")</f>
        <v>0</v>
      </c>
      <c r="BN49" s="78" t="str">
        <f>IFERROR(Y49*I49,"0")</f>
        <v>0</v>
      </c>
      <c r="BO49" s="78">
        <f>IFERROR(X49/J49,"0")</f>
        <v>0</v>
      </c>
      <c r="BP49" s="78" t="str">
        <f>IFERROR(Y49/J49,"0")</f>
        <v>0</v>
      </c>
    </row>
    <row r="50" spans="1:68" hidden="1" x14ac:dyDescent="0.2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286" t="s">
        <v>40</v>
      </c>
      <c r="Q50" s="287"/>
      <c r="R50" s="287"/>
      <c r="S50" s="287"/>
      <c r="T50" s="287"/>
      <c r="U50" s="287"/>
      <c r="V50" s="288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0"/>
      <c r="P51" s="286" t="s">
        <v>40</v>
      </c>
      <c r="Q51" s="287"/>
      <c r="R51" s="287"/>
      <c r="S51" s="287"/>
      <c r="T51" s="287"/>
      <c r="U51" s="287"/>
      <c r="V51" s="288"/>
      <c r="W51" s="40" t="s">
        <v>0</v>
      </c>
      <c r="X51" s="41">
        <f>IFERROR(SUMPRODUCT(X47:X49*H47:H49),"0")</f>
        <v>0</v>
      </c>
      <c r="Y51" s="41" t="str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10" t="s">
        <v>132</v>
      </c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62"/>
      <c r="AB52" s="62"/>
      <c r="AC52" s="62"/>
    </row>
    <row r="53" spans="1:68" ht="14.25" hidden="1" customHeight="1" x14ac:dyDescent="0.25">
      <c r="A53" s="300" t="s">
        <v>82</v>
      </c>
      <c r="B53" s="300"/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  <c r="AA53" s="63"/>
      <c r="AB53" s="63"/>
      <c r="AC53" s="63"/>
    </row>
    <row r="54" spans="1:68" ht="27" hidden="1" customHeight="1" x14ac:dyDescent="0.25">
      <c r="A54" s="60" t="s">
        <v>133</v>
      </c>
      <c r="B54" s="60" t="s">
        <v>134</v>
      </c>
      <c r="C54" s="34">
        <v>4301071044</v>
      </c>
      <c r="D54" s="282">
        <v>4607111039385</v>
      </c>
      <c r="E54" s="282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118</v>
      </c>
      <c r="M54" s="36" t="s">
        <v>86</v>
      </c>
      <c r="N54" s="36"/>
      <c r="O54" s="35">
        <v>180</v>
      </c>
      <c r="P54" s="37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4"/>
      <c r="R54" s="284"/>
      <c r="S54" s="284"/>
      <c r="T54" s="285"/>
      <c r="U54" s="37" t="s">
        <v>46</v>
      </c>
      <c r="V54" s="37" t="s">
        <v>46</v>
      </c>
      <c r="W54" s="38" t="s">
        <v>39</v>
      </c>
      <c r="X54" s="56"/>
      <c r="Y54" s="53" t="str">
        <f>IFERROR(IF(X54="","",X54),"")</f>
        <v/>
      </c>
      <c r="Z54" s="39" t="str">
        <f>IFERROR(IF(X54="","",X54*0.0155),"")</f>
        <v/>
      </c>
      <c r="AA54" s="65" t="s">
        <v>46</v>
      </c>
      <c r="AB54" s="66" t="s">
        <v>46</v>
      </c>
      <c r="AC54" s="114" t="s">
        <v>135</v>
      </c>
      <c r="AG54" s="78"/>
      <c r="AJ54" s="82" t="s">
        <v>119</v>
      </c>
      <c r="AK54" s="82">
        <v>12</v>
      </c>
      <c r="BB54" s="115" t="s">
        <v>70</v>
      </c>
      <c r="BM54" s="78">
        <f>IFERROR(X54*I54,"0")</f>
        <v>0</v>
      </c>
      <c r="BN54" s="78" t="str">
        <f>IFERROR(Y54*I54,"0")</f>
        <v>0</v>
      </c>
      <c r="BO54" s="78">
        <f>IFERROR(X54/J54,"0")</f>
        <v>0</v>
      </c>
      <c r="BP54" s="78" t="str">
        <f>IFERROR(Y54/J54,"0")</f>
        <v>0</v>
      </c>
    </row>
    <row r="55" spans="1:68" ht="27" hidden="1" customHeight="1" x14ac:dyDescent="0.25">
      <c r="A55" s="60" t="s">
        <v>136</v>
      </c>
      <c r="B55" s="60" t="s">
        <v>137</v>
      </c>
      <c r="C55" s="34">
        <v>4301071031</v>
      </c>
      <c r="D55" s="282">
        <v>4607111038982</v>
      </c>
      <c r="E55" s="282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118</v>
      </c>
      <c r="M55" s="36" t="s">
        <v>86</v>
      </c>
      <c r="N55" s="36"/>
      <c r="O55" s="35">
        <v>180</v>
      </c>
      <c r="P55" s="37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4"/>
      <c r="R55" s="284"/>
      <c r="S55" s="284"/>
      <c r="T55" s="285"/>
      <c r="U55" s="37" t="s">
        <v>46</v>
      </c>
      <c r="V55" s="37" t="s">
        <v>46</v>
      </c>
      <c r="W55" s="38" t="s">
        <v>39</v>
      </c>
      <c r="X55" s="56"/>
      <c r="Y55" s="53" t="str">
        <f>IFERROR(IF(X55="","",X55),"")</f>
        <v/>
      </c>
      <c r="Z55" s="39" t="str">
        <f>IFERROR(IF(X55="","",X55*0.0155),"")</f>
        <v/>
      </c>
      <c r="AA55" s="65" t="s">
        <v>46</v>
      </c>
      <c r="AB55" s="66" t="s">
        <v>46</v>
      </c>
      <c r="AC55" s="116" t="s">
        <v>138</v>
      </c>
      <c r="AG55" s="78"/>
      <c r="AJ55" s="82" t="s">
        <v>119</v>
      </c>
      <c r="AK55" s="82">
        <v>12</v>
      </c>
      <c r="BB55" s="117" t="s">
        <v>70</v>
      </c>
      <c r="BM55" s="78">
        <f>IFERROR(X55*I55,"0")</f>
        <v>0</v>
      </c>
      <c r="BN55" s="78" t="str">
        <f>IFERROR(Y55*I55,"0")</f>
        <v>0</v>
      </c>
      <c r="BO55" s="78">
        <f>IFERROR(X55/J55,"0")</f>
        <v>0</v>
      </c>
      <c r="BP55" s="78" t="str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4301071046</v>
      </c>
      <c r="D56" s="282">
        <v>4607111039354</v>
      </c>
      <c r="E56" s="282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118</v>
      </c>
      <c r="M56" s="36" t="s">
        <v>86</v>
      </c>
      <c r="N56" s="36"/>
      <c r="O56" s="35">
        <v>180</v>
      </c>
      <c r="P56" s="37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4"/>
      <c r="R56" s="284"/>
      <c r="S56" s="284"/>
      <c r="T56" s="285"/>
      <c r="U56" s="37" t="s">
        <v>46</v>
      </c>
      <c r="V56" s="37" t="s">
        <v>46</v>
      </c>
      <c r="W56" s="38" t="s">
        <v>39</v>
      </c>
      <c r="X56" s="56"/>
      <c r="Y56" s="53" t="str">
        <f>IFERROR(IF(X56="","",X56),"")</f>
        <v/>
      </c>
      <c r="Z56" s="39" t="str">
        <f>IFERROR(IF(X56="","",X56*0.0155),"")</f>
        <v/>
      </c>
      <c r="AA56" s="65" t="s">
        <v>46</v>
      </c>
      <c r="AB56" s="66" t="s">
        <v>46</v>
      </c>
      <c r="AC56" s="118" t="s">
        <v>138</v>
      </c>
      <c r="AG56" s="78"/>
      <c r="AJ56" s="82" t="s">
        <v>119</v>
      </c>
      <c r="AK56" s="82">
        <v>12</v>
      </c>
      <c r="BB56" s="119" t="s">
        <v>70</v>
      </c>
      <c r="BM56" s="78">
        <f>IFERROR(X56*I56,"0")</f>
        <v>0</v>
      </c>
      <c r="BN56" s="78" t="str">
        <f>IFERROR(Y56*I56,"0")</f>
        <v>0</v>
      </c>
      <c r="BO56" s="78">
        <f>IFERROR(X56/J56,"0")</f>
        <v>0</v>
      </c>
      <c r="BP56" s="78" t="str">
        <f>IFERROR(Y56/J56,"0")</f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4301071047</v>
      </c>
      <c r="D57" s="282">
        <v>4607111039330</v>
      </c>
      <c r="E57" s="282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118</v>
      </c>
      <c r="M57" s="36" t="s">
        <v>86</v>
      </c>
      <c r="N57" s="36"/>
      <c r="O57" s="35">
        <v>180</v>
      </c>
      <c r="P57" s="37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4"/>
      <c r="R57" s="284"/>
      <c r="S57" s="284"/>
      <c r="T57" s="285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IFERROR(IF(X57="","",X57*0.0155),"")</f>
        <v>0</v>
      </c>
      <c r="AA57" s="65" t="s">
        <v>46</v>
      </c>
      <c r="AB57" s="66" t="s">
        <v>46</v>
      </c>
      <c r="AC57" s="120" t="s">
        <v>138</v>
      </c>
      <c r="AG57" s="78"/>
      <c r="AJ57" s="82" t="s">
        <v>119</v>
      </c>
      <c r="AK57" s="82">
        <v>12</v>
      </c>
      <c r="BB57" s="121" t="s">
        <v>70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ht="12.75" hidden="1" customHeight="1" x14ac:dyDescent="0.2">
      <c r="A58" s="289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90"/>
      <c r="P58" s="286" t="s">
        <v>40</v>
      </c>
      <c r="Q58" s="287"/>
      <c r="R58" s="287"/>
      <c r="S58" s="287"/>
      <c r="T58" s="287"/>
      <c r="U58" s="287"/>
      <c r="V58" s="288"/>
      <c r="W58" s="40" t="s">
        <v>39</v>
      </c>
      <c r="X58" s="41">
        <f>IFERROR(SUM(X54:X57),"0")</f>
        <v>0</v>
      </c>
      <c r="Y58" s="41">
        <f>IFERROR(SUM(Y54:Y57),"0")</f>
        <v>0</v>
      </c>
      <c r="Z58" s="41">
        <f>IFERROR(IF(Z54="",0,Z54),"0")+IFERROR(IF(Z55="",0,Z55),"0")+IFERROR(IF(Z56="",0,Z56),"0")+IFERROR(IF(Z57="",0,Z57),"0")</f>
        <v>0</v>
      </c>
      <c r="AA58" s="64"/>
      <c r="AB58" s="64"/>
      <c r="AC58" s="64"/>
    </row>
    <row r="59" spans="1:68" ht="12.75" hidden="1" customHeight="1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0"/>
      <c r="P59" s="286" t="s">
        <v>40</v>
      </c>
      <c r="Q59" s="287"/>
      <c r="R59" s="287"/>
      <c r="S59" s="287"/>
      <c r="T59" s="287"/>
      <c r="U59" s="287"/>
      <c r="V59" s="288"/>
      <c r="W59" s="40" t="s">
        <v>0</v>
      </c>
      <c r="X59" s="41">
        <f>IFERROR(SUMPRODUCT(X54:X57*H54:H57),"0")</f>
        <v>0</v>
      </c>
      <c r="Y59" s="41" t="str">
        <f>IFERROR(SUMPRODUCT(Y54:Y57*H54:H57),"0")</f>
        <v>0</v>
      </c>
      <c r="Z59" s="40"/>
      <c r="AA59" s="64"/>
      <c r="AB59" s="64"/>
      <c r="AC59" s="64"/>
    </row>
    <row r="60" spans="1:68" ht="16.5" hidden="1" customHeight="1" x14ac:dyDescent="0.25">
      <c r="A60" s="310" t="s">
        <v>143</v>
      </c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62"/>
      <c r="AB60" s="62"/>
      <c r="AC60" s="62"/>
    </row>
    <row r="61" spans="1:68" ht="14.25" hidden="1" customHeight="1" x14ac:dyDescent="0.25">
      <c r="A61" s="300" t="s">
        <v>82</v>
      </c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63"/>
      <c r="AB61" s="63"/>
      <c r="AC61" s="63"/>
    </row>
    <row r="62" spans="1:68" ht="16.5" hidden="1" customHeight="1" x14ac:dyDescent="0.25">
      <c r="A62" s="60" t="s">
        <v>144</v>
      </c>
      <c r="B62" s="60" t="s">
        <v>145</v>
      </c>
      <c r="C62" s="34">
        <v>4301071073</v>
      </c>
      <c r="D62" s="282">
        <v>4620207490822</v>
      </c>
      <c r="E62" s="282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4"/>
      <c r="R62" s="284"/>
      <c r="S62" s="284"/>
      <c r="T62" s="285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146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12.75" hidden="1" customHeight="1" x14ac:dyDescent="0.2">
      <c r="A63" s="289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90"/>
      <c r="P63" s="286" t="s">
        <v>40</v>
      </c>
      <c r="Q63" s="287"/>
      <c r="R63" s="287"/>
      <c r="S63" s="287"/>
      <c r="T63" s="287"/>
      <c r="U63" s="287"/>
      <c r="V63" s="288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t="12.75" hidden="1" customHeight="1" x14ac:dyDescent="0.2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90"/>
      <c r="P64" s="286" t="s">
        <v>40</v>
      </c>
      <c r="Q64" s="287"/>
      <c r="R64" s="287"/>
      <c r="S64" s="287"/>
      <c r="T64" s="287"/>
      <c r="U64" s="287"/>
      <c r="V64" s="288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00" t="s">
        <v>112</v>
      </c>
      <c r="B65" s="300"/>
      <c r="C65" s="300"/>
      <c r="D65" s="300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  <c r="AA65" s="63"/>
      <c r="AB65" s="63"/>
      <c r="AC65" s="63"/>
    </row>
    <row r="66" spans="1:68" ht="27" hidden="1" customHeight="1" x14ac:dyDescent="0.25">
      <c r="A66" s="60" t="s">
        <v>147</v>
      </c>
      <c r="B66" s="60" t="s">
        <v>148</v>
      </c>
      <c r="C66" s="34">
        <v>4301132194</v>
      </c>
      <c r="D66" s="282">
        <v>4607111039712</v>
      </c>
      <c r="E66" s="282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117</v>
      </c>
      <c r="L66" s="35" t="s">
        <v>88</v>
      </c>
      <c r="M66" s="36" t="s">
        <v>86</v>
      </c>
      <c r="N66" s="36"/>
      <c r="O66" s="35">
        <v>365</v>
      </c>
      <c r="P66" s="37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4"/>
      <c r="R66" s="284"/>
      <c r="S66" s="284"/>
      <c r="T66" s="285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149</v>
      </c>
      <c r="AG66" s="78"/>
      <c r="AJ66" s="82" t="s">
        <v>89</v>
      </c>
      <c r="AK66" s="82">
        <v>1</v>
      </c>
      <c r="BB66" s="125" t="s">
        <v>116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t="12.75" hidden="1" customHeight="1" x14ac:dyDescent="0.2">
      <c r="A67" s="289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90"/>
      <c r="P67" s="286" t="s">
        <v>40</v>
      </c>
      <c r="Q67" s="287"/>
      <c r="R67" s="287"/>
      <c r="S67" s="287"/>
      <c r="T67" s="287"/>
      <c r="U67" s="287"/>
      <c r="V67" s="288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t="12.75" hidden="1" customHeight="1" x14ac:dyDescent="0.2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90"/>
      <c r="P68" s="286" t="s">
        <v>40</v>
      </c>
      <c r="Q68" s="287"/>
      <c r="R68" s="287"/>
      <c r="S68" s="287"/>
      <c r="T68" s="287"/>
      <c r="U68" s="287"/>
      <c r="V68" s="288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00" t="s">
        <v>150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63"/>
      <c r="AB69" s="63"/>
      <c r="AC69" s="63"/>
    </row>
    <row r="70" spans="1:68" ht="16.5" hidden="1" customHeight="1" x14ac:dyDescent="0.25">
      <c r="A70" s="60" t="s">
        <v>151</v>
      </c>
      <c r="B70" s="60" t="s">
        <v>152</v>
      </c>
      <c r="C70" s="34">
        <v>4301136018</v>
      </c>
      <c r="D70" s="282">
        <v>4607111037008</v>
      </c>
      <c r="E70" s="282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117</v>
      </c>
      <c r="L70" s="35" t="s">
        <v>88</v>
      </c>
      <c r="M70" s="36" t="s">
        <v>86</v>
      </c>
      <c r="N70" s="36"/>
      <c r="O70" s="35">
        <v>365</v>
      </c>
      <c r="P70" s="37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4"/>
      <c r="R70" s="284"/>
      <c r="S70" s="284"/>
      <c r="T70" s="285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153</v>
      </c>
      <c r="AG70" s="78"/>
      <c r="AJ70" s="82" t="s">
        <v>89</v>
      </c>
      <c r="AK70" s="82">
        <v>1</v>
      </c>
      <c r="BB70" s="127" t="s">
        <v>116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154</v>
      </c>
      <c r="B71" s="60" t="s">
        <v>155</v>
      </c>
      <c r="C71" s="34">
        <v>4301136015</v>
      </c>
      <c r="D71" s="282">
        <v>4607111037398</v>
      </c>
      <c r="E71" s="282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117</v>
      </c>
      <c r="L71" s="35" t="s">
        <v>88</v>
      </c>
      <c r="M71" s="36" t="s">
        <v>86</v>
      </c>
      <c r="N71" s="36"/>
      <c r="O71" s="35">
        <v>365</v>
      </c>
      <c r="P71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4"/>
      <c r="R71" s="284"/>
      <c r="S71" s="284"/>
      <c r="T71" s="285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153</v>
      </c>
      <c r="AG71" s="78"/>
      <c r="AJ71" s="82" t="s">
        <v>89</v>
      </c>
      <c r="AK71" s="82">
        <v>1</v>
      </c>
      <c r="BB71" s="129" t="s">
        <v>116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12.75" hidden="1" customHeight="1" x14ac:dyDescent="0.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0"/>
      <c r="P72" s="286" t="s">
        <v>40</v>
      </c>
      <c r="Q72" s="287"/>
      <c r="R72" s="287"/>
      <c r="S72" s="287"/>
      <c r="T72" s="287"/>
      <c r="U72" s="287"/>
      <c r="V72" s="288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t="12.75" hidden="1" customHeight="1" x14ac:dyDescent="0.2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90"/>
      <c r="P73" s="286" t="s">
        <v>40</v>
      </c>
      <c r="Q73" s="287"/>
      <c r="R73" s="287"/>
      <c r="S73" s="287"/>
      <c r="T73" s="287"/>
      <c r="U73" s="287"/>
      <c r="V73" s="288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00" t="s">
        <v>156</v>
      </c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63"/>
      <c r="AB74" s="63"/>
      <c r="AC74" s="63"/>
    </row>
    <row r="75" spans="1:68" ht="27" hidden="1" customHeight="1" x14ac:dyDescent="0.25">
      <c r="A75" s="60" t="s">
        <v>157</v>
      </c>
      <c r="B75" s="60" t="s">
        <v>158</v>
      </c>
      <c r="C75" s="34">
        <v>4301135664</v>
      </c>
      <c r="D75" s="282">
        <v>4607111039705</v>
      </c>
      <c r="E75" s="282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117</v>
      </c>
      <c r="L75" s="35" t="s">
        <v>88</v>
      </c>
      <c r="M75" s="36" t="s">
        <v>86</v>
      </c>
      <c r="N75" s="36"/>
      <c r="O75" s="35">
        <v>365</v>
      </c>
      <c r="P75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4"/>
      <c r="R75" s="284"/>
      <c r="S75" s="284"/>
      <c r="T75" s="285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153</v>
      </c>
      <c r="AG75" s="78"/>
      <c r="AJ75" s="82" t="s">
        <v>89</v>
      </c>
      <c r="AK75" s="82">
        <v>1</v>
      </c>
      <c r="BB75" s="131" t="s">
        <v>116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159</v>
      </c>
      <c r="B76" s="60" t="s">
        <v>160</v>
      </c>
      <c r="C76" s="34">
        <v>4301135665</v>
      </c>
      <c r="D76" s="282">
        <v>4607111039729</v>
      </c>
      <c r="E76" s="282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117</v>
      </c>
      <c r="L76" s="35" t="s">
        <v>88</v>
      </c>
      <c r="M76" s="36" t="s">
        <v>86</v>
      </c>
      <c r="N76" s="36"/>
      <c r="O76" s="35">
        <v>365</v>
      </c>
      <c r="P76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4"/>
      <c r="R76" s="284"/>
      <c r="S76" s="284"/>
      <c r="T76" s="285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161</v>
      </c>
      <c r="AG76" s="78"/>
      <c r="AJ76" s="82" t="s">
        <v>89</v>
      </c>
      <c r="AK76" s="82">
        <v>1</v>
      </c>
      <c r="BB76" s="133" t="s">
        <v>116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162</v>
      </c>
      <c r="B77" s="60" t="s">
        <v>163</v>
      </c>
      <c r="C77" s="34">
        <v>4301135702</v>
      </c>
      <c r="D77" s="282">
        <v>4620207490228</v>
      </c>
      <c r="E77" s="282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117</v>
      </c>
      <c r="L77" s="35" t="s">
        <v>88</v>
      </c>
      <c r="M77" s="36" t="s">
        <v>86</v>
      </c>
      <c r="N77" s="36"/>
      <c r="O77" s="35">
        <v>365</v>
      </c>
      <c r="P77" s="36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4"/>
      <c r="R77" s="284"/>
      <c r="S77" s="284"/>
      <c r="T77" s="285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161</v>
      </c>
      <c r="AG77" s="78"/>
      <c r="AJ77" s="82" t="s">
        <v>89</v>
      </c>
      <c r="AK77" s="82">
        <v>1</v>
      </c>
      <c r="BB77" s="135" t="s">
        <v>116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12.75" hidden="1" customHeight="1" x14ac:dyDescent="0.2">
      <c r="A78" s="289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90"/>
      <c r="P78" s="286" t="s">
        <v>40</v>
      </c>
      <c r="Q78" s="287"/>
      <c r="R78" s="287"/>
      <c r="S78" s="287"/>
      <c r="T78" s="287"/>
      <c r="U78" s="287"/>
      <c r="V78" s="288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t="12.75" hidden="1" customHeight="1" x14ac:dyDescent="0.2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90"/>
      <c r="P79" s="286" t="s">
        <v>40</v>
      </c>
      <c r="Q79" s="287"/>
      <c r="R79" s="287"/>
      <c r="S79" s="287"/>
      <c r="T79" s="287"/>
      <c r="U79" s="287"/>
      <c r="V79" s="288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10" t="s">
        <v>164</v>
      </c>
      <c r="B80" s="310"/>
      <c r="C80" s="310"/>
      <c r="D80" s="310"/>
      <c r="E80" s="310"/>
      <c r="F80" s="310"/>
      <c r="G80" s="310"/>
      <c r="H80" s="310"/>
      <c r="I80" s="310"/>
      <c r="J80" s="310"/>
      <c r="K80" s="310"/>
      <c r="L80" s="310"/>
      <c r="M80" s="310"/>
      <c r="N80" s="310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62"/>
      <c r="AB80" s="62"/>
      <c r="AC80" s="62"/>
    </row>
    <row r="81" spans="1:68" ht="14.25" hidden="1" customHeight="1" x14ac:dyDescent="0.25">
      <c r="A81" s="300" t="s">
        <v>82</v>
      </c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63"/>
      <c r="AB81" s="63"/>
      <c r="AC81" s="63"/>
    </row>
    <row r="82" spans="1:68" ht="27" hidden="1" customHeight="1" x14ac:dyDescent="0.25">
      <c r="A82" s="60" t="s">
        <v>165</v>
      </c>
      <c r="B82" s="60" t="s">
        <v>166</v>
      </c>
      <c r="C82" s="34">
        <v>4301070977</v>
      </c>
      <c r="D82" s="282">
        <v>4607111037411</v>
      </c>
      <c r="E82" s="282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168</v>
      </c>
      <c r="L82" s="35" t="s">
        <v>118</v>
      </c>
      <c r="M82" s="36" t="s">
        <v>86</v>
      </c>
      <c r="N82" s="36"/>
      <c r="O82" s="35">
        <v>180</v>
      </c>
      <c r="P82" s="36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4"/>
      <c r="R82" s="284"/>
      <c r="S82" s="284"/>
      <c r="T82" s="285"/>
      <c r="U82" s="37" t="s">
        <v>46</v>
      </c>
      <c r="V82" s="37" t="s">
        <v>46</v>
      </c>
      <c r="W82" s="38" t="s">
        <v>39</v>
      </c>
      <c r="X82" s="56"/>
      <c r="Y82" s="53" t="str">
        <f>IFERROR(IF(X82="","",X82),"")</f>
        <v/>
      </c>
      <c r="Z82" s="39" t="str">
        <f>IFERROR(IF(X82="","",X82*0.00502),"")</f>
        <v/>
      </c>
      <c r="AA82" s="65" t="s">
        <v>46</v>
      </c>
      <c r="AB82" s="66" t="s">
        <v>46</v>
      </c>
      <c r="AC82" s="136" t="s">
        <v>167</v>
      </c>
      <c r="AG82" s="78"/>
      <c r="AJ82" s="82" t="s">
        <v>119</v>
      </c>
      <c r="AK82" s="82">
        <v>18</v>
      </c>
      <c r="BB82" s="137" t="s">
        <v>70</v>
      </c>
      <c r="BM82" s="78">
        <f>IFERROR(X82*I82,"0")</f>
        <v>0</v>
      </c>
      <c r="BN82" s="78" t="str">
        <f>IFERROR(Y82*I82,"0")</f>
        <v>0</v>
      </c>
      <c r="BO82" s="78">
        <f>IFERROR(X82/J82,"0")</f>
        <v>0</v>
      </c>
      <c r="BP82" s="78" t="str">
        <f>IFERROR(Y82/J82,"0")</f>
        <v>0</v>
      </c>
    </row>
    <row r="83" spans="1:68" ht="27" hidden="1" customHeight="1" x14ac:dyDescent="0.25">
      <c r="A83" s="60" t="s">
        <v>169</v>
      </c>
      <c r="B83" s="60" t="s">
        <v>170</v>
      </c>
      <c r="C83" s="34">
        <v>4301070981</v>
      </c>
      <c r="D83" s="282">
        <v>4607111036728</v>
      </c>
      <c r="E83" s="282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118</v>
      </c>
      <c r="M83" s="36" t="s">
        <v>86</v>
      </c>
      <c r="N83" s="36"/>
      <c r="O83" s="35">
        <v>180</v>
      </c>
      <c r="P83" s="36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4"/>
      <c r="R83" s="284"/>
      <c r="S83" s="284"/>
      <c r="T83" s="285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IFERROR(IF(X83="","",X83*0.00866),"")</f>
        <v>0</v>
      </c>
      <c r="AA83" s="65" t="s">
        <v>46</v>
      </c>
      <c r="AB83" s="66" t="s">
        <v>46</v>
      </c>
      <c r="AC83" s="138" t="s">
        <v>167</v>
      </c>
      <c r="AG83" s="78"/>
      <c r="AJ83" s="82" t="s">
        <v>119</v>
      </c>
      <c r="AK83" s="82">
        <v>12</v>
      </c>
      <c r="BB83" s="139" t="s">
        <v>70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289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90"/>
      <c r="P84" s="286" t="s">
        <v>40</v>
      </c>
      <c r="Q84" s="287"/>
      <c r="R84" s="287"/>
      <c r="S84" s="287"/>
      <c r="T84" s="287"/>
      <c r="U84" s="287"/>
      <c r="V84" s="288"/>
      <c r="W84" s="40" t="s">
        <v>39</v>
      </c>
      <c r="X84" s="41">
        <f>IFERROR(SUM(X82:X83),"0")</f>
        <v>0</v>
      </c>
      <c r="Y84" s="41">
        <f>IFERROR(SUM(Y82:Y83),"0")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90"/>
      <c r="P85" s="286" t="s">
        <v>40</v>
      </c>
      <c r="Q85" s="287"/>
      <c r="R85" s="287"/>
      <c r="S85" s="287"/>
      <c r="T85" s="287"/>
      <c r="U85" s="287"/>
      <c r="V85" s="288"/>
      <c r="W85" s="40" t="s">
        <v>0</v>
      </c>
      <c r="X85" s="41">
        <f>IFERROR(SUMPRODUCT(X82:X83*H82:H83),"0")</f>
        <v>0</v>
      </c>
      <c r="Y85" s="41" t="str">
        <f>IFERROR(SUMPRODUCT(Y82:Y83*H82:H83),"0")</f>
        <v>0</v>
      </c>
      <c r="Z85" s="40"/>
      <c r="AA85" s="64"/>
      <c r="AB85" s="64"/>
      <c r="AC85" s="64"/>
    </row>
    <row r="86" spans="1:68" ht="16.5" hidden="1" customHeight="1" x14ac:dyDescent="0.25">
      <c r="A86" s="310" t="s">
        <v>171</v>
      </c>
      <c r="B86" s="310"/>
      <c r="C86" s="310"/>
      <c r="D86" s="310"/>
      <c r="E86" s="310"/>
      <c r="F86" s="310"/>
      <c r="G86" s="310"/>
      <c r="H86" s="310"/>
      <c r="I86" s="310"/>
      <c r="J86" s="310"/>
      <c r="K86" s="310"/>
      <c r="L86" s="310"/>
      <c r="M86" s="310"/>
      <c r="N86" s="310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62"/>
      <c r="AB86" s="62"/>
      <c r="AC86" s="62"/>
    </row>
    <row r="87" spans="1:68" ht="14.25" hidden="1" customHeight="1" x14ac:dyDescent="0.25">
      <c r="A87" s="300" t="s">
        <v>156</v>
      </c>
      <c r="B87" s="300"/>
      <c r="C87" s="300"/>
      <c r="D87" s="300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4301135574</v>
      </c>
      <c r="D88" s="282">
        <v>4607111033659</v>
      </c>
      <c r="E88" s="282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117</v>
      </c>
      <c r="L88" s="35" t="s">
        <v>118</v>
      </c>
      <c r="M88" s="36" t="s">
        <v>86</v>
      </c>
      <c r="N88" s="36"/>
      <c r="O88" s="35">
        <v>180</v>
      </c>
      <c r="P88" s="36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4"/>
      <c r="R88" s="284"/>
      <c r="S88" s="284"/>
      <c r="T88" s="285"/>
      <c r="U88" s="37" t="s">
        <v>46</v>
      </c>
      <c r="V88" s="37" t="s">
        <v>46</v>
      </c>
      <c r="W88" s="38" t="s">
        <v>39</v>
      </c>
      <c r="X88" s="56">
        <v>28</v>
      </c>
      <c r="Y88" s="53">
        <f>IFERROR(IF(X88="","",X88),"")</f>
        <v>28</v>
      </c>
      <c r="Z88" s="39">
        <f>IFERROR(IF(X88="","",X88*0.01788),"")</f>
        <v>0.50063999999999997</v>
      </c>
      <c r="AA88" s="65" t="s">
        <v>46</v>
      </c>
      <c r="AB88" s="66" t="s">
        <v>46</v>
      </c>
      <c r="AC88" s="140" t="s">
        <v>174</v>
      </c>
      <c r="AG88" s="78"/>
      <c r="AJ88" s="82" t="s">
        <v>119</v>
      </c>
      <c r="AK88" s="82">
        <v>14</v>
      </c>
      <c r="BB88" s="141" t="s">
        <v>116</v>
      </c>
      <c r="BM88" s="78">
        <f>IFERROR(X88*I88,"0")</f>
        <v>120.50080000000001</v>
      </c>
      <c r="BN88" s="78">
        <f>IFERROR(Y88*I88,"0")</f>
        <v>120.50080000000001</v>
      </c>
      <c r="BO88" s="78">
        <f>IFERROR(X88/J88,"0")</f>
        <v>0.4</v>
      </c>
      <c r="BP88" s="78">
        <f>IFERROR(Y88/J88,"0")</f>
        <v>0.4</v>
      </c>
    </row>
    <row r="89" spans="1:68" ht="12.75" customHeight="1" x14ac:dyDescent="0.2">
      <c r="A89" s="289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90"/>
      <c r="P89" s="286" t="s">
        <v>40</v>
      </c>
      <c r="Q89" s="287"/>
      <c r="R89" s="287"/>
      <c r="S89" s="287"/>
      <c r="T89" s="287"/>
      <c r="U89" s="287"/>
      <c r="V89" s="288"/>
      <c r="W89" s="40" t="s">
        <v>39</v>
      </c>
      <c r="X89" s="41">
        <f>IFERROR(SUM(X88:X88),"0")</f>
        <v>28</v>
      </c>
      <c r="Y89" s="41">
        <f>IFERROR(SUM(Y88:Y88),"0")</f>
        <v>28</v>
      </c>
      <c r="Z89" s="41">
        <f>IFERROR(IF(Z88="",0,Z88),"0")</f>
        <v>0.50063999999999997</v>
      </c>
      <c r="AA89" s="64"/>
      <c r="AB89" s="64"/>
      <c r="AC89" s="64"/>
    </row>
    <row r="90" spans="1:68" ht="12.75" customHeight="1" x14ac:dyDescent="0.2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90"/>
      <c r="P90" s="286" t="s">
        <v>40</v>
      </c>
      <c r="Q90" s="287"/>
      <c r="R90" s="287"/>
      <c r="S90" s="287"/>
      <c r="T90" s="287"/>
      <c r="U90" s="287"/>
      <c r="V90" s="288"/>
      <c r="W90" s="40" t="s">
        <v>0</v>
      </c>
      <c r="X90" s="41">
        <f>IFERROR(SUMPRODUCT(X88:X88*H88:H88),"0")</f>
        <v>100.8</v>
      </c>
      <c r="Y90" s="41">
        <f>IFERROR(SUMPRODUCT(Y88:Y88*H88:H88),"0")</f>
        <v>100.8</v>
      </c>
      <c r="Z90" s="40"/>
      <c r="AA90" s="64"/>
      <c r="AB90" s="64"/>
      <c r="AC90" s="64"/>
    </row>
    <row r="91" spans="1:68" ht="16.5" hidden="1" customHeight="1" x14ac:dyDescent="0.25">
      <c r="A91" s="310" t="s">
        <v>175</v>
      </c>
      <c r="B91" s="310"/>
      <c r="C91" s="310"/>
      <c r="D91" s="310"/>
      <c r="E91" s="310"/>
      <c r="F91" s="310"/>
      <c r="G91" s="310"/>
      <c r="H91" s="310"/>
      <c r="I91" s="310"/>
      <c r="J91" s="310"/>
      <c r="K91" s="310"/>
      <c r="L91" s="310"/>
      <c r="M91" s="310"/>
      <c r="N91" s="310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62"/>
      <c r="AB91" s="62"/>
      <c r="AC91" s="62"/>
    </row>
    <row r="92" spans="1:68" ht="14.25" hidden="1" customHeight="1" x14ac:dyDescent="0.25">
      <c r="A92" s="300" t="s">
        <v>176</v>
      </c>
      <c r="B92" s="300"/>
      <c r="C92" s="300"/>
      <c r="D92" s="300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  <c r="AA92" s="63"/>
      <c r="AB92" s="63"/>
      <c r="AC92" s="63"/>
    </row>
    <row r="93" spans="1:68" ht="27" customHeight="1" x14ac:dyDescent="0.25">
      <c r="A93" s="60" t="s">
        <v>177</v>
      </c>
      <c r="B93" s="60" t="s">
        <v>178</v>
      </c>
      <c r="C93" s="34">
        <v>4301131047</v>
      </c>
      <c r="D93" s="282">
        <v>4607111034120</v>
      </c>
      <c r="E93" s="282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117</v>
      </c>
      <c r="L93" s="35" t="s">
        <v>118</v>
      </c>
      <c r="M93" s="36" t="s">
        <v>86</v>
      </c>
      <c r="N93" s="36"/>
      <c r="O93" s="35">
        <v>180</v>
      </c>
      <c r="P93" s="3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4"/>
      <c r="R93" s="284"/>
      <c r="S93" s="284"/>
      <c r="T93" s="285"/>
      <c r="U93" s="37" t="s">
        <v>46</v>
      </c>
      <c r="V93" s="37" t="s">
        <v>46</v>
      </c>
      <c r="W93" s="38" t="s">
        <v>39</v>
      </c>
      <c r="X93" s="56">
        <v>98</v>
      </c>
      <c r="Y93" s="53">
        <f>IFERROR(IF(X93="","",X93),"")</f>
        <v>98</v>
      </c>
      <c r="Z93" s="39">
        <f>IFERROR(IF(X93="","",X93*0.01788),"")</f>
        <v>1.75224</v>
      </c>
      <c r="AA93" s="65" t="s">
        <v>46</v>
      </c>
      <c r="AB93" s="66" t="s">
        <v>46</v>
      </c>
      <c r="AC93" s="142" t="s">
        <v>179</v>
      </c>
      <c r="AG93" s="78"/>
      <c r="AJ93" s="82" t="s">
        <v>119</v>
      </c>
      <c r="AK93" s="82">
        <v>14</v>
      </c>
      <c r="BB93" s="143" t="s">
        <v>116</v>
      </c>
      <c r="BM93" s="78">
        <f>IFERROR(X93*I93,"0")</f>
        <v>421.75280000000004</v>
      </c>
      <c r="BN93" s="78">
        <f>IFERROR(Y93*I93,"0")</f>
        <v>421.75280000000004</v>
      </c>
      <c r="BO93" s="78">
        <f>IFERROR(X93/J93,"0")</f>
        <v>1.4</v>
      </c>
      <c r="BP93" s="78">
        <f>IFERROR(Y93/J93,"0")</f>
        <v>1.4</v>
      </c>
    </row>
    <row r="94" spans="1:68" ht="27" customHeight="1" x14ac:dyDescent="0.25">
      <c r="A94" s="60" t="s">
        <v>180</v>
      </c>
      <c r="B94" s="60" t="s">
        <v>181</v>
      </c>
      <c r="C94" s="34">
        <v>4301131046</v>
      </c>
      <c r="D94" s="282">
        <v>4607111034137</v>
      </c>
      <c r="E94" s="282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117</v>
      </c>
      <c r="L94" s="35" t="s">
        <v>118</v>
      </c>
      <c r="M94" s="36" t="s">
        <v>86</v>
      </c>
      <c r="N94" s="36"/>
      <c r="O94" s="35">
        <v>180</v>
      </c>
      <c r="P94" s="36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4"/>
      <c r="R94" s="284"/>
      <c r="S94" s="284"/>
      <c r="T94" s="285"/>
      <c r="U94" s="37" t="s">
        <v>46</v>
      </c>
      <c r="V94" s="37" t="s">
        <v>46</v>
      </c>
      <c r="W94" s="38" t="s">
        <v>39</v>
      </c>
      <c r="X94" s="56">
        <v>70</v>
      </c>
      <c r="Y94" s="53">
        <f>IFERROR(IF(X94="","",X94),"")</f>
        <v>70</v>
      </c>
      <c r="Z94" s="39">
        <f>IFERROR(IF(X94="","",X94*0.01788),"")</f>
        <v>1.2516</v>
      </c>
      <c r="AA94" s="65" t="s">
        <v>46</v>
      </c>
      <c r="AB94" s="66" t="s">
        <v>46</v>
      </c>
      <c r="AC94" s="144" t="s">
        <v>182</v>
      </c>
      <c r="AG94" s="78"/>
      <c r="AJ94" s="82" t="s">
        <v>119</v>
      </c>
      <c r="AK94" s="82">
        <v>14</v>
      </c>
      <c r="BB94" s="145" t="s">
        <v>116</v>
      </c>
      <c r="BM94" s="78">
        <f>IFERROR(X94*I94,"0")</f>
        <v>301.25200000000001</v>
      </c>
      <c r="BN94" s="78">
        <f>IFERROR(Y94*I94,"0")</f>
        <v>301.25200000000001</v>
      </c>
      <c r="BO94" s="78">
        <f>IFERROR(X94/J94,"0")</f>
        <v>1</v>
      </c>
      <c r="BP94" s="78">
        <f>IFERROR(Y94/J94,"0")</f>
        <v>1</v>
      </c>
    </row>
    <row r="95" spans="1:68" x14ac:dyDescent="0.2">
      <c r="A95" s="289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90"/>
      <c r="P95" s="286" t="s">
        <v>40</v>
      </c>
      <c r="Q95" s="287"/>
      <c r="R95" s="287"/>
      <c r="S95" s="287"/>
      <c r="T95" s="287"/>
      <c r="U95" s="287"/>
      <c r="V95" s="288"/>
      <c r="W95" s="40" t="s">
        <v>39</v>
      </c>
      <c r="X95" s="41">
        <f>IFERROR(SUM(X93:X94),"0")</f>
        <v>168</v>
      </c>
      <c r="Y95" s="41">
        <f>IFERROR(SUM(Y93:Y94),"0")</f>
        <v>168</v>
      </c>
      <c r="Z95" s="41">
        <f>IFERROR(IF(Z93="",0,Z93),"0")+IFERROR(IF(Z94="",0,Z94),"0")</f>
        <v>3.0038400000000003</v>
      </c>
      <c r="AA95" s="64"/>
      <c r="AB95" s="64"/>
      <c r="AC95" s="64"/>
    </row>
    <row r="96" spans="1:68" x14ac:dyDescent="0.2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0"/>
      <c r="P96" s="286" t="s">
        <v>40</v>
      </c>
      <c r="Q96" s="287"/>
      <c r="R96" s="287"/>
      <c r="S96" s="287"/>
      <c r="T96" s="287"/>
      <c r="U96" s="287"/>
      <c r="V96" s="288"/>
      <c r="W96" s="40" t="s">
        <v>0</v>
      </c>
      <c r="X96" s="41">
        <f>IFERROR(SUMPRODUCT(X93:X94*H93:H94),"0")</f>
        <v>604.79999999999995</v>
      </c>
      <c r="Y96" s="41">
        <f>IFERROR(SUMPRODUCT(Y93:Y94*H93:H94),"0")</f>
        <v>604.79999999999995</v>
      </c>
      <c r="Z96" s="40"/>
      <c r="AA96" s="64"/>
      <c r="AB96" s="64"/>
      <c r="AC96" s="64"/>
    </row>
    <row r="97" spans="1:68" ht="16.5" hidden="1" customHeight="1" x14ac:dyDescent="0.25">
      <c r="A97" s="310" t="s">
        <v>183</v>
      </c>
      <c r="B97" s="310"/>
      <c r="C97" s="310"/>
      <c r="D97" s="310"/>
      <c r="E97" s="310"/>
      <c r="F97" s="310"/>
      <c r="G97" s="310"/>
      <c r="H97" s="310"/>
      <c r="I97" s="310"/>
      <c r="J97" s="310"/>
      <c r="K97" s="310"/>
      <c r="L97" s="310"/>
      <c r="M97" s="310"/>
      <c r="N97" s="310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62"/>
      <c r="AB97" s="62"/>
      <c r="AC97" s="62"/>
    </row>
    <row r="98" spans="1:68" ht="14.25" hidden="1" customHeight="1" x14ac:dyDescent="0.25">
      <c r="A98" s="300" t="s">
        <v>156</v>
      </c>
      <c r="B98" s="300"/>
      <c r="C98" s="300"/>
      <c r="D98" s="300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  <c r="AA98" s="63"/>
      <c r="AB98" s="63"/>
      <c r="AC98" s="63"/>
    </row>
    <row r="99" spans="1:68" ht="27" customHeight="1" x14ac:dyDescent="0.25">
      <c r="A99" s="60" t="s">
        <v>184</v>
      </c>
      <c r="B99" s="60" t="s">
        <v>185</v>
      </c>
      <c r="C99" s="34">
        <v>4301135763</v>
      </c>
      <c r="D99" s="282">
        <v>4620207491027</v>
      </c>
      <c r="E99" s="282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117</v>
      </c>
      <c r="L99" s="35" t="s">
        <v>118</v>
      </c>
      <c r="M99" s="36" t="s">
        <v>86</v>
      </c>
      <c r="N99" s="36"/>
      <c r="O99" s="35">
        <v>180</v>
      </c>
      <c r="P99" s="36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4"/>
      <c r="R99" s="284"/>
      <c r="S99" s="284"/>
      <c r="T99" s="285"/>
      <c r="U99" s="37" t="s">
        <v>46</v>
      </c>
      <c r="V99" s="37" t="s">
        <v>46</v>
      </c>
      <c r="W99" s="38" t="s">
        <v>39</v>
      </c>
      <c r="X99" s="56">
        <v>70</v>
      </c>
      <c r="Y99" s="53">
        <f t="shared" ref="Y99:Y104" si="6">IFERROR(IF(X99="","",X99),"")</f>
        <v>70</v>
      </c>
      <c r="Z99" s="39">
        <f t="shared" ref="Z99:Z104" si="7">IFERROR(IF(X99="","",X99*0.01788),"")</f>
        <v>1.2516</v>
      </c>
      <c r="AA99" s="65" t="s">
        <v>46</v>
      </c>
      <c r="AB99" s="66" t="s">
        <v>46</v>
      </c>
      <c r="AC99" s="146" t="s">
        <v>174</v>
      </c>
      <c r="AG99" s="78"/>
      <c r="AJ99" s="82" t="s">
        <v>119</v>
      </c>
      <c r="AK99" s="82">
        <v>14</v>
      </c>
      <c r="BB99" s="147" t="s">
        <v>116</v>
      </c>
      <c r="BM99" s="78">
        <f t="shared" ref="BM99:BM104" si="8">IFERROR(X99*I99,"0")</f>
        <v>250.852</v>
      </c>
      <c r="BN99" s="78">
        <f t="shared" ref="BN99:BN104" si="9">IFERROR(Y99*I99,"0")</f>
        <v>250.852</v>
      </c>
      <c r="BO99" s="78">
        <f t="shared" ref="BO99:BO104" si="10">IFERROR(X99/J99,"0")</f>
        <v>1</v>
      </c>
      <c r="BP99" s="78">
        <f t="shared" ref="BP99:BP104" si="11">IFERROR(Y99/J99,"0")</f>
        <v>1</v>
      </c>
    </row>
    <row r="100" spans="1:68" ht="27" customHeight="1" x14ac:dyDescent="0.25">
      <c r="A100" s="60" t="s">
        <v>186</v>
      </c>
      <c r="B100" s="60" t="s">
        <v>187</v>
      </c>
      <c r="C100" s="34">
        <v>4301135793</v>
      </c>
      <c r="D100" s="282">
        <v>4620207491003</v>
      </c>
      <c r="E100" s="282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117</v>
      </c>
      <c r="L100" s="35" t="s">
        <v>118</v>
      </c>
      <c r="M100" s="36" t="s">
        <v>86</v>
      </c>
      <c r="N100" s="36"/>
      <c r="O100" s="35">
        <v>180</v>
      </c>
      <c r="P100" s="36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4"/>
      <c r="R100" s="284"/>
      <c r="S100" s="284"/>
      <c r="T100" s="285"/>
      <c r="U100" s="37" t="s">
        <v>46</v>
      </c>
      <c r="V100" s="37" t="s">
        <v>46</v>
      </c>
      <c r="W100" s="38" t="s">
        <v>39</v>
      </c>
      <c r="X100" s="56">
        <v>84</v>
      </c>
      <c r="Y100" s="53">
        <f t="shared" si="6"/>
        <v>84</v>
      </c>
      <c r="Z100" s="39">
        <f t="shared" si="7"/>
        <v>1.5019199999999999</v>
      </c>
      <c r="AA100" s="65" t="s">
        <v>46</v>
      </c>
      <c r="AB100" s="66" t="s">
        <v>46</v>
      </c>
      <c r="AC100" s="148" t="s">
        <v>174</v>
      </c>
      <c r="AG100" s="78"/>
      <c r="AJ100" s="82" t="s">
        <v>119</v>
      </c>
      <c r="AK100" s="82">
        <v>14</v>
      </c>
      <c r="BB100" s="149" t="s">
        <v>116</v>
      </c>
      <c r="BM100" s="78">
        <f t="shared" si="8"/>
        <v>301.0224</v>
      </c>
      <c r="BN100" s="78">
        <f t="shared" si="9"/>
        <v>301.0224</v>
      </c>
      <c r="BO100" s="78">
        <f t="shared" si="10"/>
        <v>1.2</v>
      </c>
      <c r="BP100" s="78">
        <f t="shared" si="11"/>
        <v>1.2</v>
      </c>
    </row>
    <row r="101" spans="1:68" ht="27" customHeight="1" x14ac:dyDescent="0.25">
      <c r="A101" s="60" t="s">
        <v>188</v>
      </c>
      <c r="B101" s="60" t="s">
        <v>189</v>
      </c>
      <c r="C101" s="34">
        <v>4301135768</v>
      </c>
      <c r="D101" s="282">
        <v>4620207491034</v>
      </c>
      <c r="E101" s="282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117</v>
      </c>
      <c r="L101" s="35" t="s">
        <v>118</v>
      </c>
      <c r="M101" s="36" t="s">
        <v>86</v>
      </c>
      <c r="N101" s="36"/>
      <c r="O101" s="35">
        <v>180</v>
      </c>
      <c r="P101" s="35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4"/>
      <c r="R101" s="284"/>
      <c r="S101" s="284"/>
      <c r="T101" s="285"/>
      <c r="U101" s="37" t="s">
        <v>46</v>
      </c>
      <c r="V101" s="37" t="s">
        <v>46</v>
      </c>
      <c r="W101" s="38" t="s">
        <v>39</v>
      </c>
      <c r="X101" s="56">
        <v>42</v>
      </c>
      <c r="Y101" s="53">
        <f t="shared" si="6"/>
        <v>42</v>
      </c>
      <c r="Z101" s="39">
        <f t="shared" si="7"/>
        <v>0.75095999999999996</v>
      </c>
      <c r="AA101" s="65" t="s">
        <v>46</v>
      </c>
      <c r="AB101" s="66" t="s">
        <v>46</v>
      </c>
      <c r="AC101" s="150" t="s">
        <v>190</v>
      </c>
      <c r="AG101" s="78"/>
      <c r="AJ101" s="82" t="s">
        <v>119</v>
      </c>
      <c r="AK101" s="82">
        <v>14</v>
      </c>
      <c r="BB101" s="151" t="s">
        <v>116</v>
      </c>
      <c r="BM101" s="78">
        <f t="shared" si="8"/>
        <v>150.5112</v>
      </c>
      <c r="BN101" s="78">
        <f t="shared" si="9"/>
        <v>150.5112</v>
      </c>
      <c r="BO101" s="78">
        <f t="shared" si="10"/>
        <v>0.6</v>
      </c>
      <c r="BP101" s="78">
        <f t="shared" si="11"/>
        <v>0.6</v>
      </c>
    </row>
    <row r="102" spans="1:68" ht="27" customHeight="1" x14ac:dyDescent="0.25">
      <c r="A102" s="60" t="s">
        <v>191</v>
      </c>
      <c r="B102" s="60" t="s">
        <v>192</v>
      </c>
      <c r="C102" s="34">
        <v>4301135760</v>
      </c>
      <c r="D102" s="282">
        <v>4620207491010</v>
      </c>
      <c r="E102" s="282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117</v>
      </c>
      <c r="L102" s="35" t="s">
        <v>118</v>
      </c>
      <c r="M102" s="36" t="s">
        <v>86</v>
      </c>
      <c r="N102" s="36"/>
      <c r="O102" s="35">
        <v>180</v>
      </c>
      <c r="P102" s="35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4"/>
      <c r="R102" s="284"/>
      <c r="S102" s="284"/>
      <c r="T102" s="285"/>
      <c r="U102" s="37" t="s">
        <v>46</v>
      </c>
      <c r="V102" s="37" t="s">
        <v>46</v>
      </c>
      <c r="W102" s="38" t="s">
        <v>39</v>
      </c>
      <c r="X102" s="56">
        <v>98</v>
      </c>
      <c r="Y102" s="53">
        <f t="shared" si="6"/>
        <v>98</v>
      </c>
      <c r="Z102" s="39">
        <f t="shared" si="7"/>
        <v>1.75224</v>
      </c>
      <c r="AA102" s="65" t="s">
        <v>46</v>
      </c>
      <c r="AB102" s="66" t="s">
        <v>46</v>
      </c>
      <c r="AC102" s="152" t="s">
        <v>174</v>
      </c>
      <c r="AG102" s="78"/>
      <c r="AJ102" s="82" t="s">
        <v>119</v>
      </c>
      <c r="AK102" s="82">
        <v>14</v>
      </c>
      <c r="BB102" s="153" t="s">
        <v>116</v>
      </c>
      <c r="BM102" s="78">
        <f t="shared" si="8"/>
        <v>351.19280000000003</v>
      </c>
      <c r="BN102" s="78">
        <f t="shared" si="9"/>
        <v>351.19280000000003</v>
      </c>
      <c r="BO102" s="78">
        <f t="shared" si="10"/>
        <v>1.4</v>
      </c>
      <c r="BP102" s="78">
        <f t="shared" si="11"/>
        <v>1.4</v>
      </c>
    </row>
    <row r="103" spans="1:68" ht="27" customHeight="1" x14ac:dyDescent="0.25">
      <c r="A103" s="60" t="s">
        <v>193</v>
      </c>
      <c r="B103" s="60" t="s">
        <v>194</v>
      </c>
      <c r="C103" s="34">
        <v>4301135571</v>
      </c>
      <c r="D103" s="282">
        <v>4607111035028</v>
      </c>
      <c r="E103" s="282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117</v>
      </c>
      <c r="L103" s="35" t="s">
        <v>118</v>
      </c>
      <c r="M103" s="36" t="s">
        <v>86</v>
      </c>
      <c r="N103" s="36"/>
      <c r="O103" s="35">
        <v>180</v>
      </c>
      <c r="P103" s="35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4"/>
      <c r="R103" s="284"/>
      <c r="S103" s="284"/>
      <c r="T103" s="285"/>
      <c r="U103" s="37" t="s">
        <v>46</v>
      </c>
      <c r="V103" s="37" t="s">
        <v>46</v>
      </c>
      <c r="W103" s="38" t="s">
        <v>39</v>
      </c>
      <c r="X103" s="56">
        <v>14</v>
      </c>
      <c r="Y103" s="53">
        <f t="shared" si="6"/>
        <v>14</v>
      </c>
      <c r="Z103" s="39">
        <f t="shared" si="7"/>
        <v>0.25031999999999999</v>
      </c>
      <c r="AA103" s="65" t="s">
        <v>46</v>
      </c>
      <c r="AB103" s="66" t="s">
        <v>46</v>
      </c>
      <c r="AC103" s="154" t="s">
        <v>174</v>
      </c>
      <c r="AG103" s="78"/>
      <c r="AJ103" s="82" t="s">
        <v>119</v>
      </c>
      <c r="AK103" s="82">
        <v>14</v>
      </c>
      <c r="BB103" s="155" t="s">
        <v>116</v>
      </c>
      <c r="BM103" s="78">
        <f t="shared" si="8"/>
        <v>62.283200000000008</v>
      </c>
      <c r="BN103" s="78">
        <f t="shared" si="9"/>
        <v>62.283200000000008</v>
      </c>
      <c r="BO103" s="78">
        <f t="shared" si="10"/>
        <v>0.2</v>
      </c>
      <c r="BP103" s="78">
        <f t="shared" si="11"/>
        <v>0.2</v>
      </c>
    </row>
    <row r="104" spans="1:68" ht="27" hidden="1" customHeight="1" x14ac:dyDescent="0.25">
      <c r="A104" s="60" t="s">
        <v>195</v>
      </c>
      <c r="B104" s="60" t="s">
        <v>196</v>
      </c>
      <c r="C104" s="34">
        <v>4301135285</v>
      </c>
      <c r="D104" s="282">
        <v>4607111036407</v>
      </c>
      <c r="E104" s="282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117</v>
      </c>
      <c r="L104" s="35" t="s">
        <v>118</v>
      </c>
      <c r="M104" s="36" t="s">
        <v>86</v>
      </c>
      <c r="N104" s="36"/>
      <c r="O104" s="35">
        <v>180</v>
      </c>
      <c r="P104" s="36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4"/>
      <c r="R104" s="284"/>
      <c r="S104" s="284"/>
      <c r="T104" s="285"/>
      <c r="U104" s="37" t="s">
        <v>46</v>
      </c>
      <c r="V104" s="37" t="s">
        <v>46</v>
      </c>
      <c r="W104" s="38" t="s">
        <v>39</v>
      </c>
      <c r="X104" s="56"/>
      <c r="Y104" s="53" t="str">
        <f t="shared" si="6"/>
        <v/>
      </c>
      <c r="Z104" s="39" t="str">
        <f t="shared" si="7"/>
        <v/>
      </c>
      <c r="AA104" s="65" t="s">
        <v>46</v>
      </c>
      <c r="AB104" s="66" t="s">
        <v>46</v>
      </c>
      <c r="AC104" s="156" t="s">
        <v>197</v>
      </c>
      <c r="AG104" s="78"/>
      <c r="AJ104" s="82" t="s">
        <v>119</v>
      </c>
      <c r="AK104" s="82">
        <v>14</v>
      </c>
      <c r="BB104" s="157" t="s">
        <v>116</v>
      </c>
      <c r="BM104" s="78">
        <f t="shared" si="8"/>
        <v>0</v>
      </c>
      <c r="BN104" s="78" t="str">
        <f t="shared" si="9"/>
        <v>0</v>
      </c>
      <c r="BO104" s="78">
        <f t="shared" si="10"/>
        <v>0</v>
      </c>
      <c r="BP104" s="78" t="str">
        <f t="shared" si="11"/>
        <v>0</v>
      </c>
    </row>
    <row r="105" spans="1:68" x14ac:dyDescent="0.2">
      <c r="A105" s="289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0"/>
      <c r="P105" s="286" t="s">
        <v>40</v>
      </c>
      <c r="Q105" s="287"/>
      <c r="R105" s="287"/>
      <c r="S105" s="287"/>
      <c r="T105" s="287"/>
      <c r="U105" s="287"/>
      <c r="V105" s="288"/>
      <c r="W105" s="40" t="s">
        <v>39</v>
      </c>
      <c r="X105" s="41">
        <f>IFERROR(SUM(X99:X104),"0")</f>
        <v>308</v>
      </c>
      <c r="Y105" s="41">
        <f>IFERROR(SUM(Y99:Y104),"0")</f>
        <v>308</v>
      </c>
      <c r="Z105" s="41">
        <f>IFERROR(IF(Z99="",0,Z99),"0")+IFERROR(IF(Z100="",0,Z100),"0")+IFERROR(IF(Z101="",0,Z101),"0")+IFERROR(IF(Z102="",0,Z102),"0")+IFERROR(IF(Z103="",0,Z103),"0")+IFERROR(IF(Z104="",0,Z104),"0")</f>
        <v>5.5070399999999999</v>
      </c>
      <c r="AA105" s="64"/>
      <c r="AB105" s="64"/>
      <c r="AC105" s="64"/>
    </row>
    <row r="106" spans="1:68" x14ac:dyDescent="0.2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90"/>
      <c r="P106" s="286" t="s">
        <v>40</v>
      </c>
      <c r="Q106" s="287"/>
      <c r="R106" s="287"/>
      <c r="S106" s="287"/>
      <c r="T106" s="287"/>
      <c r="U106" s="287"/>
      <c r="V106" s="288"/>
      <c r="W106" s="40" t="s">
        <v>0</v>
      </c>
      <c r="X106" s="41">
        <f>IFERROR(SUMPRODUCT(X99:X104*H99:H104),"0")</f>
        <v>900.48</v>
      </c>
      <c r="Y106" s="41" t="str">
        <f>IFERROR(SUMPRODUCT(Y99:Y104*H99:H104),"0")</f>
        <v>0</v>
      </c>
      <c r="Z106" s="40"/>
      <c r="AA106" s="64"/>
      <c r="AB106" s="64"/>
      <c r="AC106" s="64"/>
    </row>
    <row r="107" spans="1:68" ht="16.5" hidden="1" customHeight="1" x14ac:dyDescent="0.25">
      <c r="A107" s="310" t="s">
        <v>198</v>
      </c>
      <c r="B107" s="310"/>
      <c r="C107" s="310"/>
      <c r="D107" s="310"/>
      <c r="E107" s="310"/>
      <c r="F107" s="310"/>
      <c r="G107" s="310"/>
      <c r="H107" s="310"/>
      <c r="I107" s="310"/>
      <c r="J107" s="310"/>
      <c r="K107" s="310"/>
      <c r="L107" s="310"/>
      <c r="M107" s="310"/>
      <c r="N107" s="310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62"/>
      <c r="AB107" s="62"/>
      <c r="AC107" s="62"/>
    </row>
    <row r="108" spans="1:68" ht="14.25" hidden="1" customHeight="1" x14ac:dyDescent="0.25">
      <c r="A108" s="300" t="s">
        <v>150</v>
      </c>
      <c r="B108" s="300"/>
      <c r="C108" s="300"/>
      <c r="D108" s="300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  <c r="AA108" s="63"/>
      <c r="AB108" s="63"/>
      <c r="AC108" s="63"/>
    </row>
    <row r="109" spans="1:68" ht="27" hidden="1" customHeight="1" x14ac:dyDescent="0.25">
      <c r="A109" s="60" t="s">
        <v>199</v>
      </c>
      <c r="B109" s="60" t="s">
        <v>200</v>
      </c>
      <c r="C109" s="34">
        <v>4301136070</v>
      </c>
      <c r="D109" s="282">
        <v>4607025784012</v>
      </c>
      <c r="E109" s="282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117</v>
      </c>
      <c r="L109" s="35" t="s">
        <v>118</v>
      </c>
      <c r="M109" s="36" t="s">
        <v>86</v>
      </c>
      <c r="N109" s="36"/>
      <c r="O109" s="35">
        <v>180</v>
      </c>
      <c r="P109" s="35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4"/>
      <c r="R109" s="284"/>
      <c r="S109" s="284"/>
      <c r="T109" s="285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119</v>
      </c>
      <c r="AK109" s="82">
        <v>14</v>
      </c>
      <c r="BB109" s="159" t="s">
        <v>116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202</v>
      </c>
      <c r="B110" s="60" t="s">
        <v>203</v>
      </c>
      <c r="C110" s="34">
        <v>4301136079</v>
      </c>
      <c r="D110" s="282">
        <v>4607025784319</v>
      </c>
      <c r="E110" s="282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117</v>
      </c>
      <c r="L110" s="35" t="s">
        <v>118</v>
      </c>
      <c r="M110" s="36" t="s">
        <v>86</v>
      </c>
      <c r="N110" s="36"/>
      <c r="O110" s="35">
        <v>180</v>
      </c>
      <c r="P110" s="35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4"/>
      <c r="R110" s="284"/>
      <c r="S110" s="284"/>
      <c r="T110" s="285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174</v>
      </c>
      <c r="AG110" s="78"/>
      <c r="AJ110" s="82" t="s">
        <v>119</v>
      </c>
      <c r="AK110" s="82">
        <v>14</v>
      </c>
      <c r="BB110" s="161" t="s">
        <v>116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t="12.75" hidden="1" customHeight="1" x14ac:dyDescent="0.2">
      <c r="A111" s="289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0"/>
      <c r="P111" s="286" t="s">
        <v>40</v>
      </c>
      <c r="Q111" s="287"/>
      <c r="R111" s="287"/>
      <c r="S111" s="287"/>
      <c r="T111" s="287"/>
      <c r="U111" s="287"/>
      <c r="V111" s="288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t="12.75" hidden="1" customHeight="1" x14ac:dyDescent="0.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90"/>
      <c r="P112" s="286" t="s">
        <v>40</v>
      </c>
      <c r="Q112" s="287"/>
      <c r="R112" s="287"/>
      <c r="S112" s="287"/>
      <c r="T112" s="287"/>
      <c r="U112" s="287"/>
      <c r="V112" s="288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10" t="s">
        <v>204</v>
      </c>
      <c r="B113" s="310"/>
      <c r="C113" s="310"/>
      <c r="D113" s="310"/>
      <c r="E113" s="310"/>
      <c r="F113" s="310"/>
      <c r="G113" s="310"/>
      <c r="H113" s="310"/>
      <c r="I113" s="310"/>
      <c r="J113" s="310"/>
      <c r="K113" s="310"/>
      <c r="L113" s="310"/>
      <c r="M113" s="310"/>
      <c r="N113" s="310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62"/>
      <c r="AB113" s="62"/>
      <c r="AC113" s="62"/>
    </row>
    <row r="114" spans="1:68" ht="14.25" hidden="1" customHeight="1" x14ac:dyDescent="0.25">
      <c r="A114" s="300" t="s">
        <v>82</v>
      </c>
      <c r="B114" s="300"/>
      <c r="C114" s="300"/>
      <c r="D114" s="300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  <c r="AA114" s="63"/>
      <c r="AB114" s="63"/>
      <c r="AC114" s="63"/>
    </row>
    <row r="115" spans="1:68" ht="27" hidden="1" customHeight="1" x14ac:dyDescent="0.25">
      <c r="A115" s="60" t="s">
        <v>205</v>
      </c>
      <c r="B115" s="60" t="s">
        <v>206</v>
      </c>
      <c r="C115" s="34">
        <v>4301071074</v>
      </c>
      <c r="D115" s="282">
        <v>4620207491157</v>
      </c>
      <c r="E115" s="282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118</v>
      </c>
      <c r="M115" s="36" t="s">
        <v>86</v>
      </c>
      <c r="N115" s="36"/>
      <c r="O115" s="35">
        <v>180</v>
      </c>
      <c r="P115" s="3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4"/>
      <c r="R115" s="284"/>
      <c r="S115" s="284"/>
      <c r="T115" s="285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119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4301071121</v>
      </c>
      <c r="D116" s="282">
        <v>4620207491393</v>
      </c>
      <c r="E116" s="282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5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4"/>
      <c r="R116" s="284"/>
      <c r="S116" s="284"/>
      <c r="T116" s="285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211</v>
      </c>
      <c r="B117" s="60" t="s">
        <v>212</v>
      </c>
      <c r="C117" s="34">
        <v>4301071051</v>
      </c>
      <c r="D117" s="282">
        <v>4607111039262</v>
      </c>
      <c r="E117" s="282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118</v>
      </c>
      <c r="M117" s="36" t="s">
        <v>86</v>
      </c>
      <c r="N117" s="36"/>
      <c r="O117" s="35">
        <v>180</v>
      </c>
      <c r="P117" s="35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4"/>
      <c r="R117" s="284"/>
      <c r="S117" s="284"/>
      <c r="T117" s="285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167</v>
      </c>
      <c r="AG117" s="78"/>
      <c r="AJ117" s="82" t="s">
        <v>119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hidden="1" customHeight="1" x14ac:dyDescent="0.25">
      <c r="A118" s="60" t="s">
        <v>213</v>
      </c>
      <c r="B118" s="60" t="s">
        <v>214</v>
      </c>
      <c r="C118" s="34">
        <v>4301071038</v>
      </c>
      <c r="D118" s="282">
        <v>4607111039248</v>
      </c>
      <c r="E118" s="282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118</v>
      </c>
      <c r="M118" s="36" t="s">
        <v>86</v>
      </c>
      <c r="N118" s="36"/>
      <c r="O118" s="35">
        <v>180</v>
      </c>
      <c r="P118" s="35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4"/>
      <c r="R118" s="284"/>
      <c r="S118" s="284"/>
      <c r="T118" s="285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167</v>
      </c>
      <c r="AG118" s="78"/>
      <c r="AJ118" s="82" t="s">
        <v>119</v>
      </c>
      <c r="AK118" s="82">
        <v>12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4301070979</v>
      </c>
      <c r="D119" s="282">
        <v>4607111037145</v>
      </c>
      <c r="E119" s="282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34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4"/>
      <c r="R119" s="284"/>
      <c r="S119" s="284"/>
      <c r="T119" s="285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hidden="1" customHeight="1" x14ac:dyDescent="0.25">
      <c r="A120" s="60" t="s">
        <v>218</v>
      </c>
      <c r="B120" s="60" t="s">
        <v>219</v>
      </c>
      <c r="C120" s="34">
        <v>4301071049</v>
      </c>
      <c r="D120" s="282">
        <v>4607111039293</v>
      </c>
      <c r="E120" s="282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87</v>
      </c>
      <c r="L120" s="35" t="s">
        <v>118</v>
      </c>
      <c r="M120" s="36" t="s">
        <v>86</v>
      </c>
      <c r="N120" s="36"/>
      <c r="O120" s="35">
        <v>180</v>
      </c>
      <c r="P120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4"/>
      <c r="R120" s="284"/>
      <c r="S120" s="284"/>
      <c r="T120" s="285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167</v>
      </c>
      <c r="AG120" s="78"/>
      <c r="AJ120" s="82" t="s">
        <v>119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ht="27" hidden="1" customHeight="1" x14ac:dyDescent="0.25">
      <c r="A121" s="60" t="s">
        <v>220</v>
      </c>
      <c r="B121" s="60" t="s">
        <v>221</v>
      </c>
      <c r="C121" s="34">
        <v>4301071039</v>
      </c>
      <c r="D121" s="282">
        <v>4607111039279</v>
      </c>
      <c r="E121" s="282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87</v>
      </c>
      <c r="L121" s="35" t="s">
        <v>118</v>
      </c>
      <c r="M121" s="36" t="s">
        <v>86</v>
      </c>
      <c r="N121" s="36"/>
      <c r="O121" s="35">
        <v>180</v>
      </c>
      <c r="P121" s="35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4"/>
      <c r="R121" s="284"/>
      <c r="S121" s="284"/>
      <c r="T121" s="285"/>
      <c r="U121" s="37" t="s">
        <v>46</v>
      </c>
      <c r="V121" s="37" t="s">
        <v>46</v>
      </c>
      <c r="W121" s="38" t="s">
        <v>39</v>
      </c>
      <c r="X121" s="56">
        <v>0</v>
      </c>
      <c r="Y121" s="53">
        <f t="shared" si="12"/>
        <v>0</v>
      </c>
      <c r="Z121" s="39">
        <f t="shared" si="13"/>
        <v>0</v>
      </c>
      <c r="AA121" s="65" t="s">
        <v>46</v>
      </c>
      <c r="AB121" s="66" t="s">
        <v>46</v>
      </c>
      <c r="AC121" s="174" t="s">
        <v>167</v>
      </c>
      <c r="AG121" s="78"/>
      <c r="AJ121" s="82" t="s">
        <v>119</v>
      </c>
      <c r="AK121" s="82">
        <v>12</v>
      </c>
      <c r="BB121" s="175" t="s">
        <v>70</v>
      </c>
      <c r="BM121" s="78">
        <f t="shared" si="14"/>
        <v>0</v>
      </c>
      <c r="BN121" s="78">
        <f t="shared" si="15"/>
        <v>0</v>
      </c>
      <c r="BO121" s="78">
        <f t="shared" si="16"/>
        <v>0</v>
      </c>
      <c r="BP121" s="78">
        <f t="shared" si="17"/>
        <v>0</v>
      </c>
    </row>
    <row r="122" spans="1:68" hidden="1" x14ac:dyDescent="0.2">
      <c r="A122" s="289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0"/>
      <c r="P122" s="286" t="s">
        <v>40</v>
      </c>
      <c r="Q122" s="287"/>
      <c r="R122" s="287"/>
      <c r="S122" s="287"/>
      <c r="T122" s="287"/>
      <c r="U122" s="287"/>
      <c r="V122" s="288"/>
      <c r="W122" s="40" t="s">
        <v>39</v>
      </c>
      <c r="X122" s="41">
        <f>IFERROR(SUM(X115:X121),"0")</f>
        <v>0</v>
      </c>
      <c r="Y122" s="41">
        <f>IFERROR(SUM(Y115:Y121),"0")</f>
        <v>0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0</v>
      </c>
      <c r="AA122" s="64"/>
      <c r="AB122" s="64"/>
      <c r="AC122" s="64"/>
    </row>
    <row r="123" spans="1:68" hidden="1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0"/>
      <c r="P123" s="286" t="s">
        <v>40</v>
      </c>
      <c r="Q123" s="287"/>
      <c r="R123" s="287"/>
      <c r="S123" s="287"/>
      <c r="T123" s="287"/>
      <c r="U123" s="287"/>
      <c r="V123" s="288"/>
      <c r="W123" s="40" t="s">
        <v>0</v>
      </c>
      <c r="X123" s="41">
        <f>IFERROR(SUMPRODUCT(X115:X121*H115:H121),"0")</f>
        <v>0</v>
      </c>
      <c r="Y123" s="41">
        <f>IFERROR(SUMPRODUCT(Y115:Y121*H115:H121),"0")</f>
        <v>0</v>
      </c>
      <c r="Z123" s="40"/>
      <c r="AA123" s="64"/>
      <c r="AB123" s="64"/>
      <c r="AC123" s="64"/>
    </row>
    <row r="124" spans="1:68" ht="14.25" hidden="1" customHeight="1" x14ac:dyDescent="0.25">
      <c r="A124" s="300" t="s">
        <v>156</v>
      </c>
      <c r="B124" s="300"/>
      <c r="C124" s="300"/>
      <c r="D124" s="300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  <c r="AA124" s="63"/>
      <c r="AB124" s="63"/>
      <c r="AC124" s="63"/>
    </row>
    <row r="125" spans="1:68" ht="27" hidden="1" customHeight="1" x14ac:dyDescent="0.25">
      <c r="A125" s="60" t="s">
        <v>222</v>
      </c>
      <c r="B125" s="60" t="s">
        <v>223</v>
      </c>
      <c r="C125" s="34">
        <v>4301135826</v>
      </c>
      <c r="D125" s="282">
        <v>4620207490983</v>
      </c>
      <c r="E125" s="282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117</v>
      </c>
      <c r="L125" s="35" t="s">
        <v>88</v>
      </c>
      <c r="M125" s="36" t="s">
        <v>86</v>
      </c>
      <c r="N125" s="36"/>
      <c r="O125" s="35">
        <v>180</v>
      </c>
      <c r="P125" s="34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4"/>
      <c r="R125" s="284"/>
      <c r="S125" s="284"/>
      <c r="T125" s="285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IFERROR(IF(X125="","",X125*0.01788),"")</f>
        <v>0</v>
      </c>
      <c r="AA125" s="65" t="s">
        <v>46</v>
      </c>
      <c r="AB125" s="66" t="s">
        <v>46</v>
      </c>
      <c r="AC125" s="176" t="s">
        <v>224</v>
      </c>
      <c r="AG125" s="78"/>
      <c r="AJ125" s="82" t="s">
        <v>89</v>
      </c>
      <c r="AK125" s="82">
        <v>1</v>
      </c>
      <c r="BB125" s="177" t="s">
        <v>116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t="12.75" hidden="1" customHeight="1" x14ac:dyDescent="0.2">
      <c r="A126" s="289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0"/>
      <c r="P126" s="286" t="s">
        <v>40</v>
      </c>
      <c r="Q126" s="287"/>
      <c r="R126" s="287"/>
      <c r="S126" s="287"/>
      <c r="T126" s="287"/>
      <c r="U126" s="287"/>
      <c r="V126" s="288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t="12.75" hidden="1" customHeight="1" x14ac:dyDescent="0.2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0"/>
      <c r="P127" s="286" t="s">
        <v>40</v>
      </c>
      <c r="Q127" s="287"/>
      <c r="R127" s="287"/>
      <c r="S127" s="287"/>
      <c r="T127" s="287"/>
      <c r="U127" s="287"/>
      <c r="V127" s="288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4.25" hidden="1" customHeight="1" x14ac:dyDescent="0.25">
      <c r="A128" s="300" t="s">
        <v>225</v>
      </c>
      <c r="B128" s="300"/>
      <c r="C128" s="300"/>
      <c r="D128" s="300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  <c r="AA128" s="63"/>
      <c r="AB128" s="63"/>
      <c r="AC128" s="63"/>
    </row>
    <row r="129" spans="1:68" ht="27" hidden="1" customHeight="1" x14ac:dyDescent="0.25">
      <c r="A129" s="60" t="s">
        <v>226</v>
      </c>
      <c r="B129" s="60" t="s">
        <v>227</v>
      </c>
      <c r="C129" s="34">
        <v>4301071094</v>
      </c>
      <c r="D129" s="282">
        <v>4620207491140</v>
      </c>
      <c r="E129" s="282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87</v>
      </c>
      <c r="L129" s="35" t="s">
        <v>88</v>
      </c>
      <c r="M129" s="36" t="s">
        <v>86</v>
      </c>
      <c r="N129" s="36"/>
      <c r="O129" s="35">
        <v>180</v>
      </c>
      <c r="P129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4"/>
      <c r="R129" s="284"/>
      <c r="S129" s="284"/>
      <c r="T129" s="285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89</v>
      </c>
      <c r="AK129" s="82">
        <v>1</v>
      </c>
      <c r="BB129" s="179" t="s">
        <v>116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12.75" hidden="1" customHeight="1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ht="12.75" hidden="1" customHeight="1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286" t="s">
        <v>40</v>
      </c>
      <c r="Q131" s="287"/>
      <c r="R131" s="287"/>
      <c r="S131" s="287"/>
      <c r="T131" s="287"/>
      <c r="U131" s="287"/>
      <c r="V131" s="288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hidden="1" customHeight="1" x14ac:dyDescent="0.25">
      <c r="A132" s="310" t="s">
        <v>229</v>
      </c>
      <c r="B132" s="310"/>
      <c r="C132" s="310"/>
      <c r="D132" s="310"/>
      <c r="E132" s="310"/>
      <c r="F132" s="310"/>
      <c r="G132" s="310"/>
      <c r="H132" s="310"/>
      <c r="I132" s="310"/>
      <c r="J132" s="310"/>
      <c r="K132" s="310"/>
      <c r="L132" s="310"/>
      <c r="M132" s="310"/>
      <c r="N132" s="310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62"/>
      <c r="AB132" s="62"/>
      <c r="AC132" s="62"/>
    </row>
    <row r="133" spans="1:68" ht="14.25" hidden="1" customHeight="1" x14ac:dyDescent="0.25">
      <c r="A133" s="300" t="s">
        <v>230</v>
      </c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63"/>
      <c r="AB133" s="63"/>
      <c r="AC133" s="63"/>
    </row>
    <row r="134" spans="1:68" ht="27" hidden="1" customHeight="1" x14ac:dyDescent="0.25">
      <c r="A134" s="60" t="s">
        <v>231</v>
      </c>
      <c r="B134" s="60" t="s">
        <v>232</v>
      </c>
      <c r="C134" s="34">
        <v>4301190117</v>
      </c>
      <c r="D134" s="282">
        <v>4620207491386</v>
      </c>
      <c r="E134" s="282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117</v>
      </c>
      <c r="L134" s="35" t="s">
        <v>88</v>
      </c>
      <c r="M134" s="36" t="s">
        <v>86</v>
      </c>
      <c r="N134" s="36"/>
      <c r="O134" s="35">
        <v>180</v>
      </c>
      <c r="P134" s="345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284"/>
      <c r="R134" s="284"/>
      <c r="S134" s="284"/>
      <c r="T134" s="285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89</v>
      </c>
      <c r="AK134" s="82">
        <v>1</v>
      </c>
      <c r="BB134" s="181" t="s">
        <v>116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12.75" hidden="1" customHeight="1" x14ac:dyDescent="0.2">
      <c r="A135" s="289"/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90"/>
      <c r="P135" s="286" t="s">
        <v>40</v>
      </c>
      <c r="Q135" s="287"/>
      <c r="R135" s="287"/>
      <c r="S135" s="287"/>
      <c r="T135" s="287"/>
      <c r="U135" s="287"/>
      <c r="V135" s="288"/>
      <c r="W135" s="40" t="s">
        <v>39</v>
      </c>
      <c r="X135" s="41">
        <f>IFERROR(SUM(X134:X134),"0")</f>
        <v>0</v>
      </c>
      <c r="Y135" s="41">
        <f>IFERROR(SUM(Y134:Y134),"0")</f>
        <v>0</v>
      </c>
      <c r="Z135" s="41">
        <f>IFERROR(IF(Z134="",0,Z134),"0")</f>
        <v>0</v>
      </c>
      <c r="AA135" s="64"/>
      <c r="AB135" s="64"/>
      <c r="AC135" s="64"/>
    </row>
    <row r="136" spans="1:68" ht="12.75" hidden="1" customHeight="1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0" t="s">
        <v>0</v>
      </c>
      <c r="X136" s="41">
        <f>IFERROR(SUMPRODUCT(X134:X134*H134:H134),"0")</f>
        <v>0</v>
      </c>
      <c r="Y136" s="41">
        <f>IFERROR(SUMPRODUCT(Y134:Y134*H134:H134),"0")</f>
        <v>0</v>
      </c>
      <c r="Z136" s="40"/>
      <c r="AA136" s="64"/>
      <c r="AB136" s="64"/>
      <c r="AC136" s="64"/>
    </row>
    <row r="137" spans="1:68" ht="16.5" hidden="1" customHeight="1" x14ac:dyDescent="0.25">
      <c r="A137" s="310" t="s">
        <v>234</v>
      </c>
      <c r="B137" s="310"/>
      <c r="C137" s="310"/>
      <c r="D137" s="310"/>
      <c r="E137" s="310"/>
      <c r="F137" s="310"/>
      <c r="G137" s="310"/>
      <c r="H137" s="310"/>
      <c r="I137" s="310"/>
      <c r="J137" s="310"/>
      <c r="K137" s="310"/>
      <c r="L137" s="310"/>
      <c r="M137" s="310"/>
      <c r="N137" s="310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62"/>
      <c r="AB137" s="62"/>
      <c r="AC137" s="62"/>
    </row>
    <row r="138" spans="1:68" ht="14.25" hidden="1" customHeight="1" x14ac:dyDescent="0.25">
      <c r="A138" s="300" t="s">
        <v>156</v>
      </c>
      <c r="B138" s="300"/>
      <c r="C138" s="300"/>
      <c r="D138" s="300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  <c r="AA138" s="63"/>
      <c r="AB138" s="63"/>
      <c r="AC138" s="63"/>
    </row>
    <row r="139" spans="1:68" ht="27" hidden="1" customHeight="1" x14ac:dyDescent="0.25">
      <c r="A139" s="60" t="s">
        <v>235</v>
      </c>
      <c r="B139" s="60" t="s">
        <v>236</v>
      </c>
      <c r="C139" s="34">
        <v>4301135865</v>
      </c>
      <c r="D139" s="282">
        <v>4620207491485</v>
      </c>
      <c r="E139" s="282"/>
      <c r="F139" s="59">
        <v>0.23</v>
      </c>
      <c r="G139" s="35">
        <v>6</v>
      </c>
      <c r="H139" s="59">
        <v>1.38</v>
      </c>
      <c r="I139" s="59">
        <v>1.8</v>
      </c>
      <c r="J139" s="35">
        <v>140</v>
      </c>
      <c r="K139" s="35" t="s">
        <v>117</v>
      </c>
      <c r="L139" s="35" t="s">
        <v>88</v>
      </c>
      <c r="M139" s="36" t="s">
        <v>86</v>
      </c>
      <c r="N139" s="36"/>
      <c r="O139" s="35">
        <v>180</v>
      </c>
      <c r="P139" s="342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284"/>
      <c r="R139" s="284"/>
      <c r="S139" s="284"/>
      <c r="T139" s="285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82" t="s">
        <v>237</v>
      </c>
      <c r="AG139" s="78"/>
      <c r="AJ139" s="82" t="s">
        <v>89</v>
      </c>
      <c r="AK139" s="82">
        <v>1</v>
      </c>
      <c r="BB139" s="183" t="s">
        <v>116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238</v>
      </c>
      <c r="B140" s="60" t="s">
        <v>239</v>
      </c>
      <c r="C140" s="34">
        <v>4301135555</v>
      </c>
      <c r="D140" s="282">
        <v>4607111034014</v>
      </c>
      <c r="E140" s="282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117</v>
      </c>
      <c r="L140" s="35" t="s">
        <v>118</v>
      </c>
      <c r="M140" s="36" t="s">
        <v>86</v>
      </c>
      <c r="N140" s="36"/>
      <c r="O140" s="35">
        <v>180</v>
      </c>
      <c r="P140" s="34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284"/>
      <c r="R140" s="284"/>
      <c r="S140" s="284"/>
      <c r="T140" s="285"/>
      <c r="U140" s="37" t="s">
        <v>46</v>
      </c>
      <c r="V140" s="37" t="s">
        <v>46</v>
      </c>
      <c r="W140" s="38" t="s">
        <v>39</v>
      </c>
      <c r="X140" s="56">
        <v>126</v>
      </c>
      <c r="Y140" s="53">
        <f>IFERROR(IF(X140="","",X140),"")</f>
        <v>126</v>
      </c>
      <c r="Z140" s="39">
        <f>IFERROR(IF(X140="","",X140*0.01788),"")</f>
        <v>2.2528800000000002</v>
      </c>
      <c r="AA140" s="65" t="s">
        <v>46</v>
      </c>
      <c r="AB140" s="66" t="s">
        <v>46</v>
      </c>
      <c r="AC140" s="184" t="s">
        <v>240</v>
      </c>
      <c r="AG140" s="78"/>
      <c r="AJ140" s="82" t="s">
        <v>119</v>
      </c>
      <c r="AK140" s="82">
        <v>14</v>
      </c>
      <c r="BB140" s="185" t="s">
        <v>116</v>
      </c>
      <c r="BM140" s="78">
        <f>IFERROR(X140*I140,"0")</f>
        <v>466.65359999999998</v>
      </c>
      <c r="BN140" s="78">
        <f>IFERROR(Y140*I140,"0")</f>
        <v>466.65359999999998</v>
      </c>
      <c r="BO140" s="78">
        <f>IFERROR(X140/J140,"0")</f>
        <v>1.8</v>
      </c>
      <c r="BP140" s="78">
        <f>IFERROR(Y140/J140,"0")</f>
        <v>1.8</v>
      </c>
    </row>
    <row r="141" spans="1:68" ht="27" customHeight="1" x14ac:dyDescent="0.25">
      <c r="A141" s="60" t="s">
        <v>241</v>
      </c>
      <c r="B141" s="60" t="s">
        <v>242</v>
      </c>
      <c r="C141" s="34">
        <v>4301135532</v>
      </c>
      <c r="D141" s="282">
        <v>4607111033994</v>
      </c>
      <c r="E141" s="282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117</v>
      </c>
      <c r="L141" s="35" t="s">
        <v>118</v>
      </c>
      <c r="M141" s="36" t="s">
        <v>86</v>
      </c>
      <c r="N141" s="36"/>
      <c r="O141" s="35">
        <v>180</v>
      </c>
      <c r="P141" s="34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284"/>
      <c r="R141" s="284"/>
      <c r="S141" s="284"/>
      <c r="T141" s="285"/>
      <c r="U141" s="37" t="s">
        <v>46</v>
      </c>
      <c r="V141" s="37" t="s">
        <v>46</v>
      </c>
      <c r="W141" s="38" t="s">
        <v>39</v>
      </c>
      <c r="X141" s="56">
        <v>126</v>
      </c>
      <c r="Y141" s="53">
        <f>IFERROR(IF(X141="","",X141),"")</f>
        <v>126</v>
      </c>
      <c r="Z141" s="39">
        <f>IFERROR(IF(X141="","",X141*0.01788),"")</f>
        <v>2.2528800000000002</v>
      </c>
      <c r="AA141" s="65" t="s">
        <v>46</v>
      </c>
      <c r="AB141" s="66" t="s">
        <v>46</v>
      </c>
      <c r="AC141" s="186" t="s">
        <v>174</v>
      </c>
      <c r="AG141" s="78"/>
      <c r="AJ141" s="82" t="s">
        <v>119</v>
      </c>
      <c r="AK141" s="82">
        <v>14</v>
      </c>
      <c r="BB141" s="187" t="s">
        <v>116</v>
      </c>
      <c r="BM141" s="78">
        <f>IFERROR(X141*I141,"0")</f>
        <v>466.65359999999998</v>
      </c>
      <c r="BN141" s="78">
        <f>IFERROR(Y141*I141,"0")</f>
        <v>466.65359999999998</v>
      </c>
      <c r="BO141" s="78">
        <f>IFERROR(X141/J141,"0")</f>
        <v>1.8</v>
      </c>
      <c r="BP141" s="78">
        <f>IFERROR(Y141/J141,"0")</f>
        <v>1.8</v>
      </c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0" t="s">
        <v>39</v>
      </c>
      <c r="X142" s="41">
        <f>IFERROR(SUM(X139:X141),"0")</f>
        <v>252</v>
      </c>
      <c r="Y142" s="41">
        <f>IFERROR(SUM(Y139:Y141),"0")</f>
        <v>252</v>
      </c>
      <c r="Z142" s="41">
        <f>IFERROR(IF(Z139="",0,Z139),"0")+IFERROR(IF(Z140="",0,Z140),"0")+IFERROR(IF(Z141="",0,Z141),"0")</f>
        <v>4.5057600000000004</v>
      </c>
      <c r="AA142" s="64"/>
      <c r="AB142" s="64"/>
      <c r="AC142" s="64"/>
    </row>
    <row r="143" spans="1:68" x14ac:dyDescent="0.2">
      <c r="A143" s="289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0"/>
      <c r="P143" s="286" t="s">
        <v>40</v>
      </c>
      <c r="Q143" s="287"/>
      <c r="R143" s="287"/>
      <c r="S143" s="287"/>
      <c r="T143" s="287"/>
      <c r="U143" s="287"/>
      <c r="V143" s="288"/>
      <c r="W143" s="40" t="s">
        <v>0</v>
      </c>
      <c r="X143" s="41">
        <f>IFERROR(SUMPRODUCT(X139:X141*H139:H141),"0")</f>
        <v>756</v>
      </c>
      <c r="Y143" s="41">
        <f>IFERROR(SUMPRODUCT(Y139:Y141*H139:H141),"0")</f>
        <v>756</v>
      </c>
      <c r="Z143" s="40"/>
      <c r="AA143" s="64"/>
      <c r="AB143" s="64"/>
      <c r="AC143" s="64"/>
    </row>
    <row r="144" spans="1:68" ht="16.5" hidden="1" customHeight="1" x14ac:dyDescent="0.25">
      <c r="A144" s="310" t="s">
        <v>243</v>
      </c>
      <c r="B144" s="310"/>
      <c r="C144" s="310"/>
      <c r="D144" s="310"/>
      <c r="E144" s="310"/>
      <c r="F144" s="310"/>
      <c r="G144" s="310"/>
      <c r="H144" s="310"/>
      <c r="I144" s="310"/>
      <c r="J144" s="310"/>
      <c r="K144" s="310"/>
      <c r="L144" s="310"/>
      <c r="M144" s="310"/>
      <c r="N144" s="310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62"/>
      <c r="AB144" s="62"/>
      <c r="AC144" s="62"/>
    </row>
    <row r="145" spans="1:68" ht="14.25" hidden="1" customHeight="1" x14ac:dyDescent="0.25">
      <c r="A145" s="300" t="s">
        <v>156</v>
      </c>
      <c r="B145" s="300"/>
      <c r="C145" s="300"/>
      <c r="D145" s="300"/>
      <c r="E145" s="300"/>
      <c r="F145" s="300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  <c r="AA145" s="63"/>
      <c r="AB145" s="63"/>
      <c r="AC145" s="63"/>
    </row>
    <row r="146" spans="1:68" ht="27" hidden="1" customHeight="1" x14ac:dyDescent="0.25">
      <c r="A146" s="60" t="s">
        <v>244</v>
      </c>
      <c r="B146" s="60" t="s">
        <v>245</v>
      </c>
      <c r="C146" s="34">
        <v>4301135850</v>
      </c>
      <c r="D146" s="282">
        <v>4620207491492</v>
      </c>
      <c r="E146" s="282"/>
      <c r="F146" s="59">
        <v>0.23</v>
      </c>
      <c r="G146" s="35">
        <v>6</v>
      </c>
      <c r="H146" s="59">
        <v>1.38</v>
      </c>
      <c r="I146" s="59">
        <v>1.8</v>
      </c>
      <c r="J146" s="35">
        <v>140</v>
      </c>
      <c r="K146" s="35" t="s">
        <v>117</v>
      </c>
      <c r="L146" s="35" t="s">
        <v>88</v>
      </c>
      <c r="M146" s="36" t="s">
        <v>86</v>
      </c>
      <c r="N146" s="36"/>
      <c r="O146" s="35">
        <v>180</v>
      </c>
      <c r="P146" s="339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284"/>
      <c r="R146" s="284"/>
      <c r="S146" s="284"/>
      <c r="T146" s="285"/>
      <c r="U146" s="37" t="s">
        <v>46</v>
      </c>
      <c r="V146" s="37" t="s">
        <v>46</v>
      </c>
      <c r="W146" s="38" t="s">
        <v>39</v>
      </c>
      <c r="X146" s="56">
        <v>0</v>
      </c>
      <c r="Y146" s="53">
        <f>IFERROR(IF(X146="","",X146),"")</f>
        <v>0</v>
      </c>
      <c r="Z146" s="39">
        <f>IFERROR(IF(X146="","",X146*0.00941),"")</f>
        <v>0</v>
      </c>
      <c r="AA146" s="65" t="s">
        <v>46</v>
      </c>
      <c r="AB146" s="66" t="s">
        <v>46</v>
      </c>
      <c r="AC146" s="188" t="s">
        <v>237</v>
      </c>
      <c r="AG146" s="78"/>
      <c r="AJ146" s="82" t="s">
        <v>89</v>
      </c>
      <c r="AK146" s="82">
        <v>1</v>
      </c>
      <c r="BB146" s="189" t="s">
        <v>116</v>
      </c>
      <c r="BM146" s="78">
        <f>IFERROR(X146*I146,"0")</f>
        <v>0</v>
      </c>
      <c r="BN146" s="78">
        <f>IFERROR(Y146*I146,"0")</f>
        <v>0</v>
      </c>
      <c r="BO146" s="78">
        <f>IFERROR(X146/J146,"0")</f>
        <v>0</v>
      </c>
      <c r="BP146" s="78">
        <f>IFERROR(Y146/J146,"0")</f>
        <v>0</v>
      </c>
    </row>
    <row r="147" spans="1:68" ht="27" hidden="1" customHeight="1" x14ac:dyDescent="0.25">
      <c r="A147" s="60" t="s">
        <v>246</v>
      </c>
      <c r="B147" s="60" t="s">
        <v>247</v>
      </c>
      <c r="C147" s="34">
        <v>4301135824</v>
      </c>
      <c r="D147" s="282">
        <v>4607111039095</v>
      </c>
      <c r="E147" s="282"/>
      <c r="F147" s="59">
        <v>0.25</v>
      </c>
      <c r="G147" s="35">
        <v>12</v>
      </c>
      <c r="H147" s="59">
        <v>3</v>
      </c>
      <c r="I147" s="59">
        <v>3.7480000000000002</v>
      </c>
      <c r="J147" s="35">
        <v>70</v>
      </c>
      <c r="K147" s="35" t="s">
        <v>117</v>
      </c>
      <c r="L147" s="35" t="s">
        <v>88</v>
      </c>
      <c r="M147" s="36" t="s">
        <v>86</v>
      </c>
      <c r="N147" s="36"/>
      <c r="O147" s="35">
        <v>180</v>
      </c>
      <c r="P147" s="34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284"/>
      <c r="R147" s="284"/>
      <c r="S147" s="284"/>
      <c r="T147" s="285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IFERROR(IF(X147="","",X147*0.01788),"")</f>
        <v>0</v>
      </c>
      <c r="AA147" s="65" t="s">
        <v>46</v>
      </c>
      <c r="AB147" s="66" t="s">
        <v>46</v>
      </c>
      <c r="AC147" s="190" t="s">
        <v>248</v>
      </c>
      <c r="AG147" s="78"/>
      <c r="AJ147" s="82" t="s">
        <v>89</v>
      </c>
      <c r="AK147" s="82">
        <v>1</v>
      </c>
      <c r="BB147" s="191" t="s">
        <v>116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16.5" customHeight="1" x14ac:dyDescent="0.25">
      <c r="A148" s="60" t="s">
        <v>249</v>
      </c>
      <c r="B148" s="60" t="s">
        <v>250</v>
      </c>
      <c r="C148" s="34">
        <v>4301135550</v>
      </c>
      <c r="D148" s="282">
        <v>4607111034199</v>
      </c>
      <c r="E148" s="282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117</v>
      </c>
      <c r="L148" s="35" t="s">
        <v>118</v>
      </c>
      <c r="M148" s="36" t="s">
        <v>86</v>
      </c>
      <c r="N148" s="36"/>
      <c r="O148" s="35">
        <v>180</v>
      </c>
      <c r="P148" s="34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284"/>
      <c r="R148" s="284"/>
      <c r="S148" s="284"/>
      <c r="T148" s="285"/>
      <c r="U148" s="37" t="s">
        <v>46</v>
      </c>
      <c r="V148" s="37" t="s">
        <v>46</v>
      </c>
      <c r="W148" s="38" t="s">
        <v>39</v>
      </c>
      <c r="X148" s="56">
        <v>140</v>
      </c>
      <c r="Y148" s="53">
        <f>IFERROR(IF(X148="","",X148),"")</f>
        <v>140</v>
      </c>
      <c r="Z148" s="39">
        <f>IFERROR(IF(X148="","",X148*0.01788),"")</f>
        <v>2.5032000000000001</v>
      </c>
      <c r="AA148" s="65" t="s">
        <v>46</v>
      </c>
      <c r="AB148" s="66" t="s">
        <v>46</v>
      </c>
      <c r="AC148" s="192" t="s">
        <v>251</v>
      </c>
      <c r="AG148" s="78"/>
      <c r="AJ148" s="82" t="s">
        <v>119</v>
      </c>
      <c r="AK148" s="82">
        <v>14</v>
      </c>
      <c r="BB148" s="193" t="s">
        <v>116</v>
      </c>
      <c r="BM148" s="78">
        <f>IFERROR(X148*I148,"0")</f>
        <v>518.50400000000002</v>
      </c>
      <c r="BN148" s="78">
        <f>IFERROR(Y148*I148,"0")</f>
        <v>518.50400000000002</v>
      </c>
      <c r="BO148" s="78">
        <f>IFERROR(X148/J148,"0")</f>
        <v>2</v>
      </c>
      <c r="BP148" s="78">
        <f>IFERROR(Y148/J148,"0")</f>
        <v>2</v>
      </c>
    </row>
    <row r="149" spans="1:68" x14ac:dyDescent="0.2">
      <c r="A149" s="289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0"/>
      <c r="P149" s="286" t="s">
        <v>40</v>
      </c>
      <c r="Q149" s="287"/>
      <c r="R149" s="287"/>
      <c r="S149" s="287"/>
      <c r="T149" s="287"/>
      <c r="U149" s="287"/>
      <c r="V149" s="288"/>
      <c r="W149" s="40" t="s">
        <v>39</v>
      </c>
      <c r="X149" s="41">
        <f>IFERROR(SUM(X146:X148),"0")</f>
        <v>140</v>
      </c>
      <c r="Y149" s="41">
        <f>IFERROR(SUM(Y146:Y148),"0")</f>
        <v>140</v>
      </c>
      <c r="Z149" s="41">
        <f>IFERROR(IF(Z146="",0,Z146),"0")+IFERROR(IF(Z147="",0,Z147),"0")+IFERROR(IF(Z148="",0,Z148),"0")</f>
        <v>2.5032000000000001</v>
      </c>
      <c r="AA149" s="64"/>
      <c r="AB149" s="64"/>
      <c r="AC149" s="64"/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0"/>
      <c r="P150" s="286" t="s">
        <v>40</v>
      </c>
      <c r="Q150" s="287"/>
      <c r="R150" s="287"/>
      <c r="S150" s="287"/>
      <c r="T150" s="287"/>
      <c r="U150" s="287"/>
      <c r="V150" s="288"/>
      <c r="W150" s="40" t="s">
        <v>0</v>
      </c>
      <c r="X150" s="41">
        <f>IFERROR(SUMPRODUCT(X146:X148*H146:H148),"0")</f>
        <v>420</v>
      </c>
      <c r="Y150" s="41">
        <f>IFERROR(SUMPRODUCT(Y146:Y148*H146:H148),"0")</f>
        <v>420</v>
      </c>
      <c r="Z150" s="40"/>
      <c r="AA150" s="64"/>
      <c r="AB150" s="64"/>
      <c r="AC150" s="64"/>
    </row>
    <row r="151" spans="1:68" ht="16.5" hidden="1" customHeight="1" x14ac:dyDescent="0.25">
      <c r="A151" s="310" t="s">
        <v>252</v>
      </c>
      <c r="B151" s="310"/>
      <c r="C151" s="310"/>
      <c r="D151" s="310"/>
      <c r="E151" s="310"/>
      <c r="F151" s="310"/>
      <c r="G151" s="310"/>
      <c r="H151" s="310"/>
      <c r="I151" s="310"/>
      <c r="J151" s="310"/>
      <c r="K151" s="310"/>
      <c r="L151" s="310"/>
      <c r="M151" s="310"/>
      <c r="N151" s="310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62"/>
      <c r="AB151" s="62"/>
      <c r="AC151" s="62"/>
    </row>
    <row r="152" spans="1:68" ht="14.25" hidden="1" customHeight="1" x14ac:dyDescent="0.25">
      <c r="A152" s="300" t="s">
        <v>156</v>
      </c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  <c r="AA152" s="63"/>
      <c r="AB152" s="63"/>
      <c r="AC152" s="63"/>
    </row>
    <row r="153" spans="1:68" ht="27" customHeight="1" x14ac:dyDescent="0.25">
      <c r="A153" s="60" t="s">
        <v>253</v>
      </c>
      <c r="B153" s="60" t="s">
        <v>254</v>
      </c>
      <c r="C153" s="34">
        <v>4301135753</v>
      </c>
      <c r="D153" s="282">
        <v>4620207490914</v>
      </c>
      <c r="E153" s="282"/>
      <c r="F153" s="59">
        <v>0.2</v>
      </c>
      <c r="G153" s="35">
        <v>12</v>
      </c>
      <c r="H153" s="59">
        <v>2.4</v>
      </c>
      <c r="I153" s="59">
        <v>2.68</v>
      </c>
      <c r="J153" s="35">
        <v>70</v>
      </c>
      <c r="K153" s="35" t="s">
        <v>117</v>
      </c>
      <c r="L153" s="35" t="s">
        <v>88</v>
      </c>
      <c r="M153" s="36" t="s">
        <v>86</v>
      </c>
      <c r="N153" s="36"/>
      <c r="O153" s="35">
        <v>180</v>
      </c>
      <c r="P153" s="33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284"/>
      <c r="R153" s="284"/>
      <c r="S153" s="284"/>
      <c r="T153" s="285"/>
      <c r="U153" s="37" t="s">
        <v>46</v>
      </c>
      <c r="V153" s="37" t="s">
        <v>46</v>
      </c>
      <c r="W153" s="38" t="s">
        <v>39</v>
      </c>
      <c r="X153" s="56">
        <v>56</v>
      </c>
      <c r="Y153" s="53">
        <f>IFERROR(IF(X153="","",X153),"")</f>
        <v>56</v>
      </c>
      <c r="Z153" s="39">
        <f>IFERROR(IF(X153="","",X153*0.01788),"")</f>
        <v>1.0012799999999999</v>
      </c>
      <c r="AA153" s="65" t="s">
        <v>46</v>
      </c>
      <c r="AB153" s="66" t="s">
        <v>46</v>
      </c>
      <c r="AC153" s="194" t="s">
        <v>240</v>
      </c>
      <c r="AG153" s="78"/>
      <c r="AJ153" s="82" t="s">
        <v>89</v>
      </c>
      <c r="AK153" s="82">
        <v>1</v>
      </c>
      <c r="BB153" s="195" t="s">
        <v>116</v>
      </c>
      <c r="BM153" s="78">
        <f>IFERROR(X153*I153,"0")</f>
        <v>150.08000000000001</v>
      </c>
      <c r="BN153" s="78">
        <f>IFERROR(Y153*I153,"0")</f>
        <v>150.08000000000001</v>
      </c>
      <c r="BO153" s="78">
        <f>IFERROR(X153/J153,"0")</f>
        <v>0.8</v>
      </c>
      <c r="BP153" s="78">
        <f>IFERROR(Y153/J153,"0")</f>
        <v>0.8</v>
      </c>
    </row>
    <row r="154" spans="1:68" ht="27" customHeight="1" x14ac:dyDescent="0.25">
      <c r="A154" s="60" t="s">
        <v>255</v>
      </c>
      <c r="B154" s="60" t="s">
        <v>256</v>
      </c>
      <c r="C154" s="34">
        <v>4301135778</v>
      </c>
      <c r="D154" s="282">
        <v>4620207490853</v>
      </c>
      <c r="E154" s="282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117</v>
      </c>
      <c r="L154" s="35" t="s">
        <v>118</v>
      </c>
      <c r="M154" s="36" t="s">
        <v>86</v>
      </c>
      <c r="N154" s="36"/>
      <c r="O154" s="35">
        <v>180</v>
      </c>
      <c r="P154" s="33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284"/>
      <c r="R154" s="284"/>
      <c r="S154" s="284"/>
      <c r="T154" s="285"/>
      <c r="U154" s="37" t="s">
        <v>46</v>
      </c>
      <c r="V154" s="37" t="s">
        <v>46</v>
      </c>
      <c r="W154" s="38" t="s">
        <v>39</v>
      </c>
      <c r="X154" s="56">
        <v>42</v>
      </c>
      <c r="Y154" s="53">
        <f>IFERROR(IF(X154="","",X154),"")</f>
        <v>42</v>
      </c>
      <c r="Z154" s="39">
        <f>IFERROR(IF(X154="","",X154*0.01788),"")</f>
        <v>0.75095999999999996</v>
      </c>
      <c r="AA154" s="65" t="s">
        <v>46</v>
      </c>
      <c r="AB154" s="66" t="s">
        <v>46</v>
      </c>
      <c r="AC154" s="196" t="s">
        <v>240</v>
      </c>
      <c r="AG154" s="78"/>
      <c r="AJ154" s="82" t="s">
        <v>119</v>
      </c>
      <c r="AK154" s="82">
        <v>14</v>
      </c>
      <c r="BB154" s="197" t="s">
        <v>116</v>
      </c>
      <c r="BM154" s="78">
        <f>IFERROR(X154*I154,"0")</f>
        <v>112.56</v>
      </c>
      <c r="BN154" s="78">
        <f>IFERROR(Y154*I154,"0")</f>
        <v>112.56</v>
      </c>
      <c r="BO154" s="78">
        <f>IFERROR(X154/J154,"0")</f>
        <v>0.6</v>
      </c>
      <c r="BP154" s="78">
        <f>IFERROR(Y154/J154,"0")</f>
        <v>0.6</v>
      </c>
    </row>
    <row r="155" spans="1:68" x14ac:dyDescent="0.2">
      <c r="A155" s="289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90"/>
      <c r="P155" s="286" t="s">
        <v>40</v>
      </c>
      <c r="Q155" s="287"/>
      <c r="R155" s="287"/>
      <c r="S155" s="287"/>
      <c r="T155" s="287"/>
      <c r="U155" s="287"/>
      <c r="V155" s="288"/>
      <c r="W155" s="40" t="s">
        <v>39</v>
      </c>
      <c r="X155" s="41">
        <f>IFERROR(SUM(X153:X154),"0")</f>
        <v>98</v>
      </c>
      <c r="Y155" s="41">
        <f>IFERROR(SUM(Y153:Y154),"0")</f>
        <v>98</v>
      </c>
      <c r="Z155" s="41">
        <f>IFERROR(IF(Z153="",0,Z153),"0")+IFERROR(IF(Z154="",0,Z154),"0")</f>
        <v>1.75224</v>
      </c>
      <c r="AA155" s="64"/>
      <c r="AB155" s="64"/>
      <c r="AC155" s="64"/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0" t="s">
        <v>0</v>
      </c>
      <c r="X156" s="41">
        <f>IFERROR(SUMPRODUCT(X153:X154*H153:H154),"0")</f>
        <v>235.2</v>
      </c>
      <c r="Y156" s="41">
        <f>IFERROR(SUMPRODUCT(Y153:Y154*H153:H154),"0")</f>
        <v>235.2</v>
      </c>
      <c r="Z156" s="40"/>
      <c r="AA156" s="64"/>
      <c r="AB156" s="64"/>
      <c r="AC156" s="64"/>
    </row>
    <row r="157" spans="1:68" ht="16.5" hidden="1" customHeight="1" x14ac:dyDescent="0.25">
      <c r="A157" s="310" t="s">
        <v>257</v>
      </c>
      <c r="B157" s="310"/>
      <c r="C157" s="310"/>
      <c r="D157" s="310"/>
      <c r="E157" s="310"/>
      <c r="F157" s="310"/>
      <c r="G157" s="310"/>
      <c r="H157" s="310"/>
      <c r="I157" s="310"/>
      <c r="J157" s="310"/>
      <c r="K157" s="310"/>
      <c r="L157" s="310"/>
      <c r="M157" s="310"/>
      <c r="N157" s="310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62"/>
      <c r="AB157" s="62"/>
      <c r="AC157" s="62"/>
    </row>
    <row r="158" spans="1:68" ht="14.25" hidden="1" customHeight="1" x14ac:dyDescent="0.25">
      <c r="A158" s="300" t="s">
        <v>156</v>
      </c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  <c r="AA158" s="63"/>
      <c r="AB158" s="63"/>
      <c r="AC158" s="63"/>
    </row>
    <row r="159" spans="1:68" ht="27" customHeight="1" x14ac:dyDescent="0.25">
      <c r="A159" s="60" t="s">
        <v>258</v>
      </c>
      <c r="B159" s="60" t="s">
        <v>259</v>
      </c>
      <c r="C159" s="34">
        <v>4301135570</v>
      </c>
      <c r="D159" s="282">
        <v>4607111035806</v>
      </c>
      <c r="E159" s="282"/>
      <c r="F159" s="59">
        <v>0.25</v>
      </c>
      <c r="G159" s="35">
        <v>12</v>
      </c>
      <c r="H159" s="59">
        <v>3</v>
      </c>
      <c r="I159" s="59">
        <v>3.7035999999999998</v>
      </c>
      <c r="J159" s="35">
        <v>70</v>
      </c>
      <c r="K159" s="35" t="s">
        <v>117</v>
      </c>
      <c r="L159" s="35" t="s">
        <v>118</v>
      </c>
      <c r="M159" s="36" t="s">
        <v>86</v>
      </c>
      <c r="N159" s="36"/>
      <c r="O159" s="35">
        <v>180</v>
      </c>
      <c r="P159" s="336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284"/>
      <c r="R159" s="284"/>
      <c r="S159" s="284"/>
      <c r="T159" s="285"/>
      <c r="U159" s="37" t="s">
        <v>46</v>
      </c>
      <c r="V159" s="37" t="s">
        <v>46</v>
      </c>
      <c r="W159" s="38" t="s">
        <v>39</v>
      </c>
      <c r="X159" s="56">
        <v>56</v>
      </c>
      <c r="Y159" s="53">
        <f>IFERROR(IF(X159="","",X159),"")</f>
        <v>56</v>
      </c>
      <c r="Z159" s="39">
        <f>IFERROR(IF(X159="","",X159*0.01788),"")</f>
        <v>1.0012799999999999</v>
      </c>
      <c r="AA159" s="65" t="s">
        <v>46</v>
      </c>
      <c r="AB159" s="66" t="s">
        <v>46</v>
      </c>
      <c r="AC159" s="198" t="s">
        <v>260</v>
      </c>
      <c r="AG159" s="78"/>
      <c r="AJ159" s="82" t="s">
        <v>119</v>
      </c>
      <c r="AK159" s="82">
        <v>14</v>
      </c>
      <c r="BB159" s="199" t="s">
        <v>116</v>
      </c>
      <c r="BM159" s="78">
        <f>IFERROR(X159*I159,"0")</f>
        <v>207.40159999999997</v>
      </c>
      <c r="BN159" s="78">
        <f>IFERROR(Y159*I159,"0")</f>
        <v>207.40159999999997</v>
      </c>
      <c r="BO159" s="78">
        <f>IFERROR(X159/J159,"0")</f>
        <v>0.8</v>
      </c>
      <c r="BP159" s="78">
        <f>IFERROR(Y159/J159,"0")</f>
        <v>0.8</v>
      </c>
    </row>
    <row r="160" spans="1:68" ht="12.75" customHeight="1" x14ac:dyDescent="0.2">
      <c r="A160" s="289"/>
      <c r="B160" s="289"/>
      <c r="C160" s="289"/>
      <c r="D160" s="289"/>
      <c r="E160" s="289"/>
      <c r="F160" s="289"/>
      <c r="G160" s="289"/>
      <c r="H160" s="289"/>
      <c r="I160" s="289"/>
      <c r="J160" s="289"/>
      <c r="K160" s="289"/>
      <c r="L160" s="289"/>
      <c r="M160" s="289"/>
      <c r="N160" s="289"/>
      <c r="O160" s="290"/>
      <c r="P160" s="286" t="s">
        <v>40</v>
      </c>
      <c r="Q160" s="287"/>
      <c r="R160" s="287"/>
      <c r="S160" s="287"/>
      <c r="T160" s="287"/>
      <c r="U160" s="287"/>
      <c r="V160" s="288"/>
      <c r="W160" s="40" t="s">
        <v>39</v>
      </c>
      <c r="X160" s="41">
        <f>IFERROR(SUM(X159:X159),"0")</f>
        <v>56</v>
      </c>
      <c r="Y160" s="41">
        <f>IFERROR(SUM(Y159:Y159),"0")</f>
        <v>56</v>
      </c>
      <c r="Z160" s="41">
        <f>IFERROR(IF(Z159="",0,Z159),"0")</f>
        <v>1.0012799999999999</v>
      </c>
      <c r="AA160" s="64"/>
      <c r="AB160" s="64"/>
      <c r="AC160" s="64"/>
    </row>
    <row r="161" spans="1:68" ht="12.75" customHeight="1" x14ac:dyDescent="0.2">
      <c r="A161" s="289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0"/>
      <c r="P161" s="286" t="s">
        <v>40</v>
      </c>
      <c r="Q161" s="287"/>
      <c r="R161" s="287"/>
      <c r="S161" s="287"/>
      <c r="T161" s="287"/>
      <c r="U161" s="287"/>
      <c r="V161" s="288"/>
      <c r="W161" s="40" t="s">
        <v>0</v>
      </c>
      <c r="X161" s="41">
        <f>IFERROR(SUMPRODUCT(X159:X159*H159:H159),"0")</f>
        <v>168</v>
      </c>
      <c r="Y161" s="41">
        <f>IFERROR(SUMPRODUCT(Y159:Y159*H159:H159),"0")</f>
        <v>168</v>
      </c>
      <c r="Z161" s="40"/>
      <c r="AA161" s="64"/>
      <c r="AB161" s="64"/>
      <c r="AC161" s="64"/>
    </row>
    <row r="162" spans="1:68" ht="16.5" hidden="1" customHeight="1" x14ac:dyDescent="0.25">
      <c r="A162" s="310" t="s">
        <v>261</v>
      </c>
      <c r="B162" s="310"/>
      <c r="C162" s="310"/>
      <c r="D162" s="310"/>
      <c r="E162" s="310"/>
      <c r="F162" s="310"/>
      <c r="G162" s="310"/>
      <c r="H162" s="310"/>
      <c r="I162" s="310"/>
      <c r="J162" s="310"/>
      <c r="K162" s="310"/>
      <c r="L162" s="310"/>
      <c r="M162" s="310"/>
      <c r="N162" s="310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62"/>
      <c r="AB162" s="62"/>
      <c r="AC162" s="62"/>
    </row>
    <row r="163" spans="1:68" ht="14.25" hidden="1" customHeight="1" x14ac:dyDescent="0.25">
      <c r="A163" s="300" t="s">
        <v>156</v>
      </c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  <c r="AA163" s="63"/>
      <c r="AB163" s="63"/>
      <c r="AC163" s="63"/>
    </row>
    <row r="164" spans="1:68" ht="16.5" hidden="1" customHeight="1" x14ac:dyDescent="0.25">
      <c r="A164" s="60" t="s">
        <v>262</v>
      </c>
      <c r="B164" s="60" t="s">
        <v>263</v>
      </c>
      <c r="C164" s="34">
        <v>4301135607</v>
      </c>
      <c r="D164" s="282">
        <v>4607111039613</v>
      </c>
      <c r="E164" s="282"/>
      <c r="F164" s="59">
        <v>0.09</v>
      </c>
      <c r="G164" s="35">
        <v>30</v>
      </c>
      <c r="H164" s="59">
        <v>2.7</v>
      </c>
      <c r="I164" s="59">
        <v>3.09</v>
      </c>
      <c r="J164" s="35">
        <v>126</v>
      </c>
      <c r="K164" s="35" t="s">
        <v>117</v>
      </c>
      <c r="L164" s="35" t="s">
        <v>118</v>
      </c>
      <c r="M164" s="36" t="s">
        <v>86</v>
      </c>
      <c r="N164" s="36"/>
      <c r="O164" s="35">
        <v>180</v>
      </c>
      <c r="P164" s="33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284"/>
      <c r="R164" s="284"/>
      <c r="S164" s="284"/>
      <c r="T164" s="285"/>
      <c r="U164" s="37" t="s">
        <v>46</v>
      </c>
      <c r="V164" s="37" t="s">
        <v>46</v>
      </c>
      <c r="W164" s="38" t="s">
        <v>39</v>
      </c>
      <c r="X164" s="56">
        <v>0</v>
      </c>
      <c r="Y164" s="53">
        <f>IFERROR(IF(X164="","",X164),"")</f>
        <v>0</v>
      </c>
      <c r="Z164" s="39">
        <f>IFERROR(IF(X164="","",X164*0.00936),"")</f>
        <v>0</v>
      </c>
      <c r="AA164" s="65" t="s">
        <v>46</v>
      </c>
      <c r="AB164" s="66" t="s">
        <v>46</v>
      </c>
      <c r="AC164" s="200" t="s">
        <v>248</v>
      </c>
      <c r="AG164" s="78"/>
      <c r="AJ164" s="82" t="s">
        <v>119</v>
      </c>
      <c r="AK164" s="82">
        <v>14</v>
      </c>
      <c r="BB164" s="201" t="s">
        <v>116</v>
      </c>
      <c r="BM164" s="78">
        <f>IFERROR(X164*I164,"0")</f>
        <v>0</v>
      </c>
      <c r="BN164" s="78">
        <f>IFERROR(Y164*I164,"0")</f>
        <v>0</v>
      </c>
      <c r="BO164" s="78">
        <f>IFERROR(X164/J164,"0")</f>
        <v>0</v>
      </c>
      <c r="BP164" s="78">
        <f>IFERROR(Y164/J164,"0")</f>
        <v>0</v>
      </c>
    </row>
    <row r="165" spans="1:68" ht="12.75" hidden="1" customHeight="1" x14ac:dyDescent="0.2">
      <c r="A165" s="289"/>
      <c r="B165" s="289"/>
      <c r="C165" s="289"/>
      <c r="D165" s="289"/>
      <c r="E165" s="289"/>
      <c r="F165" s="289"/>
      <c r="G165" s="289"/>
      <c r="H165" s="289"/>
      <c r="I165" s="289"/>
      <c r="J165" s="289"/>
      <c r="K165" s="289"/>
      <c r="L165" s="289"/>
      <c r="M165" s="289"/>
      <c r="N165" s="289"/>
      <c r="O165" s="290"/>
      <c r="P165" s="286" t="s">
        <v>40</v>
      </c>
      <c r="Q165" s="287"/>
      <c r="R165" s="287"/>
      <c r="S165" s="287"/>
      <c r="T165" s="287"/>
      <c r="U165" s="287"/>
      <c r="V165" s="288"/>
      <c r="W165" s="40" t="s">
        <v>39</v>
      </c>
      <c r="X165" s="41">
        <f>IFERROR(SUM(X164:X164),"0")</f>
        <v>0</v>
      </c>
      <c r="Y165" s="41">
        <f>IFERROR(SUM(Y164:Y164),"0")</f>
        <v>0</v>
      </c>
      <c r="Z165" s="41">
        <f>IFERROR(IF(Z164="",0,Z164),"0")</f>
        <v>0</v>
      </c>
      <c r="AA165" s="64"/>
      <c r="AB165" s="64"/>
      <c r="AC165" s="64"/>
    </row>
    <row r="166" spans="1:68" ht="12.75" hidden="1" customHeight="1" x14ac:dyDescent="0.2">
      <c r="A166" s="289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0"/>
      <c r="P166" s="286" t="s">
        <v>40</v>
      </c>
      <c r="Q166" s="287"/>
      <c r="R166" s="287"/>
      <c r="S166" s="287"/>
      <c r="T166" s="287"/>
      <c r="U166" s="287"/>
      <c r="V166" s="288"/>
      <c r="W166" s="40" t="s">
        <v>0</v>
      </c>
      <c r="X166" s="41">
        <f>IFERROR(SUMPRODUCT(X164:X164*H164:H164),"0")</f>
        <v>0</v>
      </c>
      <c r="Y166" s="41">
        <f>IFERROR(SUMPRODUCT(Y164:Y164*H164:H164),"0")</f>
        <v>0</v>
      </c>
      <c r="Z166" s="40"/>
      <c r="AA166" s="64"/>
      <c r="AB166" s="64"/>
      <c r="AC166" s="64"/>
    </row>
    <row r="167" spans="1:68" ht="16.5" hidden="1" customHeight="1" x14ac:dyDescent="0.25">
      <c r="A167" s="310" t="s">
        <v>264</v>
      </c>
      <c r="B167" s="310"/>
      <c r="C167" s="310"/>
      <c r="D167" s="310"/>
      <c r="E167" s="310"/>
      <c r="F167" s="310"/>
      <c r="G167" s="310"/>
      <c r="H167" s="310"/>
      <c r="I167" s="310"/>
      <c r="J167" s="310"/>
      <c r="K167" s="310"/>
      <c r="L167" s="310"/>
      <c r="M167" s="310"/>
      <c r="N167" s="310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62"/>
      <c r="AB167" s="62"/>
      <c r="AC167" s="62"/>
    </row>
    <row r="168" spans="1:68" ht="14.25" hidden="1" customHeight="1" x14ac:dyDescent="0.25">
      <c r="A168" s="300" t="s">
        <v>225</v>
      </c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  <c r="AA168" s="63"/>
      <c r="AB168" s="63"/>
      <c r="AC168" s="63"/>
    </row>
    <row r="169" spans="1:68" ht="27" hidden="1" customHeight="1" x14ac:dyDescent="0.25">
      <c r="A169" s="60" t="s">
        <v>265</v>
      </c>
      <c r="B169" s="60" t="s">
        <v>266</v>
      </c>
      <c r="C169" s="34">
        <v>4301135540</v>
      </c>
      <c r="D169" s="282">
        <v>4607111035646</v>
      </c>
      <c r="E169" s="282"/>
      <c r="F169" s="59">
        <v>0.2</v>
      </c>
      <c r="G169" s="35">
        <v>8</v>
      </c>
      <c r="H169" s="59">
        <v>1.6</v>
      </c>
      <c r="I169" s="59">
        <v>2.12</v>
      </c>
      <c r="J169" s="35">
        <v>72</v>
      </c>
      <c r="K169" s="35" t="s">
        <v>268</v>
      </c>
      <c r="L169" s="35" t="s">
        <v>88</v>
      </c>
      <c r="M169" s="36" t="s">
        <v>86</v>
      </c>
      <c r="N169" s="36"/>
      <c r="O169" s="35">
        <v>180</v>
      </c>
      <c r="P169" s="33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284"/>
      <c r="R169" s="284"/>
      <c r="S169" s="284"/>
      <c r="T169" s="285"/>
      <c r="U169" s="37" t="s">
        <v>46</v>
      </c>
      <c r="V169" s="37" t="s">
        <v>46</v>
      </c>
      <c r="W169" s="38" t="s">
        <v>39</v>
      </c>
      <c r="X169" s="56">
        <v>0</v>
      </c>
      <c r="Y169" s="53">
        <f>IFERROR(IF(X169="","",X169),"")</f>
        <v>0</v>
      </c>
      <c r="Z169" s="39">
        <f>IFERROR(IF(X169="","",X169*0.01157),"")</f>
        <v>0</v>
      </c>
      <c r="AA169" s="65" t="s">
        <v>46</v>
      </c>
      <c r="AB169" s="66" t="s">
        <v>46</v>
      </c>
      <c r="AC169" s="202" t="s">
        <v>267</v>
      </c>
      <c r="AG169" s="78"/>
      <c r="AJ169" s="82" t="s">
        <v>89</v>
      </c>
      <c r="AK169" s="82">
        <v>1</v>
      </c>
      <c r="BB169" s="203" t="s">
        <v>116</v>
      </c>
      <c r="BM169" s="78">
        <f>IFERROR(X169*I169,"0")</f>
        <v>0</v>
      </c>
      <c r="BN169" s="78">
        <f>IFERROR(Y169*I169,"0")</f>
        <v>0</v>
      </c>
      <c r="BO169" s="78">
        <f>IFERROR(X169/J169,"0")</f>
        <v>0</v>
      </c>
      <c r="BP169" s="78">
        <f>IFERROR(Y169/J169,"0")</f>
        <v>0</v>
      </c>
    </row>
    <row r="170" spans="1:68" ht="12.75" hidden="1" customHeight="1" x14ac:dyDescent="0.2">
      <c r="A170" s="289"/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90"/>
      <c r="P170" s="286" t="s">
        <v>40</v>
      </c>
      <c r="Q170" s="287"/>
      <c r="R170" s="287"/>
      <c r="S170" s="287"/>
      <c r="T170" s="287"/>
      <c r="U170" s="287"/>
      <c r="V170" s="288"/>
      <c r="W170" s="40" t="s">
        <v>39</v>
      </c>
      <c r="X170" s="41">
        <f>IFERROR(SUM(X169:X169),"0")</f>
        <v>0</v>
      </c>
      <c r="Y170" s="41">
        <f>IFERROR(SUM(Y169:Y169),"0")</f>
        <v>0</v>
      </c>
      <c r="Z170" s="41">
        <f>IFERROR(IF(Z169="",0,Z169),"0")</f>
        <v>0</v>
      </c>
      <c r="AA170" s="64"/>
      <c r="AB170" s="64"/>
      <c r="AC170" s="64"/>
    </row>
    <row r="171" spans="1:68" ht="12.75" hidden="1" customHeight="1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0" t="s">
        <v>0</v>
      </c>
      <c r="X171" s="41">
        <f>IFERROR(SUMPRODUCT(X169:X169*H169:H169),"0")</f>
        <v>0</v>
      </c>
      <c r="Y171" s="41">
        <f>IFERROR(SUMPRODUCT(Y169:Y169*H169:H169),"0")</f>
        <v>0</v>
      </c>
      <c r="Z171" s="40"/>
      <c r="AA171" s="64"/>
      <c r="AB171" s="64"/>
      <c r="AC171" s="64"/>
    </row>
    <row r="172" spans="1:68" ht="16.5" hidden="1" customHeight="1" x14ac:dyDescent="0.25">
      <c r="A172" s="310" t="s">
        <v>269</v>
      </c>
      <c r="B172" s="310"/>
      <c r="C172" s="310"/>
      <c r="D172" s="310"/>
      <c r="E172" s="310"/>
      <c r="F172" s="310"/>
      <c r="G172" s="310"/>
      <c r="H172" s="310"/>
      <c r="I172" s="310"/>
      <c r="J172" s="310"/>
      <c r="K172" s="310"/>
      <c r="L172" s="310"/>
      <c r="M172" s="310"/>
      <c r="N172" s="310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62"/>
      <c r="AB172" s="62"/>
      <c r="AC172" s="62"/>
    </row>
    <row r="173" spans="1:68" ht="14.25" hidden="1" customHeight="1" x14ac:dyDescent="0.25">
      <c r="A173" s="300" t="s">
        <v>156</v>
      </c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63"/>
      <c r="AB173" s="63"/>
      <c r="AC173" s="63"/>
    </row>
    <row r="174" spans="1:68" ht="27" customHeight="1" x14ac:dyDescent="0.25">
      <c r="A174" s="60" t="s">
        <v>270</v>
      </c>
      <c r="B174" s="60" t="s">
        <v>271</v>
      </c>
      <c r="C174" s="34">
        <v>4301135591</v>
      </c>
      <c r="D174" s="282">
        <v>4607111036568</v>
      </c>
      <c r="E174" s="282"/>
      <c r="F174" s="59">
        <v>0.28000000000000003</v>
      </c>
      <c r="G174" s="35">
        <v>6</v>
      </c>
      <c r="H174" s="59">
        <v>1.68</v>
      </c>
      <c r="I174" s="59">
        <v>2.1017999999999999</v>
      </c>
      <c r="J174" s="35">
        <v>140</v>
      </c>
      <c r="K174" s="35" t="s">
        <v>117</v>
      </c>
      <c r="L174" s="35" t="s">
        <v>118</v>
      </c>
      <c r="M174" s="36" t="s">
        <v>86</v>
      </c>
      <c r="N174" s="36"/>
      <c r="O174" s="35">
        <v>180</v>
      </c>
      <c r="P174" s="3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284"/>
      <c r="R174" s="284"/>
      <c r="S174" s="284"/>
      <c r="T174" s="285"/>
      <c r="U174" s="37" t="s">
        <v>46</v>
      </c>
      <c r="V174" s="37" t="s">
        <v>46</v>
      </c>
      <c r="W174" s="38" t="s">
        <v>39</v>
      </c>
      <c r="X174" s="56">
        <v>140</v>
      </c>
      <c r="Y174" s="53">
        <f>IFERROR(IF(X174="","",X174),"")</f>
        <v>140</v>
      </c>
      <c r="Z174" s="39">
        <f>IFERROR(IF(X174="","",X174*0.00941),"")</f>
        <v>1.3173999999999999</v>
      </c>
      <c r="AA174" s="65" t="s">
        <v>46</v>
      </c>
      <c r="AB174" s="66" t="s">
        <v>46</v>
      </c>
      <c r="AC174" s="204" t="s">
        <v>272</v>
      </c>
      <c r="AG174" s="78"/>
      <c r="AJ174" s="82" t="s">
        <v>119</v>
      </c>
      <c r="AK174" s="82">
        <v>14</v>
      </c>
      <c r="BB174" s="205" t="s">
        <v>116</v>
      </c>
      <c r="BM174" s="78">
        <f>IFERROR(X174*I174,"0")</f>
        <v>294.25200000000001</v>
      </c>
      <c r="BN174" s="78">
        <f>IFERROR(Y174*I174,"0")</f>
        <v>294.25200000000001</v>
      </c>
      <c r="BO174" s="78">
        <f>IFERROR(X174/J174,"0")</f>
        <v>1</v>
      </c>
      <c r="BP174" s="78">
        <f>IFERROR(Y174/J174,"0")</f>
        <v>1</v>
      </c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0" t="s">
        <v>39</v>
      </c>
      <c r="X175" s="41">
        <f>IFERROR(SUM(X174:X174),"0")</f>
        <v>140</v>
      </c>
      <c r="Y175" s="41">
        <f>IFERROR(SUM(Y174:Y174),"0")</f>
        <v>140</v>
      </c>
      <c r="Z175" s="41">
        <f>IFERROR(IF(Z174="",0,Z174),"0")</f>
        <v>1.3173999999999999</v>
      </c>
      <c r="AA175" s="64"/>
      <c r="AB175" s="64"/>
      <c r="AC175" s="64"/>
    </row>
    <row r="176" spans="1:68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286" t="s">
        <v>40</v>
      </c>
      <c r="Q176" s="287"/>
      <c r="R176" s="287"/>
      <c r="S176" s="287"/>
      <c r="T176" s="287"/>
      <c r="U176" s="287"/>
      <c r="V176" s="288"/>
      <c r="W176" s="40" t="s">
        <v>0</v>
      </c>
      <c r="X176" s="41">
        <f>IFERROR(SUMPRODUCT(X174:X174*H174:H174),"0")</f>
        <v>235.2</v>
      </c>
      <c r="Y176" s="41">
        <f>IFERROR(SUMPRODUCT(Y174:Y174*H174:H174),"0")</f>
        <v>235.2</v>
      </c>
      <c r="Z176" s="40"/>
      <c r="AA176" s="64"/>
      <c r="AB176" s="64"/>
      <c r="AC176" s="64"/>
    </row>
    <row r="177" spans="1:68" ht="27.75" hidden="1" customHeight="1" x14ac:dyDescent="0.2">
      <c r="A177" s="309" t="s">
        <v>273</v>
      </c>
      <c r="B177" s="309"/>
      <c r="C177" s="309"/>
      <c r="D177" s="309"/>
      <c r="E177" s="309"/>
      <c r="F177" s="309"/>
      <c r="G177" s="309"/>
      <c r="H177" s="309"/>
      <c r="I177" s="309"/>
      <c r="J177" s="309"/>
      <c r="K177" s="309"/>
      <c r="L177" s="309"/>
      <c r="M177" s="309"/>
      <c r="N177" s="309"/>
      <c r="O177" s="309"/>
      <c r="P177" s="309"/>
      <c r="Q177" s="309"/>
      <c r="R177" s="309"/>
      <c r="S177" s="309"/>
      <c r="T177" s="309"/>
      <c r="U177" s="309"/>
      <c r="V177" s="309"/>
      <c r="W177" s="309"/>
      <c r="X177" s="309"/>
      <c r="Y177" s="309"/>
      <c r="Z177" s="309"/>
      <c r="AA177" s="52"/>
      <c r="AB177" s="52"/>
      <c r="AC177" s="52"/>
    </row>
    <row r="178" spans="1:68" ht="16.5" hidden="1" customHeight="1" x14ac:dyDescent="0.25">
      <c r="A178" s="310" t="s">
        <v>274</v>
      </c>
      <c r="B178" s="310"/>
      <c r="C178" s="310"/>
      <c r="D178" s="310"/>
      <c r="E178" s="310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62"/>
      <c r="AB178" s="62"/>
      <c r="AC178" s="62"/>
    </row>
    <row r="179" spans="1:68" ht="14.25" hidden="1" customHeight="1" x14ac:dyDescent="0.25">
      <c r="A179" s="300" t="s">
        <v>82</v>
      </c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63"/>
      <c r="AB179" s="63"/>
      <c r="AC179" s="63"/>
    </row>
    <row r="180" spans="1:68" ht="16.5" hidden="1" customHeight="1" x14ac:dyDescent="0.25">
      <c r="A180" s="60" t="s">
        <v>275</v>
      </c>
      <c r="B180" s="60" t="s">
        <v>276</v>
      </c>
      <c r="C180" s="34">
        <v>4301071062</v>
      </c>
      <c r="D180" s="282">
        <v>4607111036384</v>
      </c>
      <c r="E180" s="282"/>
      <c r="F180" s="59">
        <v>5</v>
      </c>
      <c r="G180" s="35">
        <v>1</v>
      </c>
      <c r="H180" s="59">
        <v>5</v>
      </c>
      <c r="I180" s="59">
        <v>5.2106000000000003</v>
      </c>
      <c r="J180" s="35">
        <v>144</v>
      </c>
      <c r="K180" s="35" t="s">
        <v>87</v>
      </c>
      <c r="L180" s="35" t="s">
        <v>88</v>
      </c>
      <c r="M180" s="36" t="s">
        <v>86</v>
      </c>
      <c r="N180" s="36"/>
      <c r="O180" s="35">
        <v>180</v>
      </c>
      <c r="P180" s="33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284"/>
      <c r="R180" s="284"/>
      <c r="S180" s="284"/>
      <c r="T180" s="285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06" t="s">
        <v>277</v>
      </c>
      <c r="AG180" s="78"/>
      <c r="AJ180" s="82" t="s">
        <v>89</v>
      </c>
      <c r="AK180" s="82">
        <v>1</v>
      </c>
      <c r="BB180" s="207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t="27" hidden="1" customHeight="1" x14ac:dyDescent="0.25">
      <c r="A181" s="60" t="s">
        <v>278</v>
      </c>
      <c r="B181" s="60" t="s">
        <v>279</v>
      </c>
      <c r="C181" s="34">
        <v>4301071050</v>
      </c>
      <c r="D181" s="282">
        <v>4607111036216</v>
      </c>
      <c r="E181" s="282"/>
      <c r="F181" s="59">
        <v>5</v>
      </c>
      <c r="G181" s="35">
        <v>1</v>
      </c>
      <c r="H181" s="59">
        <v>5</v>
      </c>
      <c r="I181" s="59">
        <v>5.2131999999999996</v>
      </c>
      <c r="J181" s="35">
        <v>144</v>
      </c>
      <c r="K181" s="35" t="s">
        <v>87</v>
      </c>
      <c r="L181" s="35" t="s">
        <v>118</v>
      </c>
      <c r="M181" s="36" t="s">
        <v>86</v>
      </c>
      <c r="N181" s="36"/>
      <c r="O181" s="35">
        <v>180</v>
      </c>
      <c r="P181" s="33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284"/>
      <c r="R181" s="284"/>
      <c r="S181" s="284"/>
      <c r="T181" s="285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08" t="s">
        <v>280</v>
      </c>
      <c r="AG181" s="78"/>
      <c r="AJ181" s="82" t="s">
        <v>119</v>
      </c>
      <c r="AK181" s="82">
        <v>12</v>
      </c>
      <c r="BB181" s="209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12.75" hidden="1" customHeight="1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0" t="s">
        <v>39</v>
      </c>
      <c r="X182" s="41">
        <f>IFERROR(SUM(X180:X181),"0")</f>
        <v>0</v>
      </c>
      <c r="Y182" s="41">
        <f>IFERROR(SUM(Y180:Y181),"0")</f>
        <v>0</v>
      </c>
      <c r="Z182" s="41">
        <f>IFERROR(IF(Z180="",0,Z180),"0")+IFERROR(IF(Z181="",0,Z181),"0")</f>
        <v>0</v>
      </c>
      <c r="AA182" s="64"/>
      <c r="AB182" s="64"/>
      <c r="AC182" s="64"/>
    </row>
    <row r="183" spans="1:68" ht="12.75" hidden="1" customHeight="1" x14ac:dyDescent="0.2">
      <c r="A183" s="289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0"/>
      <c r="P183" s="286" t="s">
        <v>40</v>
      </c>
      <c r="Q183" s="287"/>
      <c r="R183" s="287"/>
      <c r="S183" s="287"/>
      <c r="T183" s="287"/>
      <c r="U183" s="287"/>
      <c r="V183" s="288"/>
      <c r="W183" s="40" t="s">
        <v>0</v>
      </c>
      <c r="X183" s="41">
        <f>IFERROR(SUMPRODUCT(X180:X181*H180:H181),"0")</f>
        <v>0</v>
      </c>
      <c r="Y183" s="41">
        <f>IFERROR(SUMPRODUCT(Y180:Y181*H180:H181),"0")</f>
        <v>0</v>
      </c>
      <c r="Z183" s="40"/>
      <c r="AA183" s="64"/>
      <c r="AB183" s="64"/>
      <c r="AC183" s="64"/>
    </row>
    <row r="184" spans="1:68" ht="14.25" hidden="1" customHeight="1" x14ac:dyDescent="0.25">
      <c r="A184" s="300" t="s">
        <v>281</v>
      </c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  <c r="AA184" s="63"/>
      <c r="AB184" s="63"/>
      <c r="AC184" s="63"/>
    </row>
    <row r="185" spans="1:68" ht="27" hidden="1" customHeight="1" x14ac:dyDescent="0.25">
      <c r="A185" s="60" t="s">
        <v>282</v>
      </c>
      <c r="B185" s="60" t="s">
        <v>283</v>
      </c>
      <c r="C185" s="34">
        <v>4301080153</v>
      </c>
      <c r="D185" s="282">
        <v>4607111036827</v>
      </c>
      <c r="E185" s="282"/>
      <c r="F185" s="59">
        <v>1</v>
      </c>
      <c r="G185" s="35">
        <v>5</v>
      </c>
      <c r="H185" s="59">
        <v>5</v>
      </c>
      <c r="I185" s="59">
        <v>5.2</v>
      </c>
      <c r="J185" s="35">
        <v>144</v>
      </c>
      <c r="K185" s="35" t="s">
        <v>87</v>
      </c>
      <c r="L185" s="35" t="s">
        <v>88</v>
      </c>
      <c r="M185" s="36" t="s">
        <v>86</v>
      </c>
      <c r="N185" s="36"/>
      <c r="O185" s="35">
        <v>90</v>
      </c>
      <c r="P185" s="32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284"/>
      <c r="R185" s="284"/>
      <c r="S185" s="284"/>
      <c r="T185" s="285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 t="s">
        <v>46</v>
      </c>
      <c r="AB185" s="66" t="s">
        <v>46</v>
      </c>
      <c r="AC185" s="210" t="s">
        <v>284</v>
      </c>
      <c r="AG185" s="78"/>
      <c r="AJ185" s="82" t="s">
        <v>89</v>
      </c>
      <c r="AK185" s="82">
        <v>1</v>
      </c>
      <c r="BB185" s="211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t="27" hidden="1" customHeight="1" x14ac:dyDescent="0.25">
      <c r="A186" s="60" t="s">
        <v>285</v>
      </c>
      <c r="B186" s="60" t="s">
        <v>286</v>
      </c>
      <c r="C186" s="34">
        <v>4301080154</v>
      </c>
      <c r="D186" s="282">
        <v>4607111036834</v>
      </c>
      <c r="E186" s="282"/>
      <c r="F186" s="59">
        <v>1</v>
      </c>
      <c r="G186" s="35">
        <v>5</v>
      </c>
      <c r="H186" s="59">
        <v>5</v>
      </c>
      <c r="I186" s="59">
        <v>5.2530000000000001</v>
      </c>
      <c r="J186" s="35">
        <v>144</v>
      </c>
      <c r="K186" s="35" t="s">
        <v>87</v>
      </c>
      <c r="L186" s="35" t="s">
        <v>88</v>
      </c>
      <c r="M186" s="36" t="s">
        <v>86</v>
      </c>
      <c r="N186" s="36"/>
      <c r="O186" s="35">
        <v>90</v>
      </c>
      <c r="P186" s="33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284"/>
      <c r="R186" s="284"/>
      <c r="S186" s="284"/>
      <c r="T186" s="285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IFERROR(IF(X186="","",X186*0.00866),"")</f>
        <v>0</v>
      </c>
      <c r="AA186" s="65" t="s">
        <v>46</v>
      </c>
      <c r="AB186" s="66" t="s">
        <v>46</v>
      </c>
      <c r="AC186" s="212" t="s">
        <v>284</v>
      </c>
      <c r="AG186" s="78"/>
      <c r="AJ186" s="82" t="s">
        <v>89</v>
      </c>
      <c r="AK186" s="82">
        <v>1</v>
      </c>
      <c r="BB186" s="213" t="s">
        <v>70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t="12.75" hidden="1" customHeight="1" x14ac:dyDescent="0.2">
      <c r="A187" s="289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0"/>
      <c r="P187" s="286" t="s">
        <v>40</v>
      </c>
      <c r="Q187" s="287"/>
      <c r="R187" s="287"/>
      <c r="S187" s="287"/>
      <c r="T187" s="287"/>
      <c r="U187" s="287"/>
      <c r="V187" s="288"/>
      <c r="W187" s="40" t="s">
        <v>39</v>
      </c>
      <c r="X187" s="41">
        <f>IFERROR(SUM(X185:X186),"0")</f>
        <v>0</v>
      </c>
      <c r="Y187" s="41">
        <f>IFERROR(SUM(Y185:Y186),"0")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t="12.75" hidden="1" customHeight="1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  <c r="P188" s="286" t="s">
        <v>40</v>
      </c>
      <c r="Q188" s="287"/>
      <c r="R188" s="287"/>
      <c r="S188" s="287"/>
      <c r="T188" s="287"/>
      <c r="U188" s="287"/>
      <c r="V188" s="288"/>
      <c r="W188" s="40" t="s">
        <v>0</v>
      </c>
      <c r="X188" s="41">
        <f>IFERROR(SUMPRODUCT(X185:X186*H185:H186),"0")</f>
        <v>0</v>
      </c>
      <c r="Y188" s="41">
        <f>IFERROR(SUMPRODUCT(Y185:Y186*H185:H186),"0")</f>
        <v>0</v>
      </c>
      <c r="Z188" s="40"/>
      <c r="AA188" s="64"/>
      <c r="AB188" s="64"/>
      <c r="AC188" s="64"/>
    </row>
    <row r="189" spans="1:68" ht="27.75" hidden="1" customHeight="1" x14ac:dyDescent="0.2">
      <c r="A189" s="309" t="s">
        <v>287</v>
      </c>
      <c r="B189" s="309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09"/>
      <c r="P189" s="309"/>
      <c r="Q189" s="309"/>
      <c r="R189" s="309"/>
      <c r="S189" s="309"/>
      <c r="T189" s="309"/>
      <c r="U189" s="309"/>
      <c r="V189" s="309"/>
      <c r="W189" s="309"/>
      <c r="X189" s="309"/>
      <c r="Y189" s="309"/>
      <c r="Z189" s="309"/>
      <c r="AA189" s="52"/>
      <c r="AB189" s="52"/>
      <c r="AC189" s="52"/>
    </row>
    <row r="190" spans="1:68" ht="16.5" hidden="1" customHeight="1" x14ac:dyDescent="0.25">
      <c r="A190" s="310" t="s">
        <v>288</v>
      </c>
      <c r="B190" s="310"/>
      <c r="C190" s="310"/>
      <c r="D190" s="310"/>
      <c r="E190" s="310"/>
      <c r="F190" s="310"/>
      <c r="G190" s="310"/>
      <c r="H190" s="310"/>
      <c r="I190" s="310"/>
      <c r="J190" s="310"/>
      <c r="K190" s="310"/>
      <c r="L190" s="310"/>
      <c r="M190" s="310"/>
      <c r="N190" s="310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62"/>
      <c r="AB190" s="62"/>
      <c r="AC190" s="62"/>
    </row>
    <row r="191" spans="1:68" ht="14.25" hidden="1" customHeight="1" x14ac:dyDescent="0.25">
      <c r="A191" s="300" t="s">
        <v>112</v>
      </c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63"/>
      <c r="AB191" s="63"/>
      <c r="AC191" s="63"/>
    </row>
    <row r="192" spans="1:68" ht="16.5" customHeight="1" x14ac:dyDescent="0.25">
      <c r="A192" s="60" t="s">
        <v>289</v>
      </c>
      <c r="B192" s="60" t="s">
        <v>290</v>
      </c>
      <c r="C192" s="34">
        <v>4301132179</v>
      </c>
      <c r="D192" s="282">
        <v>4607111035691</v>
      </c>
      <c r="E192" s="282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117</v>
      </c>
      <c r="L192" s="35" t="s">
        <v>118</v>
      </c>
      <c r="M192" s="36" t="s">
        <v>86</v>
      </c>
      <c r="N192" s="36"/>
      <c r="O192" s="35">
        <v>365</v>
      </c>
      <c r="P192" s="32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284"/>
      <c r="R192" s="284"/>
      <c r="S192" s="284"/>
      <c r="T192" s="285"/>
      <c r="U192" s="37" t="s">
        <v>46</v>
      </c>
      <c r="V192" s="37" t="s">
        <v>46</v>
      </c>
      <c r="W192" s="38" t="s">
        <v>39</v>
      </c>
      <c r="X192" s="56">
        <v>56</v>
      </c>
      <c r="Y192" s="53">
        <f>IFERROR(IF(X192="","",X192),"")</f>
        <v>56</v>
      </c>
      <c r="Z192" s="39">
        <f>IFERROR(IF(X192="","",X192*0.01788),"")</f>
        <v>1.0012799999999999</v>
      </c>
      <c r="AA192" s="65" t="s">
        <v>46</v>
      </c>
      <c r="AB192" s="66" t="s">
        <v>46</v>
      </c>
      <c r="AC192" s="214" t="s">
        <v>291</v>
      </c>
      <c r="AG192" s="78"/>
      <c r="AJ192" s="82" t="s">
        <v>119</v>
      </c>
      <c r="AK192" s="82">
        <v>14</v>
      </c>
      <c r="BB192" s="215" t="s">
        <v>116</v>
      </c>
      <c r="BM192" s="78">
        <f>IFERROR(X192*I192,"0")</f>
        <v>189.72800000000001</v>
      </c>
      <c r="BN192" s="78">
        <f>IFERROR(Y192*I192,"0")</f>
        <v>189.72800000000001</v>
      </c>
      <c r="BO192" s="78">
        <f>IFERROR(X192/J192,"0")</f>
        <v>0.8</v>
      </c>
      <c r="BP192" s="78">
        <f>IFERROR(Y192/J192,"0")</f>
        <v>0.8</v>
      </c>
    </row>
    <row r="193" spans="1:68" ht="27" customHeight="1" x14ac:dyDescent="0.25">
      <c r="A193" s="60" t="s">
        <v>292</v>
      </c>
      <c r="B193" s="60" t="s">
        <v>293</v>
      </c>
      <c r="C193" s="34">
        <v>4301132182</v>
      </c>
      <c r="D193" s="282">
        <v>4607111035721</v>
      </c>
      <c r="E193" s="282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117</v>
      </c>
      <c r="L193" s="35" t="s">
        <v>118</v>
      </c>
      <c r="M193" s="36" t="s">
        <v>86</v>
      </c>
      <c r="N193" s="36"/>
      <c r="O193" s="35">
        <v>365</v>
      </c>
      <c r="P193" s="32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284"/>
      <c r="R193" s="284"/>
      <c r="S193" s="284"/>
      <c r="T193" s="285"/>
      <c r="U193" s="37" t="s">
        <v>46</v>
      </c>
      <c r="V193" s="37" t="s">
        <v>46</v>
      </c>
      <c r="W193" s="38" t="s">
        <v>39</v>
      </c>
      <c r="X193" s="56">
        <v>56</v>
      </c>
      <c r="Y193" s="53">
        <f>IFERROR(IF(X193="","",X193),"")</f>
        <v>56</v>
      </c>
      <c r="Z193" s="39">
        <f>IFERROR(IF(X193="","",X193*0.01788),"")</f>
        <v>1.0012799999999999</v>
      </c>
      <c r="AA193" s="65" t="s">
        <v>46</v>
      </c>
      <c r="AB193" s="66" t="s">
        <v>46</v>
      </c>
      <c r="AC193" s="216" t="s">
        <v>294</v>
      </c>
      <c r="AG193" s="78"/>
      <c r="AJ193" s="82" t="s">
        <v>119</v>
      </c>
      <c r="AK193" s="82">
        <v>14</v>
      </c>
      <c r="BB193" s="217" t="s">
        <v>116</v>
      </c>
      <c r="BM193" s="78">
        <f>IFERROR(X193*I193,"0")</f>
        <v>189.72800000000001</v>
      </c>
      <c r="BN193" s="78">
        <f>IFERROR(Y193*I193,"0")</f>
        <v>189.72800000000001</v>
      </c>
      <c r="BO193" s="78">
        <f>IFERROR(X193/J193,"0")</f>
        <v>0.8</v>
      </c>
      <c r="BP193" s="78">
        <f>IFERROR(Y193/J193,"0")</f>
        <v>0.8</v>
      </c>
    </row>
    <row r="194" spans="1:68" ht="27" hidden="1" customHeight="1" x14ac:dyDescent="0.25">
      <c r="A194" s="60" t="s">
        <v>295</v>
      </c>
      <c r="B194" s="60" t="s">
        <v>296</v>
      </c>
      <c r="C194" s="34">
        <v>4301132170</v>
      </c>
      <c r="D194" s="282">
        <v>4607111038487</v>
      </c>
      <c r="E194" s="282"/>
      <c r="F194" s="59">
        <v>0.25</v>
      </c>
      <c r="G194" s="35">
        <v>12</v>
      </c>
      <c r="H194" s="59">
        <v>3</v>
      </c>
      <c r="I194" s="59">
        <v>3.7360000000000002</v>
      </c>
      <c r="J194" s="35">
        <v>70</v>
      </c>
      <c r="K194" s="35" t="s">
        <v>117</v>
      </c>
      <c r="L194" s="35" t="s">
        <v>118</v>
      </c>
      <c r="M194" s="36" t="s">
        <v>86</v>
      </c>
      <c r="N194" s="36"/>
      <c r="O194" s="35">
        <v>180</v>
      </c>
      <c r="P194" s="32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284"/>
      <c r="R194" s="284"/>
      <c r="S194" s="284"/>
      <c r="T194" s="285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18" t="s">
        <v>297</v>
      </c>
      <c r="AG194" s="78"/>
      <c r="AJ194" s="82" t="s">
        <v>119</v>
      </c>
      <c r="AK194" s="82">
        <v>14</v>
      </c>
      <c r="BB194" s="219" t="s">
        <v>116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hidden="1" customHeight="1" x14ac:dyDescent="0.25">
      <c r="A195" s="60" t="s">
        <v>298</v>
      </c>
      <c r="B195" s="60" t="s">
        <v>299</v>
      </c>
      <c r="C195" s="34">
        <v>4301132243</v>
      </c>
      <c r="D195" s="282">
        <v>4620207491195</v>
      </c>
      <c r="E195" s="282"/>
      <c r="F195" s="59">
        <v>0.23</v>
      </c>
      <c r="G195" s="35">
        <v>12</v>
      </c>
      <c r="H195" s="59">
        <v>2.76</v>
      </c>
      <c r="I195" s="59">
        <v>3.1480000000000001</v>
      </c>
      <c r="J195" s="35">
        <v>70</v>
      </c>
      <c r="K195" s="35" t="s">
        <v>117</v>
      </c>
      <c r="L195" s="35" t="s">
        <v>88</v>
      </c>
      <c r="M195" s="36" t="s">
        <v>86</v>
      </c>
      <c r="N195" s="36"/>
      <c r="O195" s="35">
        <v>180</v>
      </c>
      <c r="P195" s="32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284"/>
      <c r="R195" s="284"/>
      <c r="S195" s="284"/>
      <c r="T195" s="285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0" t="s">
        <v>300</v>
      </c>
      <c r="AG195" s="78"/>
      <c r="AJ195" s="82" t="s">
        <v>89</v>
      </c>
      <c r="AK195" s="82">
        <v>1</v>
      </c>
      <c r="BB195" s="221" t="s">
        <v>116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x14ac:dyDescent="0.2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90"/>
      <c r="P196" s="286" t="s">
        <v>40</v>
      </c>
      <c r="Q196" s="287"/>
      <c r="R196" s="287"/>
      <c r="S196" s="287"/>
      <c r="T196" s="287"/>
      <c r="U196" s="287"/>
      <c r="V196" s="288"/>
      <c r="W196" s="40" t="s">
        <v>39</v>
      </c>
      <c r="X196" s="41">
        <f>IFERROR(SUM(X192:X195),"0")</f>
        <v>112</v>
      </c>
      <c r="Y196" s="41">
        <f>IFERROR(SUM(Y192:Y195),"0")</f>
        <v>112</v>
      </c>
      <c r="Z196" s="41">
        <f>IFERROR(IF(Z192="",0,Z192),"0")+IFERROR(IF(Z193="",0,Z193),"0")+IFERROR(IF(Z194="",0,Z194),"0")+IFERROR(IF(Z195="",0,Z195),"0")</f>
        <v>2.0025599999999999</v>
      </c>
      <c r="AA196" s="64"/>
      <c r="AB196" s="64"/>
      <c r="AC196" s="64"/>
    </row>
    <row r="197" spans="1:68" x14ac:dyDescent="0.2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90"/>
      <c r="P197" s="286" t="s">
        <v>40</v>
      </c>
      <c r="Q197" s="287"/>
      <c r="R197" s="287"/>
      <c r="S197" s="287"/>
      <c r="T197" s="287"/>
      <c r="U197" s="287"/>
      <c r="V197" s="288"/>
      <c r="W197" s="40" t="s">
        <v>0</v>
      </c>
      <c r="X197" s="41">
        <f>IFERROR(SUMPRODUCT(X192:X195*H192:H195),"0")</f>
        <v>336</v>
      </c>
      <c r="Y197" s="41">
        <f>IFERROR(SUMPRODUCT(Y192:Y195*H192:H195),"0")</f>
        <v>336</v>
      </c>
      <c r="Z197" s="40"/>
      <c r="AA197" s="64"/>
      <c r="AB197" s="64"/>
      <c r="AC197" s="64"/>
    </row>
    <row r="198" spans="1:68" ht="27.75" hidden="1" customHeight="1" x14ac:dyDescent="0.2">
      <c r="A198" s="309" t="s">
        <v>301</v>
      </c>
      <c r="B198" s="309"/>
      <c r="C198" s="309"/>
      <c r="D198" s="309"/>
      <c r="E198" s="309"/>
      <c r="F198" s="309"/>
      <c r="G198" s="309"/>
      <c r="H198" s="309"/>
      <c r="I198" s="309"/>
      <c r="J198" s="309"/>
      <c r="K198" s="309"/>
      <c r="L198" s="309"/>
      <c r="M198" s="309"/>
      <c r="N198" s="309"/>
      <c r="O198" s="309"/>
      <c r="P198" s="309"/>
      <c r="Q198" s="309"/>
      <c r="R198" s="309"/>
      <c r="S198" s="309"/>
      <c r="T198" s="309"/>
      <c r="U198" s="309"/>
      <c r="V198" s="309"/>
      <c r="W198" s="309"/>
      <c r="X198" s="309"/>
      <c r="Y198" s="309"/>
      <c r="Z198" s="309"/>
      <c r="AA198" s="52"/>
      <c r="AB198" s="52"/>
      <c r="AC198" s="52"/>
    </row>
    <row r="199" spans="1:68" ht="16.5" hidden="1" customHeight="1" x14ac:dyDescent="0.25">
      <c r="A199" s="310" t="s">
        <v>302</v>
      </c>
      <c r="B199" s="310"/>
      <c r="C199" s="310"/>
      <c r="D199" s="310"/>
      <c r="E199" s="310"/>
      <c r="F199" s="310"/>
      <c r="G199" s="310"/>
      <c r="H199" s="310"/>
      <c r="I199" s="310"/>
      <c r="J199" s="310"/>
      <c r="K199" s="310"/>
      <c r="L199" s="310"/>
      <c r="M199" s="310"/>
      <c r="N199" s="310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62"/>
      <c r="AB199" s="62"/>
      <c r="AC199" s="62"/>
    </row>
    <row r="200" spans="1:68" ht="14.25" hidden="1" customHeight="1" x14ac:dyDescent="0.25">
      <c r="A200" s="300" t="s">
        <v>112</v>
      </c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  <c r="AA200" s="63"/>
      <c r="AB200" s="63"/>
      <c r="AC200" s="63"/>
    </row>
    <row r="201" spans="1:68" ht="27" hidden="1" customHeight="1" x14ac:dyDescent="0.25">
      <c r="A201" s="60" t="s">
        <v>303</v>
      </c>
      <c r="B201" s="60" t="s">
        <v>304</v>
      </c>
      <c r="C201" s="34">
        <v>4301132227</v>
      </c>
      <c r="D201" s="282">
        <v>4620207491133</v>
      </c>
      <c r="E201" s="282"/>
      <c r="F201" s="59">
        <v>0.23</v>
      </c>
      <c r="G201" s="35">
        <v>12</v>
      </c>
      <c r="H201" s="59">
        <v>2.76</v>
      </c>
      <c r="I201" s="59">
        <v>2.98</v>
      </c>
      <c r="J201" s="35">
        <v>70</v>
      </c>
      <c r="K201" s="35" t="s">
        <v>117</v>
      </c>
      <c r="L201" s="35" t="s">
        <v>118</v>
      </c>
      <c r="M201" s="36" t="s">
        <v>86</v>
      </c>
      <c r="N201" s="36"/>
      <c r="O201" s="35">
        <v>180</v>
      </c>
      <c r="P201" s="3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284"/>
      <c r="R201" s="284"/>
      <c r="S201" s="284"/>
      <c r="T201" s="285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2" t="s">
        <v>305</v>
      </c>
      <c r="AG201" s="78"/>
      <c r="AJ201" s="82" t="s">
        <v>119</v>
      </c>
      <c r="AK201" s="82">
        <v>14</v>
      </c>
      <c r="BB201" s="223" t="s">
        <v>116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12.75" hidden="1" customHeight="1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286" t="s">
        <v>40</v>
      </c>
      <c r="Q202" s="287"/>
      <c r="R202" s="287"/>
      <c r="S202" s="287"/>
      <c r="T202" s="287"/>
      <c r="U202" s="287"/>
      <c r="V202" s="288"/>
      <c r="W202" s="40" t="s">
        <v>39</v>
      </c>
      <c r="X202" s="41">
        <f>IFERROR(SUM(X201:X201),"0")</f>
        <v>0</v>
      </c>
      <c r="Y202" s="41">
        <f>IFERROR(SUM(Y201:Y201),"0")</f>
        <v>0</v>
      </c>
      <c r="Z202" s="41">
        <f>IFERROR(IF(Z201="",0,Z201),"0")</f>
        <v>0</v>
      </c>
      <c r="AA202" s="64"/>
      <c r="AB202" s="64"/>
      <c r="AC202" s="64"/>
    </row>
    <row r="203" spans="1:68" ht="12.75" hidden="1" customHeight="1" x14ac:dyDescent="0.2">
      <c r="A203" s="289"/>
      <c r="B203" s="289"/>
      <c r="C203" s="289"/>
      <c r="D203" s="289"/>
      <c r="E203" s="289"/>
      <c r="F203" s="289"/>
      <c r="G203" s="289"/>
      <c r="H203" s="289"/>
      <c r="I203" s="289"/>
      <c r="J203" s="289"/>
      <c r="K203" s="289"/>
      <c r="L203" s="289"/>
      <c r="M203" s="289"/>
      <c r="N203" s="289"/>
      <c r="O203" s="290"/>
      <c r="P203" s="286" t="s">
        <v>40</v>
      </c>
      <c r="Q203" s="287"/>
      <c r="R203" s="287"/>
      <c r="S203" s="287"/>
      <c r="T203" s="287"/>
      <c r="U203" s="287"/>
      <c r="V203" s="288"/>
      <c r="W203" s="40" t="s">
        <v>0</v>
      </c>
      <c r="X203" s="41">
        <f>IFERROR(SUMPRODUCT(X201:X201*H201:H201),"0")</f>
        <v>0</v>
      </c>
      <c r="Y203" s="41">
        <f>IFERROR(SUMPRODUCT(Y201:Y201*H201:H201),"0")</f>
        <v>0</v>
      </c>
      <c r="Z203" s="40"/>
      <c r="AA203" s="64"/>
      <c r="AB203" s="64"/>
      <c r="AC203" s="64"/>
    </row>
    <row r="204" spans="1:68" ht="14.25" hidden="1" customHeight="1" x14ac:dyDescent="0.25">
      <c r="A204" s="300" t="s">
        <v>156</v>
      </c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3"/>
      <c r="AB204" s="63"/>
      <c r="AC204" s="63"/>
    </row>
    <row r="205" spans="1:68" ht="27" hidden="1" customHeight="1" x14ac:dyDescent="0.25">
      <c r="A205" s="60" t="s">
        <v>306</v>
      </c>
      <c r="B205" s="60" t="s">
        <v>307</v>
      </c>
      <c r="C205" s="34">
        <v>4301135834</v>
      </c>
      <c r="D205" s="282">
        <v>4620207491188</v>
      </c>
      <c r="E205" s="282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117</v>
      </c>
      <c r="L205" s="35" t="s">
        <v>88</v>
      </c>
      <c r="M205" s="36" t="s">
        <v>86</v>
      </c>
      <c r="N205" s="36"/>
      <c r="O205" s="35">
        <v>180</v>
      </c>
      <c r="P205" s="3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284"/>
      <c r="R205" s="284"/>
      <c r="S205" s="284"/>
      <c r="T205" s="285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24" t="s">
        <v>308</v>
      </c>
      <c r="AG205" s="78"/>
      <c r="AJ205" s="82" t="s">
        <v>89</v>
      </c>
      <c r="AK205" s="82">
        <v>1</v>
      </c>
      <c r="BB205" s="225" t="s">
        <v>116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309</v>
      </c>
      <c r="B206" s="60" t="s">
        <v>310</v>
      </c>
      <c r="C206" s="34">
        <v>4301135707</v>
      </c>
      <c r="D206" s="282">
        <v>4620207490198</v>
      </c>
      <c r="E206" s="282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117</v>
      </c>
      <c r="L206" s="35" t="s">
        <v>118</v>
      </c>
      <c r="M206" s="36" t="s">
        <v>86</v>
      </c>
      <c r="N206" s="36"/>
      <c r="O206" s="35">
        <v>180</v>
      </c>
      <c r="P206" s="3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284"/>
      <c r="R206" s="284"/>
      <c r="S206" s="284"/>
      <c r="T206" s="285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6" t="s">
        <v>311</v>
      </c>
      <c r="AG206" s="78"/>
      <c r="AJ206" s="82" t="s">
        <v>119</v>
      </c>
      <c r="AK206" s="82">
        <v>14</v>
      </c>
      <c r="BB206" s="227" t="s">
        <v>116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hidden="1" customHeight="1" x14ac:dyDescent="0.25">
      <c r="A207" s="60" t="s">
        <v>312</v>
      </c>
      <c r="B207" s="60" t="s">
        <v>313</v>
      </c>
      <c r="C207" s="34">
        <v>4301135829</v>
      </c>
      <c r="D207" s="282">
        <v>4620207490235</v>
      </c>
      <c r="E207" s="282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117</v>
      </c>
      <c r="L207" s="35" t="s">
        <v>88</v>
      </c>
      <c r="M207" s="36" t="s">
        <v>86</v>
      </c>
      <c r="N207" s="36"/>
      <c r="O207" s="35">
        <v>180</v>
      </c>
      <c r="P207" s="3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284"/>
      <c r="R207" s="284"/>
      <c r="S207" s="284"/>
      <c r="T207" s="285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28" t="s">
        <v>314</v>
      </c>
      <c r="AG207" s="78"/>
      <c r="AJ207" s="82" t="s">
        <v>89</v>
      </c>
      <c r="AK207" s="82">
        <v>1</v>
      </c>
      <c r="BB207" s="229" t="s">
        <v>116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282">
        <v>4620207490259</v>
      </c>
      <c r="E208" s="282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117</v>
      </c>
      <c r="L208" s="35" t="s">
        <v>118</v>
      </c>
      <c r="M208" s="36" t="s">
        <v>86</v>
      </c>
      <c r="N208" s="36"/>
      <c r="O208" s="35">
        <v>180</v>
      </c>
      <c r="P208" s="3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284"/>
      <c r="R208" s="284"/>
      <c r="S208" s="284"/>
      <c r="T208" s="285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311</v>
      </c>
      <c r="AG208" s="78"/>
      <c r="AJ208" s="82" t="s">
        <v>119</v>
      </c>
      <c r="AK208" s="82">
        <v>14</v>
      </c>
      <c r="BB208" s="231" t="s">
        <v>116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12.75" hidden="1" customHeight="1" x14ac:dyDescent="0.2">
      <c r="A209" s="289"/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90"/>
      <c r="P209" s="286" t="s">
        <v>40</v>
      </c>
      <c r="Q209" s="287"/>
      <c r="R209" s="287"/>
      <c r="S209" s="287"/>
      <c r="T209" s="287"/>
      <c r="U209" s="287"/>
      <c r="V209" s="288"/>
      <c r="W209" s="40" t="s">
        <v>39</v>
      </c>
      <c r="X209" s="41">
        <f>IFERROR(SUM(X205:X208),"0")</f>
        <v>0</v>
      </c>
      <c r="Y209" s="41">
        <f>IFERROR(SUM(Y205:Y208),"0")</f>
        <v>0</v>
      </c>
      <c r="Z209" s="41">
        <f>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ht="12.75" hidden="1" customHeight="1" x14ac:dyDescent="0.2">
      <c r="A210" s="289"/>
      <c r="B210" s="289"/>
      <c r="C210" s="289"/>
      <c r="D210" s="289"/>
      <c r="E210" s="289"/>
      <c r="F210" s="289"/>
      <c r="G210" s="289"/>
      <c r="H210" s="289"/>
      <c r="I210" s="289"/>
      <c r="J210" s="289"/>
      <c r="K210" s="289"/>
      <c r="L210" s="289"/>
      <c r="M210" s="289"/>
      <c r="N210" s="289"/>
      <c r="O210" s="290"/>
      <c r="P210" s="286" t="s">
        <v>40</v>
      </c>
      <c r="Q210" s="287"/>
      <c r="R210" s="287"/>
      <c r="S210" s="287"/>
      <c r="T210" s="287"/>
      <c r="U210" s="287"/>
      <c r="V210" s="288"/>
      <c r="W210" s="40" t="s">
        <v>0</v>
      </c>
      <c r="X210" s="41">
        <f>IFERROR(SUMPRODUCT(X205:X208*H205:H208),"0")</f>
        <v>0</v>
      </c>
      <c r="Y210" s="41">
        <f>IFERROR(SUMPRODUCT(Y205:Y208*H205:H208),"0")</f>
        <v>0</v>
      </c>
      <c r="Z210" s="40"/>
      <c r="AA210" s="64"/>
      <c r="AB210" s="64"/>
      <c r="AC210" s="64"/>
    </row>
    <row r="211" spans="1:68" ht="16.5" hidden="1" customHeight="1" x14ac:dyDescent="0.25">
      <c r="A211" s="310" t="s">
        <v>317</v>
      </c>
      <c r="B211" s="310"/>
      <c r="C211" s="310"/>
      <c r="D211" s="310"/>
      <c r="E211" s="310"/>
      <c r="F211" s="310"/>
      <c r="G211" s="310"/>
      <c r="H211" s="310"/>
      <c r="I211" s="310"/>
      <c r="J211" s="310"/>
      <c r="K211" s="310"/>
      <c r="L211" s="310"/>
      <c r="M211" s="310"/>
      <c r="N211" s="310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62"/>
      <c r="AB211" s="62"/>
      <c r="AC211" s="62"/>
    </row>
    <row r="212" spans="1:68" ht="14.25" hidden="1" customHeight="1" x14ac:dyDescent="0.25">
      <c r="A212" s="300" t="s">
        <v>82</v>
      </c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  <c r="AA212" s="63"/>
      <c r="AB212" s="63"/>
      <c r="AC212" s="63"/>
    </row>
    <row r="213" spans="1:68" ht="27" hidden="1" customHeight="1" x14ac:dyDescent="0.25">
      <c r="A213" s="60" t="s">
        <v>318</v>
      </c>
      <c r="B213" s="60" t="s">
        <v>319</v>
      </c>
      <c r="C213" s="34">
        <v>4301071097</v>
      </c>
      <c r="D213" s="282">
        <v>4620207491096</v>
      </c>
      <c r="E213" s="282"/>
      <c r="F213" s="59">
        <v>1</v>
      </c>
      <c r="G213" s="35">
        <v>5</v>
      </c>
      <c r="H213" s="59">
        <v>5</v>
      </c>
      <c r="I213" s="59">
        <v>5.23</v>
      </c>
      <c r="J213" s="35">
        <v>84</v>
      </c>
      <c r="K213" s="35" t="s">
        <v>87</v>
      </c>
      <c r="L213" s="35" t="s">
        <v>118</v>
      </c>
      <c r="M213" s="36" t="s">
        <v>86</v>
      </c>
      <c r="N213" s="36"/>
      <c r="O213" s="35">
        <v>180</v>
      </c>
      <c r="P213" s="31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284"/>
      <c r="R213" s="284"/>
      <c r="S213" s="284"/>
      <c r="T213" s="285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IFERROR(IF(X213="","",X213*0.0155),"")</f>
        <v>0</v>
      </c>
      <c r="AA213" s="65" t="s">
        <v>46</v>
      </c>
      <c r="AB213" s="66" t="s">
        <v>46</v>
      </c>
      <c r="AC213" s="232" t="s">
        <v>320</v>
      </c>
      <c r="AG213" s="78"/>
      <c r="AJ213" s="82" t="s">
        <v>119</v>
      </c>
      <c r="AK213" s="82">
        <v>12</v>
      </c>
      <c r="BB213" s="233" t="s">
        <v>70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12.75" hidden="1" customHeight="1" x14ac:dyDescent="0.2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0"/>
      <c r="P214" s="286" t="s">
        <v>40</v>
      </c>
      <c r="Q214" s="287"/>
      <c r="R214" s="287"/>
      <c r="S214" s="287"/>
      <c r="T214" s="287"/>
      <c r="U214" s="287"/>
      <c r="V214" s="288"/>
      <c r="W214" s="40" t="s">
        <v>39</v>
      </c>
      <c r="X214" s="41">
        <f>IFERROR(SUM(X213:X213),"0")</f>
        <v>0</v>
      </c>
      <c r="Y214" s="41">
        <f>IFERROR(SUM(Y213:Y213),"0")</f>
        <v>0</v>
      </c>
      <c r="Z214" s="41">
        <f>IFERROR(IF(Z213="",0,Z213),"0")</f>
        <v>0</v>
      </c>
      <c r="AA214" s="64"/>
      <c r="AB214" s="64"/>
      <c r="AC214" s="64"/>
    </row>
    <row r="215" spans="1:68" ht="12.75" hidden="1" customHeight="1" x14ac:dyDescent="0.2">
      <c r="A215" s="289"/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90"/>
      <c r="P215" s="286" t="s">
        <v>40</v>
      </c>
      <c r="Q215" s="287"/>
      <c r="R215" s="287"/>
      <c r="S215" s="287"/>
      <c r="T215" s="287"/>
      <c r="U215" s="287"/>
      <c r="V215" s="288"/>
      <c r="W215" s="40" t="s">
        <v>0</v>
      </c>
      <c r="X215" s="41">
        <f>IFERROR(SUMPRODUCT(X213:X213*H213:H213),"0")</f>
        <v>0</v>
      </c>
      <c r="Y215" s="41">
        <f>IFERROR(SUMPRODUCT(Y213:Y213*H213:H213),"0")</f>
        <v>0</v>
      </c>
      <c r="Z215" s="40"/>
      <c r="AA215" s="64"/>
      <c r="AB215" s="64"/>
      <c r="AC215" s="64"/>
    </row>
    <row r="216" spans="1:68" ht="16.5" hidden="1" customHeight="1" x14ac:dyDescent="0.25">
      <c r="A216" s="310" t="s">
        <v>321</v>
      </c>
      <c r="B216" s="310"/>
      <c r="C216" s="310"/>
      <c r="D216" s="310"/>
      <c r="E216" s="310"/>
      <c r="F216" s="310"/>
      <c r="G216" s="310"/>
      <c r="H216" s="310"/>
      <c r="I216" s="310"/>
      <c r="J216" s="310"/>
      <c r="K216" s="310"/>
      <c r="L216" s="310"/>
      <c r="M216" s="310"/>
      <c r="N216" s="310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62"/>
      <c r="AB216" s="62"/>
      <c r="AC216" s="62"/>
    </row>
    <row r="217" spans="1:68" ht="14.25" hidden="1" customHeight="1" x14ac:dyDescent="0.25">
      <c r="A217" s="300" t="s">
        <v>156</v>
      </c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  <c r="AA217" s="63"/>
      <c r="AB217" s="63"/>
      <c r="AC217" s="63"/>
    </row>
    <row r="218" spans="1:68" ht="27" hidden="1" customHeight="1" x14ac:dyDescent="0.25">
      <c r="A218" s="60" t="s">
        <v>322</v>
      </c>
      <c r="B218" s="60" t="s">
        <v>323</v>
      </c>
      <c r="C218" s="34">
        <v>4301135691</v>
      </c>
      <c r="D218" s="282">
        <v>4620207490549</v>
      </c>
      <c r="E218" s="282"/>
      <c r="F218" s="59">
        <v>0.2</v>
      </c>
      <c r="G218" s="35">
        <v>12</v>
      </c>
      <c r="H218" s="59">
        <v>2.4</v>
      </c>
      <c r="I218" s="59">
        <v>3.1036000000000001</v>
      </c>
      <c r="J218" s="35">
        <v>70</v>
      </c>
      <c r="K218" s="35" t="s">
        <v>117</v>
      </c>
      <c r="L218" s="35" t="s">
        <v>88</v>
      </c>
      <c r="M218" s="36" t="s">
        <v>86</v>
      </c>
      <c r="N218" s="36"/>
      <c r="O218" s="35">
        <v>180</v>
      </c>
      <c r="P218" s="31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284"/>
      <c r="R218" s="284"/>
      <c r="S218" s="284"/>
      <c r="T218" s="285"/>
      <c r="U218" s="37" t="s">
        <v>46</v>
      </c>
      <c r="V218" s="37" t="s">
        <v>46</v>
      </c>
      <c r="W218" s="38" t="s">
        <v>39</v>
      </c>
      <c r="X218" s="56">
        <v>0</v>
      </c>
      <c r="Y218" s="53">
        <f>IFERROR(IF(X218="","",X218),"")</f>
        <v>0</v>
      </c>
      <c r="Z218" s="39">
        <f>IFERROR(IF(X218="","",X218*0.01788),"")</f>
        <v>0</v>
      </c>
      <c r="AA218" s="65" t="s">
        <v>46</v>
      </c>
      <c r="AB218" s="66" t="s">
        <v>46</v>
      </c>
      <c r="AC218" s="234" t="s">
        <v>324</v>
      </c>
      <c r="AG218" s="78"/>
      <c r="AJ218" s="82" t="s">
        <v>89</v>
      </c>
      <c r="AK218" s="82">
        <v>1</v>
      </c>
      <c r="BB218" s="235" t="s">
        <v>116</v>
      </c>
      <c r="BM218" s="78">
        <f>IFERROR(X218*I218,"0")</f>
        <v>0</v>
      </c>
      <c r="BN218" s="78">
        <f>IFERROR(Y218*I218,"0")</f>
        <v>0</v>
      </c>
      <c r="BO218" s="78">
        <f>IFERROR(X218/J218,"0")</f>
        <v>0</v>
      </c>
      <c r="BP218" s="78">
        <f>IFERROR(Y218/J218,"0")</f>
        <v>0</v>
      </c>
    </row>
    <row r="219" spans="1:68" ht="27" hidden="1" customHeight="1" x14ac:dyDescent="0.25">
      <c r="A219" s="60" t="s">
        <v>325</v>
      </c>
      <c r="B219" s="60" t="s">
        <v>326</v>
      </c>
      <c r="C219" s="34">
        <v>4301135694</v>
      </c>
      <c r="D219" s="282">
        <v>4620207490501</v>
      </c>
      <c r="E219" s="282"/>
      <c r="F219" s="59">
        <v>0.2</v>
      </c>
      <c r="G219" s="35">
        <v>12</v>
      </c>
      <c r="H219" s="59">
        <v>2.4</v>
      </c>
      <c r="I219" s="59">
        <v>3.1036000000000001</v>
      </c>
      <c r="J219" s="35">
        <v>70</v>
      </c>
      <c r="K219" s="35" t="s">
        <v>117</v>
      </c>
      <c r="L219" s="35" t="s">
        <v>88</v>
      </c>
      <c r="M219" s="36" t="s">
        <v>86</v>
      </c>
      <c r="N219" s="36"/>
      <c r="O219" s="35">
        <v>180</v>
      </c>
      <c r="P219" s="31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284"/>
      <c r="R219" s="284"/>
      <c r="S219" s="284"/>
      <c r="T219" s="285"/>
      <c r="U219" s="37" t="s">
        <v>46</v>
      </c>
      <c r="V219" s="37" t="s">
        <v>46</v>
      </c>
      <c r="W219" s="38" t="s">
        <v>39</v>
      </c>
      <c r="X219" s="56">
        <v>0</v>
      </c>
      <c r="Y219" s="53">
        <f>IFERROR(IF(X219="","",X219),"")</f>
        <v>0</v>
      </c>
      <c r="Z219" s="39">
        <f>IFERROR(IF(X219="","",X219*0.01788),"")</f>
        <v>0</v>
      </c>
      <c r="AA219" s="65" t="s">
        <v>46</v>
      </c>
      <c r="AB219" s="66" t="s">
        <v>46</v>
      </c>
      <c r="AC219" s="236" t="s">
        <v>324</v>
      </c>
      <c r="AG219" s="78"/>
      <c r="AJ219" s="82" t="s">
        <v>89</v>
      </c>
      <c r="AK219" s="82">
        <v>1</v>
      </c>
      <c r="BB219" s="237" t="s">
        <v>116</v>
      </c>
      <c r="BM219" s="78">
        <f>IFERROR(X219*I219,"0")</f>
        <v>0</v>
      </c>
      <c r="BN219" s="78">
        <f>IFERROR(Y219*I219,"0")</f>
        <v>0</v>
      </c>
      <c r="BO219" s="78">
        <f>IFERROR(X219/J219,"0")</f>
        <v>0</v>
      </c>
      <c r="BP219" s="78">
        <f>IFERROR(Y219/J219,"0")</f>
        <v>0</v>
      </c>
    </row>
    <row r="220" spans="1:68" ht="12.75" hidden="1" customHeight="1" x14ac:dyDescent="0.2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0"/>
      <c r="P220" s="286" t="s">
        <v>40</v>
      </c>
      <c r="Q220" s="287"/>
      <c r="R220" s="287"/>
      <c r="S220" s="287"/>
      <c r="T220" s="287"/>
      <c r="U220" s="287"/>
      <c r="V220" s="288"/>
      <c r="W220" s="40" t="s">
        <v>39</v>
      </c>
      <c r="X220" s="41">
        <f>IFERROR(SUM(X218:X219),"0")</f>
        <v>0</v>
      </c>
      <c r="Y220" s="41">
        <f>IFERROR(SUM(Y218:Y219),"0")</f>
        <v>0</v>
      </c>
      <c r="Z220" s="41">
        <f>IFERROR(IF(Z218="",0,Z218),"0")+IFERROR(IF(Z219="",0,Z219),"0")</f>
        <v>0</v>
      </c>
      <c r="AA220" s="64"/>
      <c r="AB220" s="64"/>
      <c r="AC220" s="64"/>
    </row>
    <row r="221" spans="1:68" ht="12.75" hidden="1" customHeight="1" x14ac:dyDescent="0.2">
      <c r="A221" s="289"/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90"/>
      <c r="P221" s="286" t="s">
        <v>40</v>
      </c>
      <c r="Q221" s="287"/>
      <c r="R221" s="287"/>
      <c r="S221" s="287"/>
      <c r="T221" s="287"/>
      <c r="U221" s="287"/>
      <c r="V221" s="288"/>
      <c r="W221" s="40" t="s">
        <v>0</v>
      </c>
      <c r="X221" s="41">
        <f>IFERROR(SUMPRODUCT(X218:X219*H218:H219),"0")</f>
        <v>0</v>
      </c>
      <c r="Y221" s="41">
        <f>IFERROR(SUMPRODUCT(Y218:Y219*H218:H219),"0")</f>
        <v>0</v>
      </c>
      <c r="Z221" s="40"/>
      <c r="AA221" s="64"/>
      <c r="AB221" s="64"/>
      <c r="AC221" s="64"/>
    </row>
    <row r="222" spans="1:68" ht="27.75" hidden="1" customHeight="1" x14ac:dyDescent="0.2">
      <c r="A222" s="309" t="s">
        <v>327</v>
      </c>
      <c r="B222" s="309"/>
      <c r="C222" s="309"/>
      <c r="D222" s="309"/>
      <c r="E222" s="309"/>
      <c r="F222" s="309"/>
      <c r="G222" s="309"/>
      <c r="H222" s="309"/>
      <c r="I222" s="309"/>
      <c r="J222" s="309"/>
      <c r="K222" s="309"/>
      <c r="L222" s="309"/>
      <c r="M222" s="309"/>
      <c r="N222" s="309"/>
      <c r="O222" s="309"/>
      <c r="P222" s="309"/>
      <c r="Q222" s="309"/>
      <c r="R222" s="309"/>
      <c r="S222" s="309"/>
      <c r="T222" s="309"/>
      <c r="U222" s="309"/>
      <c r="V222" s="309"/>
      <c r="W222" s="309"/>
      <c r="X222" s="309"/>
      <c r="Y222" s="309"/>
      <c r="Z222" s="309"/>
      <c r="AA222" s="52"/>
      <c r="AB222" s="52"/>
      <c r="AC222" s="52"/>
    </row>
    <row r="223" spans="1:68" ht="16.5" hidden="1" customHeight="1" x14ac:dyDescent="0.25">
      <c r="A223" s="310" t="s">
        <v>328</v>
      </c>
      <c r="B223" s="310"/>
      <c r="C223" s="310"/>
      <c r="D223" s="310"/>
      <c r="E223" s="310"/>
      <c r="F223" s="310"/>
      <c r="G223" s="310"/>
      <c r="H223" s="310"/>
      <c r="I223" s="310"/>
      <c r="J223" s="310"/>
      <c r="K223" s="310"/>
      <c r="L223" s="310"/>
      <c r="M223" s="310"/>
      <c r="N223" s="310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62"/>
      <c r="AB223" s="62"/>
      <c r="AC223" s="62"/>
    </row>
    <row r="224" spans="1:68" ht="14.25" hidden="1" customHeight="1" x14ac:dyDescent="0.25">
      <c r="A224" s="300" t="s">
        <v>82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  <c r="AA224" s="63"/>
      <c r="AB224" s="63"/>
      <c r="AC224" s="63"/>
    </row>
    <row r="225" spans="1:68" ht="27" hidden="1" customHeight="1" x14ac:dyDescent="0.25">
      <c r="A225" s="60" t="s">
        <v>329</v>
      </c>
      <c r="B225" s="60" t="s">
        <v>330</v>
      </c>
      <c r="C225" s="34">
        <v>4301071036</v>
      </c>
      <c r="D225" s="282">
        <v>4607111036162</v>
      </c>
      <c r="E225" s="282"/>
      <c r="F225" s="59">
        <v>0.8</v>
      </c>
      <c r="G225" s="35">
        <v>8</v>
      </c>
      <c r="H225" s="59">
        <v>6.4</v>
      </c>
      <c r="I225" s="59">
        <v>6.6811999999999996</v>
      </c>
      <c r="J225" s="35">
        <v>84</v>
      </c>
      <c r="K225" s="35" t="s">
        <v>87</v>
      </c>
      <c r="L225" s="35" t="s">
        <v>88</v>
      </c>
      <c r="M225" s="36" t="s">
        <v>86</v>
      </c>
      <c r="N225" s="36"/>
      <c r="O225" s="35">
        <v>90</v>
      </c>
      <c r="P225" s="31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284"/>
      <c r="R225" s="284"/>
      <c r="S225" s="284"/>
      <c r="T225" s="285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IFERROR(IF(X225="","",X225*0.0155),"")</f>
        <v>0</v>
      </c>
      <c r="AA225" s="65" t="s">
        <v>46</v>
      </c>
      <c r="AB225" s="66" t="s">
        <v>46</v>
      </c>
      <c r="AC225" s="238" t="s">
        <v>331</v>
      </c>
      <c r="AG225" s="78"/>
      <c r="AJ225" s="82" t="s">
        <v>89</v>
      </c>
      <c r="AK225" s="82">
        <v>1</v>
      </c>
      <c r="BB225" s="239" t="s">
        <v>70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t="12.75" hidden="1" customHeight="1" x14ac:dyDescent="0.2">
      <c r="A226" s="289"/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90"/>
      <c r="P226" s="286" t="s">
        <v>40</v>
      </c>
      <c r="Q226" s="287"/>
      <c r="R226" s="287"/>
      <c r="S226" s="287"/>
      <c r="T226" s="287"/>
      <c r="U226" s="287"/>
      <c r="V226" s="288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t="12.75" hidden="1" customHeight="1" x14ac:dyDescent="0.2">
      <c r="A227" s="289"/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90"/>
      <c r="P227" s="286" t="s">
        <v>40</v>
      </c>
      <c r="Q227" s="287"/>
      <c r="R227" s="287"/>
      <c r="S227" s="287"/>
      <c r="T227" s="287"/>
      <c r="U227" s="287"/>
      <c r="V227" s="288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09" t="s">
        <v>332</v>
      </c>
      <c r="B228" s="309"/>
      <c r="C228" s="309"/>
      <c r="D228" s="309"/>
      <c r="E228" s="309"/>
      <c r="F228" s="309"/>
      <c r="G228" s="309"/>
      <c r="H228" s="309"/>
      <c r="I228" s="309"/>
      <c r="J228" s="309"/>
      <c r="K228" s="309"/>
      <c r="L228" s="309"/>
      <c r="M228" s="309"/>
      <c r="N228" s="309"/>
      <c r="O228" s="309"/>
      <c r="P228" s="309"/>
      <c r="Q228" s="309"/>
      <c r="R228" s="309"/>
      <c r="S228" s="309"/>
      <c r="T228" s="309"/>
      <c r="U228" s="309"/>
      <c r="V228" s="309"/>
      <c r="W228" s="309"/>
      <c r="X228" s="309"/>
      <c r="Y228" s="309"/>
      <c r="Z228" s="309"/>
      <c r="AA228" s="52"/>
      <c r="AB228" s="52"/>
      <c r="AC228" s="52"/>
    </row>
    <row r="229" spans="1:68" ht="16.5" hidden="1" customHeight="1" x14ac:dyDescent="0.25">
      <c r="A229" s="310" t="s">
        <v>333</v>
      </c>
      <c r="B229" s="310"/>
      <c r="C229" s="310"/>
      <c r="D229" s="310"/>
      <c r="E229" s="310"/>
      <c r="F229" s="310"/>
      <c r="G229" s="310"/>
      <c r="H229" s="310"/>
      <c r="I229" s="310"/>
      <c r="J229" s="310"/>
      <c r="K229" s="310"/>
      <c r="L229" s="310"/>
      <c r="M229" s="310"/>
      <c r="N229" s="310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62"/>
      <c r="AB229" s="62"/>
      <c r="AC229" s="62"/>
    </row>
    <row r="230" spans="1:68" ht="14.25" hidden="1" customHeight="1" x14ac:dyDescent="0.25">
      <c r="A230" s="300" t="s">
        <v>82</v>
      </c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  <c r="AA230" s="63"/>
      <c r="AB230" s="63"/>
      <c r="AC230" s="63"/>
    </row>
    <row r="231" spans="1:68" ht="27" hidden="1" customHeight="1" x14ac:dyDescent="0.25">
      <c r="A231" s="60" t="s">
        <v>334</v>
      </c>
      <c r="B231" s="60" t="s">
        <v>335</v>
      </c>
      <c r="C231" s="34">
        <v>4301071029</v>
      </c>
      <c r="D231" s="282">
        <v>4607111035899</v>
      </c>
      <c r="E231" s="282"/>
      <c r="F231" s="59">
        <v>1</v>
      </c>
      <c r="G231" s="35">
        <v>5</v>
      </c>
      <c r="H231" s="59">
        <v>5</v>
      </c>
      <c r="I231" s="59">
        <v>5.2619999999999996</v>
      </c>
      <c r="J231" s="35">
        <v>84</v>
      </c>
      <c r="K231" s="35" t="s">
        <v>87</v>
      </c>
      <c r="L231" s="35" t="s">
        <v>88</v>
      </c>
      <c r="M231" s="36" t="s">
        <v>86</v>
      </c>
      <c r="N231" s="36"/>
      <c r="O231" s="35">
        <v>180</v>
      </c>
      <c r="P231" s="3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284"/>
      <c r="R231" s="284"/>
      <c r="S231" s="284"/>
      <c r="T231" s="285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0" t="s">
        <v>280</v>
      </c>
      <c r="AG231" s="78"/>
      <c r="AJ231" s="82" t="s">
        <v>89</v>
      </c>
      <c r="AK231" s="82">
        <v>1</v>
      </c>
      <c r="BB231" s="241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t="12.75" hidden="1" customHeight="1" x14ac:dyDescent="0.2">
      <c r="A232" s="289"/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90"/>
      <c r="P232" s="286" t="s">
        <v>40</v>
      </c>
      <c r="Q232" s="287"/>
      <c r="R232" s="287"/>
      <c r="S232" s="287"/>
      <c r="T232" s="287"/>
      <c r="U232" s="287"/>
      <c r="V232" s="288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t="12.75" hidden="1" customHeight="1" x14ac:dyDescent="0.2">
      <c r="A233" s="289"/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90"/>
      <c r="P233" s="286" t="s">
        <v>40</v>
      </c>
      <c r="Q233" s="287"/>
      <c r="R233" s="287"/>
      <c r="S233" s="287"/>
      <c r="T233" s="287"/>
      <c r="U233" s="287"/>
      <c r="V233" s="288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09" t="s">
        <v>336</v>
      </c>
      <c r="B234" s="309"/>
      <c r="C234" s="309"/>
      <c r="D234" s="309"/>
      <c r="E234" s="309"/>
      <c r="F234" s="309"/>
      <c r="G234" s="309"/>
      <c r="H234" s="309"/>
      <c r="I234" s="309"/>
      <c r="J234" s="309"/>
      <c r="K234" s="309"/>
      <c r="L234" s="309"/>
      <c r="M234" s="309"/>
      <c r="N234" s="309"/>
      <c r="O234" s="309"/>
      <c r="P234" s="309"/>
      <c r="Q234" s="309"/>
      <c r="R234" s="309"/>
      <c r="S234" s="309"/>
      <c r="T234" s="309"/>
      <c r="U234" s="309"/>
      <c r="V234" s="309"/>
      <c r="W234" s="309"/>
      <c r="X234" s="309"/>
      <c r="Y234" s="309"/>
      <c r="Z234" s="309"/>
      <c r="AA234" s="52"/>
      <c r="AB234" s="52"/>
      <c r="AC234" s="52"/>
    </row>
    <row r="235" spans="1:68" ht="16.5" hidden="1" customHeight="1" x14ac:dyDescent="0.25">
      <c r="A235" s="310" t="s">
        <v>337</v>
      </c>
      <c r="B235" s="310"/>
      <c r="C235" s="310"/>
      <c r="D235" s="310"/>
      <c r="E235" s="310"/>
      <c r="F235" s="310"/>
      <c r="G235" s="310"/>
      <c r="H235" s="310"/>
      <c r="I235" s="310"/>
      <c r="J235" s="310"/>
      <c r="K235" s="310"/>
      <c r="L235" s="310"/>
      <c r="M235" s="310"/>
      <c r="N235" s="310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62"/>
      <c r="AB235" s="62"/>
      <c r="AC235" s="62"/>
    </row>
    <row r="236" spans="1:68" ht="14.25" hidden="1" customHeight="1" x14ac:dyDescent="0.25">
      <c r="A236" s="300" t="s">
        <v>338</v>
      </c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  <c r="AA236" s="63"/>
      <c r="AB236" s="63"/>
      <c r="AC236" s="63"/>
    </row>
    <row r="237" spans="1:68" ht="27" hidden="1" customHeight="1" x14ac:dyDescent="0.25">
      <c r="A237" s="60" t="s">
        <v>339</v>
      </c>
      <c r="B237" s="60" t="s">
        <v>340</v>
      </c>
      <c r="C237" s="34">
        <v>4301133004</v>
      </c>
      <c r="D237" s="282">
        <v>4607111039774</v>
      </c>
      <c r="E237" s="282"/>
      <c r="F237" s="59">
        <v>0.25</v>
      </c>
      <c r="G237" s="35">
        <v>12</v>
      </c>
      <c r="H237" s="59">
        <v>3</v>
      </c>
      <c r="I237" s="59">
        <v>3.22</v>
      </c>
      <c r="J237" s="35">
        <v>70</v>
      </c>
      <c r="K237" s="35" t="s">
        <v>117</v>
      </c>
      <c r="L237" s="35" t="s">
        <v>88</v>
      </c>
      <c r="M237" s="36" t="s">
        <v>86</v>
      </c>
      <c r="N237" s="36"/>
      <c r="O237" s="35">
        <v>180</v>
      </c>
      <c r="P237" s="31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4"/>
      <c r="R237" s="284"/>
      <c r="S237" s="284"/>
      <c r="T237" s="285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2" t="s">
        <v>341</v>
      </c>
      <c r="AG237" s="78"/>
      <c r="AJ237" s="82" t="s">
        <v>89</v>
      </c>
      <c r="AK237" s="82">
        <v>1</v>
      </c>
      <c r="BB237" s="243" t="s">
        <v>116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t="12.75" hidden="1" customHeight="1" x14ac:dyDescent="0.2">
      <c r="A238" s="289"/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90"/>
      <c r="P238" s="286" t="s">
        <v>40</v>
      </c>
      <c r="Q238" s="287"/>
      <c r="R238" s="287"/>
      <c r="S238" s="287"/>
      <c r="T238" s="287"/>
      <c r="U238" s="287"/>
      <c r="V238" s="288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t="12.75" hidden="1" customHeight="1" x14ac:dyDescent="0.2">
      <c r="A239" s="289"/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90"/>
      <c r="P239" s="286" t="s">
        <v>40</v>
      </c>
      <c r="Q239" s="287"/>
      <c r="R239" s="287"/>
      <c r="S239" s="287"/>
      <c r="T239" s="287"/>
      <c r="U239" s="287"/>
      <c r="V239" s="288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14.25" hidden="1" customHeight="1" x14ac:dyDescent="0.25">
      <c r="A240" s="300" t="s">
        <v>156</v>
      </c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  <c r="AA240" s="63"/>
      <c r="AB240" s="63"/>
      <c r="AC240" s="63"/>
    </row>
    <row r="241" spans="1:68" ht="37.5" hidden="1" customHeight="1" x14ac:dyDescent="0.25">
      <c r="A241" s="60" t="s">
        <v>342</v>
      </c>
      <c r="B241" s="60" t="s">
        <v>343</v>
      </c>
      <c r="C241" s="34">
        <v>4301135400</v>
      </c>
      <c r="D241" s="282">
        <v>4607111039361</v>
      </c>
      <c r="E241" s="282"/>
      <c r="F241" s="59">
        <v>0.25</v>
      </c>
      <c r="G241" s="35">
        <v>12</v>
      </c>
      <c r="H241" s="59">
        <v>3</v>
      </c>
      <c r="I241" s="59">
        <v>3.7035999999999998</v>
      </c>
      <c r="J241" s="35">
        <v>70</v>
      </c>
      <c r="K241" s="35" t="s">
        <v>117</v>
      </c>
      <c r="L241" s="35" t="s">
        <v>88</v>
      </c>
      <c r="M241" s="36" t="s">
        <v>86</v>
      </c>
      <c r="N241" s="36"/>
      <c r="O241" s="35">
        <v>180</v>
      </c>
      <c r="P241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4"/>
      <c r="R241" s="284"/>
      <c r="S241" s="284"/>
      <c r="T241" s="285"/>
      <c r="U241" s="37" t="s">
        <v>46</v>
      </c>
      <c r="V241" s="37" t="s">
        <v>46</v>
      </c>
      <c r="W241" s="38" t="s">
        <v>39</v>
      </c>
      <c r="X241" s="56">
        <v>0</v>
      </c>
      <c r="Y241" s="53">
        <f>IFERROR(IF(X241="","",X241),"")</f>
        <v>0</v>
      </c>
      <c r="Z241" s="39">
        <f>IFERROR(IF(X241="","",X241*0.01788),"")</f>
        <v>0</v>
      </c>
      <c r="AA241" s="65" t="s">
        <v>46</v>
      </c>
      <c r="AB241" s="66" t="s">
        <v>46</v>
      </c>
      <c r="AC241" s="244" t="s">
        <v>341</v>
      </c>
      <c r="AG241" s="78"/>
      <c r="AJ241" s="82" t="s">
        <v>89</v>
      </c>
      <c r="AK241" s="82">
        <v>1</v>
      </c>
      <c r="BB241" s="245" t="s">
        <v>116</v>
      </c>
      <c r="BM241" s="78">
        <f>IFERROR(X241*I241,"0")</f>
        <v>0</v>
      </c>
      <c r="BN241" s="78">
        <f>IFERROR(Y241*I241,"0")</f>
        <v>0</v>
      </c>
      <c r="BO241" s="78">
        <f>IFERROR(X241/J241,"0")</f>
        <v>0</v>
      </c>
      <c r="BP241" s="78">
        <f>IFERROR(Y241/J241,"0")</f>
        <v>0</v>
      </c>
    </row>
    <row r="242" spans="1:68" ht="12.75" hidden="1" customHeight="1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0"/>
      <c r="P242" s="286" t="s">
        <v>40</v>
      </c>
      <c r="Q242" s="287"/>
      <c r="R242" s="287"/>
      <c r="S242" s="287"/>
      <c r="T242" s="287"/>
      <c r="U242" s="287"/>
      <c r="V242" s="288"/>
      <c r="W242" s="40" t="s">
        <v>39</v>
      </c>
      <c r="X242" s="41">
        <f>IFERROR(SUM(X241:X241),"0")</f>
        <v>0</v>
      </c>
      <c r="Y242" s="41">
        <f>IFERROR(SUM(Y241:Y241),"0")</f>
        <v>0</v>
      </c>
      <c r="Z242" s="41">
        <f>IFERROR(IF(Z241="",0,Z241),"0")</f>
        <v>0</v>
      </c>
      <c r="AA242" s="64"/>
      <c r="AB242" s="64"/>
      <c r="AC242" s="64"/>
    </row>
    <row r="243" spans="1:68" ht="12.75" hidden="1" customHeight="1" x14ac:dyDescent="0.2">
      <c r="A243" s="289"/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90"/>
      <c r="P243" s="286" t="s">
        <v>40</v>
      </c>
      <c r="Q243" s="287"/>
      <c r="R243" s="287"/>
      <c r="S243" s="287"/>
      <c r="T243" s="287"/>
      <c r="U243" s="287"/>
      <c r="V243" s="288"/>
      <c r="W243" s="40" t="s">
        <v>0</v>
      </c>
      <c r="X243" s="41">
        <f>IFERROR(SUMPRODUCT(X241:X241*H241:H241),"0")</f>
        <v>0</v>
      </c>
      <c r="Y243" s="41">
        <f>IFERROR(SUMPRODUCT(Y241:Y241*H241:H241),"0")</f>
        <v>0</v>
      </c>
      <c r="Z243" s="40"/>
      <c r="AA243" s="64"/>
      <c r="AB243" s="64"/>
      <c r="AC243" s="64"/>
    </row>
    <row r="244" spans="1:68" ht="27.75" hidden="1" customHeight="1" x14ac:dyDescent="0.2">
      <c r="A244" s="309" t="s">
        <v>344</v>
      </c>
      <c r="B244" s="309"/>
      <c r="C244" s="309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09"/>
      <c r="Q244" s="309"/>
      <c r="R244" s="309"/>
      <c r="S244" s="309"/>
      <c r="T244" s="309"/>
      <c r="U244" s="309"/>
      <c r="V244" s="309"/>
      <c r="W244" s="309"/>
      <c r="X244" s="309"/>
      <c r="Y244" s="309"/>
      <c r="Z244" s="309"/>
      <c r="AA244" s="52"/>
      <c r="AB244" s="52"/>
      <c r="AC244" s="52"/>
    </row>
    <row r="245" spans="1:68" ht="16.5" hidden="1" customHeight="1" x14ac:dyDescent="0.25">
      <c r="A245" s="310" t="s">
        <v>344</v>
      </c>
      <c r="B245" s="310"/>
      <c r="C245" s="310"/>
      <c r="D245" s="310"/>
      <c r="E245" s="310"/>
      <c r="F245" s="310"/>
      <c r="G245" s="310"/>
      <c r="H245" s="310"/>
      <c r="I245" s="310"/>
      <c r="J245" s="310"/>
      <c r="K245" s="310"/>
      <c r="L245" s="310"/>
      <c r="M245" s="310"/>
      <c r="N245" s="310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62"/>
      <c r="AB245" s="62"/>
      <c r="AC245" s="62"/>
    </row>
    <row r="246" spans="1:68" ht="14.25" hidden="1" customHeight="1" x14ac:dyDescent="0.25">
      <c r="A246" s="300" t="s">
        <v>82</v>
      </c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  <c r="AA246" s="63"/>
      <c r="AB246" s="63"/>
      <c r="AC246" s="63"/>
    </row>
    <row r="247" spans="1:68" ht="27" hidden="1" customHeight="1" x14ac:dyDescent="0.25">
      <c r="A247" s="60" t="s">
        <v>345</v>
      </c>
      <c r="B247" s="60" t="s">
        <v>346</v>
      </c>
      <c r="C247" s="34">
        <v>4301071014</v>
      </c>
      <c r="D247" s="282">
        <v>4640242181264</v>
      </c>
      <c r="E247" s="282"/>
      <c r="F247" s="59">
        <v>0.7</v>
      </c>
      <c r="G247" s="35">
        <v>10</v>
      </c>
      <c r="H247" s="59">
        <v>7</v>
      </c>
      <c r="I247" s="59">
        <v>7.28</v>
      </c>
      <c r="J247" s="35">
        <v>84</v>
      </c>
      <c r="K247" s="35" t="s">
        <v>87</v>
      </c>
      <c r="L247" s="35" t="s">
        <v>88</v>
      </c>
      <c r="M247" s="36" t="s">
        <v>86</v>
      </c>
      <c r="N247" s="36"/>
      <c r="O247" s="35">
        <v>180</v>
      </c>
      <c r="P247" s="3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284"/>
      <c r="R247" s="284"/>
      <c r="S247" s="284"/>
      <c r="T247" s="285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IFERROR(IF(X247="","",X247*0.0155),"")</f>
        <v>0</v>
      </c>
      <c r="AA247" s="65" t="s">
        <v>46</v>
      </c>
      <c r="AB247" s="66" t="s">
        <v>46</v>
      </c>
      <c r="AC247" s="246" t="s">
        <v>347</v>
      </c>
      <c r="AG247" s="78"/>
      <c r="AJ247" s="82" t="s">
        <v>89</v>
      </c>
      <c r="AK247" s="82">
        <v>1</v>
      </c>
      <c r="BB247" s="247" t="s">
        <v>70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t="27" hidden="1" customHeight="1" x14ac:dyDescent="0.25">
      <c r="A248" s="60" t="s">
        <v>348</v>
      </c>
      <c r="B248" s="60" t="s">
        <v>349</v>
      </c>
      <c r="C248" s="34">
        <v>4301071021</v>
      </c>
      <c r="D248" s="282">
        <v>4640242181325</v>
      </c>
      <c r="E248" s="282"/>
      <c r="F248" s="59">
        <v>0.7</v>
      </c>
      <c r="G248" s="35">
        <v>10</v>
      </c>
      <c r="H248" s="59">
        <v>7</v>
      </c>
      <c r="I248" s="59">
        <v>7.28</v>
      </c>
      <c r="J248" s="35">
        <v>84</v>
      </c>
      <c r="K248" s="35" t="s">
        <v>87</v>
      </c>
      <c r="L248" s="35" t="s">
        <v>88</v>
      </c>
      <c r="M248" s="36" t="s">
        <v>86</v>
      </c>
      <c r="N248" s="36"/>
      <c r="O248" s="35">
        <v>180</v>
      </c>
      <c r="P248" s="31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284"/>
      <c r="R248" s="284"/>
      <c r="S248" s="284"/>
      <c r="T248" s="285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IFERROR(IF(X248="","",X248*0.0155),"")</f>
        <v>0</v>
      </c>
      <c r="AA248" s="65" t="s">
        <v>46</v>
      </c>
      <c r="AB248" s="66" t="s">
        <v>46</v>
      </c>
      <c r="AC248" s="248" t="s">
        <v>347</v>
      </c>
      <c r="AG248" s="78"/>
      <c r="AJ248" s="82" t="s">
        <v>89</v>
      </c>
      <c r="AK248" s="82">
        <v>1</v>
      </c>
      <c r="BB248" s="249" t="s">
        <v>70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t="12.75" hidden="1" customHeight="1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0" t="s">
        <v>39</v>
      </c>
      <c r="X249" s="41">
        <f>IFERROR(SUM(X247:X248),"0")</f>
        <v>0</v>
      </c>
      <c r="Y249" s="41">
        <f>IFERROR(SUM(Y247:Y248),"0")</f>
        <v>0</v>
      </c>
      <c r="Z249" s="41">
        <f>IFERROR(IF(Z247="",0,Z247),"0")+IFERROR(IF(Z248="",0,Z248),"0")</f>
        <v>0</v>
      </c>
      <c r="AA249" s="64"/>
      <c r="AB249" s="64"/>
      <c r="AC249" s="64"/>
    </row>
    <row r="250" spans="1:68" ht="12.75" hidden="1" customHeight="1" x14ac:dyDescent="0.2">
      <c r="A250" s="289"/>
      <c r="B250" s="289"/>
      <c r="C250" s="289"/>
      <c r="D250" s="289"/>
      <c r="E250" s="289"/>
      <c r="F250" s="289"/>
      <c r="G250" s="289"/>
      <c r="H250" s="289"/>
      <c r="I250" s="289"/>
      <c r="J250" s="289"/>
      <c r="K250" s="289"/>
      <c r="L250" s="289"/>
      <c r="M250" s="289"/>
      <c r="N250" s="289"/>
      <c r="O250" s="290"/>
      <c r="P250" s="286" t="s">
        <v>40</v>
      </c>
      <c r="Q250" s="287"/>
      <c r="R250" s="287"/>
      <c r="S250" s="287"/>
      <c r="T250" s="287"/>
      <c r="U250" s="287"/>
      <c r="V250" s="288"/>
      <c r="W250" s="40" t="s">
        <v>0</v>
      </c>
      <c r="X250" s="41">
        <f>IFERROR(SUMPRODUCT(X247:X248*H247:H248),"0")</f>
        <v>0</v>
      </c>
      <c r="Y250" s="41">
        <f>IFERROR(SUMPRODUCT(Y247:Y248*H247:H248),"0")</f>
        <v>0</v>
      </c>
      <c r="Z250" s="40"/>
      <c r="AA250" s="64"/>
      <c r="AB250" s="64"/>
      <c r="AC250" s="64"/>
    </row>
    <row r="251" spans="1:68" ht="14.25" hidden="1" customHeight="1" x14ac:dyDescent="0.25">
      <c r="A251" s="300" t="s">
        <v>112</v>
      </c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  <c r="AA251" s="63"/>
      <c r="AB251" s="63"/>
      <c r="AC251" s="63"/>
    </row>
    <row r="252" spans="1:68" ht="27" customHeight="1" x14ac:dyDescent="0.25">
      <c r="A252" s="60" t="s">
        <v>350</v>
      </c>
      <c r="B252" s="60" t="s">
        <v>351</v>
      </c>
      <c r="C252" s="34">
        <v>4301132080</v>
      </c>
      <c r="D252" s="282">
        <v>4640242180397</v>
      </c>
      <c r="E252" s="282"/>
      <c r="F252" s="59">
        <v>1</v>
      </c>
      <c r="G252" s="35">
        <v>6</v>
      </c>
      <c r="H252" s="59">
        <v>6</v>
      </c>
      <c r="I252" s="59">
        <v>6.26</v>
      </c>
      <c r="J252" s="35">
        <v>84</v>
      </c>
      <c r="K252" s="35" t="s">
        <v>87</v>
      </c>
      <c r="L252" s="35" t="s">
        <v>118</v>
      </c>
      <c r="M252" s="36" t="s">
        <v>86</v>
      </c>
      <c r="N252" s="36"/>
      <c r="O252" s="35">
        <v>180</v>
      </c>
      <c r="P252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284"/>
      <c r="R252" s="284"/>
      <c r="S252" s="284"/>
      <c r="T252" s="285"/>
      <c r="U252" s="37" t="s">
        <v>46</v>
      </c>
      <c r="V252" s="37" t="s">
        <v>46</v>
      </c>
      <c r="W252" s="38" t="s">
        <v>39</v>
      </c>
      <c r="X252" s="56">
        <v>180</v>
      </c>
      <c r="Y252" s="53">
        <f>IFERROR(IF(X252="","",X252),"")</f>
        <v>180</v>
      </c>
      <c r="Z252" s="39">
        <f>IFERROR(IF(X252="","",X252*0.0155),"")</f>
        <v>2.79</v>
      </c>
      <c r="AA252" s="65" t="s">
        <v>46</v>
      </c>
      <c r="AB252" s="66" t="s">
        <v>46</v>
      </c>
      <c r="AC252" s="250" t="s">
        <v>352</v>
      </c>
      <c r="AG252" s="78"/>
      <c r="AJ252" s="82" t="s">
        <v>119</v>
      </c>
      <c r="AK252" s="82">
        <v>12</v>
      </c>
      <c r="BB252" s="251" t="s">
        <v>116</v>
      </c>
      <c r="BM252" s="78">
        <f>IFERROR(X252*I252,"0")</f>
        <v>1126.8</v>
      </c>
      <c r="BN252" s="78">
        <f>IFERROR(Y252*I252,"0")</f>
        <v>1126.8</v>
      </c>
      <c r="BO252" s="78">
        <f>IFERROR(X252/J252,"0")</f>
        <v>2.1428571428571428</v>
      </c>
      <c r="BP252" s="78">
        <f>IFERROR(Y252/J252,"0")</f>
        <v>2.1428571428571428</v>
      </c>
    </row>
    <row r="253" spans="1:68" x14ac:dyDescent="0.2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90"/>
      <c r="P253" s="286" t="s">
        <v>40</v>
      </c>
      <c r="Q253" s="287"/>
      <c r="R253" s="287"/>
      <c r="S253" s="287"/>
      <c r="T253" s="287"/>
      <c r="U253" s="287"/>
      <c r="V253" s="288"/>
      <c r="W253" s="40" t="s">
        <v>39</v>
      </c>
      <c r="X253" s="41">
        <f>IFERROR(SUM(X252:X252),"0")</f>
        <v>180</v>
      </c>
      <c r="Y253" s="41">
        <f>IFERROR(SUM(Y252:Y252),"0")</f>
        <v>180</v>
      </c>
      <c r="Z253" s="41">
        <f>IFERROR(IF(Z252="",0,Z252),"0")</f>
        <v>2.79</v>
      </c>
      <c r="AA253" s="64"/>
      <c r="AB253" s="64"/>
      <c r="AC253" s="64"/>
    </row>
    <row r="254" spans="1:68" x14ac:dyDescent="0.2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286" t="s">
        <v>40</v>
      </c>
      <c r="Q254" s="287"/>
      <c r="R254" s="287"/>
      <c r="S254" s="287"/>
      <c r="T254" s="287"/>
      <c r="U254" s="287"/>
      <c r="V254" s="288"/>
      <c r="W254" s="40" t="s">
        <v>0</v>
      </c>
      <c r="X254" s="41">
        <f>IFERROR(SUMPRODUCT(X252:X252*H252:H252),"0")</f>
        <v>1080</v>
      </c>
      <c r="Y254" s="41">
        <f>IFERROR(SUMPRODUCT(Y252:Y252*H252:H252),"0")</f>
        <v>1080</v>
      </c>
      <c r="Z254" s="40"/>
      <c r="AA254" s="64"/>
      <c r="AB254" s="64"/>
      <c r="AC254" s="64"/>
    </row>
    <row r="255" spans="1:68" ht="14.25" hidden="1" customHeight="1" x14ac:dyDescent="0.25">
      <c r="A255" s="300" t="s">
        <v>150</v>
      </c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63"/>
      <c r="AB255" s="63"/>
      <c r="AC255" s="63"/>
    </row>
    <row r="256" spans="1:68" ht="27" hidden="1" customHeight="1" x14ac:dyDescent="0.25">
      <c r="A256" s="60" t="s">
        <v>353</v>
      </c>
      <c r="B256" s="60" t="s">
        <v>354</v>
      </c>
      <c r="C256" s="34">
        <v>4301136051</v>
      </c>
      <c r="D256" s="282">
        <v>4640242180304</v>
      </c>
      <c r="E256" s="282"/>
      <c r="F256" s="59">
        <v>2.7</v>
      </c>
      <c r="G256" s="35">
        <v>1</v>
      </c>
      <c r="H256" s="59">
        <v>2.7</v>
      </c>
      <c r="I256" s="59">
        <v>2.8906000000000001</v>
      </c>
      <c r="J256" s="35">
        <v>126</v>
      </c>
      <c r="K256" s="35" t="s">
        <v>117</v>
      </c>
      <c r="L256" s="35" t="s">
        <v>118</v>
      </c>
      <c r="M256" s="36" t="s">
        <v>86</v>
      </c>
      <c r="N256" s="36"/>
      <c r="O256" s="35">
        <v>180</v>
      </c>
      <c r="P256" s="305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355</v>
      </c>
      <c r="AG256" s="78"/>
      <c r="AJ256" s="82" t="s">
        <v>119</v>
      </c>
      <c r="AK256" s="82">
        <v>14</v>
      </c>
      <c r="BB256" s="253" t="s">
        <v>116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hidden="1" customHeight="1" x14ac:dyDescent="0.25">
      <c r="A257" s="60" t="s">
        <v>356</v>
      </c>
      <c r="B257" s="60" t="s">
        <v>357</v>
      </c>
      <c r="C257" s="34">
        <v>4301136053</v>
      </c>
      <c r="D257" s="282">
        <v>4640242180236</v>
      </c>
      <c r="E257" s="282"/>
      <c r="F257" s="59">
        <v>5</v>
      </c>
      <c r="G257" s="35">
        <v>1</v>
      </c>
      <c r="H257" s="59">
        <v>5</v>
      </c>
      <c r="I257" s="59">
        <v>5.2350000000000003</v>
      </c>
      <c r="J257" s="35">
        <v>84</v>
      </c>
      <c r="K257" s="35" t="s">
        <v>87</v>
      </c>
      <c r="L257" s="35" t="s">
        <v>118</v>
      </c>
      <c r="M257" s="36" t="s">
        <v>86</v>
      </c>
      <c r="N257" s="36"/>
      <c r="O257" s="35">
        <v>180</v>
      </c>
      <c r="P257" s="30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4" t="s">
        <v>355</v>
      </c>
      <c r="AG257" s="78"/>
      <c r="AJ257" s="82" t="s">
        <v>119</v>
      </c>
      <c r="AK257" s="82">
        <v>12</v>
      </c>
      <c r="BB257" s="255" t="s">
        <v>116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t="27" hidden="1" customHeight="1" x14ac:dyDescent="0.25">
      <c r="A258" s="60" t="s">
        <v>358</v>
      </c>
      <c r="B258" s="60" t="s">
        <v>359</v>
      </c>
      <c r="C258" s="34">
        <v>4301136052</v>
      </c>
      <c r="D258" s="282">
        <v>4640242180410</v>
      </c>
      <c r="E258" s="282"/>
      <c r="F258" s="59">
        <v>2.2400000000000002</v>
      </c>
      <c r="G258" s="35">
        <v>1</v>
      </c>
      <c r="H258" s="59">
        <v>2.2400000000000002</v>
      </c>
      <c r="I258" s="59">
        <v>2.4319999999999999</v>
      </c>
      <c r="J258" s="35">
        <v>126</v>
      </c>
      <c r="K258" s="35" t="s">
        <v>117</v>
      </c>
      <c r="L258" s="35" t="s">
        <v>88</v>
      </c>
      <c r="M258" s="36" t="s">
        <v>86</v>
      </c>
      <c r="N258" s="36"/>
      <c r="O258" s="35">
        <v>180</v>
      </c>
      <c r="P258" s="3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6" t="s">
        <v>355</v>
      </c>
      <c r="AG258" s="78"/>
      <c r="AJ258" s="82" t="s">
        <v>89</v>
      </c>
      <c r="AK258" s="82">
        <v>1</v>
      </c>
      <c r="BB258" s="257" t="s">
        <v>116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ht="12.75" hidden="1" customHeight="1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0"/>
      <c r="P259" s="286" t="s">
        <v>40</v>
      </c>
      <c r="Q259" s="287"/>
      <c r="R259" s="287"/>
      <c r="S259" s="287"/>
      <c r="T259" s="287"/>
      <c r="U259" s="287"/>
      <c r="V259" s="288"/>
      <c r="W259" s="40" t="s">
        <v>39</v>
      </c>
      <c r="X259" s="41">
        <f>IFERROR(SUM(X256:X258),"0")</f>
        <v>0</v>
      </c>
      <c r="Y259" s="41">
        <f>IFERROR(SUM(Y256:Y258),"0")</f>
        <v>0</v>
      </c>
      <c r="Z259" s="41">
        <f>IFERROR(IF(Z256="",0,Z256),"0")+IFERROR(IF(Z257="",0,Z257),"0")+IFERROR(IF(Z258="",0,Z258),"0")</f>
        <v>0</v>
      </c>
      <c r="AA259" s="64"/>
      <c r="AB259" s="64"/>
      <c r="AC259" s="64"/>
    </row>
    <row r="260" spans="1:68" ht="12.75" hidden="1" customHeight="1" x14ac:dyDescent="0.2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90"/>
      <c r="P260" s="286" t="s">
        <v>40</v>
      </c>
      <c r="Q260" s="287"/>
      <c r="R260" s="287"/>
      <c r="S260" s="287"/>
      <c r="T260" s="287"/>
      <c r="U260" s="287"/>
      <c r="V260" s="288"/>
      <c r="W260" s="40" t="s">
        <v>0</v>
      </c>
      <c r="X260" s="41">
        <f>IFERROR(SUMPRODUCT(X256:X258*H256:H258),"0")</f>
        <v>0</v>
      </c>
      <c r="Y260" s="41">
        <f>IFERROR(SUMPRODUCT(Y256:Y258*H256:H258),"0")</f>
        <v>0</v>
      </c>
      <c r="Z260" s="40"/>
      <c r="AA260" s="64"/>
      <c r="AB260" s="64"/>
      <c r="AC260" s="64"/>
    </row>
    <row r="261" spans="1:68" ht="14.25" hidden="1" customHeight="1" x14ac:dyDescent="0.25">
      <c r="A261" s="300" t="s">
        <v>156</v>
      </c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63"/>
      <c r="AB261" s="63"/>
      <c r="AC261" s="63"/>
    </row>
    <row r="262" spans="1:68" ht="37.5" hidden="1" customHeight="1" x14ac:dyDescent="0.25">
      <c r="A262" s="60" t="s">
        <v>360</v>
      </c>
      <c r="B262" s="60" t="s">
        <v>361</v>
      </c>
      <c r="C262" s="34">
        <v>4301135504</v>
      </c>
      <c r="D262" s="282">
        <v>4640242181554</v>
      </c>
      <c r="E262" s="282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117</v>
      </c>
      <c r="L262" s="35" t="s">
        <v>88</v>
      </c>
      <c r="M262" s="36" t="s">
        <v>86</v>
      </c>
      <c r="N262" s="36"/>
      <c r="O262" s="35">
        <v>180</v>
      </c>
      <c r="P262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ref="Y262:Y271" si="18"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8" t="s">
        <v>362</v>
      </c>
      <c r="AG262" s="78"/>
      <c r="AJ262" s="82" t="s">
        <v>89</v>
      </c>
      <c r="AK262" s="82">
        <v>1</v>
      </c>
      <c r="BB262" s="259" t="s">
        <v>116</v>
      </c>
      <c r="BM262" s="78">
        <f t="shared" ref="BM262:BM271" si="19">IFERROR(X262*I262,"0")</f>
        <v>0</v>
      </c>
      <c r="BN262" s="78">
        <f t="shared" ref="BN262:BN271" si="20">IFERROR(Y262*I262,"0")</f>
        <v>0</v>
      </c>
      <c r="BO262" s="78">
        <f t="shared" ref="BO262:BO271" si="21">IFERROR(X262/J262,"0")</f>
        <v>0</v>
      </c>
      <c r="BP262" s="78">
        <f t="shared" ref="BP262:BP271" si="22">IFERROR(Y262/J262,"0")</f>
        <v>0</v>
      </c>
    </row>
    <row r="263" spans="1:68" ht="27" customHeight="1" x14ac:dyDescent="0.25">
      <c r="A263" s="60" t="s">
        <v>363</v>
      </c>
      <c r="B263" s="60" t="s">
        <v>364</v>
      </c>
      <c r="C263" s="34">
        <v>4301135873</v>
      </c>
      <c r="D263" s="282">
        <v>4640242182087</v>
      </c>
      <c r="E263" s="282"/>
      <c r="F263" s="59">
        <v>5</v>
      </c>
      <c r="G263" s="35">
        <v>1</v>
      </c>
      <c r="H263" s="59">
        <v>5</v>
      </c>
      <c r="I263" s="59">
        <v>5.23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302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284"/>
      <c r="R263" s="284"/>
      <c r="S263" s="284"/>
      <c r="T263" s="285"/>
      <c r="U263" s="37" t="s">
        <v>46</v>
      </c>
      <c r="V263" s="37" t="s">
        <v>46</v>
      </c>
      <c r="W263" s="38" t="s">
        <v>39</v>
      </c>
      <c r="X263" s="56">
        <v>336</v>
      </c>
      <c r="Y263" s="53">
        <f t="shared" si="18"/>
        <v>336</v>
      </c>
      <c r="Z263" s="39">
        <f>IFERROR(IF(X263="","",X263*0.0155),"")</f>
        <v>5.2080000000000002</v>
      </c>
      <c r="AA263" s="65" t="s">
        <v>46</v>
      </c>
      <c r="AB263" s="66" t="s">
        <v>46</v>
      </c>
      <c r="AC263" s="260" t="s">
        <v>365</v>
      </c>
      <c r="AG263" s="78"/>
      <c r="AJ263" s="82" t="s">
        <v>89</v>
      </c>
      <c r="AK263" s="82">
        <v>1</v>
      </c>
      <c r="BB263" s="261" t="s">
        <v>116</v>
      </c>
      <c r="BM263" s="78">
        <f t="shared" si="19"/>
        <v>1757.2800000000002</v>
      </c>
      <c r="BN263" s="78">
        <f t="shared" si="20"/>
        <v>1757.2800000000002</v>
      </c>
      <c r="BO263" s="78">
        <f t="shared" si="21"/>
        <v>4</v>
      </c>
      <c r="BP263" s="78">
        <f t="shared" si="22"/>
        <v>4</v>
      </c>
    </row>
    <row r="264" spans="1:68" ht="27" customHeight="1" x14ac:dyDescent="0.25">
      <c r="A264" s="60" t="s">
        <v>366</v>
      </c>
      <c r="B264" s="60" t="s">
        <v>367</v>
      </c>
      <c r="C264" s="34">
        <v>4301135374</v>
      </c>
      <c r="D264" s="282">
        <v>4640242181424</v>
      </c>
      <c r="E264" s="282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87</v>
      </c>
      <c r="L264" s="35" t="s">
        <v>118</v>
      </c>
      <c r="M264" s="36" t="s">
        <v>86</v>
      </c>
      <c r="N264" s="36"/>
      <c r="O264" s="35">
        <v>180</v>
      </c>
      <c r="P264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7" t="s">
        <v>46</v>
      </c>
      <c r="V264" s="37" t="s">
        <v>46</v>
      </c>
      <c r="W264" s="38" t="s">
        <v>39</v>
      </c>
      <c r="X264" s="56">
        <v>168</v>
      </c>
      <c r="Y264" s="53">
        <f t="shared" si="18"/>
        <v>168</v>
      </c>
      <c r="Z264" s="39">
        <f>IFERROR(IF(X264="","",X264*0.0155),"")</f>
        <v>2.6040000000000001</v>
      </c>
      <c r="AA264" s="65" t="s">
        <v>46</v>
      </c>
      <c r="AB264" s="66" t="s">
        <v>46</v>
      </c>
      <c r="AC264" s="262" t="s">
        <v>362</v>
      </c>
      <c r="AG264" s="78"/>
      <c r="AJ264" s="82" t="s">
        <v>119</v>
      </c>
      <c r="AK264" s="82">
        <v>12</v>
      </c>
      <c r="BB264" s="263" t="s">
        <v>116</v>
      </c>
      <c r="BM264" s="78">
        <f t="shared" si="19"/>
        <v>963.48</v>
      </c>
      <c r="BN264" s="78">
        <f t="shared" si="20"/>
        <v>963.48</v>
      </c>
      <c r="BO264" s="78">
        <f t="shared" si="21"/>
        <v>2</v>
      </c>
      <c r="BP264" s="78">
        <f t="shared" si="22"/>
        <v>2</v>
      </c>
    </row>
    <row r="265" spans="1:68" ht="27" customHeight="1" x14ac:dyDescent="0.25">
      <c r="A265" s="60" t="s">
        <v>368</v>
      </c>
      <c r="B265" s="60" t="s">
        <v>369</v>
      </c>
      <c r="C265" s="34">
        <v>4301135405</v>
      </c>
      <c r="D265" s="282">
        <v>4640242181523</v>
      </c>
      <c r="E265" s="282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117</v>
      </c>
      <c r="L265" s="35" t="s">
        <v>118</v>
      </c>
      <c r="M265" s="36" t="s">
        <v>86</v>
      </c>
      <c r="N265" s="36"/>
      <c r="O265" s="35">
        <v>180</v>
      </c>
      <c r="P265" s="30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7" t="s">
        <v>46</v>
      </c>
      <c r="V265" s="37" t="s">
        <v>46</v>
      </c>
      <c r="W265" s="38" t="s">
        <v>39</v>
      </c>
      <c r="X265" s="56">
        <v>140</v>
      </c>
      <c r="Y265" s="53">
        <f t="shared" si="18"/>
        <v>140</v>
      </c>
      <c r="Z265" s="39">
        <f t="shared" ref="Z265:Z270" si="23">IFERROR(IF(X265="","",X265*0.00936),"")</f>
        <v>1.3104</v>
      </c>
      <c r="AA265" s="65" t="s">
        <v>46</v>
      </c>
      <c r="AB265" s="66" t="s">
        <v>46</v>
      </c>
      <c r="AC265" s="264" t="s">
        <v>365</v>
      </c>
      <c r="AG265" s="78"/>
      <c r="AJ265" s="82" t="s">
        <v>119</v>
      </c>
      <c r="AK265" s="82">
        <v>14</v>
      </c>
      <c r="BB265" s="265" t="s">
        <v>116</v>
      </c>
      <c r="BM265" s="78">
        <f t="shared" si="19"/>
        <v>446.88</v>
      </c>
      <c r="BN265" s="78">
        <f t="shared" si="20"/>
        <v>446.88</v>
      </c>
      <c r="BO265" s="78">
        <f t="shared" si="21"/>
        <v>1.1111111111111112</v>
      </c>
      <c r="BP265" s="78">
        <f t="shared" si="22"/>
        <v>1.1111111111111112</v>
      </c>
    </row>
    <row r="266" spans="1:68" ht="27" customHeight="1" x14ac:dyDescent="0.25">
      <c r="A266" s="60" t="s">
        <v>370</v>
      </c>
      <c r="B266" s="60" t="s">
        <v>371</v>
      </c>
      <c r="C266" s="34">
        <v>4301135375</v>
      </c>
      <c r="D266" s="282">
        <v>4640242181486</v>
      </c>
      <c r="E266" s="282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117</v>
      </c>
      <c r="L266" s="35" t="s">
        <v>118</v>
      </c>
      <c r="M266" s="36" t="s">
        <v>86</v>
      </c>
      <c r="N266" s="36"/>
      <c r="O266" s="35">
        <v>180</v>
      </c>
      <c r="P266" s="29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7" t="s">
        <v>46</v>
      </c>
      <c r="V266" s="37" t="s">
        <v>46</v>
      </c>
      <c r="W266" s="38" t="s">
        <v>39</v>
      </c>
      <c r="X266" s="56">
        <v>378</v>
      </c>
      <c r="Y266" s="53">
        <f t="shared" si="18"/>
        <v>378</v>
      </c>
      <c r="Z266" s="39">
        <f t="shared" si="23"/>
        <v>3.5380799999999999</v>
      </c>
      <c r="AA266" s="65" t="s">
        <v>46</v>
      </c>
      <c r="AB266" s="66" t="s">
        <v>46</v>
      </c>
      <c r="AC266" s="266" t="s">
        <v>362</v>
      </c>
      <c r="AG266" s="78"/>
      <c r="AJ266" s="82" t="s">
        <v>119</v>
      </c>
      <c r="AK266" s="82">
        <v>14</v>
      </c>
      <c r="BB266" s="267" t="s">
        <v>116</v>
      </c>
      <c r="BM266" s="78">
        <f t="shared" si="19"/>
        <v>1471.1759999999999</v>
      </c>
      <c r="BN266" s="78">
        <f t="shared" si="20"/>
        <v>1471.1759999999999</v>
      </c>
      <c r="BO266" s="78">
        <f t="shared" si="21"/>
        <v>3</v>
      </c>
      <c r="BP266" s="78">
        <f t="shared" si="22"/>
        <v>3</v>
      </c>
    </row>
    <row r="267" spans="1:68" ht="37.5" hidden="1" customHeight="1" x14ac:dyDescent="0.25">
      <c r="A267" s="60" t="s">
        <v>372</v>
      </c>
      <c r="B267" s="60" t="s">
        <v>373</v>
      </c>
      <c r="C267" s="34">
        <v>4301135402</v>
      </c>
      <c r="D267" s="282">
        <v>4640242181493</v>
      </c>
      <c r="E267" s="282"/>
      <c r="F267" s="59">
        <v>3.7</v>
      </c>
      <c r="G267" s="35">
        <v>1</v>
      </c>
      <c r="H267" s="59">
        <v>3.7</v>
      </c>
      <c r="I267" s="59">
        <v>3.8919999999999999</v>
      </c>
      <c r="J267" s="35">
        <v>126</v>
      </c>
      <c r="K267" s="35" t="s">
        <v>117</v>
      </c>
      <c r="L267" s="35" t="s">
        <v>118</v>
      </c>
      <c r="M267" s="36" t="s">
        <v>86</v>
      </c>
      <c r="N267" s="36"/>
      <c r="O267" s="35">
        <v>180</v>
      </c>
      <c r="P267" s="2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7" t="s">
        <v>46</v>
      </c>
      <c r="V267" s="37" t="s">
        <v>46</v>
      </c>
      <c r="W267" s="38" t="s">
        <v>39</v>
      </c>
      <c r="X267" s="56"/>
      <c r="Y267" s="53" t="str">
        <f t="shared" si="18"/>
        <v/>
      </c>
      <c r="Z267" s="39" t="str">
        <f t="shared" si="23"/>
        <v/>
      </c>
      <c r="AA267" s="65" t="s">
        <v>46</v>
      </c>
      <c r="AB267" s="66" t="s">
        <v>46</v>
      </c>
      <c r="AC267" s="268" t="s">
        <v>362</v>
      </c>
      <c r="AG267" s="78"/>
      <c r="AJ267" s="82" t="s">
        <v>119</v>
      </c>
      <c r="AK267" s="82">
        <v>14</v>
      </c>
      <c r="BB267" s="269" t="s">
        <v>116</v>
      </c>
      <c r="BM267" s="78">
        <f t="shared" si="19"/>
        <v>0</v>
      </c>
      <c r="BN267" s="78" t="str">
        <f t="shared" si="20"/>
        <v>0</v>
      </c>
      <c r="BO267" s="78">
        <f t="shared" si="21"/>
        <v>0</v>
      </c>
      <c r="BP267" s="78" t="str">
        <f t="shared" si="22"/>
        <v>0</v>
      </c>
    </row>
    <row r="268" spans="1:68" ht="37.5" hidden="1" customHeight="1" x14ac:dyDescent="0.25">
      <c r="A268" s="60" t="s">
        <v>374</v>
      </c>
      <c r="B268" s="60" t="s">
        <v>375</v>
      </c>
      <c r="C268" s="34">
        <v>4301135403</v>
      </c>
      <c r="D268" s="282">
        <v>4640242181509</v>
      </c>
      <c r="E268" s="282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117</v>
      </c>
      <c r="L268" s="35" t="s">
        <v>88</v>
      </c>
      <c r="M268" s="36" t="s">
        <v>86</v>
      </c>
      <c r="N268" s="36"/>
      <c r="O268" s="35">
        <v>180</v>
      </c>
      <c r="P268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 t="shared" si="23"/>
        <v>0</v>
      </c>
      <c r="AA268" s="65" t="s">
        <v>46</v>
      </c>
      <c r="AB268" s="66" t="s">
        <v>46</v>
      </c>
      <c r="AC268" s="270" t="s">
        <v>362</v>
      </c>
      <c r="AG268" s="78"/>
      <c r="AJ268" s="82" t="s">
        <v>89</v>
      </c>
      <c r="AK268" s="82">
        <v>1</v>
      </c>
      <c r="BB268" s="271" t="s">
        <v>116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hidden="1" customHeight="1" x14ac:dyDescent="0.25">
      <c r="A269" s="60" t="s">
        <v>376</v>
      </c>
      <c r="B269" s="60" t="s">
        <v>377</v>
      </c>
      <c r="C269" s="34">
        <v>4301135304</v>
      </c>
      <c r="D269" s="282">
        <v>4640242181240</v>
      </c>
      <c r="E269" s="282"/>
      <c r="F269" s="59">
        <v>0.3</v>
      </c>
      <c r="G269" s="35">
        <v>9</v>
      </c>
      <c r="H269" s="59">
        <v>2.7</v>
      </c>
      <c r="I269" s="59">
        <v>2.88</v>
      </c>
      <c r="J269" s="35">
        <v>126</v>
      </c>
      <c r="K269" s="35" t="s">
        <v>117</v>
      </c>
      <c r="L269" s="35" t="s">
        <v>88</v>
      </c>
      <c r="M269" s="36" t="s">
        <v>86</v>
      </c>
      <c r="N269" s="36"/>
      <c r="O269" s="35">
        <v>180</v>
      </c>
      <c r="P269" s="29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 t="shared" si="23"/>
        <v>0</v>
      </c>
      <c r="AA269" s="65" t="s">
        <v>46</v>
      </c>
      <c r="AB269" s="66" t="s">
        <v>46</v>
      </c>
      <c r="AC269" s="272" t="s">
        <v>362</v>
      </c>
      <c r="AG269" s="78"/>
      <c r="AJ269" s="82" t="s">
        <v>89</v>
      </c>
      <c r="AK269" s="82">
        <v>1</v>
      </c>
      <c r="BB269" s="273" t="s">
        <v>116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hidden="1" customHeight="1" x14ac:dyDescent="0.25">
      <c r="A270" s="60" t="s">
        <v>378</v>
      </c>
      <c r="B270" s="60" t="s">
        <v>379</v>
      </c>
      <c r="C270" s="34">
        <v>4301135610</v>
      </c>
      <c r="D270" s="282">
        <v>4640242181318</v>
      </c>
      <c r="E270" s="282"/>
      <c r="F270" s="59">
        <v>0.3</v>
      </c>
      <c r="G270" s="35">
        <v>9</v>
      </c>
      <c r="H270" s="59">
        <v>2.7</v>
      </c>
      <c r="I270" s="59">
        <v>2.988</v>
      </c>
      <c r="J270" s="35">
        <v>126</v>
      </c>
      <c r="K270" s="35" t="s">
        <v>117</v>
      </c>
      <c r="L270" s="35" t="s">
        <v>88</v>
      </c>
      <c r="M270" s="36" t="s">
        <v>86</v>
      </c>
      <c r="N270" s="36"/>
      <c r="O270" s="35">
        <v>180</v>
      </c>
      <c r="P270" s="29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si="23"/>
        <v>0</v>
      </c>
      <c r="AA270" s="65" t="s">
        <v>46</v>
      </c>
      <c r="AB270" s="66" t="s">
        <v>46</v>
      </c>
      <c r="AC270" s="274" t="s">
        <v>365</v>
      </c>
      <c r="AG270" s="78"/>
      <c r="AJ270" s="82" t="s">
        <v>89</v>
      </c>
      <c r="AK270" s="82">
        <v>1</v>
      </c>
      <c r="BB270" s="275" t="s">
        <v>116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380</v>
      </c>
      <c r="B271" s="60" t="s">
        <v>381</v>
      </c>
      <c r="C271" s="34">
        <v>4301135306</v>
      </c>
      <c r="D271" s="282">
        <v>4640242181387</v>
      </c>
      <c r="E271" s="282"/>
      <c r="F271" s="59">
        <v>0.3</v>
      </c>
      <c r="G271" s="35">
        <v>9</v>
      </c>
      <c r="H271" s="59">
        <v>2.7</v>
      </c>
      <c r="I271" s="59">
        <v>2.8450000000000002</v>
      </c>
      <c r="J271" s="35">
        <v>234</v>
      </c>
      <c r="K271" s="35" t="s">
        <v>168</v>
      </c>
      <c r="L271" s="35" t="s">
        <v>88</v>
      </c>
      <c r="M271" s="36" t="s">
        <v>86</v>
      </c>
      <c r="N271" s="36"/>
      <c r="O271" s="35">
        <v>180</v>
      </c>
      <c r="P271" s="28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IFERROR(IF(X271="","",X271*0.00502),"")</f>
        <v>0</v>
      </c>
      <c r="AA271" s="65" t="s">
        <v>46</v>
      </c>
      <c r="AB271" s="66" t="s">
        <v>46</v>
      </c>
      <c r="AC271" s="276" t="s">
        <v>362</v>
      </c>
      <c r="AG271" s="78"/>
      <c r="AJ271" s="82" t="s">
        <v>89</v>
      </c>
      <c r="AK271" s="82">
        <v>1</v>
      </c>
      <c r="BB271" s="277" t="s">
        <v>116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0"/>
      <c r="P272" s="286" t="s">
        <v>40</v>
      </c>
      <c r="Q272" s="287"/>
      <c r="R272" s="287"/>
      <c r="S272" s="287"/>
      <c r="T272" s="287"/>
      <c r="U272" s="287"/>
      <c r="V272" s="288"/>
      <c r="W272" s="40" t="s">
        <v>39</v>
      </c>
      <c r="X272" s="41">
        <f>IFERROR(SUM(X262:X271),"0")</f>
        <v>1022</v>
      </c>
      <c r="Y272" s="41">
        <f>IFERROR(SUM(Y262:Y271),"0")</f>
        <v>1022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12.66048</v>
      </c>
      <c r="AA272" s="64"/>
      <c r="AB272" s="64"/>
      <c r="AC272" s="64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0"/>
      <c r="P273" s="286" t="s">
        <v>40</v>
      </c>
      <c r="Q273" s="287"/>
      <c r="R273" s="287"/>
      <c r="S273" s="287"/>
      <c r="T273" s="287"/>
      <c r="U273" s="287"/>
      <c r="V273" s="288"/>
      <c r="W273" s="40" t="s">
        <v>0</v>
      </c>
      <c r="X273" s="41">
        <f>IFERROR(SUMPRODUCT(X262:X271*H262:H271),"0")</f>
        <v>4422.6000000000004</v>
      </c>
      <c r="Y273" s="41" t="str">
        <f>IFERROR(SUMPRODUCT(Y262:Y271*H262:H271),"0")</f>
        <v>0</v>
      </c>
      <c r="Z273" s="40"/>
      <c r="AA273" s="64"/>
      <c r="AB273" s="64"/>
      <c r="AC273" s="64"/>
    </row>
    <row r="274" spans="1:32" ht="15" customHeight="1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33</v>
      </c>
      <c r="Q274" s="292"/>
      <c r="R274" s="292"/>
      <c r="S274" s="292"/>
      <c r="T274" s="292"/>
      <c r="U274" s="292"/>
      <c r="V274" s="293"/>
      <c r="W274" s="40" t="s">
        <v>0</v>
      </c>
      <c r="X274" s="41">
        <f>IFERROR(X31+X37+X44+X51+X59+X64+X68+X73+X79+X85+X90+X96+X106+X112+X123+X127+X131+X136+X143+X150+X156+X161+X166+X171+X176+X183+X188+X197+X203+X210+X215+X221+X227+X233+X239+X243+X250+X254+X260+X273,"0")</f>
        <v>9574.08</v>
      </c>
      <c r="Y274" s="41">
        <f>IFERROR(Y31+Y37+Y44+Y51+Y59+Y64+Y68+Y73+Y79+Y85+Y90+Y96+Y106+Y112+Y123+Y127+Y131+Y136+Y143+Y150+Y156+Y161+Y166+Y171+Y176+Y183+Y188+Y197+Y203+Y210+Y215+Y221+Y227+Y233+Y239+Y243+Y250+Y254+Y260+Y273,"0")</f>
        <v>4251</v>
      </c>
      <c r="Z274" s="40"/>
      <c r="AA274" s="64"/>
      <c r="AB274" s="64"/>
      <c r="AC274" s="64"/>
    </row>
    <row r="275" spans="1:32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34</v>
      </c>
      <c r="Q275" s="292"/>
      <c r="R275" s="292"/>
      <c r="S275" s="292"/>
      <c r="T275" s="292"/>
      <c r="U275" s="292"/>
      <c r="V275" s="293"/>
      <c r="W275" s="40" t="s">
        <v>0</v>
      </c>
      <c r="X275" s="41">
        <f>IFERROR(SUM(BM22:BM271),"0")</f>
        <v>10724.121999999999</v>
      </c>
      <c r="Y275" s="41">
        <f>IFERROR(SUM(BN22:BN271),"0")</f>
        <v>10724.121999999999</v>
      </c>
      <c r="Z275" s="40"/>
      <c r="AA275" s="64"/>
      <c r="AB275" s="64"/>
      <c r="AC275" s="64"/>
    </row>
    <row r="276" spans="1:32" x14ac:dyDescent="0.2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94"/>
      <c r="P276" s="291" t="s">
        <v>35</v>
      </c>
      <c r="Q276" s="292"/>
      <c r="R276" s="292"/>
      <c r="S276" s="292"/>
      <c r="T276" s="292"/>
      <c r="U276" s="292"/>
      <c r="V276" s="293"/>
      <c r="W276" s="40" t="s">
        <v>20</v>
      </c>
      <c r="X276" s="42">
        <f>ROUNDUP(SUM(BO22:BO271),0)</f>
        <v>32</v>
      </c>
      <c r="Y276" s="42">
        <f>ROUNDUP(SUM(BP22:BP271),0)</f>
        <v>32</v>
      </c>
      <c r="Z276" s="40"/>
      <c r="AA276" s="64"/>
      <c r="AB276" s="64"/>
      <c r="AC276" s="64"/>
    </row>
    <row r="277" spans="1:32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4"/>
      <c r="P277" s="291" t="s">
        <v>36</v>
      </c>
      <c r="Q277" s="292"/>
      <c r="R277" s="292"/>
      <c r="S277" s="292"/>
      <c r="T277" s="292"/>
      <c r="U277" s="292"/>
      <c r="V277" s="293"/>
      <c r="W277" s="40" t="s">
        <v>0</v>
      </c>
      <c r="X277" s="41">
        <f>GrossWeightTotal+PalletQtyTotal*25</f>
        <v>11524.121999999999</v>
      </c>
      <c r="Y277" s="41">
        <f>GrossWeightTotalR+PalletQtyTotalR*25</f>
        <v>11524.121999999999</v>
      </c>
      <c r="Z277" s="40"/>
      <c r="AA277" s="64"/>
      <c r="AB277" s="64"/>
      <c r="AC277" s="64"/>
    </row>
    <row r="278" spans="1:32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4"/>
      <c r="P278" s="291" t="s">
        <v>37</v>
      </c>
      <c r="Q278" s="292"/>
      <c r="R278" s="292"/>
      <c r="S278" s="292"/>
      <c r="T278" s="292"/>
      <c r="U278" s="292"/>
      <c r="V278" s="293"/>
      <c r="W278" s="40" t="s">
        <v>20</v>
      </c>
      <c r="X278" s="41">
        <f>IFERROR(X30+X36+X43+X50+X58+X63+X67+X72+X78+X84+X89+X95+X105+X111+X122+X126+X130+X135+X142+X149+X155+X160+X165+X170+X175+X182+X187+X196+X202+X209+X214+X220+X226+X232+X238+X242+X249+X253+X259+X272,"0")</f>
        <v>2714</v>
      </c>
      <c r="Y278" s="41">
        <f>IFERROR(Y30+Y36+Y43+Y50+Y58+Y63+Y67+Y72+Y78+Y84+Y89+Y95+Y105+Y111+Y122+Y126+Y130+Y135+Y142+Y149+Y155+Y160+Y165+Y170+Y175+Y182+Y187+Y196+Y202+Y209+Y214+Y220+Y226+Y232+Y238+Y242+Y249+Y253+Y259+Y272,"0")</f>
        <v>2714</v>
      </c>
      <c r="Z278" s="40"/>
      <c r="AA278" s="64"/>
      <c r="AB278" s="64"/>
      <c r="AC278" s="64"/>
    </row>
    <row r="279" spans="1:32" ht="14.25" hidden="1" customHeight="1" x14ac:dyDescent="0.2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94"/>
      <c r="P279" s="291" t="s">
        <v>38</v>
      </c>
      <c r="Q279" s="292"/>
      <c r="R279" s="292"/>
      <c r="S279" s="292"/>
      <c r="T279" s="292"/>
      <c r="U279" s="292"/>
      <c r="V279" s="293"/>
      <c r="W279" s="43" t="s">
        <v>52</v>
      </c>
      <c r="X279" s="40"/>
      <c r="Y279" s="40"/>
      <c r="Z279" s="40">
        <f>IFERROR(Z30+Z36+Z43+Z50+Z58+Z63+Z67+Z72+Z78+Z84+Z89+Z95+Z105+Z111+Z122+Z126+Z130+Z135+Z142+Z149+Z155+Z160+Z165+Z170+Z175+Z182+Z187+Z196+Z202+Z209+Z214+Z220+Z226+Z232+Z238+Z242+Z249+Z253+Z259+Z272,"0")</f>
        <v>39.520539999999997</v>
      </c>
      <c r="AA279" s="64"/>
      <c r="AB279" s="64"/>
      <c r="AC279" s="64"/>
    </row>
    <row r="280" spans="1:32" ht="13.5" thickBot="1" x14ac:dyDescent="0.25"/>
    <row r="281" spans="1:32" ht="27" thickTop="1" thickBot="1" x14ac:dyDescent="0.25">
      <c r="A281" s="44" t="s">
        <v>9</v>
      </c>
      <c r="B281" s="278" t="s">
        <v>81</v>
      </c>
      <c r="C281" s="278" t="s">
        <v>81</v>
      </c>
      <c r="D281" s="278" t="s">
        <v>45</v>
      </c>
      <c r="E281" s="278" t="s">
        <v>45</v>
      </c>
      <c r="F281" s="278" t="s">
        <v>45</v>
      </c>
      <c r="G281" s="278" t="s">
        <v>45</v>
      </c>
      <c r="H281" s="278" t="s">
        <v>45</v>
      </c>
      <c r="I281" s="278" t="s">
        <v>45</v>
      </c>
      <c r="J281" s="278" t="s">
        <v>45</v>
      </c>
      <c r="K281" s="278" t="s">
        <v>45</v>
      </c>
      <c r="L281" s="278" t="s">
        <v>45</v>
      </c>
      <c r="M281" s="278" t="s">
        <v>45</v>
      </c>
      <c r="N281" s="279"/>
      <c r="O281" s="278" t="s">
        <v>45</v>
      </c>
      <c r="P281" s="278" t="s">
        <v>45</v>
      </c>
      <c r="Q281" s="278" t="s">
        <v>45</v>
      </c>
      <c r="R281" s="278" t="s">
        <v>45</v>
      </c>
      <c r="S281" s="278" t="s">
        <v>45</v>
      </c>
      <c r="T281" s="278" t="s">
        <v>45</v>
      </c>
      <c r="U281" s="278" t="s">
        <v>45</v>
      </c>
      <c r="V281" s="278" t="s">
        <v>45</v>
      </c>
      <c r="W281" s="83" t="s">
        <v>273</v>
      </c>
      <c r="X281" s="83" t="s">
        <v>287</v>
      </c>
      <c r="Y281" s="278" t="s">
        <v>301</v>
      </c>
      <c r="Z281" s="278" t="s">
        <v>301</v>
      </c>
      <c r="AA281" s="278" t="s">
        <v>301</v>
      </c>
      <c r="AB281" s="83" t="s">
        <v>327</v>
      </c>
      <c r="AC281" s="83" t="s">
        <v>332</v>
      </c>
      <c r="AD281" s="83" t="s">
        <v>336</v>
      </c>
      <c r="AE281" s="83" t="s">
        <v>344</v>
      </c>
      <c r="AF281" s="1"/>
    </row>
    <row r="282" spans="1:32" ht="14.25" customHeight="1" thickTop="1" x14ac:dyDescent="0.2">
      <c r="A282" s="280" t="s">
        <v>10</v>
      </c>
      <c r="B282" s="278" t="s">
        <v>81</v>
      </c>
      <c r="C282" s="278" t="s">
        <v>105</v>
      </c>
      <c r="D282" s="278" t="s">
        <v>111</v>
      </c>
      <c r="E282" s="278" t="s">
        <v>122</v>
      </c>
      <c r="F282" s="278" t="s">
        <v>132</v>
      </c>
      <c r="G282" s="278" t="s">
        <v>143</v>
      </c>
      <c r="H282" s="278" t="s">
        <v>164</v>
      </c>
      <c r="I282" s="278" t="s">
        <v>171</v>
      </c>
      <c r="J282" s="278" t="s">
        <v>175</v>
      </c>
      <c r="K282" s="278" t="s">
        <v>183</v>
      </c>
      <c r="L282" s="278" t="s">
        <v>198</v>
      </c>
      <c r="M282" s="278" t="s">
        <v>204</v>
      </c>
      <c r="N282" s="1"/>
      <c r="O282" s="278" t="s">
        <v>229</v>
      </c>
      <c r="P282" s="278" t="s">
        <v>234</v>
      </c>
      <c r="Q282" s="278" t="s">
        <v>243</v>
      </c>
      <c r="R282" s="278" t="s">
        <v>252</v>
      </c>
      <c r="S282" s="278" t="s">
        <v>257</v>
      </c>
      <c r="T282" s="278" t="s">
        <v>261</v>
      </c>
      <c r="U282" s="278" t="s">
        <v>264</v>
      </c>
      <c r="V282" s="278" t="s">
        <v>269</v>
      </c>
      <c r="W282" s="278" t="s">
        <v>274</v>
      </c>
      <c r="X282" s="278" t="s">
        <v>288</v>
      </c>
      <c r="Y282" s="278" t="s">
        <v>302</v>
      </c>
      <c r="Z282" s="278" t="s">
        <v>317</v>
      </c>
      <c r="AA282" s="278" t="s">
        <v>321</v>
      </c>
      <c r="AB282" s="278" t="s">
        <v>328</v>
      </c>
      <c r="AC282" s="278" t="s">
        <v>333</v>
      </c>
      <c r="AD282" s="278" t="s">
        <v>337</v>
      </c>
      <c r="AE282" s="278" t="s">
        <v>344</v>
      </c>
      <c r="AF282" s="1"/>
    </row>
    <row r="283" spans="1:32" ht="13.5" thickBot="1" x14ac:dyDescent="0.25">
      <c r="A283" s="281"/>
      <c r="B283" s="278"/>
      <c r="C283" s="278"/>
      <c r="D283" s="278"/>
      <c r="E283" s="278"/>
      <c r="F283" s="278"/>
      <c r="G283" s="278"/>
      <c r="H283" s="278"/>
      <c r="I283" s="278"/>
      <c r="J283" s="278"/>
      <c r="K283" s="278"/>
      <c r="L283" s="278"/>
      <c r="M283" s="278"/>
      <c r="N283" s="1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  <c r="AC283" s="278"/>
      <c r="AD283" s="278"/>
      <c r="AE283" s="278"/>
      <c r="AF283" s="1"/>
    </row>
    <row r="284" spans="1:32" ht="18" thickTop="1" thickBot="1" x14ac:dyDescent="0.25">
      <c r="A284" s="44" t="s">
        <v>13</v>
      </c>
      <c r="B284" s="50">
        <f>IFERROR(X22*H22,"0")+IFERROR(X23*H23,"0")+IFERROR(X24*H24,"0")+IFERROR(X25*H25,"0")+IFERROR(X26*H26,"0")+IFERROR(X27*H27,"0")+IFERROR(X28*H28,"0")+IFERROR(X29*H29,"0")</f>
        <v>0</v>
      </c>
      <c r="C284" s="50">
        <f>IFERROR(X34*H34,"0")+IFERROR(X35*H35,"0")</f>
        <v>0</v>
      </c>
      <c r="D284" s="50">
        <f>IFERROR(X41*H41,"0")+IFERROR(X42*H42,"0")</f>
        <v>315</v>
      </c>
      <c r="E284" s="50">
        <f>IFERROR(X47*H47,"0")+IFERROR(X48*H48,"0")+IFERROR(X49*H49,"0")</f>
        <v>0</v>
      </c>
      <c r="F284" s="50">
        <f>IFERROR(X54*H54,"0")+IFERROR(X55*H55,"0")+IFERROR(X56*H56,"0")+IFERROR(X57*H57,"0")</f>
        <v>0</v>
      </c>
      <c r="G284" s="50">
        <f>IFERROR(X62*H62,"0")+IFERROR(X66*H66,"0")+IFERROR(X70*H70,"0")+IFERROR(X71*H71,"0")+IFERROR(X75*H75,"0")+IFERROR(X76*H76,"0")+IFERROR(X77*H77,"0")</f>
        <v>0</v>
      </c>
      <c r="H284" s="50">
        <f>IFERROR(X82*H82,"0")+IFERROR(X83*H83,"0")</f>
        <v>0</v>
      </c>
      <c r="I284" s="50">
        <f>IFERROR(X88*H88,"0")</f>
        <v>100.8</v>
      </c>
      <c r="J284" s="50">
        <f>IFERROR(X93*H93,"0")+IFERROR(X94*H94,"0")</f>
        <v>604.79999999999995</v>
      </c>
      <c r="K284" s="50">
        <f>IFERROR(X99*H99,"0")+IFERROR(X100*H100,"0")+IFERROR(X101*H101,"0")+IFERROR(X102*H102,"0")+IFERROR(X103*H103,"0")+IFERROR(X104*H104,"0")</f>
        <v>900.48</v>
      </c>
      <c r="L284" s="50">
        <f>IFERROR(X109*H109,"0")+IFERROR(X110*H110,"0")</f>
        <v>0</v>
      </c>
      <c r="M284" s="50">
        <f>IFERROR(X115*H115,"0")+IFERROR(X116*H116,"0")+IFERROR(X117*H117,"0")+IFERROR(X118*H118,"0")+IFERROR(X119*H119,"0")+IFERROR(X120*H120,"0")+IFERROR(X121*H121,"0")+IFERROR(X125*H125,"0")+IFERROR(X129*H129,"0")</f>
        <v>0</v>
      </c>
      <c r="N284" s="1"/>
      <c r="O284" s="50">
        <f>IFERROR(X134*H134,"0")</f>
        <v>0</v>
      </c>
      <c r="P284" s="50">
        <f>IFERROR(X139*H139,"0")+IFERROR(X140*H140,"0")+IFERROR(X141*H141,"0")</f>
        <v>756</v>
      </c>
      <c r="Q284" s="50">
        <f>IFERROR(X146*H146,"0")+IFERROR(X147*H147,"0")+IFERROR(X148*H148,"0")</f>
        <v>420</v>
      </c>
      <c r="R284" s="50">
        <f>IFERROR(X153*H153,"0")+IFERROR(X154*H154,"0")</f>
        <v>235.2</v>
      </c>
      <c r="S284" s="50">
        <f>IFERROR(X159*H159,"0")</f>
        <v>168</v>
      </c>
      <c r="T284" s="50">
        <f>IFERROR(X164*H164,"0")</f>
        <v>0</v>
      </c>
      <c r="U284" s="50">
        <f>IFERROR(X169*H169,"0")</f>
        <v>0</v>
      </c>
      <c r="V284" s="50">
        <f>IFERROR(X174*H174,"0")</f>
        <v>235.2</v>
      </c>
      <c r="W284" s="50">
        <f>IFERROR(X180*H180,"0")+IFERROR(X181*H181,"0")+IFERROR(X185*H185,"0")+IFERROR(X186*H186,"0")</f>
        <v>0</v>
      </c>
      <c r="X284" s="50">
        <f>IFERROR(X192*H192,"0")+IFERROR(X193*H193,"0")+IFERROR(X194*H194,"0")+IFERROR(X195*H195,"0")</f>
        <v>336</v>
      </c>
      <c r="Y284" s="50">
        <f>IFERROR(X201*H201,"0")+IFERROR(X205*H205,"0")+IFERROR(X206*H206,"0")+IFERROR(X207*H207,"0")+IFERROR(X208*H208,"0")</f>
        <v>0</v>
      </c>
      <c r="Z284" s="50">
        <f>IFERROR(X213*H213,"0")</f>
        <v>0</v>
      </c>
      <c r="AA284" s="50">
        <f>IFERROR(X218*H218,"0")+IFERROR(X219*H219,"0")</f>
        <v>0</v>
      </c>
      <c r="AB284" s="50">
        <f>IFERROR(X225*H225,"0")</f>
        <v>0</v>
      </c>
      <c r="AC284" s="50">
        <f>IFERROR(X231*H231,"0")</f>
        <v>0</v>
      </c>
      <c r="AD284" s="50">
        <f>IFERROR(X237*H237,"0")+IFERROR(X241*H241,"0")</f>
        <v>0</v>
      </c>
      <c r="AE284" s="50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5502.6</v>
      </c>
      <c r="AF284" s="1"/>
    </row>
    <row r="285" spans="1:32" ht="13.5" thickTop="1" x14ac:dyDescent="0.2">
      <c r="C285" s="1"/>
    </row>
    <row r="286" spans="1:32" ht="19.5" customHeight="1" x14ac:dyDescent="0.2">
      <c r="A286" s="67" t="s">
        <v>62</v>
      </c>
      <c r="B286" s="67" t="s">
        <v>63</v>
      </c>
      <c r="C286" s="67" t="s">
        <v>65</v>
      </c>
    </row>
    <row r="287" spans="1:32" x14ac:dyDescent="0.2">
      <c r="A287" s="68">
        <f>SUMPRODUCT(--(BB:BB="ЗПФ"),--(W:W="кор"),H:H,Y:Y)+SUMPRODUCT(--(BB:BB="ЗПФ"),--(W:W="кг"),Y:Y)</f>
        <v>0</v>
      </c>
      <c r="B287" s="69">
        <f>SUMPRODUCT(--(BB:BB="ПГП"),--(W:W="кор"),H:H,Y:Y)+SUMPRODUCT(--(BB:BB="ПГП"),--(W:W="кг"),Y:Y)</f>
        <v>9574.08</v>
      </c>
      <c r="C287" s="69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2,00"/>
        <filter val="1 080,00"/>
        <filter val="10 724,12"/>
        <filter val="100,80"/>
        <filter val="11 524,12"/>
        <filter val="112,00"/>
        <filter val="126,00"/>
        <filter val="14,00"/>
        <filter val="140,00"/>
        <filter val="168,00"/>
        <filter val="180,00"/>
        <filter val="2 714,00"/>
        <filter val="210,00"/>
        <filter val="235,20"/>
        <filter val="252,00"/>
        <filter val="28,00"/>
        <filter val="308,00"/>
        <filter val="315,00"/>
        <filter val="32"/>
        <filter val="336,00"/>
        <filter val="378,00"/>
        <filter val="4 422,60"/>
        <filter val="42,00"/>
        <filter val="420,00"/>
        <filter val="56,00"/>
        <filter val="604,80"/>
        <filter val="70,00"/>
        <filter val="756,00"/>
        <filter val="84,00"/>
        <filter val="9 574,08"/>
        <filter val="900,48"/>
        <filter val="98,00"/>
      </filters>
    </filterColumn>
    <filterColumn colId="29" showButton="0"/>
    <filterColumn colId="30" showButton="0"/>
  </autoFilter>
  <dataConsolidate/>
  <mergeCells count="49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</mergeCells>
  <phoneticPr fontId="2" type="noConversion"/>
  <conditionalFormatting sqref="A8:N10">
    <cfRule type="expression" dxfId="4" priority="5" stopIfTrue="1">
      <formula>IF($V$5="самовывоз",1,0)</formula>
    </cfRule>
  </conditionalFormatting>
  <conditionalFormatting sqref="P5 P6:R6">
    <cfRule type="expression" dxfId="3" priority="4" stopIfTrue="1">
      <formula>IF($V$5="доставка",1,0)</formula>
    </cfRule>
  </conditionalFormatting>
  <conditionalFormatting sqref="P8:R8">
    <cfRule type="expression" dxfId="2" priority="2" stopIfTrue="1">
      <formula>IF($V$5="доставка",1,0)</formula>
    </cfRule>
  </conditionalFormatting>
  <conditionalFormatting sqref="P9:R13">
    <cfRule type="expression" dxfId="1" priority="16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1" t="s">
        <v>383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385</v>
      </c>
      <c r="D6" s="51" t="s">
        <v>386</v>
      </c>
      <c r="E6" s="51" t="s">
        <v>46</v>
      </c>
    </row>
    <row r="8" spans="2:8" x14ac:dyDescent="0.2">
      <c r="B8" s="51" t="s">
        <v>80</v>
      </c>
      <c r="C8" s="51" t="s">
        <v>385</v>
      </c>
      <c r="D8" s="51" t="s">
        <v>46</v>
      </c>
      <c r="E8" s="51" t="s">
        <v>46</v>
      </c>
    </row>
    <row r="10" spans="2:8" x14ac:dyDescent="0.2">
      <c r="B10" s="51" t="s">
        <v>387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388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389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397</v>
      </c>
      <c r="C20" s="51" t="s">
        <v>46</v>
      </c>
      <c r="D20" s="51" t="s">
        <v>46</v>
      </c>
      <c r="E20" s="51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