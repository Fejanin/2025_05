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2478266-0698-4B55-A2BD-5DC7A7D661A6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M277" i="1"/>
  <c r="Z277" i="1"/>
  <c r="Y277" i="1"/>
  <c r="BN277" i="1" s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Y265" i="1"/>
  <c r="BN265" i="1" s="1"/>
  <c r="P265" i="1"/>
  <c r="X263" i="1"/>
  <c r="X262" i="1"/>
  <c r="BO261" i="1"/>
  <c r="BM261" i="1"/>
  <c r="Z261" i="1"/>
  <c r="Z262" i="1" s="1"/>
  <c r="Y261" i="1"/>
  <c r="Y263" i="1" s="1"/>
  <c r="P261" i="1"/>
  <c r="X259" i="1"/>
  <c r="X258" i="1"/>
  <c r="BP257" i="1"/>
  <c r="BO257" i="1"/>
  <c r="BM257" i="1"/>
  <c r="Z257" i="1"/>
  <c r="Y257" i="1"/>
  <c r="BN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Y252" i="1" s="1"/>
  <c r="P250" i="1"/>
  <c r="Y246" i="1"/>
  <c r="X246" i="1"/>
  <c r="X245" i="1"/>
  <c r="BO244" i="1"/>
  <c r="BM244" i="1"/>
  <c r="Z244" i="1"/>
  <c r="Z245" i="1" s="1"/>
  <c r="Y244" i="1"/>
  <c r="P244" i="1"/>
  <c r="X242" i="1"/>
  <c r="X241" i="1"/>
  <c r="BO240" i="1"/>
  <c r="BM240" i="1"/>
  <c r="Z240" i="1"/>
  <c r="Z241" i="1" s="1"/>
  <c r="Y240" i="1"/>
  <c r="Y242" i="1" s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Y230" i="1" s="1"/>
  <c r="P228" i="1"/>
  <c r="X224" i="1"/>
  <c r="X223" i="1"/>
  <c r="BO222" i="1"/>
  <c r="BM222" i="1"/>
  <c r="Z222" i="1"/>
  <c r="Z223" i="1" s="1"/>
  <c r="Y222" i="1"/>
  <c r="Y224" i="1" s="1"/>
  <c r="P222" i="1"/>
  <c r="X219" i="1"/>
  <c r="X218" i="1"/>
  <c r="BO217" i="1"/>
  <c r="BM217" i="1"/>
  <c r="Z217" i="1"/>
  <c r="Z218" i="1" s="1"/>
  <c r="Y217" i="1"/>
  <c r="Y219" i="1" s="1"/>
  <c r="P217" i="1"/>
  <c r="X214" i="1"/>
  <c r="X213" i="1"/>
  <c r="BO212" i="1"/>
  <c r="BM212" i="1"/>
  <c r="Z212" i="1"/>
  <c r="Y212" i="1"/>
  <c r="P212" i="1"/>
  <c r="BO211" i="1"/>
  <c r="BM211" i="1"/>
  <c r="Z211" i="1"/>
  <c r="Z213" i="1" s="1"/>
  <c r="Y211" i="1"/>
  <c r="Y214" i="1" s="1"/>
  <c r="P211" i="1"/>
  <c r="X208" i="1"/>
  <c r="X207" i="1"/>
  <c r="BO206" i="1"/>
  <c r="BN206" i="1"/>
  <c r="BM206" i="1"/>
  <c r="Z206" i="1"/>
  <c r="Y206" i="1"/>
  <c r="BP206" i="1" s="1"/>
  <c r="P206" i="1"/>
  <c r="BO205" i="1"/>
  <c r="BM205" i="1"/>
  <c r="Z205" i="1"/>
  <c r="Y205" i="1"/>
  <c r="P205" i="1"/>
  <c r="BO204" i="1"/>
  <c r="BN204" i="1"/>
  <c r="BM204" i="1"/>
  <c r="Z204" i="1"/>
  <c r="Y204" i="1"/>
  <c r="P204" i="1"/>
  <c r="X202" i="1"/>
  <c r="X201" i="1"/>
  <c r="BO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P194" i="1" s="1"/>
  <c r="P194" i="1"/>
  <c r="BO193" i="1"/>
  <c r="BM193" i="1"/>
  <c r="Z193" i="1"/>
  <c r="Y193" i="1"/>
  <c r="P193" i="1"/>
  <c r="BP192" i="1"/>
  <c r="BO192" i="1"/>
  <c r="BN192" i="1"/>
  <c r="BM192" i="1"/>
  <c r="Z192" i="1"/>
  <c r="Y192" i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M184" i="1"/>
  <c r="Z184" i="1"/>
  <c r="Y184" i="1"/>
  <c r="BN184" i="1" s="1"/>
  <c r="P184" i="1"/>
  <c r="X182" i="1"/>
  <c r="X181" i="1"/>
  <c r="BO180" i="1"/>
  <c r="BM180" i="1"/>
  <c r="Z180" i="1"/>
  <c r="Y180" i="1"/>
  <c r="BP180" i="1" s="1"/>
  <c r="P180" i="1"/>
  <c r="BO179" i="1"/>
  <c r="BM179" i="1"/>
  <c r="Z179" i="1"/>
  <c r="Y179" i="1"/>
  <c r="P179" i="1"/>
  <c r="Y175" i="1"/>
  <c r="X175" i="1"/>
  <c r="X174" i="1"/>
  <c r="BO173" i="1"/>
  <c r="BM173" i="1"/>
  <c r="Z173" i="1"/>
  <c r="Z174" i="1" s="1"/>
  <c r="Y173" i="1"/>
  <c r="P173" i="1"/>
  <c r="X170" i="1"/>
  <c r="X169" i="1"/>
  <c r="BO168" i="1"/>
  <c r="BM168" i="1"/>
  <c r="Z168" i="1"/>
  <c r="Z169" i="1" s="1"/>
  <c r="Y168" i="1"/>
  <c r="Y170" i="1" s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Y158" i="1"/>
  <c r="P158" i="1"/>
  <c r="BO157" i="1"/>
  <c r="BM157" i="1"/>
  <c r="Z157" i="1"/>
  <c r="Y157" i="1"/>
  <c r="BP157" i="1" s="1"/>
  <c r="P157" i="1"/>
  <c r="X154" i="1"/>
  <c r="X153" i="1"/>
  <c r="BO152" i="1"/>
  <c r="BN152" i="1"/>
  <c r="BM152" i="1"/>
  <c r="Z152" i="1"/>
  <c r="Y152" i="1"/>
  <c r="BP152" i="1" s="1"/>
  <c r="P152" i="1"/>
  <c r="BO151" i="1"/>
  <c r="BM151" i="1"/>
  <c r="Z151" i="1"/>
  <c r="Y151" i="1"/>
  <c r="P151" i="1"/>
  <c r="X148" i="1"/>
  <c r="X147" i="1"/>
  <c r="BO146" i="1"/>
  <c r="BM146" i="1"/>
  <c r="Z146" i="1"/>
  <c r="Y146" i="1"/>
  <c r="Y148" i="1" s="1"/>
  <c r="P146" i="1"/>
  <c r="BO145" i="1"/>
  <c r="BN145" i="1"/>
  <c r="BM145" i="1"/>
  <c r="Z145" i="1"/>
  <c r="Y145" i="1"/>
  <c r="P145" i="1"/>
  <c r="X142" i="1"/>
  <c r="X141" i="1"/>
  <c r="BO140" i="1"/>
  <c r="BN140" i="1"/>
  <c r="BM140" i="1"/>
  <c r="Z140" i="1"/>
  <c r="Y140" i="1"/>
  <c r="BP140" i="1" s="1"/>
  <c r="P140" i="1"/>
  <c r="BO139" i="1"/>
  <c r="BM139" i="1"/>
  <c r="Z139" i="1"/>
  <c r="Y139" i="1"/>
  <c r="P139" i="1"/>
  <c r="BO138" i="1"/>
  <c r="BM138" i="1"/>
  <c r="Z138" i="1"/>
  <c r="Y138" i="1"/>
  <c r="BN138" i="1" s="1"/>
  <c r="P138" i="1"/>
  <c r="X136" i="1"/>
  <c r="X135" i="1"/>
  <c r="BO134" i="1"/>
  <c r="BM134" i="1"/>
  <c r="Z134" i="1"/>
  <c r="Y134" i="1"/>
  <c r="BN134" i="1" s="1"/>
  <c r="P134" i="1"/>
  <c r="BO133" i="1"/>
  <c r="BM133" i="1"/>
  <c r="Z133" i="1"/>
  <c r="Y133" i="1"/>
  <c r="P133" i="1"/>
  <c r="BO132" i="1"/>
  <c r="BM132" i="1"/>
  <c r="Z132" i="1"/>
  <c r="Y132" i="1"/>
  <c r="P132" i="1"/>
  <c r="X129" i="1"/>
  <c r="X128" i="1"/>
  <c r="BO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P117" i="1"/>
  <c r="BO117" i="1"/>
  <c r="BM117" i="1"/>
  <c r="Z117" i="1"/>
  <c r="Y117" i="1"/>
  <c r="BN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N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P97" i="1"/>
  <c r="BO97" i="1"/>
  <c r="BN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Y93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N80" i="1"/>
  <c r="BM80" i="1"/>
  <c r="Z80" i="1"/>
  <c r="Z82" i="1" s="1"/>
  <c r="Y80" i="1"/>
  <c r="BP80" i="1" s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BN73" i="1" s="1"/>
  <c r="P73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Y57" i="1" s="1"/>
  <c r="P53" i="1"/>
  <c r="BO52" i="1"/>
  <c r="BN52" i="1"/>
  <c r="BM52" i="1"/>
  <c r="Z52" i="1"/>
  <c r="Y52" i="1"/>
  <c r="P52" i="1"/>
  <c r="X49" i="1"/>
  <c r="X48" i="1"/>
  <c r="BO47" i="1"/>
  <c r="BN47" i="1"/>
  <c r="BM47" i="1"/>
  <c r="Z47" i="1"/>
  <c r="Y47" i="1"/>
  <c r="BP47" i="1" s="1"/>
  <c r="P47" i="1"/>
  <c r="BO46" i="1"/>
  <c r="BM46" i="1"/>
  <c r="Z46" i="1"/>
  <c r="Y46" i="1"/>
  <c r="Y48" i="1" s="1"/>
  <c r="P46" i="1"/>
  <c r="BO45" i="1"/>
  <c r="BN45" i="1"/>
  <c r="BM45" i="1"/>
  <c r="Z45" i="1"/>
  <c r="Y45" i="1"/>
  <c r="P45" i="1"/>
  <c r="X42" i="1"/>
  <c r="X41" i="1"/>
  <c r="BO40" i="1"/>
  <c r="BM40" i="1"/>
  <c r="Z40" i="1"/>
  <c r="Y40" i="1"/>
  <c r="BN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P33" i="1"/>
  <c r="BO32" i="1"/>
  <c r="BM32" i="1"/>
  <c r="Z32" i="1"/>
  <c r="Y32" i="1"/>
  <c r="BN32" i="1" s="1"/>
  <c r="P32" i="1"/>
  <c r="X29" i="1"/>
  <c r="X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BN108" i="1" l="1"/>
  <c r="BN115" i="1"/>
  <c r="BN127" i="1"/>
  <c r="Y104" i="1"/>
  <c r="BN101" i="1"/>
  <c r="Z93" i="1"/>
  <c r="BN267" i="1"/>
  <c r="BN273" i="1"/>
  <c r="BN54" i="1"/>
  <c r="BN119" i="1"/>
  <c r="BN211" i="1"/>
  <c r="Z120" i="1"/>
  <c r="Y136" i="1"/>
  <c r="BP211" i="1"/>
  <c r="Y76" i="1"/>
  <c r="Y83" i="1"/>
  <c r="Z281" i="1"/>
  <c r="Y282" i="1"/>
  <c r="Z70" i="1"/>
  <c r="BN92" i="1"/>
  <c r="BN99" i="1"/>
  <c r="Y141" i="1"/>
  <c r="BN194" i="1"/>
  <c r="Y128" i="1"/>
  <c r="BN271" i="1"/>
  <c r="BN157" i="1"/>
  <c r="BN180" i="1"/>
  <c r="Y35" i="1"/>
  <c r="Y109" i="1"/>
  <c r="Y120" i="1"/>
  <c r="Z109" i="1"/>
  <c r="Y160" i="1"/>
  <c r="Z28" i="1"/>
  <c r="BN75" i="1"/>
  <c r="Y154" i="1"/>
  <c r="X284" i="1"/>
  <c r="BP23" i="1"/>
  <c r="BP25" i="1"/>
  <c r="BP27" i="1"/>
  <c r="Y34" i="1"/>
  <c r="BP40" i="1"/>
  <c r="Y49" i="1"/>
  <c r="BP123" i="1"/>
  <c r="Z135" i="1"/>
  <c r="BP132" i="1"/>
  <c r="BP134" i="1"/>
  <c r="Y142" i="1"/>
  <c r="Z186" i="1"/>
  <c r="BP184" i="1"/>
  <c r="BP200" i="1"/>
  <c r="BP261" i="1"/>
  <c r="X285" i="1"/>
  <c r="Z34" i="1"/>
  <c r="BP32" i="1"/>
  <c r="Z48" i="1"/>
  <c r="BP45" i="1"/>
  <c r="Y56" i="1"/>
  <c r="Y77" i="1"/>
  <c r="Z141" i="1"/>
  <c r="BP138" i="1"/>
  <c r="Y147" i="1"/>
  <c r="Y208" i="1"/>
  <c r="Y269" i="1"/>
  <c r="Z103" i="1"/>
  <c r="Y28" i="1"/>
  <c r="X283" i="1"/>
  <c r="Y41" i="1"/>
  <c r="Z56" i="1"/>
  <c r="BP52" i="1"/>
  <c r="Z76" i="1"/>
  <c r="BP73" i="1"/>
  <c r="Y82" i="1"/>
  <c r="Y103" i="1"/>
  <c r="Y121" i="1"/>
  <c r="BN123" i="1"/>
  <c r="Y124" i="1"/>
  <c r="BP127" i="1"/>
  <c r="BN132" i="1"/>
  <c r="Y135" i="1"/>
  <c r="Z147" i="1"/>
  <c r="BP145" i="1"/>
  <c r="Z159" i="1"/>
  <c r="Y187" i="1"/>
  <c r="Z195" i="1"/>
  <c r="BN200" i="1"/>
  <c r="Y201" i="1"/>
  <c r="Z207" i="1"/>
  <c r="BP204" i="1"/>
  <c r="Y213" i="1"/>
  <c r="Z258" i="1"/>
  <c r="BN261" i="1"/>
  <c r="Y262" i="1"/>
  <c r="Z268" i="1"/>
  <c r="BP265" i="1"/>
  <c r="Y281" i="1"/>
  <c r="F9" i="1"/>
  <c r="J9" i="1"/>
  <c r="F10" i="1"/>
  <c r="BN22" i="1"/>
  <c r="BP22" i="1"/>
  <c r="BN24" i="1"/>
  <c r="BN26" i="1"/>
  <c r="X287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33" i="1"/>
  <c r="BP133" i="1"/>
  <c r="BN139" i="1"/>
  <c r="BP139" i="1"/>
  <c r="BN146" i="1"/>
  <c r="BP146" i="1"/>
  <c r="Z153" i="1"/>
  <c r="BN151" i="1"/>
  <c r="BP151" i="1"/>
  <c r="Y159" i="1"/>
  <c r="Y164" i="1"/>
  <c r="BP163" i="1"/>
  <c r="BN163" i="1"/>
  <c r="Y174" i="1"/>
  <c r="BP173" i="1"/>
  <c r="BN173" i="1"/>
  <c r="Z181" i="1"/>
  <c r="Y186" i="1"/>
  <c r="Y196" i="1"/>
  <c r="BP191" i="1"/>
  <c r="BN191" i="1"/>
  <c r="BP193" i="1"/>
  <c r="BN193" i="1"/>
  <c r="Y195" i="1"/>
  <c r="BP205" i="1"/>
  <c r="BN205" i="1"/>
  <c r="Y207" i="1"/>
  <c r="BP212" i="1"/>
  <c r="BN212" i="1"/>
  <c r="Y223" i="1"/>
  <c r="BP222" i="1"/>
  <c r="BN222" i="1"/>
  <c r="Y235" i="1"/>
  <c r="BP234" i="1"/>
  <c r="BN234" i="1"/>
  <c r="Y245" i="1"/>
  <c r="BP244" i="1"/>
  <c r="BN244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H9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Z288" i="1" l="1"/>
  <c r="Y287" i="1"/>
  <c r="X286" i="1"/>
  <c r="Y284" i="1"/>
  <c r="Y283" i="1"/>
  <c r="Y285" i="1"/>
  <c r="Y286" i="1" l="1"/>
  <c r="A296" i="1" s="1"/>
  <c r="B296" i="1" l="1"/>
  <c r="C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<sst xmlns="http://schemas.openxmlformats.org/spreadsheetml/2006/main" count="1292" uniqueCount="417">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</sst>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46209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386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0.5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0</v>
      </c>
      <c r="Y27" s="277">
        <f t="shared" si="0"/>
        <v>0</v>
      </c>
      <c r="Z27" s="36">
        <f t="shared" si="1"/>
        <v>0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36</v>
      </c>
      <c r="Y28" s="278">
        <f>IFERROR(SUM(Y22:Y27),"0")</f>
        <v>36</v>
      </c>
      <c r="Z28" s="278">
        <f>IFERROR(IF(Z22="",0,Z22),"0")+IFERROR(IF(Z23="",0,Z23),"0")+IFERROR(IF(Z24="",0,Z24),"0")+IFERROR(IF(Z25="",0,Z25),"0")+IFERROR(IF(Z26="",0,Z26),"0")+IFERROR(IF(Z27="",0,Z27),"0")</f>
        <v>0.55800000000000005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230.4</v>
      </c>
      <c r="Y29" s="278">
        <f>IFERROR(SUMPRODUCT(Y22:Y27*H22:H27),"0")</f>
        <v>230.4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98</v>
      </c>
      <c r="Y40" s="277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98</v>
      </c>
      <c r="Y41" s="278">
        <f>IFERROR(SUM(Y39:Y40),"0")</f>
        <v>98</v>
      </c>
      <c r="Z41" s="278">
        <f>IFERROR(IF(Z39="",0,Z39),"0")+IFERROR(IF(Z40="",0,Z40),"0")</f>
        <v>0.92218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147</v>
      </c>
      <c r="Y42" s="278">
        <f>IFERROR(SUMPRODUCT(Y39:Y40*H39:H40),"0")</f>
        <v>147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0</v>
      </c>
      <c r="Y45" s="277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12</v>
      </c>
      <c r="Y47" s="277">
        <f>IFERROR(IF(X47="","",X47),"")</f>
        <v>12</v>
      </c>
      <c r="Z47" s="36">
        <f>IFERROR(IF(X47="","",X47*0.0155),"")</f>
        <v>0.186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70.44</v>
      </c>
      <c r="BN47" s="67">
        <f>IFERROR(Y47*I47,"0")</f>
        <v>70.44</v>
      </c>
      <c r="BO47" s="67">
        <f>IFERROR(X47/J47,"0")</f>
        <v>0.14285714285714285</v>
      </c>
      <c r="BP47" s="67">
        <f>IFERROR(Y47/J47,"0")</f>
        <v>0.14285714285714285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12</v>
      </c>
      <c r="Y48" s="278">
        <f>IFERROR(SUM(Y45:Y47),"0")</f>
        <v>12</v>
      </c>
      <c r="Z48" s="278">
        <f>IFERROR(IF(Z45="",0,Z45),"0")+IFERROR(IF(Z46="",0,Z46),"0")+IFERROR(IF(Z47="",0,Z47),"0")</f>
        <v>0.186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67.199999999999989</v>
      </c>
      <c r="Y49" s="278">
        <f>IFERROR(SUMPRODUCT(Y45:Y47*H45:H47),"0")</f>
        <v>67.199999999999989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36</v>
      </c>
      <c r="Y52" s="277">
        <f>IFERROR(IF(X52="","",X52),"")</f>
        <v>36</v>
      </c>
      <c r="Z52" s="36">
        <f>IFERROR(IF(X52="","",X52*0.0155),"")</f>
        <v>0.55800000000000005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262.8</v>
      </c>
      <c r="BN52" s="67">
        <f>IFERROR(Y52*I52,"0")</f>
        <v>262.8</v>
      </c>
      <c r="BO52" s="67">
        <f>IFERROR(X52/J52,"0")</f>
        <v>0.42857142857142855</v>
      </c>
      <c r="BP52" s="67">
        <f>IFERROR(Y52/J52,"0")</f>
        <v>0.42857142857142855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0</v>
      </c>
      <c r="Y53" s="277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0</v>
      </c>
      <c r="Y55" s="277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36</v>
      </c>
      <c r="Y56" s="278">
        <f>IFERROR(SUM(Y52:Y55),"0")</f>
        <v>36</v>
      </c>
      <c r="Z56" s="278">
        <f>IFERROR(IF(Z52="",0,Z52),"0")+IFERROR(IF(Z53="",0,Z53),"0")+IFERROR(IF(Z54="",0,Z54),"0")+IFERROR(IF(Z55="",0,Z55),"0")</f>
        <v>0.55800000000000005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252</v>
      </c>
      <c r="Y57" s="278">
        <f>IFERROR(SUMPRODUCT(Y52:Y55*H52:H55),"0")</f>
        <v>252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42</v>
      </c>
      <c r="Y75" s="277">
        <f>IFERROR(IF(X75="","",X75),"")</f>
        <v>42</v>
      </c>
      <c r="Z75" s="36">
        <f>IFERROR(IF(X75="","",X75*0.00941),"")</f>
        <v>0.39522000000000002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65.52</v>
      </c>
      <c r="BN75" s="67">
        <f>IFERROR(Y75*I75,"0")</f>
        <v>65.52</v>
      </c>
      <c r="BO75" s="67">
        <f>IFERROR(X75/J75,"0")</f>
        <v>0.3</v>
      </c>
      <c r="BP75" s="67">
        <f>IFERROR(Y75/J75,"0")</f>
        <v>0.3</v>
      </c>
    </row>
    <row r="76" spans="1:68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42</v>
      </c>
      <c r="Y76" s="278">
        <f>IFERROR(SUM(Y73:Y75),"0")</f>
        <v>42</v>
      </c>
      <c r="Z76" s="278">
        <f>IFERROR(IF(Z73="",0,Z73),"0")+IFERROR(IF(Z74="",0,Z74),"0")+IFERROR(IF(Z75="",0,Z75),"0")</f>
        <v>0.39522000000000002</v>
      </c>
      <c r="AA76" s="279"/>
      <c r="AB76" s="279"/>
      <c r="AC76" s="279"/>
    </row>
    <row r="77" spans="1:68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50.4</v>
      </c>
      <c r="Y77" s="278">
        <f>IFERROR(SUMPRODUCT(Y73:Y75*H73:H75),"0")</f>
        <v>50.4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84</v>
      </c>
      <c r="Y81" s="277">
        <f>IFERROR(IF(X81="","",X81),"")</f>
        <v>84</v>
      </c>
      <c r="Z81" s="36">
        <f>IFERROR(IF(X81="","",X81*0.00866),"")</f>
        <v>0.72743999999999998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437.90879999999999</v>
      </c>
      <c r="BN81" s="67">
        <f>IFERROR(Y81*I81,"0")</f>
        <v>437.90879999999999</v>
      </c>
      <c r="BO81" s="67">
        <f>IFERROR(X81/J81,"0")</f>
        <v>0.58333333333333337</v>
      </c>
      <c r="BP81" s="67">
        <f>IFERROR(Y81/J81,"0")</f>
        <v>0.58333333333333337</v>
      </c>
    </row>
    <row r="82" spans="1:68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84</v>
      </c>
      <c r="Y82" s="278">
        <f>IFERROR(SUM(Y80:Y81),"0")</f>
        <v>84</v>
      </c>
      <c r="Z82" s="278">
        <f>IFERROR(IF(Z80="",0,Z80),"0")+IFERROR(IF(Z81="",0,Z81),"0")</f>
        <v>0.72743999999999998</v>
      </c>
      <c r="AA82" s="279"/>
      <c r="AB82" s="279"/>
      <c r="AC82" s="279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420</v>
      </c>
      <c r="Y83" s="278">
        <f>IFERROR(SUMPRODUCT(Y80:Y81*H80:H81),"0")</f>
        <v>420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28</v>
      </c>
      <c r="Y86" s="277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28</v>
      </c>
      <c r="Y87" s="278">
        <f>IFERROR(SUM(Y86:Y86),"0")</f>
        <v>28</v>
      </c>
      <c r="Z87" s="278">
        <f>IFERROR(IF(Z86="",0,Z86),"0")</f>
        <v>0.50063999999999997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100.8</v>
      </c>
      <c r="Y88" s="278">
        <f>IFERROR(SUMPRODUCT(Y86:Y86*H86:H86),"0")</f>
        <v>100.8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28</v>
      </c>
      <c r="Y91" s="277">
        <f>IFERROR(IF(X91="","",X91),"")</f>
        <v>28</v>
      </c>
      <c r="Z91" s="36">
        <f>IFERROR(IF(X91="","",X91*0.01788),"")</f>
        <v>0.50063999999999997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120.50080000000001</v>
      </c>
      <c r="BN91" s="67">
        <f>IFERROR(Y91*I91,"0")</f>
        <v>120.50080000000001</v>
      </c>
      <c r="BO91" s="67">
        <f>IFERROR(X91/J91,"0")</f>
        <v>0.4</v>
      </c>
      <c r="BP91" s="67">
        <f>IFERROR(Y91/J91,"0")</f>
        <v>0.4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42</v>
      </c>
      <c r="Y92" s="277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70</v>
      </c>
      <c r="Y93" s="278">
        <f>IFERROR(SUM(Y91:Y92),"0")</f>
        <v>70</v>
      </c>
      <c r="Z93" s="278">
        <f>IFERROR(IF(Z91="",0,Z91),"0")+IFERROR(IF(Z92="",0,Z92),"0")</f>
        <v>1.2515999999999998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252</v>
      </c>
      <c r="Y94" s="278">
        <f>IFERROR(SUMPRODUCT(Y91:Y92*H91:H92),"0")</f>
        <v>252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70</v>
      </c>
      <c r="Y97" s="277">
        <f t="shared" ref="Y97:Y102" si="6">IFERROR(IF(X97="","",X97),"")</f>
        <v>70</v>
      </c>
      <c r="Z97" s="36">
        <f t="shared" ref="Z97:Z102" si="7">IFERROR(IF(X97="","",X97*0.01788),"")</f>
        <v>1.2516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250.852</v>
      </c>
      <c r="BN97" s="67">
        <f t="shared" ref="BN97:BN102" si="9">IFERROR(Y97*I97,"0")</f>
        <v>250.852</v>
      </c>
      <c r="BO97" s="67">
        <f t="shared" ref="BO97:BO102" si="10">IFERROR(X97/J97,"0")</f>
        <v>1</v>
      </c>
      <c r="BP97" s="67">
        <f t="shared" ref="BP97:BP102" si="11">IFERROR(Y97/J97,"0")</f>
        <v>1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84</v>
      </c>
      <c r="Y98" s="277">
        <f t="shared" si="6"/>
        <v>84</v>
      </c>
      <c r="Z98" s="36">
        <f t="shared" si="7"/>
        <v>1.5019199999999999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301.0224</v>
      </c>
      <c r="BN98" s="67">
        <f t="shared" si="9"/>
        <v>301.0224</v>
      </c>
      <c r="BO98" s="67">
        <f t="shared" si="10"/>
        <v>1.2</v>
      </c>
      <c r="BP98" s="67">
        <f t="shared" si="11"/>
        <v>1.2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70</v>
      </c>
      <c r="Y100" s="277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0</v>
      </c>
      <c r="Y102" s="277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238</v>
      </c>
      <c r="Y103" s="278">
        <f>IFERROR(SUM(Y97:Y102),"0")</f>
        <v>238</v>
      </c>
      <c r="Z103" s="278">
        <f>IFERROR(IF(Z97="",0,Z97),"0")+IFERROR(IF(Z98="",0,Z98),"0")+IFERROR(IF(Z99="",0,Z99),"0")+IFERROR(IF(Z100="",0,Z100),"0")+IFERROR(IF(Z101="",0,Z101),"0")+IFERROR(IF(Z102="",0,Z102),"0")</f>
        <v>4.2554400000000001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685.43999999999994</v>
      </c>
      <c r="Y104" s="278">
        <f>IFERROR(SUMPRODUCT(Y97:Y102*H97:H102),"0")</f>
        <v>685.43999999999994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0</v>
      </c>
      <c r="Y107" s="277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56</v>
      </c>
      <c r="Y108" s="277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56</v>
      </c>
      <c r="Y109" s="278">
        <f>IFERROR(SUM(Y107:Y108),"0")</f>
        <v>56</v>
      </c>
      <c r="Z109" s="278">
        <f>IFERROR(IF(Z107="",0,Z107),"0")+IFERROR(IF(Z108="",0,Z108),"0")</f>
        <v>1.0012799999999999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201.6</v>
      </c>
      <c r="Y110" s="278">
        <f>IFERROR(SUMPRODUCT(Y107:Y108*H107:H108),"0")</f>
        <v>201.6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24</v>
      </c>
      <c r="Y113" s="277">
        <f t="shared" ref="Y113:Y119" si="12">IFERROR(IF(X113="","",X113),"")</f>
        <v>24</v>
      </c>
      <c r="Z113" s="36">
        <f t="shared" ref="Z113:Z119" si="13">IFERROR(IF(X113="","",X113*0.0155),"")</f>
        <v>0.372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174.72</v>
      </c>
      <c r="BN113" s="67">
        <f t="shared" ref="BN113:BN119" si="15">IFERROR(Y113*I113,"0")</f>
        <v>174.72</v>
      </c>
      <c r="BO113" s="67">
        <f t="shared" ref="BO113:BO119" si="16">IFERROR(X113/J113,"0")</f>
        <v>0.2857142857142857</v>
      </c>
      <c r="BP113" s="67">
        <f t="shared" ref="BP113:BP119" si="17">IFERROR(Y113/J113,"0")</f>
        <v>0.2857142857142857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0</v>
      </c>
      <c r="Y116" s="277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0</v>
      </c>
      <c r="Y118" s="277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108</v>
      </c>
      <c r="Y119" s="277">
        <f t="shared" si="12"/>
        <v>108</v>
      </c>
      <c r="Z119" s="36">
        <f t="shared" si="13"/>
        <v>1.6739999999999999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788.4</v>
      </c>
      <c r="BN119" s="67">
        <f t="shared" si="15"/>
        <v>788.4</v>
      </c>
      <c r="BO119" s="67">
        <f t="shared" si="16"/>
        <v>1.2857142857142858</v>
      </c>
      <c r="BP119" s="67">
        <f t="shared" si="17"/>
        <v>1.2857142857142858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132</v>
      </c>
      <c r="Y120" s="278">
        <f>IFERROR(SUM(Y113:Y119),"0")</f>
        <v>132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2.0459999999999998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924</v>
      </c>
      <c r="Y121" s="278">
        <f>IFERROR(SUMPRODUCT(Y113:Y119*H113:H119),"0")</f>
        <v>924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hidden="1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0</v>
      </c>
      <c r="Y123" s="277">
        <f>IFERROR(IF(X123="","",X123),"")</f>
        <v>0</v>
      </c>
      <c r="Z123" s="36">
        <f>IFERROR(IF(X123="","",X123*0.01788),"")</f>
        <v>0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0</v>
      </c>
      <c r="BN123" s="67">
        <f>IFERROR(Y123*I123,"0")</f>
        <v>0</v>
      </c>
      <c r="BO123" s="67">
        <f>IFERROR(X123/J123,"0")</f>
        <v>0</v>
      </c>
      <c r="BP123" s="67">
        <f>IFERROR(Y123/J123,"0")</f>
        <v>0</v>
      </c>
    </row>
    <row r="124" spans="1:68" hidden="1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0</v>
      </c>
      <c r="Y124" s="278">
        <f>IFERROR(SUM(Y123:Y123),"0")</f>
        <v>0</v>
      </c>
      <c r="Z124" s="278">
        <f>IFERROR(IF(Z123="",0,Z123),"0")</f>
        <v>0</v>
      </c>
      <c r="AA124" s="279"/>
      <c r="AB124" s="279"/>
      <c r="AC124" s="279"/>
    </row>
    <row r="125" spans="1:68" hidden="1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0</v>
      </c>
      <c r="Y125" s="278">
        <f>IFERROR(SUMPRODUCT(Y123:Y123*H123:H123),"0")</f>
        <v>0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hidden="1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hidden="1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0</v>
      </c>
      <c r="Y134" s="277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idden="1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0</v>
      </c>
      <c r="Y135" s="278">
        <f>IFERROR(SUM(Y132:Y134),"0")</f>
        <v>0</v>
      </c>
      <c r="Z135" s="278">
        <f>IFERROR(IF(Z132="",0,Z132),"0")+IFERROR(IF(Z133="",0,Z133),"0")+IFERROR(IF(Z134="",0,Z134),"0")</f>
        <v>0</v>
      </c>
      <c r="AA135" s="279"/>
      <c r="AB135" s="279"/>
      <c r="AC135" s="279"/>
    </row>
    <row r="136" spans="1:68" hidden="1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0</v>
      </c>
      <c r="Y136" s="278">
        <f>IFERROR(SUMPRODUCT(Y132:Y134*H132:H134),"0")</f>
        <v>0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14</v>
      </c>
      <c r="Y139" s="277">
        <f>IFERROR(IF(X139="","",X139),"")</f>
        <v>14</v>
      </c>
      <c r="Z139" s="36">
        <f>IFERROR(IF(X139="","",X139*0.00941),"")</f>
        <v>0.13174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19.571999999999999</v>
      </c>
      <c r="BN139" s="67">
        <f>IFERROR(Y139*I139,"0")</f>
        <v>19.571999999999999</v>
      </c>
      <c r="BO139" s="67">
        <f>IFERROR(X139/J139,"0")</f>
        <v>0.1</v>
      </c>
      <c r="BP139" s="67">
        <f>IFERROR(Y139/J139,"0")</f>
        <v>0.1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14</v>
      </c>
      <c r="Y141" s="278">
        <f>IFERROR(SUM(Y138:Y140),"0")</f>
        <v>14</v>
      </c>
      <c r="Z141" s="278">
        <f>IFERROR(IF(Z138="",0,Z138),"0")+IFERROR(IF(Z139="",0,Z139),"0")+IFERROR(IF(Z140="",0,Z140),"0")</f>
        <v>0.13174</v>
      </c>
      <c r="AA141" s="279"/>
      <c r="AB141" s="279"/>
      <c r="AC141" s="279"/>
    </row>
    <row r="142" spans="1:68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15.120000000000001</v>
      </c>
      <c r="Y142" s="278">
        <f>IFERROR(SUMPRODUCT(Y138:Y140*H138:H140),"0")</f>
        <v>15.120000000000001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hidden="1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0</v>
      </c>
      <c r="Y145" s="277">
        <f>IFERROR(IF(X145="","",X145),"")</f>
        <v>0</v>
      </c>
      <c r="Z145" s="36">
        <f>IFERROR(IF(X145="","",X145*0.01788),"")</f>
        <v>0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84</v>
      </c>
      <c r="Y146" s="277">
        <f>IFERROR(IF(X146="","",X146),"")</f>
        <v>84</v>
      </c>
      <c r="Z146" s="36">
        <f>IFERROR(IF(X146="","",X146*0.01788),"")</f>
        <v>1.5019199999999999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311.10239999999999</v>
      </c>
      <c r="BN146" s="67">
        <f>IFERROR(Y146*I146,"0")</f>
        <v>311.10239999999999</v>
      </c>
      <c r="BO146" s="67">
        <f>IFERROR(X146/J146,"0")</f>
        <v>1.2</v>
      </c>
      <c r="BP146" s="67">
        <f>IFERROR(Y146/J146,"0")</f>
        <v>1.2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84</v>
      </c>
      <c r="Y147" s="278">
        <f>IFERROR(SUM(Y145:Y146),"0")</f>
        <v>84</v>
      </c>
      <c r="Z147" s="278">
        <f>IFERROR(IF(Z145="",0,Z145),"0")+IFERROR(IF(Z146="",0,Z146),"0")</f>
        <v>1.5019199999999999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252</v>
      </c>
      <c r="Y148" s="278">
        <f>IFERROR(SUMPRODUCT(Y145:Y146*H145:H146),"0")</f>
        <v>252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28</v>
      </c>
      <c r="Y151" s="277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104.944</v>
      </c>
      <c r="BN151" s="67">
        <f>IFERROR(Y151*I151,"0")</f>
        <v>104.944</v>
      </c>
      <c r="BO151" s="67">
        <f>IFERROR(X151/J151,"0")</f>
        <v>0.4</v>
      </c>
      <c r="BP151" s="67">
        <f>IFERROR(Y151/J151,"0")</f>
        <v>0.4</v>
      </c>
    </row>
    <row r="152" spans="1:68" ht="16.5" hidden="1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0</v>
      </c>
      <c r="Y152" s="277">
        <f>IFERROR(IF(X152="","",X152),"")</f>
        <v>0</v>
      </c>
      <c r="Z152" s="36">
        <f>IFERROR(IF(X152="","",X152*0.01788),"")</f>
        <v>0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0</v>
      </c>
      <c r="BN152" s="67">
        <f>IFERROR(Y152*I152,"0")</f>
        <v>0</v>
      </c>
      <c r="BO152" s="67">
        <f>IFERROR(X152/J152,"0")</f>
        <v>0</v>
      </c>
      <c r="BP152" s="67">
        <f>IFERROR(Y152/J152,"0")</f>
        <v>0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28</v>
      </c>
      <c r="Y153" s="278">
        <f>IFERROR(SUM(Y151:Y152),"0")</f>
        <v>28</v>
      </c>
      <c r="Z153" s="278">
        <f>IFERROR(IF(Z151="",0,Z151),"0")+IFERROR(IF(Z152="",0,Z152),"0")</f>
        <v>0.50063999999999997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84</v>
      </c>
      <c r="Y154" s="278">
        <f>IFERROR(SUMPRODUCT(Y151:Y152*H151:H152),"0")</f>
        <v>84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70</v>
      </c>
      <c r="Y157" s="277">
        <f>IFERROR(IF(X157="","",X157),"")</f>
        <v>70</v>
      </c>
      <c r="Z157" s="36">
        <f>IFERROR(IF(X157="","",X157*0.01788),"")</f>
        <v>1.2516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187.60000000000002</v>
      </c>
      <c r="BN157" s="67">
        <f>IFERROR(Y157*I157,"0")</f>
        <v>187.60000000000002</v>
      </c>
      <c r="BO157" s="67">
        <f>IFERROR(X157/J157,"0")</f>
        <v>1</v>
      </c>
      <c r="BP157" s="67">
        <f>IFERROR(Y157/J157,"0")</f>
        <v>1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14</v>
      </c>
      <c r="Y158" s="277">
        <f>IFERROR(IF(X158="","",X158),"")</f>
        <v>14</v>
      </c>
      <c r="Z158" s="36">
        <f>IFERROR(IF(X158="","",X158*0.01788),"")</f>
        <v>0.25031999999999999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37.520000000000003</v>
      </c>
      <c r="BN158" s="67">
        <f>IFERROR(Y158*I158,"0")</f>
        <v>37.520000000000003</v>
      </c>
      <c r="BO158" s="67">
        <f>IFERROR(X158/J158,"0")</f>
        <v>0.2</v>
      </c>
      <c r="BP158" s="67">
        <f>IFERROR(Y158/J158,"0")</f>
        <v>0.2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84</v>
      </c>
      <c r="Y159" s="278">
        <f>IFERROR(SUM(Y157:Y158),"0")</f>
        <v>84</v>
      </c>
      <c r="Z159" s="278">
        <f>IFERROR(IF(Z157="",0,Z157),"0")+IFERROR(IF(Z158="",0,Z158),"0")</f>
        <v>1.5019200000000001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201.6</v>
      </c>
      <c r="Y160" s="278">
        <f>IFERROR(SUMPRODUCT(Y157:Y158*H157:H158),"0")</f>
        <v>201.6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hidden="1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hidden="1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hidden="1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0</v>
      </c>
      <c r="Y168" s="277">
        <f>IFERROR(IF(X168="","",X168),"")</f>
        <v>0</v>
      </c>
      <c r="Z168" s="36">
        <f>IFERROR(IF(X168="","",X168*0.00936),"")</f>
        <v>0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0</v>
      </c>
      <c r="Y169" s="278">
        <f>IFERROR(SUM(Y168:Y168),"0")</f>
        <v>0</v>
      </c>
      <c r="Z169" s="278">
        <f>IFERROR(IF(Z168="",0,Z168),"0")</f>
        <v>0</v>
      </c>
      <c r="AA169" s="279"/>
      <c r="AB169" s="279"/>
      <c r="AC169" s="279"/>
    </row>
    <row r="170" spans="1:68" hidden="1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0</v>
      </c>
      <c r="Y170" s="278">
        <f>IFERROR(SUMPRODUCT(Y168:Y168*H168:H168),"0")</f>
        <v>0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hidden="1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0</v>
      </c>
      <c r="Y173" s="277">
        <f>IFERROR(IF(X173="","",X173),"")</f>
        <v>0</v>
      </c>
      <c r="Z173" s="36">
        <f>IFERROR(IF(X173="","",X173*0.00941),"")</f>
        <v>0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0</v>
      </c>
      <c r="Y174" s="278">
        <f>IFERROR(SUM(Y173:Y173),"0")</f>
        <v>0</v>
      </c>
      <c r="Z174" s="278">
        <f>IFERROR(IF(Z173="",0,Z173),"0")</f>
        <v>0</v>
      </c>
      <c r="AA174" s="279"/>
      <c r="AB174" s="279"/>
      <c r="AC174" s="279"/>
    </row>
    <row r="175" spans="1:68" hidden="1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0</v>
      </c>
      <c r="Y175" s="278">
        <f>IFERROR(SUMPRODUCT(Y173:Y173*H173:H173),"0")</f>
        <v>0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96</v>
      </c>
      <c r="Y180" s="277">
        <f>IFERROR(IF(X180="","",X180),"")</f>
        <v>96</v>
      </c>
      <c r="Z180" s="36">
        <f>IFERROR(IF(X180="","",X180*0.00866),"")</f>
        <v>0.83135999999999988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500.46719999999993</v>
      </c>
      <c r="BN180" s="67">
        <f>IFERROR(Y180*I180,"0")</f>
        <v>500.46719999999993</v>
      </c>
      <c r="BO180" s="67">
        <f>IFERROR(X180/J180,"0")</f>
        <v>0.66666666666666663</v>
      </c>
      <c r="BP180" s="67">
        <f>IFERROR(Y180/J180,"0")</f>
        <v>0.66666666666666663</v>
      </c>
    </row>
    <row r="181" spans="1:68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96</v>
      </c>
      <c r="Y181" s="278">
        <f>IFERROR(SUM(Y179:Y180),"0")</f>
        <v>96</v>
      </c>
      <c r="Z181" s="278">
        <f>IFERROR(IF(Z179="",0,Z179),"0")+IFERROR(IF(Z180="",0,Z180),"0")</f>
        <v>0.83135999999999988</v>
      </c>
      <c r="AA181" s="279"/>
      <c r="AB181" s="279"/>
      <c r="AC181" s="279"/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480</v>
      </c>
      <c r="Y182" s="278">
        <f>IFERROR(SUMPRODUCT(Y179:Y180*H179:H180),"0")</f>
        <v>480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hidden="1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0</v>
      </c>
      <c r="Y191" s="277">
        <f>IFERROR(IF(X191="","",X191),"")</f>
        <v>0</v>
      </c>
      <c r="Z191" s="36">
        <f>IFERROR(IF(X191="","",X191*0.01788),"")</f>
        <v>0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70</v>
      </c>
      <c r="Y192" s="277">
        <f>IFERROR(IF(X192="","",X192),"")</f>
        <v>70</v>
      </c>
      <c r="Z192" s="36">
        <f>IFERROR(IF(X192="","",X192*0.01788),"")</f>
        <v>1.2516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237.16</v>
      </c>
      <c r="BN192" s="67">
        <f>IFERROR(Y192*I192,"0")</f>
        <v>237.16</v>
      </c>
      <c r="BO192" s="67">
        <f>IFERROR(X192/J192,"0")</f>
        <v>1</v>
      </c>
      <c r="BP192" s="67">
        <f>IFERROR(Y192/J192,"0")</f>
        <v>1</v>
      </c>
    </row>
    <row r="193" spans="1:68" ht="27" hidden="1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0</v>
      </c>
      <c r="Y193" s="277">
        <f>IFERROR(IF(X193="","",X193),"")</f>
        <v>0</v>
      </c>
      <c r="Z193" s="36">
        <f>IFERROR(IF(X193="","",X193*0.01788),"")</f>
        <v>0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70</v>
      </c>
      <c r="Y195" s="278">
        <f>IFERROR(SUM(Y191:Y194),"0")</f>
        <v>70</v>
      </c>
      <c r="Z195" s="278">
        <f>IFERROR(IF(Z191="",0,Z191),"0")+IFERROR(IF(Z192="",0,Z192),"0")+IFERROR(IF(Z193="",0,Z193),"0")+IFERROR(IF(Z194="",0,Z194),"0")</f>
        <v>1.2516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210</v>
      </c>
      <c r="Y196" s="278">
        <f>IFERROR(SUMPRODUCT(Y191:Y194*H191:H194),"0")</f>
        <v>210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hidden="1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hidden="1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hidden="1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hidden="1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hidden="1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0</v>
      </c>
      <c r="Y217" s="277">
        <f>IFERROR(IF(X217="","",X217),"")</f>
        <v>0</v>
      </c>
      <c r="Z217" s="36">
        <f>IFERROR(IF(X217="","",X217*0.0155),"")</f>
        <v>0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0</v>
      </c>
      <c r="Y218" s="278">
        <f>IFERROR(SUM(Y217:Y217),"0")</f>
        <v>0</v>
      </c>
      <c r="Z218" s="278">
        <f>IFERROR(IF(Z217="",0,Z217),"0")</f>
        <v>0</v>
      </c>
      <c r="AA218" s="279"/>
      <c r="AB218" s="279"/>
      <c r="AC218" s="279"/>
    </row>
    <row r="219" spans="1:68" hidden="1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0</v>
      </c>
      <c r="Y219" s="278">
        <f>IFERROR(SUMPRODUCT(Y217:Y217*H217:H217),"0")</f>
        <v>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36</v>
      </c>
      <c r="Y234" s="277">
        <f>IFERROR(IF(X234="","",X234),"")</f>
        <v>36</v>
      </c>
      <c r="Z234" s="36">
        <f>IFERROR(IF(X234="","",X234*0.0155),"")</f>
        <v>0.55800000000000005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189.43199999999999</v>
      </c>
      <c r="BN234" s="67">
        <f>IFERROR(Y234*I234,"0")</f>
        <v>189.43199999999999</v>
      </c>
      <c r="BO234" s="67">
        <f>IFERROR(X234/J234,"0")</f>
        <v>0.42857142857142855</v>
      </c>
      <c r="BP234" s="67">
        <f>IFERROR(Y234/J234,"0")</f>
        <v>0.42857142857142855</v>
      </c>
    </row>
    <row r="235" spans="1:68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36</v>
      </c>
      <c r="Y235" s="278">
        <f>IFERROR(SUM(Y234:Y234),"0")</f>
        <v>36</v>
      </c>
      <c r="Z235" s="278">
        <f>IFERROR(IF(Z234="",0,Z234),"0")</f>
        <v>0.55800000000000005</v>
      </c>
      <c r="AA235" s="279"/>
      <c r="AB235" s="279"/>
      <c r="AC235" s="279"/>
    </row>
    <row r="236" spans="1:68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180</v>
      </c>
      <c r="Y236" s="278">
        <f>IFERROR(SUMPRODUCT(Y234:Y234*H234:H234),"0")</f>
        <v>180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48</v>
      </c>
      <c r="Y257" s="277">
        <f>IFERROR(IF(X257="","",X257),"")</f>
        <v>48</v>
      </c>
      <c r="Z257" s="36">
        <f>IFERROR(IF(X257="","",X257*0.0155),"")</f>
        <v>0.74399999999999999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349.44</v>
      </c>
      <c r="BN257" s="67">
        <f>IFERROR(Y257*I257,"0")</f>
        <v>349.44</v>
      </c>
      <c r="BO257" s="67">
        <f>IFERROR(X257/J257,"0")</f>
        <v>0.5714285714285714</v>
      </c>
      <c r="BP257" s="67">
        <f>IFERROR(Y257/J257,"0")</f>
        <v>0.5714285714285714</v>
      </c>
    </row>
    <row r="258" spans="1:68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48</v>
      </c>
      <c r="Y258" s="278">
        <f>IFERROR(SUM(Y256:Y257),"0")</f>
        <v>48</v>
      </c>
      <c r="Z258" s="278">
        <f>IFERROR(IF(Z256="",0,Z256),"0")+IFERROR(IF(Z257="",0,Z257),"0")</f>
        <v>0.74399999999999999</v>
      </c>
      <c r="AA258" s="279"/>
      <c r="AB258" s="279"/>
      <c r="AC258" s="279"/>
    </row>
    <row r="259" spans="1:68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336</v>
      </c>
      <c r="Y259" s="278">
        <f>IFERROR(SUMPRODUCT(Y256:Y257*H256:H257),"0")</f>
        <v>336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hidden="1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IFERROR(IF(X261="","",X261*0.0155),"")</f>
        <v>0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idden="1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0</v>
      </c>
      <c r="Y262" s="278">
        <f>IFERROR(SUM(Y261:Y261),"0")</f>
        <v>0</v>
      </c>
      <c r="Z262" s="278">
        <f>IFERROR(IF(Z261="",0,Z261),"0")</f>
        <v>0</v>
      </c>
      <c r="AA262" s="279"/>
      <c r="AB262" s="279"/>
      <c r="AC262" s="279"/>
    </row>
    <row r="263" spans="1:68" hidden="1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0</v>
      </c>
      <c r="Y263" s="278">
        <f>IFERROR(SUMPRODUCT(Y261:Y261*H261:H261),"0")</f>
        <v>0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hidden="1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36</v>
      </c>
      <c r="Y266" s="277">
        <f>IFERROR(IF(X266="","",X266),"")</f>
        <v>36</v>
      </c>
      <c r="Z266" s="36">
        <f>IFERROR(IF(X266="","",X266*0.0155),"")</f>
        <v>0.55800000000000005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188.46</v>
      </c>
      <c r="BN266" s="67">
        <f>IFERROR(Y266*I266,"0")</f>
        <v>188.46</v>
      </c>
      <c r="BO266" s="67">
        <f>IFERROR(X266/J266,"0")</f>
        <v>0.42857142857142855</v>
      </c>
      <c r="BP266" s="67">
        <f>IFERROR(Y266/J266,"0")</f>
        <v>0.42857142857142855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36</v>
      </c>
      <c r="Y268" s="278">
        <f>IFERROR(SUM(Y265:Y267),"0")</f>
        <v>36</v>
      </c>
      <c r="Z268" s="278">
        <f>IFERROR(IF(Z265="",0,Z265),"0")+IFERROR(IF(Z266="",0,Z266),"0")+IFERROR(IF(Z267="",0,Z267),"0")</f>
        <v>0.55800000000000005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180</v>
      </c>
      <c r="Y269" s="278">
        <f>IFERROR(SUMPRODUCT(Y265:Y267*H265:H267),"0")</f>
        <v>180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hidden="1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>IFERROR(IF(X272="","",X272*0.0155),"")</f>
        <v>0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>IFERROR(IF(X273="","",X273*0.0155),"")</f>
        <v>0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14</v>
      </c>
      <c r="Y275" s="277">
        <f t="shared" si="18"/>
        <v>14</v>
      </c>
      <c r="Z275" s="36">
        <f t="shared" si="23"/>
        <v>0.13103999999999999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54.488</v>
      </c>
      <c r="BN275" s="67">
        <f t="shared" si="20"/>
        <v>54.488</v>
      </c>
      <c r="BO275" s="67">
        <f t="shared" si="21"/>
        <v>0.1111111111111111</v>
      </c>
      <c r="BP275" s="67">
        <f t="shared" si="22"/>
        <v>0.1111111111111111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14</v>
      </c>
      <c r="Y281" s="278">
        <f>IFERROR(SUM(Y271:Y280),"0")</f>
        <v>14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0.13103999999999999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51.800000000000004</v>
      </c>
      <c r="Y282" s="278">
        <f>IFERROR(SUMPRODUCT(Y271:Y280*H271:H280),"0")</f>
        <v>51.800000000000004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5321.36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5321.36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5919.3044</v>
      </c>
      <c r="Y284" s="278">
        <f>IFERROR(SUM(BN22:BN280),"0")</f>
        <v>5919.3044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16</v>
      </c>
      <c r="Y285" s="38">
        <f>ROUNDUP(SUM(BP22:BP280),0)</f>
        <v>16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6319.3044</v>
      </c>
      <c r="Y286" s="278">
        <f>GrossWeightTotalR+PalletQtyTotalR*25</f>
        <v>6319.3044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1342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1342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20.112020000000001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230.4</v>
      </c>
      <c r="C293" s="46">
        <f>IFERROR(X32*H32,"0")+IFERROR(X33*H33,"0")</f>
        <v>0</v>
      </c>
      <c r="D293" s="46">
        <f>IFERROR(X39*H39,"0")+IFERROR(X40*H40,"0")</f>
        <v>147</v>
      </c>
      <c r="E293" s="46">
        <f>IFERROR(X45*H45,"0")+IFERROR(X46*H46,"0")+IFERROR(X47*H47,"0")</f>
        <v>67.199999999999989</v>
      </c>
      <c r="F293" s="46">
        <f>IFERROR(X52*H52,"0")+IFERROR(X53*H53,"0")+IFERROR(X54*H54,"0")+IFERROR(X55*H55,"0")</f>
        <v>252</v>
      </c>
      <c r="G293" s="46">
        <f>IFERROR(X60*H60,"0")+IFERROR(X64*H64,"0")+IFERROR(X68*H68,"0")+IFERROR(X69*H69,"0")+IFERROR(X73*H73,"0")+IFERROR(X74*H74,"0")+IFERROR(X75*H75,"0")</f>
        <v>50.4</v>
      </c>
      <c r="H293" s="46">
        <f>IFERROR(X80*H80,"0")+IFERROR(X81*H81,"0")</f>
        <v>420</v>
      </c>
      <c r="I293" s="46">
        <f>IFERROR(X86*H86,"0")</f>
        <v>100.8</v>
      </c>
      <c r="J293" s="46">
        <f>IFERROR(X91*H91,"0")+IFERROR(X92*H92,"0")</f>
        <v>252</v>
      </c>
      <c r="K293" s="46">
        <f>IFERROR(X97*H97,"0")+IFERROR(X98*H98,"0")+IFERROR(X99*H99,"0")+IFERROR(X100*H100,"0")+IFERROR(X101*H101,"0")+IFERROR(X102*H102,"0")</f>
        <v>685.43999999999994</v>
      </c>
      <c r="L293" s="46">
        <f>IFERROR(X107*H107,"0")+IFERROR(X108*H108,"0")</f>
        <v>201.6</v>
      </c>
      <c r="M293" s="46">
        <f>IFERROR(X113*H113,"0")+IFERROR(X114*H114,"0")+IFERROR(X115*H115,"0")+IFERROR(X116*H116,"0")+IFERROR(X117*H117,"0")+IFERROR(X118*H118,"0")+IFERROR(X119*H119,"0")+IFERROR(X123*H123,"0")+IFERROR(X127*H127,"0")</f>
        <v>924</v>
      </c>
      <c r="N293" s="274"/>
      <c r="O293" s="46">
        <f>IFERROR(X132*H132,"0")+IFERROR(X133*H133,"0")+IFERROR(X134*H134,"0")+IFERROR(X138*H138,"0")+IFERROR(X139*H139,"0")+IFERROR(X140*H140,"0")</f>
        <v>15.120000000000001</v>
      </c>
      <c r="P293" s="46">
        <f>IFERROR(X145*H145,"0")+IFERROR(X146*H146,"0")</f>
        <v>252</v>
      </c>
      <c r="Q293" s="46">
        <f>IFERROR(X151*H151,"0")+IFERROR(X152*H152,"0")</f>
        <v>84</v>
      </c>
      <c r="R293" s="46">
        <f>IFERROR(X157*H157,"0")+IFERROR(X158*H158,"0")</f>
        <v>201.6</v>
      </c>
      <c r="S293" s="46">
        <f>IFERROR(X163*H163,"0")</f>
        <v>0</v>
      </c>
      <c r="T293" s="46">
        <f>IFERROR(X168*H168,"0")</f>
        <v>0</v>
      </c>
      <c r="U293" s="46">
        <f>IFERROR(X173*H173,"0")</f>
        <v>0</v>
      </c>
      <c r="V293" s="46">
        <f>IFERROR(X179*H179,"0")+IFERROR(X180*H180,"0")+IFERROR(X184*H184,"0")+IFERROR(X185*H185,"0")</f>
        <v>480</v>
      </c>
      <c r="W293" s="46">
        <f>IFERROR(X191*H191,"0")+IFERROR(X192*H192,"0")+IFERROR(X193*H193,"0")+IFERROR(X194*H194,"0")</f>
        <v>210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0</v>
      </c>
      <c r="AA293" s="46">
        <f>IFERROR(X222*H222,"0")</f>
        <v>0</v>
      </c>
      <c r="AB293" s="46">
        <f>IFERROR(X228*H228,"0")</f>
        <v>0</v>
      </c>
      <c r="AC293" s="46">
        <f>IFERROR(X234*H234,"0")</f>
        <v>180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567.79999999999995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2889.6</v>
      </c>
      <c r="B296" s="60">
        <f>SUMPRODUCT(--(BB:BB="ПГП"),--(W:W="кор"),H:H,Y:Y)+SUMPRODUCT(--(BB:BB="ПГП"),--(W:W="кг"),Y:Y)</f>
        <v>2431.7599999999998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42,00"/>
        <filter val="100,80"/>
        <filter val="108,00"/>
        <filter val="12,00"/>
        <filter val="132,00"/>
        <filter val="14,00"/>
        <filter val="147,00"/>
        <filter val="15,12"/>
        <filter val="16"/>
        <filter val="180,00"/>
        <filter val="201,60"/>
        <filter val="210,00"/>
        <filter val="230,40"/>
        <filter val="238,00"/>
        <filter val="24,00"/>
        <filter val="252,00"/>
        <filter val="28,00"/>
        <filter val="336,00"/>
        <filter val="36,00"/>
        <filter val="42,00"/>
        <filter val="420,00"/>
        <filter val="48,00"/>
        <filter val="480,00"/>
        <filter val="5 321,36"/>
        <filter val="5 919,30"/>
        <filter val="50,40"/>
        <filter val="51,80"/>
        <filter val="56,00"/>
        <filter val="6 319,30"/>
        <filter val="67,20"/>
        <filter val="685,44"/>
        <filter val="70,00"/>
        <filter val="84,00"/>
        <filter val="924,00"/>
        <filter val="96,00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