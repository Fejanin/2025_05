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103FFB-A58F-42F7-8346-779D63FC45C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Y412" i="2" l="1"/>
  <c r="Y323" i="2"/>
  <c r="Z336" i="2"/>
  <c r="Z90" i="2"/>
  <c r="Z231" i="2"/>
  <c r="BN231" i="2"/>
  <c r="Z173" i="2"/>
  <c r="Z273" i="2"/>
  <c r="Z364" i="2"/>
  <c r="BN364" i="2"/>
  <c r="Z428" i="2"/>
  <c r="Y55" i="2"/>
  <c r="Z156" i="2"/>
  <c r="Z185" i="2"/>
  <c r="Z356" i="2"/>
  <c r="Y360" i="2"/>
  <c r="Z457" i="2"/>
  <c r="Z458" i="2" s="1"/>
  <c r="BN457" i="2"/>
  <c r="Y262" i="2"/>
  <c r="X555" i="2"/>
  <c r="Z31" i="2"/>
  <c r="Z43" i="2"/>
  <c r="Y79" i="2"/>
  <c r="Z122" i="2"/>
  <c r="Z124" i="2" s="1"/>
  <c r="Y158" i="2"/>
  <c r="Z182" i="2"/>
  <c r="Z192" i="2"/>
  <c r="Z270" i="2"/>
  <c r="Z283" i="2"/>
  <c r="Z302" i="2"/>
  <c r="Z346" i="2"/>
  <c r="Z363" i="2"/>
  <c r="BN82" i="2"/>
  <c r="BP113" i="2"/>
  <c r="Z113" i="2"/>
  <c r="BN120" i="2"/>
  <c r="Z127" i="2"/>
  <c r="Z128" i="2" s="1"/>
  <c r="Y128" i="2"/>
  <c r="BP127" i="2"/>
  <c r="Y137" i="2"/>
  <c r="BN132" i="2"/>
  <c r="Z132" i="2"/>
  <c r="BN134" i="2"/>
  <c r="Z134" i="2"/>
  <c r="BN155" i="2"/>
  <c r="BP157" i="2"/>
  <c r="Z157" i="2"/>
  <c r="BN214" i="2"/>
  <c r="BN235" i="2"/>
  <c r="BP244" i="2"/>
  <c r="Z244" i="2"/>
  <c r="BN288" i="2"/>
  <c r="BP290" i="2"/>
  <c r="BN290" i="2"/>
  <c r="Z290" i="2"/>
  <c r="BN351" i="2"/>
  <c r="BN358" i="2"/>
  <c r="BP373" i="2"/>
  <c r="BN373" i="2"/>
  <c r="Z373" i="2"/>
  <c r="BN374" i="2"/>
  <c r="Y25" i="2"/>
  <c r="Z22" i="2"/>
  <c r="BN30" i="2"/>
  <c r="Y36" i="2"/>
  <c r="Y37" i="2"/>
  <c r="Z35" i="2"/>
  <c r="Z36" i="2" s="1"/>
  <c r="BN59" i="2"/>
  <c r="Z59" i="2"/>
  <c r="BN72" i="2"/>
  <c r="BN106" i="2"/>
  <c r="BN167" i="2"/>
  <c r="Z167" i="2"/>
  <c r="Z187" i="2"/>
  <c r="BP187" i="2"/>
  <c r="Y204" i="2"/>
  <c r="BN209" i="2"/>
  <c r="BN230" i="2"/>
  <c r="Z230" i="2"/>
  <c r="BN250" i="2"/>
  <c r="Z250" i="2"/>
  <c r="BN260" i="2"/>
  <c r="BP264" i="2"/>
  <c r="BN264" i="2"/>
  <c r="Z264" i="2"/>
  <c r="BN280" i="2"/>
  <c r="Z280" i="2"/>
  <c r="BP304" i="2"/>
  <c r="BN304" i="2"/>
  <c r="Z304" i="2"/>
  <c r="BP320" i="2"/>
  <c r="Z320" i="2"/>
  <c r="BN328" i="2"/>
  <c r="Z328" i="2"/>
  <c r="BP389" i="2"/>
  <c r="BN389" i="2"/>
  <c r="BN416" i="2"/>
  <c r="BN441" i="2"/>
  <c r="BN463" i="2"/>
  <c r="BN473" i="2"/>
  <c r="BN515" i="2"/>
  <c r="BN517" i="2"/>
  <c r="BN28" i="2"/>
  <c r="BN61" i="2"/>
  <c r="BN77" i="2"/>
  <c r="F561" i="2"/>
  <c r="BN115" i="2"/>
  <c r="Y151" i="2"/>
  <c r="BN148" i="2"/>
  <c r="BP185" i="2"/>
  <c r="BN186" i="2"/>
  <c r="BN226" i="2"/>
  <c r="BN259" i="2"/>
  <c r="BP273" i="2"/>
  <c r="BN274" i="2"/>
  <c r="BP283" i="2"/>
  <c r="BN284" i="2"/>
  <c r="BP363" i="2"/>
  <c r="BN368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11" i="2" l="1"/>
  <c r="Z150" i="2"/>
  <c r="Z418" i="2"/>
  <c r="Z251" i="2"/>
  <c r="Z475" i="2"/>
  <c r="Z174" i="2"/>
  <c r="X554" i="2"/>
  <c r="Z386" i="2"/>
  <c r="Z292" i="2"/>
  <c r="Z405" i="2"/>
  <c r="Z369" i="2"/>
  <c r="Z322" i="2"/>
  <c r="Z32" i="2"/>
  <c r="Z136" i="2"/>
  <c r="Z338" i="2"/>
  <c r="Z277" i="2"/>
  <c r="Z215" i="2"/>
  <c r="Z117" i="2"/>
  <c r="Z480" i="2"/>
  <c r="Z245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<sst xmlns="http://schemas.openxmlformats.org/spreadsheetml/2006/main" count="4194" uniqueCount="891">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</sst>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46237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872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12</v>
      </c>
      <c r="Y53" s="53">
        <f>IFERROR(IF(X53="",0,CEILING((X53/$H53),1)*$H53),"")</f>
        <v>12</v>
      </c>
      <c r="Z53" s="39">
        <f>IFERROR(IF(Y53=0,"",ROUNDUP(Y53/H53,0)*0.00902),"")</f>
        <v>2.7060000000000001E-2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12.57</v>
      </c>
      <c r="BN53" s="75">
        <f>IFERROR(Y53*I53/H53,"0")</f>
        <v>12.57</v>
      </c>
      <c r="BO53" s="75">
        <f>IFERROR(1/J53*(X53/H53),"0")</f>
        <v>2.2727272727272728E-2</v>
      </c>
      <c r="BP53" s="75">
        <f>IFERROR(1/J53*(Y53/H53),"0")</f>
        <v>2.2727272727272728E-2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3</v>
      </c>
      <c r="Y55" s="41">
        <f>IFERROR(Y51/H51,"0")+IFERROR(Y52/H52,"0")+IFERROR(Y53/H53,"0")+IFERROR(Y54/H54,"0")</f>
        <v>3</v>
      </c>
      <c r="Z55" s="41">
        <f>IFERROR(IF(Z51="",0,Z51),"0")+IFERROR(IF(Z52="",0,Z52),"0")+IFERROR(IF(Z53="",0,Z53),"0")+IFERROR(IF(Z54="",0,Z54),"0")</f>
        <v>2.7060000000000001E-2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12</v>
      </c>
      <c r="Y56" s="41">
        <f>IFERROR(SUM(Y51:Y54),"0")</f>
        <v>12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31.5</v>
      </c>
      <c r="Y66" s="53">
        <f t="shared" si="0"/>
        <v>31.5</v>
      </c>
      <c r="Z66" s="39">
        <f>IFERROR(IF(Y66=0,"",ROUNDUP(Y66/H66,0)*0.00902),"")</f>
        <v>6.3140000000000002E-2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32.830000000000005</v>
      </c>
      <c r="BN66" s="75">
        <f t="shared" si="2"/>
        <v>32.830000000000005</v>
      </c>
      <c r="BO66" s="75">
        <f t="shared" si="3"/>
        <v>5.3030303030303032E-2</v>
      </c>
      <c r="BP66" s="75">
        <f t="shared" si="4"/>
        <v>5.3030303030303032E-2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7</v>
      </c>
      <c r="Y67" s="41">
        <f>IFERROR(Y59/H59,"0")+IFERROR(Y60/H60,"0")+IFERROR(Y61/H61,"0")+IFERROR(Y62/H62,"0")+IFERROR(Y63/H63,"0")+IFERROR(Y64/H64,"0")+IFERROR(Y65/H65,"0")+IFERROR(Y66/H66,"0")</f>
        <v>7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6.3140000000000002E-2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31.5</v>
      </c>
      <c r="Y68" s="41">
        <f>IFERROR(SUM(Y59:Y66),"0")</f>
        <v>31.5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40</v>
      </c>
      <c r="Y70" s="53">
        <f>IFERROR(IF(X70="",0,CEILING((X70/$H70),1)*$H70),"")</f>
        <v>43.2</v>
      </c>
      <c r="Z70" s="39">
        <f>IFERROR(IF(Y70=0,"",ROUNDUP(Y70/H70,0)*0.01898),"")</f>
        <v>7.5920000000000001E-2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41.518518518518519</v>
      </c>
      <c r="BN70" s="75">
        <f>IFERROR(Y70*I70/H70,"0")</f>
        <v>44.84</v>
      </c>
      <c r="BO70" s="75">
        <f>IFERROR(1/J70*(X70/H70),"0")</f>
        <v>5.7870370370370364E-2</v>
      </c>
      <c r="BP70" s="75">
        <f>IFERROR(1/J70*(Y70/H70),"0")</f>
        <v>6.25E-2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3.7037037037037033</v>
      </c>
      <c r="Y74" s="41">
        <f>IFERROR(Y70/H70,"0")+IFERROR(Y71/H71,"0")+IFERROR(Y72/H72,"0")+IFERROR(Y73/H73,"0")</f>
        <v>4</v>
      </c>
      <c r="Z74" s="41">
        <f>IFERROR(IF(Z70="",0,Z70),"0")+IFERROR(IF(Z71="",0,Z71),"0")+IFERROR(IF(Z72="",0,Z72),"0")+IFERROR(IF(Z73="",0,Z73),"0")</f>
        <v>7.5920000000000001E-2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40</v>
      </c>
      <c r="Y75" s="41">
        <f>IFERROR(SUM(Y70:Y73),"0")</f>
        <v>43.2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36</v>
      </c>
      <c r="Y91" s="53">
        <f>IFERROR(IF(X91="",0,CEILING((X91/$H91),1)*$H91),"")</f>
        <v>36</v>
      </c>
      <c r="Z91" s="39">
        <f>IFERROR(IF(Y91=0,"",ROUNDUP(Y91/H91,0)*0.00902),"")</f>
        <v>7.2160000000000002E-2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37.520000000000003</v>
      </c>
      <c r="BN91" s="75">
        <f>IFERROR(Y91*I91/H91,"0")</f>
        <v>37.520000000000003</v>
      </c>
      <c r="BO91" s="75">
        <f>IFERROR(1/J91*(X91/H91),"0")</f>
        <v>6.0606060606060608E-2</v>
      </c>
      <c r="BP91" s="75">
        <f>IFERROR(1/J91*(Y91/H91),"0")</f>
        <v>6.0606060606060608E-2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8</v>
      </c>
      <c r="Y92" s="41">
        <f>IFERROR(Y88/H88,"0")+IFERROR(Y89/H89,"0")+IFERROR(Y90/H90,"0")+IFERROR(Y91/H91,"0")</f>
        <v>8</v>
      </c>
      <c r="Z92" s="41">
        <f>IFERROR(IF(Z88="",0,Z88),"0")+IFERROR(IF(Z89="",0,Z89),"0")+IFERROR(IF(Z90="",0,Z90),"0")+IFERROR(IF(Z91="",0,Z91),"0")</f>
        <v>7.2160000000000002E-2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36</v>
      </c>
      <c r="Y93" s="41">
        <f>IFERROR(SUM(Y88:Y91),"0")</f>
        <v>36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40</v>
      </c>
      <c r="Y95" s="53">
        <f>IFERROR(IF(X95="",0,CEILING((X95/$H95),1)*$H95),"")</f>
        <v>40.5</v>
      </c>
      <c r="Z95" s="39">
        <f>IFERROR(IF(Y95=0,"",ROUNDUP(Y95/H95,0)*0.01898),"")</f>
        <v>9.4899999999999998E-2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42.439506172839508</v>
      </c>
      <c r="BN95" s="75">
        <f>IFERROR(Y95*I95/H95,"0")</f>
        <v>42.97</v>
      </c>
      <c r="BO95" s="75">
        <f>IFERROR(1/J95*(X95/H95),"0")</f>
        <v>7.7160493827160503E-2</v>
      </c>
      <c r="BP95" s="75">
        <f>IFERROR(1/J95*(Y95/H95),"0")</f>
        <v>7.8125E-2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18</v>
      </c>
      <c r="Y97" s="53">
        <f>IFERROR(IF(X97="",0,CEILING((X97/$H97),1)*$H97),"")</f>
        <v>18.900000000000002</v>
      </c>
      <c r="Z97" s="39">
        <f>IFERROR(IF(Y97=0,"",ROUNDUP(Y97/H97,0)*0.00651),"")</f>
        <v>4.5569999999999999E-2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19.679999999999996</v>
      </c>
      <c r="BN97" s="75">
        <f>IFERROR(Y97*I97/H97,"0")</f>
        <v>20.664000000000001</v>
      </c>
      <c r="BO97" s="75">
        <f>IFERROR(1/J97*(X97/H97),"0")</f>
        <v>3.6630036630036632E-2</v>
      </c>
      <c r="BP97" s="75">
        <f>IFERROR(1/J97*(Y97/H97),"0")</f>
        <v>3.8461538461538464E-2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11.604938271604938</v>
      </c>
      <c r="Y99" s="41">
        <f>IFERROR(Y95/H95,"0")+IFERROR(Y96/H96,"0")+IFERROR(Y97/H97,"0")+IFERROR(Y98/H98,"0")</f>
        <v>12</v>
      </c>
      <c r="Z99" s="41">
        <f>IFERROR(IF(Z95="",0,Z95),"0")+IFERROR(IF(Z96="",0,Z96),"0")+IFERROR(IF(Z97="",0,Z97),"0")+IFERROR(IF(Z98="",0,Z98),"0")</f>
        <v>0.14046999999999998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58</v>
      </c>
      <c r="Y100" s="41">
        <f>IFERROR(SUM(Y95:Y98),"0")</f>
        <v>59.400000000000006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40</v>
      </c>
      <c r="Y103" s="53">
        <f t="shared" ref="Y103:Y108" si="5">IFERROR(IF(X103="",0,CEILING((X103/$H103),1)*$H103),"")</f>
        <v>43.2</v>
      </c>
      <c r="Z103" s="39">
        <f>IFERROR(IF(Y103=0,"",ROUNDUP(Y103/H103,0)*0.01898),"")</f>
        <v>7.5920000000000001E-2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41.518518518518519</v>
      </c>
      <c r="BN103" s="75">
        <f t="shared" ref="BN103:BN108" si="7">IFERROR(Y103*I103/H103,"0")</f>
        <v>44.84</v>
      </c>
      <c r="BO103" s="75">
        <f t="shared" ref="BO103:BO108" si="8">IFERROR(1/J103*(X103/H103),"0")</f>
        <v>5.7870370370370364E-2</v>
      </c>
      <c r="BP103" s="75">
        <f t="shared" ref="BP103:BP108" si="9">IFERROR(1/J103*(Y103/H103),"0")</f>
        <v>6.25E-2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36</v>
      </c>
      <c r="Y107" s="53">
        <f t="shared" si="5"/>
        <v>36</v>
      </c>
      <c r="Z107" s="39">
        <f>IFERROR(IF(Y107=0,"",ROUNDUP(Y107/H107,0)*0.00902),"")</f>
        <v>7.2160000000000002E-2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37.520000000000003</v>
      </c>
      <c r="BN107" s="75">
        <f t="shared" si="7"/>
        <v>37.520000000000003</v>
      </c>
      <c r="BO107" s="75">
        <f t="shared" si="8"/>
        <v>6.0606060606060608E-2</v>
      </c>
      <c r="BP107" s="75">
        <f t="shared" si="9"/>
        <v>6.0606060606060608E-2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11.703703703703702</v>
      </c>
      <c r="Y109" s="41">
        <f>IFERROR(Y103/H103,"0")+IFERROR(Y104/H104,"0")+IFERROR(Y105/H105,"0")+IFERROR(Y106/H106,"0")+IFERROR(Y107/H107,"0")+IFERROR(Y108/H108,"0")</f>
        <v>12</v>
      </c>
      <c r="Z109" s="41">
        <f>IFERROR(IF(Z103="",0,Z103),"0")+IFERROR(IF(Z104="",0,Z104),"0")+IFERROR(IF(Z105="",0,Z105),"0")+IFERROR(IF(Z106="",0,Z106),"0")+IFERROR(IF(Z107="",0,Z107),"0")+IFERROR(IF(Z108="",0,Z108),"0")</f>
        <v>0.14807999999999999</v>
      </c>
      <c r="AA109" s="64"/>
      <c r="AB109" s="64"/>
      <c r="AC109" s="64"/>
    </row>
    <row r="110" spans="1:68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76</v>
      </c>
      <c r="Y110" s="41">
        <f>IFERROR(SUM(Y103:Y108),"0")</f>
        <v>79.2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16</v>
      </c>
      <c r="Y116" s="53">
        <f>IFERROR(IF(X116="",0,CEILING((X116/$H116),1)*$H116),"")</f>
        <v>16.8</v>
      </c>
      <c r="Z116" s="39">
        <f>IFERROR(IF(Y116=0,"",ROUNDUP(Y116/H116,0)*0.00651),"")</f>
        <v>4.5569999999999999E-2</v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17.200000000000003</v>
      </c>
      <c r="BN116" s="75">
        <f>IFERROR(Y116*I116/H116,"0")</f>
        <v>18.060000000000002</v>
      </c>
      <c r="BO116" s="75">
        <f>IFERROR(1/J116*(X116/H116),"0")</f>
        <v>3.6630036630036632E-2</v>
      </c>
      <c r="BP116" s="75">
        <f>IFERROR(1/J116*(Y116/H116),"0")</f>
        <v>3.8461538461538471E-2</v>
      </c>
    </row>
    <row r="117" spans="1:68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6.666666666666667</v>
      </c>
      <c r="Y117" s="41">
        <f>IFERROR(Y112/H112,"0")+IFERROR(Y113/H113,"0")+IFERROR(Y114/H114,"0")+IFERROR(Y115/H115,"0")+IFERROR(Y116/H116,"0")</f>
        <v>7.0000000000000009</v>
      </c>
      <c r="Z117" s="41">
        <f>IFERROR(IF(Z112="",0,Z112),"0")+IFERROR(IF(Z113="",0,Z113),"0")+IFERROR(IF(Z114="",0,Z114),"0")+IFERROR(IF(Z115="",0,Z115),"0")+IFERROR(IF(Z116="",0,Z116),"0")</f>
        <v>4.5569999999999999E-2</v>
      </c>
      <c r="AA117" s="64"/>
      <c r="AB117" s="64"/>
      <c r="AC117" s="64"/>
    </row>
    <row r="118" spans="1:68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16</v>
      </c>
      <c r="Y118" s="41">
        <f>IFERROR(SUM(Y112:Y116),"0")</f>
        <v>16.8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100</v>
      </c>
      <c r="Y120" s="53">
        <f>IFERROR(IF(X120="",0,CEILING((X120/$H120),1)*$H120),"")</f>
        <v>105.3</v>
      </c>
      <c r="Z120" s="39">
        <f>IFERROR(IF(Y120=0,"",ROUNDUP(Y120/H120,0)*0.01898),"")</f>
        <v>0.24674000000000001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106.0246913580247</v>
      </c>
      <c r="BN120" s="75">
        <f>IFERROR(Y120*I120/H120,"0")</f>
        <v>111.64399999999999</v>
      </c>
      <c r="BO120" s="75">
        <f>IFERROR(1/J120*(X120/H120),"0")</f>
        <v>0.19290123456790123</v>
      </c>
      <c r="BP120" s="75">
        <f>IFERROR(1/J120*(Y120/H120),"0")</f>
        <v>0.203125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27</v>
      </c>
      <c r="Y122" s="53">
        <f>IFERROR(IF(X122="",0,CEILING((X122/$H122),1)*$H122),"")</f>
        <v>27</v>
      </c>
      <c r="Z122" s="39">
        <f>IFERROR(IF(Y122=0,"",ROUNDUP(Y122/H122,0)*0.00651),"")</f>
        <v>6.5100000000000005E-2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29.519999999999996</v>
      </c>
      <c r="BN122" s="75">
        <f>IFERROR(Y122*I122/H122,"0")</f>
        <v>29.519999999999996</v>
      </c>
      <c r="BO122" s="75">
        <f>IFERROR(1/J122*(X122/H122),"0")</f>
        <v>5.4945054945054951E-2</v>
      </c>
      <c r="BP122" s="75">
        <f>IFERROR(1/J122*(Y122/H122),"0")</f>
        <v>5.4945054945054951E-2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22.345679012345677</v>
      </c>
      <c r="Y124" s="41">
        <f>IFERROR(Y120/H120,"0")+IFERROR(Y121/H121,"0")+IFERROR(Y122/H122,"0")+IFERROR(Y123/H123,"0")</f>
        <v>23</v>
      </c>
      <c r="Z124" s="41">
        <f>IFERROR(IF(Z120="",0,Z120),"0")+IFERROR(IF(Z121="",0,Z121),"0")+IFERROR(IF(Z122="",0,Z122),"0")+IFERROR(IF(Z123="",0,Z123),"0")</f>
        <v>0.31184000000000001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127</v>
      </c>
      <c r="Y125" s="41">
        <f>IFERROR(SUM(Y120:Y123),"0")</f>
        <v>132.30000000000001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12</v>
      </c>
      <c r="Y232" s="53">
        <f t="shared" si="21"/>
        <v>12.6</v>
      </c>
      <c r="Z232" s="39">
        <f t="shared" si="26"/>
        <v>3.5140000000000005E-2</v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12.866666666666667</v>
      </c>
      <c r="BN232" s="75">
        <f t="shared" si="23"/>
        <v>13.509999999999998</v>
      </c>
      <c r="BO232" s="75">
        <f t="shared" si="24"/>
        <v>2.8490028490028491E-2</v>
      </c>
      <c r="BP232" s="75">
        <f t="shared" si="25"/>
        <v>2.9914529914529919E-2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6.6666666666666661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7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3.5140000000000005E-2</v>
      </c>
      <c r="AA237" s="64"/>
      <c r="AB237" s="64"/>
      <c r="AC237" s="64"/>
    </row>
    <row r="238" spans="1:68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12</v>
      </c>
      <c r="Y238" s="41">
        <f>IFERROR(SUM(Y223:Y236),"0")</f>
        <v>12.6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3.5</v>
      </c>
      <c r="Y248" s="53">
        <f>IFERROR(IF(X248="",0,CEILING((X248/$H248),1)*$H248),"")</f>
        <v>3.7800000000000002</v>
      </c>
      <c r="Z248" s="39">
        <f>IFERROR(IF(Y248=0,"",ROUNDUP(Y248/H248,0)*0.0059),"")</f>
        <v>1.77E-2</v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4.0277777777777777</v>
      </c>
      <c r="BN248" s="75">
        <f>IFERROR(Y248*I248/H248,"0")</f>
        <v>4.3499999999999996</v>
      </c>
      <c r="BO248" s="75">
        <f>IFERROR(1/J248*(X248/H248),"0")</f>
        <v>1.2860082304526748E-2</v>
      </c>
      <c r="BP248" s="75">
        <f>IFERROR(1/J248*(Y248/H248),"0")</f>
        <v>1.3888888888888888E-2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2.7777777777777777</v>
      </c>
      <c r="Y251" s="41">
        <f>IFERROR(Y248/H248,"0")+IFERROR(Y249/H249,"0")+IFERROR(Y250/H250,"0")</f>
        <v>3</v>
      </c>
      <c r="Z251" s="41">
        <f>IFERROR(IF(Z248="",0,Z248),"0")+IFERROR(IF(Z249="",0,Z249),"0")+IFERROR(IF(Z250="",0,Z250),"0")</f>
        <v>1.77E-2</v>
      </c>
      <c r="AA251" s="64"/>
      <c r="AB251" s="64"/>
      <c r="AC251" s="64"/>
    </row>
    <row r="252" spans="1:68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3.5</v>
      </c>
      <c r="Y252" s="41">
        <f>IFERROR(SUM(Y248:Y250),"0")</f>
        <v>3.7800000000000002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18</v>
      </c>
      <c r="Y260" s="53">
        <f>IFERROR(IF(X260="",0,CEILING((X260/$H260),1)*$H260),"")</f>
        <v>18.900000000000002</v>
      </c>
      <c r="Z260" s="39">
        <f>IFERROR(IF(Y260=0,"",ROUNDUP(Y260/H260,0)*0.00651),"")</f>
        <v>4.5569999999999999E-2</v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19.199999999999996</v>
      </c>
      <c r="BN260" s="75">
        <f>IFERROR(Y260*I260/H260,"0")</f>
        <v>20.16</v>
      </c>
      <c r="BO260" s="75">
        <f>IFERROR(1/J260*(X260/H260),"0")</f>
        <v>3.6630036630036632E-2</v>
      </c>
      <c r="BP260" s="75">
        <f>IFERROR(1/J260*(Y260/H260),"0")</f>
        <v>3.8461538461538464E-2</v>
      </c>
    </row>
    <row r="261" spans="1:68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6.6666666666666661</v>
      </c>
      <c r="Y261" s="41">
        <f>IFERROR(Y259/H259,"0")+IFERROR(Y260/H260,"0")</f>
        <v>7</v>
      </c>
      <c r="Z261" s="41">
        <f>IFERROR(IF(Z259="",0,Z259),"0")+IFERROR(IF(Z260="",0,Z260),"0")</f>
        <v>4.5569999999999999E-2</v>
      </c>
      <c r="AA261" s="64"/>
      <c r="AB261" s="64"/>
      <c r="AC261" s="64"/>
    </row>
    <row r="262" spans="1:68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18</v>
      </c>
      <c r="Y262" s="41">
        <f>IFERROR(SUM(Y259:Y260),"0")</f>
        <v>18.900000000000002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12</v>
      </c>
      <c r="Y276" s="53">
        <f t="shared" si="27"/>
        <v>12.6</v>
      </c>
      <c r="Z276" s="39">
        <f>IFERROR(IF(Y276=0,"",ROUNDUP(Y276/H276,0)*0.00502),"")</f>
        <v>3.5140000000000005E-2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12.666666666666664</v>
      </c>
      <c r="BN276" s="75">
        <f t="shared" si="29"/>
        <v>13.299999999999999</v>
      </c>
      <c r="BO276" s="75">
        <f t="shared" si="30"/>
        <v>2.8490028490028491E-2</v>
      </c>
      <c r="BP276" s="75">
        <f t="shared" si="31"/>
        <v>2.9914529914529919E-2</v>
      </c>
    </row>
    <row r="277" spans="1:68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6.6666666666666661</v>
      </c>
      <c r="Y277" s="41">
        <f>IFERROR(Y269/H269,"0")+IFERROR(Y270/H270,"0")+IFERROR(Y271/H271,"0")+IFERROR(Y272/H272,"0")+IFERROR(Y273/H273,"0")+IFERROR(Y274/H274,"0")+IFERROR(Y275/H275,"0")+IFERROR(Y276/H276,"0")</f>
        <v>7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3.5140000000000005E-2</v>
      </c>
      <c r="AA277" s="64"/>
      <c r="AB277" s="64"/>
      <c r="AC277" s="64"/>
    </row>
    <row r="278" spans="1:68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12</v>
      </c>
      <c r="Y278" s="41">
        <f>IFERROR(SUM(Y269:Y276),"0")</f>
        <v>12.6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40</v>
      </c>
      <c r="Y282" s="53">
        <f t="shared" si="32"/>
        <v>43.5</v>
      </c>
      <c r="Z282" s="39">
        <f>IFERROR(IF(Y282=0,"",ROUNDUP(Y282/H282,0)*0.01898),"")</f>
        <v>9.4899999999999998E-2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42.271264367816102</v>
      </c>
      <c r="BN282" s="75">
        <f t="shared" si="34"/>
        <v>45.970000000000006</v>
      </c>
      <c r="BO282" s="75">
        <f t="shared" si="35"/>
        <v>7.1839080459770124E-2</v>
      </c>
      <c r="BP282" s="75">
        <f t="shared" si="36"/>
        <v>7.8125E-2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12</v>
      </c>
      <c r="Y283" s="53">
        <f t="shared" si="32"/>
        <v>12</v>
      </c>
      <c r="Z283" s="39">
        <f>IFERROR(IF(Y283=0,"",ROUNDUP(Y283/H283,0)*0.00651),"")</f>
        <v>3.2550000000000003E-2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13.35</v>
      </c>
      <c r="BN283" s="75">
        <f t="shared" si="34"/>
        <v>13.35</v>
      </c>
      <c r="BO283" s="75">
        <f t="shared" si="35"/>
        <v>2.7472527472527476E-2</v>
      </c>
      <c r="BP283" s="75">
        <f t="shared" si="36"/>
        <v>2.7472527472527476E-2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20</v>
      </c>
      <c r="Y286" s="53">
        <f t="shared" si="32"/>
        <v>21.599999999999998</v>
      </c>
      <c r="Z286" s="39">
        <f>IFERROR(IF(Y286=0,"",ROUNDUP(Y286/H286,0)*0.00651),"")</f>
        <v>5.8590000000000003E-2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22.100000000000005</v>
      </c>
      <c r="BN286" s="75">
        <f t="shared" si="34"/>
        <v>23.868000000000002</v>
      </c>
      <c r="BO286" s="75">
        <f t="shared" si="35"/>
        <v>4.5787545787545791E-2</v>
      </c>
      <c r="BP286" s="75">
        <f t="shared" si="36"/>
        <v>4.9450549450549455E-2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24</v>
      </c>
      <c r="Y288" s="53">
        <f t="shared" si="32"/>
        <v>24</v>
      </c>
      <c r="Z288" s="39">
        <f>IFERROR(IF(Y288=0,"",ROUNDUP(Y288/H288,0)*0.00651),"")</f>
        <v>6.5100000000000005E-2</v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26.520000000000003</v>
      </c>
      <c r="BN288" s="75">
        <f t="shared" si="34"/>
        <v>26.520000000000003</v>
      </c>
      <c r="BO288" s="75">
        <f t="shared" si="35"/>
        <v>5.4945054945054951E-2</v>
      </c>
      <c r="BP288" s="75">
        <f t="shared" si="36"/>
        <v>5.4945054945054951E-2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24</v>
      </c>
      <c r="Y289" s="53">
        <f t="shared" si="32"/>
        <v>24</v>
      </c>
      <c r="Z289" s="39">
        <f>IFERROR(IF(Y289=0,"",ROUNDUP(Y289/H289,0)*0.00651),"")</f>
        <v>6.5100000000000005E-2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26.520000000000003</v>
      </c>
      <c r="BN289" s="75">
        <f t="shared" si="34"/>
        <v>26.520000000000003</v>
      </c>
      <c r="BO289" s="75">
        <f t="shared" si="35"/>
        <v>5.4945054945054951E-2</v>
      </c>
      <c r="BP289" s="75">
        <f t="shared" si="36"/>
        <v>5.4945054945054951E-2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24</v>
      </c>
      <c r="Y290" s="53">
        <f t="shared" si="32"/>
        <v>24</v>
      </c>
      <c r="Z290" s="39">
        <f>IFERROR(IF(Y290=0,"",ROUNDUP(Y290/H290,0)*0.00651),"")</f>
        <v>6.5100000000000005E-2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26.580000000000002</v>
      </c>
      <c r="BN290" s="75">
        <f t="shared" si="34"/>
        <v>26.580000000000002</v>
      </c>
      <c r="BO290" s="75">
        <f t="shared" si="35"/>
        <v>5.4945054945054951E-2</v>
      </c>
      <c r="BP290" s="75">
        <f t="shared" si="36"/>
        <v>5.4945054945054951E-2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47.931034482758619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49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0.38134000000000001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144</v>
      </c>
      <c r="Y293" s="41">
        <f>IFERROR(SUM(Y280:Y291),"0")</f>
        <v>149.1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6</v>
      </c>
      <c r="Y315" s="53">
        <f>IFERROR(IF(X315="",0,CEILING((X315/$H315),1)*$H315),"")</f>
        <v>7.2</v>
      </c>
      <c r="Z315" s="39">
        <f>IFERROR(IF(Y315=0,"",ROUNDUP(Y315/H315,0)*0.0059),"")</f>
        <v>2.3599999999999999E-2</v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6.5833333333333339</v>
      </c>
      <c r="BN315" s="75">
        <f>IFERROR(Y315*I315/H315,"0")</f>
        <v>7.9</v>
      </c>
      <c r="BO315" s="75">
        <f>IFERROR(1/J315*(X315/H315),"0")</f>
        <v>1.5432098765432096E-2</v>
      </c>
      <c r="BP315" s="75">
        <f>IFERROR(1/J315*(Y315/H315),"0")</f>
        <v>1.8518518518518517E-2</v>
      </c>
    </row>
    <row r="316" spans="1:68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3.333333333333333</v>
      </c>
      <c r="Y316" s="41">
        <f>IFERROR(Y315/H315,"0")</f>
        <v>4</v>
      </c>
      <c r="Z316" s="41">
        <f>IFERROR(IF(Z315="",0,Z315),"0")</f>
        <v>2.3599999999999999E-2</v>
      </c>
      <c r="AA316" s="64"/>
      <c r="AB316" s="64"/>
      <c r="AC316" s="64"/>
    </row>
    <row r="317" spans="1:68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6</v>
      </c>
      <c r="Y317" s="41">
        <f>IFERROR(SUM(Y315:Y315),"0")</f>
        <v>7.2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6</v>
      </c>
      <c r="Y320" s="53">
        <f>IFERROR(IF(X320="",0,CEILING((X320/$H320),1)*$H320),"")</f>
        <v>7.2</v>
      </c>
      <c r="Z320" s="39">
        <f>IFERROR(IF(Y320=0,"",ROUNDUP(Y320/H320,0)*0.0059),"")</f>
        <v>2.3599999999999999E-2</v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6.5833333333333339</v>
      </c>
      <c r="BN320" s="75">
        <f>IFERROR(Y320*I320/H320,"0")</f>
        <v>7.9</v>
      </c>
      <c r="BO320" s="75">
        <f>IFERROR(1/J320*(X320/H320),"0")</f>
        <v>1.5432098765432096E-2</v>
      </c>
      <c r="BP320" s="75">
        <f>IFERROR(1/J320*(Y320/H320),"0")</f>
        <v>1.8518518518518517E-2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3.333333333333333</v>
      </c>
      <c r="Y322" s="41">
        <f>IFERROR(Y319/H319,"0")+IFERROR(Y320/H320,"0")+IFERROR(Y321/H321,"0")</f>
        <v>4</v>
      </c>
      <c r="Z322" s="41">
        <f>IFERROR(IF(Z319="",0,Z319),"0")+IFERROR(IF(Z320="",0,Z320),"0")+IFERROR(IF(Z321="",0,Z321),"0")</f>
        <v>2.3599999999999999E-2</v>
      </c>
      <c r="AA322" s="64"/>
      <c r="AB322" s="64"/>
      <c r="AC322" s="64"/>
    </row>
    <row r="323" spans="1:68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6</v>
      </c>
      <c r="Y323" s="41">
        <f>IFERROR(SUM(Y319:Y321),"0")</f>
        <v>7.2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12</v>
      </c>
      <c r="Y336" s="53">
        <f>IFERROR(IF(X336="",0,CEILING((X336/$H336),1)*$H336),"")</f>
        <v>12</v>
      </c>
      <c r="Z336" s="39">
        <f>IFERROR(IF(Y336=0,"",ROUNDUP(Y336/H336,0)*0.00651),"")</f>
        <v>3.2550000000000003E-2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13.260000000000002</v>
      </c>
      <c r="BN336" s="75">
        <f>IFERROR(Y336*I336/H336,"0")</f>
        <v>13.260000000000002</v>
      </c>
      <c r="BO336" s="75">
        <f>IFERROR(1/J336*(X336/H336),"0")</f>
        <v>2.7472527472527476E-2</v>
      </c>
      <c r="BP336" s="75">
        <f>IFERROR(1/J336*(Y336/H336),"0")</f>
        <v>2.7472527472527476E-2</v>
      </c>
    </row>
    <row r="337" spans="1:68" ht="27" hidden="1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5</v>
      </c>
      <c r="Y338" s="41">
        <f>IFERROR(Y335/H335,"0")+IFERROR(Y336/H336,"0")+IFERROR(Y337/H337,"0")</f>
        <v>5</v>
      </c>
      <c r="Z338" s="41">
        <f>IFERROR(IF(Z335="",0,Z335),"0")+IFERROR(IF(Z336="",0,Z336),"0")+IFERROR(IF(Z337="",0,Z337),"0")</f>
        <v>3.2550000000000003E-2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12</v>
      </c>
      <c r="Y339" s="41">
        <f>IFERROR(SUM(Y335:Y337),"0")</f>
        <v>12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35</v>
      </c>
      <c r="Y356" s="53">
        <f>IFERROR(IF(X356="",0,CEILING((X356/$H356),1)*$H356),"")</f>
        <v>39</v>
      </c>
      <c r="Z356" s="39">
        <f>IFERROR(IF(Y356=0,"",ROUNDUP(Y356/H356,0)*0.01898),"")</f>
        <v>9.4899999999999998E-2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36.839743589743591</v>
      </c>
      <c r="BN356" s="75">
        <f>IFERROR(Y356*I356/H356,"0")</f>
        <v>41.050000000000011</v>
      </c>
      <c r="BO356" s="75">
        <f>IFERROR(1/J356*(X356/H356),"0")</f>
        <v>7.0112179487179488E-2</v>
      </c>
      <c r="BP356" s="75">
        <f>IFERROR(1/J356*(Y356/H356),"0")</f>
        <v>7.8125E-2</v>
      </c>
    </row>
    <row r="357" spans="1:68" ht="27" hidden="1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4.4871794871794872</v>
      </c>
      <c r="Y359" s="41">
        <f>IFERROR(Y356/H356,"0")+IFERROR(Y357/H357,"0")+IFERROR(Y358/H358,"0")</f>
        <v>5</v>
      </c>
      <c r="Z359" s="41">
        <f>IFERROR(IF(Z356="",0,Z356),"0")+IFERROR(IF(Z357="",0,Z357),"0")+IFERROR(IF(Z358="",0,Z358),"0")</f>
        <v>9.4899999999999998E-2</v>
      </c>
      <c r="AA359" s="64"/>
      <c r="AB359" s="64"/>
      <c r="AC359" s="64"/>
    </row>
    <row r="360" spans="1:68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35</v>
      </c>
      <c r="Y360" s="41">
        <f>IFERROR(SUM(Y356:Y358),"0")</f>
        <v>39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40</v>
      </c>
      <c r="Y373" s="53">
        <f t="shared" si="47"/>
        <v>42</v>
      </c>
      <c r="Z373" s="39">
        <f>IFERROR(IF(Y373=0,"",ROUNDUP(Y373/H373,0)*0.00902),"")</f>
        <v>9.0200000000000002E-2</v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42.38095238095238</v>
      </c>
      <c r="BN373" s="75">
        <f t="shared" si="49"/>
        <v>44.5</v>
      </c>
      <c r="BO373" s="75">
        <f t="shared" si="50"/>
        <v>7.2150072150072145E-2</v>
      </c>
      <c r="BP373" s="75">
        <f t="shared" si="51"/>
        <v>7.575757575757576E-2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14</v>
      </c>
      <c r="Y375" s="53">
        <f t="shared" si="47"/>
        <v>14.700000000000001</v>
      </c>
      <c r="Z375" s="39">
        <f>IFERROR(IF(Y375=0,"",ROUNDUP(Y375/H375,0)*0.00502),"")</f>
        <v>3.5140000000000005E-2</v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14.866666666666665</v>
      </c>
      <c r="BN375" s="75">
        <f t="shared" si="49"/>
        <v>15.61</v>
      </c>
      <c r="BO375" s="75">
        <f t="shared" si="50"/>
        <v>2.8490028490028491E-2</v>
      </c>
      <c r="BP375" s="75">
        <f t="shared" si="51"/>
        <v>2.9914529914529919E-2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21</v>
      </c>
      <c r="Y378" s="53">
        <f t="shared" si="47"/>
        <v>21.6</v>
      </c>
      <c r="Z378" s="39">
        <f>IFERROR(IF(Y378=0,"",ROUNDUP(Y378/H378,0)*0.00651),"")</f>
        <v>7.8119999999999995E-2</v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23.66</v>
      </c>
      <c r="BN378" s="75">
        <f t="shared" si="49"/>
        <v>24.335999999999999</v>
      </c>
      <c r="BO378" s="75">
        <f t="shared" si="50"/>
        <v>6.4102564102564111E-2</v>
      </c>
      <c r="BP378" s="75">
        <f t="shared" si="51"/>
        <v>6.5934065934065936E-2</v>
      </c>
    </row>
    <row r="379" spans="1:68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27.857142857142854</v>
      </c>
      <c r="Y379" s="41">
        <f>IFERROR(Y372/H372,"0")+IFERROR(Y373/H373,"0")+IFERROR(Y374/H374,"0")+IFERROR(Y375/H375,"0")+IFERROR(Y376/H376,"0")+IFERROR(Y377/H377,"0")+IFERROR(Y378/H378,"0")</f>
        <v>29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0.20346</v>
      </c>
      <c r="AA379" s="64"/>
      <c r="AB379" s="64"/>
      <c r="AC379" s="64"/>
    </row>
    <row r="380" spans="1:68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75</v>
      </c>
      <c r="Y380" s="41">
        <f>IFERROR(SUM(Y372:Y378),"0")</f>
        <v>78.300000000000011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15</v>
      </c>
      <c r="Y385" s="53">
        <f>IFERROR(IF(X385="",0,CEILING((X385/$H385),1)*$H385),"")</f>
        <v>15</v>
      </c>
      <c r="Z385" s="39">
        <f>IFERROR(IF(Y385=0,"",ROUNDUP(Y385/H385,0)*0.00651),"")</f>
        <v>3.2550000000000003E-2</v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16.23</v>
      </c>
      <c r="BN385" s="75">
        <f>IFERROR(Y385*I385/H385,"0")</f>
        <v>16.23</v>
      </c>
      <c r="BO385" s="75">
        <f>IFERROR(1/J385*(X385/H385),"0")</f>
        <v>2.7472527472527476E-2</v>
      </c>
      <c r="BP385" s="75">
        <f>IFERROR(1/J385*(Y385/H385),"0")</f>
        <v>2.7472527472527476E-2</v>
      </c>
    </row>
    <row r="386" spans="1:68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5</v>
      </c>
      <c r="Y386" s="41">
        <f>IFERROR(Y382/H382,"0")+IFERROR(Y383/H383,"0")+IFERROR(Y384/H384,"0")+IFERROR(Y385/H385,"0")</f>
        <v>5</v>
      </c>
      <c r="Z386" s="41">
        <f>IFERROR(IF(Z382="",0,Z382),"0")+IFERROR(IF(Z383="",0,Z383),"0")+IFERROR(IF(Z384="",0,Z384),"0")+IFERROR(IF(Z385="",0,Z385),"0")</f>
        <v>3.2550000000000003E-2</v>
      </c>
      <c r="AA386" s="64"/>
      <c r="AB386" s="64"/>
      <c r="AC386" s="64"/>
    </row>
    <row r="387" spans="1:68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15</v>
      </c>
      <c r="Y387" s="41">
        <f>IFERROR(SUM(Y382:Y385),"0")</f>
        <v>15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50</v>
      </c>
      <c r="Y390" s="53">
        <f>IFERROR(IF(X390="",0,CEILING((X390/$H390),1)*$H390),"")</f>
        <v>54.6</v>
      </c>
      <c r="Z390" s="39">
        <f>IFERROR(IF(Y390=0,"",ROUNDUP(Y390/H390,0)*0.01898),"")</f>
        <v>0.13286000000000001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53.166666666666671</v>
      </c>
      <c r="BN390" s="75">
        <f>IFERROR(Y390*I390/H390,"0")</f>
        <v>58.058000000000007</v>
      </c>
      <c r="BO390" s="75">
        <f>IFERROR(1/J390*(X390/H390),"0")</f>
        <v>0.10016025641025642</v>
      </c>
      <c r="BP390" s="75">
        <f>IFERROR(1/J390*(Y390/H390),"0")</f>
        <v>0.109375</v>
      </c>
    </row>
    <row r="391" spans="1:68" ht="16.5" hidden="1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6.4102564102564106</v>
      </c>
      <c r="Y392" s="41">
        <f>IFERROR(Y389/H389,"0")+IFERROR(Y390/H390,"0")+IFERROR(Y391/H391,"0")</f>
        <v>7</v>
      </c>
      <c r="Z392" s="41">
        <f>IFERROR(IF(Z389="",0,Z389),"0")+IFERROR(IF(Z390="",0,Z390),"0")+IFERROR(IF(Z391="",0,Z391),"0")</f>
        <v>0.13286000000000001</v>
      </c>
      <c r="AA392" s="64"/>
      <c r="AB392" s="64"/>
      <c r="AC392" s="64"/>
    </row>
    <row r="393" spans="1:68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50</v>
      </c>
      <c r="Y393" s="41">
        <f>IFERROR(SUM(Y389:Y391),"0")</f>
        <v>54.6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40</v>
      </c>
      <c r="Y415" s="53">
        <f>IFERROR(IF(X415="",0,CEILING((X415/$H415),1)*$H415),"")</f>
        <v>40.5</v>
      </c>
      <c r="Z415" s="39">
        <f>IFERROR(IF(Y415=0,"",ROUNDUP(Y415/H415,0)*0.01898),"")</f>
        <v>9.4899999999999998E-2</v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42.439506172839508</v>
      </c>
      <c r="BN415" s="75">
        <f>IFERROR(Y415*I415/H415,"0")</f>
        <v>42.97</v>
      </c>
      <c r="BO415" s="75">
        <f>IFERROR(1/J415*(X415/H415),"0")</f>
        <v>7.7160493827160503E-2</v>
      </c>
      <c r="BP415" s="75">
        <f>IFERROR(1/J415*(Y415/H415),"0")</f>
        <v>7.8125E-2</v>
      </c>
    </row>
    <row r="416" spans="1:68" ht="27" hidden="1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87.5</v>
      </c>
      <c r="Y417" s="53">
        <f>IFERROR(IF(X417="",0,CEILING((X417/$H417),1)*$H417),"")</f>
        <v>88.2</v>
      </c>
      <c r="Z417" s="39">
        <f>IFERROR(IF(Y417=0,"",ROUNDUP(Y417/H417,0)*0.00651),"")</f>
        <v>0.27342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97.5</v>
      </c>
      <c r="BN417" s="75">
        <f>IFERROR(Y417*I417/H417,"0")</f>
        <v>98.28</v>
      </c>
      <c r="BO417" s="75">
        <f>IFERROR(1/J417*(X417/H417),"0")</f>
        <v>0.22893772893772893</v>
      </c>
      <c r="BP417" s="75">
        <f>IFERROR(1/J417*(Y417/H417),"0")</f>
        <v>0.23076923076923078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46.604938271604937</v>
      </c>
      <c r="Y418" s="41">
        <f>IFERROR(Y415/H415,"0")+IFERROR(Y416/H416,"0")+IFERROR(Y417/H417,"0")</f>
        <v>47</v>
      </c>
      <c r="Z418" s="41">
        <f>IFERROR(IF(Z415="",0,Z415),"0")+IFERROR(IF(Z416="",0,Z416),"0")+IFERROR(IF(Z417="",0,Z417),"0")</f>
        <v>0.36831999999999998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127.5</v>
      </c>
      <c r="Y419" s="41">
        <f>IFERROR(SUM(Y415:Y417),"0")</f>
        <v>128.69999999999999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500</v>
      </c>
      <c r="Y426" s="53">
        <f t="shared" si="52"/>
        <v>510</v>
      </c>
      <c r="Z426" s="39">
        <f>IFERROR(IF(Y426=0,"",ROUNDUP(Y426/H426,0)*0.02175),"")</f>
        <v>0.73949999999999994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515.66666666666663</v>
      </c>
      <c r="BN426" s="75">
        <f t="shared" si="54"/>
        <v>525.98</v>
      </c>
      <c r="BO426" s="75">
        <f t="shared" si="55"/>
        <v>0.69444444444444442</v>
      </c>
      <c r="BP426" s="75">
        <f t="shared" si="56"/>
        <v>0.70833333333333326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33.333333333333336</v>
      </c>
      <c r="Y431" s="41">
        <f>IFERROR(Y423/H423,"0")+IFERROR(Y424/H424,"0")+IFERROR(Y425/H425,"0")+IFERROR(Y426/H426,"0")+IFERROR(Y427/H427,"0")+IFERROR(Y428/H428,"0")+IFERROR(Y429/H429,"0")+IFERROR(Y430/H430,"0")</f>
        <v>34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0.73949999999999994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500</v>
      </c>
      <c r="Y432" s="41">
        <f>IFERROR(SUM(Y423:Y430),"0")</f>
        <v>510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100</v>
      </c>
      <c r="Y441" s="53">
        <f>IFERROR(IF(X441="",0,CEILING((X441/$H441),1)*$H441),"")</f>
        <v>108</v>
      </c>
      <c r="Z441" s="39">
        <f>IFERROR(IF(Y441=0,"",ROUNDUP(Y441/H441,0)*0.01898),"")</f>
        <v>0.22776000000000002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105.48888888888888</v>
      </c>
      <c r="BN441" s="75">
        <f>IFERROR(Y441*I441/H441,"0")</f>
        <v>113.92799999999998</v>
      </c>
      <c r="BO441" s="75">
        <f>IFERROR(1/J441*(X441/H441),"0")</f>
        <v>0.1736111111111111</v>
      </c>
      <c r="BP441" s="75">
        <f>IFERROR(1/J441*(Y441/H441),"0")</f>
        <v>0.1875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11.111111111111111</v>
      </c>
      <c r="Y443" s="41">
        <f>IFERROR(Y440/H440,"0")+IFERROR(Y441/H441,"0")+IFERROR(Y442/H442,"0")</f>
        <v>12</v>
      </c>
      <c r="Z443" s="41">
        <f>IFERROR(IF(Z440="",0,Z440),"0")+IFERROR(IF(Z441="",0,Z441),"0")+IFERROR(IF(Z442="",0,Z442),"0")</f>
        <v>0.22776000000000002</v>
      </c>
      <c r="AA443" s="64"/>
      <c r="AB443" s="64"/>
      <c r="AC443" s="64"/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100</v>
      </c>
      <c r="Y444" s="41">
        <f>IFERROR(SUM(Y440:Y442),"0")</f>
        <v>108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16</v>
      </c>
      <c r="Y462" s="53">
        <f>IFERROR(IF(X462="",0,CEILING((X462/$H462),1)*$H462),"")</f>
        <v>16.8</v>
      </c>
      <c r="Z462" s="39">
        <f>IFERROR(IF(Y462=0,"",ROUNDUP(Y462/H462,0)*0.00651),"")</f>
        <v>4.5569999999999999E-2</v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17.760000000000002</v>
      </c>
      <c r="BN462" s="75">
        <f>IFERROR(Y462*I462/H462,"0")</f>
        <v>18.648000000000003</v>
      </c>
      <c r="BO462" s="75">
        <f>IFERROR(1/J462*(X462/H462),"0")</f>
        <v>3.6630036630036632E-2</v>
      </c>
      <c r="BP462" s="75">
        <f>IFERROR(1/J462*(Y462/H462),"0")</f>
        <v>3.8461538461538471E-2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6.666666666666667</v>
      </c>
      <c r="Y464" s="41">
        <f>IFERROR(Y461/H461,"0")+IFERROR(Y462/H462,"0")+IFERROR(Y463/H463,"0")</f>
        <v>7.0000000000000009</v>
      </c>
      <c r="Z464" s="41">
        <f>IFERROR(IF(Z461="",0,Z461),"0")+IFERROR(IF(Z462="",0,Z462),"0")+IFERROR(IF(Z463="",0,Z463),"0")</f>
        <v>4.5569999999999999E-2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16</v>
      </c>
      <c r="Y465" s="41">
        <f>IFERROR(SUM(Y461:Y463),"0")</f>
        <v>16.8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30</v>
      </c>
      <c r="Y469" s="53">
        <f t="shared" ref="Y469:Y474" si="57">IFERROR(IF(X469="",0,CEILING((X469/$H469),1)*$H469),"")</f>
        <v>32.400000000000006</v>
      </c>
      <c r="Z469" s="39">
        <f>IFERROR(IF(Y469=0,"",ROUNDUP(Y469/H469,0)*0.00902),"")</f>
        <v>5.4120000000000001E-2</v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31.05555555555555</v>
      </c>
      <c r="BN469" s="75">
        <f t="shared" ref="BN469:BN474" si="59">IFERROR(Y469*I469/H469,"0")</f>
        <v>33.54</v>
      </c>
      <c r="BO469" s="75">
        <f t="shared" ref="BO469:BO474" si="60">IFERROR(1/J469*(X469/H469),"0")</f>
        <v>4.208754208754209E-2</v>
      </c>
      <c r="BP469" s="75">
        <f t="shared" ref="BP469:BP474" si="61">IFERROR(1/J469*(Y469/H469),"0")</f>
        <v>4.5454545454545463E-2</v>
      </c>
    </row>
    <row r="470" spans="1:68" ht="27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30</v>
      </c>
      <c r="Y470" s="53">
        <f t="shared" si="57"/>
        <v>32.400000000000006</v>
      </c>
      <c r="Z470" s="39">
        <f>IFERROR(IF(Y470=0,"",ROUNDUP(Y470/H470,0)*0.00902),"")</f>
        <v>5.4120000000000001E-2</v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31.05555555555555</v>
      </c>
      <c r="BN470" s="75">
        <f t="shared" si="59"/>
        <v>33.54</v>
      </c>
      <c r="BO470" s="75">
        <f t="shared" si="60"/>
        <v>4.208754208754209E-2</v>
      </c>
      <c r="BP470" s="75">
        <f t="shared" si="61"/>
        <v>4.5454545454545463E-2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10.5</v>
      </c>
      <c r="Y474" s="53">
        <f t="shared" si="57"/>
        <v>10.5</v>
      </c>
      <c r="Z474" s="39">
        <f>IFERROR(IF(Y474=0,"",ROUNDUP(Y474/H474,0)*0.00502),"")</f>
        <v>2.5100000000000001E-2</v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11.149999999999999</v>
      </c>
      <c r="BN474" s="75">
        <f t="shared" si="59"/>
        <v>11.149999999999999</v>
      </c>
      <c r="BO474" s="75">
        <f t="shared" si="60"/>
        <v>2.1367521367521368E-2</v>
      </c>
      <c r="BP474" s="75">
        <f t="shared" si="61"/>
        <v>2.1367521367521368E-2</v>
      </c>
    </row>
    <row r="475" spans="1:68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16.111111111111111</v>
      </c>
      <c r="Y475" s="41">
        <f>IFERROR(Y469/H469,"0")+IFERROR(Y470/H470,"0")+IFERROR(Y471/H471,"0")+IFERROR(Y472/H472,"0")+IFERROR(Y473/H473,"0")+IFERROR(Y474/H474,"0")</f>
        <v>17</v>
      </c>
      <c r="Z475" s="41">
        <f>IFERROR(IF(Z469="",0,Z469),"0")+IFERROR(IF(Z470="",0,Z470),"0")+IFERROR(IF(Z471="",0,Z471),"0")+IFERROR(IF(Z472="",0,Z472),"0")+IFERROR(IF(Z473="",0,Z473),"0")+IFERROR(IF(Z474="",0,Z474),"0")</f>
        <v>0.13334000000000001</v>
      </c>
      <c r="AA475" s="64"/>
      <c r="AB475" s="64"/>
      <c r="AC475" s="64"/>
    </row>
    <row r="476" spans="1:68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70.5</v>
      </c>
      <c r="Y476" s="41">
        <f>IFERROR(SUM(Y469:Y474),"0")</f>
        <v>75.300000000000011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40</v>
      </c>
      <c r="Y488" s="53">
        <f>IFERROR(IF(X488="",0,CEILING((X488/$H488),1)*$H488),"")</f>
        <v>43.2</v>
      </c>
      <c r="Z488" s="39">
        <f>IFERROR(IF(Y488=0,"",ROUNDUP(Y488/H488,0)*0.00902),"")</f>
        <v>7.2160000000000002E-2</v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41.407407407407405</v>
      </c>
      <c r="BN488" s="75">
        <f>IFERROR(Y488*I488/H488,"0")</f>
        <v>44.72</v>
      </c>
      <c r="BO488" s="75">
        <f>IFERROR(1/J488*(X488/H488),"0")</f>
        <v>5.6116722783389444E-2</v>
      </c>
      <c r="BP488" s="75">
        <f>IFERROR(1/J488*(Y488/H488),"0")</f>
        <v>6.0606060606060608E-2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14</v>
      </c>
      <c r="Y490" s="53">
        <f>IFERROR(IF(X490="",0,CEILING((X490/$H490),1)*$H490),"")</f>
        <v>14.700000000000001</v>
      </c>
      <c r="Z490" s="39">
        <f>IFERROR(IF(Y490=0,"",ROUNDUP(Y490/H490,0)*0.00502),"")</f>
        <v>3.5140000000000005E-2</v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14.866666666666665</v>
      </c>
      <c r="BN490" s="75">
        <f>IFERROR(Y490*I490/H490,"0")</f>
        <v>15.61</v>
      </c>
      <c r="BO490" s="75">
        <f>IFERROR(1/J490*(X490/H490),"0")</f>
        <v>2.8490028490028491E-2</v>
      </c>
      <c r="BP490" s="75">
        <f>IFERROR(1/J490*(Y490/H490),"0")</f>
        <v>2.9914529914529919E-2</v>
      </c>
    </row>
    <row r="491" spans="1:68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14.074074074074073</v>
      </c>
      <c r="Y491" s="41">
        <f>IFERROR(Y488/H488,"0")+IFERROR(Y489/H489,"0")+IFERROR(Y490/H490,"0")</f>
        <v>15</v>
      </c>
      <c r="Z491" s="41">
        <f>IFERROR(IF(Z488="",0,Z488),"0")+IFERROR(IF(Z489="",0,Z489),"0")+IFERROR(IF(Z490="",0,Z490),"0")</f>
        <v>0.10730000000000001</v>
      </c>
      <c r="AA491" s="64"/>
      <c r="AB491" s="64"/>
      <c r="AC491" s="64"/>
    </row>
    <row r="492" spans="1:68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54</v>
      </c>
      <c r="Y492" s="41">
        <f>IFERROR(SUM(Y488:Y490),"0")</f>
        <v>57.900000000000006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40</v>
      </c>
      <c r="Y534" s="53">
        <f>IFERROR(IF(X534="",0,CEILING((X534/$H534),1)*$H534),"")</f>
        <v>42</v>
      </c>
      <c r="Z534" s="39">
        <f>IFERROR(IF(Y534=0,"",ROUNDUP(Y534/H534,0)*0.00902),"")</f>
        <v>9.0200000000000002E-2</v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42.38095238095238</v>
      </c>
      <c r="BN534" s="75">
        <f>IFERROR(Y534*I534/H534,"0")</f>
        <v>44.5</v>
      </c>
      <c r="BO534" s="75">
        <f>IFERROR(1/J534*(X534/H534),"0")</f>
        <v>7.2150072150072145E-2</v>
      </c>
      <c r="BP534" s="75">
        <f>IFERROR(1/J534*(Y534/H534),"0")</f>
        <v>7.575757575757576E-2</v>
      </c>
    </row>
    <row r="535" spans="1:68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9.5238095238095237</v>
      </c>
      <c r="Y535" s="41">
        <f>IFERROR(Y534/H534,"0")</f>
        <v>10</v>
      </c>
      <c r="Z535" s="41">
        <f>IFERROR(IF(Z534="",0,Z534),"0")</f>
        <v>9.0200000000000002E-2</v>
      </c>
      <c r="AA535" s="64"/>
      <c r="AB535" s="64"/>
      <c r="AC535" s="64"/>
    </row>
    <row r="536" spans="1:68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40</v>
      </c>
      <c r="Y536" s="41">
        <f>IFERROR(SUM(Y534:Y534),"0")</f>
        <v>42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1693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1759.38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1788.785505312057</v>
      </c>
      <c r="Y552" s="41">
        <f>IFERROR(SUM(BN22:BN548),"0")</f>
        <v>1858.816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4</v>
      </c>
      <c r="Y553" s="42">
        <f>ROUNDUP(SUM(BP22:BP548),0)</f>
        <v>4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1888.785505312057</v>
      </c>
      <c r="Y554" s="41">
        <f>GrossWeightTotalR+PalletQtyTotalR*25</f>
        <v>1958.816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337.57979313151725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350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3.6546400000000001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12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74.7</v>
      </c>
      <c r="F561" s="50">
        <f>IFERROR(Y88*1,"0")+IFERROR(Y89*1,"0")+IFERROR(Y90*1,"0")+IFERROR(Y91*1,"0")+IFERROR(Y95*1,"0")+IFERROR(Y96*1,"0")+IFERROR(Y97*1,"0")+IFERROR(Y98*1,"0")</f>
        <v>95.4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228.3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16.38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180.6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14.4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12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39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147.9</v>
      </c>
      <c r="U561" s="50">
        <f>IFERROR(Y415*1,"0")+IFERROR(Y416*1,"0")+IFERROR(Y417*1,"0")</f>
        <v>128.69999999999999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618</v>
      </c>
      <c r="W561" s="50">
        <f>IFERROR(Y452*1,"0")+IFERROR(Y453*1,"0")+IFERROR(Y457*1,"0")+IFERROR(Y461*1,"0")+IFERROR(Y462*1,"0")+IFERROR(Y463*1,"0")</f>
        <v>16.8</v>
      </c>
      <c r="X561" s="50">
        <f>IFERROR(Y469*1,"0")+IFERROR(Y470*1,"0")+IFERROR(Y471*1,"0")+IFERROR(Y472*1,"0")+IFERROR(Y473*1,"0")+IFERROR(Y474*1,"0")+IFERROR(Y478*1,"0")+IFERROR(Y479*1,"0")</f>
        <v>75.300000000000011</v>
      </c>
      <c r="Y561" s="50">
        <f>IFERROR(Y484*1,"0")+IFERROR(Y488*1,"0")+IFERROR(Y489*1,"0")+IFERROR(Y490*1,"0")</f>
        <v>57.900000000000006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42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93,00"/>
        <filter val="1 788,79"/>
        <filter val="1 888,79"/>
        <filter val="10,50"/>
        <filter val="100,00"/>
        <filter val="11,11"/>
        <filter val="11,60"/>
        <filter val="11,70"/>
        <filter val="12,00"/>
        <filter val="127,00"/>
        <filter val="127,50"/>
        <filter val="14,00"/>
        <filter val="14,07"/>
        <filter val="144,00"/>
        <filter val="15,00"/>
        <filter val="16,00"/>
        <filter val="16,11"/>
        <filter val="18,00"/>
        <filter val="2,78"/>
        <filter val="20,00"/>
        <filter val="21,00"/>
        <filter val="22,35"/>
        <filter val="24,00"/>
        <filter val="27,00"/>
        <filter val="27,86"/>
        <filter val="3,00"/>
        <filter val="3,33"/>
        <filter val="3,50"/>
        <filter val="3,70"/>
        <filter val="30,00"/>
        <filter val="31,50"/>
        <filter val="33,33"/>
        <filter val="337,58"/>
        <filter val="35,00"/>
        <filter val="36,00"/>
        <filter val="4"/>
        <filter val="4,49"/>
        <filter val="40,00"/>
        <filter val="46,60"/>
        <filter val="47,93"/>
        <filter val="5,00"/>
        <filter val="50,00"/>
        <filter val="500,00"/>
        <filter val="54,00"/>
        <filter val="58,00"/>
        <filter val="6,00"/>
        <filter val="6,41"/>
        <filter val="6,67"/>
        <filter val="7,00"/>
        <filter val="70,50"/>
        <filter val="75,00"/>
        <filter val="76,00"/>
        <filter val="8,00"/>
        <filter val="87,50"/>
        <filter val="9,52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