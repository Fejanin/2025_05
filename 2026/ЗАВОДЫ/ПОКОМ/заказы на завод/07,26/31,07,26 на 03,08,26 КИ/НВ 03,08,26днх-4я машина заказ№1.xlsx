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A40876-9327-45AF-B2F7-0600DF4E5B9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Y539" i="1" s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Y531" i="1" s="1"/>
  <c r="P529" i="1"/>
  <c r="X527" i="1"/>
  <c r="Y526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BN507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Y495" i="1"/>
  <c r="Z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Y485" i="1" s="1"/>
  <c r="P483" i="1"/>
  <c r="X480" i="1"/>
  <c r="X479" i="1"/>
  <c r="BO478" i="1"/>
  <c r="BM478" i="1"/>
  <c r="Z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N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BN468" i="1" s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N460" i="1"/>
  <c r="BM460" i="1"/>
  <c r="Z460" i="1"/>
  <c r="Y460" i="1"/>
  <c r="BP460" i="1" s="1"/>
  <c r="P460" i="1"/>
  <c r="X458" i="1"/>
  <c r="X457" i="1"/>
  <c r="BO456" i="1"/>
  <c r="BM456" i="1"/>
  <c r="Y456" i="1"/>
  <c r="Y458" i="1" s="1"/>
  <c r="P456" i="1"/>
  <c r="X454" i="1"/>
  <c r="X453" i="1"/>
  <c r="BO452" i="1"/>
  <c r="BM452" i="1"/>
  <c r="Y452" i="1"/>
  <c r="BN452" i="1" s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Y445" i="1"/>
  <c r="Z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N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N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BO423" i="1"/>
  <c r="BM423" i="1"/>
  <c r="Y423" i="1"/>
  <c r="BN423" i="1" s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N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N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N389" i="1"/>
  <c r="BM389" i="1"/>
  <c r="Z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N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N371" i="1"/>
  <c r="BM371" i="1"/>
  <c r="Y371" i="1"/>
  <c r="BP371" i="1" s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BN358" i="1" s="1"/>
  <c r="P358" i="1"/>
  <c r="BO357" i="1"/>
  <c r="BM357" i="1"/>
  <c r="Y357" i="1"/>
  <c r="P357" i="1"/>
  <c r="BO356" i="1"/>
  <c r="BN356" i="1"/>
  <c r="BM356" i="1"/>
  <c r="Y356" i="1"/>
  <c r="P356" i="1"/>
  <c r="X353" i="1"/>
  <c r="X352" i="1"/>
  <c r="BO351" i="1"/>
  <c r="BM351" i="1"/>
  <c r="Y351" i="1"/>
  <c r="BN351" i="1" s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M345" i="1"/>
  <c r="Y345" i="1"/>
  <c r="BN345" i="1" s="1"/>
  <c r="P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N327" i="1"/>
  <c r="BM327" i="1"/>
  <c r="Y327" i="1"/>
  <c r="Z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N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BN269" i="1" s="1"/>
  <c r="P269" i="1"/>
  <c r="X267" i="1"/>
  <c r="X266" i="1"/>
  <c r="BO265" i="1"/>
  <c r="BM265" i="1"/>
  <c r="Y265" i="1"/>
  <c r="BP265" i="1" s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N243" i="1"/>
  <c r="BM243" i="1"/>
  <c r="Z243" i="1"/>
  <c r="Y243" i="1"/>
  <c r="BP243" i="1" s="1"/>
  <c r="P243" i="1"/>
  <c r="BO242" i="1"/>
  <c r="BM242" i="1"/>
  <c r="Y242" i="1"/>
  <c r="P242" i="1"/>
  <c r="BO241" i="1"/>
  <c r="BM241" i="1"/>
  <c r="Z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N235" i="1" s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M227" i="1"/>
  <c r="Y227" i="1"/>
  <c r="Z227" i="1" s="1"/>
  <c r="P227" i="1"/>
  <c r="BO226" i="1"/>
  <c r="BM226" i="1"/>
  <c r="Y226" i="1"/>
  <c r="P226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Y223" i="1"/>
  <c r="Y237" i="1" s="1"/>
  <c r="P223" i="1"/>
  <c r="X221" i="1"/>
  <c r="X220" i="1"/>
  <c r="BO219" i="1"/>
  <c r="BN219" i="1"/>
  <c r="BM219" i="1"/>
  <c r="Y219" i="1"/>
  <c r="Y220" i="1" s="1"/>
  <c r="P219" i="1"/>
  <c r="X216" i="1"/>
  <c r="X215" i="1"/>
  <c r="BO214" i="1"/>
  <c r="BN214" i="1"/>
  <c r="BM214" i="1"/>
  <c r="Y214" i="1"/>
  <c r="BP214" i="1" s="1"/>
  <c r="P214" i="1"/>
  <c r="BO213" i="1"/>
  <c r="BM213" i="1"/>
  <c r="Y213" i="1"/>
  <c r="P213" i="1"/>
  <c r="BO212" i="1"/>
  <c r="BN212" i="1"/>
  <c r="BM212" i="1"/>
  <c r="Z212" i="1"/>
  <c r="Y212" i="1"/>
  <c r="BP212" i="1" s="1"/>
  <c r="P212" i="1"/>
  <c r="BO211" i="1"/>
  <c r="BM211" i="1"/>
  <c r="Y211" i="1"/>
  <c r="P211" i="1"/>
  <c r="BP210" i="1"/>
  <c r="BO210" i="1"/>
  <c r="BM210" i="1"/>
  <c r="Z210" i="1"/>
  <c r="Y210" i="1"/>
  <c r="BN210" i="1" s="1"/>
  <c r="P210" i="1"/>
  <c r="BO209" i="1"/>
  <c r="BM209" i="1"/>
  <c r="Y209" i="1"/>
  <c r="P209" i="1"/>
  <c r="BO208" i="1"/>
  <c r="BM208" i="1"/>
  <c r="Y208" i="1"/>
  <c r="BN208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BN198" i="1" s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P192" i="1"/>
  <c r="BO192" i="1"/>
  <c r="BM192" i="1"/>
  <c r="Z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Z186" i="1"/>
  <c r="Y186" i="1"/>
  <c r="BP186" i="1" s="1"/>
  <c r="P186" i="1"/>
  <c r="BO185" i="1"/>
  <c r="BM185" i="1"/>
  <c r="Y185" i="1"/>
  <c r="P185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N172" i="1"/>
  <c r="BM172" i="1"/>
  <c r="Y172" i="1"/>
  <c r="X170" i="1"/>
  <c r="X169" i="1"/>
  <c r="BO168" i="1"/>
  <c r="BM168" i="1"/>
  <c r="Y168" i="1"/>
  <c r="P168" i="1"/>
  <c r="BO167" i="1"/>
  <c r="BN167" i="1"/>
  <c r="BM167" i="1"/>
  <c r="Y167" i="1"/>
  <c r="BP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P147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O139" i="1"/>
  <c r="BM139" i="1"/>
  <c r="Z139" i="1"/>
  <c r="Y139" i="1"/>
  <c r="BN139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Y134" i="1"/>
  <c r="Z134" i="1" s="1"/>
  <c r="P134" i="1"/>
  <c r="BO133" i="1"/>
  <c r="BM133" i="1"/>
  <c r="Y133" i="1"/>
  <c r="BP133" i="1" s="1"/>
  <c r="P133" i="1"/>
  <c r="BO132" i="1"/>
  <c r="BM132" i="1"/>
  <c r="Y132" i="1"/>
  <c r="BN132" i="1" s="1"/>
  <c r="P132" i="1"/>
  <c r="X129" i="1"/>
  <c r="X128" i="1"/>
  <c r="BO127" i="1"/>
  <c r="BN127" i="1"/>
  <c r="BM127" i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N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N88" i="1" s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N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Z22" i="1"/>
  <c r="Y22" i="1"/>
  <c r="BN22" i="1" s="1"/>
  <c r="P22" i="1"/>
  <c r="H10" i="1"/>
  <c r="A9" i="1"/>
  <c r="A10" i="1" s="1"/>
  <c r="D7" i="1"/>
  <c r="Q6" i="1"/>
  <c r="P2" i="1"/>
  <c r="BP88" i="1" l="1"/>
  <c r="Z103" i="1"/>
  <c r="Z132" i="1"/>
  <c r="Z149" i="1"/>
  <c r="BN227" i="1"/>
  <c r="BP235" i="1"/>
  <c r="Z249" i="1"/>
  <c r="Y266" i="1"/>
  <c r="BP302" i="1"/>
  <c r="Z470" i="1"/>
  <c r="Y521" i="1"/>
  <c r="BN517" i="1"/>
  <c r="BN103" i="1"/>
  <c r="BN149" i="1"/>
  <c r="Z425" i="1"/>
  <c r="BN470" i="1"/>
  <c r="BN487" i="1"/>
  <c r="BP132" i="1"/>
  <c r="BP249" i="1"/>
  <c r="Z202" i="1"/>
  <c r="Z203" i="1" s="1"/>
  <c r="Z336" i="1"/>
  <c r="BN462" i="1"/>
  <c r="BN541" i="1"/>
  <c r="BP65" i="1"/>
  <c r="BP139" i="1"/>
  <c r="BN202" i="1"/>
  <c r="Z233" i="1"/>
  <c r="BN289" i="1"/>
  <c r="BN336" i="1"/>
  <c r="Z381" i="1"/>
  <c r="BN439" i="1"/>
  <c r="BN456" i="1"/>
  <c r="BN61" i="1"/>
  <c r="Z73" i="1"/>
  <c r="Z178" i="1"/>
  <c r="BN186" i="1"/>
  <c r="BP202" i="1"/>
  <c r="BN304" i="1"/>
  <c r="BN363" i="1"/>
  <c r="BN381" i="1"/>
  <c r="BN402" i="1"/>
  <c r="Y463" i="1"/>
  <c r="BN478" i="1"/>
  <c r="BN90" i="1"/>
  <c r="BN54" i="1"/>
  <c r="Z154" i="1"/>
  <c r="BN178" i="1"/>
  <c r="BP233" i="1"/>
  <c r="BN281" i="1"/>
  <c r="Z345" i="1"/>
  <c r="Y457" i="1"/>
  <c r="Z515" i="1"/>
  <c r="Z30" i="1"/>
  <c r="BP73" i="1"/>
  <c r="BN83" i="1"/>
  <c r="Z147" i="1"/>
  <c r="Y203" i="1"/>
  <c r="Z219" i="1"/>
  <c r="Z220" i="1" s="1"/>
  <c r="BN229" i="1"/>
  <c r="BN329" i="1"/>
  <c r="BN433" i="1"/>
  <c r="BN497" i="1"/>
  <c r="BN519" i="1"/>
  <c r="BP22" i="1"/>
  <c r="BP225" i="1"/>
  <c r="BN489" i="1"/>
  <c r="BN533" i="1"/>
  <c r="BP30" i="1"/>
  <c r="BP154" i="1"/>
  <c r="Z509" i="1"/>
  <c r="Y75" i="1"/>
  <c r="BN98" i="1"/>
  <c r="BP219" i="1"/>
  <c r="Z265" i="1"/>
  <c r="BN275" i="1"/>
  <c r="Z287" i="1"/>
  <c r="BN427" i="1"/>
  <c r="BN509" i="1"/>
  <c r="Y534" i="1"/>
  <c r="Z59" i="1"/>
  <c r="BN113" i="1"/>
  <c r="BN291" i="1"/>
  <c r="BN441" i="1"/>
  <c r="Y32" i="1"/>
  <c r="Z88" i="1"/>
  <c r="Y128" i="1"/>
  <c r="Z235" i="1"/>
  <c r="BP241" i="1"/>
  <c r="BN265" i="1"/>
  <c r="BN287" i="1"/>
  <c r="Z302" i="1"/>
  <c r="BN306" i="1"/>
  <c r="BN365" i="1"/>
  <c r="BN525" i="1"/>
  <c r="BP184" i="1"/>
  <c r="BN283" i="1"/>
  <c r="F10" i="1"/>
  <c r="Z28" i="1"/>
  <c r="BP71" i="1"/>
  <c r="Z77" i="1"/>
  <c r="BP77" i="1"/>
  <c r="Y85" i="1"/>
  <c r="Z107" i="1"/>
  <c r="BP107" i="1"/>
  <c r="Y117" i="1"/>
  <c r="Z115" i="1"/>
  <c r="BP115" i="1"/>
  <c r="Y125" i="1"/>
  <c r="Z123" i="1"/>
  <c r="BP123" i="1"/>
  <c r="Y174" i="1"/>
  <c r="Z182" i="1"/>
  <c r="BP182" i="1"/>
  <c r="Z198" i="1"/>
  <c r="BP198" i="1"/>
  <c r="Z208" i="1"/>
  <c r="BP208" i="1"/>
  <c r="Z223" i="1"/>
  <c r="BP223" i="1"/>
  <c r="Z231" i="1"/>
  <c r="BP231" i="1"/>
  <c r="Z269" i="1"/>
  <c r="BP269" i="1"/>
  <c r="Z285" i="1"/>
  <c r="BP285" i="1"/>
  <c r="Z343" i="1"/>
  <c r="BP343" i="1"/>
  <c r="Z351" i="1"/>
  <c r="BP351" i="1"/>
  <c r="S560" i="1"/>
  <c r="Z358" i="1"/>
  <c r="BP358" i="1"/>
  <c r="Z367" i="1"/>
  <c r="BP367" i="1"/>
  <c r="Z373" i="1"/>
  <c r="BP373" i="1"/>
  <c r="Z395" i="1"/>
  <c r="BP395" i="1"/>
  <c r="Z423" i="1"/>
  <c r="BP423" i="1"/>
  <c r="Z452" i="1"/>
  <c r="BP452" i="1"/>
  <c r="Z468" i="1"/>
  <c r="BP468" i="1"/>
  <c r="Z483" i="1"/>
  <c r="Z484" i="1" s="1"/>
  <c r="BP483" i="1"/>
  <c r="Z501" i="1"/>
  <c r="BP501" i="1"/>
  <c r="Z507" i="1"/>
  <c r="BP507" i="1"/>
  <c r="Z513" i="1"/>
  <c r="BP513" i="1"/>
  <c r="Z529" i="1"/>
  <c r="Z530" i="1" s="1"/>
  <c r="BP529" i="1"/>
  <c r="Z537" i="1"/>
  <c r="Z538" i="1" s="1"/>
  <c r="BP537" i="1"/>
  <c r="F9" i="1"/>
  <c r="C560" i="1"/>
  <c r="Z44" i="1"/>
  <c r="D560" i="1"/>
  <c r="Z54" i="1"/>
  <c r="Z61" i="1"/>
  <c r="Z83" i="1"/>
  <c r="Y92" i="1"/>
  <c r="Z90" i="1"/>
  <c r="Y100" i="1"/>
  <c r="Z98" i="1"/>
  <c r="Z105" i="1"/>
  <c r="Z113" i="1"/>
  <c r="Z121" i="1"/>
  <c r="Z127" i="1"/>
  <c r="Z128" i="1" s="1"/>
  <c r="BP127" i="1"/>
  <c r="Z167" i="1"/>
  <c r="Z172" i="1"/>
  <c r="BP172" i="1"/>
  <c r="Z180" i="1"/>
  <c r="Z214" i="1"/>
  <c r="Z229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X554" i="1"/>
  <c r="BP28" i="1"/>
  <c r="Z63" i="1"/>
  <c r="BP63" i="1"/>
  <c r="Z71" i="1"/>
  <c r="J9" i="1"/>
  <c r="BN77" i="1"/>
  <c r="BN223" i="1"/>
  <c r="Z281" i="1"/>
  <c r="Z289" i="1"/>
  <c r="Z295" i="1"/>
  <c r="BP295" i="1"/>
  <c r="Z304" i="1"/>
  <c r="Z320" i="1"/>
  <c r="Z329" i="1"/>
  <c r="Y35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BN483" i="1"/>
  <c r="Y484" i="1"/>
  <c r="Z487" i="1"/>
  <c r="BP487" i="1"/>
  <c r="Z497" i="1"/>
  <c r="BN513" i="1"/>
  <c r="Z517" i="1"/>
  <c r="Z525" i="1"/>
  <c r="Z526" i="1" s="1"/>
  <c r="BP525" i="1"/>
  <c r="BN529" i="1"/>
  <c r="Y530" i="1"/>
  <c r="Z533" i="1"/>
  <c r="Z534" i="1" s="1"/>
  <c r="BP533" i="1"/>
  <c r="BN537" i="1"/>
  <c r="Y538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368" i="1" l="1"/>
  <c r="Z79" i="1"/>
  <c r="Z417" i="1"/>
  <c r="Z143" i="1"/>
  <c r="Z378" i="1"/>
  <c r="Z277" i="1"/>
  <c r="Y552" i="1"/>
  <c r="Z474" i="1"/>
  <c r="Z237" i="1"/>
  <c r="Z117" i="1"/>
  <c r="Z67" i="1"/>
  <c r="Y551" i="1"/>
  <c r="Y553" i="1" s="1"/>
  <c r="Z520" i="1"/>
  <c r="Z504" i="1"/>
  <c r="Z308" i="1"/>
  <c r="Z92" i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Y554" i="1"/>
  <c r="X553" i="1"/>
  <c r="Z347" i="1"/>
  <c r="Z194" i="1"/>
  <c r="Z169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<sst xmlns="http://schemas.openxmlformats.org/spreadsheetml/2006/main" count="2502" uniqueCount="908">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</sst>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46237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9</v>
      </c>
      <c r="Y29" s="628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15.9</v>
      </c>
      <c r="BN29" s="64">
        <f>IFERROR(Y29*I29/H29,"0")</f>
        <v>15.9</v>
      </c>
      <c r="BO29" s="64">
        <f>IFERROR(1/J29*(X29/H29),"0")</f>
        <v>2.7472527472527476E-2</v>
      </c>
      <c r="BP29" s="64">
        <f>IFERROR(1/J29*(Y29/H29),"0")</f>
        <v>2.7472527472527476E-2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9</v>
      </c>
      <c r="Y30" s="628">
        <f>IFERROR(IF(X30="",0,CEILING((X30/$H30),1)*$H30),"")</f>
        <v>9</v>
      </c>
      <c r="Z30" s="36">
        <f>IFERROR(IF(Y30=0,"",ROUNDUP(Y30/H30,0)*0.00651),"")</f>
        <v>3.2550000000000003E-2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15.9</v>
      </c>
      <c r="BN30" s="64">
        <f>IFERROR(Y30*I30/H30,"0")</f>
        <v>15.9</v>
      </c>
      <c r="BO30" s="64">
        <f>IFERROR(1/J30*(X30/H30),"0")</f>
        <v>2.7472527472527476E-2</v>
      </c>
      <c r="BP30" s="64">
        <f>IFERROR(1/J30*(Y30/H30),"0")</f>
        <v>2.7472527472527476E-2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10</v>
      </c>
      <c r="Y32" s="629">
        <f>IFERROR(Y27/H27,"0")+IFERROR(Y28/H28,"0")+IFERROR(Y29/H29,"0")+IFERROR(Y30/H30,"0")+IFERROR(Y31/H31,"0")</f>
        <v>10</v>
      </c>
      <c r="Z32" s="629">
        <f>IFERROR(IF(Z27="",0,Z27),"0")+IFERROR(IF(Z28="",0,Z28),"0")+IFERROR(IF(Z29="",0,Z29),"0")+IFERROR(IF(Z30="",0,Z30),"0")+IFERROR(IF(Z31="",0,Z31),"0")</f>
        <v>6.5100000000000005E-2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18</v>
      </c>
      <c r="Y33" s="629">
        <f>IFERROR(SUM(Y27:Y31),"0")</f>
        <v>18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361</v>
      </c>
      <c r="Y51" s="628">
        <f>IFERROR(IF(X51="",0,CEILING((X51/$H51),1)*$H51),"")</f>
        <v>367.20000000000005</v>
      </c>
      <c r="Z51" s="36">
        <f>IFERROR(IF(Y51=0,"",ROUNDUP(Y51/H51,0)*0.01898),"")</f>
        <v>0.64532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374.70462962962966</v>
      </c>
      <c r="BN51" s="64">
        <f>IFERROR(Y51*I51/H51,"0")</f>
        <v>381.14000000000004</v>
      </c>
      <c r="BO51" s="64">
        <f>IFERROR(1/J51*(X51/H51),"0")</f>
        <v>0.52228009259259256</v>
      </c>
      <c r="BP51" s="64">
        <f>IFERROR(1/J51*(Y51/H51),"0")</f>
        <v>0.53125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4</v>
      </c>
      <c r="Y53" s="628">
        <f>IFERROR(IF(X53="",0,CEILING((X53/$H53),1)*$H53),"")</f>
        <v>4</v>
      </c>
      <c r="Z53" s="36">
        <f>IFERROR(IF(Y53=0,"",ROUNDUP(Y53/H53,0)*0.00902),"")</f>
        <v>9.0200000000000002E-3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4.1900000000000004</v>
      </c>
      <c r="BN53" s="64">
        <f>IFERROR(Y53*I53/H53,"0")</f>
        <v>4.1900000000000004</v>
      </c>
      <c r="BO53" s="64">
        <f>IFERROR(1/J53*(X53/H53),"0")</f>
        <v>7.575757575757576E-3</v>
      </c>
      <c r="BP53" s="64">
        <f>IFERROR(1/J53*(Y53/H53),"0")</f>
        <v>7.575757575757576E-3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22</v>
      </c>
      <c r="Y54" s="628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23.129729729729728</v>
      </c>
      <c r="BN54" s="64">
        <f>IFERROR(Y54*I54/H54,"0")</f>
        <v>23.340000000000003</v>
      </c>
      <c r="BO54" s="64">
        <f>IFERROR(1/J54*(X54/H54),"0")</f>
        <v>4.5045045045045043E-2</v>
      </c>
      <c r="BP54" s="64">
        <f>IFERROR(1/J54*(Y54/H54),"0")</f>
        <v>4.5454545454545463E-2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40.371871871871868</v>
      </c>
      <c r="Y55" s="629">
        <f>IFERROR(Y51/H51,"0")+IFERROR(Y52/H52,"0")+IFERROR(Y53/H53,"0")+IFERROR(Y54/H54,"0")</f>
        <v>41</v>
      </c>
      <c r="Z55" s="629">
        <f>IFERROR(IF(Z51="",0,Z51),"0")+IFERROR(IF(Z52="",0,Z52),"0")+IFERROR(IF(Z53="",0,Z53),"0")+IFERROR(IF(Z54="",0,Z54),"0")</f>
        <v>0.70846000000000009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387</v>
      </c>
      <c r="Y56" s="629">
        <f>IFERROR(SUM(Y51:Y54),"0")</f>
        <v>393.40000000000003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35</v>
      </c>
      <c r="Y59" s="628">
        <f t="shared" ref="Y59:Y66" si="0">IFERROR(IF(X59="",0,CEILING((X59/$H59),1)*$H59),"")</f>
        <v>44.8</v>
      </c>
      <c r="Z59" s="36">
        <f>IFERROR(IF(Y59=0,"",ROUNDUP(Y59/H59,0)*0.01898),"")</f>
        <v>7.5920000000000001E-2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36.28125</v>
      </c>
      <c r="BN59" s="64">
        <f t="shared" ref="BN59:BN66" si="2">IFERROR(Y59*I59/H59,"0")</f>
        <v>46.44</v>
      </c>
      <c r="BO59" s="64">
        <f t="shared" ref="BO59:BO66" si="3">IFERROR(1/J59*(X59/H59),"0")</f>
        <v>4.8828125E-2</v>
      </c>
      <c r="BP59" s="64">
        <f t="shared" ref="BP59:BP66" si="4">IFERROR(1/J59*(Y59/H59),"0")</f>
        <v>6.25E-2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161</v>
      </c>
      <c r="Y66" s="628">
        <f t="shared" si="0"/>
        <v>162</v>
      </c>
      <c r="Z66" s="36">
        <f>IFERROR(IF(Y66=0,"",ROUNDUP(Y66/H66,0)*0.00902),"")</f>
        <v>0.32472000000000001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167.79777777777778</v>
      </c>
      <c r="BN66" s="64">
        <f t="shared" si="2"/>
        <v>168.84000000000003</v>
      </c>
      <c r="BO66" s="64">
        <f t="shared" si="3"/>
        <v>0.27104377104377103</v>
      </c>
      <c r="BP66" s="64">
        <f t="shared" si="4"/>
        <v>0.27272727272727271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38.902777777777779</v>
      </c>
      <c r="Y67" s="629">
        <f>IFERROR(Y59/H59,"0")+IFERROR(Y60/H60,"0")+IFERROR(Y61/H61,"0")+IFERROR(Y62/H62,"0")+IFERROR(Y63/H63,"0")+IFERROR(Y64/H64,"0")+IFERROR(Y65/H65,"0")+IFERROR(Y66/H66,"0")</f>
        <v>40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0.40064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196</v>
      </c>
      <c r="Y68" s="629">
        <f>IFERROR(SUM(Y59:Y66),"0")</f>
        <v>206.8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35</v>
      </c>
      <c r="Y77" s="628">
        <f>IFERROR(IF(X77="",0,CEILING((X77/$H77),1)*$H77),"")</f>
        <v>36</v>
      </c>
      <c r="Z77" s="36">
        <f>IFERROR(IF(Y77=0,"",ROUNDUP(Y77/H77,0)*0.00651),"")</f>
        <v>0.13020000000000001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39.783333333333331</v>
      </c>
      <c r="BN77" s="64">
        <f>IFERROR(Y77*I77/H77,"0")</f>
        <v>40.919999999999995</v>
      </c>
      <c r="BO77" s="64">
        <f>IFERROR(1/J77*(X77/H77),"0")</f>
        <v>0.10683760683760683</v>
      </c>
      <c r="BP77" s="64">
        <f>IFERROR(1/J77*(Y77/H77),"0")</f>
        <v>0.1098901098901099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19.444444444444443</v>
      </c>
      <c r="Y79" s="629">
        <f>IFERROR(Y77/H77,"0")+IFERROR(Y78/H78,"0")</f>
        <v>20</v>
      </c>
      <c r="Z79" s="629">
        <f>IFERROR(IF(Z77="",0,Z77),"0")+IFERROR(IF(Z78="",0,Z78),"0")</f>
        <v>0.13020000000000001</v>
      </c>
      <c r="AA79" s="630"/>
      <c r="AB79" s="630"/>
      <c r="AC79" s="630"/>
    </row>
    <row r="80" spans="1:68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35</v>
      </c>
      <c r="Y80" s="629">
        <f>IFERROR(SUM(Y77:Y78),"0")</f>
        <v>36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277</v>
      </c>
      <c r="Y82" s="628">
        <f>IFERROR(IF(X82="",0,CEILING((X82/$H82),1)*$H82),"")</f>
        <v>280.8</v>
      </c>
      <c r="Z82" s="36">
        <f>IFERROR(IF(Y82=0,"",ROUNDUP(Y82/H82,0)*0.01898),"")</f>
        <v>0.68328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291.56025641025644</v>
      </c>
      <c r="BN82" s="64">
        <f>IFERROR(Y82*I82/H82,"0")</f>
        <v>295.56000000000006</v>
      </c>
      <c r="BO82" s="64">
        <f>IFERROR(1/J82*(X82/H82),"0")</f>
        <v>0.55488782051282048</v>
      </c>
      <c r="BP82" s="64">
        <f>IFERROR(1/J82*(Y82/H82),"0")</f>
        <v>0.5625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35.512820512820511</v>
      </c>
      <c r="Y84" s="629">
        <f>IFERROR(Y82/H82,"0")+IFERROR(Y83/H83,"0")</f>
        <v>36</v>
      </c>
      <c r="Z84" s="629">
        <f>IFERROR(IF(Z82="",0,Z82),"0")+IFERROR(IF(Z83="",0,Z83),"0")</f>
        <v>0.68328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277</v>
      </c>
      <c r="Y85" s="629">
        <f>IFERROR(SUM(Y82:Y83),"0")</f>
        <v>280.8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322</v>
      </c>
      <c r="Y88" s="628">
        <f>IFERROR(IF(X88="",0,CEILING((X88/$H88),1)*$H88),"")</f>
        <v>324</v>
      </c>
      <c r="Z88" s="36">
        <f>IFERROR(IF(Y88=0,"",ROUNDUP(Y88/H88,0)*0.01898),"")</f>
        <v>0.56940000000000002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334.22407407407411</v>
      </c>
      <c r="BN88" s="64">
        <f>IFERROR(Y88*I88/H88,"0")</f>
        <v>336.3</v>
      </c>
      <c r="BO88" s="64">
        <f>IFERROR(1/J88*(X88/H88),"0")</f>
        <v>0.46585648148148145</v>
      </c>
      <c r="BP88" s="64">
        <f>IFERROR(1/J88*(Y88/H88),"0")</f>
        <v>0.46874999999999994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18</v>
      </c>
      <c r="Y89" s="628">
        <f>IFERROR(IF(X89="",0,CEILING((X89/$H89),1)*$H89),"")</f>
        <v>18.7</v>
      </c>
      <c r="Z89" s="36">
        <f>IFERROR(IF(Y89=0,"",ROUNDUP(Y89/H89,0)*0.00726),"")</f>
        <v>7.986E-2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19.058823529411764</v>
      </c>
      <c r="BN89" s="64">
        <f>IFERROR(Y89*I89/H89,"0")</f>
        <v>19.799999999999997</v>
      </c>
      <c r="BO89" s="64">
        <f>IFERROR(1/J89*(X89/H89),"0")</f>
        <v>5.514705882352941E-2</v>
      </c>
      <c r="BP89" s="64">
        <f>IFERROR(1/J89*(Y89/H89),"0")</f>
        <v>5.7291666666666664E-2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40.403050108932462</v>
      </c>
      <c r="Y92" s="629">
        <f>IFERROR(Y88/H88,"0")+IFERROR(Y89/H89,"0")+IFERROR(Y90/H90,"0")+IFERROR(Y91/H91,"0")</f>
        <v>41</v>
      </c>
      <c r="Z92" s="629">
        <f>IFERROR(IF(Z88="",0,Z88),"0")+IFERROR(IF(Z89="",0,Z89),"0")+IFERROR(IF(Z90="",0,Z90),"0")+IFERROR(IF(Z91="",0,Z91),"0")</f>
        <v>0.64926000000000006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340</v>
      </c>
      <c r="Y93" s="629">
        <f>IFERROR(SUM(Y88:Y91),"0")</f>
        <v>342.7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497</v>
      </c>
      <c r="Y95" s="628">
        <f>IFERROR(IF(X95="",0,CEILING((X95/$H95),1)*$H95),"")</f>
        <v>502.2</v>
      </c>
      <c r="Z95" s="36">
        <f>IFERROR(IF(Y95=0,"",ROUNDUP(Y95/H95,0)*0.01898),"")</f>
        <v>1.17676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527.31086419753092</v>
      </c>
      <c r="BN95" s="64">
        <f>IFERROR(Y95*I95/H95,"0")</f>
        <v>532.82799999999997</v>
      </c>
      <c r="BO95" s="64">
        <f>IFERROR(1/J95*(X95/H95),"0")</f>
        <v>0.95871913580246915</v>
      </c>
      <c r="BP95" s="64">
        <f>IFERROR(1/J95*(Y95/H95),"0")</f>
        <v>0.96875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429</v>
      </c>
      <c r="Y97" s="628">
        <f>IFERROR(IF(X97="",0,CEILING((X97/$H97),1)*$H97),"")</f>
        <v>429.3</v>
      </c>
      <c r="Z97" s="36">
        <f>IFERROR(IF(Y97=0,"",ROUNDUP(Y97/H97,0)*0.00651),"")</f>
        <v>1.0350900000000001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469.03999999999991</v>
      </c>
      <c r="BN97" s="64">
        <f>IFERROR(Y97*I97/H97,"0")</f>
        <v>469.36799999999994</v>
      </c>
      <c r="BO97" s="64">
        <f>IFERROR(1/J97*(X97/H97),"0")</f>
        <v>0.87301587301587302</v>
      </c>
      <c r="BP97" s="64">
        <f>IFERROR(1/J97*(Y97/H97),"0")</f>
        <v>0.87362637362637374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220.24691358024691</v>
      </c>
      <c r="Y99" s="629">
        <f>IFERROR(Y95/H95,"0")+IFERROR(Y96/H96,"0")+IFERROR(Y97/H97,"0")+IFERROR(Y98/H98,"0")</f>
        <v>221</v>
      </c>
      <c r="Z99" s="629">
        <f>IFERROR(IF(Z95="",0,Z95),"0")+IFERROR(IF(Z96="",0,Z96),"0")+IFERROR(IF(Z97="",0,Z97),"0")+IFERROR(IF(Z98="",0,Z98),"0")</f>
        <v>2.2118500000000001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926</v>
      </c>
      <c r="Y100" s="629">
        <f>IFERROR(SUM(Y95:Y98),"0")</f>
        <v>931.5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278</v>
      </c>
      <c r="Y103" s="628">
        <f t="shared" ref="Y103:Y108" si="5">IFERROR(IF(X103="",0,CEILING((X103/$H103),1)*$H103),"")</f>
        <v>280.8</v>
      </c>
      <c r="Z103" s="36">
        <f>IFERROR(IF(Y103=0,"",ROUNDUP(Y103/H103,0)*0.01898),"")</f>
        <v>0.49348000000000003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288.55370370370372</v>
      </c>
      <c r="BN103" s="64">
        <f t="shared" ref="BN103:BN108" si="7">IFERROR(Y103*I103/H103,"0")</f>
        <v>291.46000000000004</v>
      </c>
      <c r="BO103" s="64">
        <f t="shared" ref="BO103:BO108" si="8">IFERROR(1/J103*(X103/H103),"0")</f>
        <v>0.40219907407407407</v>
      </c>
      <c r="BP103" s="64">
        <f t="shared" ref="BP103:BP108" si="9">IFERROR(1/J103*(Y103/H103),"0")</f>
        <v>0.40625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9</v>
      </c>
      <c r="Y104" s="628">
        <f t="shared" si="5"/>
        <v>9.9</v>
      </c>
      <c r="Z104" s="36">
        <f>IFERROR(IF(Y104=0,"",ROUNDUP(Y104/H104,0)*0.00726),"")</f>
        <v>6.5339999999999995E-2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10.718181818181819</v>
      </c>
      <c r="BN104" s="64">
        <f t="shared" si="7"/>
        <v>11.790000000000001</v>
      </c>
      <c r="BO104" s="64">
        <f t="shared" si="8"/>
        <v>4.261363636363636E-2</v>
      </c>
      <c r="BP104" s="64">
        <f t="shared" si="9"/>
        <v>4.6875E-2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212</v>
      </c>
      <c r="Y107" s="628">
        <f t="shared" si="5"/>
        <v>216</v>
      </c>
      <c r="Z107" s="36">
        <f>IFERROR(IF(Y107=0,"",ROUNDUP(Y107/H107,0)*0.00902),"")</f>
        <v>0.43296000000000001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220.95111111111112</v>
      </c>
      <c r="BN107" s="64">
        <f t="shared" si="7"/>
        <v>225.12</v>
      </c>
      <c r="BO107" s="64">
        <f t="shared" si="8"/>
        <v>0.35690235690235694</v>
      </c>
      <c r="BP107" s="64">
        <f t="shared" si="9"/>
        <v>0.36363636363636365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81.033670033670035</v>
      </c>
      <c r="Y109" s="629">
        <f>IFERROR(Y103/H103,"0")+IFERROR(Y104/H104,"0")+IFERROR(Y105/H105,"0")+IFERROR(Y106/H106,"0")+IFERROR(Y107/H107,"0")+IFERROR(Y108/H108,"0")</f>
        <v>83</v>
      </c>
      <c r="Z109" s="629">
        <f>IFERROR(IF(Z103="",0,Z103),"0")+IFERROR(IF(Z104="",0,Z104),"0")+IFERROR(IF(Z105="",0,Z105),"0")+IFERROR(IF(Z106="",0,Z106),"0")+IFERROR(IF(Z107="",0,Z107),"0")+IFERROR(IF(Z108="",0,Z108),"0")</f>
        <v>0.99177999999999999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499</v>
      </c>
      <c r="Y110" s="629">
        <f>IFERROR(SUM(Y103:Y108),"0")</f>
        <v>506.7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25</v>
      </c>
      <c r="Y112" s="628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25.949074074074073</v>
      </c>
      <c r="BN112" s="64">
        <f>IFERROR(Y112*I112/H112,"0")</f>
        <v>33.630000000000003</v>
      </c>
      <c r="BO112" s="64">
        <f>IFERROR(1/J112*(X112/H112),"0")</f>
        <v>3.6168981481481483E-2</v>
      </c>
      <c r="BP112" s="64">
        <f>IFERROR(1/J112*(Y112/H112),"0")</f>
        <v>4.6875000000000007E-2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25</v>
      </c>
      <c r="Y116" s="628">
        <f>IFERROR(IF(X116="",0,CEILING((X116/$H116),1)*$H116),"")</f>
        <v>26.4</v>
      </c>
      <c r="Z116" s="36">
        <f>IFERROR(IF(Y116=0,"",ROUNDUP(Y116/H116,0)*0.00651),"")</f>
        <v>7.1610000000000007E-2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26.875</v>
      </c>
      <c r="BN116" s="64">
        <f>IFERROR(Y116*I116/H116,"0")</f>
        <v>28.38</v>
      </c>
      <c r="BO116" s="64">
        <f>IFERROR(1/J116*(X116/H116),"0")</f>
        <v>5.7234432234432246E-2</v>
      </c>
      <c r="BP116" s="64">
        <f>IFERROR(1/J116*(Y116/H116),"0")</f>
        <v>6.0439560439560447E-2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12.731481481481483</v>
      </c>
      <c r="Y117" s="629">
        <f>IFERROR(Y112/H112,"0")+IFERROR(Y113/H113,"0")+IFERROR(Y114/H114,"0")+IFERROR(Y115/H115,"0")+IFERROR(Y116/H116,"0")</f>
        <v>14</v>
      </c>
      <c r="Z117" s="629">
        <f>IFERROR(IF(Z112="",0,Z112),"0")+IFERROR(IF(Z113="",0,Z113),"0")+IFERROR(IF(Z114="",0,Z114),"0")+IFERROR(IF(Z115="",0,Z115),"0")+IFERROR(IF(Z116="",0,Z116),"0")</f>
        <v>0.12855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50</v>
      </c>
      <c r="Y118" s="629">
        <f>IFERROR(SUM(Y112:Y116),"0")</f>
        <v>58.800000000000004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944</v>
      </c>
      <c r="Y120" s="628">
        <f>IFERROR(IF(X120="",0,CEILING((X120/$H120),1)*$H120),"")</f>
        <v>947.69999999999993</v>
      </c>
      <c r="Z120" s="36">
        <f>IFERROR(IF(Y120=0,"",ROUNDUP(Y120/H120,0)*0.01898),"")</f>
        <v>2.2206600000000001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1000.873086419753</v>
      </c>
      <c r="BN120" s="64">
        <f>IFERROR(Y120*I120/H120,"0")</f>
        <v>1004.7959999999998</v>
      </c>
      <c r="BO120" s="64">
        <f>IFERROR(1/J120*(X120/H120),"0")</f>
        <v>1.8209876543209877</v>
      </c>
      <c r="BP120" s="64">
        <f>IFERROR(1/J120*(Y120/H120),"0")</f>
        <v>1.828125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368</v>
      </c>
      <c r="Y122" s="628">
        <f>IFERROR(IF(X122="",0,CEILING((X122/$H122),1)*$H122),"")</f>
        <v>369.90000000000003</v>
      </c>
      <c r="Z122" s="36">
        <f>IFERROR(IF(Y122=0,"",ROUNDUP(Y122/H122,0)*0.00651),"")</f>
        <v>0.89187000000000005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402.34666666666664</v>
      </c>
      <c r="BN122" s="64">
        <f>IFERROR(Y122*I122/H122,"0")</f>
        <v>404.42399999999998</v>
      </c>
      <c r="BO122" s="64">
        <f>IFERROR(1/J122*(X122/H122),"0")</f>
        <v>0.74888074888074885</v>
      </c>
      <c r="BP122" s="64">
        <f>IFERROR(1/J122*(Y122/H122),"0")</f>
        <v>0.75274725274725285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252.83950617283949</v>
      </c>
      <c r="Y124" s="629">
        <f>IFERROR(Y120/H120,"0")+IFERROR(Y121/H121,"0")+IFERROR(Y122/H122,"0")+IFERROR(Y123/H123,"0")</f>
        <v>254</v>
      </c>
      <c r="Z124" s="629">
        <f>IFERROR(IF(Z120="",0,Z120),"0")+IFERROR(IF(Z121="",0,Z121),"0")+IFERROR(IF(Z122="",0,Z122),"0")+IFERROR(IF(Z123="",0,Z123),"0")</f>
        <v>3.11253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1312</v>
      </c>
      <c r="Y125" s="629">
        <f>IFERROR(SUM(Y120:Y123),"0")</f>
        <v>1317.6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130</v>
      </c>
      <c r="Y127" s="628">
        <f>IFERROR(IF(X127="",0,CEILING((X127/$H127),1)*$H127),"")</f>
        <v>130.68</v>
      </c>
      <c r="Z127" s="36">
        <f>IFERROR(IF(Y127=0,"",ROUNDUP(Y127/H127,0)*0.00651),"")</f>
        <v>0.42965999999999999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146.93939393939394</v>
      </c>
      <c r="BN127" s="64">
        <f>IFERROR(Y127*I127/H127,"0")</f>
        <v>147.708</v>
      </c>
      <c r="BO127" s="64">
        <f>IFERROR(1/J127*(X127/H127),"0")</f>
        <v>0.36075036075036082</v>
      </c>
      <c r="BP127" s="64">
        <f>IFERROR(1/J127*(Y127/H127),"0")</f>
        <v>0.36263736263736268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65.656565656565661</v>
      </c>
      <c r="Y128" s="629">
        <f>IFERROR(Y127/H127,"0")</f>
        <v>66</v>
      </c>
      <c r="Z128" s="629">
        <f>IFERROR(IF(Z127="",0,Z127),"0")</f>
        <v>0.42965999999999999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130</v>
      </c>
      <c r="Y129" s="629">
        <f>IFERROR(SUM(Y127:Y127),"0")</f>
        <v>130.68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161</v>
      </c>
      <c r="Y177" s="628">
        <f t="shared" ref="Y177:Y187" si="10">IFERROR(IF(X177="",0,CEILING((X177/$H177),1)*$H177),"")</f>
        <v>161</v>
      </c>
      <c r="Z177" s="36">
        <f>IFERROR(IF(Y177=0,"",ROUNDUP(Y177/H177,0)*0.00902),"")</f>
        <v>0.41492000000000001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169.74</v>
      </c>
      <c r="BN177" s="64">
        <f t="shared" ref="BN177:BN187" si="12">IFERROR(Y177*I177/H177,"0")</f>
        <v>169.74</v>
      </c>
      <c r="BO177" s="64">
        <f t="shared" ref="BO177:BO187" si="13">IFERROR(1/J177*(X177/H177),"0")</f>
        <v>0.34848484848484851</v>
      </c>
      <c r="BP177" s="64">
        <f t="shared" ref="BP177:BP187" si="14">IFERROR(1/J177*(Y177/H177),"0")</f>
        <v>0.34848484848484851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148</v>
      </c>
      <c r="Y179" s="628">
        <f t="shared" si="10"/>
        <v>150.5</v>
      </c>
      <c r="Z179" s="36">
        <f>IFERROR(IF(Y179=0,"",ROUNDUP(Y179/H179,0)*0.00902),"")</f>
        <v>0.38785999999999998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156.03428571428572</v>
      </c>
      <c r="BN179" s="64">
        <f t="shared" si="12"/>
        <v>158.67000000000002</v>
      </c>
      <c r="BO179" s="64">
        <f t="shared" si="13"/>
        <v>0.32034632034632032</v>
      </c>
      <c r="BP179" s="64">
        <f t="shared" si="14"/>
        <v>0.32575757575757575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80</v>
      </c>
      <c r="Y180" s="628">
        <f t="shared" si="10"/>
        <v>80.5</v>
      </c>
      <c r="Z180" s="36">
        <f>IFERROR(IF(Y180=0,"",ROUNDUP(Y180/H180,0)*0.00902),"")</f>
        <v>0.20746000000000001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84.342857142857142</v>
      </c>
      <c r="BN180" s="64">
        <f t="shared" si="12"/>
        <v>84.87</v>
      </c>
      <c r="BO180" s="64">
        <f t="shared" si="13"/>
        <v>0.17316017316017318</v>
      </c>
      <c r="BP180" s="64">
        <f t="shared" si="14"/>
        <v>0.17424242424242425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85</v>
      </c>
      <c r="Y182" s="628">
        <f t="shared" si="10"/>
        <v>85.679999999999993</v>
      </c>
      <c r="Z182" s="36">
        <f>IFERROR(IF(Y182=0,"",ROUNDUP(Y182/H182,0)*0.00502),"")</f>
        <v>0.25602000000000003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90.059523809523824</v>
      </c>
      <c r="BN182" s="64">
        <f t="shared" si="12"/>
        <v>90.779999999999987</v>
      </c>
      <c r="BO182" s="64">
        <f t="shared" si="13"/>
        <v>0.21621896621896625</v>
      </c>
      <c r="BP182" s="64">
        <f t="shared" si="14"/>
        <v>0.21794871794871798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2</v>
      </c>
      <c r="Y183" s="628">
        <f t="shared" si="10"/>
        <v>2.7</v>
      </c>
      <c r="Z183" s="36">
        <f>IFERROR(IF(Y183=0,"",ROUNDUP(Y183/H183,0)*0.00417),"")</f>
        <v>1.251E-2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2.4666666666666668</v>
      </c>
      <c r="BN183" s="64">
        <f t="shared" si="12"/>
        <v>3.33</v>
      </c>
      <c r="BO183" s="64">
        <f t="shared" si="13"/>
        <v>6.6137566137566134E-3</v>
      </c>
      <c r="BP183" s="64">
        <f t="shared" si="14"/>
        <v>8.9285714285714281E-3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65</v>
      </c>
      <c r="Y185" s="628">
        <f t="shared" si="10"/>
        <v>65.52</v>
      </c>
      <c r="Z185" s="36">
        <f>IFERROR(IF(Y185=0,"",ROUNDUP(Y185/H185,0)*0.00502),"")</f>
        <v>0.19578000000000001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68.86904761904762</v>
      </c>
      <c r="BN185" s="64">
        <f t="shared" si="12"/>
        <v>69.42</v>
      </c>
      <c r="BO185" s="64">
        <f t="shared" si="13"/>
        <v>0.16534391534391535</v>
      </c>
      <c r="BP185" s="64">
        <f t="shared" si="14"/>
        <v>0.16666666666666669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134</v>
      </c>
      <c r="Y187" s="628">
        <f t="shared" si="10"/>
        <v>134.4</v>
      </c>
      <c r="Z187" s="36">
        <f>IFERROR(IF(Y187=0,"",ROUNDUP(Y187/H187,0)*0.00502),"")</f>
        <v>0.40160000000000001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141.97619047619048</v>
      </c>
      <c r="BN187" s="64">
        <f t="shared" si="12"/>
        <v>142.40000000000003</v>
      </c>
      <c r="BO187" s="64">
        <f t="shared" si="13"/>
        <v>0.34086284086284091</v>
      </c>
      <c r="BP187" s="64">
        <f t="shared" si="14"/>
        <v>0.34188034188034189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282.41269841269843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285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1.87615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675</v>
      </c>
      <c r="Y189" s="629">
        <f>IFERROR(SUM(Y177:Y187),"0")</f>
        <v>680.3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16</v>
      </c>
      <c r="Y193" s="628">
        <f>IFERROR(IF(X193="",0,CEILING((X193/$H193),1)*$H193),"")</f>
        <v>16.2</v>
      </c>
      <c r="Z193" s="36">
        <f>IFERROR(IF(Y193=0,"",ROUNDUP(Y193/H193,0)*0.00651),"")</f>
        <v>5.8590000000000003E-2</v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18.293333333333333</v>
      </c>
      <c r="BN193" s="64">
        <f>IFERROR(Y193*I193/H193,"0")</f>
        <v>18.521999999999998</v>
      </c>
      <c r="BO193" s="64">
        <f>IFERROR(1/J193*(X193/H193),"0")</f>
        <v>4.8840048840048847E-2</v>
      </c>
      <c r="BP193" s="64">
        <f>IFERROR(1/J193*(Y193/H193),"0")</f>
        <v>4.9450549450549455E-2</v>
      </c>
    </row>
    <row r="194" spans="1:68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8.8888888888888893</v>
      </c>
      <c r="Y194" s="629">
        <f>IFERROR(Y191/H191,"0")+IFERROR(Y192/H192,"0")+IFERROR(Y193/H193,"0")</f>
        <v>9</v>
      </c>
      <c r="Z194" s="629">
        <f>IFERROR(IF(Z191="",0,Z191),"0")+IFERROR(IF(Z192="",0,Z192),"0")+IFERROR(IF(Z193="",0,Z193),"0")</f>
        <v>5.8590000000000003E-2</v>
      </c>
      <c r="AA194" s="630"/>
      <c r="AB194" s="630"/>
      <c r="AC194" s="630"/>
    </row>
    <row r="195" spans="1:68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16</v>
      </c>
      <c r="Y195" s="629">
        <f>IFERROR(SUM(Y191:Y193),"0")</f>
        <v>16.2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15</v>
      </c>
      <c r="Y225" s="628">
        <f t="shared" si="21"/>
        <v>16.8</v>
      </c>
      <c r="Z225" s="36">
        <f>IFERROR(IF(Y225=0,"",ROUNDUP(Y225/H225,0)*0.00902),"")</f>
        <v>3.6080000000000001E-2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15.678571428571427</v>
      </c>
      <c r="BN225" s="64">
        <f t="shared" si="23"/>
        <v>17.559999999999999</v>
      </c>
      <c r="BO225" s="64">
        <f t="shared" si="24"/>
        <v>2.7056277056277056E-2</v>
      </c>
      <c r="BP225" s="64">
        <f t="shared" si="25"/>
        <v>3.0303030303030304E-2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15</v>
      </c>
      <c r="Y226" s="628">
        <f t="shared" si="21"/>
        <v>15.200000000000001</v>
      </c>
      <c r="Z226" s="36">
        <f>IFERROR(IF(Y226=0,"",ROUNDUP(Y226/H226,0)*0.00556),"")</f>
        <v>0.10564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17.4375</v>
      </c>
      <c r="BN226" s="64">
        <f t="shared" si="23"/>
        <v>17.670000000000002</v>
      </c>
      <c r="BO226" s="64">
        <f t="shared" si="24"/>
        <v>7.4404761904761904E-2</v>
      </c>
      <c r="BP226" s="64">
        <f t="shared" si="25"/>
        <v>7.5396825396825393E-2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46</v>
      </c>
      <c r="Y227" s="628">
        <f t="shared" si="21"/>
        <v>46.2</v>
      </c>
      <c r="Z227" s="36">
        <f t="shared" ref="Z227:Z232" si="26">IFERROR(IF(Y227=0,"",ROUNDUP(Y227/H227,0)*0.00502),"")</f>
        <v>0.11044000000000001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48.847619047619048</v>
      </c>
      <c r="BN227" s="64">
        <f t="shared" si="23"/>
        <v>49.06</v>
      </c>
      <c r="BO227" s="64">
        <f t="shared" si="24"/>
        <v>9.361009361009362E-2</v>
      </c>
      <c r="BP227" s="64">
        <f t="shared" si="25"/>
        <v>9.401709401709403E-2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8</v>
      </c>
      <c r="Y232" s="628">
        <f t="shared" si="21"/>
        <v>9</v>
      </c>
      <c r="Z232" s="36">
        <f t="shared" si="26"/>
        <v>2.5100000000000001E-2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8.5777777777777775</v>
      </c>
      <c r="BN232" s="64">
        <f t="shared" si="23"/>
        <v>9.65</v>
      </c>
      <c r="BO232" s="64">
        <f t="shared" si="24"/>
        <v>1.8993352326685663E-2</v>
      </c>
      <c r="BP232" s="64">
        <f t="shared" si="25"/>
        <v>2.1367521367521368E-2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11</v>
      </c>
      <c r="Y233" s="628">
        <f t="shared" si="21"/>
        <v>11.200000000000001</v>
      </c>
      <c r="Z233" s="36">
        <f>IFERROR(IF(Y233=0,"",ROUNDUP(Y233/H233,0)*0.00417),"")</f>
        <v>5.8380000000000001E-2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13.887499999999999</v>
      </c>
      <c r="BN233" s="64">
        <f t="shared" si="23"/>
        <v>14.14</v>
      </c>
      <c r="BO233" s="64">
        <f t="shared" si="24"/>
        <v>4.0922619047619048E-2</v>
      </c>
      <c r="BP233" s="64">
        <f t="shared" si="25"/>
        <v>4.1666666666666664E-2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49</v>
      </c>
      <c r="Y234" s="628">
        <f t="shared" si="21"/>
        <v>50.400000000000006</v>
      </c>
      <c r="Z234" s="36">
        <f>IFERROR(IF(Y234=0,"",ROUNDUP(Y234/H234,0)*0.00502),"")</f>
        <v>0.12048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51.333333333333336</v>
      </c>
      <c r="BN234" s="64">
        <f t="shared" si="23"/>
        <v>52.800000000000011</v>
      </c>
      <c r="BO234" s="64">
        <f t="shared" si="24"/>
        <v>9.9715099715099717E-2</v>
      </c>
      <c r="BP234" s="64">
        <f t="shared" si="25"/>
        <v>0.10256410256410257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85.753968253968253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88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0.45612000000000008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144</v>
      </c>
      <c r="Y238" s="629">
        <f>IFERROR(SUM(Y223:Y236),"0")</f>
        <v>148.80000000000001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6</v>
      </c>
      <c r="Y249" s="628">
        <f>IFERROR(IF(X249="",0,CEILING((X249/$H249),1)*$H249),"")</f>
        <v>6.3</v>
      </c>
      <c r="Z249" s="36">
        <f>IFERROR(IF(Y249=0,"",ROUNDUP(Y249/H249,0)*0.0059),"")</f>
        <v>2.9499999999999998E-2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6.9047619047619042</v>
      </c>
      <c r="BN249" s="64">
        <f>IFERROR(Y249*I249/H249,"0")</f>
        <v>7.25</v>
      </c>
      <c r="BO249" s="64">
        <f>IFERROR(1/J249*(X249/H249),"0")</f>
        <v>2.2045855379188711E-2</v>
      </c>
      <c r="BP249" s="64">
        <f>IFERROR(1/J249*(Y249/H249),"0")</f>
        <v>2.3148148148148147E-2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4</v>
      </c>
      <c r="Y250" s="628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7.9365079365079367</v>
      </c>
      <c r="Y251" s="629">
        <f>IFERROR(Y248/H248,"0")+IFERROR(Y249/H249,"0")+IFERROR(Y250/H250,"0")</f>
        <v>9</v>
      </c>
      <c r="Z251" s="629">
        <f>IFERROR(IF(Z248="",0,Z248),"0")+IFERROR(IF(Z249="",0,Z249),"0")+IFERROR(IF(Z250="",0,Z250),"0")</f>
        <v>5.3099999999999994E-2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10</v>
      </c>
      <c r="Y252" s="629">
        <f>IFERROR(SUM(Y248:Y250),"0")</f>
        <v>11.34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3</v>
      </c>
      <c r="Y254" s="62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2.3809523809523809</v>
      </c>
      <c r="Y255" s="629">
        <f>IFERROR(Y254/H254,"0")</f>
        <v>3</v>
      </c>
      <c r="Z255" s="629">
        <f>IFERROR(IF(Z254="",0,Z254),"0")</f>
        <v>1.77E-2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3</v>
      </c>
      <c r="Y256" s="629">
        <f>IFERROR(SUM(Y254:Y254),"0")</f>
        <v>3.7800000000000002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111</v>
      </c>
      <c r="Y269" s="628">
        <f t="shared" ref="Y269:Y276" si="27">IFERROR(IF(X269="",0,CEILING((X269/$H269),1)*$H269),"")</f>
        <v>113.4</v>
      </c>
      <c r="Z269" s="36">
        <f>IFERROR(IF(Y269=0,"",ROUNDUP(Y269/H269,0)*0.00902),"")</f>
        <v>0.18942000000000001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114.90555555555555</v>
      </c>
      <c r="BN269" s="64">
        <f t="shared" ref="BN269:BN276" si="29">IFERROR(Y269*I269/H269,"0")</f>
        <v>117.39</v>
      </c>
      <c r="BO269" s="64">
        <f t="shared" ref="BO269:BO276" si="30">IFERROR(1/J269*(X269/H269),"0")</f>
        <v>0.15572390572390571</v>
      </c>
      <c r="BP269" s="64">
        <f t="shared" ref="BP269:BP276" si="31">IFERROR(1/J269*(Y269/H269),"0")</f>
        <v>0.15909090909090909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40</v>
      </c>
      <c r="Y270" s="628">
        <f t="shared" si="27"/>
        <v>43.2</v>
      </c>
      <c r="Z270" s="36">
        <f>IFERROR(IF(Y270=0,"",ROUNDUP(Y270/H270,0)*0.00902),"")</f>
        <v>7.2160000000000002E-2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41.407407407407405</v>
      </c>
      <c r="BN270" s="64">
        <f t="shared" si="29"/>
        <v>44.72</v>
      </c>
      <c r="BO270" s="64">
        <f t="shared" si="30"/>
        <v>5.6116722783389444E-2</v>
      </c>
      <c r="BP270" s="64">
        <f t="shared" si="31"/>
        <v>6.0606060606060608E-2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95</v>
      </c>
      <c r="Y271" s="628">
        <f t="shared" si="27"/>
        <v>97.2</v>
      </c>
      <c r="Z271" s="36">
        <f>IFERROR(IF(Y271=0,"",ROUNDUP(Y271/H271,0)*0.00902),"")</f>
        <v>0.16236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98.342592592592581</v>
      </c>
      <c r="BN271" s="64">
        <f t="shared" si="29"/>
        <v>100.61999999999999</v>
      </c>
      <c r="BO271" s="64">
        <f t="shared" si="30"/>
        <v>0.13327721661054995</v>
      </c>
      <c r="BP271" s="64">
        <f t="shared" si="31"/>
        <v>0.13636363636363635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73</v>
      </c>
      <c r="Y272" s="628">
        <f t="shared" si="27"/>
        <v>75.600000000000009</v>
      </c>
      <c r="Z272" s="36">
        <f>IFERROR(IF(Y272=0,"",ROUNDUP(Y272/H272,0)*0.00902),"")</f>
        <v>0.12628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75.568518518518516</v>
      </c>
      <c r="BN272" s="64">
        <f t="shared" si="29"/>
        <v>78.260000000000005</v>
      </c>
      <c r="BO272" s="64">
        <f t="shared" si="30"/>
        <v>0.10241301907968574</v>
      </c>
      <c r="BP272" s="64">
        <f t="shared" si="31"/>
        <v>0.10606060606060606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32</v>
      </c>
      <c r="Y273" s="628">
        <f t="shared" si="27"/>
        <v>32.4</v>
      </c>
      <c r="Z273" s="36">
        <f>IFERROR(IF(Y273=0,"",ROUNDUP(Y273/H273,0)*0.00502),"")</f>
        <v>9.0359999999999996E-2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34.31111111111111</v>
      </c>
      <c r="BN273" s="64">
        <f t="shared" si="29"/>
        <v>34.739999999999995</v>
      </c>
      <c r="BO273" s="64">
        <f t="shared" si="30"/>
        <v>7.5973409306742651E-2</v>
      </c>
      <c r="BP273" s="64">
        <f t="shared" si="31"/>
        <v>7.6923076923076927E-2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9</v>
      </c>
      <c r="Y274" s="628">
        <f t="shared" si="27"/>
        <v>9</v>
      </c>
      <c r="Z274" s="36">
        <f>IFERROR(IF(Y274=0,"",ROUNDUP(Y274/H274,0)*0.00502),"")</f>
        <v>2.5100000000000001E-2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9.4999999999999982</v>
      </c>
      <c r="BN274" s="64">
        <f t="shared" si="29"/>
        <v>9.4999999999999982</v>
      </c>
      <c r="BO274" s="64">
        <f t="shared" si="30"/>
        <v>2.1367521367521368E-2</v>
      </c>
      <c r="BP274" s="64">
        <f t="shared" si="31"/>
        <v>2.1367521367521368E-2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12</v>
      </c>
      <c r="Y276" s="628">
        <f t="shared" si="27"/>
        <v>12.6</v>
      </c>
      <c r="Z276" s="36">
        <f>IFERROR(IF(Y276=0,"",ROUNDUP(Y276/H276,0)*0.00502),"")</f>
        <v>3.5140000000000005E-2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12.666666666666664</v>
      </c>
      <c r="BN276" s="64">
        <f t="shared" si="29"/>
        <v>13.299999999999999</v>
      </c>
      <c r="BO276" s="64">
        <f t="shared" si="30"/>
        <v>2.8490028490028491E-2</v>
      </c>
      <c r="BP276" s="64">
        <f t="shared" si="31"/>
        <v>2.9914529914529919E-2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88.518518518518519</v>
      </c>
      <c r="Y277" s="629">
        <f>IFERROR(Y269/H269,"0")+IFERROR(Y270/H270,"0")+IFERROR(Y271/H271,"0")+IFERROR(Y272/H272,"0")+IFERROR(Y273/H273,"0")+IFERROR(Y274/H274,"0")+IFERROR(Y275/H275,"0")+IFERROR(Y276/H276,"0")</f>
        <v>91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0.70082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372</v>
      </c>
      <c r="Y278" s="629">
        <f>IFERROR(SUM(Y269:Y276),"0")</f>
        <v>383.40000000000003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150</v>
      </c>
      <c r="Y280" s="628">
        <f t="shared" ref="Y280:Y291" si="32">IFERROR(IF(X280="",0,CEILING((X280/$H280),1)*$H280),"")</f>
        <v>153.9</v>
      </c>
      <c r="Z280" s="36">
        <f>IFERROR(IF(Y280=0,"",ROUNDUP(Y280/H280,0)*0.01898),"")</f>
        <v>0.36062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159.14814814814815</v>
      </c>
      <c r="BN280" s="64">
        <f t="shared" ref="BN280:BN291" si="34">IFERROR(Y280*I280/H280,"0")</f>
        <v>163.286</v>
      </c>
      <c r="BO280" s="64">
        <f t="shared" ref="BO280:BO291" si="35">IFERROR(1/J280*(X280/H280),"0")</f>
        <v>0.28935185185185186</v>
      </c>
      <c r="BP280" s="64">
        <f t="shared" ref="BP280:BP291" si="36">IFERROR(1/J280*(Y280/H280),"0")</f>
        <v>0.296875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150</v>
      </c>
      <c r="Y281" s="628">
        <f t="shared" si="32"/>
        <v>153.9</v>
      </c>
      <c r="Z281" s="36">
        <f>IFERROR(IF(Y281=0,"",ROUNDUP(Y281/H281,0)*0.01898),"")</f>
        <v>0.36062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158.81481481481484</v>
      </c>
      <c r="BN281" s="64">
        <f t="shared" si="34"/>
        <v>162.94400000000002</v>
      </c>
      <c r="BO281" s="64">
        <f t="shared" si="35"/>
        <v>0.28935185185185186</v>
      </c>
      <c r="BP281" s="64">
        <f t="shared" si="36"/>
        <v>0.296875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120</v>
      </c>
      <c r="Y282" s="628">
        <f t="shared" si="32"/>
        <v>121.79999999999998</v>
      </c>
      <c r="Z282" s="36">
        <f>IFERROR(IF(Y282=0,"",ROUNDUP(Y282/H282,0)*0.01898),"")</f>
        <v>0.26572000000000001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126.8137931034483</v>
      </c>
      <c r="BN282" s="64">
        <f t="shared" si="34"/>
        <v>128.71600000000001</v>
      </c>
      <c r="BO282" s="64">
        <f t="shared" si="35"/>
        <v>0.21551724137931036</v>
      </c>
      <c r="BP282" s="64">
        <f t="shared" si="36"/>
        <v>0.21875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463</v>
      </c>
      <c r="Y286" s="628">
        <f t="shared" si="32"/>
        <v>463.2</v>
      </c>
      <c r="Z286" s="36">
        <f>IFERROR(IF(Y286=0,"",ROUNDUP(Y286/H286,0)*0.00651),"")</f>
        <v>1.2564299999999999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511.61500000000001</v>
      </c>
      <c r="BN286" s="64">
        <f t="shared" si="34"/>
        <v>511.83600000000007</v>
      </c>
      <c r="BO286" s="64">
        <f t="shared" si="35"/>
        <v>1.0599816849816852</v>
      </c>
      <c r="BP286" s="64">
        <f t="shared" si="36"/>
        <v>1.0604395604395604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69</v>
      </c>
      <c r="Y289" s="628">
        <f t="shared" si="32"/>
        <v>69.599999999999994</v>
      </c>
      <c r="Z289" s="36">
        <f>IFERROR(IF(Y289=0,"",ROUNDUP(Y289/H289,0)*0.00651),"")</f>
        <v>0.18879000000000001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76.245000000000005</v>
      </c>
      <c r="BN289" s="64">
        <f t="shared" si="34"/>
        <v>76.908000000000001</v>
      </c>
      <c r="BO289" s="64">
        <f t="shared" si="35"/>
        <v>0.15796703296703299</v>
      </c>
      <c r="BP289" s="64">
        <f t="shared" si="36"/>
        <v>0.15934065934065936</v>
      </c>
    </row>
    <row r="290" spans="1:68" ht="27" hidden="1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272.49680715197962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274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2.4321799999999998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952</v>
      </c>
      <c r="Y293" s="629">
        <f>IFERROR(SUM(Y280:Y291),"0")</f>
        <v>962.4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6</v>
      </c>
      <c r="Y295" s="628">
        <f>IFERROR(IF(X295="",0,CEILING((X295/$H295),1)*$H295),"")</f>
        <v>7.1999999999999993</v>
      </c>
      <c r="Z295" s="36">
        <f>IFERROR(IF(Y295=0,"",ROUNDUP(Y295/H295,0)*0.00651),"")</f>
        <v>1.9529999999999999E-2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6.6300000000000008</v>
      </c>
      <c r="BN295" s="64">
        <f>IFERROR(Y295*I295/H295,"0")</f>
        <v>7.9560000000000004</v>
      </c>
      <c r="BO295" s="64">
        <f>IFERROR(1/J295*(X295/H295),"0")</f>
        <v>1.3736263736263738E-2</v>
      </c>
      <c r="BP295" s="64">
        <f>IFERROR(1/J295*(Y295/H295),"0")</f>
        <v>1.6483516483516484E-2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2.5</v>
      </c>
      <c r="Y297" s="629">
        <f>IFERROR(Y295/H295,"0")+IFERROR(Y296/H296,"0")</f>
        <v>3</v>
      </c>
      <c r="Z297" s="629">
        <f>IFERROR(IF(Z295="",0,Z295),"0")+IFERROR(IF(Z296="",0,Z296),"0")</f>
        <v>1.9529999999999999E-2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6</v>
      </c>
      <c r="Y298" s="629">
        <f>IFERROR(SUM(Y295:Y296),"0")</f>
        <v>7.1999999999999993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8</v>
      </c>
      <c r="Y307" s="628">
        <f t="shared" si="37"/>
        <v>8</v>
      </c>
      <c r="Z307" s="36">
        <f>IFERROR(IF(Y307=0,"",ROUNDUP(Y307/H307,0)*0.00902),"")</f>
        <v>1.804E-2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8.3800000000000008</v>
      </c>
      <c r="BN307" s="64">
        <f t="shared" si="39"/>
        <v>8.3800000000000008</v>
      </c>
      <c r="BO307" s="64">
        <f t="shared" si="40"/>
        <v>1.5151515151515152E-2</v>
      </c>
      <c r="BP307" s="64">
        <f t="shared" si="41"/>
        <v>1.5151515151515152E-2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2</v>
      </c>
      <c r="Y308" s="629">
        <f>IFERROR(Y301/H301,"0")+IFERROR(Y302/H302,"0")+IFERROR(Y303/H303,"0")+IFERROR(Y304/H304,"0")+IFERROR(Y305/H305,"0")+IFERROR(Y306/H306,"0")+IFERROR(Y307/H307,"0")</f>
        <v>2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1.804E-2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8</v>
      </c>
      <c r="Y309" s="629">
        <f>IFERROR(SUM(Y301:Y307),"0")</f>
        <v>8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120</v>
      </c>
      <c r="Y336" s="628">
        <f>IFERROR(IF(X336="",0,CEILING((X336/$H336),1)*$H336),"")</f>
        <v>120</v>
      </c>
      <c r="Z336" s="36">
        <f>IFERROR(IF(Y336=0,"",ROUNDUP(Y336/H336,0)*0.00651),"")</f>
        <v>0.32550000000000001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132.60000000000002</v>
      </c>
      <c r="BN336" s="64">
        <f>IFERROR(Y336*I336/H336,"0")</f>
        <v>132.60000000000002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109</v>
      </c>
      <c r="Y337" s="628">
        <f>IFERROR(IF(X337="",0,CEILING((X337/$H337),1)*$H337),"")</f>
        <v>110.39999999999999</v>
      </c>
      <c r="Z337" s="36">
        <f>IFERROR(IF(Y337=0,"",ROUNDUP(Y337/H337,0)*0.00651),"")</f>
        <v>0.29946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117.17500000000001</v>
      </c>
      <c r="BN337" s="64">
        <f>IFERROR(Y337*I337/H337,"0")</f>
        <v>118.68</v>
      </c>
      <c r="BO337" s="64">
        <f>IFERROR(1/J337*(X337/H337),"0")</f>
        <v>0.2495421245421246</v>
      </c>
      <c r="BP337" s="64">
        <f>IFERROR(1/J337*(Y337/H337),"0")</f>
        <v>0.25274725274725279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95.416666666666671</v>
      </c>
      <c r="Y338" s="629">
        <f>IFERROR(Y335/H335,"0")+IFERROR(Y336/H336,"0")+IFERROR(Y337/H337,"0")</f>
        <v>96</v>
      </c>
      <c r="Z338" s="629">
        <f>IFERROR(IF(Z335="",0,Z335),"0")+IFERROR(IF(Z336="",0,Z336),"0")+IFERROR(IF(Z337="",0,Z337),"0")</f>
        <v>0.62495999999999996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229</v>
      </c>
      <c r="Y339" s="629">
        <f>IFERROR(SUM(Y335:Y337),"0")</f>
        <v>230.39999999999998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388</v>
      </c>
      <c r="Y357" s="628">
        <f>IFERROR(IF(X357="",0,CEILING((X357/$H357),1)*$H357),"")</f>
        <v>390</v>
      </c>
      <c r="Z357" s="36">
        <f>IFERROR(IF(Y357=0,"",ROUNDUP(Y357/H357,0)*0.01898),"")</f>
        <v>0.94900000000000007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408.39487179487185</v>
      </c>
      <c r="BN357" s="64">
        <f>IFERROR(Y357*I357/H357,"0")</f>
        <v>410.50000000000006</v>
      </c>
      <c r="BO357" s="64">
        <f>IFERROR(1/J357*(X357/H357),"0")</f>
        <v>0.77724358974358976</v>
      </c>
      <c r="BP357" s="64">
        <f>IFERROR(1/J357*(Y357/H357),"0")</f>
        <v>0.78125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49.743589743589745</v>
      </c>
      <c r="Y359" s="629">
        <f>IFERROR(Y356/H356,"0")+IFERROR(Y357/H357,"0")+IFERROR(Y358/H358,"0")</f>
        <v>50</v>
      </c>
      <c r="Z359" s="629">
        <f>IFERROR(IF(Z356="",0,Z356),"0")+IFERROR(IF(Z357="",0,Z357),"0")+IFERROR(IF(Z358="",0,Z358),"0")</f>
        <v>0.94900000000000007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388</v>
      </c>
      <c r="Y360" s="629">
        <f>IFERROR(SUM(Y356:Y358),"0")</f>
        <v>390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7</v>
      </c>
      <c r="Y364" s="628">
        <f>IFERROR(IF(X364="",0,CEILING((X364/$H364),1)*$H364),"")</f>
        <v>10.8</v>
      </c>
      <c r="Z364" s="36">
        <f>IFERROR(IF(Y364=0,"",ROUNDUP(Y364/H364,0)*0.01898),"")</f>
        <v>1.898E-2</v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7.2657407407407399</v>
      </c>
      <c r="BN364" s="64">
        <f>IFERROR(Y364*I364/H364,"0")</f>
        <v>11.21</v>
      </c>
      <c r="BO364" s="64">
        <f>IFERROR(1/J364*(X364/H364),"0")</f>
        <v>1.0127314814814815E-2</v>
      </c>
      <c r="BP364" s="64">
        <f>IFERROR(1/J364*(Y364/H364),"0")</f>
        <v>1.5625E-2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0.64814814814814814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7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36</v>
      </c>
      <c r="Y372" s="628">
        <f t="shared" si="42"/>
        <v>37.800000000000004</v>
      </c>
      <c r="Z372" s="36">
        <f>IFERROR(IF(Y372=0,"",ROUNDUP(Y372/H372,0)*0.00902),"")</f>
        <v>8.1180000000000002E-2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38.142857142857146</v>
      </c>
      <c r="BN372" s="64">
        <f t="shared" si="44"/>
        <v>40.050000000000004</v>
      </c>
      <c r="BO372" s="64">
        <f t="shared" si="45"/>
        <v>6.4935064935064929E-2</v>
      </c>
      <c r="BP372" s="64">
        <f t="shared" si="46"/>
        <v>6.8181818181818177E-2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13</v>
      </c>
      <c r="Y377" s="628">
        <f t="shared" si="42"/>
        <v>14.4</v>
      </c>
      <c r="Z377" s="36">
        <f>IFERROR(IF(Y377=0,"",ROUNDUP(Y377/H377,0)*0.00651),"")</f>
        <v>5.2080000000000001E-2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14.646666666666667</v>
      </c>
      <c r="BN377" s="64">
        <f t="shared" si="44"/>
        <v>16.224</v>
      </c>
      <c r="BO377" s="64">
        <f t="shared" si="45"/>
        <v>3.9682539682539687E-2</v>
      </c>
      <c r="BP377" s="64">
        <f t="shared" si="46"/>
        <v>4.3956043956043959E-2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15.793650793650794</v>
      </c>
      <c r="Y378" s="629">
        <f>IFERROR(Y371/H371,"0")+IFERROR(Y372/H372,"0")+IFERROR(Y373/H373,"0")+IFERROR(Y374/H374,"0")+IFERROR(Y375/H375,"0")+IFERROR(Y376/H376,"0")+IFERROR(Y377/H377,"0")</f>
        <v>17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0.13325999999999999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49</v>
      </c>
      <c r="Y379" s="629">
        <f>IFERROR(SUM(Y371:Y377),"0")</f>
        <v>52.2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281</v>
      </c>
      <c r="Y389" s="628">
        <f>IFERROR(IF(X389="",0,CEILING((X389/$H389),1)*$H389),"")</f>
        <v>288.59999999999997</v>
      </c>
      <c r="Z389" s="36">
        <f>IFERROR(IF(Y389=0,"",ROUNDUP(Y389/H389,0)*0.01898),"")</f>
        <v>0.70226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298.79666666666668</v>
      </c>
      <c r="BN389" s="64">
        <f>IFERROR(Y389*I389/H389,"0")</f>
        <v>306.87799999999999</v>
      </c>
      <c r="BO389" s="64">
        <f>IFERROR(1/J389*(X389/H389),"0")</f>
        <v>0.56290064102564108</v>
      </c>
      <c r="BP389" s="64">
        <f>IFERROR(1/J389*(Y389/H389),"0")</f>
        <v>0.578125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36.025641025641029</v>
      </c>
      <c r="Y391" s="629">
        <f>IFERROR(Y388/H388,"0")+IFERROR(Y389/H389,"0")+IFERROR(Y390/H390,"0")</f>
        <v>37</v>
      </c>
      <c r="Z391" s="629">
        <f>IFERROR(IF(Z388="",0,Z388),"0")+IFERROR(IF(Z389="",0,Z389),"0")+IFERROR(IF(Z390="",0,Z390),"0")</f>
        <v>0.70226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281</v>
      </c>
      <c r="Y392" s="629">
        <f>IFERROR(SUM(Y388:Y390),"0")</f>
        <v>288.59999999999997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40</v>
      </c>
      <c r="Y396" s="628">
        <f>IFERROR(IF(X396="",0,CEILING((X396/$H396),1)*$H396),"")</f>
        <v>40.799999999999997</v>
      </c>
      <c r="Z396" s="36">
        <f>IFERROR(IF(Y396=0,"",ROUNDUP(Y396/H396,0)*0.00651),"")</f>
        <v>0.10416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46.352941176470594</v>
      </c>
      <c r="BN396" s="64">
        <f>IFERROR(Y396*I396/H396,"0")</f>
        <v>47.28</v>
      </c>
      <c r="BO396" s="64">
        <f>IFERROR(1/J396*(X396/H396),"0")</f>
        <v>8.6188321482439142E-2</v>
      </c>
      <c r="BP396" s="64">
        <f>IFERROR(1/J396*(Y396/H396),"0")</f>
        <v>8.7912087912087919E-2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13</v>
      </c>
      <c r="Y397" s="628">
        <f>IFERROR(IF(X397="",0,CEILING((X397/$H397),1)*$H397),"")</f>
        <v>15.299999999999999</v>
      </c>
      <c r="Z397" s="36">
        <f>IFERROR(IF(Y397=0,"",ROUNDUP(Y397/H397,0)*0.00651),"")</f>
        <v>3.9059999999999997E-2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14.68235294117647</v>
      </c>
      <c r="BN397" s="64">
        <f>IFERROR(Y397*I397/H397,"0")</f>
        <v>17.279999999999998</v>
      </c>
      <c r="BO397" s="64">
        <f>IFERROR(1/J397*(X397/H397),"0")</f>
        <v>2.8011204481792722E-2</v>
      </c>
      <c r="BP397" s="64">
        <f>IFERROR(1/J397*(Y397/H397),"0")</f>
        <v>3.2967032967032968E-2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20.784313725490197</v>
      </c>
      <c r="Y398" s="629">
        <f>IFERROR(Y394/H394,"0")+IFERROR(Y395/H395,"0")+IFERROR(Y396/H396,"0")+IFERROR(Y397/H397,"0")</f>
        <v>22</v>
      </c>
      <c r="Z398" s="629">
        <f>IFERROR(IF(Z394="",0,Z394),"0")+IFERROR(IF(Z395="",0,Z395),"0")+IFERROR(IF(Z396="",0,Z396),"0")+IFERROR(IF(Z397="",0,Z397),"0")</f>
        <v>0.14322000000000001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53</v>
      </c>
      <c r="Y399" s="629">
        <f>IFERROR(SUM(Y394:Y397),"0")</f>
        <v>56.099999999999994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7</v>
      </c>
      <c r="Y401" s="628">
        <f>IFERROR(IF(X401="",0,CEILING((X401/$H401),1)*$H401),"")</f>
        <v>8</v>
      </c>
      <c r="Z401" s="36">
        <f>IFERROR(IF(Y401=0,"",ROUNDUP(Y401/H401,0)*0.00474),"")</f>
        <v>1.8960000000000001E-2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7.8400000000000007</v>
      </c>
      <c r="BN401" s="64">
        <f>IFERROR(Y401*I401/H401,"0")</f>
        <v>8.9600000000000009</v>
      </c>
      <c r="BO401" s="64">
        <f>IFERROR(1/J401*(X401/H401),"0")</f>
        <v>1.4705882352941176E-2</v>
      </c>
      <c r="BP401" s="64">
        <f>IFERROR(1/J401*(Y401/H401),"0")</f>
        <v>1.680672268907563E-2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6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6.7200000000000006</v>
      </c>
      <c r="BN402" s="64">
        <f>IFERROR(Y402*I402/H402,"0")</f>
        <v>6.7200000000000006</v>
      </c>
      <c r="BO402" s="64">
        <f>IFERROR(1/J402*(X402/H402),"0")</f>
        <v>1.2605042016806723E-2</v>
      </c>
      <c r="BP402" s="64">
        <f>IFERROR(1/J402*(Y402/H402),"0")</f>
        <v>1.2605042016806723E-2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16</v>
      </c>
      <c r="Y403" s="628">
        <f>IFERROR(IF(X403="",0,CEILING((X403/$H403),1)*$H403),"")</f>
        <v>16</v>
      </c>
      <c r="Z403" s="36">
        <f>IFERROR(IF(Y403=0,"",ROUNDUP(Y403/H403,0)*0.00474),"")</f>
        <v>3.7920000000000002E-2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17.920000000000002</v>
      </c>
      <c r="BN403" s="64">
        <f>IFERROR(Y403*I403/H403,"0")</f>
        <v>17.920000000000002</v>
      </c>
      <c r="BO403" s="64">
        <f>IFERROR(1/J403*(X403/H403),"0")</f>
        <v>3.3613445378151259E-2</v>
      </c>
      <c r="BP403" s="64">
        <f>IFERROR(1/J403*(Y403/H403),"0")</f>
        <v>3.3613445378151259E-2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14.5</v>
      </c>
      <c r="Y404" s="629">
        <f>IFERROR(Y401/H401,"0")+IFERROR(Y402/H402,"0")+IFERROR(Y403/H403,"0")</f>
        <v>15</v>
      </c>
      <c r="Z404" s="629">
        <f>IFERROR(IF(Z401="",0,Z401),"0")+IFERROR(IF(Z402="",0,Z402),"0")+IFERROR(IF(Z403="",0,Z403),"0")</f>
        <v>7.1099999999999997E-2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29</v>
      </c>
      <c r="Y405" s="629">
        <f>IFERROR(SUM(Y401:Y403),"0")</f>
        <v>30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140</v>
      </c>
      <c r="Y415" s="628">
        <f>IFERROR(IF(X415="",0,CEILING((X415/$H415),1)*$H415),"")</f>
        <v>140.70000000000002</v>
      </c>
      <c r="Z415" s="36">
        <f>IFERROR(IF(Y415=0,"",ROUNDUP(Y415/H415,0)*0.00651),"")</f>
        <v>0.43617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156.79999999999998</v>
      </c>
      <c r="BN415" s="64">
        <f>IFERROR(Y415*I415/H415,"0")</f>
        <v>157.584</v>
      </c>
      <c r="BO415" s="64">
        <f>IFERROR(1/J415*(X415/H415),"0")</f>
        <v>0.36630036630036628</v>
      </c>
      <c r="BP415" s="64">
        <f>IFERROR(1/J415*(Y415/H415),"0")</f>
        <v>0.36813186813186816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35</v>
      </c>
      <c r="Y416" s="628">
        <f>IFERROR(IF(X416="",0,CEILING((X416/$H416),1)*$H416),"")</f>
        <v>35.700000000000003</v>
      </c>
      <c r="Z416" s="36">
        <f>IFERROR(IF(Y416=0,"",ROUNDUP(Y416/H416,0)*0.00651),"")</f>
        <v>0.11067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38.999999999999993</v>
      </c>
      <c r="BN416" s="64">
        <f>IFERROR(Y416*I416/H416,"0")</f>
        <v>39.779999999999994</v>
      </c>
      <c r="BO416" s="64">
        <f>IFERROR(1/J416*(X416/H416),"0")</f>
        <v>9.1575091575091569E-2</v>
      </c>
      <c r="BP416" s="64">
        <f>IFERROR(1/J416*(Y416/H416),"0")</f>
        <v>9.3406593406593408E-2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83.333333333333314</v>
      </c>
      <c r="Y417" s="629">
        <f>IFERROR(Y414/H414,"0")+IFERROR(Y415/H415,"0")+IFERROR(Y416/H416,"0")</f>
        <v>84</v>
      </c>
      <c r="Z417" s="629">
        <f>IFERROR(IF(Z414="",0,Z414),"0")+IFERROR(IF(Z415="",0,Z415),"0")+IFERROR(IF(Z416="",0,Z416),"0")</f>
        <v>0.54683999999999999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175</v>
      </c>
      <c r="Y418" s="629">
        <f>IFERROR(SUM(Y414:Y416),"0")</f>
        <v>176.40000000000003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60</v>
      </c>
      <c r="Y422" s="628">
        <f t="shared" ref="Y422:Y429" si="47">IFERROR(IF(X422="",0,CEILING((X422/$H422),1)*$H422),"")</f>
        <v>60</v>
      </c>
      <c r="Z422" s="36">
        <f>IFERROR(IF(Y422=0,"",ROUNDUP(Y422/H422,0)*0.02175),"")</f>
        <v>8.6999999999999994E-2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61.88</v>
      </c>
      <c r="BN422" s="64">
        <f t="shared" ref="BN422:BN429" si="49">IFERROR(Y422*I422/H422,"0")</f>
        <v>61.88</v>
      </c>
      <c r="BO422" s="64">
        <f t="shared" ref="BO422:BO429" si="50">IFERROR(1/J422*(X422/H422),"0")</f>
        <v>8.3333333333333329E-2</v>
      </c>
      <c r="BP422" s="64">
        <f t="shared" ref="BP422:BP429" si="51">IFERROR(1/J422*(Y422/H422),"0")</f>
        <v>8.3333333333333329E-2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151</v>
      </c>
      <c r="Y423" s="628">
        <f t="shared" si="47"/>
        <v>165</v>
      </c>
      <c r="Z423" s="36">
        <f>IFERROR(IF(Y423=0,"",ROUNDUP(Y423/H423,0)*0.02175),"")</f>
        <v>0.23924999999999999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155.73133333333334</v>
      </c>
      <c r="BN423" s="64">
        <f t="shared" si="49"/>
        <v>170.17000000000002</v>
      </c>
      <c r="BO423" s="64">
        <f t="shared" si="50"/>
        <v>0.2097222222222222</v>
      </c>
      <c r="BP423" s="64">
        <f t="shared" si="51"/>
        <v>0.22916666666666666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337</v>
      </c>
      <c r="Y424" s="628">
        <f t="shared" si="47"/>
        <v>345</v>
      </c>
      <c r="Z424" s="36">
        <f>IFERROR(IF(Y424=0,"",ROUNDUP(Y424/H424,0)*0.02175),"")</f>
        <v>0.50024999999999997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347.55933333333337</v>
      </c>
      <c r="BN424" s="64">
        <f t="shared" si="49"/>
        <v>355.81000000000006</v>
      </c>
      <c r="BO424" s="64">
        <f t="shared" si="50"/>
        <v>0.4680555555555555</v>
      </c>
      <c r="BP424" s="64">
        <f t="shared" si="51"/>
        <v>0.47916666666666663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36.533333333333331</v>
      </c>
      <c r="Y430" s="629">
        <f>IFERROR(Y422/H422,"0")+IFERROR(Y423/H423,"0")+IFERROR(Y424/H424,"0")+IFERROR(Y425/H425,"0")+IFERROR(Y426/H426,"0")+IFERROR(Y427/H427,"0")+IFERROR(Y428/H428,"0")+IFERROR(Y429/H429,"0")</f>
        <v>38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0.82650000000000001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548</v>
      </c>
      <c r="Y431" s="629">
        <f>IFERROR(SUM(Y422:Y429),"0")</f>
        <v>570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367</v>
      </c>
      <c r="Y433" s="628">
        <f>IFERROR(IF(X433="",0,CEILING((X433/$H433),1)*$H433),"")</f>
        <v>375</v>
      </c>
      <c r="Z433" s="36">
        <f>IFERROR(IF(Y433=0,"",ROUNDUP(Y433/H433,0)*0.02175),"")</f>
        <v>0.54374999999999996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378.49933333333331</v>
      </c>
      <c r="BN433" s="64">
        <f>IFERROR(Y433*I433/H433,"0")</f>
        <v>386.75</v>
      </c>
      <c r="BO433" s="64">
        <f>IFERROR(1/J433*(X433/H433),"0")</f>
        <v>0.50972222222222219</v>
      </c>
      <c r="BP433" s="64">
        <f>IFERROR(1/J433*(Y433/H433),"0")</f>
        <v>0.52083333333333326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24.466666666666665</v>
      </c>
      <c r="Y436" s="629">
        <f>IFERROR(Y433/H433,"0")+IFERROR(Y434/H434,"0")+IFERROR(Y435/H435,"0")</f>
        <v>25</v>
      </c>
      <c r="Z436" s="629">
        <f>IFERROR(IF(Z433="",0,Z433),"0")+IFERROR(IF(Z434="",0,Z434),"0")+IFERROR(IF(Z435="",0,Z435),"0")</f>
        <v>0.54374999999999996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367</v>
      </c>
      <c r="Y437" s="629">
        <f>IFERROR(SUM(Y433:Y435),"0")</f>
        <v>375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804</v>
      </c>
      <c r="Y460" s="628">
        <f>IFERROR(IF(X460="",0,CEILING((X460/$H460),1)*$H460),"")</f>
        <v>810</v>
      </c>
      <c r="Z460" s="36">
        <f>IFERROR(IF(Y460=0,"",ROUNDUP(Y460/H460,0)*0.01898),"")</f>
        <v>1.7081999999999999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848.13066666666657</v>
      </c>
      <c r="BN460" s="64">
        <f>IFERROR(Y460*I460/H460,"0")</f>
        <v>854.45999999999992</v>
      </c>
      <c r="BO460" s="64">
        <f>IFERROR(1/J460*(X460/H460),"0")</f>
        <v>1.3958333333333333</v>
      </c>
      <c r="BP460" s="64">
        <f>IFERROR(1/J460*(Y460/H460),"0")</f>
        <v>1.40625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41</v>
      </c>
      <c r="Y461" s="628">
        <f>IFERROR(IF(X461="",0,CEILING((X461/$H461),1)*$H461),"")</f>
        <v>43.199999999999996</v>
      </c>
      <c r="Z461" s="36">
        <f>IFERROR(IF(Y461=0,"",ROUNDUP(Y461/H461,0)*0.00651),"")</f>
        <v>0.11718000000000001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45.510000000000005</v>
      </c>
      <c r="BN461" s="64">
        <f>IFERROR(Y461*I461/H461,"0")</f>
        <v>47.952000000000005</v>
      </c>
      <c r="BO461" s="64">
        <f>IFERROR(1/J461*(X461/H461),"0")</f>
        <v>9.3864468864468878E-2</v>
      </c>
      <c r="BP461" s="64">
        <f>IFERROR(1/J461*(Y461/H461),"0")</f>
        <v>9.8901098901098911E-2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106.41666666666666</v>
      </c>
      <c r="Y463" s="629">
        <f>IFERROR(Y460/H460,"0")+IFERROR(Y461/H461,"0")+IFERROR(Y462/H462,"0")</f>
        <v>108</v>
      </c>
      <c r="Z463" s="629">
        <f>IFERROR(IF(Z460="",0,Z460),"0")+IFERROR(IF(Z461="",0,Z461),"0")+IFERROR(IF(Z462="",0,Z462),"0")</f>
        <v>1.82538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845</v>
      </c>
      <c r="Y464" s="629">
        <f>IFERROR(SUM(Y460:Y462),"0")</f>
        <v>853.2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308</v>
      </c>
      <c r="Y498" s="628">
        <f t="shared" si="57"/>
        <v>311.52000000000004</v>
      </c>
      <c r="Z498" s="36">
        <f t="shared" si="58"/>
        <v>0.70564000000000004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328.41666666666663</v>
      </c>
      <c r="BN498" s="64">
        <f t="shared" si="60"/>
        <v>332.17</v>
      </c>
      <c r="BO498" s="64">
        <f t="shared" si="61"/>
        <v>0.5608974358974359</v>
      </c>
      <c r="BP498" s="64">
        <f t="shared" si="62"/>
        <v>0.5673076923076924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836</v>
      </c>
      <c r="Y500" s="628">
        <f t="shared" si="57"/>
        <v>839.5200000000001</v>
      </c>
      <c r="Z500" s="36">
        <f t="shared" si="58"/>
        <v>1.90164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891.41666666666663</v>
      </c>
      <c r="BN500" s="64">
        <f t="shared" si="60"/>
        <v>895.17000000000007</v>
      </c>
      <c r="BO500" s="64">
        <f t="shared" si="61"/>
        <v>1.5224358974358974</v>
      </c>
      <c r="BP500" s="64">
        <f t="shared" si="62"/>
        <v>1.528846153846154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182</v>
      </c>
      <c r="Y502" s="628">
        <f t="shared" si="57"/>
        <v>182.4</v>
      </c>
      <c r="Z502" s="36">
        <f>IFERROR(IF(Y502=0,"",ROUNDUP(Y502/H502,0)*0.00902),"")</f>
        <v>0.34276000000000001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262.00416666666672</v>
      </c>
      <c r="BN502" s="64">
        <f t="shared" si="60"/>
        <v>262.58000000000004</v>
      </c>
      <c r="BO502" s="64">
        <f t="shared" si="61"/>
        <v>0.28724747474747481</v>
      </c>
      <c r="BP502" s="64">
        <f t="shared" si="62"/>
        <v>0.2878787878787879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152</v>
      </c>
      <c r="Y503" s="628">
        <f t="shared" si="57"/>
        <v>153.6</v>
      </c>
      <c r="Z503" s="36">
        <f>IFERROR(IF(Y503=0,"",ROUNDUP(Y503/H503,0)*0.00902),"")</f>
        <v>0.28864000000000001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218.81666666666666</v>
      </c>
      <c r="BN503" s="64">
        <f t="shared" si="60"/>
        <v>221.12</v>
      </c>
      <c r="BO503" s="64">
        <f t="shared" si="61"/>
        <v>0.23989898989898992</v>
      </c>
      <c r="BP503" s="64">
        <f t="shared" si="62"/>
        <v>0.24242424242424243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286.25</v>
      </c>
      <c r="Y504" s="629">
        <f>IFERROR(Y495/H495,"0")+IFERROR(Y496/H496,"0")+IFERROR(Y497/H497,"0")+IFERROR(Y498/H498,"0")+IFERROR(Y499/H499,"0")+IFERROR(Y500/H500,"0")+IFERROR(Y501/H501,"0")+IFERROR(Y502/H502,"0")+IFERROR(Y503/H503,"0")</f>
        <v>288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3.2386800000000004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1478</v>
      </c>
      <c r="Y505" s="629">
        <f>IFERROR(SUM(Y495:Y503),"0")</f>
        <v>1487.0400000000002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966</v>
      </c>
      <c r="Y507" s="628">
        <f>IFERROR(IF(X507="",0,CEILING((X507/$H507),1)*$H507),"")</f>
        <v>966.24</v>
      </c>
      <c r="Z507" s="36">
        <f>IFERROR(IF(Y507=0,"",ROUNDUP(Y507/H507,0)*0.01196),"")</f>
        <v>2.1886800000000002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1030.0340909090908</v>
      </c>
      <c r="BN507" s="64">
        <f>IFERROR(Y507*I507/H507,"0")</f>
        <v>1030.29</v>
      </c>
      <c r="BO507" s="64">
        <f>IFERROR(1/J507*(X507/H507),"0")</f>
        <v>1.7591783216783217</v>
      </c>
      <c r="BP507" s="64">
        <f>IFERROR(1/J507*(Y507/H507),"0")</f>
        <v>1.7596153846153848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95</v>
      </c>
      <c r="Y509" s="628">
        <f>IFERROR(IF(X509="",0,CEILING((X509/$H509),1)*$H509),"")</f>
        <v>96</v>
      </c>
      <c r="Z509" s="36">
        <f>IFERROR(IF(Y509=0,"",ROUNDUP(Y509/H509,0)*0.00902),"")</f>
        <v>0.1804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136.76041666666669</v>
      </c>
      <c r="BN509" s="64">
        <f>IFERROR(Y509*I509/H509,"0")</f>
        <v>138.20000000000002</v>
      </c>
      <c r="BO509" s="64">
        <f>IFERROR(1/J509*(X509/H509),"0")</f>
        <v>0.1499368686868687</v>
      </c>
      <c r="BP509" s="64">
        <f>IFERROR(1/J509*(Y509/H509),"0")</f>
        <v>0.15151515151515152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202.7462121212121</v>
      </c>
      <c r="Y510" s="629">
        <f>IFERROR(Y507/H507,"0")+IFERROR(Y508/H508,"0")+IFERROR(Y509/H509,"0")</f>
        <v>203</v>
      </c>
      <c r="Z510" s="629">
        <f>IFERROR(IF(Z507="",0,Z507),"0")+IFERROR(IF(Z508="",0,Z508),"0")+IFERROR(IF(Z509="",0,Z509),"0")</f>
        <v>2.3690800000000003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1061</v>
      </c>
      <c r="Y511" s="629">
        <f>IFERROR(SUM(Y507:Y509),"0")</f>
        <v>1062.24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51</v>
      </c>
      <c r="Y513" s="628">
        <f t="shared" ref="Y513:Y519" si="63">IFERROR(IF(X513="",0,CEILING((X513/$H513),1)*$H513),"")</f>
        <v>52.800000000000004</v>
      </c>
      <c r="Z513" s="36">
        <f>IFERROR(IF(Y513=0,"",ROUNDUP(Y513/H513,0)*0.01196),"")</f>
        <v>0.1196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54.380681818181813</v>
      </c>
      <c r="BN513" s="64">
        <f t="shared" ref="BN513:BN519" si="65">IFERROR(Y513*I513/H513,"0")</f>
        <v>56.3</v>
      </c>
      <c r="BO513" s="64">
        <f t="shared" ref="BO513:BO519" si="66">IFERROR(1/J513*(X513/H513),"0")</f>
        <v>9.2875874125874128E-2</v>
      </c>
      <c r="BP513" s="64">
        <f t="shared" ref="BP513:BP519" si="67">IFERROR(1/J513*(Y513/H513),"0")</f>
        <v>9.6153846153846159E-2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329</v>
      </c>
      <c r="Y514" s="628">
        <f t="shared" si="63"/>
        <v>332.64000000000004</v>
      </c>
      <c r="Z514" s="36">
        <f>IFERROR(IF(Y514=0,"",ROUNDUP(Y514/H514,0)*0.01196),"")</f>
        <v>0.75348000000000004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350.80871212121212</v>
      </c>
      <c r="BN514" s="64">
        <f t="shared" si="65"/>
        <v>354.69</v>
      </c>
      <c r="BO514" s="64">
        <f t="shared" si="66"/>
        <v>0.59914044289044288</v>
      </c>
      <c r="BP514" s="64">
        <f t="shared" si="67"/>
        <v>0.60576923076923084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418</v>
      </c>
      <c r="Y515" s="628">
        <f t="shared" si="63"/>
        <v>422.40000000000003</v>
      </c>
      <c r="Z515" s="36">
        <f>IFERROR(IF(Y515=0,"",ROUNDUP(Y515/H515,0)*0.01196),"")</f>
        <v>0.95679999999999998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445.70833333333331</v>
      </c>
      <c r="BN515" s="64">
        <f t="shared" si="65"/>
        <v>450.4</v>
      </c>
      <c r="BO515" s="64">
        <f t="shared" si="66"/>
        <v>0.76121794871794868</v>
      </c>
      <c r="BP515" s="64">
        <f t="shared" si="67"/>
        <v>0.76923076923076927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151.13636363636363</v>
      </c>
      <c r="Y520" s="629">
        <f>IFERROR(Y513/H513,"0")+IFERROR(Y514/H514,"0")+IFERROR(Y515/H515,"0")+IFERROR(Y516/H516,"0")+IFERROR(Y517/H517,"0")+IFERROR(Y518/H518,"0")+IFERROR(Y519/H519,"0")</f>
        <v>153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1.8298800000000002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798</v>
      </c>
      <c r="Y521" s="629">
        <f>IFERROR(SUM(Y513:Y519),"0")</f>
        <v>807.84000000000015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12664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12834.22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13640.934253453679</v>
      </c>
      <c r="Y551" s="629">
        <f>IFERROR(SUM(BN22:BN547),"0")</f>
        <v>13822.010000000002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24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14240.934253453679</v>
      </c>
      <c r="Y553" s="629">
        <f>GrossWeightTotalR+PalletQtyTotalR*25</f>
        <v>14447.010000000002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2693.8260290449271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2727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28.966429999999995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18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393.40000000000003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523.6</v>
      </c>
      <c r="F560" s="46">
        <f>IFERROR(Y88*1,"0")+IFERROR(Y89*1,"0")+IFERROR(Y90*1,"0")+IFERROR(Y91*1,"0")+IFERROR(Y95*1,"0")+IFERROR(Y96*1,"0")+IFERROR(Y97*1,"0")+IFERROR(Y98*1,"0")</f>
        <v>1274.2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2013.78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696.5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163.92000000000002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1353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8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230.39999999999998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390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437.7</v>
      </c>
      <c r="U560" s="46">
        <f>IFERROR(Y414*1,"0")+IFERROR(Y415*1,"0")+IFERROR(Y416*1,"0")</f>
        <v>176.40000000000003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945</v>
      </c>
      <c r="W560" s="46">
        <f>IFERROR(Y451*1,"0")+IFERROR(Y452*1,"0")+IFERROR(Y456*1,"0")+IFERROR(Y460*1,"0")+IFERROR(Y461*1,"0")+IFERROR(Y462*1,"0")</f>
        <v>853.2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3357.1200000000003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1 061,00"/>
        <filter val="1 312,00"/>
        <filter val="1 478,00"/>
        <filter val="10,00"/>
        <filter val="106,42"/>
        <filter val="109,00"/>
        <filter val="11,00"/>
        <filter val="111,00"/>
        <filter val="12 664,00"/>
        <filter val="12,00"/>
        <filter val="12,73"/>
        <filter val="120,00"/>
        <filter val="13 640,93"/>
        <filter val="13,00"/>
        <filter val="130,00"/>
        <filter val="134,00"/>
        <filter val="14 240,93"/>
        <filter val="14,50"/>
        <filter val="140,00"/>
        <filter val="144,00"/>
        <filter val="148,00"/>
        <filter val="15,00"/>
        <filter val="15,79"/>
        <filter val="150,00"/>
        <filter val="151,00"/>
        <filter val="151,14"/>
        <filter val="152,00"/>
        <filter val="16,00"/>
        <filter val="161,00"/>
        <filter val="175,00"/>
        <filter val="18,00"/>
        <filter val="182,00"/>
        <filter val="19,44"/>
        <filter val="196,00"/>
        <filter val="2 693,83"/>
        <filter val="2,00"/>
        <filter val="2,38"/>
        <filter val="2,50"/>
        <filter val="20,78"/>
        <filter val="202,75"/>
        <filter val="212,00"/>
        <filter val="22,00"/>
        <filter val="220,25"/>
        <filter val="229,00"/>
        <filter val="24"/>
        <filter val="24,47"/>
        <filter val="25,00"/>
        <filter val="252,84"/>
        <filter val="272,50"/>
        <filter val="277,00"/>
        <filter val="278,00"/>
        <filter val="281,00"/>
        <filter val="282,41"/>
        <filter val="286,25"/>
        <filter val="29,00"/>
        <filter val="3,00"/>
        <filter val="308,00"/>
        <filter val="32,00"/>
        <filter val="322,00"/>
        <filter val="329,00"/>
        <filter val="337,00"/>
        <filter val="340,00"/>
        <filter val="35,00"/>
        <filter val="35,51"/>
        <filter val="36,00"/>
        <filter val="36,03"/>
        <filter val="36,53"/>
        <filter val="361,00"/>
        <filter val="367,00"/>
        <filter val="368,00"/>
        <filter val="372,00"/>
        <filter val="38,90"/>
        <filter val="387,00"/>
        <filter val="388,00"/>
        <filter val="4,00"/>
        <filter val="40,00"/>
        <filter val="40,37"/>
        <filter val="40,40"/>
        <filter val="41,00"/>
        <filter val="418,00"/>
        <filter val="429,00"/>
        <filter val="46,00"/>
        <filter val="463,00"/>
        <filter val="49,00"/>
        <filter val="49,74"/>
        <filter val="497,00"/>
        <filter val="499,00"/>
        <filter val="50,00"/>
        <filter val="51,00"/>
        <filter val="53,00"/>
        <filter val="548,00"/>
        <filter val="6,00"/>
        <filter val="60,00"/>
        <filter val="65,00"/>
        <filter val="65,66"/>
        <filter val="675,00"/>
        <filter val="69,00"/>
        <filter val="7,00"/>
        <filter val="7,94"/>
        <filter val="73,00"/>
        <filter val="798,00"/>
        <filter val="8,00"/>
        <filter val="8,89"/>
        <filter val="80,00"/>
        <filter val="804,00"/>
        <filter val="81,03"/>
        <filter val="83,33"/>
        <filter val="836,00"/>
        <filter val="845,00"/>
        <filter val="85,00"/>
        <filter val="85,75"/>
        <filter val="88,52"/>
        <filter val="9,00"/>
        <filter val="926,00"/>
        <filter val="944,00"/>
        <filter val="95,00"/>
        <filter val="95,42"/>
        <filter val="952,00"/>
        <filter val="966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