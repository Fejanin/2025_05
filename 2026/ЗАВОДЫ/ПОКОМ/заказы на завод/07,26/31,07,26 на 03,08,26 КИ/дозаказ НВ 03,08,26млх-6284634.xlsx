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F217771-3FB0-4092-9E6F-56CCB2D3BC2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Y505" i="2" s="1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23" i="2" l="1"/>
  <c r="BN54" i="2"/>
  <c r="BN91" i="2"/>
  <c r="BN96" i="2"/>
  <c r="BN120" i="2"/>
  <c r="BN142" i="2"/>
  <c r="BN166" i="2"/>
  <c r="BN210" i="2"/>
  <c r="BN231" i="2"/>
  <c r="BN274" i="2"/>
  <c r="BN282" i="2"/>
  <c r="BN287" i="2"/>
  <c r="BN315" i="2"/>
  <c r="BN321" i="2"/>
  <c r="BN357" i="2"/>
  <c r="BN372" i="2"/>
  <c r="BN424" i="2"/>
  <c r="BN452" i="2"/>
  <c r="BN470" i="2"/>
  <c r="BN519" i="2"/>
  <c r="X550" i="2"/>
  <c r="Z65" i="2"/>
  <c r="BP77" i="2"/>
  <c r="BN104" i="2"/>
  <c r="Y124" i="2"/>
  <c r="BN147" i="2"/>
  <c r="BN181" i="2"/>
  <c r="Y200" i="2"/>
  <c r="BN202" i="2"/>
  <c r="BN214" i="2"/>
  <c r="BP242" i="2"/>
  <c r="BN244" i="2"/>
  <c r="BN269" i="2"/>
  <c r="BP295" i="2"/>
  <c r="BN305" i="2"/>
  <c r="Y316" i="2"/>
  <c r="BN326" i="2"/>
  <c r="Z345" i="2"/>
  <c r="BN345" i="2"/>
  <c r="BN351" i="2"/>
  <c r="Z382" i="2"/>
  <c r="BN394" i="2"/>
  <c r="BP402" i="2"/>
  <c r="Y411" i="2"/>
  <c r="BN429" i="2"/>
  <c r="BN462" i="2"/>
  <c r="BN488" i="2"/>
  <c r="BP496" i="2"/>
  <c r="BN500" i="2"/>
  <c r="BN533" i="2"/>
  <c r="Z31" i="2"/>
  <c r="BP88" i="2"/>
  <c r="Z98" i="2"/>
  <c r="Y170" i="2"/>
  <c r="Z329" i="2"/>
  <c r="Z350" i="2"/>
  <c r="Z375" i="2"/>
  <c r="Z396" i="2"/>
  <c r="Y490" i="2"/>
  <c r="BP487" i="2"/>
  <c r="Z495" i="2"/>
  <c r="BP495" i="2"/>
  <c r="Z499" i="2"/>
  <c r="BP499" i="2"/>
  <c r="Z501" i="2"/>
  <c r="BP350" i="2"/>
  <c r="Y32" i="2"/>
  <c r="Y36" i="2"/>
  <c r="Z88" i="2"/>
  <c r="Z178" i="2"/>
  <c r="BP29" i="2"/>
  <c r="BN35" i="2"/>
  <c r="BN42" i="2"/>
  <c r="Z106" i="2"/>
  <c r="Y125" i="2"/>
  <c r="Z139" i="2"/>
  <c r="Z147" i="2"/>
  <c r="BN148" i="2"/>
  <c r="BN154" i="2"/>
  <c r="BP234" i="2"/>
  <c r="BN235" i="2"/>
  <c r="Z357" i="2"/>
  <c r="Z394" i="2"/>
  <c r="Z441" i="2"/>
  <c r="Z469" i="2"/>
  <c r="Z487" i="2"/>
  <c r="Y491" i="2"/>
  <c r="BN82" i="2"/>
  <c r="Y92" i="2"/>
  <c r="BP121" i="2"/>
  <c r="BN179" i="2"/>
  <c r="Z181" i="2"/>
  <c r="BN182" i="2"/>
  <c r="Z198" i="2"/>
  <c r="Y203" i="2"/>
  <c r="BN226" i="2"/>
  <c r="Z287" i="2"/>
  <c r="BN288" i="2"/>
  <c r="BN303" i="2"/>
  <c r="BP358" i="2"/>
  <c r="Z424" i="2"/>
  <c r="BN495" i="2"/>
  <c r="BN515" i="2"/>
  <c r="BP529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417" i="2" l="1"/>
  <c r="Z46" i="2"/>
  <c r="Z109" i="2"/>
  <c r="Z391" i="2"/>
  <c r="X553" i="2"/>
  <c r="Z378" i="2"/>
  <c r="Z520" i="2"/>
  <c r="Z368" i="2"/>
  <c r="Z479" i="2"/>
  <c r="Z442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<sst xmlns="http://schemas.openxmlformats.org/spreadsheetml/2006/main" count="4221" uniqueCount="909">
  <si>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</si>
  <si>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</si>
  <si>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</si>
  <si>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</si>
  <si>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</si>
  <si>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</si>
  <si>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</si>
  <si>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</si>
  <si>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</si>
  <si>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</si>
  <si>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</si>
  <si>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</si>
  <si>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</si>
  <si>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</si>
  <si>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</si>
  <si>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</si>
  <si>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</si>
  <si>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</si>
  <si>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</si>
  <si>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</si>
  <si>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</si>
  <si>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</si>
  <si>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</si>
  <si>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</si>
  <si>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</si>
  <si>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</si>
  <si>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</si>
  <si>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</si>
  <si>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</si>
  <si>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</si>
  <si>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</si>
  <si>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</si>
  <si>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</si>
  <si>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</si>
  <si>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</si>
  <si>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</si>
  <si>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</si>
  <si>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</si>
  <si>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</si>
  <si>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</si>
  <si>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</si>
  <si>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</si>
  <si>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</si>
  <si>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</si>
  <si>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</si>
  <si>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</si>
  <si>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</si>
  <si>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</si>
  <si>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</si>
  <si>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</si>
  <si>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</si>
  <si>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</si>
  <si>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</si>
  <si>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</si>
  <si>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</si>
  <si>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</si>
  <si>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</si>
  <si>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</si>
  <si>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</si>
  <si>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</si>
  <si>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</si>
  <si>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</si>
  <si>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</si>
  <si>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</si>
  <si>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</si>
  <si>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</si>
  <si>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</si>
  <si>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</si>
  <si>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</si>
  <si>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</si>
  <si>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</si>
  <si>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</si>
  <si>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</si>
  <si>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</si>
  <si>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</si>
  <si>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</si>
  <si>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</si>
  <si>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</si>
  <si>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</si>
  <si>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</si>
  <si>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</si>
  <si>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</si>
  <si>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</si>
  <si>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</si>
  <si>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</si>
  <si>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</si>
  <si>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</si>
  <si>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</si>
  <si>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</si>
  <si>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</si>
  <si>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</si>
  <si>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</si>
  <si>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</si>
  <si>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</si>
  <si>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</si>
  <si>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</si>
  <si>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</si>
  <si>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</si>
  <si>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</si>
  <si>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</si>
  <si>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</si>
  <si>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</si>
  <si>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</si>
  <si>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</si>
  <si>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</si>
  <si>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</si>
  <si>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</si>
  <si>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</si>
  <si>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</si>
  <si>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</si>
  <si>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</si>
  <si>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</si>
  <si>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</si>
  <si>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</si>
  <si>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</si>
  <si>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</si>
  <si>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</si>
  <si>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</si>
  <si>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</si>
  <si>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</si>
  <si>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</si>
  <si>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</si>
  <si>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</si>
  <si>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</si>
  <si>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</si>
  <si>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</si>
  <si>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</si>
  <si>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</si>
  <si>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</si>
  <si>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</si>
  <si>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</si>
  <si>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</si>
  <si>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</si>
  <si>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</si>
  <si>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</si>
  <si>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</si>
  <si>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</si>
  <si>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</si>
  <si>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</si>
  <si>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</si>
  <si>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</si>
  <si>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</si>
  <si>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</si>
  <si>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</si>
  <si>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</si>
  <si>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</si>
  <si>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</si>
  <si>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</si>
  <si>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</si>
  <si>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</si>
  <si>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</si>
  <si>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</si>
  <si>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</si>
  <si>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</si>
  <si>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</si>
  <si>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</si>
  <si>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</si>
  <si>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</si>
  <si>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</si>
  <si>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</si>
  <si>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</si>
  <si>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</si>
  <si>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</si>
  <si>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</si>
  <si>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</si>
  <si>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</si>
  <si>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</si>
  <si>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</si>
  <si>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</si>
  <si>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</si>
  <si>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</si>
  <si>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</si>
  <si>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</si>
  <si>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</si>
  <si>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</si>
  <si>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</si>
  <si>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</si>
  <si>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</si>
  <si>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</si>
  <si>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</si>
  <si>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</si>
  <si>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</si>
  <si>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</si>
  <si>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</si>
  <si>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</si>
  <si>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</si>
  <si>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</si>
  <si>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</si>
  <si>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</si>
  <si>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</si>
  <si>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</si>
  <si>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</si>
  <si>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</si>
  <si>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</si>
  <si>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</si>
  <si>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</si>
  <si>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</si>
  <si>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</si>
  <si>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</si>
  <si>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</si>
  <si>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</si>
  <si>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</si>
  <si>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</si>
  <si>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</si>
  <si>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</si>
  <si>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</si>
  <si>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</si>
  <si>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</si>
  <si>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</si>
  <si>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</si>
  <si>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</si>
  <si>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</si>
  <si>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</si>
  <si>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</si>
  <si>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</si>
  <si>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</si>
  <si>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</si>
  <si>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</si>
  <si>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</si>
  <si>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</si>
  <si>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</si>
  <si>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</si>
  <si>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</si>
  <si>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</si>
  <si>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</si>
  <si>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</si>
  <si>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</si>
  <si>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</si>
  <si>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</si>
  <si>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</si>
  <si>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</si>
  <si>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</si>
  <si>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</si>
  <si>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</si>
  <si>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</si>
  <si>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</si>
  <si>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</si>
  <si>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</si>
  <si>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</si>
  <si>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</si>
  <si>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</si>
  <si>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</si>
  <si>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</si>
  <si>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</si>
  <si>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</si>
  <si>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</si>
  <si>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</si>
  <si>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</si>
  <si>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</si>
  <si>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</si>
  <si>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</si>
  <si>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</si>
  <si>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</si>
  <si>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</si>
  <si>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</si>
  <si>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</si>
  <si>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</si>
  <si>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</si>
  <si>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</si>
  <si>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</si>
  <si>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</si>
  <si>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</si>
  <si>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</si>
  <si>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</si>
  <si>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</si>
  <si>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</si>
  <si>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</si>
  <si>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</si>
  <si>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</si>
  <si>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</si>
  <si>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</si>
  <si>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</si>
  <si>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</si>
  <si>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</si>
  <si>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</si>
  <si>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</si>
  <si>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</si>
  <si>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</si>
  <si>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</si>
  <si>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</si>
  <si>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</si>
  <si>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</si>
  <si>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</si>
  <si>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</si>
  <si>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</si>
  <si>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</si>
  <si>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</si>
  <si>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</si>
  <si>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</si>
  <si>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</si>
  <si>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</si>
  <si>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</si>
  <si>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</si>
  <si>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</si>
  <si>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</si>
  <si>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</si>
  <si>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</si>
  <si>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</si>
  <si>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</si>
  <si>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</si>
  <si>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</si>
  <si>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</si>
  <si>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</si>
  <si>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</si>
  <si>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</si>
  <si>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</si>
  <si>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</si>
  <si>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</si>
  <si>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</si>
  <si>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</si>
  <si>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</si>
  <si>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</si>
  <si>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</si>
  <si>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</si>
  <si>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</si>
  <si>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</si>
  <si>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</si>
  <si>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</si>
  <si>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</si>
  <si>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</si>
  <si>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</si>
  <si>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</si>
  <si>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</si>
  <si>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</si>
  <si>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</si>
  <si>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</si>
  <si>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</si>
  <si>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</si>
  <si>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</si>
  <si>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</si>
  <si>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</si>
  <si>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</si>
  <si>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</si>
  <si>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</si>
  <si>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</si>
  <si>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</si>
  <si>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</si>
  <si>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</si>
  <si>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</si>
  <si>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</si>
  <si>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</si>
  <si>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</si>
  <si>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</si>
  <si>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</si>
  <si>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</si>
  <si>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</si>
  <si>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</si>
  <si>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</si>
  <si>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</si>
  <si>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</si>
  <si>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</si>
  <si>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</si>
  <si>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</si>
  <si>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</si>
  <si>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</si>
  <si>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</si>
  <si>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</si>
  <si>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</si>
  <si>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</si>
  <si>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</si>
  <si>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</si>
  <si>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</si>
  <si>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</si>
  <si>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</si>
  <si>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</si>
  <si>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</si>
  <si>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</si>
  <si>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</si>
  <si>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</si>
  <si>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</si>
  <si>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</si>
  <si>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</si>
  <si>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</si>
  <si>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</si>
  <si>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</si>
  <si>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</si>
  <si>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</si>
  <si>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</si>
  <si>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</si>
  <si>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</si>
  <si>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</si>
  <si>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</si>
  <si>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</si>
  <si>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</si>
  <si>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</si>
  <si>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</si>
  <si>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</si>
  <si>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</si>
  <si>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</si>
  <si>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</si>
  <si>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</si>
  <si>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</si>
  <si>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</si>
  <si>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</si>
  <si>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</si>
  <si>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</si>
  <si>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</si>
  <si>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</si>
  <si>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</si>
  <si>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</si>
  <si>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</si>
  <si>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</si>
  <si>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</si>
  <si>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</si>
  <si>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</si>
  <si>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</si>
  <si>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</si>
  <si>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</si>
  <si>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</si>
  <si>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</si>
  <si>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</si>
  <si>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</si>
  <si>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</si>
  <si>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</si>
  <si>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</si>
  <si>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</si>
  <si>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</si>
  <si>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</si>
  <si>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</si>
  <si>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</si>
  <si>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</si>
  <si>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</si>
  <si>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</si>
  <si>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</si>
  <si>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</si>
  <si>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</si>
  <si>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</si>
  <si>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</si>
  <si>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</si>
  <si>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</si>
  <si>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</si>
  <si>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</si>
  <si>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</si>
  <si>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</si>
  <si>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</si>
  <si>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</si>
  <si>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</si>
  <si>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</si>
  <si>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</si>
  <si>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</si>
  <si>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</si>
  <si>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</si>
  <si>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</si>
  <si>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</si>
  <si>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</si>
  <si>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</si>
  <si>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</si>
  <si>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</si>
  <si>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</si>
  <si>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</si>
  <si>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</si>
  <si>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</si>
  <si>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</si>
  <si>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</si>
  <si>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</si>
  <si>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</si>
  <si>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</si>
  <si>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</si>
  <si>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</si>
  <si>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</si>
  <si>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</si>
  <si>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</si>
  <si>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</si>
  <si>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</si>
  <si>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</si>
  <si>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</si>
  <si>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</si>
  <si>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</si>
  <si>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</si>
  <si>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</si>
  <si>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</si>
  <si>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</si>
  <si>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</si>
  <si>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</si>
  <si>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</si>
  <si>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</si>
  <si>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</si>
  <si>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</si>
  <si>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</si>
  <si>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</si>
  <si>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</si>
  <si>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</si>
  <si>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</si>
  <si>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</si>
  <si>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</si>
  <si>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</si>
  <si>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</si>
  <si>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</si>
  <si>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</si>
  <si>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</si>
  <si>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</si>
  <si>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</si>
  <si>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</si>
  <si>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</si>
  <si>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</si>
  <si>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</si>
  <si>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</si>
  <si>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</si>
  <si>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</si>
  <si>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</si>
  <si>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</si>
  <si>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</si>
  <si>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</si>
  <si>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</si>
  <si>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</si>
  <si>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</si>
  <si>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</si>
  <si>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</si>
  <si>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</si>
  <si>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</si>
  <si>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</si>
  <si>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</si>
  <si>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</si>
  <si>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</si>
  <si>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</si>
  <si>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</si>
  <si>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</si>
  <si>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</si>
  <si>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</si>
  <si>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</si>
  <si>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</si>
  <si>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</si>
  <si>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</si>
  <si>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</si>
  <si>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</si>
  <si>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</si>
  <si>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</si>
  <si>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</si>
  <si>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</si>
  <si>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</si>
  <si>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</si>
  <si>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</si>
  <si>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</si>
  <si>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</si>
  <si>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</si>
  <si>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</si>
  <si>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</si>
  <si>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</si>
  <si>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</si>
  <si>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</si>
  <si>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</si>
  <si>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</si>
  <si>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</si>
  <si>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</si>
  <si>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</si>
  <si>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</si>
  <si>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</si>
  <si>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</si>
  <si>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</si>
  <si>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</si>
  <si>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</si>
  <si>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</si>
  <si>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</si>
  <si>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</si>
  <si>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</si>
  <si>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</si>
  <si>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</si>
  <si>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</si>
  <si>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</si>
  <si>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</si>
  <si>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</si>
  <si>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</si>
  <si>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</si>
  <si>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</si>
  <si>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</si>
  <si>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</si>
  <si>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</si>
  <si>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</si>
  <si>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</si>
  <si>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</si>
  <si>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</si>
  <si>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</si>
  <si>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</si>
  <si>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</si>
  <si>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</si>
  <si>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</si>
  <si>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</si>
  <si>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</si>
  <si>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</si>
  <si>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</si>
  <si>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</si>
  <si>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</si>
  <si>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</si>
  <si>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</si>
  <si>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</si>
  <si>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</si>
  <si>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</si>
  <si>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</si>
  <si>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</si>
  <si>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</si>
  <si>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</si>
  <si>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</si>
  <si>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</si>
  <si>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</si>
  <si>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</si>
  <si>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</si>
  <si>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</si>
  <si>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</si>
  <si>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</si>
  <si>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</si>
  <si>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</si>
  <si>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</si>
  <si>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</si>
  <si>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</si>
  <si>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</si>
  <si>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</si>
  <si>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</si>
  <si>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</si>
  <si>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</si>
  <si>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</si>
  <si>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</si>
  <si>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</si>
  <si>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</si>
  <si>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</si>
  <si>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</si>
  <si>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</si>
  <si>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</si>
  <si>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</si>
  <si>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</si>
  <si>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</si>
  <si>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</si>
  <si>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</si>
  <si>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</si>
  <si>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</si>
  <si>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</si>
  <si>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</si>
  <si>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</si>
  <si>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</si>
  <si>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</si>
  <si>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</si>
  <si>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</si>
  <si>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</si>
  <si>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</si>
  <si>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</si>
  <si>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</si>
  <si>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</si>
  <si>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</si>
  <si>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</si>
  <si>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</si>
  <si>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</si>
  <si>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</si>
  <si>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</si>
  <si>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</si>
  <si>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</si>
  <si>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</si>
  <si>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</si>
  <si>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</si>
  <si>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</si>
  <si>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</si>
  <si>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</si>
  <si>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</si>
  <si>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</si>
  <si>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</si>
  <si>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</si>
  <si>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</si>
  <si>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</si>
  <si>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</si>
  <si>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</si>
  <si>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</si>
  <si>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</si>
  <si>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</si>
  <si>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</si>
  <si>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</si>
  <si>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</si>
  <si>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</si>
  <si>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</si>
  <si>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</si>
  <si>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</si>
  <si>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</si>
  <si>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</si>
  <si>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</si>
  <si>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</si>
  <si>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</si>
  <si>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</si>
  <si>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</si>
  <si>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</si>
  <si>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</si>
  <si>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</si>
  <si>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</si>
  <si>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</si>
  <si>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</si>
  <si>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</si>
  <si>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</si>
  <si>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</si>
  <si>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</si>
  <si>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</si>
  <si>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</si>
  <si>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</si>
  <si>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</si>
  <si>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</si>
  <si>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</si>
  <si>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</si>
  <si>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</si>
  <si>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</si>
  <si>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</si>
  <si>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</si>
  <si>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</si>
  <si>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</si>
  <si>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</si>
  <si>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</si>
  <si>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</si>
  <si>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</si>
  <si>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</si>
  <si>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</si>
  <si>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</si>
  <si>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</si>
  <si>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</si>
  <si>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</si>
  <si>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</si>
  <si>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</si>
  <si>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</si>
  <si>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</si>
  <si>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</si>
  <si>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</si>
  <si>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</si>
  <si>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</si>
  <si>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</si>
  <si>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</si>
  <si>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</si>
  <si>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</si>
  <si>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</si>
  <si>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</si>
  <si>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</si>
  <si>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</si>
  <si>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</si>
  <si>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</si>
  <si>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</si>
  <si>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</si>
  <si>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</si>
  <si>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</si>
  <si>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</si>
  <si>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</si>
  <si>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</si>
  <si>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</si>
  <si>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</si>
  <si>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</si>
  <si>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</si>
  <si>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</si>
  <si>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</si>
  <si>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</si>
  <si>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</si>
  <si>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</si>
  <si>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</si>
  <si>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</si>
  <si>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</si>
  <si>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</si>
  <si>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</si>
  <si>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</si>
  <si>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</si>
  <si>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</si>
  <si>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</si>
  <si>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</si>
  <si>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</si>
  <si>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</si>
  <si>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</si>
  <si>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</si>
  <si>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</si>
  <si>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</si>
  <si>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</si>
  <si>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</si>
  <si>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</si>
  <si>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</si>
  <si>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</si>
  <si>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</si>
  <si>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</si>
  <si>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</si>
  <si>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</si>
  <si>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</si>
  <si>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</si>
  <si>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</si>
  <si>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</si>
  <si>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</si>
  <si>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</si>
  <si>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</si>
  <si>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</si>
  <si>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</si>
  <si>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</si>
  <si>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</si>
  <si>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</si>
  <si>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</si>
  <si>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</si>
  <si>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</si>
  <si>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</si>
  <si>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</si>
  <si>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</si>
  <si>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</si>
  <si>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</si>
  <si>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</si>
  <si>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</si>
  <si>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</si>
  <si>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</si>
  <si>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</si>
  <si>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</si>
  <si>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</si>
  <si>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</si>
  <si>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</si>
  <si>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</si>
  <si>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</si>
  <si>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</si>
  <si>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</si>
  <si>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</si>
  <si>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</si>
  <si>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</si>
  <si>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</si>
  <si>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</si>
  <si>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</si>
  <si>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</si>
  <si>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</si>
  <si>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</si>
  <si>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</si>
  <si>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</si>
  <si>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</si>
  <si>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</si>
  <si>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</si>
  <si>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</si>
  <si>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</si>
  <si>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</si>
  <si>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</si>
  <si>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</si>
  <si>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</si>
  <si>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</si>
  <si>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</si>
  <si>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</si>
  <si>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</si>
  <si>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</si>
  <si>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</si>
  <si>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</si>
  <si>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</si>
  <si>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</si>
  <si>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</si>
  <si>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</si>
  <si>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</si>
  <si>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</si>
  <si>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</si>
  <si>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</si>
  <si>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</si>
  <si>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</si>
  <si>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</si>
  <si>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</si>
  <si>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</si>
  <si>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</si>
  <si>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</si>
  <si>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</si>
  <si>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</si>
  <si>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</si>
  <si>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</si>
  <si>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</si>
  <si>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</si>
  <si>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</si>
  <si>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</si>
  <si>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</si>
  <si>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</si>
  <si>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</si>
  <si>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</si>
  <si>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</si>
  <si>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</si>
  <si>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</si>
  <si>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</si>
  <si>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</si>
  <si>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</si>
  <si>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</si>
  <si>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</si>
  <si>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</si>
  <si>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</si>
  <si>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</si>
  <si>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</si>
  <si>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</si>
  <si>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</si>
  <si>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</si>
  <si>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</si>
  <si>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</si>
  <si>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</si>
  <si>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</si>
  <si>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</si>
  <si>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</si>
  <si>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</si>
  <si>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</si>
  <si>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</si>
  <si>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</si>
  <si>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</si>
  <si>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</si>
  <si>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</si>
  <si>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</si>
  <si>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</si>
  <si>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</si>
  <si>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</si>
  <si>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</si>
  <si>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</si>
  <si>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</si>
  <si>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</si>
  <si>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</si>
  <si>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</si>
  <si>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</si>
  <si>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</si>
  <si>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</si>
  <si>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</si>
  <si>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</si>
  <si>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</si>
  <si>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</si>
  <si>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</si>
  <si>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</si>
  <si>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</si>
  <si>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</si>
  <si>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</si>
  <si>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</si>
  <si>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</si>
  <si>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</si>
  <si>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6284634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</si>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</sst>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3" sqref="AA4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66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67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 t="s">
        <v>907</v>
      </c>
      <c r="I5" s="641"/>
      <c r="J5" s="641"/>
      <c r="K5" s="641"/>
      <c r="L5" s="641"/>
      <c r="M5" s="641"/>
      <c r="N5" s="72"/>
      <c r="P5" s="27" t="s">
        <v>4</v>
      </c>
      <c r="Q5" s="643">
        <v>46237</v>
      </c>
      <c r="R5" s="643"/>
      <c r="T5" s="644" t="s">
        <v>3</v>
      </c>
      <c r="U5" s="645"/>
      <c r="V5" s="646" t="s">
        <v>867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 t="s">
        <v>886</v>
      </c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650" t="s">
        <v>5</v>
      </c>
      <c r="U6" s="651"/>
      <c r="V6" s="652" t="s">
        <v>69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 t="str">
        <f>IFERROR(VLOOKUP(DeliveryAddress,Table,3,0),1)</f>
        <v>7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57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0.625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70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908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71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72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73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74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60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58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65</v>
      </c>
      <c r="L17" s="682" t="s">
        <v>63</v>
      </c>
      <c r="M17" s="682" t="s">
        <v>2</v>
      </c>
      <c r="N17" s="682" t="s">
        <v>62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55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59</v>
      </c>
      <c r="AB17" s="696" t="s">
        <v>19</v>
      </c>
      <c r="AC17" s="696" t="s">
        <v>64</v>
      </c>
      <c r="AD17" s="698" t="s">
        <v>56</v>
      </c>
      <c r="AE17" s="699"/>
      <c r="AF17" s="700"/>
      <c r="AG17" s="82"/>
      <c r="BD17" s="81" t="s">
        <v>61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hidden="1" customHeight="1" x14ac:dyDescent="0.2">
      <c r="A19" s="704" t="s">
        <v>75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hidden="1" customHeight="1" x14ac:dyDescent="0.25">
      <c r="A20" s="705" t="s">
        <v>75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hidden="1" customHeight="1" x14ac:dyDescent="0.25">
      <c r="A21" s="706" t="s">
        <v>76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6" t="s">
        <v>85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6" t="s">
        <v>103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hidden="1" customHeight="1" x14ac:dyDescent="0.25">
      <c r="A39" s="705" t="s">
        <v>109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hidden="1" customHeight="1" x14ac:dyDescent="0.25">
      <c r="A40" s="706" t="s">
        <v>85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4" t="s">
        <v>125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hidden="1" customHeight="1" x14ac:dyDescent="0.25">
      <c r="A49" s="705" t="s">
        <v>126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hidden="1" customHeight="1" x14ac:dyDescent="0.25">
      <c r="A50" s="706" t="s">
        <v>127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5" t="s">
        <v>142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hidden="1" customHeight="1" x14ac:dyDescent="0.25">
      <c r="A58" s="706" t="s">
        <v>127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6" t="s">
        <v>163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6" t="s">
        <v>85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6" t="s">
        <v>180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5" t="s">
        <v>187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hidden="1" customHeight="1" x14ac:dyDescent="0.25">
      <c r="A87" s="706" t="s">
        <v>127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6" t="s">
        <v>85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5" t="s">
        <v>208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hidden="1" customHeight="1" x14ac:dyDescent="0.25">
      <c r="A102" s="706" t="s">
        <v>127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6" t="s">
        <v>163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6" t="s">
        <v>85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6" t="s">
        <v>180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5" t="s">
        <v>247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hidden="1" customHeight="1" x14ac:dyDescent="0.25">
      <c r="A131" s="706" t="s">
        <v>127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6" t="s">
        <v>76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6" t="s">
        <v>85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5" t="s">
        <v>275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hidden="1" customHeight="1" x14ac:dyDescent="0.25">
      <c r="A153" s="706" t="s">
        <v>85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6" t="s">
        <v>103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5" t="s">
        <v>125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hidden="1" customHeight="1" x14ac:dyDescent="0.25">
      <c r="A165" s="706" t="s">
        <v>127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6" t="s">
        <v>163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2" t="s">
        <v>304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6" t="s">
        <v>76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6" t="s">
        <v>85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6" t="s">
        <v>103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6" t="s">
        <v>353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4" t="s">
        <v>357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hidden="1" customHeight="1" x14ac:dyDescent="0.25">
      <c r="A206" s="705" t="s">
        <v>358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hidden="1" customHeight="1" x14ac:dyDescent="0.25">
      <c r="A207" s="706" t="s">
        <v>127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5" t="s">
        <v>379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hidden="1" customHeight="1" x14ac:dyDescent="0.25">
      <c r="A218" s="706" t="s">
        <v>163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6" t="s">
        <v>76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6" t="s">
        <v>85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6" t="s">
        <v>103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6" t="s">
        <v>443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5" t="s">
        <v>446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hidden="1" customHeight="1" x14ac:dyDescent="0.25">
      <c r="A258" s="706" t="s">
        <v>127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6" t="s">
        <v>163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6" t="s">
        <v>76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6" t="s">
        <v>85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6" t="s">
        <v>180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5" t="s">
        <v>514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hidden="1" customHeight="1" x14ac:dyDescent="0.25">
      <c r="A300" s="706" t="s">
        <v>127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6" t="s">
        <v>163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6" t="s">
        <v>536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6" t="s">
        <v>353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5" t="s">
        <v>547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hidden="1" customHeight="1" x14ac:dyDescent="0.25">
      <c r="A325" s="706" t="s">
        <v>127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5" t="s">
        <v>563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hidden="1" customHeight="1" x14ac:dyDescent="0.25">
      <c r="A334" s="706" t="s">
        <v>85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5" t="s">
        <v>572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hidden="1" customHeight="1" x14ac:dyDescent="0.25">
      <c r="A341" s="706" t="s">
        <v>76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6" t="s">
        <v>85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5" t="s">
        <v>593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hidden="1" customHeight="1" x14ac:dyDescent="0.25">
      <c r="A355" s="706" t="s">
        <v>127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5" t="s">
        <v>602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hidden="1" customHeight="1" x14ac:dyDescent="0.25">
      <c r="A362" s="706" t="s">
        <v>127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606</v>
      </c>
      <c r="B364" s="63" t="s">
        <v>607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89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139</v>
      </c>
      <c r="L366" s="37" t="s">
        <v>46</v>
      </c>
      <c r="M366" s="38" t="s">
        <v>131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605</v>
      </c>
      <c r="AG366" s="78"/>
      <c r="AJ366" s="84" t="s">
        <v>46</v>
      </c>
      <c r="AK366" s="84">
        <v>0</v>
      </c>
      <c r="BB366" s="459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706" t="s">
        <v>76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139</v>
      </c>
      <c r="L371" s="37" t="s">
        <v>46</v>
      </c>
      <c r="M371" s="38" t="s">
        <v>80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66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46</v>
      </c>
      <c r="M374" s="38" t="s">
        <v>80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622</v>
      </c>
      <c r="AG374" s="78"/>
      <c r="AJ374" s="84" t="s">
        <v>46</v>
      </c>
      <c r="AK374" s="84">
        <v>0</v>
      </c>
      <c r="BB374" s="469" t="s">
        <v>66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630</v>
      </c>
      <c r="AG375" s="78"/>
      <c r="AJ375" s="84" t="s">
        <v>46</v>
      </c>
      <c r="AK375" s="84">
        <v>0</v>
      </c>
      <c r="BB375" s="471" t="s">
        <v>66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139</v>
      </c>
      <c r="L376" s="37" t="s">
        <v>46</v>
      </c>
      <c r="M376" s="38" t="s">
        <v>80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625</v>
      </c>
      <c r="AG376" s="78"/>
      <c r="AJ376" s="84" t="s">
        <v>46</v>
      </c>
      <c r="AK376" s="84">
        <v>0</v>
      </c>
      <c r="BB376" s="473" t="s">
        <v>66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633</v>
      </c>
      <c r="B377" s="63" t="s">
        <v>634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90</v>
      </c>
      <c r="L377" s="37" t="s">
        <v>46</v>
      </c>
      <c r="M377" s="38" t="s">
        <v>80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635</v>
      </c>
      <c r="AG377" s="78"/>
      <c r="AJ377" s="84" t="s">
        <v>46</v>
      </c>
      <c r="AK377" s="84">
        <v>0</v>
      </c>
      <c r="BB377" s="475" t="s">
        <v>66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06" t="s">
        <v>85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hidden="1" customHeight="1" x14ac:dyDescent="0.25">
      <c r="A381" s="63" t="s">
        <v>636</v>
      </c>
      <c r="B381" s="63" t="s">
        <v>637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132</v>
      </c>
      <c r="L381" s="37" t="s">
        <v>46</v>
      </c>
      <c r="M381" s="38" t="s">
        <v>89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90</v>
      </c>
      <c r="L384" s="37" t="s">
        <v>46</v>
      </c>
      <c r="M384" s="38" t="s">
        <v>89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638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06" t="s">
        <v>180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hidden="1" customHeight="1" x14ac:dyDescent="0.25">
      <c r="A388" s="63" t="s">
        <v>647</v>
      </c>
      <c r="B388" s="63" t="s">
        <v>648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132</v>
      </c>
      <c r="L388" s="37" t="s">
        <v>46</v>
      </c>
      <c r="M388" s="38" t="s">
        <v>89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649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653</v>
      </c>
      <c r="B390" s="63" t="s">
        <v>654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132</v>
      </c>
      <c r="L390" s="37" t="s">
        <v>46</v>
      </c>
      <c r="M390" s="38" t="s">
        <v>96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06" t="s">
        <v>103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hidden="1" customHeight="1" x14ac:dyDescent="0.25">
      <c r="A394" s="63" t="s">
        <v>656</v>
      </c>
      <c r="B394" s="63" t="s">
        <v>657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139</v>
      </c>
      <c r="L394" s="37" t="s">
        <v>46</v>
      </c>
      <c r="M394" s="38" t="s">
        <v>108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658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658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661</v>
      </c>
      <c r="B396" s="63" t="s">
        <v>662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90</v>
      </c>
      <c r="L396" s="37" t="s">
        <v>46</v>
      </c>
      <c r="M396" s="38" t="s">
        <v>108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658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663</v>
      </c>
      <c r="B397" s="63" t="s">
        <v>664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658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706" t="s">
        <v>665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hidden="1" customHeight="1" x14ac:dyDescent="0.25">
      <c r="A401" s="63" t="s">
        <v>666</v>
      </c>
      <c r="B401" s="63" t="s">
        <v>667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668</v>
      </c>
      <c r="AG401" s="78"/>
      <c r="AJ401" s="84" t="s">
        <v>46</v>
      </c>
      <c r="AK401" s="84">
        <v>0</v>
      </c>
      <c r="BB401" s="499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670</v>
      </c>
      <c r="B402" s="63" t="s">
        <v>671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669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668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672</v>
      </c>
      <c r="B403" s="63" t="s">
        <v>673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669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06" t="s">
        <v>674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hidden="1" customHeight="1" x14ac:dyDescent="0.25">
      <c r="A407" s="63" t="s">
        <v>675</v>
      </c>
      <c r="B407" s="63" t="s">
        <v>676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251</v>
      </c>
      <c r="AC407" s="504" t="s">
        <v>677</v>
      </c>
      <c r="AG407" s="78"/>
      <c r="AJ407" s="84" t="s">
        <v>46</v>
      </c>
      <c r="AK407" s="84">
        <v>0</v>
      </c>
      <c r="BB407" s="50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139</v>
      </c>
      <c r="L408" s="37" t="s">
        <v>46</v>
      </c>
      <c r="M408" s="38" t="s">
        <v>669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669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251</v>
      </c>
      <c r="AC409" s="508" t="s">
        <v>677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705" t="s">
        <v>683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hidden="1" customHeight="1" x14ac:dyDescent="0.25">
      <c r="A413" s="706" t="s">
        <v>85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hidden="1" customHeight="1" x14ac:dyDescent="0.25">
      <c r="A414" s="63" t="s">
        <v>684</v>
      </c>
      <c r="B414" s="63" t="s">
        <v>685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132</v>
      </c>
      <c r="L414" s="37" t="s">
        <v>46</v>
      </c>
      <c r="M414" s="38" t="s">
        <v>96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90</v>
      </c>
      <c r="L415" s="37" t="s">
        <v>46</v>
      </c>
      <c r="M415" s="38" t="s">
        <v>89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90</v>
      </c>
      <c r="L416" s="37" t="s">
        <v>46</v>
      </c>
      <c r="M416" s="38" t="s">
        <v>96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704" t="s">
        <v>693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hidden="1" customHeight="1" x14ac:dyDescent="0.25">
      <c r="A420" s="705" t="s">
        <v>694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hidden="1" customHeight="1" x14ac:dyDescent="0.25">
      <c r="A421" s="706" t="s">
        <v>127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hidden="1" customHeight="1" x14ac:dyDescent="0.25">
      <c r="A422" s="63" t="s">
        <v>695</v>
      </c>
      <c r="B422" s="63" t="s">
        <v>696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132</v>
      </c>
      <c r="L422" s="37" t="s">
        <v>46</v>
      </c>
      <c r="M422" s="38" t="s">
        <v>96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697</v>
      </c>
      <c r="AG422" s="78"/>
      <c r="AJ422" s="84" t="s">
        <v>46</v>
      </c>
      <c r="AK422" s="84">
        <v>0</v>
      </c>
      <c r="BB422" s="517" t="s">
        <v>66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698</v>
      </c>
      <c r="B423" s="63" t="s">
        <v>699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80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2400</v>
      </c>
      <c r="Y423" s="55">
        <f t="shared" si="47"/>
        <v>2400</v>
      </c>
      <c r="Z423" s="41">
        <f>IFERROR(IF(Y423=0,"",ROUNDUP(Y423/H423,0)*0.02175),"")</f>
        <v>3.4799999999999995</v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si="48"/>
        <v>2475.1999999999998</v>
      </c>
      <c r="BN423" s="78">
        <f t="shared" si="49"/>
        <v>2475.1999999999998</v>
      </c>
      <c r="BO423" s="78">
        <f t="shared" si="50"/>
        <v>3.333333333333333</v>
      </c>
      <c r="BP423" s="78">
        <f t="shared" si="51"/>
        <v>3.333333333333333</v>
      </c>
    </row>
    <row r="424" spans="1:68" ht="27" hidden="1" customHeight="1" x14ac:dyDescent="0.25">
      <c r="A424" s="63" t="s">
        <v>701</v>
      </c>
      <c r="B424" s="63" t="s">
        <v>702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80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47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48"/>
        <v>1031.3333333333333</v>
      </c>
      <c r="BN425" s="78">
        <f t="shared" si="49"/>
        <v>1036.49</v>
      </c>
      <c r="BO425" s="78">
        <f t="shared" si="50"/>
        <v>1.3888888888888888</v>
      </c>
      <c r="BP425" s="78">
        <f t="shared" si="51"/>
        <v>1.3958333333333333</v>
      </c>
    </row>
    <row r="426" spans="1:68" ht="27" customHeight="1" x14ac:dyDescent="0.25">
      <c r="A426" s="63" t="s">
        <v>707</v>
      </c>
      <c r="B426" s="63" t="s">
        <v>708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96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200</v>
      </c>
      <c r="Y426" s="55">
        <f t="shared" si="47"/>
        <v>210</v>
      </c>
      <c r="Z426" s="41">
        <f>IFERROR(IF(Y426=0,"",ROUNDUP(Y426/H426,0)*0.02175),"")</f>
        <v>0.30449999999999999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48"/>
        <v>206.26666666666668</v>
      </c>
      <c r="BN426" s="78">
        <f t="shared" si="49"/>
        <v>216.58</v>
      </c>
      <c r="BO426" s="78">
        <f t="shared" si="50"/>
        <v>0.27777777777777779</v>
      </c>
      <c r="BP426" s="78">
        <f t="shared" si="51"/>
        <v>0.29166666666666663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139</v>
      </c>
      <c r="L427" s="37" t="s">
        <v>46</v>
      </c>
      <c r="M427" s="38" t="s">
        <v>131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139</v>
      </c>
      <c r="L428" s="37" t="s">
        <v>46</v>
      </c>
      <c r="M428" s="38" t="s">
        <v>80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716</v>
      </c>
      <c r="B429" s="63" t="s">
        <v>717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240.00000000000003</v>
      </c>
      <c r="Y430" s="43">
        <f>IFERROR(Y422/H422,"0")+IFERROR(Y423/H423,"0")+IFERROR(Y424/H424,"0")+IFERROR(Y425/H425,"0")+IFERROR(Y426/H426,"0")+IFERROR(Y427/H427,"0")+IFERROR(Y428/H428,"0")+IFERROR(Y429/H429,"0")</f>
        <v>241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5.2417499999999997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3600</v>
      </c>
      <c r="Y431" s="43">
        <f>IFERROR(SUM(Y422:Y429),"0")</f>
        <v>3615</v>
      </c>
      <c r="Z431" s="42"/>
      <c r="AA431" s="67"/>
      <c r="AB431" s="67"/>
      <c r="AC431" s="67"/>
    </row>
    <row r="432" spans="1:68" ht="14.25" hidden="1" customHeight="1" x14ac:dyDescent="0.25">
      <c r="A432" s="706" t="s">
        <v>163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hidden="1" customHeight="1" x14ac:dyDescent="0.25">
      <c r="A433" s="63" t="s">
        <v>719</v>
      </c>
      <c r="B433" s="63" t="s">
        <v>720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132</v>
      </c>
      <c r="L433" s="37" t="s">
        <v>46</v>
      </c>
      <c r="M433" s="38" t="s">
        <v>131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721</v>
      </c>
      <c r="AG433" s="78"/>
      <c r="AJ433" s="84" t="s">
        <v>46</v>
      </c>
      <c r="AK433" s="84">
        <v>0</v>
      </c>
      <c r="BB433" s="533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hidden="1" customHeight="1" x14ac:dyDescent="0.25">
      <c r="A434" s="63" t="s">
        <v>722</v>
      </c>
      <c r="B434" s="63" t="s">
        <v>723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139</v>
      </c>
      <c r="L435" s="37" t="s">
        <v>46</v>
      </c>
      <c r="M435" s="38" t="s">
        <v>131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hidden="1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706" t="s">
        <v>85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hidden="1" customHeight="1" x14ac:dyDescent="0.25">
      <c r="A439" s="63" t="s">
        <v>728</v>
      </c>
      <c r="B439" s="63" t="s">
        <v>729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730</v>
      </c>
      <c r="AG439" s="78"/>
      <c r="AJ439" s="84" t="s">
        <v>46</v>
      </c>
      <c r="AK439" s="84">
        <v>0</v>
      </c>
      <c r="BB439" s="53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731</v>
      </c>
      <c r="B440" s="63" t="s">
        <v>732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734</v>
      </c>
      <c r="B441" s="63" t="s">
        <v>735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132</v>
      </c>
      <c r="L441" s="37" t="s">
        <v>46</v>
      </c>
      <c r="M441" s="38" t="s">
        <v>89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706" t="s">
        <v>180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hidden="1" customHeight="1" x14ac:dyDescent="0.25">
      <c r="A445" s="63" t="s">
        <v>737</v>
      </c>
      <c r="B445" s="63" t="s">
        <v>738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132</v>
      </c>
      <c r="L445" s="37" t="s">
        <v>46</v>
      </c>
      <c r="M445" s="38" t="s">
        <v>89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739</v>
      </c>
      <c r="AG445" s="78"/>
      <c r="AJ445" s="84" t="s">
        <v>46</v>
      </c>
      <c r="AK445" s="84">
        <v>0</v>
      </c>
      <c r="BB445" s="54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740</v>
      </c>
      <c r="B446" s="63" t="s">
        <v>741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132</v>
      </c>
      <c r="L446" s="37" t="s">
        <v>46</v>
      </c>
      <c r="M446" s="38" t="s">
        <v>89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705" t="s">
        <v>743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hidden="1" customHeight="1" x14ac:dyDescent="0.25">
      <c r="A450" s="706" t="s">
        <v>127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hidden="1" customHeight="1" x14ac:dyDescent="0.25">
      <c r="A451" s="63" t="s">
        <v>744</v>
      </c>
      <c r="B451" s="63" t="s">
        <v>745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132</v>
      </c>
      <c r="L451" s="37" t="s">
        <v>46</v>
      </c>
      <c r="M451" s="38" t="s">
        <v>80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746</v>
      </c>
      <c r="AG451" s="78"/>
      <c r="AJ451" s="84" t="s">
        <v>46</v>
      </c>
      <c r="AK451" s="84">
        <v>0</v>
      </c>
      <c r="BB451" s="54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747</v>
      </c>
      <c r="B452" s="63" t="s">
        <v>748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139</v>
      </c>
      <c r="L452" s="37" t="s">
        <v>46</v>
      </c>
      <c r="M452" s="38" t="s">
        <v>80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746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06" t="s">
        <v>76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139</v>
      </c>
      <c r="L456" s="37" t="s">
        <v>46</v>
      </c>
      <c r="M456" s="38" t="s">
        <v>80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751</v>
      </c>
      <c r="AG456" s="78"/>
      <c r="AJ456" s="84" t="s">
        <v>46</v>
      </c>
      <c r="AK456" s="84">
        <v>0</v>
      </c>
      <c r="BB456" s="55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06" t="s">
        <v>85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hidden="1" customHeight="1" x14ac:dyDescent="0.25">
      <c r="A460" s="63" t="s">
        <v>752</v>
      </c>
      <c r="B460" s="63" t="s">
        <v>753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132</v>
      </c>
      <c r="L460" s="37" t="s">
        <v>46</v>
      </c>
      <c r="M460" s="38" t="s">
        <v>89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754</v>
      </c>
      <c r="AG460" s="78"/>
      <c r="AJ460" s="84" t="s">
        <v>46</v>
      </c>
      <c r="AK460" s="84">
        <v>0</v>
      </c>
      <c r="BB460" s="55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755</v>
      </c>
      <c r="B461" s="63" t="s">
        <v>756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754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755</v>
      </c>
      <c r="B462" s="63" t="s">
        <v>757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hidden="1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hidden="1" customHeight="1" x14ac:dyDescent="0.2">
      <c r="A465" s="704" t="s">
        <v>759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hidden="1" customHeight="1" x14ac:dyDescent="0.25">
      <c r="A466" s="705" t="s">
        <v>760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hidden="1" customHeight="1" x14ac:dyDescent="0.25">
      <c r="A467" s="706" t="s">
        <v>76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139</v>
      </c>
      <c r="L468" s="37" t="s">
        <v>46</v>
      </c>
      <c r="M468" s="38" t="s">
        <v>80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763</v>
      </c>
      <c r="AG470" s="78"/>
      <c r="AJ470" s="84" t="s">
        <v>46</v>
      </c>
      <c r="AK470" s="84">
        <v>0</v>
      </c>
      <c r="BB470" s="565" t="s">
        <v>66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769</v>
      </c>
      <c r="B471" s="63" t="s">
        <v>770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771</v>
      </c>
      <c r="AG471" s="78"/>
      <c r="AJ471" s="84" t="s">
        <v>46</v>
      </c>
      <c r="AK471" s="84">
        <v>0</v>
      </c>
      <c r="BB471" s="567" t="s">
        <v>66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775</v>
      </c>
      <c r="B473" s="63" t="s">
        <v>776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771</v>
      </c>
      <c r="AG473" s="78"/>
      <c r="AJ473" s="84" t="s">
        <v>46</v>
      </c>
      <c r="AK473" s="84">
        <v>0</v>
      </c>
      <c r="BB473" s="571" t="s">
        <v>66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06" t="s">
        <v>85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hidden="1" customHeight="1" x14ac:dyDescent="0.25">
      <c r="A477" s="63" t="s">
        <v>777</v>
      </c>
      <c r="B477" s="63" t="s">
        <v>778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139</v>
      </c>
      <c r="L477" s="37" t="s">
        <v>46</v>
      </c>
      <c r="M477" s="38" t="s">
        <v>89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779</v>
      </c>
      <c r="AG477" s="78"/>
      <c r="AJ477" s="84" t="s">
        <v>46</v>
      </c>
      <c r="AK477" s="84">
        <v>0</v>
      </c>
      <c r="BB477" s="573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780</v>
      </c>
      <c r="B478" s="63" t="s">
        <v>781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90</v>
      </c>
      <c r="L478" s="37" t="s">
        <v>46</v>
      </c>
      <c r="M478" s="38" t="s">
        <v>89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705" t="s">
        <v>783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hidden="1" customHeight="1" x14ac:dyDescent="0.25">
      <c r="A482" s="706" t="s">
        <v>163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hidden="1" customHeight="1" x14ac:dyDescent="0.25">
      <c r="A483" s="63" t="s">
        <v>784</v>
      </c>
      <c r="B483" s="63" t="s">
        <v>785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90</v>
      </c>
      <c r="L483" s="37" t="s">
        <v>46</v>
      </c>
      <c r="M483" s="38" t="s">
        <v>80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786</v>
      </c>
      <c r="AG483" s="78"/>
      <c r="AJ483" s="84" t="s">
        <v>46</v>
      </c>
      <c r="AK483" s="84">
        <v>0</v>
      </c>
      <c r="BB483" s="57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06" t="s">
        <v>76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hidden="1" customHeight="1" x14ac:dyDescent="0.25">
      <c r="A487" s="63" t="s">
        <v>787</v>
      </c>
      <c r="B487" s="63" t="s">
        <v>788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139</v>
      </c>
      <c r="L487" s="37" t="s">
        <v>46</v>
      </c>
      <c r="M487" s="38" t="s">
        <v>80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789</v>
      </c>
      <c r="AG487" s="78"/>
      <c r="AJ487" s="84" t="s">
        <v>46</v>
      </c>
      <c r="AK487" s="84">
        <v>0</v>
      </c>
      <c r="BB487" s="57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790</v>
      </c>
      <c r="B488" s="63" t="s">
        <v>791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792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704" t="s">
        <v>795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hidden="1" customHeight="1" x14ac:dyDescent="0.25">
      <c r="A493" s="705" t="s">
        <v>795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hidden="1" customHeight="1" x14ac:dyDescent="0.25">
      <c r="A494" s="706" t="s">
        <v>127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hidden="1" customHeight="1" x14ac:dyDescent="0.25">
      <c r="A495" s="63" t="s">
        <v>796</v>
      </c>
      <c r="B495" s="63" t="s">
        <v>797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132</v>
      </c>
      <c r="L495" s="37" t="s">
        <v>46</v>
      </c>
      <c r="M495" s="38" t="s">
        <v>89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130</v>
      </c>
      <c r="AG495" s="78"/>
      <c r="AJ495" s="84" t="s">
        <v>46</v>
      </c>
      <c r="AK495" s="84">
        <v>0</v>
      </c>
      <c r="BB495" s="585" t="s">
        <v>66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hidden="1" customHeight="1" x14ac:dyDescent="0.25">
      <c r="A496" s="63" t="s">
        <v>798</v>
      </c>
      <c r="B496" s="63" t="s">
        <v>799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131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800</v>
      </c>
      <c r="AG496" s="78"/>
      <c r="AJ496" s="84" t="s">
        <v>46</v>
      </c>
      <c r="AK496" s="84">
        <v>0</v>
      </c>
      <c r="BB496" s="587" t="s">
        <v>66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hidden="1" customHeight="1" x14ac:dyDescent="0.25">
      <c r="A497" s="63" t="s">
        <v>801</v>
      </c>
      <c r="B497" s="63" t="s">
        <v>802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807</v>
      </c>
      <c r="B499" s="63" t="s">
        <v>808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89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hidden="1" customHeight="1" x14ac:dyDescent="0.25">
      <c r="A500" s="63" t="s">
        <v>810</v>
      </c>
      <c r="B500" s="63" t="s">
        <v>811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131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90</v>
      </c>
      <c r="L501" s="37" t="s">
        <v>46</v>
      </c>
      <c r="M501" s="38" t="s">
        <v>89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130</v>
      </c>
      <c r="AG501" s="78"/>
      <c r="AJ501" s="84" t="s">
        <v>46</v>
      </c>
      <c r="AK501" s="84">
        <v>0</v>
      </c>
      <c r="BB501" s="597" t="s">
        <v>66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815</v>
      </c>
      <c r="B502" s="63" t="s">
        <v>816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139</v>
      </c>
      <c r="L502" s="37" t="s">
        <v>46</v>
      </c>
      <c r="M502" s="38" t="s">
        <v>89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817</v>
      </c>
      <c r="B503" s="63" t="s">
        <v>818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131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812</v>
      </c>
      <c r="AG503" s="78"/>
      <c r="AJ503" s="84" t="s">
        <v>46</v>
      </c>
      <c r="AK503" s="84">
        <v>0</v>
      </c>
      <c r="BB503" s="601" t="s">
        <v>66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hidden="1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706" t="s">
        <v>163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hidden="1" customHeight="1" x14ac:dyDescent="0.25">
      <c r="A507" s="63" t="s">
        <v>819</v>
      </c>
      <c r="B507" s="63" t="s">
        <v>820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132</v>
      </c>
      <c r="L507" s="37" t="s">
        <v>46</v>
      </c>
      <c r="M507" s="38" t="s">
        <v>89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821</v>
      </c>
      <c r="AG507" s="78"/>
      <c r="AJ507" s="84" t="s">
        <v>46</v>
      </c>
      <c r="AK507" s="84">
        <v>0</v>
      </c>
      <c r="BB507" s="603" t="s">
        <v>66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hidden="1" customHeight="1" x14ac:dyDescent="0.25">
      <c r="A508" s="63" t="s">
        <v>822</v>
      </c>
      <c r="B508" s="63" t="s">
        <v>823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90</v>
      </c>
      <c r="L508" s="37" t="s">
        <v>46</v>
      </c>
      <c r="M508" s="38" t="s">
        <v>131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821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824</v>
      </c>
      <c r="B509" s="63" t="s">
        <v>825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139</v>
      </c>
      <c r="L509" s="37" t="s">
        <v>46</v>
      </c>
      <c r="M509" s="38" t="s">
        <v>131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821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706" t="s">
        <v>76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hidden="1" customHeight="1" x14ac:dyDescent="0.25">
      <c r="A513" s="63" t="s">
        <v>826</v>
      </c>
      <c r="B513" s="63" t="s">
        <v>827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132</v>
      </c>
      <c r="L513" s="37" t="s">
        <v>46</v>
      </c>
      <c r="M513" s="38" t="s">
        <v>131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828</v>
      </c>
      <c r="AG513" s="78"/>
      <c r="AJ513" s="84" t="s">
        <v>46</v>
      </c>
      <c r="AK513" s="84">
        <v>0</v>
      </c>
      <c r="BB513" s="609" t="s">
        <v>66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80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139</v>
      </c>
      <c r="L516" s="37" t="s">
        <v>46</v>
      </c>
      <c r="M516" s="38" t="s">
        <v>131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828</v>
      </c>
      <c r="AG516" s="78"/>
      <c r="AJ516" s="84" t="s">
        <v>46</v>
      </c>
      <c r="AK516" s="84">
        <v>0</v>
      </c>
      <c r="BB516" s="615" t="s">
        <v>66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837</v>
      </c>
      <c r="B517" s="63" t="s">
        <v>838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139</v>
      </c>
      <c r="L517" s="37" t="s">
        <v>46</v>
      </c>
      <c r="M517" s="38" t="s">
        <v>80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837</v>
      </c>
      <c r="B518" s="63" t="s">
        <v>839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831</v>
      </c>
      <c r="AG518" s="78"/>
      <c r="AJ518" s="84" t="s">
        <v>46</v>
      </c>
      <c r="AK518" s="84">
        <v>0</v>
      </c>
      <c r="BB518" s="619" t="s">
        <v>66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hidden="1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hidden="1" customHeight="1" x14ac:dyDescent="0.2">
      <c r="A522" s="704" t="s">
        <v>842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hidden="1" customHeight="1" x14ac:dyDescent="0.25">
      <c r="A523" s="705" t="s">
        <v>842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hidden="1" customHeight="1" x14ac:dyDescent="0.25">
      <c r="A524" s="706" t="s">
        <v>127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hidden="1" customHeight="1" x14ac:dyDescent="0.25">
      <c r="A525" s="63" t="s">
        <v>843</v>
      </c>
      <c r="B525" s="63" t="s">
        <v>844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132</v>
      </c>
      <c r="L525" s="37" t="s">
        <v>46</v>
      </c>
      <c r="M525" s="38" t="s">
        <v>131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845</v>
      </c>
      <c r="AG525" s="78"/>
      <c r="AJ525" s="84" t="s">
        <v>46</v>
      </c>
      <c r="AK525" s="84">
        <v>0</v>
      </c>
      <c r="BB525" s="623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706" t="s">
        <v>163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hidden="1" customHeight="1" x14ac:dyDescent="0.25">
      <c r="A529" s="63" t="s">
        <v>846</v>
      </c>
      <c r="B529" s="63" t="s">
        <v>847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132</v>
      </c>
      <c r="L529" s="37" t="s">
        <v>46</v>
      </c>
      <c r="M529" s="38" t="s">
        <v>131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848</v>
      </c>
      <c r="AG529" s="78"/>
      <c r="AJ529" s="84" t="s">
        <v>46</v>
      </c>
      <c r="AK529" s="84">
        <v>0</v>
      </c>
      <c r="BB529" s="62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06" t="s">
        <v>76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hidden="1" customHeight="1" x14ac:dyDescent="0.25">
      <c r="A533" s="63" t="s">
        <v>849</v>
      </c>
      <c r="B533" s="63" t="s">
        <v>850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139</v>
      </c>
      <c r="L533" s="37" t="s">
        <v>46</v>
      </c>
      <c r="M533" s="38" t="s">
        <v>80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851</v>
      </c>
      <c r="AG533" s="78"/>
      <c r="AJ533" s="84" t="s">
        <v>46</v>
      </c>
      <c r="AK533" s="84">
        <v>0</v>
      </c>
      <c r="BB533" s="62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06" t="s">
        <v>85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hidden="1" customHeight="1" x14ac:dyDescent="0.25">
      <c r="A537" s="63" t="s">
        <v>852</v>
      </c>
      <c r="B537" s="63" t="s">
        <v>853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132</v>
      </c>
      <c r="L537" s="37" t="s">
        <v>46</v>
      </c>
      <c r="M537" s="38" t="s">
        <v>89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854</v>
      </c>
      <c r="AG537" s="78"/>
      <c r="AJ537" s="84" t="s">
        <v>46</v>
      </c>
      <c r="AK537" s="84">
        <v>0</v>
      </c>
      <c r="BB537" s="62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06" t="s">
        <v>180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hidden="1" customHeight="1" x14ac:dyDescent="0.25">
      <c r="A541" s="63" t="s">
        <v>855</v>
      </c>
      <c r="B541" s="63" t="s">
        <v>856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132</v>
      </c>
      <c r="L541" s="37" t="s">
        <v>46</v>
      </c>
      <c r="M541" s="38" t="s">
        <v>89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857</v>
      </c>
      <c r="AG541" s="78"/>
      <c r="AJ541" s="84" t="s">
        <v>46</v>
      </c>
      <c r="AK541" s="84">
        <v>0</v>
      </c>
      <c r="BB541" s="63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858</v>
      </c>
      <c r="B542" s="63" t="s">
        <v>859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705" t="s">
        <v>861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hidden="1" customHeight="1" x14ac:dyDescent="0.25">
      <c r="A546" s="706" t="s">
        <v>163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hidden="1" customHeight="1" x14ac:dyDescent="0.25">
      <c r="A547" s="63" t="s">
        <v>862</v>
      </c>
      <c r="B547" s="63" t="s">
        <v>863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132</v>
      </c>
      <c r="L547" s="37" t="s">
        <v>46</v>
      </c>
      <c r="M547" s="38" t="s">
        <v>131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864</v>
      </c>
      <c r="AG547" s="78"/>
      <c r="AJ547" s="84" t="s">
        <v>46</v>
      </c>
      <c r="AK547" s="84">
        <v>0</v>
      </c>
      <c r="BB547" s="635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3600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3615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3712.7999999999997</v>
      </c>
      <c r="Y551" s="43">
        <f>IFERROR(SUM(BN22:BN547),"0")</f>
        <v>3728.2699999999995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5</v>
      </c>
      <c r="Y552" s="44">
        <f>ROUNDUP(SUM(BP22:BP547),0)</f>
        <v>6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3837.7999999999997</v>
      </c>
      <c r="Y553" s="43">
        <f>GrossWeightTotalR+PalletQtyTotalR*25</f>
        <v>3878.2699999999995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240.00000000000003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241</v>
      </c>
      <c r="Z554" s="42"/>
      <c r="AA554" s="67"/>
      <c r="AB554" s="67"/>
      <c r="AC554" s="67"/>
    </row>
    <row r="555" spans="1:68" ht="14.25" hidden="1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5.2417499999999997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75</v>
      </c>
      <c r="C557" s="85" t="s">
        <v>45</v>
      </c>
      <c r="D557" s="996" t="s">
        <v>125</v>
      </c>
      <c r="E557" s="996" t="s">
        <v>125</v>
      </c>
      <c r="F557" s="996" t="s">
        <v>125</v>
      </c>
      <c r="G557" s="996" t="s">
        <v>125</v>
      </c>
      <c r="H557" s="996" t="s">
        <v>125</v>
      </c>
      <c r="I557" s="996" t="s">
        <v>125</v>
      </c>
      <c r="J557" s="996" t="s">
        <v>125</v>
      </c>
      <c r="K557" s="996" t="s">
        <v>357</v>
      </c>
      <c r="L557" s="996" t="s">
        <v>357</v>
      </c>
      <c r="M557" s="996" t="s">
        <v>357</v>
      </c>
      <c r="N557" s="997"/>
      <c r="O557" s="996" t="s">
        <v>357</v>
      </c>
      <c r="P557" s="996" t="s">
        <v>357</v>
      </c>
      <c r="Q557" s="996" t="s">
        <v>357</v>
      </c>
      <c r="R557" s="996" t="s">
        <v>357</v>
      </c>
      <c r="S557" s="996" t="s">
        <v>357</v>
      </c>
      <c r="T557" s="996" t="s">
        <v>357</v>
      </c>
      <c r="U557" s="996" t="s">
        <v>357</v>
      </c>
      <c r="V557" s="996" t="s">
        <v>693</v>
      </c>
      <c r="W557" s="996" t="s">
        <v>693</v>
      </c>
      <c r="X557" s="996" t="s">
        <v>759</v>
      </c>
      <c r="Y557" s="996" t="s">
        <v>759</v>
      </c>
      <c r="Z557" s="85" t="s">
        <v>795</v>
      </c>
      <c r="AA557" s="996" t="s">
        <v>842</v>
      </c>
      <c r="AB557" s="996" t="s">
        <v>842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75</v>
      </c>
      <c r="C558" s="996" t="s">
        <v>109</v>
      </c>
      <c r="D558" s="996" t="s">
        <v>126</v>
      </c>
      <c r="E558" s="996" t="s">
        <v>142</v>
      </c>
      <c r="F558" s="996" t="s">
        <v>187</v>
      </c>
      <c r="G558" s="996" t="s">
        <v>208</v>
      </c>
      <c r="H558" s="996" t="s">
        <v>247</v>
      </c>
      <c r="I558" s="996" t="s">
        <v>275</v>
      </c>
      <c r="J558" s="996" t="s">
        <v>125</v>
      </c>
      <c r="K558" s="996" t="s">
        <v>358</v>
      </c>
      <c r="L558" s="996" t="s">
        <v>379</v>
      </c>
      <c r="M558" s="996" t="s">
        <v>446</v>
      </c>
      <c r="N558" s="1"/>
      <c r="O558" s="996" t="s">
        <v>514</v>
      </c>
      <c r="P558" s="996" t="s">
        <v>547</v>
      </c>
      <c r="Q558" s="996" t="s">
        <v>563</v>
      </c>
      <c r="R558" s="996" t="s">
        <v>572</v>
      </c>
      <c r="S558" s="996" t="s">
        <v>593</v>
      </c>
      <c r="T558" s="996" t="s">
        <v>602</v>
      </c>
      <c r="U558" s="996" t="s">
        <v>683</v>
      </c>
      <c r="V558" s="996" t="s">
        <v>694</v>
      </c>
      <c r="W558" s="996" t="s">
        <v>743</v>
      </c>
      <c r="X558" s="996" t="s">
        <v>760</v>
      </c>
      <c r="Y558" s="996" t="s">
        <v>783</v>
      </c>
      <c r="Z558" s="996" t="s">
        <v>795</v>
      </c>
      <c r="AA558" s="996" t="s">
        <v>842</v>
      </c>
      <c r="AB558" s="996" t="s">
        <v>861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3615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2 400,00"/>
        <filter val="200,00"/>
        <filter val="240,00"/>
        <filter val="3 600,00"/>
        <filter val="3 712,80"/>
        <filter val="3 837,80"/>
        <filter val="5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4" spans="2:8" x14ac:dyDescent="0.2">
      <c r="B14" s="53" t="s">
        <v>889</v>
      </c>
      <c r="C14" s="53" t="s">
        <v>869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872</v>
      </c>
      <c r="D16" s="53" t="s">
        <v>46</v>
      </c>
      <c r="E16" s="53" t="s">
        <v>46</v>
      </c>
    </row>
    <row r="18" spans="2:5" x14ac:dyDescent="0.2">
      <c r="B18" s="53" t="s">
        <v>891</v>
      </c>
      <c r="C18" s="53" t="s">
        <v>875</v>
      </c>
      <c r="D18" s="53" t="s">
        <v>46</v>
      </c>
      <c r="E18" s="53" t="s">
        <v>46</v>
      </c>
    </row>
    <row r="20" spans="2:5" x14ac:dyDescent="0.2">
      <c r="B20" s="53" t="s">
        <v>892</v>
      </c>
      <c r="C20" s="53" t="s">
        <v>878</v>
      </c>
      <c r="D20" s="53" t="s">
        <v>46</v>
      </c>
      <c r="E20" s="53" t="s">
        <v>46</v>
      </c>
    </row>
    <row r="22" spans="2:5" x14ac:dyDescent="0.2">
      <c r="B22" s="53" t="s">
        <v>893</v>
      </c>
      <c r="C22" s="53" t="s">
        <v>881</v>
      </c>
      <c r="D22" s="53" t="s">
        <v>46</v>
      </c>
      <c r="E22" s="53" t="s">
        <v>46</v>
      </c>
    </row>
    <row r="24" spans="2:5" x14ac:dyDescent="0.2">
      <c r="B24" s="53" t="s">
        <v>894</v>
      </c>
      <c r="C24" s="53" t="s">
        <v>884</v>
      </c>
      <c r="D24" s="53" t="s">
        <v>46</v>
      </c>
      <c r="E24" s="53" t="s">
        <v>46</v>
      </c>
    </row>
    <row r="26" spans="2:5" x14ac:dyDescent="0.2">
      <c r="B26" s="53" t="s">
        <v>895</v>
      </c>
      <c r="C26" s="53" t="s">
        <v>887</v>
      </c>
      <c r="D26" s="53" t="s">
        <v>46</v>
      </c>
      <c r="E26" s="53" t="s">
        <v>46</v>
      </c>
    </row>
    <row r="28" spans="2:5" x14ac:dyDescent="0.2">
      <c r="B28" s="53" t="s">
        <v>896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2026-08-03T12:07:59Z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