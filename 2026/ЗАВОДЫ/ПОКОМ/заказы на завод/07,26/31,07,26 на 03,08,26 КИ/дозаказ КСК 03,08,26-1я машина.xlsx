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1DCA50F-9762-4C1C-A220-35AA4432F34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35" i="2" l="1"/>
  <c r="Z36" i="2" s="1"/>
  <c r="BP127" i="2"/>
  <c r="Z167" i="2"/>
  <c r="Z173" i="2"/>
  <c r="Y262" i="2"/>
  <c r="Z328" i="2"/>
  <c r="BN30" i="2"/>
  <c r="BN82" i="2"/>
  <c r="BN115" i="2"/>
  <c r="BN155" i="2"/>
  <c r="BN214" i="2"/>
  <c r="BN260" i="2"/>
  <c r="BP264" i="2"/>
  <c r="BN284" i="2"/>
  <c r="BN290" i="2"/>
  <c r="BN304" i="2"/>
  <c r="BN364" i="2"/>
  <c r="BN396" i="2"/>
  <c r="BN416" i="2"/>
  <c r="BN463" i="2"/>
  <c r="BN498" i="2"/>
  <c r="BN515" i="2"/>
  <c r="BN28" i="2"/>
  <c r="Z182" i="2"/>
  <c r="BN186" i="2"/>
  <c r="Z192" i="2"/>
  <c r="BP202" i="2"/>
  <c r="BN231" i="2"/>
  <c r="BN259" i="2"/>
  <c r="Z264" i="2"/>
  <c r="Z266" i="2" s="1"/>
  <c r="BN288" i="2"/>
  <c r="BN389" i="2"/>
  <c r="BN402" i="2"/>
  <c r="BN446" i="2"/>
  <c r="BN457" i="2"/>
  <c r="BN472" i="2"/>
  <c r="BN61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18" i="2" l="1"/>
  <c r="Z322" i="2"/>
  <c r="Z386" i="2"/>
  <c r="Z251" i="2"/>
  <c r="Z405" i="2"/>
  <c r="Z369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<sst xmlns="http://schemas.openxmlformats.org/spreadsheetml/2006/main" count="4194" uniqueCount="891">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</sst>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46237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400</v>
      </c>
      <c r="Y61" s="55">
        <f t="shared" si="0"/>
        <v>410.40000000000003</v>
      </c>
      <c r="Z61" s="41">
        <f>IFERROR(IF(Y61=0,"",ROUNDUP(Y61/H61,0)*0.01898),"")</f>
        <v>0.72123999999999999</v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415.18518518518516</v>
      </c>
      <c r="BN61" s="78">
        <f t="shared" si="2"/>
        <v>425.98</v>
      </c>
      <c r="BO61" s="78">
        <f t="shared" si="3"/>
        <v>0.57870370370370372</v>
      </c>
      <c r="BP61" s="78">
        <f t="shared" si="4"/>
        <v>0.59375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37.037037037037038</v>
      </c>
      <c r="Y67" s="43">
        <f>IFERROR(Y59/H59,"0")+IFERROR(Y60/H60,"0")+IFERROR(Y61/H61,"0")+IFERROR(Y62/H62,"0")+IFERROR(Y63/H63,"0")+IFERROR(Y64/H64,"0")+IFERROR(Y65/H65,"0")+IFERROR(Y66/H66,"0")</f>
        <v>38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0.72123999999999999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400</v>
      </c>
      <c r="Y68" s="43">
        <f>IFERROR(SUM(Y59:Y66),"0")</f>
        <v>410.40000000000003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400</v>
      </c>
      <c r="Y88" s="55">
        <f>IFERROR(IF(X88="",0,CEILING((X88/$H88),1)*$H88),"")</f>
        <v>410.40000000000003</v>
      </c>
      <c r="Z88" s="41">
        <f>IFERROR(IF(Y88=0,"",ROUNDUP(Y88/H88,0)*0.01898),"")</f>
        <v>0.72123999999999999</v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415.18518518518516</v>
      </c>
      <c r="BN88" s="78">
        <f>IFERROR(Y88*I88/H88,"0")</f>
        <v>425.98</v>
      </c>
      <c r="BO88" s="78">
        <f>IFERROR(1/J88*(X88/H88),"0")</f>
        <v>0.57870370370370372</v>
      </c>
      <c r="BP88" s="78">
        <f>IFERROR(1/J88*(Y88/H88),"0")</f>
        <v>0.59375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37.037037037037038</v>
      </c>
      <c r="Y92" s="43">
        <f>IFERROR(Y88/H88,"0")+IFERROR(Y89/H89,"0")+IFERROR(Y90/H90,"0")+IFERROR(Y91/H91,"0")</f>
        <v>38</v>
      </c>
      <c r="Z92" s="43">
        <f>IFERROR(IF(Z88="",0,Z88),"0")+IFERROR(IF(Z89="",0,Z89),"0")+IFERROR(IF(Z90="",0,Z90),"0")+IFERROR(IF(Z91="",0,Z91),"0")</f>
        <v>0.72123999999999999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400</v>
      </c>
      <c r="Y93" s="43">
        <f>IFERROR(SUM(Y88:Y91),"0")</f>
        <v>410.40000000000003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2200</v>
      </c>
      <c r="Y424" s="55">
        <f t="shared" si="52"/>
        <v>2205</v>
      </c>
      <c r="Z424" s="41">
        <f>IFERROR(IF(Y424=0,"",ROUNDUP(Y424/H424,0)*0.02175),"")</f>
        <v>3.1972499999999999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2268.9333333333334</v>
      </c>
      <c r="BN424" s="78">
        <f t="shared" si="54"/>
        <v>2274.0899999999997</v>
      </c>
      <c r="BO424" s="78">
        <f t="shared" si="55"/>
        <v>3.0555555555555554</v>
      </c>
      <c r="BP424" s="78">
        <f t="shared" si="56"/>
        <v>3.0625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1700</v>
      </c>
      <c r="Y426" s="55">
        <f t="shared" si="52"/>
        <v>1710</v>
      </c>
      <c r="Z426" s="41">
        <f>IFERROR(IF(Y426=0,"",ROUNDUP(Y426/H426,0)*0.02175),"")</f>
        <v>2.4794999999999998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1753.2666666666667</v>
      </c>
      <c r="BN426" s="78">
        <f t="shared" si="54"/>
        <v>1763.5800000000002</v>
      </c>
      <c r="BO426" s="78">
        <f t="shared" si="55"/>
        <v>2.3611111111111107</v>
      </c>
      <c r="BP426" s="78">
        <f t="shared" si="56"/>
        <v>2.375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600</v>
      </c>
      <c r="Y427" s="55">
        <f t="shared" si="52"/>
        <v>600</v>
      </c>
      <c r="Z427" s="41">
        <f>IFERROR(IF(Y427=0,"",ROUNDUP(Y427/H427,0)*0.02175),"")</f>
        <v>0.86999999999999988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618.79999999999995</v>
      </c>
      <c r="BN427" s="78">
        <f t="shared" si="54"/>
        <v>618.79999999999995</v>
      </c>
      <c r="BO427" s="78">
        <f t="shared" si="55"/>
        <v>0.83333333333333326</v>
      </c>
      <c r="BP427" s="78">
        <f t="shared" si="56"/>
        <v>0.83333333333333326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300</v>
      </c>
      <c r="Y431" s="43">
        <f>IFERROR(Y423/H423,"0")+IFERROR(Y424/H424,"0")+IFERROR(Y425/H425,"0")+IFERROR(Y426/H426,"0")+IFERROR(Y427/H427,"0")+IFERROR(Y428/H428,"0")+IFERROR(Y429/H429,"0")+IFERROR(Y430/H430,"0")</f>
        <v>301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6.5467500000000003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4500</v>
      </c>
      <c r="Y432" s="43">
        <f>IFERROR(SUM(Y423:Y430),"0")</f>
        <v>4515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5300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5335.8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5471.3703703703704</v>
      </c>
      <c r="Y552" s="43">
        <f>IFERROR(SUM(BN22:BN548),"0")</f>
        <v>5508.43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5671.3703703703704</v>
      </c>
      <c r="Y554" s="43">
        <f>GrossWeightTotalR+PalletQtyTotalR*25</f>
        <v>5708.43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374.07407407407408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377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7.9892300000000001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410.40000000000003</v>
      </c>
      <c r="F561" s="52">
        <f>IFERROR(Y88*1,"0")+IFERROR(Y89*1,"0")+IFERROR(Y90*1,"0")+IFERROR(Y91*1,"0")+IFERROR(Y95*1,"0")+IFERROR(Y96*1,"0")+IFERROR(Y97*1,"0")+IFERROR(Y98*1,"0")</f>
        <v>410.40000000000003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4515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2 200,00"/>
        <filter val="300,00"/>
        <filter val="37,04"/>
        <filter val="374,07"/>
        <filter val="4 500,00"/>
        <filter val="400,00"/>
        <filter val="5 300,00"/>
        <filter val="5 471,37"/>
        <filter val="5 671,37"/>
        <filter val="600,00"/>
        <filter val="8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2026-08-03T06:01:22Z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