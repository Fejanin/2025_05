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A76569-6A1F-4EB7-A5F2-BBBD21A00B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<sst xmlns="http://schemas.openxmlformats.org/spreadsheetml/2006/main" count="4194" uniqueCount="891">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</sst>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46238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1600</v>
      </c>
      <c r="Y424" s="55">
        <f t="shared" si="52"/>
        <v>1605</v>
      </c>
      <c r="Z424" s="41">
        <f>IFERROR(IF(Y424=0,"",ROUNDUP(Y424/H424,0)*0.02175),"")</f>
        <v>2.3272499999999998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1650.1333333333334</v>
      </c>
      <c r="BN424" s="78">
        <f t="shared" si="54"/>
        <v>1655.2900000000002</v>
      </c>
      <c r="BO424" s="78">
        <f t="shared" si="55"/>
        <v>2.2222222222222223</v>
      </c>
      <c r="BP424" s="78">
        <f t="shared" si="56"/>
        <v>2.2291666666666665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800</v>
      </c>
      <c r="Y426" s="55">
        <f t="shared" si="52"/>
        <v>810</v>
      </c>
      <c r="Z426" s="41">
        <f>IFERROR(IF(Y426=0,"",ROUNDUP(Y426/H426,0)*0.02175),"")</f>
        <v>1.1744999999999999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825.06666666666672</v>
      </c>
      <c r="BN426" s="78">
        <f t="shared" si="54"/>
        <v>835.38</v>
      </c>
      <c r="BO426" s="78">
        <f t="shared" si="55"/>
        <v>1.1111111111111112</v>
      </c>
      <c r="BP426" s="78">
        <f t="shared" si="56"/>
        <v>1.125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300</v>
      </c>
      <c r="Y427" s="55">
        <f t="shared" si="52"/>
        <v>300</v>
      </c>
      <c r="Z427" s="41">
        <f>IFERROR(IF(Y427=0,"",ROUNDUP(Y427/H427,0)*0.02175),"")</f>
        <v>0.43499999999999994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309.39999999999998</v>
      </c>
      <c r="BN427" s="78">
        <f t="shared" si="54"/>
        <v>309.39999999999998</v>
      </c>
      <c r="BO427" s="78">
        <f t="shared" si="55"/>
        <v>0.41666666666666663</v>
      </c>
      <c r="BP427" s="78">
        <f t="shared" si="56"/>
        <v>0.41666666666666663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180</v>
      </c>
      <c r="Y431" s="43">
        <f>IFERROR(Y423/H423,"0")+IFERROR(Y424/H424,"0")+IFERROR(Y425/H425,"0")+IFERROR(Y426/H426,"0")+IFERROR(Y427/H427,"0")+IFERROR(Y428/H428,"0")+IFERROR(Y429/H429,"0")+IFERROR(Y430/H430,"0")</f>
        <v>181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3.9367499999999995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2700</v>
      </c>
      <c r="Y432" s="43">
        <f>IFERROR(SUM(Y423:Y430),"0")</f>
        <v>2715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2715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2784.6000000000004</v>
      </c>
      <c r="Y552" s="43">
        <f>IFERROR(SUM(BN22:BN548),"0")</f>
        <v>2800.07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2884.6000000000004</v>
      </c>
      <c r="Y554" s="43">
        <f>GrossWeightTotalR+PalletQtyTotalR*25</f>
        <v>2900.07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180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181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3.9367499999999995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2715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80,00"/>
        <filter val="2 700,00"/>
        <filter val="2 784,60"/>
        <filter val="2 884,60"/>
        <filter val="300,00"/>
        <filter val="4"/>
        <filter val="8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