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F9BA7DA-769E-48E8-A57F-2CF2692EEF2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BP202" i="2"/>
  <c r="Y55" i="2"/>
  <c r="Y412" i="2"/>
  <c r="BN284" i="2"/>
  <c r="Z90" i="2"/>
  <c r="Y151" i="2"/>
  <c r="BN155" i="2"/>
  <c r="Z167" i="2"/>
  <c r="BN231" i="2"/>
  <c r="BN214" i="2"/>
  <c r="BN472" i="2"/>
  <c r="BN288" i="2"/>
  <c r="BN28" i="2"/>
  <c r="Z134" i="2"/>
  <c r="Z373" i="2"/>
  <c r="BN30" i="2"/>
  <c r="Y262" i="2"/>
  <c r="BN446" i="2"/>
  <c r="BN373" i="2"/>
  <c r="BN304" i="2"/>
  <c r="BN115" i="2"/>
  <c r="Z428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69" i="2" l="1"/>
  <c r="Z322" i="2"/>
  <c r="Z124" i="2"/>
  <c r="Z411" i="2"/>
  <c r="Z464" i="2"/>
  <c r="Z359" i="2"/>
  <c r="Z174" i="2"/>
  <c r="Z386" i="2"/>
  <c r="Z405" i="2"/>
  <c r="Z245" i="2"/>
  <c r="Z150" i="2"/>
  <c r="Z480" i="2"/>
  <c r="Z136" i="2"/>
  <c r="Z544" i="2"/>
  <c r="Z338" i="2"/>
  <c r="Z418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<sst xmlns="http://schemas.openxmlformats.org/spreadsheetml/2006/main" count="4194" uniqueCount="891">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</sst>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6" sqref="AA4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46238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Вторник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0.54166666666666663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540</v>
      </c>
      <c r="Y426" s="55">
        <f t="shared" si="52"/>
        <v>540</v>
      </c>
      <c r="Z426" s="41">
        <f>IFERROR(IF(Y426=0,"",ROUNDUP(Y426/H426,0)*0.02175),"")</f>
        <v>0.78299999999999992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556.92000000000007</v>
      </c>
      <c r="BN426" s="78">
        <f t="shared" si="54"/>
        <v>556.92000000000007</v>
      </c>
      <c r="BO426" s="78">
        <f t="shared" si="55"/>
        <v>0.75</v>
      </c>
      <c r="BP426" s="78">
        <f t="shared" si="56"/>
        <v>0.75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36</v>
      </c>
      <c r="Y431" s="43">
        <f>IFERROR(Y423/H423,"0")+IFERROR(Y424/H424,"0")+IFERROR(Y425/H425,"0")+IFERROR(Y426/H426,"0")+IFERROR(Y427/H427,"0")+IFERROR(Y428/H428,"0")+IFERROR(Y429/H429,"0")+IFERROR(Y430/H430,"0")</f>
        <v>36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0.78299999999999992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540</v>
      </c>
      <c r="Y432" s="43">
        <f>IFERROR(SUM(Y423:Y430),"0")</f>
        <v>540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540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540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556.92000000000007</v>
      </c>
      <c r="Y552" s="43">
        <f>IFERROR(SUM(BN22:BN548),"0")</f>
        <v>556.92000000000007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581.92000000000007</v>
      </c>
      <c r="Y554" s="43">
        <f>GrossWeightTotalR+PalletQtyTotalR*25</f>
        <v>581.92000000000007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36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0.78299999999999992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540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6,00"/>
        <filter val="540,00"/>
        <filter val="556,92"/>
        <filter val="581,92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2026-08-04T07:13:39Z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