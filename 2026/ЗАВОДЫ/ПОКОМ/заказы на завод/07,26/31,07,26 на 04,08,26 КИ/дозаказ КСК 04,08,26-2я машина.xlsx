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EE473BD-49AB-4514-ABE0-2E2D874848C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<sst xmlns="http://schemas.openxmlformats.org/spreadsheetml/2006/main" count="4194" uniqueCount="891">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</sst>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46238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1800</v>
      </c>
      <c r="Y424" s="55">
        <f t="shared" si="52"/>
        <v>1800</v>
      </c>
      <c r="Z424" s="41">
        <f>IFERROR(IF(Y424=0,"",ROUNDUP(Y424/H424,0)*0.02175),"")</f>
        <v>2.61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1856.4</v>
      </c>
      <c r="BN424" s="78">
        <f t="shared" si="54"/>
        <v>1856.4</v>
      </c>
      <c r="BO424" s="78">
        <f t="shared" si="55"/>
        <v>2.5</v>
      </c>
      <c r="BP424" s="78">
        <f t="shared" si="56"/>
        <v>2.5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1000</v>
      </c>
      <c r="Y426" s="55">
        <f t="shared" si="52"/>
        <v>1005</v>
      </c>
      <c r="Z426" s="41">
        <f>IFERROR(IF(Y426=0,"",ROUNDUP(Y426/H426,0)*0.02175),"")</f>
        <v>1.4572499999999999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1031.3333333333333</v>
      </c>
      <c r="BN426" s="78">
        <f t="shared" si="54"/>
        <v>1036.49</v>
      </c>
      <c r="BO426" s="78">
        <f t="shared" si="55"/>
        <v>1.3888888888888888</v>
      </c>
      <c r="BP426" s="78">
        <f t="shared" si="56"/>
        <v>1.3958333333333333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300</v>
      </c>
      <c r="Y427" s="55">
        <f t="shared" si="52"/>
        <v>300</v>
      </c>
      <c r="Z427" s="41">
        <f>IFERROR(IF(Y427=0,"",ROUNDUP(Y427/H427,0)*0.02175),"")</f>
        <v>0.43499999999999994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309.39999999999998</v>
      </c>
      <c r="BN427" s="78">
        <f t="shared" si="54"/>
        <v>309.39999999999998</v>
      </c>
      <c r="BO427" s="78">
        <f t="shared" si="55"/>
        <v>0.41666666666666663</v>
      </c>
      <c r="BP427" s="78">
        <f t="shared" si="56"/>
        <v>0.41666666666666663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206.66666666666669</v>
      </c>
      <c r="Y431" s="43">
        <f>IFERROR(Y423/H423,"0")+IFERROR(Y424/H424,"0")+IFERROR(Y425/H425,"0")+IFERROR(Y426/H426,"0")+IFERROR(Y427/H427,"0")+IFERROR(Y428/H428,"0")+IFERROR(Y429/H429,"0")+IFERROR(Y430/H430,"0")</f>
        <v>207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4.5022499999999992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3100</v>
      </c>
      <c r="Y432" s="43">
        <f>IFERROR(SUM(Y423:Y430),"0")</f>
        <v>3105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3100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3105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3197.1333333333337</v>
      </c>
      <c r="Y552" s="43">
        <f>IFERROR(SUM(BN22:BN548),"0")</f>
        <v>3202.2900000000004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3322.1333333333337</v>
      </c>
      <c r="Y554" s="43">
        <f>GrossWeightTotalR+PalletQtyTotalR*25</f>
        <v>3327.2900000000004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206.66666666666669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207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4.5022499999999992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3105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00,00"/>
        <filter val="206,67"/>
        <filter val="3 100,00"/>
        <filter val="3 197,13"/>
        <filter val="3 322,13"/>
        <filter val="300,00"/>
        <filter val="5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