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47D724E-C6B6-42F4-842D-FC3CEE6546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Y412" i="2" l="1"/>
  <c r="BN498" i="2"/>
  <c r="BN446" i="2"/>
  <c r="Z373" i="2"/>
  <c r="BN115" i="2"/>
  <c r="Y55" i="2"/>
  <c r="Z134" i="2"/>
  <c r="BN30" i="2"/>
  <c r="Z428" i="2"/>
  <c r="Z90" i="2"/>
  <c r="Y262" i="2"/>
  <c r="BP202" i="2"/>
  <c r="BN214" i="2"/>
  <c r="BN402" i="2"/>
  <c r="BN472" i="2"/>
  <c r="BN28" i="2"/>
  <c r="BN284" i="2"/>
  <c r="BN373" i="2"/>
  <c r="BN288" i="2"/>
  <c r="Y151" i="2"/>
  <c r="BN155" i="2"/>
  <c r="Z167" i="2"/>
  <c r="BN231" i="2"/>
  <c r="BN304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338" i="2"/>
  <c r="Z124" i="2"/>
  <c r="Z174" i="2"/>
  <c r="Z405" i="2"/>
  <c r="Z359" i="2"/>
  <c r="Z245" i="2"/>
  <c r="Z369" i="2"/>
  <c r="Z322" i="2"/>
  <c r="Z418" i="2"/>
  <c r="Z32" i="2"/>
  <c r="Z136" i="2"/>
  <c r="Z544" i="2"/>
  <c r="Z150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<sst xmlns="http://schemas.openxmlformats.org/spreadsheetml/2006/main" count="4194" uniqueCount="891">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</sst>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46238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Вторник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400</v>
      </c>
      <c r="Y424" s="55">
        <f t="shared" si="52"/>
        <v>405</v>
      </c>
      <c r="Z424" s="41">
        <f>IFERROR(IF(Y424=0,"",ROUNDUP(Y424/H424,0)*0.02175),"")</f>
        <v>0.58724999999999994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412.53333333333336</v>
      </c>
      <c r="BN424" s="78">
        <f t="shared" si="54"/>
        <v>417.69</v>
      </c>
      <c r="BO424" s="78">
        <f t="shared" si="55"/>
        <v>0.55555555555555558</v>
      </c>
      <c r="BP424" s="78">
        <f t="shared" si="56"/>
        <v>0.5625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342</v>
      </c>
      <c r="Y426" s="55">
        <f t="shared" si="52"/>
        <v>345</v>
      </c>
      <c r="Z426" s="41">
        <f>IFERROR(IF(Y426=0,"",ROUNDUP(Y426/H426,0)*0.02175),"")</f>
        <v>0.50024999999999997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352.71600000000001</v>
      </c>
      <c r="BN426" s="78">
        <f t="shared" si="54"/>
        <v>355.81000000000006</v>
      </c>
      <c r="BO426" s="78">
        <f t="shared" si="55"/>
        <v>0.47499999999999998</v>
      </c>
      <c r="BP426" s="78">
        <f t="shared" si="56"/>
        <v>0.47916666666666663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49.466666666666669</v>
      </c>
      <c r="Y431" s="43">
        <f>IFERROR(Y423/H423,"0")+IFERROR(Y424/H424,"0")+IFERROR(Y425/H425,"0")+IFERROR(Y426/H426,"0")+IFERROR(Y427/H427,"0")+IFERROR(Y428/H428,"0")+IFERROR(Y429/H429,"0")+IFERROR(Y430/H430,"0")</f>
        <v>50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1.0874999999999999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742</v>
      </c>
      <c r="Y432" s="43">
        <f>IFERROR(SUM(Y423:Y430),"0")</f>
        <v>750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742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750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765.24933333333342</v>
      </c>
      <c r="Y552" s="43">
        <f>IFERROR(SUM(BN22:BN548),"0")</f>
        <v>773.5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2</v>
      </c>
      <c r="Y553" s="44">
        <f>ROUNDUP(SUM(BP22:BP548),0)</f>
        <v>2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815.24933333333342</v>
      </c>
      <c r="Y554" s="43">
        <f>GrossWeightTotalR+PalletQtyTotalR*25</f>
        <v>823.5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49.466666666666669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50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1.0874999999999999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750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342,00"/>
        <filter val="400,00"/>
        <filter val="49,47"/>
        <filter val="742,00"/>
        <filter val="765,25"/>
        <filter val="815,25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2026-08-04T07:11:07Z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