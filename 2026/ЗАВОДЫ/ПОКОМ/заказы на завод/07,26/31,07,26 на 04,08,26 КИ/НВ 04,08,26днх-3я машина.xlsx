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94250E-7F3A-478B-BAE1-C178F12D0F3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N541" i="1"/>
  <c r="BM541" i="1"/>
  <c r="Y541" i="1"/>
  <c r="BP541" i="1" s="1"/>
  <c r="P541" i="1"/>
  <c r="X539" i="1"/>
  <c r="X538" i="1"/>
  <c r="BO537" i="1"/>
  <c r="BM537" i="1"/>
  <c r="Y537" i="1"/>
  <c r="P537" i="1"/>
  <c r="X535" i="1"/>
  <c r="Y534" i="1"/>
  <c r="X534" i="1"/>
  <c r="BO533" i="1"/>
  <c r="BM533" i="1"/>
  <c r="Y533" i="1"/>
  <c r="Y535" i="1" s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Y527" i="1" s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O515" i="1"/>
  <c r="BM515" i="1"/>
  <c r="Y515" i="1"/>
  <c r="BP515" i="1" s="1"/>
  <c r="P515" i="1"/>
  <c r="BO514" i="1"/>
  <c r="BM514" i="1"/>
  <c r="Y514" i="1"/>
  <c r="P514" i="1"/>
  <c r="BO513" i="1"/>
  <c r="BM513" i="1"/>
  <c r="Y513" i="1"/>
  <c r="P513" i="1"/>
  <c r="X511" i="1"/>
  <c r="X510" i="1"/>
  <c r="BP509" i="1"/>
  <c r="BO509" i="1"/>
  <c r="BN509" i="1"/>
  <c r="BM509" i="1"/>
  <c r="Y509" i="1"/>
  <c r="Z509" i="1" s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M503" i="1"/>
  <c r="Y503" i="1"/>
  <c r="BN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N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P495" i="1"/>
  <c r="BO495" i="1"/>
  <c r="BN495" i="1"/>
  <c r="BM495" i="1"/>
  <c r="Y495" i="1"/>
  <c r="Z495" i="1" s="1"/>
  <c r="P495" i="1"/>
  <c r="X491" i="1"/>
  <c r="X490" i="1"/>
  <c r="BO489" i="1"/>
  <c r="BM489" i="1"/>
  <c r="Y489" i="1"/>
  <c r="BP489" i="1" s="1"/>
  <c r="P489" i="1"/>
  <c r="BO488" i="1"/>
  <c r="BM488" i="1"/>
  <c r="Y488" i="1"/>
  <c r="Y490" i="1" s="1"/>
  <c r="P488" i="1"/>
  <c r="BO487" i="1"/>
  <c r="BM487" i="1"/>
  <c r="Y487" i="1"/>
  <c r="BN487" i="1" s="1"/>
  <c r="P487" i="1"/>
  <c r="X485" i="1"/>
  <c r="X484" i="1"/>
  <c r="BO483" i="1"/>
  <c r="BM483" i="1"/>
  <c r="Y483" i="1"/>
  <c r="P483" i="1"/>
  <c r="X480" i="1"/>
  <c r="X479" i="1"/>
  <c r="BO478" i="1"/>
  <c r="BM478" i="1"/>
  <c r="Y478" i="1"/>
  <c r="BP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N472" i="1"/>
  <c r="BM472" i="1"/>
  <c r="Y472" i="1"/>
  <c r="BP472" i="1" s="1"/>
  <c r="P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N462" i="1"/>
  <c r="BM462" i="1"/>
  <c r="Y462" i="1"/>
  <c r="BP462" i="1" s="1"/>
  <c r="P462" i="1"/>
  <c r="BO461" i="1"/>
  <c r="BM461" i="1"/>
  <c r="Y461" i="1"/>
  <c r="Y463" i="1" s="1"/>
  <c r="P461" i="1"/>
  <c r="BO460" i="1"/>
  <c r="BN460" i="1"/>
  <c r="BM460" i="1"/>
  <c r="Y460" i="1"/>
  <c r="BP460" i="1" s="1"/>
  <c r="P460" i="1"/>
  <c r="X458" i="1"/>
  <c r="X457" i="1"/>
  <c r="BO456" i="1"/>
  <c r="BN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M445" i="1"/>
  <c r="Y445" i="1"/>
  <c r="BN445" i="1" s="1"/>
  <c r="P445" i="1"/>
  <c r="X443" i="1"/>
  <c r="X442" i="1"/>
  <c r="BO441" i="1"/>
  <c r="BN441" i="1"/>
  <c r="BM441" i="1"/>
  <c r="Y441" i="1"/>
  <c r="BP441" i="1" s="1"/>
  <c r="P441" i="1"/>
  <c r="BO440" i="1"/>
  <c r="BM440" i="1"/>
  <c r="Y440" i="1"/>
  <c r="P440" i="1"/>
  <c r="BO439" i="1"/>
  <c r="BN439" i="1"/>
  <c r="BM439" i="1"/>
  <c r="Y439" i="1"/>
  <c r="Y442" i="1" s="1"/>
  <c r="P439" i="1"/>
  <c r="X437" i="1"/>
  <c r="X436" i="1"/>
  <c r="BO435" i="1"/>
  <c r="BN435" i="1"/>
  <c r="BM435" i="1"/>
  <c r="Y435" i="1"/>
  <c r="BP435" i="1" s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N427" i="1"/>
  <c r="BM427" i="1"/>
  <c r="Y427" i="1"/>
  <c r="BP427" i="1" s="1"/>
  <c r="P427" i="1"/>
  <c r="BO426" i="1"/>
  <c r="BM426" i="1"/>
  <c r="Y426" i="1"/>
  <c r="P426" i="1"/>
  <c r="BP425" i="1"/>
  <c r="BO425" i="1"/>
  <c r="BM425" i="1"/>
  <c r="Y425" i="1"/>
  <c r="BN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BP381" i="1" s="1"/>
  <c r="P381" i="1"/>
  <c r="X379" i="1"/>
  <c r="X378" i="1"/>
  <c r="BO377" i="1"/>
  <c r="BN377" i="1"/>
  <c r="BM377" i="1"/>
  <c r="Y377" i="1"/>
  <c r="BP377" i="1" s="1"/>
  <c r="P377" i="1"/>
  <c r="BO376" i="1"/>
  <c r="BM376" i="1"/>
  <c r="Y376" i="1"/>
  <c r="P376" i="1"/>
  <c r="BP375" i="1"/>
  <c r="BO375" i="1"/>
  <c r="BM375" i="1"/>
  <c r="Z375" i="1"/>
  <c r="Y375" i="1"/>
  <c r="BN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N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O345" i="1"/>
  <c r="BM345" i="1"/>
  <c r="Y345" i="1"/>
  <c r="BN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BN336" i="1" s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N329" i="1"/>
  <c r="BM329" i="1"/>
  <c r="Y329" i="1"/>
  <c r="BP329" i="1" s="1"/>
  <c r="P329" i="1"/>
  <c r="BO328" i="1"/>
  <c r="BM328" i="1"/>
  <c r="Y328" i="1"/>
  <c r="P328" i="1"/>
  <c r="BP327" i="1"/>
  <c r="BO327" i="1"/>
  <c r="BM327" i="1"/>
  <c r="Z327" i="1"/>
  <c r="Y327" i="1"/>
  <c r="BN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N306" i="1"/>
  <c r="BM306" i="1"/>
  <c r="Y306" i="1"/>
  <c r="BP306" i="1" s="1"/>
  <c r="P306" i="1"/>
  <c r="BO305" i="1"/>
  <c r="BM305" i="1"/>
  <c r="Y305" i="1"/>
  <c r="P305" i="1"/>
  <c r="BP304" i="1"/>
  <c r="BO304" i="1"/>
  <c r="BM304" i="1"/>
  <c r="Z304" i="1"/>
  <c r="Y304" i="1"/>
  <c r="BN304" i="1" s="1"/>
  <c r="P304" i="1"/>
  <c r="BO303" i="1"/>
  <c r="BM303" i="1"/>
  <c r="Y303" i="1"/>
  <c r="P303" i="1"/>
  <c r="BP302" i="1"/>
  <c r="BO302" i="1"/>
  <c r="BM302" i="1"/>
  <c r="Y302" i="1"/>
  <c r="BN302" i="1" s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P295" i="1"/>
  <c r="X293" i="1"/>
  <c r="X292" i="1"/>
  <c r="BO291" i="1"/>
  <c r="BN291" i="1"/>
  <c r="BM291" i="1"/>
  <c r="Y291" i="1"/>
  <c r="BP291" i="1" s="1"/>
  <c r="P291" i="1"/>
  <c r="BO290" i="1"/>
  <c r="BM290" i="1"/>
  <c r="Y290" i="1"/>
  <c r="P290" i="1"/>
  <c r="BO289" i="1"/>
  <c r="BN289" i="1"/>
  <c r="BM289" i="1"/>
  <c r="Z289" i="1"/>
  <c r="Y289" i="1"/>
  <c r="BP289" i="1" s="1"/>
  <c r="P289" i="1"/>
  <c r="BO288" i="1"/>
  <c r="BM288" i="1"/>
  <c r="Y288" i="1"/>
  <c r="P288" i="1"/>
  <c r="BP287" i="1"/>
  <c r="BO287" i="1"/>
  <c r="BM287" i="1"/>
  <c r="Y287" i="1"/>
  <c r="BN287" i="1" s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M281" i="1"/>
  <c r="Z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N271" i="1" s="1"/>
  <c r="P271" i="1"/>
  <c r="BO270" i="1"/>
  <c r="BM270" i="1"/>
  <c r="Y270" i="1"/>
  <c r="P270" i="1"/>
  <c r="BO269" i="1"/>
  <c r="BM269" i="1"/>
  <c r="Y269" i="1"/>
  <c r="P269" i="1"/>
  <c r="X267" i="1"/>
  <c r="X266" i="1"/>
  <c r="BP265" i="1"/>
  <c r="BO265" i="1"/>
  <c r="BM265" i="1"/>
  <c r="Z265" i="1"/>
  <c r="Y265" i="1"/>
  <c r="BN265" i="1" s="1"/>
  <c r="P265" i="1"/>
  <c r="BO264" i="1"/>
  <c r="BM264" i="1"/>
  <c r="Y264" i="1"/>
  <c r="Y266" i="1" s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Z249" i="1"/>
  <c r="Y249" i="1"/>
  <c r="BN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BP243" i="1" s="1"/>
  <c r="P243" i="1"/>
  <c r="BO242" i="1"/>
  <c r="BM242" i="1"/>
  <c r="Y242" i="1"/>
  <c r="P242" i="1"/>
  <c r="BO241" i="1"/>
  <c r="BM241" i="1"/>
  <c r="Y241" i="1"/>
  <c r="BN241" i="1" s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Y235" i="1"/>
  <c r="Z235" i="1" s="1"/>
  <c r="P235" i="1"/>
  <c r="BO234" i="1"/>
  <c r="BM234" i="1"/>
  <c r="Y234" i="1"/>
  <c r="P234" i="1"/>
  <c r="BP233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M227" i="1"/>
  <c r="Y227" i="1"/>
  <c r="BN227" i="1" s="1"/>
  <c r="P227" i="1"/>
  <c r="BO226" i="1"/>
  <c r="BM226" i="1"/>
  <c r="Y226" i="1"/>
  <c r="P226" i="1"/>
  <c r="BP225" i="1"/>
  <c r="BO225" i="1"/>
  <c r="BM225" i="1"/>
  <c r="Z225" i="1"/>
  <c r="Y225" i="1"/>
  <c r="BN225" i="1" s="1"/>
  <c r="P225" i="1"/>
  <c r="BO224" i="1"/>
  <c r="BM224" i="1"/>
  <c r="Y224" i="1"/>
  <c r="P224" i="1"/>
  <c r="BO223" i="1"/>
  <c r="BM223" i="1"/>
  <c r="Y223" i="1"/>
  <c r="P223" i="1"/>
  <c r="X221" i="1"/>
  <c r="X220" i="1"/>
  <c r="BO219" i="1"/>
  <c r="BM219" i="1"/>
  <c r="Y219" i="1"/>
  <c r="Y220" i="1" s="1"/>
  <c r="P219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P210" i="1"/>
  <c r="BO210" i="1"/>
  <c r="BM210" i="1"/>
  <c r="Z210" i="1"/>
  <c r="Y210" i="1"/>
  <c r="BN210" i="1" s="1"/>
  <c r="P210" i="1"/>
  <c r="BO209" i="1"/>
  <c r="BM209" i="1"/>
  <c r="Y209" i="1"/>
  <c r="P209" i="1"/>
  <c r="BO208" i="1"/>
  <c r="BM208" i="1"/>
  <c r="Y208" i="1"/>
  <c r="P208" i="1"/>
  <c r="X204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O198" i="1"/>
  <c r="BM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M192" i="1"/>
  <c r="Z192" i="1"/>
  <c r="Y192" i="1"/>
  <c r="BN192" i="1" s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M186" i="1"/>
  <c r="Z186" i="1"/>
  <c r="Y186" i="1"/>
  <c r="BN186" i="1" s="1"/>
  <c r="P186" i="1"/>
  <c r="BO185" i="1"/>
  <c r="BM185" i="1"/>
  <c r="Y185" i="1"/>
  <c r="P185" i="1"/>
  <c r="BP184" i="1"/>
  <c r="BO184" i="1"/>
  <c r="BM184" i="1"/>
  <c r="Y184" i="1"/>
  <c r="BN184" i="1" s="1"/>
  <c r="P184" i="1"/>
  <c r="BO183" i="1"/>
  <c r="BM183" i="1"/>
  <c r="Y183" i="1"/>
  <c r="P183" i="1"/>
  <c r="BO182" i="1"/>
  <c r="BM182" i="1"/>
  <c r="Y182" i="1"/>
  <c r="BN182" i="1" s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P179" i="1"/>
  <c r="BO178" i="1"/>
  <c r="BN178" i="1"/>
  <c r="BM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BN172" i="1" s="1"/>
  <c r="X170" i="1"/>
  <c r="X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O156" i="1"/>
  <c r="BN156" i="1"/>
  <c r="BM156" i="1"/>
  <c r="Y156" i="1"/>
  <c r="Z156" i="1" s="1"/>
  <c r="P156" i="1"/>
  <c r="BO155" i="1"/>
  <c r="BM155" i="1"/>
  <c r="Y155" i="1"/>
  <c r="P155" i="1"/>
  <c r="BO154" i="1"/>
  <c r="BM154" i="1"/>
  <c r="Y154" i="1"/>
  <c r="BN154" i="1" s="1"/>
  <c r="P154" i="1"/>
  <c r="X151" i="1"/>
  <c r="X150" i="1"/>
  <c r="BP149" i="1"/>
  <c r="BO149" i="1"/>
  <c r="BM149" i="1"/>
  <c r="Y149" i="1"/>
  <c r="Z149" i="1" s="1"/>
  <c r="P149" i="1"/>
  <c r="BO148" i="1"/>
  <c r="BM148" i="1"/>
  <c r="Y148" i="1"/>
  <c r="P148" i="1"/>
  <c r="BP147" i="1"/>
  <c r="BO147" i="1"/>
  <c r="BM147" i="1"/>
  <c r="Z147" i="1"/>
  <c r="Y147" i="1"/>
  <c r="BN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N141" i="1"/>
  <c r="BM141" i="1"/>
  <c r="Y141" i="1"/>
  <c r="BP141" i="1" s="1"/>
  <c r="P141" i="1"/>
  <c r="BO140" i="1"/>
  <c r="BM140" i="1"/>
  <c r="Y140" i="1"/>
  <c r="P140" i="1"/>
  <c r="BP139" i="1"/>
  <c r="BO139" i="1"/>
  <c r="BM139" i="1"/>
  <c r="Z139" i="1"/>
  <c r="Y139" i="1"/>
  <c r="BN139" i="1" s="1"/>
  <c r="P139" i="1"/>
  <c r="X137" i="1"/>
  <c r="X136" i="1"/>
  <c r="BO135" i="1"/>
  <c r="BM135" i="1"/>
  <c r="Y135" i="1"/>
  <c r="BP135" i="1" s="1"/>
  <c r="P135" i="1"/>
  <c r="BO134" i="1"/>
  <c r="BN134" i="1"/>
  <c r="BM134" i="1"/>
  <c r="Y134" i="1"/>
  <c r="BP134" i="1" s="1"/>
  <c r="P134" i="1"/>
  <c r="BO133" i="1"/>
  <c r="BM133" i="1"/>
  <c r="Y133" i="1"/>
  <c r="BP133" i="1" s="1"/>
  <c r="P133" i="1"/>
  <c r="BO132" i="1"/>
  <c r="BM132" i="1"/>
  <c r="Y132" i="1"/>
  <c r="BP132" i="1" s="1"/>
  <c r="P132" i="1"/>
  <c r="X129" i="1"/>
  <c r="X128" i="1"/>
  <c r="BO127" i="1"/>
  <c r="BM127" i="1"/>
  <c r="Y127" i="1"/>
  <c r="P127" i="1"/>
  <c r="X125" i="1"/>
  <c r="X124" i="1"/>
  <c r="BO123" i="1"/>
  <c r="BM123" i="1"/>
  <c r="Y123" i="1"/>
  <c r="BN123" i="1" s="1"/>
  <c r="P123" i="1"/>
  <c r="BO122" i="1"/>
  <c r="BM122" i="1"/>
  <c r="Y122" i="1"/>
  <c r="BP122" i="1" s="1"/>
  <c r="P122" i="1"/>
  <c r="BO121" i="1"/>
  <c r="BM121" i="1"/>
  <c r="Y121" i="1"/>
  <c r="BN121" i="1" s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N103" i="1"/>
  <c r="BM103" i="1"/>
  <c r="Y103" i="1"/>
  <c r="BP103" i="1" s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BP89" i="1" s="1"/>
  <c r="P89" i="1"/>
  <c r="BO88" i="1"/>
  <c r="BM88" i="1"/>
  <c r="Y88" i="1"/>
  <c r="BN88" i="1" s="1"/>
  <c r="P88" i="1"/>
  <c r="X85" i="1"/>
  <c r="X84" i="1"/>
  <c r="BO83" i="1"/>
  <c r="BM83" i="1"/>
  <c r="Y83" i="1"/>
  <c r="BN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N73" i="1"/>
  <c r="BM73" i="1"/>
  <c r="Z73" i="1"/>
  <c r="Y73" i="1"/>
  <c r="BP73" i="1" s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Y65" i="1"/>
  <c r="Z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N61" i="1"/>
  <c r="BM61" i="1"/>
  <c r="Y61" i="1"/>
  <c r="P61" i="1"/>
  <c r="BO60" i="1"/>
  <c r="BM60" i="1"/>
  <c r="Y60" i="1"/>
  <c r="BP60" i="1" s="1"/>
  <c r="P60" i="1"/>
  <c r="BO59" i="1"/>
  <c r="BN59" i="1"/>
  <c r="BM59" i="1"/>
  <c r="Y59" i="1"/>
  <c r="BP59" i="1" s="1"/>
  <c r="P59" i="1"/>
  <c r="X56" i="1"/>
  <c r="X55" i="1"/>
  <c r="BO54" i="1"/>
  <c r="BN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N44" i="1"/>
  <c r="BM44" i="1"/>
  <c r="Y44" i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N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Y28" i="1"/>
  <c r="Z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N22" i="1"/>
  <c r="BM22" i="1"/>
  <c r="Y22" i="1"/>
  <c r="BP22" i="1" s="1"/>
  <c r="P22" i="1"/>
  <c r="H10" i="1"/>
  <c r="A9" i="1"/>
  <c r="A10" i="1" s="1"/>
  <c r="D7" i="1"/>
  <c r="Q6" i="1"/>
  <c r="P2" i="1"/>
  <c r="C560" i="1" l="1"/>
  <c r="Z132" i="1"/>
  <c r="BN149" i="1"/>
  <c r="Z243" i="1"/>
  <c r="BP249" i="1"/>
  <c r="Z470" i="1"/>
  <c r="Y526" i="1"/>
  <c r="BP156" i="1"/>
  <c r="BN214" i="1"/>
  <c r="BN517" i="1"/>
  <c r="BN132" i="1"/>
  <c r="BN243" i="1"/>
  <c r="Z425" i="1"/>
  <c r="Z445" i="1"/>
  <c r="BN470" i="1"/>
  <c r="Z63" i="1"/>
  <c r="Z182" i="1"/>
  <c r="Z233" i="1"/>
  <c r="BN408" i="1"/>
  <c r="BN429" i="1"/>
  <c r="Y75" i="1"/>
  <c r="Z115" i="1"/>
  <c r="Z178" i="1"/>
  <c r="Z336" i="1"/>
  <c r="Z381" i="1"/>
  <c r="Z478" i="1"/>
  <c r="Z154" i="1"/>
  <c r="Y203" i="1"/>
  <c r="Z219" i="1"/>
  <c r="Z220" i="1" s="1"/>
  <c r="BN229" i="1"/>
  <c r="BN281" i="1"/>
  <c r="BN320" i="1"/>
  <c r="BN363" i="1"/>
  <c r="BN381" i="1"/>
  <c r="BN402" i="1"/>
  <c r="BN478" i="1"/>
  <c r="X554" i="1"/>
  <c r="Z212" i="1"/>
  <c r="BN219" i="1"/>
  <c r="Z271" i="1"/>
  <c r="BP336" i="1"/>
  <c r="Y457" i="1"/>
  <c r="Z515" i="1"/>
  <c r="BN52" i="1"/>
  <c r="BN96" i="1"/>
  <c r="Y117" i="1"/>
  <c r="BP154" i="1"/>
  <c r="Y199" i="1"/>
  <c r="Z241" i="1"/>
  <c r="Z345" i="1"/>
  <c r="BN433" i="1"/>
  <c r="BN497" i="1"/>
  <c r="BN519" i="1"/>
  <c r="BN42" i="1"/>
  <c r="BN212" i="1"/>
  <c r="BP219" i="1"/>
  <c r="BN275" i="1"/>
  <c r="BN489" i="1"/>
  <c r="BN515" i="1"/>
  <c r="BN533" i="1"/>
  <c r="Z184" i="1"/>
  <c r="BP271" i="1"/>
  <c r="BP241" i="1"/>
  <c r="Z287" i="1"/>
  <c r="BP345" i="1"/>
  <c r="Z460" i="1"/>
  <c r="Y85" i="1"/>
  <c r="Z227" i="1"/>
  <c r="Z503" i="1"/>
  <c r="BN283" i="1"/>
  <c r="BN365" i="1"/>
  <c r="BN525" i="1"/>
  <c r="Z302" i="1"/>
  <c r="BN383" i="1"/>
  <c r="F10" i="1"/>
  <c r="Z22" i="1"/>
  <c r="Y32" i="1"/>
  <c r="Z30" i="1"/>
  <c r="BP63" i="1"/>
  <c r="Z71" i="1"/>
  <c r="Z107" i="1"/>
  <c r="BP115" i="1"/>
  <c r="Y125" i="1"/>
  <c r="BP121" i="1"/>
  <c r="Z121" i="1"/>
  <c r="BN373" i="1"/>
  <c r="BP373" i="1"/>
  <c r="Z373" i="1"/>
  <c r="BN468" i="1"/>
  <c r="BP468" i="1"/>
  <c r="Z468" i="1"/>
  <c r="BN507" i="1"/>
  <c r="BP507" i="1"/>
  <c r="Z507" i="1"/>
  <c r="Y531" i="1"/>
  <c r="Y530" i="1"/>
  <c r="BN529" i="1"/>
  <c r="BP529" i="1"/>
  <c r="Z529" i="1"/>
  <c r="Z530" i="1" s="1"/>
  <c r="BP123" i="1"/>
  <c r="Y129" i="1"/>
  <c r="BP127" i="1"/>
  <c r="Z127" i="1"/>
  <c r="Z128" i="1" s="1"/>
  <c r="BP167" i="1"/>
  <c r="Z167" i="1"/>
  <c r="BP180" i="1"/>
  <c r="Z180" i="1"/>
  <c r="Y237" i="1"/>
  <c r="BN223" i="1"/>
  <c r="BP223" i="1"/>
  <c r="Z223" i="1"/>
  <c r="BN269" i="1"/>
  <c r="BP269" i="1"/>
  <c r="Z269" i="1"/>
  <c r="BN285" i="1"/>
  <c r="BP285" i="1"/>
  <c r="Z285" i="1"/>
  <c r="BN358" i="1"/>
  <c r="BP358" i="1"/>
  <c r="Z358" i="1"/>
  <c r="BN367" i="1"/>
  <c r="BP367" i="1"/>
  <c r="Z367" i="1"/>
  <c r="BN395" i="1"/>
  <c r="BP395" i="1"/>
  <c r="Z395" i="1"/>
  <c r="Y521" i="1"/>
  <c r="BN513" i="1"/>
  <c r="BP513" i="1"/>
  <c r="Z513" i="1"/>
  <c r="F9" i="1"/>
  <c r="Y79" i="1"/>
  <c r="BN77" i="1"/>
  <c r="BP77" i="1"/>
  <c r="BP83" i="1"/>
  <c r="Z83" i="1"/>
  <c r="BP90" i="1"/>
  <c r="Z90" i="1"/>
  <c r="BP98" i="1"/>
  <c r="Z98" i="1"/>
  <c r="BP105" i="1"/>
  <c r="Z105" i="1"/>
  <c r="Z123" i="1"/>
  <c r="Y128" i="1"/>
  <c r="BP182" i="1"/>
  <c r="BN343" i="1"/>
  <c r="BP343" i="1"/>
  <c r="Z343" i="1"/>
  <c r="BN351" i="1"/>
  <c r="BP351" i="1"/>
  <c r="Z351" i="1"/>
  <c r="BN423" i="1"/>
  <c r="BP423" i="1"/>
  <c r="Z423" i="1"/>
  <c r="Y539" i="1"/>
  <c r="Y538" i="1"/>
  <c r="BN537" i="1"/>
  <c r="BP537" i="1"/>
  <c r="Z537" i="1"/>
  <c r="Z538" i="1" s="1"/>
  <c r="J9" i="1"/>
  <c r="BP44" i="1"/>
  <c r="Z44" i="1"/>
  <c r="BP54" i="1"/>
  <c r="Z54" i="1"/>
  <c r="BP61" i="1"/>
  <c r="Z61" i="1"/>
  <c r="BP71" i="1"/>
  <c r="Z77" i="1"/>
  <c r="BP107" i="1"/>
  <c r="BP113" i="1"/>
  <c r="Z113" i="1"/>
  <c r="BN127" i="1"/>
  <c r="BN167" i="1"/>
  <c r="Y174" i="1"/>
  <c r="BP172" i="1"/>
  <c r="Z172" i="1"/>
  <c r="BN180" i="1"/>
  <c r="BN198" i="1"/>
  <c r="BP198" i="1"/>
  <c r="Z198" i="1"/>
  <c r="BN208" i="1"/>
  <c r="BP208" i="1"/>
  <c r="Z208" i="1"/>
  <c r="BN231" i="1"/>
  <c r="BP231" i="1"/>
  <c r="Z231" i="1"/>
  <c r="BN452" i="1"/>
  <c r="BP452" i="1"/>
  <c r="Z452" i="1"/>
  <c r="Y485" i="1"/>
  <c r="Y484" i="1"/>
  <c r="BN483" i="1"/>
  <c r="BP483" i="1"/>
  <c r="Z483" i="1"/>
  <c r="Z484" i="1" s="1"/>
  <c r="BN501" i="1"/>
  <c r="BP501" i="1"/>
  <c r="Z501" i="1"/>
  <c r="S560" i="1"/>
  <c r="D560" i="1"/>
  <c r="Y92" i="1"/>
  <c r="Y100" i="1"/>
  <c r="Z214" i="1"/>
  <c r="Z229" i="1"/>
  <c r="Z275" i="1"/>
  <c r="Z283" i="1"/>
  <c r="Z291" i="1"/>
  <c r="Y297" i="1"/>
  <c r="Z306" i="1"/>
  <c r="Z356" i="1"/>
  <c r="BP356" i="1"/>
  <c r="Z365" i="1"/>
  <c r="Z371" i="1"/>
  <c r="Z402" i="1"/>
  <c r="Z429" i="1"/>
  <c r="Z435" i="1"/>
  <c r="Y443" i="1"/>
  <c r="Z441" i="1"/>
  <c r="Z456" i="1"/>
  <c r="Z457" i="1" s="1"/>
  <c r="BP456" i="1"/>
  <c r="Y491" i="1"/>
  <c r="Z489" i="1"/>
  <c r="Z499" i="1"/>
  <c r="Z519" i="1"/>
  <c r="Z42" i="1"/>
  <c r="Z52" i="1"/>
  <c r="Z59" i="1"/>
  <c r="Z88" i="1"/>
  <c r="BP88" i="1"/>
  <c r="Z96" i="1"/>
  <c r="Z103" i="1"/>
  <c r="Z134" i="1"/>
  <c r="Z141" i="1"/>
  <c r="Z320" i="1"/>
  <c r="Z329" i="1"/>
  <c r="Y359" i="1"/>
  <c r="Z363" i="1"/>
  <c r="Z377" i="1"/>
  <c r="Y385" i="1"/>
  <c r="Z383" i="1"/>
  <c r="Z408" i="1"/>
  <c r="Z427" i="1"/>
  <c r="Z433" i="1"/>
  <c r="Z439" i="1"/>
  <c r="BP439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Z24" i="1" s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Z245" i="1" s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64" i="1"/>
  <c r="BN364" i="1"/>
  <c r="Z364" i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BP357" i="1"/>
  <c r="BN357" i="1"/>
  <c r="Z357" i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Z510" i="1"/>
  <c r="BP508" i="1"/>
  <c r="BN508" i="1"/>
  <c r="Z508" i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543" i="1" l="1"/>
  <c r="Z136" i="1"/>
  <c r="Z385" i="1"/>
  <c r="Z109" i="1"/>
  <c r="Z378" i="1"/>
  <c r="Z359" i="1"/>
  <c r="Z215" i="1"/>
  <c r="Z474" i="1"/>
  <c r="Z277" i="1"/>
  <c r="Y552" i="1"/>
  <c r="Z520" i="1"/>
  <c r="Z237" i="1"/>
  <c r="Z117" i="1"/>
  <c r="Z67" i="1"/>
  <c r="Y551" i="1"/>
  <c r="Y553" i="1" s="1"/>
  <c r="Z504" i="1"/>
  <c r="Z308" i="1"/>
  <c r="Z92" i="1"/>
  <c r="Z368" i="1"/>
  <c r="Z143" i="1"/>
  <c r="Z391" i="1"/>
  <c r="Z322" i="1"/>
  <c r="Y550" i="1"/>
  <c r="Z404" i="1"/>
  <c r="Z430" i="1"/>
  <c r="Z410" i="1"/>
  <c r="Z398" i="1"/>
  <c r="Z331" i="1"/>
  <c r="Z292" i="1"/>
  <c r="Z188" i="1"/>
  <c r="Z158" i="1"/>
  <c r="Z124" i="1"/>
  <c r="Z99" i="1"/>
  <c r="Z74" i="1"/>
  <c r="Z55" i="1"/>
  <c r="Z46" i="1"/>
  <c r="Z32" i="1"/>
  <c r="Y554" i="1"/>
  <c r="X553" i="1"/>
  <c r="Z347" i="1"/>
  <c r="Z194" i="1"/>
  <c r="Z169" i="1"/>
  <c r="Z555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<sst xmlns="http://schemas.openxmlformats.org/spreadsheetml/2006/main" count="2502" uniqueCount="908">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</sst>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46238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880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Вторник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5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0.45833333333333331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774</v>
      </c>
      <c r="Y51" s="628">
        <f>IFERROR(IF(X51="",0,CEILING((X51/$H51),1)*$H51),"")</f>
        <v>777.6</v>
      </c>
      <c r="Z51" s="36">
        <f>IFERROR(IF(Y51=0,"",ROUNDUP(Y51/H51,0)*0.01898),"")</f>
        <v>1.36656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803.38333333333333</v>
      </c>
      <c r="BN51" s="64">
        <f>IFERROR(Y51*I51/H51,"0")</f>
        <v>807.12</v>
      </c>
      <c r="BO51" s="64">
        <f>IFERROR(1/J51*(X51/H51),"0")</f>
        <v>1.1197916666666665</v>
      </c>
      <c r="BP51" s="64">
        <f>IFERROR(1/J51*(Y51/H51),"0")</f>
        <v>1.125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71.666666666666657</v>
      </c>
      <c r="Y55" s="629">
        <f>IFERROR(Y51/H51,"0")+IFERROR(Y52/H52,"0")+IFERROR(Y53/H53,"0")+IFERROR(Y54/H54,"0")</f>
        <v>72</v>
      </c>
      <c r="Z55" s="629">
        <f>IFERROR(IF(Z51="",0,Z51),"0")+IFERROR(IF(Z52="",0,Z52),"0")+IFERROR(IF(Z53="",0,Z53),"0")+IFERROR(IF(Z54="",0,Z54),"0")</f>
        <v>1.36656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774</v>
      </c>
      <c r="Y56" s="629">
        <f>IFERROR(SUM(Y51:Y54),"0")</f>
        <v>777.6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hidden="1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595</v>
      </c>
      <c r="Y82" s="628">
        <f>IFERROR(IF(X82="",0,CEILING((X82/$H82),1)*$H82),"")</f>
        <v>600.6</v>
      </c>
      <c r="Z82" s="36">
        <f>IFERROR(IF(Y82=0,"",ROUNDUP(Y82/H82,0)*0.01898),"")</f>
        <v>1.46146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626.27564102564111</v>
      </c>
      <c r="BN82" s="64">
        <f>IFERROR(Y82*I82/H82,"0")</f>
        <v>632.17000000000007</v>
      </c>
      <c r="BO82" s="64">
        <f>IFERROR(1/J82*(X82/H82),"0")</f>
        <v>1.1919070512820513</v>
      </c>
      <c r="BP82" s="64">
        <f>IFERROR(1/J82*(Y82/H82),"0")</f>
        <v>1.203125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76.282051282051285</v>
      </c>
      <c r="Y84" s="629">
        <f>IFERROR(Y82/H82,"0")+IFERROR(Y83/H83,"0")</f>
        <v>77</v>
      </c>
      <c r="Z84" s="629">
        <f>IFERROR(IF(Z82="",0,Z82),"0")+IFERROR(IF(Z83="",0,Z83),"0")</f>
        <v>1.46146</v>
      </c>
      <c r="AA84" s="630"/>
      <c r="AB84" s="630"/>
      <c r="AC84" s="630"/>
    </row>
    <row r="85" spans="1:68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595</v>
      </c>
      <c r="Y85" s="629">
        <f>IFERROR(SUM(Y82:Y83),"0")</f>
        <v>600.6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1065</v>
      </c>
      <c r="Y95" s="628">
        <f>IFERROR(IF(X95="",0,CEILING((X95/$H95),1)*$H95),"")</f>
        <v>1069.2</v>
      </c>
      <c r="Z95" s="36">
        <f>IFERROR(IF(Y95=0,"",ROUNDUP(Y95/H95,0)*0.01898),"")</f>
        <v>2.50536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1129.9518518518516</v>
      </c>
      <c r="BN95" s="64">
        <f>IFERROR(Y95*I95/H95,"0")</f>
        <v>1134.4079999999999</v>
      </c>
      <c r="BO95" s="64">
        <f>IFERROR(1/J95*(X95/H95),"0")</f>
        <v>2.0543981481481484</v>
      </c>
      <c r="BP95" s="64">
        <f>IFERROR(1/J95*(Y95/H95),"0")</f>
        <v>2.0625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921</v>
      </c>
      <c r="Y97" s="628">
        <f>IFERROR(IF(X97="",0,CEILING((X97/$H97),1)*$H97),"")</f>
        <v>923.40000000000009</v>
      </c>
      <c r="Z97" s="36">
        <f>IFERROR(IF(Y97=0,"",ROUNDUP(Y97/H97,0)*0.00651),"")</f>
        <v>2.2264200000000001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1006.9599999999999</v>
      </c>
      <c r="BN97" s="64">
        <f>IFERROR(Y97*I97/H97,"0")</f>
        <v>1009.5839999999999</v>
      </c>
      <c r="BO97" s="64">
        <f>IFERROR(1/J97*(X97/H97),"0")</f>
        <v>1.8742368742368742</v>
      </c>
      <c r="BP97" s="64">
        <f>IFERROR(1/J97*(Y97/H97),"0")</f>
        <v>1.8791208791208793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472.59259259259261</v>
      </c>
      <c r="Y99" s="629">
        <f>IFERROR(Y95/H95,"0")+IFERROR(Y96/H96,"0")+IFERROR(Y97/H97,"0")+IFERROR(Y98/H98,"0")</f>
        <v>474</v>
      </c>
      <c r="Z99" s="629">
        <f>IFERROR(IF(Z95="",0,Z95),"0")+IFERROR(IF(Z96="",0,Z96),"0")+IFERROR(IF(Z97="",0,Z97),"0")+IFERROR(IF(Z98="",0,Z98),"0")</f>
        <v>4.7317800000000005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1986</v>
      </c>
      <c r="Y100" s="629">
        <f>IFERROR(SUM(Y95:Y98),"0")</f>
        <v>1992.6000000000001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2024</v>
      </c>
      <c r="Y120" s="628">
        <f>IFERROR(IF(X120="",0,CEILING((X120/$H120),1)*$H120),"")</f>
        <v>2025</v>
      </c>
      <c r="Z120" s="36">
        <f>IFERROR(IF(Y120=0,"",ROUNDUP(Y120/H120,0)*0.01898),"")</f>
        <v>4.7450000000000001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2145.9397530864194</v>
      </c>
      <c r="BN120" s="64">
        <f>IFERROR(Y120*I120/H120,"0")</f>
        <v>2146.9999999999995</v>
      </c>
      <c r="BO120" s="64">
        <f>IFERROR(1/J120*(X120/H120),"0")</f>
        <v>3.9043209876543212</v>
      </c>
      <c r="BP120" s="64">
        <f>IFERROR(1/J120*(Y120/H120),"0")</f>
        <v>3.90625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789</v>
      </c>
      <c r="Y122" s="628">
        <f>IFERROR(IF(X122="",0,CEILING((X122/$H122),1)*$H122),"")</f>
        <v>791.1</v>
      </c>
      <c r="Z122" s="36">
        <f>IFERROR(IF(Y122=0,"",ROUNDUP(Y122/H122,0)*0.00651),"")</f>
        <v>1.90743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862.64</v>
      </c>
      <c r="BN122" s="64">
        <f>IFERROR(Y122*I122/H122,"0")</f>
        <v>864.93600000000004</v>
      </c>
      <c r="BO122" s="64">
        <f>IFERROR(1/J122*(X122/H122),"0")</f>
        <v>1.6056166056166057</v>
      </c>
      <c r="BP122" s="64">
        <f>IFERROR(1/J122*(Y122/H122),"0")</f>
        <v>1.6098901098901099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542.09876543209884</v>
      </c>
      <c r="Y124" s="629">
        <f>IFERROR(Y120/H120,"0")+IFERROR(Y121/H121,"0")+IFERROR(Y122/H122,"0")+IFERROR(Y123/H123,"0")</f>
        <v>543</v>
      </c>
      <c r="Z124" s="629">
        <f>IFERROR(IF(Z120="",0,Z120),"0")+IFERROR(IF(Z121="",0,Z121),"0")+IFERROR(IF(Z122="",0,Z122),"0")+IFERROR(IF(Z123="",0,Z123),"0")</f>
        <v>6.6524299999999998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2813</v>
      </c>
      <c r="Y125" s="629">
        <f>IFERROR(SUM(Y120:Y123),"0")</f>
        <v>2816.1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140</v>
      </c>
      <c r="Y185" s="628">
        <f t="shared" si="10"/>
        <v>141.12</v>
      </c>
      <c r="Z185" s="36">
        <f>IFERROR(IF(Y185=0,"",ROUNDUP(Y185/H185,0)*0.00502),"")</f>
        <v>0.42168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148.33333333333334</v>
      </c>
      <c r="BN185" s="64">
        <f t="shared" si="12"/>
        <v>149.52000000000001</v>
      </c>
      <c r="BO185" s="64">
        <f t="shared" si="13"/>
        <v>0.35612535612535623</v>
      </c>
      <c r="BP185" s="64">
        <f t="shared" si="14"/>
        <v>0.35897435897435903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83.333333333333343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84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0.42168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140</v>
      </c>
      <c r="Y189" s="629">
        <f>IFERROR(SUM(Y177:Y187),"0")</f>
        <v>141.12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106</v>
      </c>
      <c r="Y234" s="628">
        <f t="shared" si="21"/>
        <v>107.10000000000001</v>
      </c>
      <c r="Z234" s="36">
        <f>IFERROR(IF(Y234=0,"",ROUNDUP(Y234/H234,0)*0.00502),"")</f>
        <v>0.25602000000000003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111.04761904761905</v>
      </c>
      <c r="BN234" s="64">
        <f t="shared" si="23"/>
        <v>112.20000000000002</v>
      </c>
      <c r="BO234" s="64">
        <f t="shared" si="24"/>
        <v>0.21571021571021573</v>
      </c>
      <c r="BP234" s="64">
        <f t="shared" si="25"/>
        <v>0.21794871794871798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50.476190476190474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51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0.25602000000000003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106</v>
      </c>
      <c r="Y238" s="629">
        <f>IFERROR(SUM(Y223:Y236),"0")</f>
        <v>107.10000000000001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hidden="1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hidden="1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994</v>
      </c>
      <c r="Y286" s="628">
        <f t="shared" si="32"/>
        <v>996</v>
      </c>
      <c r="Z286" s="36">
        <f>IFERROR(IF(Y286=0,"",ROUNDUP(Y286/H286,0)*0.00651),"")</f>
        <v>2.7016499999999999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1098.3700000000001</v>
      </c>
      <c r="BN286" s="64">
        <f t="shared" si="34"/>
        <v>1100.5800000000002</v>
      </c>
      <c r="BO286" s="64">
        <f t="shared" si="35"/>
        <v>2.275641025641026</v>
      </c>
      <c r="BP286" s="64">
        <f t="shared" si="36"/>
        <v>2.2802197802197806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149</v>
      </c>
      <c r="Y289" s="628">
        <f t="shared" si="32"/>
        <v>151.19999999999999</v>
      </c>
      <c r="Z289" s="36">
        <f>IFERROR(IF(Y289=0,"",ROUNDUP(Y289/H289,0)*0.00651),"")</f>
        <v>0.41012999999999999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164.64500000000001</v>
      </c>
      <c r="BN289" s="64">
        <f t="shared" si="34"/>
        <v>167.07599999999999</v>
      </c>
      <c r="BO289" s="64">
        <f t="shared" si="35"/>
        <v>0.34111721611721618</v>
      </c>
      <c r="BP289" s="64">
        <f t="shared" si="36"/>
        <v>0.3461538461538462</v>
      </c>
    </row>
    <row r="290" spans="1:68" ht="27" hidden="1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476.25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478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3.11178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1143</v>
      </c>
      <c r="Y293" s="629">
        <f>IFERROR(SUM(Y280:Y291),"0")</f>
        <v>1147.2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602</v>
      </c>
      <c r="Y389" s="628">
        <f>IFERROR(IF(X389="",0,CEILING((X389/$H389),1)*$H389),"")</f>
        <v>608.4</v>
      </c>
      <c r="Z389" s="36">
        <f>IFERROR(IF(Y389=0,"",ROUNDUP(Y389/H389,0)*0.01898),"")</f>
        <v>1.48044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640.12666666666667</v>
      </c>
      <c r="BN389" s="64">
        <f>IFERROR(Y389*I389/H389,"0")</f>
        <v>646.93200000000002</v>
      </c>
      <c r="BO389" s="64">
        <f>IFERROR(1/J389*(X389/H389),"0")</f>
        <v>1.2059294871794872</v>
      </c>
      <c r="BP389" s="64">
        <f>IFERROR(1/J389*(Y389/H389),"0")</f>
        <v>1.21875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77.179487179487182</v>
      </c>
      <c r="Y391" s="629">
        <f>IFERROR(Y388/H388,"0")+IFERROR(Y389/H389,"0")+IFERROR(Y390/H390,"0")</f>
        <v>78</v>
      </c>
      <c r="Z391" s="629">
        <f>IFERROR(IF(Z388="",0,Z388),"0")+IFERROR(IF(Z389="",0,Z389),"0")+IFERROR(IF(Z390="",0,Z390),"0")</f>
        <v>1.48044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602</v>
      </c>
      <c r="Y392" s="629">
        <f>IFERROR(SUM(Y388:Y390),"0")</f>
        <v>608.4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hidden="1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724</v>
      </c>
      <c r="Y424" s="628">
        <f t="shared" si="47"/>
        <v>735</v>
      </c>
      <c r="Z424" s="36">
        <f>IFERROR(IF(Y424=0,"",ROUNDUP(Y424/H424,0)*0.02175),"")</f>
        <v>1.06575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746.68533333333335</v>
      </c>
      <c r="BN424" s="64">
        <f t="shared" si="49"/>
        <v>758.03000000000009</v>
      </c>
      <c r="BO424" s="64">
        <f t="shared" si="50"/>
        <v>1.0055555555555555</v>
      </c>
      <c r="BP424" s="64">
        <f t="shared" si="51"/>
        <v>1.0208333333333333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48.266666666666666</v>
      </c>
      <c r="Y430" s="629">
        <f>IFERROR(Y422/H422,"0")+IFERROR(Y423/H423,"0")+IFERROR(Y424/H424,"0")+IFERROR(Y425/H425,"0")+IFERROR(Y426/H426,"0")+IFERROR(Y427/H427,"0")+IFERROR(Y428/H428,"0")+IFERROR(Y429/H429,"0")</f>
        <v>49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1.06575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724</v>
      </c>
      <c r="Y431" s="629">
        <f>IFERROR(SUM(Y422:Y429),"0")</f>
        <v>735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786</v>
      </c>
      <c r="Y433" s="628">
        <f>IFERROR(IF(X433="",0,CEILING((X433/$H433),1)*$H433),"")</f>
        <v>795</v>
      </c>
      <c r="Z433" s="36">
        <f>IFERROR(IF(Y433=0,"",ROUNDUP(Y433/H433,0)*0.02175),"")</f>
        <v>1.1527499999999999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810.62800000000004</v>
      </c>
      <c r="BN433" s="64">
        <f>IFERROR(Y433*I433/H433,"0")</f>
        <v>819.91</v>
      </c>
      <c r="BO433" s="64">
        <f>IFERROR(1/J433*(X433/H433),"0")</f>
        <v>1.0916666666666666</v>
      </c>
      <c r="BP433" s="64">
        <f>IFERROR(1/J433*(Y433/H433),"0")</f>
        <v>1.1041666666666665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52.4</v>
      </c>
      <c r="Y436" s="629">
        <f>IFERROR(Y433/H433,"0")+IFERROR(Y434/H434,"0")+IFERROR(Y435/H435,"0")</f>
        <v>53</v>
      </c>
      <c r="Z436" s="629">
        <f>IFERROR(IF(Z433="",0,Z433),"0")+IFERROR(IF(Z434="",0,Z434),"0")+IFERROR(IF(Z435="",0,Z435),"0")</f>
        <v>1.1527499999999999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786</v>
      </c>
      <c r="Y437" s="629">
        <f>IFERROR(SUM(Y433:Y435),"0")</f>
        <v>795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hidden="1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hidden="1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660</v>
      </c>
      <c r="Y498" s="628">
        <f t="shared" si="57"/>
        <v>660</v>
      </c>
      <c r="Z498" s="36">
        <f t="shared" si="58"/>
        <v>1.4950000000000001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703.74999999999989</v>
      </c>
      <c r="BN498" s="64">
        <f t="shared" si="60"/>
        <v>703.74999999999989</v>
      </c>
      <c r="BO498" s="64">
        <f t="shared" si="61"/>
        <v>1.2019230769230771</v>
      </c>
      <c r="BP498" s="64">
        <f t="shared" si="62"/>
        <v>1.2019230769230771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1793</v>
      </c>
      <c r="Y500" s="628">
        <f t="shared" si="57"/>
        <v>1795.2</v>
      </c>
      <c r="Z500" s="36">
        <f t="shared" si="58"/>
        <v>4.0663999999999998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1911.8541666666665</v>
      </c>
      <c r="BN500" s="64">
        <f t="shared" si="60"/>
        <v>1914.2</v>
      </c>
      <c r="BO500" s="64">
        <f t="shared" si="61"/>
        <v>3.265224358974359</v>
      </c>
      <c r="BP500" s="64">
        <f t="shared" si="62"/>
        <v>3.2692307692307696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390</v>
      </c>
      <c r="Y502" s="628">
        <f t="shared" si="57"/>
        <v>393.59999999999997</v>
      </c>
      <c r="Z502" s="36">
        <f>IFERROR(IF(Y502=0,"",ROUNDUP(Y502/H502,0)*0.00902),"")</f>
        <v>0.73964000000000008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561.4375</v>
      </c>
      <c r="BN502" s="64">
        <f t="shared" si="60"/>
        <v>566.62</v>
      </c>
      <c r="BO502" s="64">
        <f t="shared" si="61"/>
        <v>0.61553030303030309</v>
      </c>
      <c r="BP502" s="64">
        <f t="shared" si="62"/>
        <v>0.62121212121212122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326</v>
      </c>
      <c r="Y503" s="628">
        <f t="shared" si="57"/>
        <v>326.39999999999998</v>
      </c>
      <c r="Z503" s="36">
        <f>IFERROR(IF(Y503=0,"",ROUNDUP(Y503/H503,0)*0.00902),"")</f>
        <v>0.61336000000000002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469.30416666666667</v>
      </c>
      <c r="BN503" s="64">
        <f t="shared" si="60"/>
        <v>469.88</v>
      </c>
      <c r="BO503" s="64">
        <f t="shared" si="61"/>
        <v>0.5145202020202021</v>
      </c>
      <c r="BP503" s="64">
        <f t="shared" si="62"/>
        <v>0.51515151515151514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613.74999999999989</v>
      </c>
      <c r="Y504" s="629">
        <f>IFERROR(Y495/H495,"0")+IFERROR(Y496/H496,"0")+IFERROR(Y497/H497,"0")+IFERROR(Y498/H498,"0")+IFERROR(Y499/H499,"0")+IFERROR(Y500/H500,"0")+IFERROR(Y501/H501,"0")+IFERROR(Y502/H502,"0")+IFERROR(Y503/H503,"0")</f>
        <v>615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6.9144000000000005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3169</v>
      </c>
      <c r="Y505" s="629">
        <f>IFERROR(SUM(Y495:Y503),"0")</f>
        <v>3175.2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2071</v>
      </c>
      <c r="Y507" s="628">
        <f>IFERROR(IF(X507="",0,CEILING((X507/$H507),1)*$H507),"")</f>
        <v>2075.04</v>
      </c>
      <c r="Z507" s="36">
        <f>IFERROR(IF(Y507=0,"",ROUNDUP(Y507/H507,0)*0.01196),"")</f>
        <v>4.7002800000000002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2208.282196969697</v>
      </c>
      <c r="BN507" s="64">
        <f>IFERROR(Y507*I507/H507,"0")</f>
        <v>2212.5899999999997</v>
      </c>
      <c r="BO507" s="64">
        <f>IFERROR(1/J507*(X507/H507),"0")</f>
        <v>3.7714889277389276</v>
      </c>
      <c r="BP507" s="64">
        <f>IFERROR(1/J507*(Y507/H507),"0")</f>
        <v>3.7788461538461542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205</v>
      </c>
      <c r="Y509" s="628">
        <f>IFERROR(IF(X509="",0,CEILING((X509/$H509),1)*$H509),"")</f>
        <v>206.4</v>
      </c>
      <c r="Z509" s="36">
        <f>IFERROR(IF(Y509=0,"",ROUNDUP(Y509/H509,0)*0.00902),"")</f>
        <v>0.38785999999999998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295.11458333333331</v>
      </c>
      <c r="BN509" s="64">
        <f>IFERROR(Y509*I509/H509,"0")</f>
        <v>297.13000000000005</v>
      </c>
      <c r="BO509" s="64">
        <f>IFERROR(1/J509*(X509/H509),"0")</f>
        <v>0.32354797979797983</v>
      </c>
      <c r="BP509" s="64">
        <f>IFERROR(1/J509*(Y509/H509),"0")</f>
        <v>0.32575757575757575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434.94318181818176</v>
      </c>
      <c r="Y510" s="629">
        <f>IFERROR(Y507/H507,"0")+IFERROR(Y508/H508,"0")+IFERROR(Y509/H509,"0")</f>
        <v>436</v>
      </c>
      <c r="Z510" s="629">
        <f>IFERROR(IF(Z507="",0,Z507),"0")+IFERROR(IF(Z508="",0,Z508),"0")+IFERROR(IF(Z509="",0,Z509),"0")</f>
        <v>5.0881400000000001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2276</v>
      </c>
      <c r="Y511" s="629">
        <f>IFERROR(SUM(Y507:Y509),"0")</f>
        <v>2281.44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705</v>
      </c>
      <c r="Y514" s="628">
        <f t="shared" si="63"/>
        <v>707.52</v>
      </c>
      <c r="Z514" s="36">
        <f>IFERROR(IF(Y514=0,"",ROUNDUP(Y514/H514,0)*0.01196),"")</f>
        <v>1.6026400000000001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751.7329545454545</v>
      </c>
      <c r="BN514" s="64">
        <f t="shared" si="65"/>
        <v>754.42</v>
      </c>
      <c r="BO514" s="64">
        <f t="shared" si="66"/>
        <v>1.2838723776223777</v>
      </c>
      <c r="BP514" s="64">
        <f t="shared" si="67"/>
        <v>1.2884615384615385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896</v>
      </c>
      <c r="Y515" s="628">
        <f t="shared" si="63"/>
        <v>897.6</v>
      </c>
      <c r="Z515" s="36">
        <f>IFERROR(IF(Y515=0,"",ROUNDUP(Y515/H515,0)*0.01196),"")</f>
        <v>2.0331999999999999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955.39393939393926</v>
      </c>
      <c r="BN515" s="64">
        <f t="shared" si="65"/>
        <v>957.1</v>
      </c>
      <c r="BO515" s="64">
        <f t="shared" si="66"/>
        <v>1.6317016317016317</v>
      </c>
      <c r="BP515" s="64">
        <f t="shared" si="67"/>
        <v>1.6346153846153848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303.219696969697</v>
      </c>
      <c r="Y520" s="629">
        <f>IFERROR(Y513/H513,"0")+IFERROR(Y514/H514,"0")+IFERROR(Y515/H515,"0")+IFERROR(Y516/H516,"0")+IFERROR(Y517/H517,"0")+IFERROR(Y518/H518,"0")+IFERROR(Y519/H519,"0")</f>
        <v>304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3.63584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1601</v>
      </c>
      <c r="Y521" s="629">
        <f>IFERROR(SUM(Y513:Y519),"0")</f>
        <v>1605.12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16715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16782.48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18151.856039253955</v>
      </c>
      <c r="Y551" s="629">
        <f>IFERROR(SUM(BN22:BN547),"0")</f>
        <v>18225.155999999999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31</v>
      </c>
      <c r="Y552" s="38">
        <f>ROUNDUP(SUM(BP22:BP547),0)</f>
        <v>31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18926.856039253955</v>
      </c>
      <c r="Y553" s="629">
        <f>GrossWeightTotalR+PalletQtyTotalR*25</f>
        <v>19000.155999999999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3302.4586324169659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3314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37.339030000000008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777.6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600.6</v>
      </c>
      <c r="F560" s="46">
        <f>IFERROR(Y88*1,"0")+IFERROR(Y89*1,"0")+IFERROR(Y90*1,"0")+IFERROR(Y91*1,"0")+IFERROR(Y95*1,"0")+IFERROR(Y96*1,"0")+IFERROR(Y97*1,"0")+IFERROR(Y98*1,"0")</f>
        <v>1992.6000000000001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2816.1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141.12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107.10000000000001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1147.2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608.4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1530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7061.76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5,00"/>
        <filter val="1 143,00"/>
        <filter val="1 601,00"/>
        <filter val="1 793,00"/>
        <filter val="1 986,00"/>
        <filter val="106,00"/>
        <filter val="140,00"/>
        <filter val="149,00"/>
        <filter val="16 715,00"/>
        <filter val="18 151,86"/>
        <filter val="18 926,86"/>
        <filter val="2 024,00"/>
        <filter val="2 071,00"/>
        <filter val="2 276,00"/>
        <filter val="2 813,00"/>
        <filter val="205,00"/>
        <filter val="3 169,00"/>
        <filter val="3 302,46"/>
        <filter val="303,22"/>
        <filter val="31"/>
        <filter val="326,00"/>
        <filter val="390,00"/>
        <filter val="434,94"/>
        <filter val="472,59"/>
        <filter val="476,25"/>
        <filter val="48,27"/>
        <filter val="50,48"/>
        <filter val="52,40"/>
        <filter val="542,10"/>
        <filter val="595,00"/>
        <filter val="602,00"/>
        <filter val="613,75"/>
        <filter val="660,00"/>
        <filter val="705,00"/>
        <filter val="71,67"/>
        <filter val="724,00"/>
        <filter val="76,28"/>
        <filter val="77,18"/>
        <filter val="774,00"/>
        <filter val="786,00"/>
        <filter val="789,00"/>
        <filter val="83,33"/>
        <filter val="896,00"/>
        <filter val="921,00"/>
        <filter val="994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2026-07-31T16:04:44Z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