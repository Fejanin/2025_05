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905AF0-8751-498D-B27F-5C117BB853C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P317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Z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Z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63" i="2" l="1"/>
  <c r="BP117" i="2"/>
  <c r="BP129" i="2"/>
  <c r="BP192" i="2"/>
  <c r="BN262" i="2"/>
  <c r="BN278" i="2"/>
  <c r="BN407" i="2"/>
  <c r="BN454" i="2"/>
  <c r="BN65" i="2"/>
  <c r="Z89" i="2"/>
  <c r="BN113" i="2"/>
  <c r="Z117" i="2"/>
  <c r="Z129" i="2"/>
  <c r="Z130" i="2" s="1"/>
  <c r="Y131" i="2"/>
  <c r="BN152" i="2"/>
  <c r="Z192" i="2"/>
  <c r="Z193" i="2" s="1"/>
  <c r="Y194" i="2"/>
  <c r="Z201" i="2"/>
  <c r="Z222" i="2"/>
  <c r="BN225" i="2"/>
  <c r="Z232" i="2"/>
  <c r="BN293" i="2"/>
  <c r="BP294" i="2"/>
  <c r="Z309" i="2"/>
  <c r="Z320" i="2"/>
  <c r="Z354" i="2"/>
  <c r="BN357" i="2"/>
  <c r="Z393" i="2"/>
  <c r="BN400" i="2"/>
  <c r="BP411" i="2"/>
  <c r="BN445" i="2"/>
  <c r="Z516" i="2"/>
  <c r="BN346" i="2"/>
  <c r="Y350" i="2"/>
  <c r="Z73" i="2"/>
  <c r="BP73" i="2"/>
  <c r="BP517" i="2"/>
  <c r="Z512" i="2"/>
  <c r="Z513" i="2" s="1"/>
  <c r="BN499" i="2"/>
  <c r="BN497" i="2"/>
  <c r="BN482" i="2"/>
  <c r="Y463" i="2"/>
  <c r="Z460" i="2"/>
  <c r="BP460" i="2"/>
  <c r="BN452" i="2"/>
  <c r="Y430" i="2"/>
  <c r="BN429" i="2"/>
  <c r="BP418" i="2"/>
  <c r="BP413" i="2"/>
  <c r="Z413" i="2"/>
  <c r="Z409" i="2"/>
  <c r="BP408" i="2"/>
  <c r="Z407" i="2"/>
  <c r="Z399" i="2"/>
  <c r="BP399" i="2"/>
  <c r="BN394" i="2"/>
  <c r="BP393" i="2"/>
  <c r="Y395" i="2"/>
  <c r="BN387" i="2"/>
  <c r="Y383" i="2"/>
  <c r="Z381" i="2"/>
  <c r="BN380" i="2"/>
  <c r="Z374" i="2"/>
  <c r="BP373" i="2"/>
  <c r="BP372" i="2"/>
  <c r="Z372" i="2"/>
  <c r="Z368" i="2"/>
  <c r="BP368" i="2"/>
  <c r="BN366" i="2"/>
  <c r="Z365" i="2"/>
  <c r="BN362" i="2"/>
  <c r="Z356" i="2"/>
  <c r="BP356" i="2"/>
  <c r="BP353" i="2"/>
  <c r="BN336" i="2"/>
  <c r="Z327" i="2"/>
  <c r="BP327" i="2"/>
  <c r="BN320" i="2"/>
  <c r="Z318" i="2"/>
  <c r="BN310" i="2"/>
  <c r="BP309" i="2"/>
  <c r="BP297" i="2"/>
  <c r="Z295" i="2"/>
  <c r="Z293" i="2"/>
  <c r="BP281" i="2"/>
  <c r="Z281" i="2"/>
  <c r="BN276" i="2"/>
  <c r="Z275" i="2"/>
  <c r="Z271" i="2"/>
  <c r="Z264" i="2"/>
  <c r="BP264" i="2"/>
  <c r="Y268" i="2"/>
  <c r="Z262" i="2"/>
  <c r="Z254" i="2"/>
  <c r="Z256" i="2" s="1"/>
  <c r="BP231" i="2"/>
  <c r="Z231" i="2"/>
  <c r="Z235" i="2" s="1"/>
  <c r="Z221" i="2"/>
  <c r="BP221" i="2"/>
  <c r="BP219" i="2"/>
  <c r="Z219" i="2"/>
  <c r="Y228" i="2"/>
  <c r="Z218" i="2"/>
  <c r="BN217" i="2"/>
  <c r="Z209" i="2"/>
  <c r="Z210" i="2" s="1"/>
  <c r="BP209" i="2"/>
  <c r="Y211" i="2"/>
  <c r="BN209" i="2"/>
  <c r="BN203" i="2"/>
  <c r="BP202" i="2"/>
  <c r="BN192" i="2"/>
  <c r="Z176" i="2"/>
  <c r="BP176" i="2"/>
  <c r="BN174" i="2"/>
  <c r="Z174" i="2"/>
  <c r="BN170" i="2"/>
  <c r="Z163" i="2"/>
  <c r="Z164" i="2" s="1"/>
  <c r="Y165" i="2"/>
  <c r="BN159" i="2"/>
  <c r="Z152" i="2"/>
  <c r="Z139" i="2"/>
  <c r="BN129" i="2"/>
  <c r="BN123" i="2"/>
  <c r="BP108" i="2"/>
  <c r="BN91" i="2"/>
  <c r="Y92" i="2"/>
  <c r="Z65" i="2"/>
  <c r="Z63" i="2"/>
  <c r="BP53" i="2"/>
  <c r="X534" i="2"/>
  <c r="X538" i="2"/>
  <c r="Z42" i="2"/>
  <c r="BP42" i="2"/>
  <c r="Y37" i="2"/>
  <c r="X535" i="2"/>
  <c r="Z27" i="2"/>
  <c r="BP27" i="2"/>
  <c r="X536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Z421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Z321" i="2" s="1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98" i="2"/>
  <c r="Z312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92" i="2" l="1"/>
  <c r="Z376" i="2"/>
  <c r="Z527" i="2"/>
  <c r="Z395" i="2"/>
  <c r="Z359" i="2"/>
  <c r="Z141" i="2"/>
  <c r="Z473" i="2"/>
  <c r="Z415" i="2"/>
  <c r="Z389" i="2"/>
  <c r="Z382" i="2"/>
  <c r="Z369" i="2"/>
  <c r="Z349" i="2"/>
  <c r="Z282" i="2"/>
  <c r="Z267" i="2"/>
  <c r="Z205" i="2"/>
  <c r="Z154" i="2"/>
  <c r="Z99" i="2"/>
  <c r="Z55" i="2"/>
  <c r="Z46" i="2"/>
  <c r="Z32" i="2"/>
  <c r="X537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<sst xmlns="http://schemas.openxmlformats.org/spreadsheetml/2006/main" count="4040" uniqueCount="856">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</sst>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46220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hidden="1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hidden="1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hidden="1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hidden="1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78.518518518518519</v>
      </c>
      <c r="Y55" s="43">
        <f>IFERROR(Y51/H51,"0")+IFERROR(Y52/H52,"0")+IFERROR(Y53/H53,"0")+IFERROR(Y54/H54,"0")</f>
        <v>79</v>
      </c>
      <c r="Z55" s="43">
        <f>IFERROR(IF(Z51="",0,Z51),"0")+IFERROR(IF(Z52="",0,Z52),"0")+IFERROR(IF(Z53="",0,Z53),"0")+IFERROR(IF(Z54="",0,Z54),"0")</f>
        <v>0.90182000000000007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440</v>
      </c>
      <c r="Y56" s="43">
        <f>IFERROR(SUM(Y51:Y54),"0")</f>
        <v>445.20000000000005</v>
      </c>
      <c r="Z56" s="42"/>
      <c r="AA56" s="67"/>
      <c r="AB56" s="67"/>
      <c r="AC56" s="67"/>
    </row>
    <row r="57" spans="1:68" ht="16.5" hidden="1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hidden="1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120</v>
      </c>
      <c r="Y61" s="55">
        <f t="shared" si="0"/>
        <v>129.60000000000002</v>
      </c>
      <c r="Z61" s="41">
        <f>IFERROR(IF(Y61=0,"",ROUNDUP(Y61/H61,0)*0.01898),"")</f>
        <v>0.22776000000000002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124.55555555555556</v>
      </c>
      <c r="BN61" s="78">
        <f t="shared" si="2"/>
        <v>134.52000000000001</v>
      </c>
      <c r="BO61" s="78">
        <f t="shared" si="3"/>
        <v>0.1736111111111111</v>
      </c>
      <c r="BP61" s="78">
        <f t="shared" si="4"/>
        <v>0.18750000000000003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61.111111111111114</v>
      </c>
      <c r="Y67" s="43">
        <f>IFERROR(Y59/H59,"0")+IFERROR(Y60/H60,"0")+IFERROR(Y61/H61,"0")+IFERROR(Y62/H62,"0")+IFERROR(Y63/H63,"0")+IFERROR(Y64/H64,"0")+IFERROR(Y65/H65,"0")+IFERROR(Y66/H66,"0")</f>
        <v>62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0.67876000000000003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345</v>
      </c>
      <c r="Y68" s="43">
        <f>IFERROR(SUM(Y59:Y66),"0")</f>
        <v>354.6</v>
      </c>
      <c r="Z68" s="42"/>
      <c r="AA68" s="67"/>
      <c r="AB68" s="67"/>
      <c r="AC68" s="67"/>
    </row>
    <row r="69" spans="1:68" ht="14.25" hidden="1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33.333333333333329</v>
      </c>
      <c r="Y74" s="43">
        <f>IFERROR(Y70/H70,"0")+IFERROR(Y71/H71,"0")+IFERROR(Y72/H72,"0")+IFERROR(Y73/H73,"0")</f>
        <v>34</v>
      </c>
      <c r="Z74" s="43">
        <f>IFERROR(IF(Z70="",0,Z70),"0")+IFERROR(IF(Z71="",0,Z71),"0")+IFERROR(IF(Z72="",0,Z72),"0")+IFERROR(IF(Z73="",0,Z73),"0")</f>
        <v>0.22134000000000001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90</v>
      </c>
      <c r="Y75" s="43">
        <f>IFERROR(SUM(Y70:Y73),"0")</f>
        <v>91.800000000000011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360</v>
      </c>
      <c r="Y91" s="55">
        <f>IFERROR(IF(X91="",0,CEILING((X91/$H91),1)*$H91),"")</f>
        <v>360</v>
      </c>
      <c r="Z91" s="41">
        <f>IFERROR(IF(Y91=0,"",ROUNDUP(Y91/H91,0)*0.00902),"")</f>
        <v>0.72160000000000002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375.20000000000005</v>
      </c>
      <c r="BN91" s="78">
        <f>IFERROR(Y91*I91/H91,"0")</f>
        <v>375.20000000000005</v>
      </c>
      <c r="BO91" s="78">
        <f>IFERROR(1/J91*(X91/H91),"0")</f>
        <v>0.60606060606060608</v>
      </c>
      <c r="BP91" s="78">
        <f>IFERROR(1/J91*(Y91/H91),"0")</f>
        <v>0.60606060606060608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80</v>
      </c>
      <c r="Y92" s="43">
        <f>IFERROR(Y88/H88,"0")+IFERROR(Y89/H89,"0")+IFERROR(Y90/H90,"0")+IFERROR(Y91/H91,"0")</f>
        <v>80</v>
      </c>
      <c r="Z92" s="43">
        <f>IFERROR(IF(Z88="",0,Z88),"0")+IFERROR(IF(Z89="",0,Z89),"0")+IFERROR(IF(Z90="",0,Z90),"0")+IFERROR(IF(Z91="",0,Z91),"0")</f>
        <v>0.72160000000000002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360</v>
      </c>
      <c r="Y93" s="43">
        <f>IFERROR(SUM(Y88:Y91),"0")</f>
        <v>360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405</v>
      </c>
      <c r="Y97" s="55">
        <f>IFERROR(IF(X97="",0,CEILING((X97/$H97),1)*$H97),"")</f>
        <v>405</v>
      </c>
      <c r="Z97" s="41">
        <f>IFERROR(IF(Y97=0,"",ROUNDUP(Y97/H97,0)*0.00651),"")</f>
        <v>0.97650000000000003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442.79999999999995</v>
      </c>
      <c r="BN97" s="78">
        <f>IFERROR(Y97*I97/H97,"0")</f>
        <v>442.79999999999995</v>
      </c>
      <c r="BO97" s="78">
        <f>IFERROR(1/J97*(X97/H97),"0")</f>
        <v>0.82417582417582425</v>
      </c>
      <c r="BP97" s="78">
        <f>IFERROR(1/J97*(Y97/H97),"0")</f>
        <v>0.82417582417582425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174.69135802469137</v>
      </c>
      <c r="Y99" s="43">
        <f>IFERROR(Y95/H95,"0")+IFERROR(Y96/H96,"0")+IFERROR(Y97/H97,"0")+IFERROR(Y98/H98,"0")</f>
        <v>175</v>
      </c>
      <c r="Z99" s="43">
        <f>IFERROR(IF(Z95="",0,Z95),"0")+IFERROR(IF(Z96="",0,Z96),"0")+IFERROR(IF(Z97="",0,Z97),"0")+IFERROR(IF(Z98="",0,Z98),"0")</f>
        <v>1.4510000000000001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605</v>
      </c>
      <c r="Y100" s="43">
        <f>IFERROR(SUM(Y95:Y98),"0")</f>
        <v>607.5</v>
      </c>
      <c r="Z100" s="42"/>
      <c r="AA100" s="67"/>
      <c r="AB100" s="67"/>
      <c r="AC100" s="67"/>
    </row>
    <row r="101" spans="1:68" ht="16.5" hidden="1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270</v>
      </c>
      <c r="Y107" s="55">
        <f t="shared" si="5"/>
        <v>270</v>
      </c>
      <c r="Z107" s="41">
        <f>IFERROR(IF(Y107=0,"",ROUNDUP(Y107/H107,0)*0.00902),"")</f>
        <v>0.54120000000000001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281.40000000000003</v>
      </c>
      <c r="BN107" s="78">
        <f t="shared" si="7"/>
        <v>281.40000000000003</v>
      </c>
      <c r="BO107" s="78">
        <f t="shared" si="8"/>
        <v>0.45454545454545459</v>
      </c>
      <c r="BP107" s="78">
        <f t="shared" si="9"/>
        <v>0.45454545454545459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60</v>
      </c>
      <c r="Y109" s="43">
        <f>IFERROR(Y103/H103,"0")+IFERROR(Y104/H104,"0")+IFERROR(Y105/H105,"0")+IFERROR(Y106/H106,"0")+IFERROR(Y107/H107,"0")+IFERROR(Y108/H108,"0")</f>
        <v>60</v>
      </c>
      <c r="Z109" s="43">
        <f>IFERROR(IF(Z103="",0,Z103),"0")+IFERROR(IF(Z104="",0,Z104),"0")+IFERROR(IF(Z105="",0,Z105),"0")+IFERROR(IF(Z106="",0,Z106),"0")+IFERROR(IF(Z107="",0,Z107),"0")+IFERROR(IF(Z108="",0,Z108),"0")</f>
        <v>0.54120000000000001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270</v>
      </c>
      <c r="Y110" s="43">
        <f>IFERROR(SUM(Y103:Y108),"0")</f>
        <v>270</v>
      </c>
      <c r="Z110" s="42"/>
      <c r="AA110" s="67"/>
      <c r="AB110" s="67"/>
      <c r="AC110" s="67"/>
    </row>
    <row r="111" spans="1:68" ht="14.25" hidden="1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360</v>
      </c>
      <c r="Y124" s="55">
        <f>IFERROR(IF(X124="",0,CEILING((X124/$H124),1)*$H124),"")</f>
        <v>361.8</v>
      </c>
      <c r="Z124" s="41">
        <f>IFERROR(IF(Y124=0,"",ROUNDUP(Y124/H124,0)*0.00651),"")</f>
        <v>0.87234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393.59999999999997</v>
      </c>
      <c r="BN124" s="78">
        <f>IFERROR(Y124*I124/H124,"0")</f>
        <v>395.56799999999998</v>
      </c>
      <c r="BO124" s="78">
        <f>IFERROR(1/J124*(X124/H124),"0")</f>
        <v>0.73260073260073255</v>
      </c>
      <c r="BP124" s="78">
        <f>IFERROR(1/J124*(Y124/H124),"0")</f>
        <v>0.73626373626373631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36</v>
      </c>
      <c r="Y125" s="55">
        <f>IFERROR(IF(X125="",0,CEILING((X125/$H125),1)*$H125),"")</f>
        <v>36</v>
      </c>
      <c r="Z125" s="41">
        <f>IFERROR(IF(Y125=0,"",ROUNDUP(Y125/H125,0)*0.00651),"")</f>
        <v>0.13020000000000001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39.6</v>
      </c>
      <c r="BN125" s="78">
        <f>IFERROR(Y125*I125/H125,"0")</f>
        <v>39.6</v>
      </c>
      <c r="BO125" s="78">
        <f>IFERROR(1/J125*(X125/H125),"0")</f>
        <v>0.1098901098901099</v>
      </c>
      <c r="BP125" s="78">
        <f>IFERROR(1/J125*(Y125/H125),"0")</f>
        <v>0.1098901098901099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202.71604938271602</v>
      </c>
      <c r="Y126" s="43">
        <f>IFERROR(Y122/H122,"0")+IFERROR(Y123/H123,"0")+IFERROR(Y124/H124,"0")+IFERROR(Y125/H125,"0")</f>
        <v>204</v>
      </c>
      <c r="Z126" s="43">
        <f>IFERROR(IF(Z122="",0,Z122),"0")+IFERROR(IF(Z123="",0,Z123),"0")+IFERROR(IF(Z124="",0,Z124),"0")+IFERROR(IF(Z125="",0,Z125),"0")</f>
        <v>1.9515400000000003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796</v>
      </c>
      <c r="Y127" s="43">
        <f>IFERROR(SUM(Y122:Y125),"0")</f>
        <v>802.8</v>
      </c>
      <c r="Z127" s="42"/>
      <c r="AA127" s="67"/>
      <c r="AB127" s="67"/>
      <c r="AC127" s="67"/>
    </row>
    <row r="128" spans="1:68" ht="14.25" hidden="1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hidden="1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hidden="1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hidden="1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18</v>
      </c>
      <c r="Y163" s="55">
        <f>IFERROR(IF(X163="",0,CEILING((X163/$H163),1)*$H163),"")</f>
        <v>18</v>
      </c>
      <c r="Z163" s="41">
        <f>IFERROR(IF(Y163=0,"",ROUNDUP(Y163/H163,0)*0.00556),"")</f>
        <v>0.13899999999999998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21.25</v>
      </c>
      <c r="BN163" s="78">
        <f>IFERROR(Y163*I163/H163,"0")</f>
        <v>21.25</v>
      </c>
      <c r="BO163" s="78">
        <f>IFERROR(1/J163*(X163/H163),"0")</f>
        <v>9.9206349206349201E-2</v>
      </c>
      <c r="BP163" s="78">
        <f>IFERROR(1/J163*(Y163/H163),"0")</f>
        <v>9.9206349206349201E-2</v>
      </c>
    </row>
    <row r="164" spans="1:68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25</v>
      </c>
      <c r="Y164" s="43">
        <f>IFERROR(Y163/H163,"0")</f>
        <v>25</v>
      </c>
      <c r="Z164" s="43">
        <f>IFERROR(IF(Z163="",0,Z163),"0")</f>
        <v>0.13899999999999998</v>
      </c>
      <c r="AA164" s="67"/>
      <c r="AB164" s="67"/>
      <c r="AC164" s="67"/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18</v>
      </c>
      <c r="Y165" s="43">
        <f>IFERROR(SUM(Y163:Y163),"0")</f>
        <v>18</v>
      </c>
      <c r="Z165" s="42"/>
      <c r="AA165" s="67"/>
      <c r="AB165" s="67"/>
      <c r="AC165" s="67"/>
    </row>
    <row r="166" spans="1:68" ht="14.25" hidden="1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250</v>
      </c>
      <c r="Y167" s="55">
        <f t="shared" ref="Y167:Y177" si="15">IFERROR(IF(X167="",0,CEILING((X167/$H167),1)*$H167),"")</f>
        <v>252</v>
      </c>
      <c r="Z167" s="41">
        <f>IFERROR(IF(Y167=0,"",ROUNDUP(Y167/H167,0)*0.00902),"")</f>
        <v>0.64944000000000002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263.57142857142856</v>
      </c>
      <c r="BN167" s="78">
        <f t="shared" ref="BN167:BN177" si="17">IFERROR(Y167*I167/H167,"0")</f>
        <v>265.68</v>
      </c>
      <c r="BO167" s="78">
        <f t="shared" ref="BO167:BO177" si="18">IFERROR(1/J167*(X167/H167),"0")</f>
        <v>0.54112554112554112</v>
      </c>
      <c r="BP167" s="78">
        <f t="shared" ref="BP167:BP177" si="19">IFERROR(1/J167*(Y167/H167),"0")</f>
        <v>0.54545454545454541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300</v>
      </c>
      <c r="Y169" s="55">
        <f t="shared" si="15"/>
        <v>301</v>
      </c>
      <c r="Z169" s="41">
        <f>IFERROR(IF(Y169=0,"",ROUNDUP(Y169/H169,0)*0.00902),"")</f>
        <v>0.77571999999999997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316.28571428571428</v>
      </c>
      <c r="BN169" s="78">
        <f t="shared" si="17"/>
        <v>317.34000000000003</v>
      </c>
      <c r="BO169" s="78">
        <f t="shared" si="18"/>
        <v>0.64935064935064934</v>
      </c>
      <c r="BP169" s="78">
        <f t="shared" si="19"/>
        <v>0.65151515151515149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150</v>
      </c>
      <c r="Y170" s="55">
        <f t="shared" si="15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158.14285714285714</v>
      </c>
      <c r="BN170" s="78">
        <f t="shared" si="17"/>
        <v>158.67000000000002</v>
      </c>
      <c r="BO170" s="78">
        <f t="shared" si="18"/>
        <v>0.32467532467532467</v>
      </c>
      <c r="BP170" s="78">
        <f t="shared" si="19"/>
        <v>0.32575757575757575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9</v>
      </c>
      <c r="Y171" s="55">
        <f t="shared" si="15"/>
        <v>9</v>
      </c>
      <c r="Z171" s="41">
        <f>IFERROR(IF(Y171=0,"",ROUNDUP(Y171/H171,0)*0.00417),"")</f>
        <v>4.1700000000000001E-2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11.1</v>
      </c>
      <c r="BN171" s="78">
        <f t="shared" si="17"/>
        <v>11.1</v>
      </c>
      <c r="BO171" s="78">
        <f t="shared" si="18"/>
        <v>2.976190476190476E-2</v>
      </c>
      <c r="BP171" s="78">
        <f t="shared" si="19"/>
        <v>2.976190476190476E-2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84.000000000000014</v>
      </c>
      <c r="Y172" s="55">
        <f t="shared" si="15"/>
        <v>84</v>
      </c>
      <c r="Z172" s="41">
        <f>IFERROR(IF(Y172=0,"",ROUNDUP(Y172/H172,0)*0.00502),"")</f>
        <v>0.251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89.000000000000028</v>
      </c>
      <c r="BN172" s="78">
        <f t="shared" si="17"/>
        <v>89.000000000000014</v>
      </c>
      <c r="BO172" s="78">
        <f t="shared" si="18"/>
        <v>0.21367521367521372</v>
      </c>
      <c r="BP172" s="78">
        <f t="shared" si="19"/>
        <v>0.21367521367521369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22.400000000000002</v>
      </c>
      <c r="Y175" s="55">
        <f t="shared" si="15"/>
        <v>23.52</v>
      </c>
      <c r="Z175" s="41">
        <f>IFERROR(IF(Y175=0,"",ROUNDUP(Y175/H175,0)*0.00502),"")</f>
        <v>7.0280000000000009E-2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23.733333333333338</v>
      </c>
      <c r="BN175" s="78">
        <f t="shared" si="17"/>
        <v>24.92</v>
      </c>
      <c r="BO175" s="78">
        <f t="shared" si="18"/>
        <v>5.6980056980056995E-2</v>
      </c>
      <c r="BP175" s="78">
        <f t="shared" si="19"/>
        <v>5.9829059829059839E-2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70</v>
      </c>
      <c r="Y177" s="55">
        <f t="shared" si="15"/>
        <v>70.56</v>
      </c>
      <c r="Z177" s="41">
        <f>IFERROR(IF(Y177=0,"",ROUNDUP(Y177/H177,0)*0.00502),"")</f>
        <v>0.21084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74.166666666666671</v>
      </c>
      <c r="BN177" s="78">
        <f t="shared" si="17"/>
        <v>74.760000000000005</v>
      </c>
      <c r="BO177" s="78">
        <f t="shared" si="18"/>
        <v>0.17806267806267811</v>
      </c>
      <c r="BP177" s="78">
        <f t="shared" si="19"/>
        <v>0.17948717948717952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315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317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2.3868399999999999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885.4</v>
      </c>
      <c r="Y179" s="43">
        <f>IFERROR(SUM(Y167:Y177),"0")</f>
        <v>890.57999999999993</v>
      </c>
      <c r="Z179" s="42"/>
      <c r="AA179" s="67"/>
      <c r="AB179" s="67"/>
      <c r="AC179" s="67"/>
    </row>
    <row r="180" spans="1:68" ht="14.25" hidden="1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hidden="1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hidden="1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hidden="1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40</v>
      </c>
      <c r="Y213" s="55">
        <f t="shared" ref="Y213:Y226" si="26">IFERROR(IF(X213="",0,CEILING((X213/$H213),1)*$H213),"")</f>
        <v>42</v>
      </c>
      <c r="Z213" s="41">
        <f>IFERROR(IF(Y213=0,"",ROUNDUP(Y213/H213,0)*0.00902),"")</f>
        <v>9.0200000000000002E-2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42.38095238095238</v>
      </c>
      <c r="BN213" s="78">
        <f t="shared" ref="BN213:BN226" si="28">IFERROR(Y213*I213/H213,"0")</f>
        <v>44.5</v>
      </c>
      <c r="BO213" s="78">
        <f t="shared" ref="BO213:BO226" si="29">IFERROR(1/J213*(X213/H213),"0")</f>
        <v>7.2150072150072145E-2</v>
      </c>
      <c r="BP213" s="78">
        <f t="shared" ref="BP213:BP226" si="30">IFERROR(1/J213*(Y213/H213),"0")</f>
        <v>7.575757575757576E-2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si="26"/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83.619047619047606</v>
      </c>
      <c r="BN215" s="78">
        <f t="shared" si="28"/>
        <v>87.8</v>
      </c>
      <c r="BO215" s="78">
        <f t="shared" si="29"/>
        <v>0.14430014430014429</v>
      </c>
      <c r="BP215" s="78">
        <f t="shared" si="30"/>
        <v>0.15151515151515152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42</v>
      </c>
      <c r="Y217" s="55">
        <f t="shared" si="26"/>
        <v>42</v>
      </c>
      <c r="Z217" s="41">
        <f t="shared" ref="Z217:Z222" si="31">IFERROR(IF(Y217=0,"",ROUNDUP(Y217/H217,0)*0.00502),"")</f>
        <v>0.1004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44.599999999999994</v>
      </c>
      <c r="BN217" s="78">
        <f t="shared" si="28"/>
        <v>44.599999999999994</v>
      </c>
      <c r="BO217" s="78">
        <f t="shared" si="29"/>
        <v>8.5470085470085472E-2</v>
      </c>
      <c r="BP217" s="78">
        <f t="shared" si="30"/>
        <v>8.5470085470085472E-2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52.5</v>
      </c>
      <c r="Y219" s="55">
        <f t="shared" si="26"/>
        <v>52.5</v>
      </c>
      <c r="Z219" s="41">
        <f t="shared" si="31"/>
        <v>0.1255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55.75</v>
      </c>
      <c r="BN219" s="78">
        <f t="shared" si="28"/>
        <v>55.75</v>
      </c>
      <c r="BO219" s="78">
        <f t="shared" si="29"/>
        <v>0.10683760683760685</v>
      </c>
      <c r="BP219" s="78">
        <f t="shared" si="30"/>
        <v>0.10683760683760685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73.333333333333329</v>
      </c>
      <c r="BN224" s="78">
        <f t="shared" si="28"/>
        <v>74.8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106.9047619047619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109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0.66718</v>
      </c>
      <c r="AA227" s="67"/>
      <c r="AB227" s="67"/>
      <c r="AC227" s="67"/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284.5</v>
      </c>
      <c r="Y228" s="43">
        <f>IFERROR(SUM(Y213:Y226),"0")</f>
        <v>291.89999999999998</v>
      </c>
      <c r="Z228" s="42"/>
      <c r="AA228" s="67"/>
      <c r="AB228" s="67"/>
      <c r="AC228" s="67"/>
    </row>
    <row r="229" spans="1:68" ht="14.25" hidden="1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8.4</v>
      </c>
      <c r="Y239" s="55">
        <f>IFERROR(IF(X239="",0,CEILING((X239/$H239),1)*$H239),"")</f>
        <v>8.82</v>
      </c>
      <c r="Z239" s="41">
        <f>IFERROR(IF(Y239=0,"",ROUNDUP(Y239/H239,0)*0.0059),"")</f>
        <v>4.1299999999999996E-2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9.6666666666666661</v>
      </c>
      <c r="BN239" s="78">
        <f>IFERROR(Y239*I239/H239,"0")</f>
        <v>10.15</v>
      </c>
      <c r="BO239" s="78">
        <f>IFERROR(1/J239*(X239/H239),"0")</f>
        <v>3.0864197530864196E-2</v>
      </c>
      <c r="BP239" s="78">
        <f>IFERROR(1/J239*(Y239/H239),"0")</f>
        <v>3.2407407407407406E-2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6.666666666666667</v>
      </c>
      <c r="Y241" s="43">
        <f>IFERROR(Y238/H238,"0")+IFERROR(Y239/H239,"0")+IFERROR(Y240/H240,"0")</f>
        <v>7</v>
      </c>
      <c r="Z241" s="43">
        <f>IFERROR(IF(Z238="",0,Z238),"0")+IFERROR(IF(Z239="",0,Z239),"0")+IFERROR(IF(Z240="",0,Z240),"0")</f>
        <v>4.1299999999999996E-2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8.4</v>
      </c>
      <c r="Y242" s="43">
        <f>IFERROR(SUM(Y238:Y240),"0")</f>
        <v>8.82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120</v>
      </c>
      <c r="Y259" s="55">
        <f t="shared" ref="Y259:Y266" si="32">IFERROR(IF(X259="",0,CEILING((X259/$H259),1)*$H259),"")</f>
        <v>124.2</v>
      </c>
      <c r="Z259" s="41">
        <f>IFERROR(IF(Y259=0,"",ROUNDUP(Y259/H259,0)*0.00902),"")</f>
        <v>0.20746000000000001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124.2222222222222</v>
      </c>
      <c r="BN259" s="78">
        <f t="shared" ref="BN259:BN266" si="34">IFERROR(Y259*I259/H259,"0")</f>
        <v>128.57</v>
      </c>
      <c r="BO259" s="78">
        <f t="shared" ref="BO259:BO266" si="35">IFERROR(1/J259*(X259/H259),"0")</f>
        <v>0.16835016835016836</v>
      </c>
      <c r="BP259" s="78">
        <f t="shared" ref="BP259:BP266" si="36">IFERROR(1/J259*(Y259/H259),"0")</f>
        <v>0.17424242424242425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100</v>
      </c>
      <c r="Y260" s="55">
        <f t="shared" si="32"/>
        <v>102.60000000000001</v>
      </c>
      <c r="Z260" s="41">
        <f>IFERROR(IF(Y260=0,"",ROUNDUP(Y260/H260,0)*0.00902),"")</f>
        <v>0.17138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103.5185185185185</v>
      </c>
      <c r="BN260" s="78">
        <f t="shared" si="34"/>
        <v>106.21</v>
      </c>
      <c r="BO260" s="78">
        <f t="shared" si="35"/>
        <v>0.14029180695847362</v>
      </c>
      <c r="BP260" s="78">
        <f t="shared" si="36"/>
        <v>0.14393939393939395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60</v>
      </c>
      <c r="Y263" s="55">
        <f t="shared" si="32"/>
        <v>61.2</v>
      </c>
      <c r="Z263" s="41">
        <f>IFERROR(IF(Y263=0,"",ROUNDUP(Y263/H263,0)*0.00502),"")</f>
        <v>0.17068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64.333333333333329</v>
      </c>
      <c r="BN263" s="78">
        <f t="shared" si="34"/>
        <v>65.62</v>
      </c>
      <c r="BO263" s="78">
        <f t="shared" si="35"/>
        <v>0.14245014245014248</v>
      </c>
      <c r="BP263" s="78">
        <f t="shared" si="36"/>
        <v>0.14529914529914531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36</v>
      </c>
      <c r="Y264" s="55">
        <f t="shared" si="32"/>
        <v>36</v>
      </c>
      <c r="Z264" s="41">
        <f>IFERROR(IF(Y264=0,"",ROUNDUP(Y264/H264,0)*0.00502),"")</f>
        <v>0.1004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37.999999999999993</v>
      </c>
      <c r="BN264" s="78">
        <f t="shared" si="34"/>
        <v>37.999999999999993</v>
      </c>
      <c r="BO264" s="78">
        <f t="shared" si="35"/>
        <v>8.5470085470085472E-2</v>
      </c>
      <c r="BP264" s="78">
        <f t="shared" si="36"/>
        <v>8.5470085470085472E-2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36</v>
      </c>
      <c r="Y265" s="55">
        <f t="shared" si="32"/>
        <v>36</v>
      </c>
      <c r="Z265" s="41">
        <f>IFERROR(IF(Y265=0,"",ROUNDUP(Y265/H265,0)*0.00502),"")</f>
        <v>0.1004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37.999999999999993</v>
      </c>
      <c r="BN265" s="78">
        <f t="shared" si="34"/>
        <v>37.999999999999993</v>
      </c>
      <c r="BO265" s="78">
        <f t="shared" si="35"/>
        <v>8.5470085470085472E-2</v>
      </c>
      <c r="BP265" s="78">
        <f t="shared" si="36"/>
        <v>8.5470085470085472E-2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114.07407407407408</v>
      </c>
      <c r="Y267" s="43">
        <f>IFERROR(Y259/H259,"0")+IFERROR(Y260/H260,"0")+IFERROR(Y261/H261,"0")+IFERROR(Y262/H262,"0")+IFERROR(Y263/H263,"0")+IFERROR(Y264/H264,"0")+IFERROR(Y265/H265,"0")+IFERROR(Y266/H266,"0")</f>
        <v>116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0.7503200000000001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352</v>
      </c>
      <c r="Y268" s="43">
        <f>IFERROR(SUM(Y259:Y266),"0")</f>
        <v>360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7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105.67816091954025</v>
      </c>
      <c r="BN272" s="78">
        <f t="shared" si="39"/>
        <v>110.32800000000002</v>
      </c>
      <c r="BO272" s="78">
        <f t="shared" si="40"/>
        <v>0.1795977011494253</v>
      </c>
      <c r="BP272" s="78">
        <f t="shared" si="41"/>
        <v>0.1875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37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445</v>
      </c>
      <c r="BN273" s="78">
        <f t="shared" si="39"/>
        <v>445.89</v>
      </c>
      <c r="BO273" s="78">
        <f t="shared" si="40"/>
        <v>0.91575091575091594</v>
      </c>
      <c r="BP273" s="78">
        <f t="shared" si="41"/>
        <v>0.91758241758241765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37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309.40000000000003</v>
      </c>
      <c r="BN276" s="78">
        <f t="shared" si="39"/>
        <v>310.28400000000005</v>
      </c>
      <c r="BO276" s="78">
        <f t="shared" si="40"/>
        <v>0.64102564102564108</v>
      </c>
      <c r="BP276" s="78">
        <f t="shared" si="41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280</v>
      </c>
      <c r="Y280" s="55">
        <f t="shared" si="37"/>
        <v>280.8</v>
      </c>
      <c r="Z280" s="41">
        <f>IFERROR(IF(Y280=0,"",ROUNDUP(Y280/H280,0)*0.00651),"")</f>
        <v>0.76167000000000007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310.10000000000002</v>
      </c>
      <c r="BN280" s="78">
        <f t="shared" si="39"/>
        <v>310.98599999999999</v>
      </c>
      <c r="BO280" s="78">
        <f t="shared" si="40"/>
        <v>0.64102564102564108</v>
      </c>
      <c r="BP280" s="78">
        <f t="shared" si="41"/>
        <v>0.64285714285714302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436.49425287356325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438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3.00102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1120</v>
      </c>
      <c r="Y283" s="43">
        <f>IFERROR(SUM(Y270:Y281),"0")</f>
        <v>1126.8</v>
      </c>
      <c r="Z283" s="42"/>
      <c r="AA283" s="67"/>
      <c r="AB283" s="67"/>
      <c r="AC283" s="67"/>
    </row>
    <row r="284" spans="1:68" ht="14.25" hidden="1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0.87234000000000012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220</v>
      </c>
      <c r="Y346" s="55">
        <f>IFERROR(IF(X346="",0,CEILING((X346/$H346),1)*$H346),"")</f>
        <v>226.2</v>
      </c>
      <c r="Z346" s="41">
        <f>IFERROR(IF(Y346=0,"",ROUNDUP(Y346/H346,0)*0.01898),"")</f>
        <v>0.55042000000000002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231.5641025641026</v>
      </c>
      <c r="BN346" s="78">
        <f>IFERROR(Y346*I346/H346,"0")</f>
        <v>238.09</v>
      </c>
      <c r="BO346" s="78">
        <f>IFERROR(1/J346*(X346/H346),"0")</f>
        <v>0.44070512820512819</v>
      </c>
      <c r="BP346" s="78">
        <f>IFERROR(1/J346*(Y346/H346),"0")</f>
        <v>0.453125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250</v>
      </c>
      <c r="Y347" s="55">
        <f>IFERROR(IF(X347="",0,CEILING((X347/$H347),1)*$H347),"")</f>
        <v>257.39999999999998</v>
      </c>
      <c r="Z347" s="41">
        <f>IFERROR(IF(Y347=0,"",ROUNDUP(Y347/H347,0)*0.01898),"")</f>
        <v>0.62634000000000001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263.14102564102564</v>
      </c>
      <c r="BN347" s="78">
        <f>IFERROR(Y347*I347/H347,"0")</f>
        <v>270.93</v>
      </c>
      <c r="BO347" s="78">
        <f>IFERROR(1/J347*(X347/H347),"0")</f>
        <v>0.50080128205128205</v>
      </c>
      <c r="BP347" s="78">
        <f>IFERROR(1/J347*(Y347/H347),"0")</f>
        <v>0.515625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60</v>
      </c>
      <c r="Y348" s="55">
        <f>IFERROR(IF(X348="",0,CEILING((X348/$H348),1)*$H348),"")</f>
        <v>62.4</v>
      </c>
      <c r="Z348" s="41">
        <f>IFERROR(IF(Y348=0,"",ROUNDUP(Y348/H348,0)*0.01898),"")</f>
        <v>0.15184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63.15384615384616</v>
      </c>
      <c r="BN348" s="78">
        <f>IFERROR(Y348*I348/H348,"0")</f>
        <v>65.680000000000007</v>
      </c>
      <c r="BO348" s="78">
        <f>IFERROR(1/J348*(X348/H348),"0")</f>
        <v>0.1201923076923077</v>
      </c>
      <c r="BP348" s="78">
        <f>IFERROR(1/J348*(Y348/H348),"0")</f>
        <v>0.125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67.948717948717942</v>
      </c>
      <c r="Y349" s="43">
        <f>IFERROR(Y346/H346,"0")+IFERROR(Y347/H347,"0")+IFERROR(Y348/H348,"0")</f>
        <v>70</v>
      </c>
      <c r="Z349" s="43">
        <f>IFERROR(IF(Z346="",0,Z346),"0")+IFERROR(IF(Z347="",0,Z347),"0")+IFERROR(IF(Z348="",0,Z348),"0")</f>
        <v>1.3286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530</v>
      </c>
      <c r="Y350" s="43">
        <f>IFERROR(SUM(Y346:Y348),"0")</f>
        <v>546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122.49999999999999</v>
      </c>
      <c r="Y366" s="55">
        <f t="shared" si="52"/>
        <v>123.9</v>
      </c>
      <c r="Z366" s="41">
        <f>IFERROR(IF(Y366=0,"",ROUNDUP(Y366/H366,0)*0.00502),"")</f>
        <v>0.29618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128.33333333333331</v>
      </c>
      <c r="BN366" s="78">
        <f t="shared" si="54"/>
        <v>129.80000000000001</v>
      </c>
      <c r="BO366" s="78">
        <f t="shared" si="55"/>
        <v>0.24928774928774927</v>
      </c>
      <c r="BP366" s="78">
        <f t="shared" si="56"/>
        <v>0.25213675213675218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58.333333333333321</v>
      </c>
      <c r="Y369" s="43">
        <f>IFERROR(Y362/H362,"0")+IFERROR(Y363/H363,"0")+IFERROR(Y364/H364,"0")+IFERROR(Y365/H365,"0")+IFERROR(Y366/H366,"0")+IFERROR(Y367/H367,"0")+IFERROR(Y368/H368,"0")</f>
        <v>59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0.29618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122.49999999999999</v>
      </c>
      <c r="Y370" s="43">
        <f>IFERROR(SUM(Y362:Y368),"0")</f>
        <v>123.9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300</v>
      </c>
      <c r="Y380" s="55">
        <f>IFERROR(IF(X380="",0,CEILING((X380/$H380),1)*$H380),"")</f>
        <v>304.2</v>
      </c>
      <c r="Z380" s="41">
        <f>IFERROR(IF(Y380=0,"",ROUNDUP(Y380/H380,0)*0.01898),"")</f>
        <v>0.74021999999999999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319.00000000000006</v>
      </c>
      <c r="BN380" s="78">
        <f>IFERROR(Y380*I380/H380,"0")</f>
        <v>323.46600000000001</v>
      </c>
      <c r="BO380" s="78">
        <f>IFERROR(1/J380*(X380/H380),"0")</f>
        <v>0.60096153846153844</v>
      </c>
      <c r="BP380" s="78">
        <f>IFERROR(1/J380*(Y380/H380),"0")</f>
        <v>0.609375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81.318681318681314</v>
      </c>
      <c r="Y382" s="43">
        <f>IFERROR(Y379/H379,"0")+IFERROR(Y380/H380,"0")+IFERROR(Y381/H381,"0")</f>
        <v>83</v>
      </c>
      <c r="Z382" s="43">
        <f>IFERROR(IF(Z379="",0,Z379),"0")+IFERROR(IF(Z380="",0,Z380),"0")+IFERROR(IF(Z381="",0,Z381),"0")</f>
        <v>1.57534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660</v>
      </c>
      <c r="Y383" s="43">
        <f>IFERROR(SUM(Y379:Y381),"0")</f>
        <v>673.80000000000007</v>
      </c>
      <c r="Z383" s="42"/>
      <c r="AA383" s="67"/>
      <c r="AB383" s="67"/>
      <c r="AC383" s="67"/>
    </row>
    <row r="384" spans="1:68" ht="14.25" hidden="1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525</v>
      </c>
      <c r="Y400" s="55">
        <f>IFERROR(IF(X400="",0,CEILING((X400/$H400),1)*$H400),"")</f>
        <v>525</v>
      </c>
      <c r="Z400" s="41">
        <f>IFERROR(IF(Y400=0,"",ROUNDUP(Y400/H400,0)*0.00651),"")</f>
        <v>1.6274999999999999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588</v>
      </c>
      <c r="BN400" s="78">
        <f>IFERROR(Y400*I400/H400,"0")</f>
        <v>588</v>
      </c>
      <c r="BO400" s="78">
        <f>IFERROR(1/J400*(X400/H400),"0")</f>
        <v>1.3736263736263736</v>
      </c>
      <c r="BP400" s="78">
        <f>IFERROR(1/J400*(Y400/H400),"0")</f>
        <v>1.3736263736263736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416.66666666666663</v>
      </c>
      <c r="Y402" s="43">
        <f>IFERROR(Y399/H399,"0")+IFERROR(Y400/H400,"0")+IFERROR(Y401/H401,"0")</f>
        <v>417</v>
      </c>
      <c r="Z402" s="43">
        <f>IFERROR(IF(Z399="",0,Z399),"0")+IFERROR(IF(Z400="",0,Z400),"0")+IFERROR(IF(Z401="",0,Z401),"0")</f>
        <v>2.7146699999999999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875</v>
      </c>
      <c r="Y403" s="43">
        <f>IFERROR(SUM(Y399:Y401),"0")</f>
        <v>875.7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57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154.69999999999999</v>
      </c>
      <c r="BN407" s="78">
        <f t="shared" ref="BN407:BN414" si="59">IFERROR(Y407*I407/H407,"0")</f>
        <v>154.69999999999999</v>
      </c>
      <c r="BO407" s="78">
        <f t="shared" ref="BO407:BO414" si="60">IFERROR(1/J407*(X407/H407),"0")</f>
        <v>0.20833333333333331</v>
      </c>
      <c r="BP407" s="78">
        <f t="shared" ref="BP407:BP414" si="61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57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1443.8666666666666</v>
      </c>
      <c r="BN408" s="78">
        <f t="shared" si="59"/>
        <v>1454.18</v>
      </c>
      <c r="BO408" s="78">
        <f t="shared" si="60"/>
        <v>1.9444444444444442</v>
      </c>
      <c r="BP408" s="78">
        <f t="shared" si="61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800</v>
      </c>
      <c r="Y409" s="55">
        <f t="shared" si="57"/>
        <v>810</v>
      </c>
      <c r="Z409" s="41">
        <f>IFERROR(IF(Y409=0,"",ROUNDUP(Y409/H409,0)*0.02175),"")</f>
        <v>1.1744999999999999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825.06666666666672</v>
      </c>
      <c r="BN409" s="78">
        <f t="shared" si="59"/>
        <v>835.38</v>
      </c>
      <c r="BO409" s="78">
        <f t="shared" si="60"/>
        <v>1.1111111111111112</v>
      </c>
      <c r="BP409" s="78">
        <f t="shared" si="61"/>
        <v>1.125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1000</v>
      </c>
      <c r="Y410" s="55">
        <f t="shared" si="57"/>
        <v>1005</v>
      </c>
      <c r="Z410" s="41">
        <f>IFERROR(IF(Y410=0,"",ROUNDUP(Y410/H410,0)*0.02175),"")</f>
        <v>1.4572499999999999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1031.3333333333333</v>
      </c>
      <c r="BN410" s="78">
        <f t="shared" si="59"/>
        <v>1036.49</v>
      </c>
      <c r="BO410" s="78">
        <f t="shared" si="60"/>
        <v>1.3888888888888888</v>
      </c>
      <c r="BP410" s="78">
        <f t="shared" si="61"/>
        <v>1.3958333333333333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223.33333333333331</v>
      </c>
      <c r="Y415" s="43">
        <f>IFERROR(Y407/H407,"0")+IFERROR(Y408/H408,"0")+IFERROR(Y409/H409,"0")+IFERROR(Y410/H410,"0")+IFERROR(Y411/H411,"0")+IFERROR(Y412/H412,"0")+IFERROR(Y413/H413,"0")+IFERROR(Y414/H414,"0")</f>
        <v>225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4.8937499999999998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3350</v>
      </c>
      <c r="Y416" s="43">
        <f>IFERROR(SUM(Y407:Y414),"0")</f>
        <v>3375</v>
      </c>
      <c r="Z416" s="42"/>
      <c r="AA416" s="67"/>
      <c r="AB416" s="67"/>
      <c r="AC416" s="67"/>
    </row>
    <row r="417" spans="1:68" ht="14.25" hidden="1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1500</v>
      </c>
      <c r="Y418" s="55">
        <f>IFERROR(IF(X418="",0,CEILING((X418/$H418),1)*$H418),"")</f>
        <v>1500</v>
      </c>
      <c r="Z418" s="41">
        <f>IFERROR(IF(Y418=0,"",ROUNDUP(Y418/H418,0)*0.02175),"")</f>
        <v>2.1749999999999998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1547</v>
      </c>
      <c r="BN418" s="78">
        <f>IFERROR(Y418*I418/H418,"0")</f>
        <v>1547</v>
      </c>
      <c r="BO418" s="78">
        <f>IFERROR(1/J418*(X418/H418),"0")</f>
        <v>2.083333333333333</v>
      </c>
      <c r="BP418" s="78">
        <f>IFERROR(1/J418*(Y418/H418),"0")</f>
        <v>2.083333333333333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100</v>
      </c>
      <c r="Y421" s="43">
        <f>IFERROR(Y418/H418,"0")+IFERROR(Y419/H419,"0")+IFERROR(Y420/H420,"0")</f>
        <v>100</v>
      </c>
      <c r="Z421" s="43">
        <f>IFERROR(IF(Z418="",0,Z418),"0")+IFERROR(IF(Z419="",0,Z419),"0")+IFERROR(IF(Z420="",0,Z420),"0")</f>
        <v>2.1749999999999998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1500</v>
      </c>
      <c r="Y422" s="43">
        <f>IFERROR(SUM(Y418:Y420),"0")</f>
        <v>1500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108</v>
      </c>
      <c r="Z443" s="41">
        <f>IFERROR(IF(Y443=0,"",ROUNDUP(Y443/H443,0)*0.01898),"")</f>
        <v>0.22776000000000002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105.48888888888888</v>
      </c>
      <c r="BN443" s="78">
        <f>IFERROR(Y443*I443/H443,"0")</f>
        <v>113.92799999999998</v>
      </c>
      <c r="BO443" s="78">
        <f>IFERROR(1/J443*(X443/H443),"0")</f>
        <v>0.1736111111111111</v>
      </c>
      <c r="BP443" s="78">
        <f>IFERROR(1/J443*(Y443/H443),"0")</f>
        <v>0.1875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11.111111111111111</v>
      </c>
      <c r="Y446" s="43">
        <f>IFERROR(Y443/H443,"0")+IFERROR(Y444/H444,"0")+IFERROR(Y445/H445,"0")</f>
        <v>12</v>
      </c>
      <c r="Z446" s="43">
        <f>IFERROR(IF(Z443="",0,Z443),"0")+IFERROR(IF(Z444="",0,Z444),"0")+IFERROR(IF(Z445="",0,Z445),"0")</f>
        <v>0.22776000000000002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100</v>
      </c>
      <c r="Y447" s="43">
        <f>IFERROR(SUM(Y443:Y445),"0")</f>
        <v>108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50</v>
      </c>
      <c r="Y478" s="55">
        <f t="shared" ref="Y478:Y486" si="67">IFERROR(IF(X478="",0,CEILING((X478/$H478),1)*$H478),"")</f>
        <v>52.800000000000004</v>
      </c>
      <c r="Z478" s="41">
        <f t="shared" ref="Z478:Z483" si="68">IFERROR(IF(Y478=0,"",ROUNDUP(Y478/H478,0)*0.01196),"")</f>
        <v>0.1196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53.314393939393938</v>
      </c>
      <c r="BN478" s="78">
        <f t="shared" ref="BN478:BN486" si="70">IFERROR(Y478*I478/H478,"0")</f>
        <v>56.3</v>
      </c>
      <c r="BO478" s="78">
        <f t="shared" ref="BO478:BO486" si="71">IFERROR(1/J478*(X478/H478),"0")</f>
        <v>9.1054778554778545E-2</v>
      </c>
      <c r="BP478" s="78">
        <f t="shared" ref="BP478:BP486" si="72">IFERROR(1/J478*(Y478/H478),"0")</f>
        <v>9.6153846153846159E-2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50</v>
      </c>
      <c r="Y481" s="55">
        <f t="shared" si="67"/>
        <v>52.800000000000004</v>
      </c>
      <c r="Z481" s="41">
        <f t="shared" si="68"/>
        <v>0.1196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53.314393939393938</v>
      </c>
      <c r="BN481" s="78">
        <f t="shared" si="70"/>
        <v>56.3</v>
      </c>
      <c r="BO481" s="78">
        <f t="shared" si="71"/>
        <v>9.1054778554778545E-2</v>
      </c>
      <c r="BP481" s="78">
        <f t="shared" si="72"/>
        <v>9.6153846153846159E-2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200</v>
      </c>
      <c r="Y483" s="55">
        <f t="shared" si="67"/>
        <v>200.64000000000001</v>
      </c>
      <c r="Z483" s="41">
        <f t="shared" si="68"/>
        <v>0.45448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213.25757575757575</v>
      </c>
      <c r="BN483" s="78">
        <f t="shared" si="70"/>
        <v>213.94</v>
      </c>
      <c r="BO483" s="78">
        <f t="shared" si="71"/>
        <v>0.36421911421911418</v>
      </c>
      <c r="BP483" s="78">
        <f t="shared" si="72"/>
        <v>0.36538461538461542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90</v>
      </c>
      <c r="Y485" s="55">
        <f t="shared" si="67"/>
        <v>91.2</v>
      </c>
      <c r="Z485" s="41">
        <f>IFERROR(IF(Y485=0,"",ROUNDUP(Y485/H485,0)*0.00902),"")</f>
        <v>0.17138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129.5625</v>
      </c>
      <c r="BN485" s="78">
        <f t="shared" si="70"/>
        <v>131.29000000000002</v>
      </c>
      <c r="BO485" s="78">
        <f t="shared" si="71"/>
        <v>0.14204545454545456</v>
      </c>
      <c r="BP485" s="78">
        <f t="shared" si="72"/>
        <v>0.14393939393939395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180</v>
      </c>
      <c r="Y486" s="55">
        <f t="shared" si="67"/>
        <v>182.4</v>
      </c>
      <c r="Z486" s="41">
        <f>IFERROR(IF(Y486=0,"",ROUNDUP(Y486/H486,0)*0.00902),"")</f>
        <v>0.34276000000000001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259.125</v>
      </c>
      <c r="BN486" s="78">
        <f t="shared" si="70"/>
        <v>262.58000000000004</v>
      </c>
      <c r="BO486" s="78">
        <f t="shared" si="71"/>
        <v>0.28409090909090912</v>
      </c>
      <c r="BP486" s="78">
        <f t="shared" si="72"/>
        <v>0.2878787878787879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113.06818181818181</v>
      </c>
      <c r="Y487" s="43">
        <f>IFERROR(Y478/H478,"0")+IFERROR(Y479/H479,"0")+IFERROR(Y480/H480,"0")+IFERROR(Y481/H481,"0")+IFERROR(Y482/H482,"0")+IFERROR(Y483/H483,"0")+IFERROR(Y484/H484,"0")+IFERROR(Y485/H485,"0")+IFERROR(Y486/H486,"0")</f>
        <v>115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1.2078199999999999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570</v>
      </c>
      <c r="Y488" s="43">
        <f>IFERROR(SUM(Y478:Y486),"0")</f>
        <v>579.84</v>
      </c>
      <c r="Z488" s="42"/>
      <c r="AA488" s="67"/>
      <c r="AB488" s="67"/>
      <c r="AC488" s="67"/>
    </row>
    <row r="489" spans="1:68" ht="14.25" hidden="1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200</v>
      </c>
      <c r="Y490" s="55">
        <f>IFERROR(IF(X490="",0,CEILING((X490/$H490),1)*$H490),"")</f>
        <v>200.64000000000001</v>
      </c>
      <c r="Z490" s="41">
        <f>IFERROR(IF(Y490=0,"",ROUNDUP(Y490/H490,0)*0.01196),"")</f>
        <v>0.45448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213.25757575757575</v>
      </c>
      <c r="BN490" s="78">
        <f>IFERROR(Y490*I490/H490,"0")</f>
        <v>213.94</v>
      </c>
      <c r="BO490" s="78">
        <f>IFERROR(1/J490*(X490/H490),"0")</f>
        <v>0.36421911421911418</v>
      </c>
      <c r="BP490" s="78">
        <f>IFERROR(1/J490*(Y490/H490),"0")</f>
        <v>0.36538461538461542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50.378787878787875</v>
      </c>
      <c r="Y493" s="43">
        <f>IFERROR(Y490/H490,"0")+IFERROR(Y491/H491,"0")+IFERROR(Y492/H492,"0")</f>
        <v>51</v>
      </c>
      <c r="Z493" s="43">
        <f>IFERROR(IF(Z490="",0,Z490),"0")+IFERROR(IF(Z491="",0,Z491),"0")+IFERROR(IF(Z492="",0,Z492),"0")</f>
        <v>0.57174000000000003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260</v>
      </c>
      <c r="Y494" s="43">
        <f>IFERROR(SUM(Y490:Y492),"0")</f>
        <v>263.04000000000002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200</v>
      </c>
      <c r="Y498" s="55">
        <f t="shared" si="73"/>
        <v>200.64000000000001</v>
      </c>
      <c r="Z498" s="41">
        <f>IFERROR(IF(Y498=0,"",ROUNDUP(Y498/H498,0)*0.01196),"")</f>
        <v>0.45448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213.25757575757575</v>
      </c>
      <c r="BN498" s="78">
        <f t="shared" si="75"/>
        <v>213.94</v>
      </c>
      <c r="BO498" s="78">
        <f t="shared" si="76"/>
        <v>0.36421911421911418</v>
      </c>
      <c r="BP498" s="78">
        <f t="shared" si="77"/>
        <v>0.36538461538461542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36</v>
      </c>
      <c r="Y499" s="55">
        <f t="shared" si="73"/>
        <v>38.4</v>
      </c>
      <c r="Z499" s="41">
        <f>IFERROR(IF(Y499=0,"",ROUNDUP(Y499/H499,0)*0.00902),"")</f>
        <v>7.2160000000000002E-2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51.825000000000003</v>
      </c>
      <c r="BN499" s="78">
        <f t="shared" si="75"/>
        <v>55.28</v>
      </c>
      <c r="BO499" s="78">
        <f t="shared" si="76"/>
        <v>5.6818181818181823E-2</v>
      </c>
      <c r="BP499" s="78">
        <f t="shared" si="77"/>
        <v>6.0606060606060608E-2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72</v>
      </c>
      <c r="Y502" s="55">
        <f t="shared" si="73"/>
        <v>72</v>
      </c>
      <c r="Z502" s="41">
        <f>IFERROR(IF(Y502=0,"",ROUNDUP(Y502/H502,0)*0.00902),"")</f>
        <v>0.1353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100.05000000000001</v>
      </c>
      <c r="BN502" s="78">
        <f t="shared" si="75"/>
        <v>100.05000000000001</v>
      </c>
      <c r="BO502" s="78">
        <f t="shared" si="76"/>
        <v>0.11363636363636365</v>
      </c>
      <c r="BP502" s="78">
        <f t="shared" si="77"/>
        <v>0.11363636363636365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60.378787878787875</v>
      </c>
      <c r="Y503" s="43">
        <f>IFERROR(Y496/H496,"0")+IFERROR(Y497/H497,"0")+IFERROR(Y498/H498,"0")+IFERROR(Y499/H499,"0")+IFERROR(Y500/H500,"0")+IFERROR(Y501/H501,"0")+IFERROR(Y502/H502,"0")</f>
        <v>61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0.66193999999999997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308</v>
      </c>
      <c r="Y504" s="43">
        <f>IFERROR(SUM(Y496:Y502),"0")</f>
        <v>311.04000000000002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1400</v>
      </c>
      <c r="Y521" s="55">
        <f>IFERROR(IF(X521="",0,CEILING((X521/$H521),1)*$H521),"")</f>
        <v>1404</v>
      </c>
      <c r="Z521" s="41">
        <f>IFERROR(IF(Y521=0,"",ROUNDUP(Y521/H521,0)*0.01898),"")</f>
        <v>2.96088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1476.8444444444444</v>
      </c>
      <c r="BN521" s="78">
        <f>IFERROR(Y521*I521/H521,"0")</f>
        <v>1481.0639999999999</v>
      </c>
      <c r="BO521" s="78">
        <f>IFERROR(1/J521*(X521/H521),"0")</f>
        <v>2.4305555555555554</v>
      </c>
      <c r="BP521" s="78">
        <f>IFERROR(1/J521*(Y521/H521),"0")</f>
        <v>2.4375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155.55555555555554</v>
      </c>
      <c r="Y522" s="43">
        <f>IFERROR(Y521/H521,"0")</f>
        <v>156</v>
      </c>
      <c r="Z522" s="43">
        <f>IFERROR(IF(Z521="",0,Z521),"0")</f>
        <v>2.96088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1400</v>
      </c>
      <c r="Y523" s="43">
        <f>IFERROR(SUM(Y521:Y521),"0")</f>
        <v>1404</v>
      </c>
      <c r="Z523" s="42"/>
      <c r="AA523" s="67"/>
      <c r="AB523" s="67"/>
      <c r="AC523" s="67"/>
    </row>
    <row r="524" spans="1:68" ht="14.25" hidden="1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15619.8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15769.920000000002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16673.007764186645</v>
      </c>
      <c r="Y535" s="43">
        <f>IFERROR(SUM(BN22:BN531),"0")</f>
        <v>16833.924000000003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29</v>
      </c>
      <c r="Y536" s="44">
        <f>ROUNDUP(SUM(BP22:BP531),0)</f>
        <v>29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17398.007764186645</v>
      </c>
      <c r="Y537" s="43">
        <f>GrossWeightTotalR+PalletQtyTotalR*25</f>
        <v>17558.924000000003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3170.1032827325939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3194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33.033840000000005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445.20000000000005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446.40000000000003</v>
      </c>
      <c r="F544" s="52">
        <f>IFERROR(Y88*1,"0")+IFERROR(Y89*1,"0")+IFERROR(Y90*1,"0")+IFERROR(Y91*1,"0")+IFERROR(Y95*1,"0")+IFERROR(Y96*1,"0")+IFERROR(Y97*1,"0")+IFERROR(Y98*1,"0")</f>
        <v>967.5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1072.8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908.57999999999993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300.71999999999997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1486.8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321.60000000000002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546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797.7</v>
      </c>
      <c r="U544" s="52">
        <f>IFERROR(Y399*1,"0")+IFERROR(Y400*1,"0")+IFERROR(Y401*1,"0")</f>
        <v>875.7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4875</v>
      </c>
      <c r="W544" s="52">
        <f>IFERROR(Y434*1,"0")+IFERROR(Y435*1,"0")+IFERROR(Y439*1,"0")+IFERROR(Y443*1,"0")+IFERROR(Y444*1,"0")+IFERROR(Y445*1,"0")</f>
        <v>108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1153.92</v>
      </c>
      <c r="AA544" s="52">
        <f>IFERROR(Y508*1,"0")+IFERROR(Y512*1,"0")+IFERROR(Y516*1,"0")+IFERROR(Y517*1,"0")+IFERROR(Y521*1,"0")+IFERROR(Y525*1,"0")+IFERROR(Y526*1,"0")</f>
        <v>1464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0,00"/>
        <filter val="1 400,00"/>
        <filter val="1 500,00"/>
        <filter val="100,00"/>
        <filter val="106,90"/>
        <filter val="11,11"/>
        <filter val="113,07"/>
        <filter val="114,07"/>
        <filter val="120,00"/>
        <filter val="122,50"/>
        <filter val="133,33"/>
        <filter val="15 619,80"/>
        <filter val="150,00"/>
        <filter val="155,56"/>
        <filter val="16 673,01"/>
        <filter val="17 398,01"/>
        <filter val="174,69"/>
        <filter val="18,00"/>
        <filter val="180,00"/>
        <filter val="200,00"/>
        <filter val="202,72"/>
        <filter val="22,40"/>
        <filter val="220,00"/>
        <filter val="223,33"/>
        <filter val="225,00"/>
        <filter val="240,00"/>
        <filter val="25,00"/>
        <filter val="250,00"/>
        <filter val="260,00"/>
        <filter val="270,00"/>
        <filter val="280,00"/>
        <filter val="284,50"/>
        <filter val="29"/>
        <filter val="3 170,10"/>
        <filter val="3 350,00"/>
        <filter val="300,00"/>
        <filter val="308,00"/>
        <filter val="315,00"/>
        <filter val="320,00"/>
        <filter val="33,33"/>
        <filter val="345,00"/>
        <filter val="350,00"/>
        <filter val="352,00"/>
        <filter val="36,00"/>
        <filter val="360,00"/>
        <filter val="4,17"/>
        <filter val="40,00"/>
        <filter val="400,00"/>
        <filter val="405,00"/>
        <filter val="416,67"/>
        <filter val="42,00"/>
        <filter val="436,49"/>
        <filter val="440,00"/>
        <filter val="50,00"/>
        <filter val="50,38"/>
        <filter val="52,50"/>
        <filter val="525,00"/>
        <filter val="530,00"/>
        <filter val="570,00"/>
        <filter val="58,33"/>
        <filter val="6,67"/>
        <filter val="60,00"/>
        <filter val="60,38"/>
        <filter val="605,00"/>
        <filter val="61,11"/>
        <filter val="660,00"/>
        <filter val="67,95"/>
        <filter val="70,00"/>
        <filter val="72,00"/>
        <filter val="78,52"/>
        <filter val="796,00"/>
        <filter val="8,40"/>
        <filter val="80,00"/>
        <filter val="800,00"/>
        <filter val="81,32"/>
        <filter val="84,00"/>
        <filter val="875,00"/>
        <filter val="885,40"/>
        <filter val="9,00"/>
        <filter val="90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