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3930A2C-E3B1-4560-B082-8D4A30C8F94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Z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Y383" i="2" s="1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N320" i="2"/>
  <c r="BM320" i="2"/>
  <c r="Z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Z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P262" i="2"/>
  <c r="BO262" i="2"/>
  <c r="BN262" i="2"/>
  <c r="BM262" i="2"/>
  <c r="Z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Y131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Z117" i="2"/>
  <c r="Y117" i="2"/>
  <c r="BN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N113" i="2" l="1"/>
  <c r="BN152" i="2"/>
  <c r="BN176" i="2"/>
  <c r="BP281" i="2"/>
  <c r="BN327" i="2"/>
  <c r="Y350" i="2"/>
  <c r="BN387" i="2"/>
  <c r="BN407" i="2"/>
  <c r="BN454" i="2"/>
  <c r="BP117" i="2"/>
  <c r="BP129" i="2"/>
  <c r="BN159" i="2"/>
  <c r="Z174" i="2"/>
  <c r="BN174" i="2"/>
  <c r="Z202" i="2"/>
  <c r="BN217" i="2"/>
  <c r="Z219" i="2"/>
  <c r="BN225" i="2"/>
  <c r="Z232" i="2"/>
  <c r="Z275" i="2"/>
  <c r="Z281" i="2"/>
  <c r="BP294" i="2"/>
  <c r="BP317" i="2"/>
  <c r="BN346" i="2"/>
  <c r="Z354" i="2"/>
  <c r="BN357" i="2"/>
  <c r="Y396" i="2"/>
  <c r="BP411" i="2"/>
  <c r="BN445" i="2"/>
  <c r="BN499" i="2"/>
  <c r="Z516" i="2"/>
  <c r="BN400" i="2"/>
  <c r="BP517" i="2"/>
  <c r="Z512" i="2"/>
  <c r="Z513" i="2" s="1"/>
  <c r="BN497" i="2"/>
  <c r="BN482" i="2"/>
  <c r="Y463" i="2"/>
  <c r="Z460" i="2"/>
  <c r="BP460" i="2"/>
  <c r="BN452" i="2"/>
  <c r="Y430" i="2"/>
  <c r="BN429" i="2"/>
  <c r="BP418" i="2"/>
  <c r="BP413" i="2"/>
  <c r="Z413" i="2"/>
  <c r="Z409" i="2"/>
  <c r="BP408" i="2"/>
  <c r="Z407" i="2"/>
  <c r="BP399" i="2"/>
  <c r="Z399" i="2"/>
  <c r="BN394" i="2"/>
  <c r="BP393" i="2"/>
  <c r="Y395" i="2"/>
  <c r="Z381" i="2"/>
  <c r="BN380" i="2"/>
  <c r="Z374" i="2"/>
  <c r="BP373" i="2"/>
  <c r="BP372" i="2"/>
  <c r="Z372" i="2"/>
  <c r="Z368" i="2"/>
  <c r="BP368" i="2"/>
  <c r="BN366" i="2"/>
  <c r="Z365" i="2"/>
  <c r="BN362" i="2"/>
  <c r="Z356" i="2"/>
  <c r="BP356" i="2"/>
  <c r="BP353" i="2"/>
  <c r="BN336" i="2"/>
  <c r="Z327" i="2"/>
  <c r="Z318" i="2"/>
  <c r="Z321" i="2" s="1"/>
  <c r="BN310" i="2"/>
  <c r="BP309" i="2"/>
  <c r="Z297" i="2"/>
  <c r="BP297" i="2"/>
  <c r="Z295" i="2"/>
  <c r="BN293" i="2"/>
  <c r="Z293" i="2"/>
  <c r="BN278" i="2"/>
  <c r="BN276" i="2"/>
  <c r="Z271" i="2"/>
  <c r="Z264" i="2"/>
  <c r="BP264" i="2"/>
  <c r="Y268" i="2"/>
  <c r="Z255" i="2"/>
  <c r="Z256" i="2" s="1"/>
  <c r="Z254" i="2"/>
  <c r="BP231" i="2"/>
  <c r="Z231" i="2"/>
  <c r="Z222" i="2"/>
  <c r="BP221" i="2"/>
  <c r="Z221" i="2"/>
  <c r="BP219" i="2"/>
  <c r="Z218" i="2"/>
  <c r="Y228" i="2"/>
  <c r="Z209" i="2"/>
  <c r="Z210" i="2" s="1"/>
  <c r="BP209" i="2"/>
  <c r="Y211" i="2"/>
  <c r="BN209" i="2"/>
  <c r="BN203" i="2"/>
  <c r="BP202" i="2"/>
  <c r="Z201" i="2"/>
  <c r="BN192" i="2"/>
  <c r="Y193" i="2"/>
  <c r="Z192" i="2"/>
  <c r="Z193" i="2" s="1"/>
  <c r="BP192" i="2"/>
  <c r="Z176" i="2"/>
  <c r="BN170" i="2"/>
  <c r="Z163" i="2"/>
  <c r="Z164" i="2" s="1"/>
  <c r="Y165" i="2"/>
  <c r="Z152" i="2"/>
  <c r="Z139" i="2"/>
  <c r="BN129" i="2"/>
  <c r="BN123" i="2"/>
  <c r="BP108" i="2"/>
  <c r="BN91" i="2"/>
  <c r="Y92" i="2"/>
  <c r="BN73" i="2"/>
  <c r="Z73" i="2"/>
  <c r="BN65" i="2"/>
  <c r="Z65" i="2"/>
  <c r="BN63" i="2"/>
  <c r="Z63" i="2"/>
  <c r="X534" i="2"/>
  <c r="BP53" i="2"/>
  <c r="Z42" i="2"/>
  <c r="BP42" i="2"/>
  <c r="Y37" i="2"/>
  <c r="X535" i="2"/>
  <c r="X536" i="2"/>
  <c r="X538" i="2"/>
  <c r="Z27" i="2"/>
  <c r="BP2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Z312" i="2" s="1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Z359" i="2" s="1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Z235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Z267" i="2" s="1"/>
  <c r="BN279" i="2"/>
  <c r="Y282" i="2"/>
  <c r="Z335" i="2"/>
  <c r="BN348" i="2"/>
  <c r="Y360" i="2"/>
  <c r="Y370" i="2"/>
  <c r="Z379" i="2"/>
  <c r="Y403" i="2"/>
  <c r="BN414" i="2"/>
  <c r="Z424" i="2"/>
  <c r="Z426" i="2" s="1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92" i="2" l="1"/>
  <c r="Z473" i="2"/>
  <c r="Z382" i="2"/>
  <c r="Z462" i="2"/>
  <c r="Z376" i="2"/>
  <c r="Z141" i="2"/>
  <c r="Z55" i="2"/>
  <c r="Z527" i="2"/>
  <c r="Z415" i="2"/>
  <c r="Z389" i="2"/>
  <c r="Z369" i="2"/>
  <c r="Z349" i="2"/>
  <c r="Z298" i="2"/>
  <c r="Z282" i="2"/>
  <c r="Z205" i="2"/>
  <c r="Z154" i="2"/>
  <c r="Z99" i="2"/>
  <c r="X537" i="2"/>
  <c r="Z46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<sst xmlns="http://schemas.openxmlformats.org/spreadsheetml/2006/main" count="4040" uniqueCount="856">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</sst>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855</v>
      </c>
      <c r="I5" s="621"/>
      <c r="J5" s="621"/>
      <c r="K5" s="621"/>
      <c r="L5" s="621"/>
      <c r="M5" s="621"/>
      <c r="N5" s="72"/>
      <c r="P5" s="27" t="s">
        <v>4</v>
      </c>
      <c r="Q5" s="623">
        <v>46220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840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Пятница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2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hidden="1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hidden="1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hidden="1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hidden="1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240</v>
      </c>
      <c r="Y53" s="55">
        <f>IFERROR(IF(X53="",0,CEILING((X53/$H53),1)*$H53),"")</f>
        <v>240</v>
      </c>
      <c r="Z53" s="41">
        <f>IFERROR(IF(Y53=0,"",ROUNDUP(Y53/H53,0)*0.00902),"")</f>
        <v>0.54120000000000001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251.40000000000003</v>
      </c>
      <c r="BN53" s="78">
        <f>IFERROR(Y53*I53/H53,"0")</f>
        <v>251.40000000000003</v>
      </c>
      <c r="BO53" s="78">
        <f>IFERROR(1/J53*(X53/H53),"0")</f>
        <v>0.45454545454545459</v>
      </c>
      <c r="BP53" s="78">
        <f>IFERROR(1/J53*(Y53/H53),"0")</f>
        <v>0.45454545454545459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60</v>
      </c>
      <c r="Y55" s="43">
        <f>IFERROR(Y51/H51,"0")+IFERROR(Y52/H52,"0")+IFERROR(Y53/H53,"0")+IFERROR(Y54/H54,"0")</f>
        <v>60</v>
      </c>
      <c r="Z55" s="43">
        <f>IFERROR(IF(Z51="",0,Z51),"0")+IFERROR(IF(Z52="",0,Z52),"0")+IFERROR(IF(Z53="",0,Z53),"0")+IFERROR(IF(Z54="",0,Z54),"0")</f>
        <v>0.54120000000000001</v>
      </c>
      <c r="AA55" s="67"/>
      <c r="AB55" s="67"/>
      <c r="AC55" s="67"/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240</v>
      </c>
      <c r="Y56" s="43">
        <f>IFERROR(SUM(Y51:Y54),"0")</f>
        <v>240</v>
      </c>
      <c r="Z56" s="42"/>
      <c r="AA56" s="67"/>
      <c r="AB56" s="67"/>
      <c r="AC56" s="67"/>
    </row>
    <row r="57" spans="1:68" ht="16.5" hidden="1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hidden="1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270</v>
      </c>
      <c r="Y66" s="55">
        <f t="shared" si="0"/>
        <v>270</v>
      </c>
      <c r="Z66" s="41">
        <f>IFERROR(IF(Y66=0,"",ROUNDUP(Y66/H66,0)*0.00902),"")</f>
        <v>0.54120000000000001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281.40000000000003</v>
      </c>
      <c r="BN66" s="78">
        <f t="shared" si="2"/>
        <v>281.40000000000003</v>
      </c>
      <c r="BO66" s="78">
        <f t="shared" si="3"/>
        <v>0.45454545454545459</v>
      </c>
      <c r="BP66" s="78">
        <f t="shared" si="4"/>
        <v>0.45454545454545459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60</v>
      </c>
      <c r="Y67" s="43">
        <f>IFERROR(Y59/H59,"0")+IFERROR(Y60/H60,"0")+IFERROR(Y61/H61,"0")+IFERROR(Y62/H62,"0")+IFERROR(Y63/H63,"0")+IFERROR(Y64/H64,"0")+IFERROR(Y65/H65,"0")+IFERROR(Y66/H66,"0")</f>
        <v>60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0.54120000000000001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270</v>
      </c>
      <c r="Y68" s="43">
        <f>IFERROR(SUM(Y59:Y66),"0")</f>
        <v>270</v>
      </c>
      <c r="Z68" s="42"/>
      <c r="AA68" s="67"/>
      <c r="AB68" s="67"/>
      <c r="AC68" s="67"/>
    </row>
    <row r="69" spans="1:68" ht="14.25" hidden="1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225</v>
      </c>
      <c r="Y107" s="55">
        <f t="shared" si="5"/>
        <v>225</v>
      </c>
      <c r="Z107" s="41">
        <f>IFERROR(IF(Y107=0,"",ROUNDUP(Y107/H107,0)*0.00902),"")</f>
        <v>0.45100000000000001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234.5</v>
      </c>
      <c r="BN107" s="78">
        <f t="shared" si="7"/>
        <v>234.5</v>
      </c>
      <c r="BO107" s="78">
        <f t="shared" si="8"/>
        <v>0.37878787878787878</v>
      </c>
      <c r="BP107" s="78">
        <f t="shared" si="9"/>
        <v>0.37878787878787878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50</v>
      </c>
      <c r="Y109" s="43">
        <f>IFERROR(Y103/H103,"0")+IFERROR(Y104/H104,"0")+IFERROR(Y105/H105,"0")+IFERROR(Y106/H106,"0")+IFERROR(Y107/H107,"0")+IFERROR(Y108/H108,"0")</f>
        <v>50</v>
      </c>
      <c r="Z109" s="43">
        <f>IFERROR(IF(Z103="",0,Z103),"0")+IFERROR(IF(Z104="",0,Z104),"0")+IFERROR(IF(Z105="",0,Z105),"0")+IFERROR(IF(Z106="",0,Z106),"0")+IFERROR(IF(Z107="",0,Z107),"0")+IFERROR(IF(Z108="",0,Z108),"0")</f>
        <v>0.45100000000000001</v>
      </c>
      <c r="AA109" s="67"/>
      <c r="AB109" s="67"/>
      <c r="AC109" s="67"/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225</v>
      </c>
      <c r="Y110" s="43">
        <f>IFERROR(SUM(Y103:Y108),"0")</f>
        <v>225</v>
      </c>
      <c r="Z110" s="42"/>
      <c r="AA110" s="67"/>
      <c r="AB110" s="67"/>
      <c r="AC110" s="67"/>
    </row>
    <row r="111" spans="1:68" ht="14.25" hidden="1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135</v>
      </c>
      <c r="Y124" s="55">
        <f>IFERROR(IF(X124="",0,CEILING((X124/$H124),1)*$H124),"")</f>
        <v>135</v>
      </c>
      <c r="Z124" s="41">
        <f>IFERROR(IF(Y124=0,"",ROUNDUP(Y124/H124,0)*0.00651),"")</f>
        <v>0.32550000000000001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147.6</v>
      </c>
      <c r="BN124" s="78">
        <f>IFERROR(Y124*I124/H124,"0")</f>
        <v>147.6</v>
      </c>
      <c r="BO124" s="78">
        <f>IFERROR(1/J124*(X124/H124),"0")</f>
        <v>0.27472527472527475</v>
      </c>
      <c r="BP124" s="78">
        <f>IFERROR(1/J124*(Y124/H124),"0")</f>
        <v>0.27472527472527475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50</v>
      </c>
      <c r="Y126" s="43">
        <f>IFERROR(Y122/H122,"0")+IFERROR(Y123/H123,"0")+IFERROR(Y124/H124,"0")+IFERROR(Y125/H125,"0")</f>
        <v>50</v>
      </c>
      <c r="Z126" s="43">
        <f>IFERROR(IF(Z122="",0,Z122),"0")+IFERROR(IF(Z123="",0,Z123),"0")+IFERROR(IF(Z124="",0,Z124),"0")+IFERROR(IF(Z125="",0,Z125),"0")</f>
        <v>0.32550000000000001</v>
      </c>
      <c r="AA126" s="67"/>
      <c r="AB126" s="67"/>
      <c r="AC126" s="67"/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135</v>
      </c>
      <c r="Y127" s="43">
        <f>IFERROR(SUM(Y122:Y125),"0")</f>
        <v>135</v>
      </c>
      <c r="Z127" s="42"/>
      <c r="AA127" s="67"/>
      <c r="AB127" s="67"/>
      <c r="AC127" s="67"/>
    </row>
    <row r="128" spans="1:68" ht="14.25" hidden="1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hidden="1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hidden="1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hidden="1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84.000000000000014</v>
      </c>
      <c r="Y172" s="55">
        <f t="shared" si="15"/>
        <v>84</v>
      </c>
      <c r="Z172" s="41">
        <f>IFERROR(IF(Y172=0,"",ROUNDUP(Y172/H172,0)*0.00502),"")</f>
        <v>0.251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89.000000000000028</v>
      </c>
      <c r="BN172" s="78">
        <f t="shared" si="17"/>
        <v>89.000000000000014</v>
      </c>
      <c r="BO172" s="78">
        <f t="shared" si="18"/>
        <v>0.21367521367521372</v>
      </c>
      <c r="BP172" s="78">
        <f t="shared" si="19"/>
        <v>0.21367521367521369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50.000000000000007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50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0.251</v>
      </c>
      <c r="AA178" s="67"/>
      <c r="AB178" s="67"/>
      <c r="AC178" s="67"/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84.000000000000014</v>
      </c>
      <c r="Y179" s="43">
        <f>IFERROR(SUM(Y167:Y177),"0")</f>
        <v>84</v>
      </c>
      <c r="Z179" s="42"/>
      <c r="AA179" s="67"/>
      <c r="AB179" s="67"/>
      <c r="AC179" s="67"/>
    </row>
    <row r="180" spans="1:68" ht="14.25" hidden="1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hidden="1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hidden="1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hidden="1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48</v>
      </c>
      <c r="Y276" s="55">
        <f t="shared" si="37"/>
        <v>48</v>
      </c>
      <c r="Z276" s="41">
        <f>IFERROR(IF(Y276=0,"",ROUNDUP(Y276/H276,0)*0.00651),"")</f>
        <v>0.13020000000000001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53.040000000000006</v>
      </c>
      <c r="BN276" s="78">
        <f t="shared" si="39"/>
        <v>53.040000000000006</v>
      </c>
      <c r="BO276" s="78">
        <f t="shared" si="40"/>
        <v>0.1098901098901099</v>
      </c>
      <c r="BP276" s="78">
        <f t="shared" si="41"/>
        <v>0.1098901098901099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0.13020000000000001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48</v>
      </c>
      <c r="Y283" s="43">
        <f>IFERROR(SUM(Y270:Y281),"0")</f>
        <v>48</v>
      </c>
      <c r="Z283" s="42"/>
      <c r="AA283" s="67"/>
      <c r="AB283" s="67"/>
      <c r="AC283" s="67"/>
    </row>
    <row r="284" spans="1:68" ht="14.25" hidden="1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99</v>
      </c>
      <c r="Y301" s="55">
        <f>IFERROR(IF(X301="",0,CEILING((X301/$H301),1)*$H301),"")</f>
        <v>99</v>
      </c>
      <c r="Z301" s="41">
        <f>IFERROR(IF(Y301=0,"",ROUNDUP(Y301/H301,0)*0.00502),"")</f>
        <v>0.251</v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104.00000000000001</v>
      </c>
      <c r="BN301" s="78">
        <f>IFERROR(Y301*I301/H301,"0")</f>
        <v>104.00000000000001</v>
      </c>
      <c r="BO301" s="78">
        <f>IFERROR(1/J301*(X301/H301),"0")</f>
        <v>0.21367521367521369</v>
      </c>
      <c r="BP301" s="78">
        <f>IFERROR(1/J301*(Y301/H301),"0")</f>
        <v>0.21367521367521369</v>
      </c>
    </row>
    <row r="302" spans="1:68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50</v>
      </c>
      <c r="Y302" s="43">
        <f>IFERROR(Y301/H301,"0")</f>
        <v>50</v>
      </c>
      <c r="Z302" s="43">
        <f>IFERROR(IF(Z301="",0,Z301),"0")</f>
        <v>0.251</v>
      </c>
      <c r="AA302" s="67"/>
      <c r="AB302" s="67"/>
      <c r="AC302" s="67"/>
    </row>
    <row r="303" spans="1:68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99</v>
      </c>
      <c r="Y303" s="43">
        <f>IFERROR(SUM(Y301:Y301),"0")</f>
        <v>99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idden="1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21</v>
      </c>
      <c r="Y400" s="55">
        <f>IFERROR(IF(X400="",0,CEILING((X400/$H400),1)*$H400),"")</f>
        <v>21</v>
      </c>
      <c r="Z400" s="41">
        <f>IFERROR(IF(Y400=0,"",ROUNDUP(Y400/H400,0)*0.00651),"")</f>
        <v>6.5100000000000005E-2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23.519999999999996</v>
      </c>
      <c r="BN400" s="78">
        <f>IFERROR(Y400*I400/H400,"0")</f>
        <v>23.519999999999996</v>
      </c>
      <c r="BO400" s="78">
        <f>IFERROR(1/J400*(X400/H400),"0")</f>
        <v>5.4945054945054951E-2</v>
      </c>
      <c r="BP400" s="78">
        <f>IFERROR(1/J400*(Y400/H400),"0")</f>
        <v>5.4945054945054951E-2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655.19999999999993</v>
      </c>
      <c r="Y401" s="55">
        <f>IFERROR(IF(X401="",0,CEILING((X401/$H401),1)*$H401),"")</f>
        <v>655.20000000000005</v>
      </c>
      <c r="Z401" s="41">
        <f>IFERROR(IF(Y401=0,"",ROUNDUP(Y401/H401,0)*0.00651),"")</f>
        <v>2.03112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730.07999999999981</v>
      </c>
      <c r="BN401" s="78">
        <f>IFERROR(Y401*I401/H401,"0")</f>
        <v>730.08</v>
      </c>
      <c r="BO401" s="78">
        <f>IFERROR(1/J401*(X401/H401),"0")</f>
        <v>1.7142857142857142</v>
      </c>
      <c r="BP401" s="78">
        <f>IFERROR(1/J401*(Y401/H401),"0")</f>
        <v>1.7142857142857144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321.99999999999994</v>
      </c>
      <c r="Y402" s="43">
        <f>IFERROR(Y399/H399,"0")+IFERROR(Y400/H400,"0")+IFERROR(Y401/H401,"0")</f>
        <v>322</v>
      </c>
      <c r="Z402" s="43">
        <f>IFERROR(IF(Z399="",0,Z399),"0")+IFERROR(IF(Z400="",0,Z400),"0")+IFERROR(IF(Z401="",0,Z401),"0")</f>
        <v>2.0962200000000002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676.19999999999993</v>
      </c>
      <c r="Y403" s="43">
        <f>IFERROR(SUM(Y399:Y401),"0")</f>
        <v>676.2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60</v>
      </c>
      <c r="Y408" s="55">
        <f t="shared" si="57"/>
        <v>60</v>
      </c>
      <c r="Z408" s="41">
        <f>IFERROR(IF(Y408=0,"",ROUNDUP(Y408/H408,0)*0.02175),"")</f>
        <v>8.6999999999999994E-2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61.88</v>
      </c>
      <c r="BN408" s="78">
        <f t="shared" si="59"/>
        <v>61.88</v>
      </c>
      <c r="BO408" s="78">
        <f t="shared" si="60"/>
        <v>8.3333333333333329E-2</v>
      </c>
      <c r="BP408" s="78">
        <f t="shared" si="61"/>
        <v>8.3333333333333329E-2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4</v>
      </c>
      <c r="Y415" s="43">
        <f>IFERROR(Y407/H407,"0")+IFERROR(Y408/H408,"0")+IFERROR(Y409/H409,"0")+IFERROR(Y410/H410,"0")+IFERROR(Y411/H411,"0")+IFERROR(Y412/H412,"0")+IFERROR(Y413/H413,"0")+IFERROR(Y414/H414,"0")</f>
        <v>4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8.6999999999999994E-2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60</v>
      </c>
      <c r="Y416" s="43">
        <f>IFERROR(SUM(Y407:Y414),"0")</f>
        <v>60</v>
      </c>
      <c r="Z416" s="42"/>
      <c r="AA416" s="67"/>
      <c r="AB416" s="67"/>
      <c r="AC416" s="67"/>
    </row>
    <row r="417" spans="1:68" ht="14.25" hidden="1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45</v>
      </c>
      <c r="Y418" s="55">
        <f>IFERROR(IF(X418="",0,CEILING((X418/$H418),1)*$H418),"")</f>
        <v>45</v>
      </c>
      <c r="Z418" s="41">
        <f>IFERROR(IF(Y418=0,"",ROUNDUP(Y418/H418,0)*0.02175),"")</f>
        <v>6.5250000000000002E-2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46.41</v>
      </c>
      <c r="BN418" s="78">
        <f>IFERROR(Y418*I418/H418,"0")</f>
        <v>46.41</v>
      </c>
      <c r="BO418" s="78">
        <f>IFERROR(1/J418*(X418/H418),"0")</f>
        <v>6.25E-2</v>
      </c>
      <c r="BP418" s="78">
        <f>IFERROR(1/J418*(Y418/H418),"0")</f>
        <v>6.25E-2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3</v>
      </c>
      <c r="Y421" s="43">
        <f>IFERROR(Y418/H418,"0")+IFERROR(Y419/H419,"0")+IFERROR(Y420/H420,"0")</f>
        <v>3</v>
      </c>
      <c r="Z421" s="43">
        <f>IFERROR(IF(Z418="",0,Z418),"0")+IFERROR(IF(Z419="",0,Z419),"0")+IFERROR(IF(Z420="",0,Z420),"0")</f>
        <v>6.5250000000000002E-2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45</v>
      </c>
      <c r="Y422" s="43">
        <f>IFERROR(SUM(Y418:Y420),"0")</f>
        <v>45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hidden="1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hidden="1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1882.1999999999998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1882.2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2022.8300000000002</v>
      </c>
      <c r="Y535" s="43">
        <f>IFERROR(SUM(BN22:BN531),"0")</f>
        <v>2022.8300000000002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5</v>
      </c>
      <c r="Y536" s="44">
        <f>ROUNDUP(SUM(BP22:BP531),0)</f>
        <v>5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2147.83</v>
      </c>
      <c r="Y537" s="43">
        <f>GrossWeightTotalR+PalletQtyTotalR*25</f>
        <v>2147.83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669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669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4.7395699999999996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240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270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360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84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99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676.2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105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82,20"/>
        <filter val="135,00"/>
        <filter val="2 022,83"/>
        <filter val="2 147,83"/>
        <filter val="20,00"/>
        <filter val="21,00"/>
        <filter val="225,00"/>
        <filter val="240,00"/>
        <filter val="270,00"/>
        <filter val="3,00"/>
        <filter val="322,00"/>
        <filter val="4,00"/>
        <filter val="45,00"/>
        <filter val="48,00"/>
        <filter val="5"/>
        <filter val="50,00"/>
        <filter val="60,00"/>
        <filter val="655,20"/>
        <filter val="669,00"/>
        <filter val="676,20"/>
        <filter val="84,00"/>
        <filter val="99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