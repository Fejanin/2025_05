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BA864CD-EC7C-42F8-9BB7-4C003D160CF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P521" i="2"/>
  <c r="X519" i="2"/>
  <c r="X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P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BP490" i="2" s="1"/>
  <c r="P490" i="2"/>
  <c r="X488" i="2"/>
  <c r="X487" i="2"/>
  <c r="BO486" i="2"/>
  <c r="BM486" i="2"/>
  <c r="Y486" i="2"/>
  <c r="Z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N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BP461" i="2" s="1"/>
  <c r="P461" i="2"/>
  <c r="BO460" i="2"/>
  <c r="BM460" i="2"/>
  <c r="Y460" i="2"/>
  <c r="Z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Z455" i="2" s="1"/>
  <c r="P455" i="2"/>
  <c r="BO454" i="2"/>
  <c r="BM454" i="2"/>
  <c r="Y454" i="2"/>
  <c r="Z454" i="2" s="1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Y441" i="2" s="1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BP429" i="2" s="1"/>
  <c r="P429" i="2"/>
  <c r="X427" i="2"/>
  <c r="X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N420" i="2" s="1"/>
  <c r="P420" i="2"/>
  <c r="BO419" i="2"/>
  <c r="BM419" i="2"/>
  <c r="Y419" i="2"/>
  <c r="BP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P413" i="2" s="1"/>
  <c r="P413" i="2"/>
  <c r="BO412" i="2"/>
  <c r="BM412" i="2"/>
  <c r="Y412" i="2"/>
  <c r="BN412" i="2" s="1"/>
  <c r="P412" i="2"/>
  <c r="BO411" i="2"/>
  <c r="BM411" i="2"/>
  <c r="Y411" i="2"/>
  <c r="BN411" i="2" s="1"/>
  <c r="P411" i="2"/>
  <c r="BO410" i="2"/>
  <c r="BM410" i="2"/>
  <c r="Y410" i="2"/>
  <c r="BN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Y407" i="2"/>
  <c r="P407" i="2"/>
  <c r="X403" i="2"/>
  <c r="X402" i="2"/>
  <c r="BO401" i="2"/>
  <c r="BM401" i="2"/>
  <c r="Y401" i="2"/>
  <c r="BN401" i="2" s="1"/>
  <c r="P401" i="2"/>
  <c r="BO400" i="2"/>
  <c r="BM400" i="2"/>
  <c r="Y400" i="2"/>
  <c r="BN400" i="2" s="1"/>
  <c r="P400" i="2"/>
  <c r="BO399" i="2"/>
  <c r="BM399" i="2"/>
  <c r="Y399" i="2"/>
  <c r="BN399" i="2" s="1"/>
  <c r="P399" i="2"/>
  <c r="X396" i="2"/>
  <c r="X395" i="2"/>
  <c r="BP394" i="2"/>
  <c r="BO394" i="2"/>
  <c r="BM394" i="2"/>
  <c r="Y394" i="2"/>
  <c r="P394" i="2"/>
  <c r="BO393" i="2"/>
  <c r="BM393" i="2"/>
  <c r="Y393" i="2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Z387" i="2" s="1"/>
  <c r="P387" i="2"/>
  <c r="BO386" i="2"/>
  <c r="BM386" i="2"/>
  <c r="Y386" i="2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Y383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Z363" i="2" s="1"/>
  <c r="P363" i="2"/>
  <c r="BO362" i="2"/>
  <c r="BM362" i="2"/>
  <c r="Y362" i="2"/>
  <c r="P362" i="2"/>
  <c r="X360" i="2"/>
  <c r="X359" i="2"/>
  <c r="BO358" i="2"/>
  <c r="BM358" i="2"/>
  <c r="Y358" i="2"/>
  <c r="BN358" i="2" s="1"/>
  <c r="P358" i="2"/>
  <c r="BO357" i="2"/>
  <c r="BM357" i="2"/>
  <c r="Y357" i="2"/>
  <c r="BN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Z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P332" i="2"/>
  <c r="X329" i="2"/>
  <c r="X328" i="2"/>
  <c r="BO327" i="2"/>
  <c r="BM327" i="2"/>
  <c r="Y327" i="2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P316" i="2"/>
  <c r="X313" i="2"/>
  <c r="X312" i="2"/>
  <c r="BO311" i="2"/>
  <c r="BM311" i="2"/>
  <c r="Y311" i="2"/>
  <c r="BN311" i="2" s="1"/>
  <c r="P311" i="2"/>
  <c r="BO310" i="2"/>
  <c r="BM310" i="2"/>
  <c r="Y310" i="2"/>
  <c r="BN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Z301" i="2" s="1"/>
  <c r="Z302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Z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Z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Z214" i="2" s="1"/>
  <c r="P214" i="2"/>
  <c r="BO213" i="2"/>
  <c r="BM213" i="2"/>
  <c r="Y213" i="2"/>
  <c r="P213" i="2"/>
  <c r="X211" i="2"/>
  <c r="X210" i="2"/>
  <c r="BO209" i="2"/>
  <c r="BM209" i="2"/>
  <c r="Y209" i="2"/>
  <c r="BP209" i="2" s="1"/>
  <c r="P209" i="2"/>
  <c r="X206" i="2"/>
  <c r="X205" i="2"/>
  <c r="BO204" i="2"/>
  <c r="BM204" i="2"/>
  <c r="Y204" i="2"/>
  <c r="BP204" i="2" s="1"/>
  <c r="P204" i="2"/>
  <c r="BO203" i="2"/>
  <c r="BM203" i="2"/>
  <c r="Y203" i="2"/>
  <c r="BN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BO198" i="2"/>
  <c r="BM198" i="2"/>
  <c r="Y198" i="2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P188" i="2"/>
  <c r="BO187" i="2"/>
  <c r="BM187" i="2"/>
  <c r="Y187" i="2"/>
  <c r="Y189" i="2" s="1"/>
  <c r="P187" i="2"/>
  <c r="X185" i="2"/>
  <c r="X184" i="2"/>
  <c r="BO183" i="2"/>
  <c r="BM183" i="2"/>
  <c r="Y183" i="2"/>
  <c r="Z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X179" i="2"/>
  <c r="X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61" i="2"/>
  <c r="X160" i="2"/>
  <c r="BO159" i="2"/>
  <c r="BM159" i="2"/>
  <c r="Y159" i="2"/>
  <c r="BN159" i="2" s="1"/>
  <c r="P159" i="2"/>
  <c r="BO158" i="2"/>
  <c r="BM158" i="2"/>
  <c r="Y158" i="2"/>
  <c r="Y161" i="2" s="1"/>
  <c r="P158" i="2"/>
  <c r="X155" i="2"/>
  <c r="X154" i="2"/>
  <c r="BO153" i="2"/>
  <c r="BM153" i="2"/>
  <c r="Y153" i="2"/>
  <c r="P153" i="2"/>
  <c r="BO152" i="2"/>
  <c r="BM152" i="2"/>
  <c r="Y152" i="2"/>
  <c r="P152" i="2"/>
  <c r="BO151" i="2"/>
  <c r="BM151" i="2"/>
  <c r="Y151" i="2"/>
  <c r="BN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Z125" i="2" s="1"/>
  <c r="P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Z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P44" i="2"/>
  <c r="BO44" i="2"/>
  <c r="BN44" i="2"/>
  <c r="BM44" i="2"/>
  <c r="Z44" i="2"/>
  <c r="Y44" i="2"/>
  <c r="P44" i="2"/>
  <c r="BO43" i="2"/>
  <c r="BM43" i="2"/>
  <c r="Y43" i="2"/>
  <c r="BP43" i="2" s="1"/>
  <c r="P43" i="2"/>
  <c r="BO42" i="2"/>
  <c r="BM42" i="2"/>
  <c r="Y42" i="2"/>
  <c r="BN42" i="2" s="1"/>
  <c r="P42" i="2"/>
  <c r="BO41" i="2"/>
  <c r="BM41" i="2"/>
  <c r="Y41" i="2"/>
  <c r="Z41" i="2" s="1"/>
  <c r="P41" i="2"/>
  <c r="X37" i="2"/>
  <c r="X36" i="2"/>
  <c r="BO35" i="2"/>
  <c r="BM35" i="2"/>
  <c r="Y35" i="2"/>
  <c r="Y37" i="2" s="1"/>
  <c r="P35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F10" i="2" s="1"/>
  <c r="D7" i="2"/>
  <c r="Q6" i="2"/>
  <c r="P2" i="2"/>
  <c r="BP29" i="2" l="1"/>
  <c r="Z203" i="2"/>
  <c r="Z413" i="2"/>
  <c r="BN413" i="2"/>
  <c r="BN225" i="2"/>
  <c r="BP244" i="2"/>
  <c r="Y251" i="2"/>
  <c r="Z311" i="2"/>
  <c r="Z434" i="2"/>
  <c r="Y436" i="2"/>
  <c r="BN31" i="2"/>
  <c r="BN45" i="2"/>
  <c r="BN90" i="2"/>
  <c r="BN107" i="2"/>
  <c r="BN125" i="2"/>
  <c r="BN129" i="2"/>
  <c r="BN293" i="2"/>
  <c r="BN301" i="2"/>
  <c r="BN305" i="2"/>
  <c r="BN334" i="2"/>
  <c r="Y343" i="2"/>
  <c r="BP367" i="2"/>
  <c r="BN368" i="2"/>
  <c r="BN454" i="2"/>
  <c r="BN52" i="2"/>
  <c r="Y100" i="2"/>
  <c r="BN96" i="2"/>
  <c r="Y126" i="2"/>
  <c r="Y130" i="2"/>
  <c r="BN174" i="2"/>
  <c r="Z176" i="2"/>
  <c r="BP203" i="2"/>
  <c r="BN204" i="2"/>
  <c r="BP224" i="2"/>
  <c r="BN250" i="2"/>
  <c r="Y302" i="2"/>
  <c r="Y306" i="2"/>
  <c r="BP311" i="2"/>
  <c r="BN325" i="2"/>
  <c r="BN340" i="2"/>
  <c r="Z367" i="2"/>
  <c r="Z410" i="2"/>
  <c r="Z419" i="2"/>
  <c r="BP434" i="2"/>
  <c r="BN435" i="2"/>
  <c r="Y474" i="2"/>
  <c r="BN479" i="2"/>
  <c r="Y494" i="2"/>
  <c r="BP516" i="2"/>
  <c r="BP502" i="2"/>
  <c r="BN499" i="2"/>
  <c r="BN497" i="2"/>
  <c r="Z497" i="2"/>
  <c r="Z490" i="2"/>
  <c r="Y493" i="2"/>
  <c r="BN485" i="2"/>
  <c r="BN482" i="2"/>
  <c r="BN470" i="2"/>
  <c r="BN452" i="2"/>
  <c r="Y446" i="2"/>
  <c r="Y447" i="2"/>
  <c r="Z443" i="2"/>
  <c r="Z412" i="2"/>
  <c r="BP412" i="2"/>
  <c r="BP401" i="2"/>
  <c r="Z401" i="2"/>
  <c r="BN387" i="2"/>
  <c r="BN372" i="2"/>
  <c r="Z365" i="2"/>
  <c r="Z358" i="2"/>
  <c r="BP358" i="2"/>
  <c r="Z355" i="2"/>
  <c r="Z334" i="2"/>
  <c r="BN320" i="2"/>
  <c r="Z280" i="2"/>
  <c r="BP280" i="2"/>
  <c r="Z278" i="2"/>
  <c r="BP278" i="2"/>
  <c r="BN272" i="2"/>
  <c r="Z264" i="2"/>
  <c r="BN262" i="2"/>
  <c r="Z231" i="2"/>
  <c r="Z224" i="2"/>
  <c r="Z223" i="2"/>
  <c r="Z221" i="2"/>
  <c r="BN217" i="2"/>
  <c r="BN214" i="2"/>
  <c r="BN209" i="2"/>
  <c r="Y210" i="2"/>
  <c r="Z187" i="2"/>
  <c r="BN187" i="2"/>
  <c r="BP187" i="2"/>
  <c r="Y190" i="2"/>
  <c r="BN182" i="2"/>
  <c r="BN170" i="2"/>
  <c r="Z159" i="2"/>
  <c r="BP159" i="2"/>
  <c r="Z158" i="2"/>
  <c r="Y155" i="2"/>
  <c r="BN122" i="2"/>
  <c r="BN117" i="2"/>
  <c r="BN112" i="2"/>
  <c r="Z103" i="2"/>
  <c r="Z98" i="2"/>
  <c r="E544" i="2"/>
  <c r="BN78" i="2"/>
  <c r="Y80" i="2"/>
  <c r="Y79" i="2"/>
  <c r="BN73" i="2"/>
  <c r="Y74" i="2"/>
  <c r="BN61" i="2"/>
  <c r="Z29" i="2"/>
  <c r="Y32" i="2"/>
  <c r="Y24" i="2"/>
  <c r="X536" i="2"/>
  <c r="J9" i="2"/>
  <c r="A10" i="2"/>
  <c r="BP54" i="2"/>
  <c r="Y93" i="2"/>
  <c r="Y178" i="2"/>
  <c r="BP167" i="2"/>
  <c r="Z167" i="2"/>
  <c r="BP192" i="2"/>
  <c r="BP233" i="2"/>
  <c r="Z233" i="2"/>
  <c r="Z270" i="2"/>
  <c r="BN270" i="2"/>
  <c r="Y350" i="2"/>
  <c r="BP347" i="2"/>
  <c r="Z347" i="2"/>
  <c r="Z380" i="2"/>
  <c r="BN380" i="2"/>
  <c r="BP480" i="2"/>
  <c r="Z480" i="2"/>
  <c r="X538" i="2"/>
  <c r="BP28" i="2"/>
  <c r="Y33" i="2"/>
  <c r="BP42" i="2"/>
  <c r="BP65" i="2"/>
  <c r="BP71" i="2"/>
  <c r="Z83" i="2"/>
  <c r="BP83" i="2"/>
  <c r="Y85" i="2"/>
  <c r="Z91" i="2"/>
  <c r="BP91" i="2"/>
  <c r="BP105" i="2"/>
  <c r="Z115" i="2"/>
  <c r="BN115" i="2"/>
  <c r="Z135" i="2"/>
  <c r="BP140" i="2"/>
  <c r="BN140" i="2"/>
  <c r="Y141" i="2"/>
  <c r="Z169" i="2"/>
  <c r="BN169" i="2"/>
  <c r="Z202" i="2"/>
  <c r="BP234" i="2"/>
  <c r="BP239" i="2"/>
  <c r="BN239" i="2"/>
  <c r="Y268" i="2"/>
  <c r="Z260" i="2"/>
  <c r="BN260" i="2"/>
  <c r="Z266" i="2"/>
  <c r="Z277" i="2"/>
  <c r="BP286" i="2"/>
  <c r="Z291" i="2"/>
  <c r="BN291" i="2"/>
  <c r="Z310" i="2"/>
  <c r="BP357" i="2"/>
  <c r="Z366" i="2"/>
  <c r="Z374" i="2"/>
  <c r="BN375" i="2"/>
  <c r="Z375" i="2"/>
  <c r="BP388" i="2"/>
  <c r="Z388" i="2"/>
  <c r="Y396" i="2"/>
  <c r="BN393" i="2"/>
  <c r="Z394" i="2"/>
  <c r="BN394" i="2"/>
  <c r="BP400" i="2"/>
  <c r="Z411" i="2"/>
  <c r="Z429" i="2"/>
  <c r="Z430" i="2" s="1"/>
  <c r="Y430" i="2"/>
  <c r="BN429" i="2"/>
  <c r="Y503" i="2"/>
  <c r="BN498" i="2"/>
  <c r="BP521" i="2"/>
  <c r="BN521" i="2"/>
  <c r="Z525" i="2"/>
  <c r="BP113" i="2"/>
  <c r="BN113" i="2"/>
  <c r="BP135" i="2"/>
  <c r="Y146" i="2"/>
  <c r="Y147" i="2"/>
  <c r="BP198" i="2"/>
  <c r="BN198" i="2"/>
  <c r="BP215" i="2"/>
  <c r="Z215" i="2"/>
  <c r="BP266" i="2"/>
  <c r="BP277" i="2"/>
  <c r="BP332" i="2"/>
  <c r="Y337" i="2"/>
  <c r="BP366" i="2"/>
  <c r="X535" i="2"/>
  <c r="X534" i="2"/>
  <c r="BP31" i="2"/>
  <c r="Z42" i="2"/>
  <c r="BP61" i="2"/>
  <c r="BN63" i="2"/>
  <c r="Z65" i="2"/>
  <c r="Z90" i="2"/>
  <c r="BP112" i="2"/>
  <c r="BP123" i="2"/>
  <c r="BN123" i="2"/>
  <c r="BN167" i="2"/>
  <c r="BN215" i="2"/>
  <c r="BP219" i="2"/>
  <c r="BN219" i="2"/>
  <c r="BN233" i="2"/>
  <c r="Z234" i="2"/>
  <c r="Z286" i="2"/>
  <c r="BP316" i="2"/>
  <c r="BN316" i="2"/>
  <c r="BP318" i="2"/>
  <c r="Z318" i="2"/>
  <c r="BP327" i="2"/>
  <c r="BN327" i="2"/>
  <c r="BN347" i="2"/>
  <c r="Z357" i="2"/>
  <c r="Z400" i="2"/>
  <c r="BP420" i="2"/>
  <c r="BP424" i="2"/>
  <c r="Y426" i="2"/>
  <c r="Z425" i="2"/>
  <c r="BN425" i="2"/>
  <c r="Z445" i="2"/>
  <c r="BN445" i="2"/>
  <c r="Y473" i="2"/>
  <c r="Z471" i="2"/>
  <c r="BN480" i="2"/>
  <c r="BP483" i="2"/>
  <c r="Z483" i="2"/>
  <c r="BP500" i="2"/>
  <c r="BN500" i="2"/>
  <c r="AA544" i="2"/>
  <c r="Z521" i="2"/>
  <c r="Z522" i="2" s="1"/>
  <c r="Z145" i="2"/>
  <c r="BN145" i="2"/>
  <c r="Z153" i="2"/>
  <c r="BN153" i="2"/>
  <c r="Y194" i="2"/>
  <c r="BN192" i="2"/>
  <c r="BP202" i="2"/>
  <c r="BP297" i="2"/>
  <c r="Z297" i="2"/>
  <c r="BP310" i="2"/>
  <c r="Z333" i="2"/>
  <c r="BN333" i="2"/>
  <c r="BP356" i="2"/>
  <c r="Z356" i="2"/>
  <c r="BP392" i="2"/>
  <c r="Z392" i="2"/>
  <c r="U544" i="2"/>
  <c r="BP399" i="2"/>
  <c r="Z399" i="2"/>
  <c r="BP411" i="2"/>
  <c r="BP455" i="2"/>
  <c r="BN455" i="2"/>
  <c r="Z22" i="2"/>
  <c r="Z54" i="2"/>
  <c r="Z59" i="2"/>
  <c r="BN22" i="2"/>
  <c r="Y25" i="2"/>
  <c r="BN28" i="2"/>
  <c r="Z45" i="2"/>
  <c r="Y56" i="2"/>
  <c r="BN59" i="2"/>
  <c r="BN71" i="2"/>
  <c r="BP78" i="2"/>
  <c r="Y84" i="2"/>
  <c r="F544" i="2"/>
  <c r="BP88" i="2"/>
  <c r="BP98" i="2"/>
  <c r="G544" i="2"/>
  <c r="BN105" i="2"/>
  <c r="Z123" i="2"/>
  <c r="H544" i="2"/>
  <c r="Y136" i="2"/>
  <c r="Y137" i="2"/>
  <c r="BP134" i="2"/>
  <c r="Z134" i="2"/>
  <c r="BP145" i="2"/>
  <c r="I544" i="2"/>
  <c r="BP151" i="2"/>
  <c r="Z151" i="2"/>
  <c r="BP153" i="2"/>
  <c r="J544" i="2"/>
  <c r="BN158" i="2"/>
  <c r="Y160" i="2"/>
  <c r="BP158" i="2"/>
  <c r="Z172" i="2"/>
  <c r="BN172" i="2"/>
  <c r="BP223" i="2"/>
  <c r="Z244" i="2"/>
  <c r="Z245" i="2" s="1"/>
  <c r="Y245" i="2"/>
  <c r="BN244" i="2"/>
  <c r="BP254" i="2"/>
  <c r="Z254" i="2"/>
  <c r="BP270" i="2"/>
  <c r="Z274" i="2"/>
  <c r="BP276" i="2"/>
  <c r="Z276" i="2"/>
  <c r="BP281" i="2"/>
  <c r="BN281" i="2"/>
  <c r="Y313" i="2"/>
  <c r="BP309" i="2"/>
  <c r="Z309" i="2"/>
  <c r="Z312" i="2" s="1"/>
  <c r="BP333" i="2"/>
  <c r="Z336" i="2"/>
  <c r="BN336" i="2"/>
  <c r="BP341" i="2"/>
  <c r="BN341" i="2"/>
  <c r="BP362" i="2"/>
  <c r="BN362" i="2"/>
  <c r="BP364" i="2"/>
  <c r="Z364" i="2"/>
  <c r="BP380" i="2"/>
  <c r="BP385" i="2"/>
  <c r="Z385" i="2"/>
  <c r="BN388" i="2"/>
  <c r="Y416" i="2"/>
  <c r="BN407" i="2"/>
  <c r="BP409" i="2"/>
  <c r="Z409" i="2"/>
  <c r="Z420" i="2"/>
  <c r="Y431" i="2"/>
  <c r="Y458" i="2"/>
  <c r="BN453" i="2"/>
  <c r="Y463" i="2"/>
  <c r="BN460" i="2"/>
  <c r="BP460" i="2"/>
  <c r="Z492" i="2"/>
  <c r="BN492" i="2"/>
  <c r="Z500" i="2"/>
  <c r="BP122" i="2"/>
  <c r="BP125" i="2"/>
  <c r="BP200" i="2"/>
  <c r="BP221" i="2"/>
  <c r="BP301" i="2"/>
  <c r="Y328" i="2"/>
  <c r="Z342" i="2"/>
  <c r="BP340" i="2"/>
  <c r="Y342" i="2"/>
  <c r="S544" i="2"/>
  <c r="BP365" i="2"/>
  <c r="BP410" i="2"/>
  <c r="BN443" i="2"/>
  <c r="X544" i="2"/>
  <c r="BP454" i="2"/>
  <c r="Z544" i="2"/>
  <c r="BN490" i="2"/>
  <c r="BP499" i="2"/>
  <c r="Y519" i="2"/>
  <c r="BP129" i="2"/>
  <c r="Y131" i="2"/>
  <c r="Z170" i="2"/>
  <c r="BP176" i="2"/>
  <c r="BP182" i="2"/>
  <c r="Z200" i="2"/>
  <c r="Z204" i="2"/>
  <c r="Y228" i="2"/>
  <c r="BP214" i="2"/>
  <c r="BP217" i="2"/>
  <c r="BP231" i="2"/>
  <c r="Z250" i="2"/>
  <c r="Y252" i="2"/>
  <c r="BP305" i="2"/>
  <c r="Y307" i="2"/>
  <c r="Y312" i="2"/>
  <c r="Z320" i="2"/>
  <c r="BP325" i="2"/>
  <c r="Z346" i="2"/>
  <c r="BP346" i="2"/>
  <c r="Z354" i="2"/>
  <c r="BP355" i="2"/>
  <c r="Z368" i="2"/>
  <c r="Y390" i="2"/>
  <c r="BP387" i="2"/>
  <c r="Y402" i="2"/>
  <c r="W544" i="2"/>
  <c r="Z435" i="2"/>
  <c r="Y437" i="2"/>
  <c r="Z452" i="2"/>
  <c r="BP470" i="2"/>
  <c r="BP479" i="2"/>
  <c r="BP482" i="2"/>
  <c r="BP485" i="2"/>
  <c r="Y47" i="2"/>
  <c r="Z517" i="2"/>
  <c r="Y522" i="2"/>
  <c r="Y236" i="2"/>
  <c r="Z27" i="2"/>
  <c r="BN41" i="2"/>
  <c r="BN53" i="2"/>
  <c r="BN64" i="2"/>
  <c r="Y67" i="2"/>
  <c r="Y75" i="2"/>
  <c r="BN97" i="2"/>
  <c r="BN108" i="2"/>
  <c r="BN118" i="2"/>
  <c r="Y142" i="2"/>
  <c r="Z152" i="2"/>
  <c r="BN175" i="2"/>
  <c r="BN199" i="2"/>
  <c r="Y211" i="2"/>
  <c r="BN220" i="2"/>
  <c r="BN230" i="2"/>
  <c r="BN240" i="2"/>
  <c r="Y256" i="2"/>
  <c r="BN263" i="2"/>
  <c r="BN273" i="2"/>
  <c r="Z281" i="2"/>
  <c r="BN294" i="2"/>
  <c r="BN317" i="2"/>
  <c r="Y329" i="2"/>
  <c r="BN353" i="2"/>
  <c r="BN363" i="2"/>
  <c r="BN373" i="2"/>
  <c r="Y376" i="2"/>
  <c r="Z393" i="2"/>
  <c r="Z395" i="2" s="1"/>
  <c r="BN408" i="2"/>
  <c r="BN418" i="2"/>
  <c r="Y421" i="2"/>
  <c r="Z453" i="2"/>
  <c r="BN466" i="2"/>
  <c r="Z478" i="2"/>
  <c r="Z498" i="2"/>
  <c r="BN512" i="2"/>
  <c r="Y527" i="2"/>
  <c r="K544" i="2"/>
  <c r="Y504" i="2"/>
  <c r="BN517" i="2"/>
  <c r="L544" i="2"/>
  <c r="BP512" i="2"/>
  <c r="Y523" i="2"/>
  <c r="M544" i="2"/>
  <c r="Z139" i="2"/>
  <c r="BP220" i="2"/>
  <c r="Z77" i="2"/>
  <c r="Z79" i="2" s="1"/>
  <c r="Z168" i="2"/>
  <c r="Z188" i="2"/>
  <c r="Z189" i="2" s="1"/>
  <c r="Y193" i="2"/>
  <c r="Y205" i="2"/>
  <c r="Y257" i="2"/>
  <c r="Z332" i="2"/>
  <c r="Y359" i="2"/>
  <c r="Y369" i="2"/>
  <c r="Y377" i="2"/>
  <c r="Z386" i="2"/>
  <c r="Y422" i="2"/>
  <c r="Z444" i="2"/>
  <c r="Z446" i="2" s="1"/>
  <c r="Z456" i="2"/>
  <c r="BP471" i="2"/>
  <c r="Z481" i="2"/>
  <c r="Z491" i="2"/>
  <c r="Z493" i="2" s="1"/>
  <c r="Z501" i="2"/>
  <c r="BP517" i="2"/>
  <c r="Y528" i="2"/>
  <c r="O544" i="2"/>
  <c r="Z51" i="2"/>
  <c r="BP108" i="2"/>
  <c r="Z163" i="2"/>
  <c r="Z164" i="2" s="1"/>
  <c r="BP273" i="2"/>
  <c r="BP408" i="2"/>
  <c r="BP466" i="2"/>
  <c r="BP22" i="2"/>
  <c r="Z30" i="2"/>
  <c r="BP59" i="2"/>
  <c r="Y68" i="2"/>
  <c r="BP103" i="2"/>
  <c r="Z144" i="2"/>
  <c r="Z146" i="2" s="1"/>
  <c r="Y179" i="2"/>
  <c r="Z213" i="2"/>
  <c r="BP27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P152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Y303" i="2"/>
  <c r="BN326" i="2"/>
  <c r="Y338" i="2"/>
  <c r="Z348" i="2"/>
  <c r="BN381" i="2"/>
  <c r="BP393" i="2"/>
  <c r="Z414" i="2"/>
  <c r="Y427" i="2"/>
  <c r="BN439" i="2"/>
  <c r="Z451" i="2"/>
  <c r="BP453" i="2"/>
  <c r="Z461" i="2"/>
  <c r="Z462" i="2" s="1"/>
  <c r="Y467" i="2"/>
  <c r="BP478" i="2"/>
  <c r="BN486" i="2"/>
  <c r="Z496" i="2"/>
  <c r="BP498" i="2"/>
  <c r="Z508" i="2"/>
  <c r="Z509" i="2" s="1"/>
  <c r="Y513" i="2"/>
  <c r="P544" i="2"/>
  <c r="Z62" i="2"/>
  <c r="Z106" i="2"/>
  <c r="Z218" i="2"/>
  <c r="Z271" i="2"/>
  <c r="BP418" i="2"/>
  <c r="Z439" i="2"/>
  <c r="Z440" i="2" s="1"/>
  <c r="BN144" i="2"/>
  <c r="BN332" i="2"/>
  <c r="BN386" i="2"/>
  <c r="Y389" i="2"/>
  <c r="BN444" i="2"/>
  <c r="BN456" i="2"/>
  <c r="BN481" i="2"/>
  <c r="BN491" i="2"/>
  <c r="BN501" i="2"/>
  <c r="Y518" i="2"/>
  <c r="Q544" i="2"/>
  <c r="BN27" i="2"/>
  <c r="BP53" i="2"/>
  <c r="BP64" i="2"/>
  <c r="BP118" i="2"/>
  <c r="BN152" i="2"/>
  <c r="Z23" i="2"/>
  <c r="BN35" i="2"/>
  <c r="BP51" i="2"/>
  <c r="Z60" i="2"/>
  <c r="Z70" i="2"/>
  <c r="BP72" i="2"/>
  <c r="BN82" i="2"/>
  <c r="BP95" i="2"/>
  <c r="Z104" i="2"/>
  <c r="Z114" i="2"/>
  <c r="BP116" i="2"/>
  <c r="Z124" i="2"/>
  <c r="Z126" i="2" s="1"/>
  <c r="BN150" i="2"/>
  <c r="BP163" i="2"/>
  <c r="Z171" i="2"/>
  <c r="BP173" i="2"/>
  <c r="Z181" i="2"/>
  <c r="Z184" i="2" s="1"/>
  <c r="BP183" i="2"/>
  <c r="Y206" i="2"/>
  <c r="Z216" i="2"/>
  <c r="BN226" i="2"/>
  <c r="BP238" i="2"/>
  <c r="BN249" i="2"/>
  <c r="Z259" i="2"/>
  <c r="BP261" i="2"/>
  <c r="BN279" i="2"/>
  <c r="Y282" i="2"/>
  <c r="BP292" i="2"/>
  <c r="BP326" i="2"/>
  <c r="Z335" i="2"/>
  <c r="BN348" i="2"/>
  <c r="Y360" i="2"/>
  <c r="Y370" i="2"/>
  <c r="Z379" i="2"/>
  <c r="BP381" i="2"/>
  <c r="Y403" i="2"/>
  <c r="BN414" i="2"/>
  <c r="Z424" i="2"/>
  <c r="BP439" i="2"/>
  <c r="BN451" i="2"/>
  <c r="BN461" i="2"/>
  <c r="Z472" i="2"/>
  <c r="Z484" i="2"/>
  <c r="BP486" i="2"/>
  <c r="BN496" i="2"/>
  <c r="BN508" i="2"/>
  <c r="Z531" i="2"/>
  <c r="Z532" i="2" s="1"/>
  <c r="R544" i="2"/>
  <c r="BP175" i="2"/>
  <c r="BP30" i="2"/>
  <c r="BP77" i="2"/>
  <c r="BN88" i="2"/>
  <c r="Y110" i="2"/>
  <c r="Y120" i="2"/>
  <c r="BP144" i="2"/>
  <c r="BP168" i="2"/>
  <c r="BP188" i="2"/>
  <c r="BP213" i="2"/>
  <c r="Y242" i="2"/>
  <c r="BN254" i="2"/>
  <c r="BN264" i="2"/>
  <c r="Y267" i="2"/>
  <c r="BN274" i="2"/>
  <c r="Y287" i="2"/>
  <c r="BN295" i="2"/>
  <c r="Y298" i="2"/>
  <c r="BN318" i="2"/>
  <c r="Y321" i="2"/>
  <c r="BN354" i="2"/>
  <c r="BN364" i="2"/>
  <c r="BN374" i="2"/>
  <c r="BP386" i="2"/>
  <c r="BN409" i="2"/>
  <c r="BN419" i="2"/>
  <c r="BP444" i="2"/>
  <c r="Y468" i="2"/>
  <c r="BP491" i="2"/>
  <c r="Y514" i="2"/>
  <c r="BN525" i="2"/>
  <c r="BP363" i="2"/>
  <c r="BN77" i="2"/>
  <c r="BN188" i="2"/>
  <c r="BN213" i="2"/>
  <c r="BN60" i="2"/>
  <c r="BN104" i="2"/>
  <c r="BN114" i="2"/>
  <c r="BN124" i="2"/>
  <c r="BP150" i="2"/>
  <c r="Y164" i="2"/>
  <c r="BN171" i="2"/>
  <c r="BN181" i="2"/>
  <c r="Y184" i="2"/>
  <c r="BN216" i="2"/>
  <c r="BN259" i="2"/>
  <c r="BN335" i="2"/>
  <c r="BN379" i="2"/>
  <c r="Y382" i="2"/>
  <c r="BN424" i="2"/>
  <c r="Y440" i="2"/>
  <c r="BP451" i="2"/>
  <c r="BN472" i="2"/>
  <c r="BN484" i="2"/>
  <c r="Y487" i="2"/>
  <c r="BP508" i="2"/>
  <c r="BN531" i="2"/>
  <c r="T544" i="2"/>
  <c r="BN23" i="2"/>
  <c r="F9" i="2"/>
  <c r="Z52" i="2"/>
  <c r="Z63" i="2"/>
  <c r="Z73" i="2"/>
  <c r="Z96" i="2"/>
  <c r="Z107" i="2"/>
  <c r="Z117" i="2"/>
  <c r="Z140" i="2"/>
  <c r="Z174" i="2"/>
  <c r="Z198" i="2"/>
  <c r="Z209" i="2"/>
  <c r="Z210" i="2" s="1"/>
  <c r="Z219" i="2"/>
  <c r="Z239" i="2"/>
  <c r="Z241" i="2" s="1"/>
  <c r="Z262" i="2"/>
  <c r="Z272" i="2"/>
  <c r="Y283" i="2"/>
  <c r="Z293" i="2"/>
  <c r="Z316" i="2"/>
  <c r="Z327" i="2"/>
  <c r="Z328" i="2" s="1"/>
  <c r="Z362" i="2"/>
  <c r="Z372" i="2"/>
  <c r="Z407" i="2"/>
  <c r="Y457" i="2"/>
  <c r="B544" i="2"/>
  <c r="BP97" i="2"/>
  <c r="BP294" i="2"/>
  <c r="BP317" i="2"/>
  <c r="BP353" i="2"/>
  <c r="BP35" i="2"/>
  <c r="BN70" i="2"/>
  <c r="H9" i="2"/>
  <c r="Y36" i="2"/>
  <c r="Y227" i="2"/>
  <c r="BP259" i="2"/>
  <c r="Y288" i="2"/>
  <c r="Y299" i="2"/>
  <c r="Y322" i="2"/>
  <c r="Y349" i="2"/>
  <c r="BP379" i="2"/>
  <c r="Y415" i="2"/>
  <c r="Y462" i="2"/>
  <c r="Z502" i="2"/>
  <c r="Y509" i="2"/>
  <c r="Z516" i="2"/>
  <c r="Z518" i="2" s="1"/>
  <c r="BP531" i="2"/>
  <c r="C544" i="2"/>
  <c r="V544" i="2"/>
  <c r="BP199" i="2"/>
  <c r="BP240" i="2"/>
  <c r="BP373" i="2"/>
  <c r="Y55" i="2"/>
  <c r="Y99" i="2"/>
  <c r="Y185" i="2"/>
  <c r="Y488" i="2"/>
  <c r="D544" i="2"/>
  <c r="BP41" i="2"/>
  <c r="Z95" i="2"/>
  <c r="Z43" i="2"/>
  <c r="Z46" i="2" s="1"/>
  <c r="Z66" i="2"/>
  <c r="Z89" i="2"/>
  <c r="Z201" i="2"/>
  <c r="Z222" i="2"/>
  <c r="Z232" i="2"/>
  <c r="Z255" i="2"/>
  <c r="Z265" i="2"/>
  <c r="Z275" i="2"/>
  <c r="Z285" i="2"/>
  <c r="Z296" i="2"/>
  <c r="Z319" i="2"/>
  <c r="Z526" i="2"/>
  <c r="Y532" i="2"/>
  <c r="BP263" i="2"/>
  <c r="Z177" i="2"/>
  <c r="Y154" i="2"/>
  <c r="Y395" i="2"/>
  <c r="BP407" i="2"/>
  <c r="Y510" i="2"/>
  <c r="Y544" i="2"/>
  <c r="BP230" i="2"/>
  <c r="BN43" i="2"/>
  <c r="Y46" i="2"/>
  <c r="BN66" i="2"/>
  <c r="BN89" i="2"/>
  <c r="Y92" i="2"/>
  <c r="BN177" i="2"/>
  <c r="BN201" i="2"/>
  <c r="BN222" i="2"/>
  <c r="BN232" i="2"/>
  <c r="Y235" i="2"/>
  <c r="BN255" i="2"/>
  <c r="BN265" i="2"/>
  <c r="BN275" i="2"/>
  <c r="BN285" i="2"/>
  <c r="BN296" i="2"/>
  <c r="BN319" i="2"/>
  <c r="BN526" i="2"/>
  <c r="Y533" i="2"/>
  <c r="Z473" i="2" l="1"/>
  <c r="Z376" i="2"/>
  <c r="Z436" i="2"/>
  <c r="Z421" i="2"/>
  <c r="Z160" i="2"/>
  <c r="Z205" i="2"/>
  <c r="Z402" i="2"/>
  <c r="Z527" i="2"/>
  <c r="Z457" i="2"/>
  <c r="Z415" i="2"/>
  <c r="Z382" i="2"/>
  <c r="Z359" i="2"/>
  <c r="Z321" i="2"/>
  <c r="Z119" i="2"/>
  <c r="Z74" i="2"/>
  <c r="X537" i="2"/>
  <c r="Z24" i="2"/>
  <c r="Y535" i="2"/>
  <c r="Z298" i="2"/>
  <c r="Z109" i="2"/>
  <c r="Z92" i="2"/>
  <c r="Z369" i="2"/>
  <c r="Y534" i="2"/>
  <c r="Z389" i="2"/>
  <c r="Z141" i="2"/>
  <c r="Z136" i="2"/>
  <c r="Z256" i="2"/>
  <c r="Y538" i="2"/>
  <c r="Z287" i="2"/>
  <c r="Z235" i="2"/>
  <c r="Z426" i="2"/>
  <c r="Z282" i="2"/>
  <c r="Z349" i="2"/>
  <c r="Z251" i="2"/>
  <c r="Z227" i="2"/>
  <c r="Z154" i="2"/>
  <c r="Y536" i="2"/>
  <c r="Z99" i="2"/>
  <c r="Z32" i="2"/>
  <c r="Z337" i="2"/>
  <c r="Z67" i="2"/>
  <c r="Z503" i="2"/>
  <c r="Z487" i="2"/>
  <c r="Z55" i="2"/>
  <c r="Z267" i="2"/>
  <c r="Z178" i="2"/>
  <c r="Y537" i="2" l="1"/>
  <c r="Z539" i="2"/>
</calcChain>
</file>

<file path=xl/sharedStrings.xml><?xml version="1.0" encoding="utf-8"?>
<sst xmlns="http://schemas.openxmlformats.org/spreadsheetml/2006/main" count="4048" uniqueCount="861">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</sst>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860</v>
      </c>
      <c r="I5" s="621"/>
      <c r="J5" s="621"/>
      <c r="K5" s="621"/>
      <c r="L5" s="621"/>
      <c r="M5" s="621"/>
      <c r="N5" s="72"/>
      <c r="P5" s="27" t="s">
        <v>4</v>
      </c>
      <c r="Q5" s="623">
        <v>46220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843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Пятница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3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0.45833333333333331</v>
      </c>
      <c r="R8" s="644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5"/>
      <c r="C9" s="645"/>
      <c r="D9" s="646" t="s">
        <v>46</v>
      </c>
      <c r="E9" s="647"/>
      <c r="F9" s="6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5"/>
      <c r="H9" s="648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70"/>
      <c r="P9" s="31" t="s">
        <v>15</v>
      </c>
      <c r="Q9" s="649"/>
      <c r="R9" s="649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5"/>
      <c r="C10" s="645"/>
      <c r="D10" s="646"/>
      <c r="E10" s="647"/>
      <c r="F10" s="6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5"/>
      <c r="H10" s="650" t="str">
        <f>IFERROR(VLOOKUP($D$10,Proxy,2,FALSE),"")</f>
        <v/>
      </c>
      <c r="I10" s="650"/>
      <c r="J10" s="650"/>
      <c r="K10" s="650"/>
      <c r="L10" s="650"/>
      <c r="M10" s="650"/>
      <c r="N10" s="71"/>
      <c r="P10" s="31" t="s">
        <v>32</v>
      </c>
      <c r="Q10" s="651"/>
      <c r="R10" s="651"/>
      <c r="U10" s="29" t="s">
        <v>12</v>
      </c>
      <c r="V10" s="652" t="s">
        <v>71</v>
      </c>
      <c r="W10" s="65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4"/>
      <c r="R11" s="654"/>
      <c r="U11" s="29" t="s">
        <v>28</v>
      </c>
      <c r="V11" s="655" t="s">
        <v>55</v>
      </c>
      <c r="W11" s="65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6" t="s">
        <v>72</v>
      </c>
      <c r="B12" s="656"/>
      <c r="C12" s="656"/>
      <c r="D12" s="656"/>
      <c r="E12" s="656"/>
      <c r="F12" s="656"/>
      <c r="G12" s="656"/>
      <c r="H12" s="656"/>
      <c r="I12" s="656"/>
      <c r="J12" s="656"/>
      <c r="K12" s="656"/>
      <c r="L12" s="656"/>
      <c r="M12" s="656"/>
      <c r="N12" s="76"/>
      <c r="P12" s="27" t="s">
        <v>30</v>
      </c>
      <c r="Q12" s="643"/>
      <c r="R12" s="643"/>
      <c r="S12" s="28"/>
      <c r="T12"/>
      <c r="U12" s="29" t="s">
        <v>46</v>
      </c>
      <c r="V12" s="657"/>
      <c r="W12" s="657"/>
      <c r="X12"/>
      <c r="AB12" s="59"/>
      <c r="AC12" s="59"/>
      <c r="AD12" s="59"/>
      <c r="AE12" s="59"/>
    </row>
    <row r="13" spans="1:32" s="17" customFormat="1" ht="23.25" customHeight="1" x14ac:dyDescent="0.2">
      <c r="A13" s="656" t="s">
        <v>73</v>
      </c>
      <c r="B13" s="656"/>
      <c r="C13" s="656"/>
      <c r="D13" s="656"/>
      <c r="E13" s="656"/>
      <c r="F13" s="656"/>
      <c r="G13" s="656"/>
      <c r="H13" s="656"/>
      <c r="I13" s="656"/>
      <c r="J13" s="656"/>
      <c r="K13" s="656"/>
      <c r="L13" s="656"/>
      <c r="M13" s="656"/>
      <c r="N13" s="76"/>
      <c r="O13" s="31"/>
      <c r="P13" s="31" t="s">
        <v>31</v>
      </c>
      <c r="Q13" s="655"/>
      <c r="R13" s="65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6" t="s">
        <v>74</v>
      </c>
      <c r="B14" s="656"/>
      <c r="C14" s="656"/>
      <c r="D14" s="656"/>
      <c r="E14" s="656"/>
      <c r="F14" s="656"/>
      <c r="G14" s="656"/>
      <c r="H14" s="656"/>
      <c r="I14" s="656"/>
      <c r="J14" s="656"/>
      <c r="K14" s="656"/>
      <c r="L14" s="656"/>
      <c r="M14" s="6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8" t="s">
        <v>75</v>
      </c>
      <c r="B15" s="658"/>
      <c r="C15" s="658"/>
      <c r="D15" s="658"/>
      <c r="E15" s="658"/>
      <c r="F15" s="658"/>
      <c r="G15" s="658"/>
      <c r="H15" s="658"/>
      <c r="I15" s="658"/>
      <c r="J15" s="658"/>
      <c r="K15" s="658"/>
      <c r="L15" s="658"/>
      <c r="M15" s="658"/>
      <c r="N15" s="77"/>
      <c r="O15"/>
      <c r="P15" s="659" t="s">
        <v>61</v>
      </c>
      <c r="Q15" s="659"/>
      <c r="R15" s="659"/>
      <c r="S15" s="659"/>
      <c r="T15" s="6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0"/>
      <c r="Q16" s="660"/>
      <c r="R16" s="660"/>
      <c r="S16" s="660"/>
      <c r="T16" s="6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3" t="s">
        <v>59</v>
      </c>
      <c r="B17" s="663" t="s">
        <v>49</v>
      </c>
      <c r="C17" s="665" t="s">
        <v>48</v>
      </c>
      <c r="D17" s="667" t="s">
        <v>50</v>
      </c>
      <c r="E17" s="668"/>
      <c r="F17" s="663" t="s">
        <v>21</v>
      </c>
      <c r="G17" s="663" t="s">
        <v>24</v>
      </c>
      <c r="H17" s="663" t="s">
        <v>22</v>
      </c>
      <c r="I17" s="663" t="s">
        <v>23</v>
      </c>
      <c r="J17" s="663" t="s">
        <v>16</v>
      </c>
      <c r="K17" s="663" t="s">
        <v>66</v>
      </c>
      <c r="L17" s="663" t="s">
        <v>64</v>
      </c>
      <c r="M17" s="663" t="s">
        <v>2</v>
      </c>
      <c r="N17" s="663" t="s">
        <v>63</v>
      </c>
      <c r="O17" s="663" t="s">
        <v>25</v>
      </c>
      <c r="P17" s="667" t="s">
        <v>17</v>
      </c>
      <c r="Q17" s="671"/>
      <c r="R17" s="671"/>
      <c r="S17" s="671"/>
      <c r="T17" s="668"/>
      <c r="U17" s="661" t="s">
        <v>56</v>
      </c>
      <c r="V17" s="662"/>
      <c r="W17" s="663" t="s">
        <v>6</v>
      </c>
      <c r="X17" s="663" t="s">
        <v>41</v>
      </c>
      <c r="Y17" s="673" t="s">
        <v>54</v>
      </c>
      <c r="Z17" s="675" t="s">
        <v>18</v>
      </c>
      <c r="AA17" s="677" t="s">
        <v>60</v>
      </c>
      <c r="AB17" s="677" t="s">
        <v>19</v>
      </c>
      <c r="AC17" s="677" t="s">
        <v>65</v>
      </c>
      <c r="AD17" s="679" t="s">
        <v>57</v>
      </c>
      <c r="AE17" s="680"/>
      <c r="AF17" s="681"/>
      <c r="AG17" s="82"/>
      <c r="BD17" s="81" t="s">
        <v>62</v>
      </c>
    </row>
    <row r="18" spans="1:68" ht="14.25" customHeight="1" x14ac:dyDescent="0.2">
      <c r="A18" s="664"/>
      <c r="B18" s="664"/>
      <c r="C18" s="666"/>
      <c r="D18" s="669"/>
      <c r="E18" s="670"/>
      <c r="F18" s="664"/>
      <c r="G18" s="664"/>
      <c r="H18" s="664"/>
      <c r="I18" s="664"/>
      <c r="J18" s="664"/>
      <c r="K18" s="664"/>
      <c r="L18" s="664"/>
      <c r="M18" s="664"/>
      <c r="N18" s="664"/>
      <c r="O18" s="664"/>
      <c r="P18" s="669"/>
      <c r="Q18" s="672"/>
      <c r="R18" s="672"/>
      <c r="S18" s="672"/>
      <c r="T18" s="670"/>
      <c r="U18" s="83" t="s">
        <v>44</v>
      </c>
      <c r="V18" s="83" t="s">
        <v>43</v>
      </c>
      <c r="W18" s="664"/>
      <c r="X18" s="664"/>
      <c r="Y18" s="674"/>
      <c r="Z18" s="676"/>
      <c r="AA18" s="678"/>
      <c r="AB18" s="678"/>
      <c r="AC18" s="678"/>
      <c r="AD18" s="682"/>
      <c r="AE18" s="683"/>
      <c r="AF18" s="684"/>
      <c r="AG18" s="82"/>
      <c r="BD18" s="81"/>
    </row>
    <row r="19" spans="1:68" ht="27.75" hidden="1" customHeight="1" x14ac:dyDescent="0.2">
      <c r="A19" s="685" t="s">
        <v>76</v>
      </c>
      <c r="B19" s="685"/>
      <c r="C19" s="685"/>
      <c r="D19" s="685"/>
      <c r="E19" s="685"/>
      <c r="F19" s="685"/>
      <c r="G19" s="685"/>
      <c r="H19" s="685"/>
      <c r="I19" s="685"/>
      <c r="J19" s="685"/>
      <c r="K19" s="685"/>
      <c r="L19" s="685"/>
      <c r="M19" s="685"/>
      <c r="N19" s="685"/>
      <c r="O19" s="685"/>
      <c r="P19" s="685"/>
      <c r="Q19" s="685"/>
      <c r="R19" s="685"/>
      <c r="S19" s="685"/>
      <c r="T19" s="685"/>
      <c r="U19" s="685"/>
      <c r="V19" s="685"/>
      <c r="W19" s="685"/>
      <c r="X19" s="685"/>
      <c r="Y19" s="685"/>
      <c r="Z19" s="685"/>
      <c r="AA19" s="54"/>
      <c r="AB19" s="54"/>
      <c r="AC19" s="54"/>
    </row>
    <row r="20" spans="1:68" ht="16.5" hidden="1" customHeight="1" x14ac:dyDescent="0.25">
      <c r="A20" s="686" t="s">
        <v>76</v>
      </c>
      <c r="B20" s="686"/>
      <c r="C20" s="686"/>
      <c r="D20" s="686"/>
      <c r="E20" s="686"/>
      <c r="F20" s="686"/>
      <c r="G20" s="686"/>
      <c r="H20" s="686"/>
      <c r="I20" s="686"/>
      <c r="J20" s="686"/>
      <c r="K20" s="686"/>
      <c r="L20" s="686"/>
      <c r="M20" s="686"/>
      <c r="N20" s="686"/>
      <c r="O20" s="686"/>
      <c r="P20" s="686"/>
      <c r="Q20" s="686"/>
      <c r="R20" s="686"/>
      <c r="S20" s="686"/>
      <c r="T20" s="686"/>
      <c r="U20" s="686"/>
      <c r="V20" s="686"/>
      <c r="W20" s="686"/>
      <c r="X20" s="686"/>
      <c r="Y20" s="686"/>
      <c r="Z20" s="686"/>
      <c r="AA20" s="65"/>
      <c r="AB20" s="65"/>
      <c r="AC20" s="79"/>
    </row>
    <row r="21" spans="1:68" ht="14.25" hidden="1" customHeight="1" x14ac:dyDescent="0.25">
      <c r="A21" s="687" t="s">
        <v>77</v>
      </c>
      <c r="B21" s="687"/>
      <c r="C21" s="687"/>
      <c r="D21" s="687"/>
      <c r="E21" s="687"/>
      <c r="F21" s="687"/>
      <c r="G21" s="687"/>
      <c r="H21" s="687"/>
      <c r="I21" s="687"/>
      <c r="J21" s="687"/>
      <c r="K21" s="687"/>
      <c r="L21" s="687"/>
      <c r="M21" s="687"/>
      <c r="N21" s="687"/>
      <c r="O21" s="687"/>
      <c r="P21" s="687"/>
      <c r="Q21" s="687"/>
      <c r="R21" s="687"/>
      <c r="S21" s="687"/>
      <c r="T21" s="687"/>
      <c r="U21" s="687"/>
      <c r="V21" s="687"/>
      <c r="W21" s="687"/>
      <c r="X21" s="687"/>
      <c r="Y21" s="687"/>
      <c r="Z21" s="687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88">
        <v>4680115886643</v>
      </c>
      <c r="E22" s="688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0"/>
      <c r="R22" s="690"/>
      <c r="S22" s="690"/>
      <c r="T22" s="691"/>
      <c r="U22" s="39" t="s">
        <v>46</v>
      </c>
      <c r="V22" s="39" t="s">
        <v>46</v>
      </c>
      <c r="W22" s="40" t="s">
        <v>0</v>
      </c>
      <c r="X22" s="58">
        <v>3.8</v>
      </c>
      <c r="Y22" s="55">
        <f>IFERROR(IF(X22="",0,CEILING((X22/$H22),1)*$H22),"")</f>
        <v>3.8</v>
      </c>
      <c r="Z22" s="41">
        <f>IFERROR(IF(Y22=0,"",ROUNDUP(Y22/H22,0)*0.00502),"")</f>
        <v>1.004E-2</v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4</v>
      </c>
      <c r="BN22" s="78">
        <f>IFERROR(Y22*I22/H22,"0")</f>
        <v>4</v>
      </c>
      <c r="BO22" s="78">
        <f>IFERROR(1/J22*(X22/H22),"0")</f>
        <v>8.5470085470085479E-3</v>
      </c>
      <c r="BP22" s="78">
        <f>IFERROR(1/J22*(Y22/H22),"0")</f>
        <v>8.5470085470085479E-3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88">
        <v>4680115889071</v>
      </c>
      <c r="E23" s="688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0"/>
      <c r="R23" s="690"/>
      <c r="S23" s="690"/>
      <c r="T23" s="691"/>
      <c r="U23" s="39" t="s">
        <v>46</v>
      </c>
      <c r="V23" s="39" t="s">
        <v>46</v>
      </c>
      <c r="W23" s="40" t="s">
        <v>0</v>
      </c>
      <c r="X23" s="58">
        <v>3.6</v>
      </c>
      <c r="Y23" s="55">
        <f>IFERROR(IF(X23="",0,CEILING((X23/$H23),1)*$H23),"")</f>
        <v>3.6</v>
      </c>
      <c r="Z23" s="41">
        <f>IFERROR(IF(Y23=0,"",ROUNDUP(Y23/H23,0)*0.00502),"")</f>
        <v>1.004E-2</v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3.8599999999999994</v>
      </c>
      <c r="BN23" s="78">
        <f>IFERROR(Y23*I23/H23,"0")</f>
        <v>3.8599999999999994</v>
      </c>
      <c r="BO23" s="78">
        <f>IFERROR(1/J23*(X23/H23),"0")</f>
        <v>8.5470085470085479E-3</v>
      </c>
      <c r="BP23" s="78">
        <f>IFERROR(1/J23*(Y23/H23),"0")</f>
        <v>8.5470085470085479E-3</v>
      </c>
    </row>
    <row r="24" spans="1:68" x14ac:dyDescent="0.2">
      <c r="A24" s="696"/>
      <c r="B24" s="696"/>
      <c r="C24" s="696"/>
      <c r="D24" s="696"/>
      <c r="E24" s="696"/>
      <c r="F24" s="696"/>
      <c r="G24" s="696"/>
      <c r="H24" s="696"/>
      <c r="I24" s="696"/>
      <c r="J24" s="696"/>
      <c r="K24" s="696"/>
      <c r="L24" s="696"/>
      <c r="M24" s="696"/>
      <c r="N24" s="696"/>
      <c r="O24" s="697"/>
      <c r="P24" s="693" t="s">
        <v>40</v>
      </c>
      <c r="Q24" s="694"/>
      <c r="R24" s="694"/>
      <c r="S24" s="694"/>
      <c r="T24" s="694"/>
      <c r="U24" s="694"/>
      <c r="V24" s="695"/>
      <c r="W24" s="42" t="s">
        <v>39</v>
      </c>
      <c r="X24" s="43">
        <f>IFERROR(X22/H22,"0")+IFERROR(X23/H23,"0")</f>
        <v>4</v>
      </c>
      <c r="Y24" s="43">
        <f>IFERROR(Y22/H22,"0")+IFERROR(Y23/H23,"0")</f>
        <v>4</v>
      </c>
      <c r="Z24" s="43">
        <f>IFERROR(IF(Z22="",0,Z22),"0")+IFERROR(IF(Z23="",0,Z23),"0")</f>
        <v>2.0080000000000001E-2</v>
      </c>
      <c r="AA24" s="67"/>
      <c r="AB24" s="67"/>
      <c r="AC24" s="67"/>
    </row>
    <row r="25" spans="1:68" x14ac:dyDescent="0.2">
      <c r="A25" s="696"/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7"/>
      <c r="P25" s="693" t="s">
        <v>40</v>
      </c>
      <c r="Q25" s="694"/>
      <c r="R25" s="694"/>
      <c r="S25" s="694"/>
      <c r="T25" s="694"/>
      <c r="U25" s="694"/>
      <c r="V25" s="695"/>
      <c r="W25" s="42" t="s">
        <v>0</v>
      </c>
      <c r="X25" s="43">
        <f>IFERROR(SUM(X22:X23),"0")</f>
        <v>7.4</v>
      </c>
      <c r="Y25" s="43">
        <f>IFERROR(SUM(Y22:Y23),"0")</f>
        <v>7.4</v>
      </c>
      <c r="Z25" s="42"/>
      <c r="AA25" s="67"/>
      <c r="AB25" s="67"/>
      <c r="AC25" s="67"/>
    </row>
    <row r="26" spans="1:68" ht="14.25" hidden="1" customHeight="1" x14ac:dyDescent="0.25">
      <c r="A26" s="687" t="s">
        <v>86</v>
      </c>
      <c r="B26" s="687"/>
      <c r="C26" s="687"/>
      <c r="D26" s="687"/>
      <c r="E26" s="687"/>
      <c r="F26" s="687"/>
      <c r="G26" s="687"/>
      <c r="H26" s="687"/>
      <c r="I26" s="687"/>
      <c r="J26" s="687"/>
      <c r="K26" s="687"/>
      <c r="L26" s="687"/>
      <c r="M26" s="687"/>
      <c r="N26" s="687"/>
      <c r="O26" s="687"/>
      <c r="P26" s="687"/>
      <c r="Q26" s="687"/>
      <c r="R26" s="687"/>
      <c r="S26" s="687"/>
      <c r="T26" s="687"/>
      <c r="U26" s="687"/>
      <c r="V26" s="687"/>
      <c r="W26" s="687"/>
      <c r="X26" s="687"/>
      <c r="Y26" s="687"/>
      <c r="Z26" s="68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8">
        <v>4680115885912</v>
      </c>
      <c r="E27" s="688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0"/>
      <c r="R27" s="690"/>
      <c r="S27" s="690"/>
      <c r="T27" s="69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88">
        <v>4607091388237</v>
      </c>
      <c r="E28" s="688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0"/>
      <c r="R28" s="690"/>
      <c r="S28" s="690"/>
      <c r="T28" s="691"/>
      <c r="U28" s="39" t="s">
        <v>46</v>
      </c>
      <c r="V28" s="39" t="s">
        <v>46</v>
      </c>
      <c r="W28" s="40" t="s">
        <v>0</v>
      </c>
      <c r="X28" s="58">
        <v>2.52</v>
      </c>
      <c r="Y28" s="55">
        <f>IFERROR(IF(X28="",0,CEILING((X28/$H28),1)*$H28),"")</f>
        <v>2.52</v>
      </c>
      <c r="Z28" s="41">
        <f>IFERROR(IF(Y28=0,"",ROUNDUP(Y28/H28,0)*0.00651),"")</f>
        <v>6.5100000000000002E-3</v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2.766</v>
      </c>
      <c r="BN28" s="78">
        <f>IFERROR(Y28*I28/H28,"0")</f>
        <v>2.766</v>
      </c>
      <c r="BO28" s="78">
        <f>IFERROR(1/J28*(X28/H28),"0")</f>
        <v>5.4945054945054949E-3</v>
      </c>
      <c r="BP28" s="78">
        <f>IFERROR(1/J28*(Y28/H28),"0")</f>
        <v>5.4945054945054949E-3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88">
        <v>4680115887350</v>
      </c>
      <c r="E29" s="68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0"/>
      <c r="R29" s="690"/>
      <c r="S29" s="690"/>
      <c r="T29" s="691"/>
      <c r="U29" s="39" t="s">
        <v>46</v>
      </c>
      <c r="V29" s="39" t="s">
        <v>46</v>
      </c>
      <c r="W29" s="40" t="s">
        <v>0</v>
      </c>
      <c r="X29" s="58">
        <v>1.8</v>
      </c>
      <c r="Y29" s="55">
        <f>IFERROR(IF(X29="",0,CEILING((X29/$H29),1)*$H29),"")</f>
        <v>1.8</v>
      </c>
      <c r="Z29" s="41">
        <f>IFERROR(IF(Y29=0,"",ROUNDUP(Y29/H29,0)*0.00651),"")</f>
        <v>6.5100000000000002E-3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3.18</v>
      </c>
      <c r="BN29" s="78">
        <f>IFERROR(Y29*I29/H29,"0")</f>
        <v>3.18</v>
      </c>
      <c r="BO29" s="78">
        <f>IFERROR(1/J29*(X29/H29),"0")</f>
        <v>5.4945054945054949E-3</v>
      </c>
      <c r="BP29" s="78">
        <f>IFERROR(1/J29*(Y29/H29),"0")</f>
        <v>5.4945054945054949E-3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88">
        <v>4680115885905</v>
      </c>
      <c r="E30" s="688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0"/>
      <c r="R30" s="690"/>
      <c r="S30" s="690"/>
      <c r="T30" s="691"/>
      <c r="U30" s="39" t="s">
        <v>46</v>
      </c>
      <c r="V30" s="39" t="s">
        <v>46</v>
      </c>
      <c r="W30" s="40" t="s">
        <v>0</v>
      </c>
      <c r="X30" s="58">
        <v>1.8</v>
      </c>
      <c r="Y30" s="55">
        <f>IFERROR(IF(X30="",0,CEILING((X30/$H30),1)*$H30),"")</f>
        <v>1.8</v>
      </c>
      <c r="Z30" s="41">
        <f>IFERROR(IF(Y30=0,"",ROUNDUP(Y30/H30,0)*0.00651),"")</f>
        <v>6.5100000000000002E-3</v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3.18</v>
      </c>
      <c r="BN30" s="78">
        <f>IFERROR(Y30*I30/H30,"0")</f>
        <v>3.18</v>
      </c>
      <c r="BO30" s="78">
        <f>IFERROR(1/J30*(X30/H30),"0")</f>
        <v>5.4945054945054949E-3</v>
      </c>
      <c r="BP30" s="78">
        <f>IFERROR(1/J30*(Y30/H30),"0")</f>
        <v>5.4945054945054949E-3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8">
        <v>4680115887619</v>
      </c>
      <c r="E31" s="688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0"/>
      <c r="R31" s="690"/>
      <c r="S31" s="690"/>
      <c r="T31" s="691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96"/>
      <c r="B32" s="696"/>
      <c r="C32" s="696"/>
      <c r="D32" s="696"/>
      <c r="E32" s="696"/>
      <c r="F32" s="696"/>
      <c r="G32" s="696"/>
      <c r="H32" s="696"/>
      <c r="I32" s="696"/>
      <c r="J32" s="696"/>
      <c r="K32" s="696"/>
      <c r="L32" s="696"/>
      <c r="M32" s="696"/>
      <c r="N32" s="696"/>
      <c r="O32" s="697"/>
      <c r="P32" s="693" t="s">
        <v>40</v>
      </c>
      <c r="Q32" s="694"/>
      <c r="R32" s="694"/>
      <c r="S32" s="694"/>
      <c r="T32" s="694"/>
      <c r="U32" s="694"/>
      <c r="V32" s="695"/>
      <c r="W32" s="42" t="s">
        <v>39</v>
      </c>
      <c r="X32" s="43">
        <f>IFERROR(X27/H27,"0")+IFERROR(X28/H28,"0")+IFERROR(X29/H29,"0")+IFERROR(X30/H30,"0")+IFERROR(X31/H31,"0")</f>
        <v>3</v>
      </c>
      <c r="Y32" s="43">
        <f>IFERROR(Y27/H27,"0")+IFERROR(Y28/H28,"0")+IFERROR(Y29/H29,"0")+IFERROR(Y30/H30,"0")+IFERROR(Y31/H31,"0")</f>
        <v>3</v>
      </c>
      <c r="Z32" s="43">
        <f>IFERROR(IF(Z27="",0,Z27),"0")+IFERROR(IF(Z28="",0,Z28),"0")+IFERROR(IF(Z29="",0,Z29),"0")+IFERROR(IF(Z30="",0,Z30),"0")+IFERROR(IF(Z31="",0,Z31),"0")</f>
        <v>1.9529999999999999E-2</v>
      </c>
      <c r="AA32" s="67"/>
      <c r="AB32" s="67"/>
      <c r="AC32" s="67"/>
    </row>
    <row r="33" spans="1:68" x14ac:dyDescent="0.2">
      <c r="A33" s="696"/>
      <c r="B33" s="696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696"/>
      <c r="O33" s="697"/>
      <c r="P33" s="693" t="s">
        <v>40</v>
      </c>
      <c r="Q33" s="694"/>
      <c r="R33" s="694"/>
      <c r="S33" s="694"/>
      <c r="T33" s="694"/>
      <c r="U33" s="694"/>
      <c r="V33" s="695"/>
      <c r="W33" s="42" t="s">
        <v>0</v>
      </c>
      <c r="X33" s="43">
        <f>IFERROR(SUM(X27:X31),"0")</f>
        <v>6.12</v>
      </c>
      <c r="Y33" s="43">
        <f>IFERROR(SUM(Y27:Y31),"0")</f>
        <v>6.12</v>
      </c>
      <c r="Z33" s="42"/>
      <c r="AA33" s="67"/>
      <c r="AB33" s="67"/>
      <c r="AC33" s="67"/>
    </row>
    <row r="34" spans="1:68" ht="14.25" hidden="1" customHeight="1" x14ac:dyDescent="0.25">
      <c r="A34" s="687" t="s">
        <v>104</v>
      </c>
      <c r="B34" s="687"/>
      <c r="C34" s="687"/>
      <c r="D34" s="687"/>
      <c r="E34" s="687"/>
      <c r="F34" s="687"/>
      <c r="G34" s="687"/>
      <c r="H34" s="687"/>
      <c r="I34" s="687"/>
      <c r="J34" s="687"/>
      <c r="K34" s="687"/>
      <c r="L34" s="687"/>
      <c r="M34" s="687"/>
      <c r="N34" s="687"/>
      <c r="O34" s="687"/>
      <c r="P34" s="687"/>
      <c r="Q34" s="687"/>
      <c r="R34" s="687"/>
      <c r="S34" s="687"/>
      <c r="T34" s="687"/>
      <c r="U34" s="687"/>
      <c r="V34" s="687"/>
      <c r="W34" s="687"/>
      <c r="X34" s="687"/>
      <c r="Y34" s="687"/>
      <c r="Z34" s="687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8">
        <v>4607091388503</v>
      </c>
      <c r="E35" s="688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0"/>
      <c r="R35" s="690"/>
      <c r="S35" s="690"/>
      <c r="T35" s="69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6"/>
      <c r="B36" s="696"/>
      <c r="C36" s="696"/>
      <c r="D36" s="696"/>
      <c r="E36" s="696"/>
      <c r="F36" s="696"/>
      <c r="G36" s="696"/>
      <c r="H36" s="696"/>
      <c r="I36" s="696"/>
      <c r="J36" s="696"/>
      <c r="K36" s="696"/>
      <c r="L36" s="696"/>
      <c r="M36" s="696"/>
      <c r="N36" s="696"/>
      <c r="O36" s="697"/>
      <c r="P36" s="693" t="s">
        <v>40</v>
      </c>
      <c r="Q36" s="694"/>
      <c r="R36" s="694"/>
      <c r="S36" s="694"/>
      <c r="T36" s="694"/>
      <c r="U36" s="694"/>
      <c r="V36" s="69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6"/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7"/>
      <c r="P37" s="693" t="s">
        <v>40</v>
      </c>
      <c r="Q37" s="694"/>
      <c r="R37" s="694"/>
      <c r="S37" s="694"/>
      <c r="T37" s="694"/>
      <c r="U37" s="694"/>
      <c r="V37" s="69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5" t="s">
        <v>45</v>
      </c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5"/>
      <c r="P38" s="685"/>
      <c r="Q38" s="685"/>
      <c r="R38" s="685"/>
      <c r="S38" s="685"/>
      <c r="T38" s="685"/>
      <c r="U38" s="685"/>
      <c r="V38" s="685"/>
      <c r="W38" s="685"/>
      <c r="X38" s="685"/>
      <c r="Y38" s="685"/>
      <c r="Z38" s="685"/>
      <c r="AA38" s="54"/>
      <c r="AB38" s="54"/>
      <c r="AC38" s="54"/>
    </row>
    <row r="39" spans="1:68" ht="16.5" hidden="1" customHeight="1" x14ac:dyDescent="0.25">
      <c r="A39" s="686" t="s">
        <v>110</v>
      </c>
      <c r="B39" s="686"/>
      <c r="C39" s="686"/>
      <c r="D39" s="686"/>
      <c r="E39" s="686"/>
      <c r="F39" s="686"/>
      <c r="G39" s="686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86"/>
      <c r="W39" s="686"/>
      <c r="X39" s="686"/>
      <c r="Y39" s="686"/>
      <c r="Z39" s="686"/>
      <c r="AA39" s="65"/>
      <c r="AB39" s="65"/>
      <c r="AC39" s="79"/>
    </row>
    <row r="40" spans="1:68" ht="14.25" hidden="1" customHeight="1" x14ac:dyDescent="0.25">
      <c r="A40" s="687" t="s">
        <v>86</v>
      </c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687"/>
      <c r="O40" s="687"/>
      <c r="P40" s="687"/>
      <c r="Q40" s="687"/>
      <c r="R40" s="687"/>
      <c r="S40" s="687"/>
      <c r="T40" s="687"/>
      <c r="U40" s="687"/>
      <c r="V40" s="687"/>
      <c r="W40" s="687"/>
      <c r="X40" s="687"/>
      <c r="Y40" s="687"/>
      <c r="Z40" s="687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8">
        <v>4680115889354</v>
      </c>
      <c r="E41" s="68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0"/>
      <c r="R41" s="690"/>
      <c r="S41" s="690"/>
      <c r="T41" s="69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8">
        <v>4680115888463</v>
      </c>
      <c r="E42" s="68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0"/>
      <c r="R42" s="690"/>
      <c r="S42" s="690"/>
      <c r="T42" s="69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8">
        <v>4680115888494</v>
      </c>
      <c r="E43" s="688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0"/>
      <c r="R43" s="690"/>
      <c r="S43" s="690"/>
      <c r="T43" s="69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8">
        <v>4680115888272</v>
      </c>
      <c r="E44" s="68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0"/>
      <c r="R44" s="690"/>
      <c r="S44" s="690"/>
      <c r="T44" s="69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8">
        <v>4680115888364</v>
      </c>
      <c r="E45" s="68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0"/>
      <c r="R45" s="690"/>
      <c r="S45" s="690"/>
      <c r="T45" s="69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6"/>
      <c r="B46" s="696"/>
      <c r="C46" s="696"/>
      <c r="D46" s="696"/>
      <c r="E46" s="696"/>
      <c r="F46" s="696"/>
      <c r="G46" s="696"/>
      <c r="H46" s="696"/>
      <c r="I46" s="696"/>
      <c r="J46" s="696"/>
      <c r="K46" s="696"/>
      <c r="L46" s="696"/>
      <c r="M46" s="696"/>
      <c r="N46" s="696"/>
      <c r="O46" s="697"/>
      <c r="P46" s="693" t="s">
        <v>40</v>
      </c>
      <c r="Q46" s="694"/>
      <c r="R46" s="694"/>
      <c r="S46" s="694"/>
      <c r="T46" s="694"/>
      <c r="U46" s="694"/>
      <c r="V46" s="69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6"/>
      <c r="B47" s="696"/>
      <c r="C47" s="696"/>
      <c r="D47" s="696"/>
      <c r="E47" s="696"/>
      <c r="F47" s="696"/>
      <c r="G47" s="696"/>
      <c r="H47" s="696"/>
      <c r="I47" s="696"/>
      <c r="J47" s="696"/>
      <c r="K47" s="696"/>
      <c r="L47" s="696"/>
      <c r="M47" s="696"/>
      <c r="N47" s="696"/>
      <c r="O47" s="697"/>
      <c r="P47" s="693" t="s">
        <v>40</v>
      </c>
      <c r="Q47" s="694"/>
      <c r="R47" s="694"/>
      <c r="S47" s="694"/>
      <c r="T47" s="694"/>
      <c r="U47" s="694"/>
      <c r="V47" s="69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5" t="s">
        <v>127</v>
      </c>
      <c r="B48" s="685"/>
      <c r="C48" s="685"/>
      <c r="D48" s="685"/>
      <c r="E48" s="685"/>
      <c r="F48" s="685"/>
      <c r="G48" s="685"/>
      <c r="H48" s="685"/>
      <c r="I48" s="685"/>
      <c r="J48" s="685"/>
      <c r="K48" s="685"/>
      <c r="L48" s="685"/>
      <c r="M48" s="685"/>
      <c r="N48" s="685"/>
      <c r="O48" s="685"/>
      <c r="P48" s="685"/>
      <c r="Q48" s="685"/>
      <c r="R48" s="685"/>
      <c r="S48" s="685"/>
      <c r="T48" s="685"/>
      <c r="U48" s="685"/>
      <c r="V48" s="685"/>
      <c r="W48" s="685"/>
      <c r="X48" s="685"/>
      <c r="Y48" s="685"/>
      <c r="Z48" s="685"/>
      <c r="AA48" s="54"/>
      <c r="AB48" s="54"/>
      <c r="AC48" s="54"/>
    </row>
    <row r="49" spans="1:68" ht="16.5" hidden="1" customHeight="1" x14ac:dyDescent="0.25">
      <c r="A49" s="686" t="s">
        <v>128</v>
      </c>
      <c r="B49" s="686"/>
      <c r="C49" s="686"/>
      <c r="D49" s="686"/>
      <c r="E49" s="686"/>
      <c r="F49" s="686"/>
      <c r="G49" s="686"/>
      <c r="H49" s="686"/>
      <c r="I49" s="686"/>
      <c r="J49" s="686"/>
      <c r="K49" s="686"/>
      <c r="L49" s="686"/>
      <c r="M49" s="686"/>
      <c r="N49" s="686"/>
      <c r="O49" s="686"/>
      <c r="P49" s="686"/>
      <c r="Q49" s="686"/>
      <c r="R49" s="686"/>
      <c r="S49" s="686"/>
      <c r="T49" s="686"/>
      <c r="U49" s="686"/>
      <c r="V49" s="686"/>
      <c r="W49" s="686"/>
      <c r="X49" s="686"/>
      <c r="Y49" s="686"/>
      <c r="Z49" s="686"/>
      <c r="AA49" s="65"/>
      <c r="AB49" s="65"/>
      <c r="AC49" s="79"/>
    </row>
    <row r="50" spans="1:68" ht="14.25" hidden="1" customHeight="1" x14ac:dyDescent="0.25">
      <c r="A50" s="687" t="s">
        <v>129</v>
      </c>
      <c r="B50" s="687"/>
      <c r="C50" s="687"/>
      <c r="D50" s="687"/>
      <c r="E50" s="687"/>
      <c r="F50" s="687"/>
      <c r="G50" s="687"/>
      <c r="H50" s="687"/>
      <c r="I50" s="687"/>
      <c r="J50" s="687"/>
      <c r="K50" s="687"/>
      <c r="L50" s="687"/>
      <c r="M50" s="687"/>
      <c r="N50" s="687"/>
      <c r="O50" s="687"/>
      <c r="P50" s="687"/>
      <c r="Q50" s="687"/>
      <c r="R50" s="687"/>
      <c r="S50" s="687"/>
      <c r="T50" s="687"/>
      <c r="U50" s="687"/>
      <c r="V50" s="687"/>
      <c r="W50" s="687"/>
      <c r="X50" s="687"/>
      <c r="Y50" s="687"/>
      <c r="Z50" s="687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88">
        <v>4607091385670</v>
      </c>
      <c r="E51" s="68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0"/>
      <c r="R51" s="690"/>
      <c r="S51" s="690"/>
      <c r="T51" s="691"/>
      <c r="U51" s="39" t="s">
        <v>46</v>
      </c>
      <c r="V51" s="39" t="s">
        <v>46</v>
      </c>
      <c r="W51" s="40" t="s">
        <v>0</v>
      </c>
      <c r="X51" s="58">
        <v>162</v>
      </c>
      <c r="Y51" s="55">
        <f>IFERROR(IF(X51="",0,CEILING((X51/$H51),1)*$H51),"")</f>
        <v>162</v>
      </c>
      <c r="Z51" s="41">
        <f>IFERROR(IF(Y51=0,"",ROUNDUP(Y51/H51,0)*0.01898),"")</f>
        <v>0.28470000000000001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168.15</v>
      </c>
      <c r="BN51" s="78">
        <f>IFERROR(Y51*I51/H51,"0")</f>
        <v>168.15</v>
      </c>
      <c r="BO51" s="78">
        <f>IFERROR(1/J51*(X51/H51),"0")</f>
        <v>0.23437499999999997</v>
      </c>
      <c r="BP51" s="78">
        <f>IFERROR(1/J51*(Y51/H51),"0")</f>
        <v>0.23437499999999997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8">
        <v>4680115887725</v>
      </c>
      <c r="E52" s="68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0"/>
      <c r="R52" s="690"/>
      <c r="S52" s="690"/>
      <c r="T52" s="69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88">
        <v>4607091385687</v>
      </c>
      <c r="E53" s="68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0"/>
      <c r="R53" s="690"/>
      <c r="S53" s="690"/>
      <c r="T53" s="691"/>
      <c r="U53" s="39" t="s">
        <v>46</v>
      </c>
      <c r="V53" s="39" t="s">
        <v>46</v>
      </c>
      <c r="W53" s="40" t="s">
        <v>0</v>
      </c>
      <c r="X53" s="58">
        <v>20</v>
      </c>
      <c r="Y53" s="55">
        <f>IFERROR(IF(X53="",0,CEILING((X53/$H53),1)*$H53),"")</f>
        <v>20</v>
      </c>
      <c r="Z53" s="41">
        <f>IFERROR(IF(Y53=0,"",ROUNDUP(Y53/H53,0)*0.00902),"")</f>
        <v>4.5100000000000001E-2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20.950000000000003</v>
      </c>
      <c r="BN53" s="78">
        <f>IFERROR(Y53*I53/H53,"0")</f>
        <v>20.950000000000003</v>
      </c>
      <c r="BO53" s="78">
        <f>IFERROR(1/J53*(X53/H53),"0")</f>
        <v>3.787878787878788E-2</v>
      </c>
      <c r="BP53" s="78">
        <f>IFERROR(1/J53*(Y53/H53),"0")</f>
        <v>3.787878787878788E-2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8">
        <v>4680115882539</v>
      </c>
      <c r="E54" s="68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0"/>
      <c r="R54" s="690"/>
      <c r="S54" s="690"/>
      <c r="T54" s="69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96"/>
      <c r="B55" s="696"/>
      <c r="C55" s="696"/>
      <c r="D55" s="696"/>
      <c r="E55" s="696"/>
      <c r="F55" s="696"/>
      <c r="G55" s="696"/>
      <c r="H55" s="696"/>
      <c r="I55" s="696"/>
      <c r="J55" s="696"/>
      <c r="K55" s="696"/>
      <c r="L55" s="696"/>
      <c r="M55" s="696"/>
      <c r="N55" s="696"/>
      <c r="O55" s="697"/>
      <c r="P55" s="693" t="s">
        <v>40</v>
      </c>
      <c r="Q55" s="694"/>
      <c r="R55" s="694"/>
      <c r="S55" s="694"/>
      <c r="T55" s="694"/>
      <c r="U55" s="694"/>
      <c r="V55" s="695"/>
      <c r="W55" s="42" t="s">
        <v>39</v>
      </c>
      <c r="X55" s="43">
        <f>IFERROR(X51/H51,"0")+IFERROR(X52/H52,"0")+IFERROR(X53/H53,"0")+IFERROR(X54/H54,"0")</f>
        <v>20</v>
      </c>
      <c r="Y55" s="43">
        <f>IFERROR(Y51/H51,"0")+IFERROR(Y52/H52,"0")+IFERROR(Y53/H53,"0")+IFERROR(Y54/H54,"0")</f>
        <v>20</v>
      </c>
      <c r="Z55" s="43">
        <f>IFERROR(IF(Z51="",0,Z51),"0")+IFERROR(IF(Z52="",0,Z52),"0")+IFERROR(IF(Z53="",0,Z53),"0")+IFERROR(IF(Z54="",0,Z54),"0")</f>
        <v>0.32979999999999998</v>
      </c>
      <c r="AA55" s="67"/>
      <c r="AB55" s="67"/>
      <c r="AC55" s="67"/>
    </row>
    <row r="56" spans="1:68" x14ac:dyDescent="0.2">
      <c r="A56" s="696"/>
      <c r="B56" s="696"/>
      <c r="C56" s="696"/>
      <c r="D56" s="696"/>
      <c r="E56" s="696"/>
      <c r="F56" s="696"/>
      <c r="G56" s="696"/>
      <c r="H56" s="696"/>
      <c r="I56" s="696"/>
      <c r="J56" s="696"/>
      <c r="K56" s="696"/>
      <c r="L56" s="696"/>
      <c r="M56" s="696"/>
      <c r="N56" s="696"/>
      <c r="O56" s="697"/>
      <c r="P56" s="693" t="s">
        <v>40</v>
      </c>
      <c r="Q56" s="694"/>
      <c r="R56" s="694"/>
      <c r="S56" s="694"/>
      <c r="T56" s="694"/>
      <c r="U56" s="694"/>
      <c r="V56" s="695"/>
      <c r="W56" s="42" t="s">
        <v>0</v>
      </c>
      <c r="X56" s="43">
        <f>IFERROR(SUM(X51:X54),"0")</f>
        <v>182</v>
      </c>
      <c r="Y56" s="43">
        <f>IFERROR(SUM(Y51:Y54),"0")</f>
        <v>182</v>
      </c>
      <c r="Z56" s="42"/>
      <c r="AA56" s="67"/>
      <c r="AB56" s="67"/>
      <c r="AC56" s="67"/>
    </row>
    <row r="57" spans="1:68" ht="16.5" hidden="1" customHeight="1" x14ac:dyDescent="0.25">
      <c r="A57" s="686" t="s">
        <v>144</v>
      </c>
      <c r="B57" s="686"/>
      <c r="C57" s="686"/>
      <c r="D57" s="686"/>
      <c r="E57" s="686"/>
      <c r="F57" s="686"/>
      <c r="G57" s="686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86"/>
      <c r="W57" s="686"/>
      <c r="X57" s="686"/>
      <c r="Y57" s="686"/>
      <c r="Z57" s="686"/>
      <c r="AA57" s="65"/>
      <c r="AB57" s="65"/>
      <c r="AC57" s="79"/>
    </row>
    <row r="58" spans="1:68" ht="14.25" hidden="1" customHeight="1" x14ac:dyDescent="0.25">
      <c r="A58" s="687" t="s">
        <v>129</v>
      </c>
      <c r="B58" s="687"/>
      <c r="C58" s="687"/>
      <c r="D58" s="687"/>
      <c r="E58" s="687"/>
      <c r="F58" s="687"/>
      <c r="G58" s="687"/>
      <c r="H58" s="687"/>
      <c r="I58" s="687"/>
      <c r="J58" s="687"/>
      <c r="K58" s="687"/>
      <c r="L58" s="687"/>
      <c r="M58" s="687"/>
      <c r="N58" s="687"/>
      <c r="O58" s="687"/>
      <c r="P58" s="687"/>
      <c r="Q58" s="687"/>
      <c r="R58" s="687"/>
      <c r="S58" s="687"/>
      <c r="T58" s="687"/>
      <c r="U58" s="687"/>
      <c r="V58" s="687"/>
      <c r="W58" s="687"/>
      <c r="X58" s="687"/>
      <c r="Y58" s="687"/>
      <c r="Z58" s="687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8">
        <v>4680115885882</v>
      </c>
      <c r="E59" s="68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0"/>
      <c r="R59" s="690"/>
      <c r="S59" s="690"/>
      <c r="T59" s="69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8">
        <v>4680115885882</v>
      </c>
      <c r="E60" s="688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0"/>
      <c r="R60" s="690"/>
      <c r="S60" s="690"/>
      <c r="T60" s="69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88">
        <v>4680115881426</v>
      </c>
      <c r="E61" s="68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0"/>
      <c r="R61" s="690"/>
      <c r="S61" s="690"/>
      <c r="T61" s="691"/>
      <c r="U61" s="39" t="s">
        <v>46</v>
      </c>
      <c r="V61" s="39" t="s">
        <v>46</v>
      </c>
      <c r="W61" s="40" t="s">
        <v>0</v>
      </c>
      <c r="X61" s="58">
        <v>108</v>
      </c>
      <c r="Y61" s="55">
        <f t="shared" si="0"/>
        <v>108</v>
      </c>
      <c r="Z61" s="41">
        <f>IFERROR(IF(Y61=0,"",ROUNDUP(Y61/H61,0)*0.01898),"")</f>
        <v>0.1898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112.1</v>
      </c>
      <c r="BN61" s="78">
        <f t="shared" si="2"/>
        <v>112.1</v>
      </c>
      <c r="BO61" s="78">
        <f t="shared" si="3"/>
        <v>0.15625</v>
      </c>
      <c r="BP61" s="78">
        <f t="shared" si="4"/>
        <v>0.15625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88">
        <v>4680115880283</v>
      </c>
      <c r="E62" s="68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0"/>
      <c r="R62" s="690"/>
      <c r="S62" s="690"/>
      <c r="T62" s="691"/>
      <c r="U62" s="39" t="s">
        <v>46</v>
      </c>
      <c r="V62" s="39" t="s">
        <v>46</v>
      </c>
      <c r="W62" s="40" t="s">
        <v>0</v>
      </c>
      <c r="X62" s="58">
        <v>14.4</v>
      </c>
      <c r="Y62" s="55">
        <f t="shared" si="0"/>
        <v>14.399999999999999</v>
      </c>
      <c r="Z62" s="41">
        <f>IFERROR(IF(Y62=0,"",ROUNDUP(Y62/H62,0)*0.00902),"")</f>
        <v>2.7060000000000001E-2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14.970000000000002</v>
      </c>
      <c r="BN62" s="78">
        <f t="shared" si="2"/>
        <v>14.969999999999999</v>
      </c>
      <c r="BO62" s="78">
        <f t="shared" si="3"/>
        <v>2.2727272727272728E-2</v>
      </c>
      <c r="BP62" s="78">
        <f t="shared" si="4"/>
        <v>2.2727272727272728E-2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8">
        <v>4680115880283</v>
      </c>
      <c r="E63" s="688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0"/>
      <c r="R63" s="690"/>
      <c r="S63" s="690"/>
      <c r="T63" s="691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8">
        <v>4680115881525</v>
      </c>
      <c r="E64" s="68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0"/>
      <c r="R64" s="690"/>
      <c r="S64" s="690"/>
      <c r="T64" s="69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8">
        <v>4680115885899</v>
      </c>
      <c r="E65" s="68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0"/>
      <c r="R65" s="690"/>
      <c r="S65" s="690"/>
      <c r="T65" s="69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88">
        <v>4680115881419</v>
      </c>
      <c r="E66" s="68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2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0"/>
      <c r="R66" s="690"/>
      <c r="S66" s="690"/>
      <c r="T66" s="691"/>
      <c r="U66" s="39" t="s">
        <v>46</v>
      </c>
      <c r="V66" s="39" t="s">
        <v>46</v>
      </c>
      <c r="W66" s="40" t="s">
        <v>0</v>
      </c>
      <c r="X66" s="58">
        <v>22.5</v>
      </c>
      <c r="Y66" s="55">
        <f t="shared" si="0"/>
        <v>22.5</v>
      </c>
      <c r="Z66" s="41">
        <f>IFERROR(IF(Y66=0,"",ROUNDUP(Y66/H66,0)*0.00902),"")</f>
        <v>4.5100000000000001E-2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23.450000000000003</v>
      </c>
      <c r="BN66" s="78">
        <f t="shared" si="2"/>
        <v>23.450000000000003</v>
      </c>
      <c r="BO66" s="78">
        <f t="shared" si="3"/>
        <v>3.787878787878788E-2</v>
      </c>
      <c r="BP66" s="78">
        <f t="shared" si="4"/>
        <v>3.787878787878788E-2</v>
      </c>
    </row>
    <row r="67" spans="1:68" x14ac:dyDescent="0.2">
      <c r="A67" s="696"/>
      <c r="B67" s="696"/>
      <c r="C67" s="696"/>
      <c r="D67" s="696"/>
      <c r="E67" s="696"/>
      <c r="F67" s="696"/>
      <c r="G67" s="696"/>
      <c r="H67" s="696"/>
      <c r="I67" s="696"/>
      <c r="J67" s="696"/>
      <c r="K67" s="696"/>
      <c r="L67" s="696"/>
      <c r="M67" s="696"/>
      <c r="N67" s="696"/>
      <c r="O67" s="697"/>
      <c r="P67" s="693" t="s">
        <v>40</v>
      </c>
      <c r="Q67" s="694"/>
      <c r="R67" s="694"/>
      <c r="S67" s="694"/>
      <c r="T67" s="694"/>
      <c r="U67" s="694"/>
      <c r="V67" s="69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18</v>
      </c>
      <c r="Y67" s="43">
        <f>IFERROR(Y59/H59,"0")+IFERROR(Y60/H60,"0")+IFERROR(Y61/H61,"0")+IFERROR(Y62/H62,"0")+IFERROR(Y63/H63,"0")+IFERROR(Y64/H64,"0")+IFERROR(Y65/H65,"0")+IFERROR(Y66/H66,"0")</f>
        <v>18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0.26195999999999997</v>
      </c>
      <c r="AA67" s="67"/>
      <c r="AB67" s="67"/>
      <c r="AC67" s="67"/>
    </row>
    <row r="68" spans="1:68" x14ac:dyDescent="0.2">
      <c r="A68" s="696"/>
      <c r="B68" s="696"/>
      <c r="C68" s="696"/>
      <c r="D68" s="696"/>
      <c r="E68" s="696"/>
      <c r="F68" s="696"/>
      <c r="G68" s="696"/>
      <c r="H68" s="696"/>
      <c r="I68" s="696"/>
      <c r="J68" s="696"/>
      <c r="K68" s="696"/>
      <c r="L68" s="696"/>
      <c r="M68" s="696"/>
      <c r="N68" s="696"/>
      <c r="O68" s="697"/>
      <c r="P68" s="693" t="s">
        <v>40</v>
      </c>
      <c r="Q68" s="694"/>
      <c r="R68" s="694"/>
      <c r="S68" s="694"/>
      <c r="T68" s="694"/>
      <c r="U68" s="694"/>
      <c r="V68" s="695"/>
      <c r="W68" s="42" t="s">
        <v>0</v>
      </c>
      <c r="X68" s="43">
        <f>IFERROR(SUM(X59:X66),"0")</f>
        <v>144.9</v>
      </c>
      <c r="Y68" s="43">
        <f>IFERROR(SUM(Y59:Y66),"0")</f>
        <v>144.9</v>
      </c>
      <c r="Z68" s="42"/>
      <c r="AA68" s="67"/>
      <c r="AB68" s="67"/>
      <c r="AC68" s="67"/>
    </row>
    <row r="69" spans="1:68" ht="14.25" hidden="1" customHeight="1" x14ac:dyDescent="0.25">
      <c r="A69" s="687" t="s">
        <v>166</v>
      </c>
      <c r="B69" s="687"/>
      <c r="C69" s="687"/>
      <c r="D69" s="687"/>
      <c r="E69" s="687"/>
      <c r="F69" s="687"/>
      <c r="G69" s="687"/>
      <c r="H69" s="687"/>
      <c r="I69" s="687"/>
      <c r="J69" s="687"/>
      <c r="K69" s="687"/>
      <c r="L69" s="687"/>
      <c r="M69" s="687"/>
      <c r="N69" s="687"/>
      <c r="O69" s="687"/>
      <c r="P69" s="687"/>
      <c r="Q69" s="687"/>
      <c r="R69" s="687"/>
      <c r="S69" s="687"/>
      <c r="T69" s="687"/>
      <c r="U69" s="687"/>
      <c r="V69" s="687"/>
      <c r="W69" s="687"/>
      <c r="X69" s="687"/>
      <c r="Y69" s="687"/>
      <c r="Z69" s="687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88">
        <v>4680115881440</v>
      </c>
      <c r="E70" s="68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0"/>
      <c r="R70" s="690"/>
      <c r="S70" s="690"/>
      <c r="T70" s="691"/>
      <c r="U70" s="39" t="s">
        <v>46</v>
      </c>
      <c r="V70" s="39" t="s">
        <v>46</v>
      </c>
      <c r="W70" s="40" t="s">
        <v>0</v>
      </c>
      <c r="X70" s="58">
        <v>162</v>
      </c>
      <c r="Y70" s="55">
        <f>IFERROR(IF(X70="",0,CEILING((X70/$H70),1)*$H70),"")</f>
        <v>162</v>
      </c>
      <c r="Z70" s="41">
        <f>IFERROR(IF(Y70=0,"",ROUNDUP(Y70/H70,0)*0.01898),"")</f>
        <v>0.28470000000000001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168.15</v>
      </c>
      <c r="BN70" s="78">
        <f>IFERROR(Y70*I70/H70,"0")</f>
        <v>168.15</v>
      </c>
      <c r="BO70" s="78">
        <f>IFERROR(1/J70*(X70/H70),"0")</f>
        <v>0.23437499999999997</v>
      </c>
      <c r="BP70" s="78">
        <f>IFERROR(1/J70*(Y70/H70),"0")</f>
        <v>0.23437499999999997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8">
        <v>4680115885950</v>
      </c>
      <c r="E71" s="68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0"/>
      <c r="R71" s="690"/>
      <c r="S71" s="690"/>
      <c r="T71" s="69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8">
        <v>4680115887688</v>
      </c>
      <c r="E72" s="68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0"/>
      <c r="R72" s="690"/>
      <c r="S72" s="690"/>
      <c r="T72" s="69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88">
        <v>4680115881433</v>
      </c>
      <c r="E73" s="68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0"/>
      <c r="R73" s="690"/>
      <c r="S73" s="690"/>
      <c r="T73" s="691"/>
      <c r="U73" s="39" t="s">
        <v>46</v>
      </c>
      <c r="V73" s="39" t="s">
        <v>46</v>
      </c>
      <c r="W73" s="40" t="s">
        <v>0</v>
      </c>
      <c r="X73" s="58">
        <v>27</v>
      </c>
      <c r="Y73" s="55">
        <f>IFERROR(IF(X73="",0,CEILING((X73/$H73),1)*$H73),"")</f>
        <v>27</v>
      </c>
      <c r="Z73" s="41">
        <f>IFERROR(IF(Y73=0,"",ROUNDUP(Y73/H73,0)*0.00651),"")</f>
        <v>6.5100000000000005E-2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28.799999999999994</v>
      </c>
      <c r="BN73" s="78">
        <f>IFERROR(Y73*I73/H73,"0")</f>
        <v>28.799999999999994</v>
      </c>
      <c r="BO73" s="78">
        <f>IFERROR(1/J73*(X73/H73),"0")</f>
        <v>5.4945054945054951E-2</v>
      </c>
      <c r="BP73" s="78">
        <f>IFERROR(1/J73*(Y73/H73),"0")</f>
        <v>5.4945054945054951E-2</v>
      </c>
    </row>
    <row r="74" spans="1:68" x14ac:dyDescent="0.2">
      <c r="A74" s="696"/>
      <c r="B74" s="696"/>
      <c r="C74" s="696"/>
      <c r="D74" s="696"/>
      <c r="E74" s="696"/>
      <c r="F74" s="696"/>
      <c r="G74" s="696"/>
      <c r="H74" s="696"/>
      <c r="I74" s="696"/>
      <c r="J74" s="696"/>
      <c r="K74" s="696"/>
      <c r="L74" s="696"/>
      <c r="M74" s="696"/>
      <c r="N74" s="696"/>
      <c r="O74" s="697"/>
      <c r="P74" s="693" t="s">
        <v>40</v>
      </c>
      <c r="Q74" s="694"/>
      <c r="R74" s="694"/>
      <c r="S74" s="694"/>
      <c r="T74" s="694"/>
      <c r="U74" s="694"/>
      <c r="V74" s="695"/>
      <c r="W74" s="42" t="s">
        <v>39</v>
      </c>
      <c r="X74" s="43">
        <f>IFERROR(X70/H70,"0")+IFERROR(X71/H71,"0")+IFERROR(X72/H72,"0")+IFERROR(X73/H73,"0")</f>
        <v>25</v>
      </c>
      <c r="Y74" s="43">
        <f>IFERROR(Y70/H70,"0")+IFERROR(Y71/H71,"0")+IFERROR(Y72/H72,"0")+IFERROR(Y73/H73,"0")</f>
        <v>25</v>
      </c>
      <c r="Z74" s="43">
        <f>IFERROR(IF(Z70="",0,Z70),"0")+IFERROR(IF(Z71="",0,Z71),"0")+IFERROR(IF(Z72="",0,Z72),"0")+IFERROR(IF(Z73="",0,Z73),"0")</f>
        <v>0.3498</v>
      </c>
      <c r="AA74" s="67"/>
      <c r="AB74" s="67"/>
      <c r="AC74" s="67"/>
    </row>
    <row r="75" spans="1:68" x14ac:dyDescent="0.2">
      <c r="A75" s="696"/>
      <c r="B75" s="696"/>
      <c r="C75" s="696"/>
      <c r="D75" s="696"/>
      <c r="E75" s="696"/>
      <c r="F75" s="696"/>
      <c r="G75" s="696"/>
      <c r="H75" s="696"/>
      <c r="I75" s="696"/>
      <c r="J75" s="696"/>
      <c r="K75" s="696"/>
      <c r="L75" s="696"/>
      <c r="M75" s="696"/>
      <c r="N75" s="696"/>
      <c r="O75" s="697"/>
      <c r="P75" s="693" t="s">
        <v>40</v>
      </c>
      <c r="Q75" s="694"/>
      <c r="R75" s="694"/>
      <c r="S75" s="694"/>
      <c r="T75" s="694"/>
      <c r="U75" s="694"/>
      <c r="V75" s="695"/>
      <c r="W75" s="42" t="s">
        <v>0</v>
      </c>
      <c r="X75" s="43">
        <f>IFERROR(SUM(X70:X73),"0")</f>
        <v>189</v>
      </c>
      <c r="Y75" s="43">
        <f>IFERROR(SUM(Y70:Y73),"0")</f>
        <v>189</v>
      </c>
      <c r="Z75" s="42"/>
      <c r="AA75" s="67"/>
      <c r="AB75" s="67"/>
      <c r="AC75" s="67"/>
    </row>
    <row r="76" spans="1:68" ht="14.25" hidden="1" customHeight="1" x14ac:dyDescent="0.25">
      <c r="A76" s="687" t="s">
        <v>86</v>
      </c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87"/>
      <c r="X76" s="687"/>
      <c r="Y76" s="687"/>
      <c r="Z76" s="687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8">
        <v>4680115884311</v>
      </c>
      <c r="E77" s="68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0"/>
      <c r="R77" s="690"/>
      <c r="S77" s="690"/>
      <c r="T77" s="69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88">
        <v>4680115884403</v>
      </c>
      <c r="E78" s="68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0"/>
      <c r="R78" s="690"/>
      <c r="S78" s="690"/>
      <c r="T78" s="691"/>
      <c r="U78" s="39" t="s">
        <v>46</v>
      </c>
      <c r="V78" s="39" t="s">
        <v>46</v>
      </c>
      <c r="W78" s="40" t="s">
        <v>0</v>
      </c>
      <c r="X78" s="58">
        <v>1.8</v>
      </c>
      <c r="Y78" s="55">
        <f>IFERROR(IF(X78="",0,CEILING((X78/$H78),1)*$H78),"")</f>
        <v>1.8</v>
      </c>
      <c r="Z78" s="41">
        <f>IFERROR(IF(Y78=0,"",ROUNDUP(Y78/H78,0)*0.00651),"")</f>
        <v>6.5100000000000002E-3</v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1.98</v>
      </c>
      <c r="BN78" s="78">
        <f>IFERROR(Y78*I78/H78,"0")</f>
        <v>1.98</v>
      </c>
      <c r="BO78" s="78">
        <f>IFERROR(1/J78*(X78/H78),"0")</f>
        <v>5.4945054945054949E-3</v>
      </c>
      <c r="BP78" s="78">
        <f>IFERROR(1/J78*(Y78/H78),"0")</f>
        <v>5.4945054945054949E-3</v>
      </c>
    </row>
    <row r="79" spans="1:68" x14ac:dyDescent="0.2">
      <c r="A79" s="696"/>
      <c r="B79" s="696"/>
      <c r="C79" s="696"/>
      <c r="D79" s="696"/>
      <c r="E79" s="696"/>
      <c r="F79" s="696"/>
      <c r="G79" s="696"/>
      <c r="H79" s="696"/>
      <c r="I79" s="696"/>
      <c r="J79" s="696"/>
      <c r="K79" s="696"/>
      <c r="L79" s="696"/>
      <c r="M79" s="696"/>
      <c r="N79" s="696"/>
      <c r="O79" s="697"/>
      <c r="P79" s="693" t="s">
        <v>40</v>
      </c>
      <c r="Q79" s="694"/>
      <c r="R79" s="694"/>
      <c r="S79" s="694"/>
      <c r="T79" s="694"/>
      <c r="U79" s="694"/>
      <c r="V79" s="695"/>
      <c r="W79" s="42" t="s">
        <v>39</v>
      </c>
      <c r="X79" s="43">
        <f>IFERROR(X77/H77,"0")+IFERROR(X78/H78,"0")</f>
        <v>1</v>
      </c>
      <c r="Y79" s="43">
        <f>IFERROR(Y77/H77,"0")+IFERROR(Y78/H78,"0")</f>
        <v>1</v>
      </c>
      <c r="Z79" s="43">
        <f>IFERROR(IF(Z77="",0,Z77),"0")+IFERROR(IF(Z78="",0,Z78),"0")</f>
        <v>6.5100000000000002E-3</v>
      </c>
      <c r="AA79" s="67"/>
      <c r="AB79" s="67"/>
      <c r="AC79" s="67"/>
    </row>
    <row r="80" spans="1:68" x14ac:dyDescent="0.2">
      <c r="A80" s="696"/>
      <c r="B80" s="696"/>
      <c r="C80" s="696"/>
      <c r="D80" s="696"/>
      <c r="E80" s="696"/>
      <c r="F80" s="696"/>
      <c r="G80" s="696"/>
      <c r="H80" s="696"/>
      <c r="I80" s="696"/>
      <c r="J80" s="696"/>
      <c r="K80" s="696"/>
      <c r="L80" s="696"/>
      <c r="M80" s="696"/>
      <c r="N80" s="696"/>
      <c r="O80" s="697"/>
      <c r="P80" s="693" t="s">
        <v>40</v>
      </c>
      <c r="Q80" s="694"/>
      <c r="R80" s="694"/>
      <c r="S80" s="694"/>
      <c r="T80" s="694"/>
      <c r="U80" s="694"/>
      <c r="V80" s="695"/>
      <c r="W80" s="42" t="s">
        <v>0</v>
      </c>
      <c r="X80" s="43">
        <f>IFERROR(SUM(X77:X78),"0")</f>
        <v>1.8</v>
      </c>
      <c r="Y80" s="43">
        <f>IFERROR(SUM(Y77:Y78),"0")</f>
        <v>1.8</v>
      </c>
      <c r="Z80" s="42"/>
      <c r="AA80" s="67"/>
      <c r="AB80" s="67"/>
      <c r="AC80" s="67"/>
    </row>
    <row r="81" spans="1:68" ht="14.25" hidden="1" customHeight="1" x14ac:dyDescent="0.25">
      <c r="A81" s="687" t="s">
        <v>183</v>
      </c>
      <c r="B81" s="687"/>
      <c r="C81" s="687"/>
      <c r="D81" s="687"/>
      <c r="E81" s="687"/>
      <c r="F81" s="687"/>
      <c r="G81" s="687"/>
      <c r="H81" s="687"/>
      <c r="I81" s="687"/>
      <c r="J81" s="687"/>
      <c r="K81" s="687"/>
      <c r="L81" s="687"/>
      <c r="M81" s="687"/>
      <c r="N81" s="687"/>
      <c r="O81" s="687"/>
      <c r="P81" s="687"/>
      <c r="Q81" s="687"/>
      <c r="R81" s="687"/>
      <c r="S81" s="687"/>
      <c r="T81" s="687"/>
      <c r="U81" s="687"/>
      <c r="V81" s="687"/>
      <c r="W81" s="687"/>
      <c r="X81" s="687"/>
      <c r="Y81" s="687"/>
      <c r="Z81" s="687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88">
        <v>4680115881532</v>
      </c>
      <c r="E82" s="68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0"/>
      <c r="R82" s="690"/>
      <c r="S82" s="690"/>
      <c r="T82" s="691"/>
      <c r="U82" s="39" t="s">
        <v>46</v>
      </c>
      <c r="V82" s="39" t="s">
        <v>46</v>
      </c>
      <c r="W82" s="40" t="s">
        <v>0</v>
      </c>
      <c r="X82" s="58">
        <v>7.8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8.2100000000000009</v>
      </c>
      <c r="BN82" s="78">
        <f>IFERROR(Y82*I82/H82,"0")</f>
        <v>8.2100000000000009</v>
      </c>
      <c r="BO82" s="78">
        <f>IFERROR(1/J82*(X82/H82),"0")</f>
        <v>1.5625E-2</v>
      </c>
      <c r="BP82" s="78">
        <f>IFERROR(1/J82*(Y82/H82),"0")</f>
        <v>1.5625E-2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8">
        <v>4680115881464</v>
      </c>
      <c r="E83" s="688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0"/>
      <c r="R83" s="690"/>
      <c r="S83" s="690"/>
      <c r="T83" s="69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6"/>
      <c r="B84" s="696"/>
      <c r="C84" s="696"/>
      <c r="D84" s="696"/>
      <c r="E84" s="696"/>
      <c r="F84" s="696"/>
      <c r="G84" s="696"/>
      <c r="H84" s="696"/>
      <c r="I84" s="696"/>
      <c r="J84" s="696"/>
      <c r="K84" s="696"/>
      <c r="L84" s="696"/>
      <c r="M84" s="696"/>
      <c r="N84" s="696"/>
      <c r="O84" s="697"/>
      <c r="P84" s="693" t="s">
        <v>40</v>
      </c>
      <c r="Q84" s="694"/>
      <c r="R84" s="694"/>
      <c r="S84" s="694"/>
      <c r="T84" s="694"/>
      <c r="U84" s="694"/>
      <c r="V84" s="695"/>
      <c r="W84" s="42" t="s">
        <v>39</v>
      </c>
      <c r="X84" s="43">
        <f>IFERROR(X82/H82,"0")+IFERROR(X83/H83,"0")</f>
        <v>1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696"/>
      <c r="B85" s="696"/>
      <c r="C85" s="696"/>
      <c r="D85" s="696"/>
      <c r="E85" s="696"/>
      <c r="F85" s="696"/>
      <c r="G85" s="696"/>
      <c r="H85" s="696"/>
      <c r="I85" s="696"/>
      <c r="J85" s="696"/>
      <c r="K85" s="696"/>
      <c r="L85" s="696"/>
      <c r="M85" s="696"/>
      <c r="N85" s="696"/>
      <c r="O85" s="697"/>
      <c r="P85" s="693" t="s">
        <v>40</v>
      </c>
      <c r="Q85" s="694"/>
      <c r="R85" s="694"/>
      <c r="S85" s="694"/>
      <c r="T85" s="694"/>
      <c r="U85" s="694"/>
      <c r="V85" s="695"/>
      <c r="W85" s="42" t="s">
        <v>0</v>
      </c>
      <c r="X85" s="43">
        <f>IFERROR(SUM(X82:X83),"0")</f>
        <v>7.8</v>
      </c>
      <c r="Y85" s="43">
        <f>IFERROR(SUM(Y82:Y83),"0")</f>
        <v>7.8</v>
      </c>
      <c r="Z85" s="42"/>
      <c r="AA85" s="67"/>
      <c r="AB85" s="67"/>
      <c r="AC85" s="67"/>
    </row>
    <row r="86" spans="1:68" ht="16.5" hidden="1" customHeight="1" x14ac:dyDescent="0.25">
      <c r="A86" s="686" t="s">
        <v>190</v>
      </c>
      <c r="B86" s="686"/>
      <c r="C86" s="686"/>
      <c r="D86" s="686"/>
      <c r="E86" s="686"/>
      <c r="F86" s="686"/>
      <c r="G86" s="686"/>
      <c r="H86" s="686"/>
      <c r="I86" s="686"/>
      <c r="J86" s="686"/>
      <c r="K86" s="686"/>
      <c r="L86" s="686"/>
      <c r="M86" s="686"/>
      <c r="N86" s="686"/>
      <c r="O86" s="686"/>
      <c r="P86" s="686"/>
      <c r="Q86" s="686"/>
      <c r="R86" s="686"/>
      <c r="S86" s="686"/>
      <c r="T86" s="686"/>
      <c r="U86" s="686"/>
      <c r="V86" s="686"/>
      <c r="W86" s="686"/>
      <c r="X86" s="686"/>
      <c r="Y86" s="686"/>
      <c r="Z86" s="686"/>
      <c r="AA86" s="65"/>
      <c r="AB86" s="65"/>
      <c r="AC86" s="79"/>
    </row>
    <row r="87" spans="1:68" ht="14.25" hidden="1" customHeight="1" x14ac:dyDescent="0.25">
      <c r="A87" s="687" t="s">
        <v>129</v>
      </c>
      <c r="B87" s="687"/>
      <c r="C87" s="687"/>
      <c r="D87" s="687"/>
      <c r="E87" s="687"/>
      <c r="F87" s="687"/>
      <c r="G87" s="687"/>
      <c r="H87" s="687"/>
      <c r="I87" s="687"/>
      <c r="J87" s="687"/>
      <c r="K87" s="687"/>
      <c r="L87" s="687"/>
      <c r="M87" s="687"/>
      <c r="N87" s="687"/>
      <c r="O87" s="687"/>
      <c r="P87" s="687"/>
      <c r="Q87" s="687"/>
      <c r="R87" s="687"/>
      <c r="S87" s="687"/>
      <c r="T87" s="687"/>
      <c r="U87" s="687"/>
      <c r="V87" s="687"/>
      <c r="W87" s="687"/>
      <c r="X87" s="687"/>
      <c r="Y87" s="687"/>
      <c r="Z87" s="687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88">
        <v>4680115881327</v>
      </c>
      <c r="E88" s="688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0"/>
      <c r="R88" s="690"/>
      <c r="S88" s="690"/>
      <c r="T88" s="691"/>
      <c r="U88" s="39" t="s">
        <v>46</v>
      </c>
      <c r="V88" s="39" t="s">
        <v>46</v>
      </c>
      <c r="W88" s="40" t="s">
        <v>0</v>
      </c>
      <c r="X88" s="58">
        <v>129.6</v>
      </c>
      <c r="Y88" s="55">
        <f>IFERROR(IF(X88="",0,CEILING((X88/$H88),1)*$H88),"")</f>
        <v>129.60000000000002</v>
      </c>
      <c r="Z88" s="41">
        <f>IFERROR(IF(Y88=0,"",ROUNDUP(Y88/H88,0)*0.01898),"")</f>
        <v>0.22776000000000002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134.51999999999998</v>
      </c>
      <c r="BN88" s="78">
        <f>IFERROR(Y88*I88/H88,"0")</f>
        <v>134.52000000000001</v>
      </c>
      <c r="BO88" s="78">
        <f>IFERROR(1/J88*(X88/H88),"0")</f>
        <v>0.18749999999999997</v>
      </c>
      <c r="BP88" s="78">
        <f>IFERROR(1/J88*(Y88/H88),"0")</f>
        <v>0.18750000000000003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8">
        <v>4680115887732</v>
      </c>
      <c r="E89" s="688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3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0"/>
      <c r="R89" s="690"/>
      <c r="S89" s="690"/>
      <c r="T89" s="691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8">
        <v>4680115881518</v>
      </c>
      <c r="E90" s="688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0"/>
      <c r="R90" s="690"/>
      <c r="S90" s="690"/>
      <c r="T90" s="691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88">
        <v>4680115881303</v>
      </c>
      <c r="E91" s="688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0"/>
      <c r="R91" s="690"/>
      <c r="S91" s="690"/>
      <c r="T91" s="691"/>
      <c r="U91" s="39" t="s">
        <v>46</v>
      </c>
      <c r="V91" s="39" t="s">
        <v>46</v>
      </c>
      <c r="W91" s="40" t="s">
        <v>0</v>
      </c>
      <c r="X91" s="58">
        <v>27</v>
      </c>
      <c r="Y91" s="55">
        <f>IFERROR(IF(X91="",0,CEILING((X91/$H91),1)*$H91),"")</f>
        <v>27</v>
      </c>
      <c r="Z91" s="41">
        <f>IFERROR(IF(Y91=0,"",ROUNDUP(Y91/H91,0)*0.00902),"")</f>
        <v>5.4120000000000001E-2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28.14</v>
      </c>
      <c r="BN91" s="78">
        <f>IFERROR(Y91*I91/H91,"0")</f>
        <v>28.14</v>
      </c>
      <c r="BO91" s="78">
        <f>IFERROR(1/J91*(X91/H91),"0")</f>
        <v>4.5454545454545456E-2</v>
      </c>
      <c r="BP91" s="78">
        <f>IFERROR(1/J91*(Y91/H91),"0")</f>
        <v>4.5454545454545456E-2</v>
      </c>
    </row>
    <row r="92" spans="1:68" x14ac:dyDescent="0.2">
      <c r="A92" s="696"/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7"/>
      <c r="P92" s="693" t="s">
        <v>40</v>
      </c>
      <c r="Q92" s="694"/>
      <c r="R92" s="694"/>
      <c r="S92" s="694"/>
      <c r="T92" s="694"/>
      <c r="U92" s="694"/>
      <c r="V92" s="695"/>
      <c r="W92" s="42" t="s">
        <v>39</v>
      </c>
      <c r="X92" s="43">
        <f>IFERROR(X88/H88,"0")+IFERROR(X89/H89,"0")+IFERROR(X90/H90,"0")+IFERROR(X91/H91,"0")</f>
        <v>18</v>
      </c>
      <c r="Y92" s="43">
        <f>IFERROR(Y88/H88,"0")+IFERROR(Y89/H89,"0")+IFERROR(Y90/H90,"0")+IFERROR(Y91/H91,"0")</f>
        <v>18</v>
      </c>
      <c r="Z92" s="43">
        <f>IFERROR(IF(Z88="",0,Z88),"0")+IFERROR(IF(Z89="",0,Z89),"0")+IFERROR(IF(Z90="",0,Z90),"0")+IFERROR(IF(Z91="",0,Z91),"0")</f>
        <v>0.28188000000000002</v>
      </c>
      <c r="AA92" s="67"/>
      <c r="AB92" s="67"/>
      <c r="AC92" s="67"/>
    </row>
    <row r="93" spans="1:68" x14ac:dyDescent="0.2">
      <c r="A93" s="696"/>
      <c r="B93" s="696"/>
      <c r="C93" s="696"/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96"/>
      <c r="O93" s="697"/>
      <c r="P93" s="693" t="s">
        <v>40</v>
      </c>
      <c r="Q93" s="694"/>
      <c r="R93" s="694"/>
      <c r="S93" s="694"/>
      <c r="T93" s="694"/>
      <c r="U93" s="694"/>
      <c r="V93" s="695"/>
      <c r="W93" s="42" t="s">
        <v>0</v>
      </c>
      <c r="X93" s="43">
        <f>IFERROR(SUM(X88:X91),"0")</f>
        <v>156.6</v>
      </c>
      <c r="Y93" s="43">
        <f>IFERROR(SUM(Y88:Y91),"0")</f>
        <v>156.60000000000002</v>
      </c>
      <c r="Z93" s="42"/>
      <c r="AA93" s="67"/>
      <c r="AB93" s="67"/>
      <c r="AC93" s="67"/>
    </row>
    <row r="94" spans="1:68" ht="14.25" hidden="1" customHeight="1" x14ac:dyDescent="0.25">
      <c r="A94" s="687" t="s">
        <v>86</v>
      </c>
      <c r="B94" s="687"/>
      <c r="C94" s="687"/>
      <c r="D94" s="687"/>
      <c r="E94" s="687"/>
      <c r="F94" s="687"/>
      <c r="G94" s="687"/>
      <c r="H94" s="687"/>
      <c r="I94" s="687"/>
      <c r="J94" s="687"/>
      <c r="K94" s="687"/>
      <c r="L94" s="687"/>
      <c r="M94" s="687"/>
      <c r="N94" s="687"/>
      <c r="O94" s="687"/>
      <c r="P94" s="687"/>
      <c r="Q94" s="687"/>
      <c r="R94" s="687"/>
      <c r="S94" s="687"/>
      <c r="T94" s="687"/>
      <c r="U94" s="687"/>
      <c r="V94" s="687"/>
      <c r="W94" s="687"/>
      <c r="X94" s="687"/>
      <c r="Y94" s="687"/>
      <c r="Z94" s="687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88">
        <v>4607091386967</v>
      </c>
      <c r="E95" s="688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0"/>
      <c r="R95" s="690"/>
      <c r="S95" s="690"/>
      <c r="T95" s="691"/>
      <c r="U95" s="39" t="s">
        <v>46</v>
      </c>
      <c r="V95" s="39" t="s">
        <v>46</v>
      </c>
      <c r="W95" s="40" t="s">
        <v>0</v>
      </c>
      <c r="X95" s="58">
        <v>56.7</v>
      </c>
      <c r="Y95" s="55">
        <f>IFERROR(IF(X95="",0,CEILING((X95/$H95),1)*$H95),"")</f>
        <v>56.699999999999996</v>
      </c>
      <c r="Z95" s="41">
        <f>IFERROR(IF(Y95=0,"",ROUNDUP(Y95/H95,0)*0.01898),"")</f>
        <v>0.13286000000000001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60.158000000000001</v>
      </c>
      <c r="BN95" s="78">
        <f>IFERROR(Y95*I95/H95,"0")</f>
        <v>60.157999999999994</v>
      </c>
      <c r="BO95" s="78">
        <f>IFERROR(1/J95*(X95/H95),"0")</f>
        <v>0.10937500000000001</v>
      </c>
      <c r="BP95" s="78">
        <f>IFERROR(1/J95*(Y95/H95),"0")</f>
        <v>0.109375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8">
        <v>4680115884953</v>
      </c>
      <c r="E96" s="688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0"/>
      <c r="R96" s="690"/>
      <c r="S96" s="690"/>
      <c r="T96" s="691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88">
        <v>4607091385731</v>
      </c>
      <c r="E97" s="688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0"/>
      <c r="R97" s="690"/>
      <c r="S97" s="690"/>
      <c r="T97" s="691"/>
      <c r="U97" s="39" t="s">
        <v>46</v>
      </c>
      <c r="V97" s="39" t="s">
        <v>46</v>
      </c>
      <c r="W97" s="40" t="s">
        <v>0</v>
      </c>
      <c r="X97" s="58">
        <v>2.7</v>
      </c>
      <c r="Y97" s="55">
        <f>IFERROR(IF(X97="",0,CEILING((X97/$H97),1)*$H97),"")</f>
        <v>2.7</v>
      </c>
      <c r="Z97" s="41">
        <f>IFERROR(IF(Y97=0,"",ROUNDUP(Y97/H97,0)*0.00651),"")</f>
        <v>6.5100000000000002E-3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2.952</v>
      </c>
      <c r="BN97" s="78">
        <f>IFERROR(Y97*I97/H97,"0")</f>
        <v>2.952</v>
      </c>
      <c r="BO97" s="78">
        <f>IFERROR(1/J97*(X97/H97),"0")</f>
        <v>5.4945054945054949E-3</v>
      </c>
      <c r="BP97" s="78">
        <f>IFERROR(1/J97*(Y97/H97),"0")</f>
        <v>5.4945054945054949E-3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88">
        <v>4680115880894</v>
      </c>
      <c r="E98" s="688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0"/>
      <c r="R98" s="690"/>
      <c r="S98" s="690"/>
      <c r="T98" s="691"/>
      <c r="U98" s="39" t="s">
        <v>46</v>
      </c>
      <c r="V98" s="39" t="s">
        <v>46</v>
      </c>
      <c r="W98" s="40" t="s">
        <v>0</v>
      </c>
      <c r="X98" s="58">
        <v>1.98</v>
      </c>
      <c r="Y98" s="55">
        <f>IFERROR(IF(X98="",0,CEILING((X98/$H98),1)*$H98),"")</f>
        <v>1.98</v>
      </c>
      <c r="Z98" s="41">
        <f>IFERROR(IF(Y98=0,"",ROUNDUP(Y98/H98,0)*0.00651),"")</f>
        <v>6.5100000000000002E-3</v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2.238</v>
      </c>
      <c r="BN98" s="78">
        <f>IFERROR(Y98*I98/H98,"0")</f>
        <v>2.238</v>
      </c>
      <c r="BO98" s="78">
        <f>IFERROR(1/J98*(X98/H98),"0")</f>
        <v>5.4945054945054949E-3</v>
      </c>
      <c r="BP98" s="78">
        <f>IFERROR(1/J98*(Y98/H98),"0")</f>
        <v>5.4945054945054949E-3</v>
      </c>
    </row>
    <row r="99" spans="1:68" x14ac:dyDescent="0.2">
      <c r="A99" s="696"/>
      <c r="B99" s="696"/>
      <c r="C99" s="696"/>
      <c r="D99" s="696"/>
      <c r="E99" s="696"/>
      <c r="F99" s="696"/>
      <c r="G99" s="696"/>
      <c r="H99" s="696"/>
      <c r="I99" s="696"/>
      <c r="J99" s="696"/>
      <c r="K99" s="696"/>
      <c r="L99" s="696"/>
      <c r="M99" s="696"/>
      <c r="N99" s="696"/>
      <c r="O99" s="697"/>
      <c r="P99" s="693" t="s">
        <v>40</v>
      </c>
      <c r="Q99" s="694"/>
      <c r="R99" s="694"/>
      <c r="S99" s="694"/>
      <c r="T99" s="694"/>
      <c r="U99" s="694"/>
      <c r="V99" s="695"/>
      <c r="W99" s="42" t="s">
        <v>39</v>
      </c>
      <c r="X99" s="43">
        <f>IFERROR(X95/H95,"0")+IFERROR(X96/H96,"0")+IFERROR(X97/H97,"0")+IFERROR(X98/H98,"0")</f>
        <v>9</v>
      </c>
      <c r="Y99" s="43">
        <f>IFERROR(Y95/H95,"0")+IFERROR(Y96/H96,"0")+IFERROR(Y97/H97,"0")+IFERROR(Y98/H98,"0")</f>
        <v>9</v>
      </c>
      <c r="Z99" s="43">
        <f>IFERROR(IF(Z95="",0,Z95),"0")+IFERROR(IF(Z96="",0,Z96),"0")+IFERROR(IF(Z97="",0,Z97),"0")+IFERROR(IF(Z98="",0,Z98),"0")</f>
        <v>0.14587999999999998</v>
      </c>
      <c r="AA99" s="67"/>
      <c r="AB99" s="67"/>
      <c r="AC99" s="67"/>
    </row>
    <row r="100" spans="1:68" x14ac:dyDescent="0.2">
      <c r="A100" s="696"/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7"/>
      <c r="P100" s="693" t="s">
        <v>40</v>
      </c>
      <c r="Q100" s="694"/>
      <c r="R100" s="694"/>
      <c r="S100" s="694"/>
      <c r="T100" s="694"/>
      <c r="U100" s="694"/>
      <c r="V100" s="695"/>
      <c r="W100" s="42" t="s">
        <v>0</v>
      </c>
      <c r="X100" s="43">
        <f>IFERROR(SUM(X95:X98),"0")</f>
        <v>61.38</v>
      </c>
      <c r="Y100" s="43">
        <f>IFERROR(SUM(Y95:Y98),"0")</f>
        <v>61.379999999999995</v>
      </c>
      <c r="Z100" s="42"/>
      <c r="AA100" s="67"/>
      <c r="AB100" s="67"/>
      <c r="AC100" s="67"/>
    </row>
    <row r="101" spans="1:68" ht="16.5" hidden="1" customHeight="1" x14ac:dyDescent="0.25">
      <c r="A101" s="686" t="s">
        <v>211</v>
      </c>
      <c r="B101" s="686"/>
      <c r="C101" s="686"/>
      <c r="D101" s="686"/>
      <c r="E101" s="686"/>
      <c r="F101" s="686"/>
      <c r="G101" s="686"/>
      <c r="H101" s="686"/>
      <c r="I101" s="686"/>
      <c r="J101" s="686"/>
      <c r="K101" s="686"/>
      <c r="L101" s="686"/>
      <c r="M101" s="686"/>
      <c r="N101" s="686"/>
      <c r="O101" s="686"/>
      <c r="P101" s="686"/>
      <c r="Q101" s="686"/>
      <c r="R101" s="686"/>
      <c r="S101" s="686"/>
      <c r="T101" s="686"/>
      <c r="U101" s="686"/>
      <c r="V101" s="686"/>
      <c r="W101" s="686"/>
      <c r="X101" s="686"/>
      <c r="Y101" s="686"/>
      <c r="Z101" s="686"/>
      <c r="AA101" s="65"/>
      <c r="AB101" s="65"/>
      <c r="AC101" s="79"/>
    </row>
    <row r="102" spans="1:68" ht="14.25" hidden="1" customHeight="1" x14ac:dyDescent="0.25">
      <c r="A102" s="687" t="s">
        <v>129</v>
      </c>
      <c r="B102" s="687"/>
      <c r="C102" s="687"/>
      <c r="D102" s="687"/>
      <c r="E102" s="687"/>
      <c r="F102" s="687"/>
      <c r="G102" s="687"/>
      <c r="H102" s="687"/>
      <c r="I102" s="687"/>
      <c r="J102" s="687"/>
      <c r="K102" s="687"/>
      <c r="L102" s="687"/>
      <c r="M102" s="687"/>
      <c r="N102" s="687"/>
      <c r="O102" s="687"/>
      <c r="P102" s="687"/>
      <c r="Q102" s="687"/>
      <c r="R102" s="687"/>
      <c r="S102" s="687"/>
      <c r="T102" s="687"/>
      <c r="U102" s="687"/>
      <c r="V102" s="687"/>
      <c r="W102" s="687"/>
      <c r="X102" s="687"/>
      <c r="Y102" s="687"/>
      <c r="Z102" s="687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88">
        <v>4680115882133</v>
      </c>
      <c r="E103" s="688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0"/>
      <c r="R103" s="690"/>
      <c r="S103" s="690"/>
      <c r="T103" s="691"/>
      <c r="U103" s="39" t="s">
        <v>46</v>
      </c>
      <c r="V103" s="39" t="s">
        <v>46</v>
      </c>
      <c r="W103" s="40" t="s">
        <v>0</v>
      </c>
      <c r="X103" s="58">
        <v>54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56.05</v>
      </c>
      <c r="BN103" s="78">
        <f t="shared" ref="BN103:BN108" si="7">IFERROR(Y103*I103/H103,"0")</f>
        <v>56.05</v>
      </c>
      <c r="BO103" s="78">
        <f t="shared" ref="BO103:BO108" si="8">IFERROR(1/J103*(X103/H103),"0")</f>
        <v>7.8125E-2</v>
      </c>
      <c r="BP103" s="78">
        <f t="shared" ref="BP103:BP108" si="9">IFERROR(1/J103*(Y103/H103),"0")</f>
        <v>7.8125E-2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8">
        <v>4680115887718</v>
      </c>
      <c r="E104" s="688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0"/>
      <c r="R104" s="690"/>
      <c r="S104" s="690"/>
      <c r="T104" s="691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8">
        <v>4680115887718</v>
      </c>
      <c r="E105" s="688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0"/>
      <c r="R105" s="690"/>
      <c r="S105" s="690"/>
      <c r="T105" s="691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8">
        <v>4680115880269</v>
      </c>
      <c r="E106" s="688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0"/>
      <c r="R106" s="690"/>
      <c r="S106" s="690"/>
      <c r="T106" s="69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8">
        <v>4680115880429</v>
      </c>
      <c r="E107" s="688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0"/>
      <c r="R107" s="690"/>
      <c r="S107" s="690"/>
      <c r="T107" s="69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88">
        <v>4680115881457</v>
      </c>
      <c r="E108" s="688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0"/>
      <c r="R108" s="690"/>
      <c r="S108" s="690"/>
      <c r="T108" s="691"/>
      <c r="U108" s="39" t="s">
        <v>46</v>
      </c>
      <c r="V108" s="39" t="s">
        <v>46</v>
      </c>
      <c r="W108" s="40" t="s">
        <v>0</v>
      </c>
      <c r="X108" s="58">
        <v>9</v>
      </c>
      <c r="Y108" s="55">
        <f t="shared" si="5"/>
        <v>9</v>
      </c>
      <c r="Z108" s="41">
        <f>IFERROR(IF(Y108=0,"",ROUNDUP(Y108/H108,0)*0.00902),"")</f>
        <v>1.804E-2</v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9.3800000000000008</v>
      </c>
      <c r="BN108" s="78">
        <f t="shared" si="7"/>
        <v>9.3800000000000008</v>
      </c>
      <c r="BO108" s="78">
        <f t="shared" si="8"/>
        <v>1.5151515151515152E-2</v>
      </c>
      <c r="BP108" s="78">
        <f t="shared" si="9"/>
        <v>1.5151515151515152E-2</v>
      </c>
    </row>
    <row r="109" spans="1:68" x14ac:dyDescent="0.2">
      <c r="A109" s="696"/>
      <c r="B109" s="696"/>
      <c r="C109" s="696"/>
      <c r="D109" s="696"/>
      <c r="E109" s="696"/>
      <c r="F109" s="696"/>
      <c r="G109" s="696"/>
      <c r="H109" s="696"/>
      <c r="I109" s="696"/>
      <c r="J109" s="696"/>
      <c r="K109" s="696"/>
      <c r="L109" s="696"/>
      <c r="M109" s="696"/>
      <c r="N109" s="696"/>
      <c r="O109" s="697"/>
      <c r="P109" s="693" t="s">
        <v>40</v>
      </c>
      <c r="Q109" s="694"/>
      <c r="R109" s="694"/>
      <c r="S109" s="694"/>
      <c r="T109" s="694"/>
      <c r="U109" s="694"/>
      <c r="V109" s="695"/>
      <c r="W109" s="42" t="s">
        <v>39</v>
      </c>
      <c r="X109" s="43">
        <f>IFERROR(X103/H103,"0")+IFERROR(X104/H104,"0")+IFERROR(X105/H105,"0")+IFERROR(X106/H106,"0")+IFERROR(X107/H107,"0")+IFERROR(X108/H108,"0")</f>
        <v>7</v>
      </c>
      <c r="Y109" s="43">
        <f>IFERROR(Y103/H103,"0")+IFERROR(Y104/H104,"0")+IFERROR(Y105/H105,"0")+IFERROR(Y106/H106,"0")+IFERROR(Y107/H107,"0")+IFERROR(Y108/H108,"0")</f>
        <v>7</v>
      </c>
      <c r="Z109" s="43">
        <f>IFERROR(IF(Z103="",0,Z103),"0")+IFERROR(IF(Z104="",0,Z104),"0")+IFERROR(IF(Z105="",0,Z105),"0")+IFERROR(IF(Z106="",0,Z106),"0")+IFERROR(IF(Z107="",0,Z107),"0")+IFERROR(IF(Z108="",0,Z108),"0")</f>
        <v>0.11294</v>
      </c>
      <c r="AA109" s="67"/>
      <c r="AB109" s="67"/>
      <c r="AC109" s="67"/>
    </row>
    <row r="110" spans="1:68" x14ac:dyDescent="0.2">
      <c r="A110" s="696"/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7"/>
      <c r="P110" s="693" t="s">
        <v>40</v>
      </c>
      <c r="Q110" s="694"/>
      <c r="R110" s="694"/>
      <c r="S110" s="694"/>
      <c r="T110" s="694"/>
      <c r="U110" s="694"/>
      <c r="V110" s="695"/>
      <c r="W110" s="42" t="s">
        <v>0</v>
      </c>
      <c r="X110" s="43">
        <f>IFERROR(SUM(X103:X108),"0")</f>
        <v>63</v>
      </c>
      <c r="Y110" s="43">
        <f>IFERROR(SUM(Y103:Y108),"0")</f>
        <v>63</v>
      </c>
      <c r="Z110" s="42"/>
      <c r="AA110" s="67"/>
      <c r="AB110" s="67"/>
      <c r="AC110" s="67"/>
    </row>
    <row r="111" spans="1:68" ht="14.25" hidden="1" customHeight="1" x14ac:dyDescent="0.25">
      <c r="A111" s="687" t="s">
        <v>166</v>
      </c>
      <c r="B111" s="687"/>
      <c r="C111" s="687"/>
      <c r="D111" s="687"/>
      <c r="E111" s="687"/>
      <c r="F111" s="687"/>
      <c r="G111" s="687"/>
      <c r="H111" s="687"/>
      <c r="I111" s="687"/>
      <c r="J111" s="687"/>
      <c r="K111" s="687"/>
      <c r="L111" s="687"/>
      <c r="M111" s="687"/>
      <c r="N111" s="687"/>
      <c r="O111" s="687"/>
      <c r="P111" s="687"/>
      <c r="Q111" s="687"/>
      <c r="R111" s="687"/>
      <c r="S111" s="687"/>
      <c r="T111" s="687"/>
      <c r="U111" s="687"/>
      <c r="V111" s="687"/>
      <c r="W111" s="687"/>
      <c r="X111" s="687"/>
      <c r="Y111" s="687"/>
      <c r="Z111" s="687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88">
        <v>4680115881488</v>
      </c>
      <c r="E112" s="688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90"/>
      <c r="R112" s="690"/>
      <c r="S112" s="690"/>
      <c r="T112" s="691"/>
      <c r="U112" s="39" t="s">
        <v>46</v>
      </c>
      <c r="V112" s="39" t="s">
        <v>46</v>
      </c>
      <c r="W112" s="40" t="s">
        <v>0</v>
      </c>
      <c r="X112" s="58">
        <v>21.6</v>
      </c>
      <c r="Y112" s="55">
        <f t="shared" ref="Y112:Y118" si="10">IFERROR(IF(X112="",0,CEILING((X112/$H112),1)*$H112),"")</f>
        <v>21.6</v>
      </c>
      <c r="Z112" s="41">
        <f>IFERROR(IF(Y112=0,"",ROUNDUP(Y112/H112,0)*0.01898),"")</f>
        <v>3.7960000000000001E-2</v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22.42</v>
      </c>
      <c r="BN112" s="78">
        <f t="shared" ref="BN112:BN118" si="12">IFERROR(Y112*I112/H112,"0")</f>
        <v>22.42</v>
      </c>
      <c r="BO112" s="78">
        <f t="shared" ref="BO112:BO118" si="13">IFERROR(1/J112*(X112/H112),"0")</f>
        <v>3.125E-2</v>
      </c>
      <c r="BP112" s="78">
        <f t="shared" ref="BP112:BP118" si="14">IFERROR(1/J112*(Y112/H112),"0")</f>
        <v>3.125E-2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8">
        <v>4680115881488</v>
      </c>
      <c r="E113" s="688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90"/>
      <c r="R113" s="690"/>
      <c r="S113" s="690"/>
      <c r="T113" s="691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8">
        <v>4680115887664</v>
      </c>
      <c r="E114" s="688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0"/>
      <c r="R114" s="690"/>
      <c r="S114" s="690"/>
      <c r="T114" s="691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8">
        <v>4680115887664</v>
      </c>
      <c r="E115" s="688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90"/>
      <c r="R115" s="690"/>
      <c r="S115" s="690"/>
      <c r="T115" s="691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8">
        <v>4680115882775</v>
      </c>
      <c r="E116" s="688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90"/>
      <c r="R116" s="690"/>
      <c r="S116" s="690"/>
      <c r="T116" s="691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88">
        <v>4680115880658</v>
      </c>
      <c r="E117" s="688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90"/>
      <c r="R117" s="690"/>
      <c r="S117" s="690"/>
      <c r="T117" s="691"/>
      <c r="U117" s="39" t="s">
        <v>46</v>
      </c>
      <c r="V117" s="39" t="s">
        <v>46</v>
      </c>
      <c r="W117" s="40" t="s">
        <v>0</v>
      </c>
      <c r="X117" s="58">
        <v>7.2</v>
      </c>
      <c r="Y117" s="55">
        <f t="shared" si="10"/>
        <v>7.1999999999999993</v>
      </c>
      <c r="Z117" s="41">
        <f>IFERROR(IF(Y117=0,"",ROUNDUP(Y117/H117,0)*0.00651),"")</f>
        <v>1.9529999999999999E-2</v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7.74</v>
      </c>
      <c r="BN117" s="78">
        <f t="shared" si="12"/>
        <v>7.7399999999999993</v>
      </c>
      <c r="BO117" s="78">
        <f t="shared" si="13"/>
        <v>1.6483516483516484E-2</v>
      </c>
      <c r="BP117" s="78">
        <f t="shared" si="14"/>
        <v>1.6483516483516484E-2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8">
        <v>4680115880658</v>
      </c>
      <c r="E118" s="688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90"/>
      <c r="R118" s="690"/>
      <c r="S118" s="690"/>
      <c r="T118" s="691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96"/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7"/>
      <c r="P119" s="693" t="s">
        <v>40</v>
      </c>
      <c r="Q119" s="694"/>
      <c r="R119" s="694"/>
      <c r="S119" s="694"/>
      <c r="T119" s="694"/>
      <c r="U119" s="694"/>
      <c r="V119" s="695"/>
      <c r="W119" s="42" t="s">
        <v>39</v>
      </c>
      <c r="X119" s="43">
        <f>IFERROR(X112/H112,"0")+IFERROR(X113/H113,"0")+IFERROR(X114/H114,"0")+IFERROR(X115/H115,"0")+IFERROR(X116/H116,"0")+IFERROR(X117/H117,"0")+IFERROR(X118/H118,"0")</f>
        <v>5</v>
      </c>
      <c r="Y119" s="43">
        <f>IFERROR(Y112/H112,"0")+IFERROR(Y113/H113,"0")+IFERROR(Y114/H114,"0")+IFERROR(Y115/H115,"0")+IFERROR(Y116/H116,"0")+IFERROR(Y117/H117,"0")+IFERROR(Y118/H118,"0")</f>
        <v>5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5.7489999999999999E-2</v>
      </c>
      <c r="AA119" s="67"/>
      <c r="AB119" s="67"/>
      <c r="AC119" s="67"/>
    </row>
    <row r="120" spans="1:68" x14ac:dyDescent="0.2">
      <c r="A120" s="696"/>
      <c r="B120" s="696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696"/>
      <c r="O120" s="697"/>
      <c r="P120" s="693" t="s">
        <v>40</v>
      </c>
      <c r="Q120" s="694"/>
      <c r="R120" s="694"/>
      <c r="S120" s="694"/>
      <c r="T120" s="694"/>
      <c r="U120" s="694"/>
      <c r="V120" s="695"/>
      <c r="W120" s="42" t="s">
        <v>0</v>
      </c>
      <c r="X120" s="43">
        <f>IFERROR(SUM(X112:X118),"0")</f>
        <v>28.8</v>
      </c>
      <c r="Y120" s="43">
        <f>IFERROR(SUM(Y112:Y118),"0")</f>
        <v>28.8</v>
      </c>
      <c r="Z120" s="42"/>
      <c r="AA120" s="67"/>
      <c r="AB120" s="67"/>
      <c r="AC120" s="67"/>
    </row>
    <row r="121" spans="1:68" ht="14.25" hidden="1" customHeight="1" x14ac:dyDescent="0.25">
      <c r="A121" s="687" t="s">
        <v>86</v>
      </c>
      <c r="B121" s="687"/>
      <c r="C121" s="687"/>
      <c r="D121" s="687"/>
      <c r="E121" s="687"/>
      <c r="F121" s="687"/>
      <c r="G121" s="687"/>
      <c r="H121" s="687"/>
      <c r="I121" s="687"/>
      <c r="J121" s="687"/>
      <c r="K121" s="687"/>
      <c r="L121" s="687"/>
      <c r="M121" s="687"/>
      <c r="N121" s="687"/>
      <c r="O121" s="687"/>
      <c r="P121" s="687"/>
      <c r="Q121" s="687"/>
      <c r="R121" s="687"/>
      <c r="S121" s="687"/>
      <c r="T121" s="687"/>
      <c r="U121" s="687"/>
      <c r="V121" s="687"/>
      <c r="W121" s="687"/>
      <c r="X121" s="687"/>
      <c r="Y121" s="687"/>
      <c r="Z121" s="687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88">
        <v>4607091385168</v>
      </c>
      <c r="E122" s="688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90"/>
      <c r="R122" s="690"/>
      <c r="S122" s="690"/>
      <c r="T122" s="691"/>
      <c r="U122" s="39" t="s">
        <v>46</v>
      </c>
      <c r="V122" s="39" t="s">
        <v>46</v>
      </c>
      <c r="W122" s="40" t="s">
        <v>0</v>
      </c>
      <c r="X122" s="58">
        <v>64.8</v>
      </c>
      <c r="Y122" s="55">
        <f>IFERROR(IF(X122="",0,CEILING((X122/$H122),1)*$H122),"")</f>
        <v>64.8</v>
      </c>
      <c r="Z122" s="41">
        <f>IFERROR(IF(Y122=0,"",ROUNDUP(Y122/H122,0)*0.01898),"")</f>
        <v>0.15184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68.703999999999994</v>
      </c>
      <c r="BN122" s="78">
        <f>IFERROR(Y122*I122/H122,"0")</f>
        <v>68.703999999999994</v>
      </c>
      <c r="BO122" s="78">
        <f>IFERROR(1/J122*(X122/H122),"0")</f>
        <v>0.125</v>
      </c>
      <c r="BP122" s="78">
        <f>IFERROR(1/J122*(Y122/H122),"0")</f>
        <v>0.125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8">
        <v>4607091383256</v>
      </c>
      <c r="E123" s="688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90"/>
      <c r="R123" s="690"/>
      <c r="S123" s="690"/>
      <c r="T123" s="691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88">
        <v>4607091385748</v>
      </c>
      <c r="E124" s="688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90"/>
      <c r="R124" s="690"/>
      <c r="S124" s="690"/>
      <c r="T124" s="691"/>
      <c r="U124" s="39" t="s">
        <v>46</v>
      </c>
      <c r="V124" s="39" t="s">
        <v>46</v>
      </c>
      <c r="W124" s="40" t="s">
        <v>0</v>
      </c>
      <c r="X124" s="58">
        <v>2.7</v>
      </c>
      <c r="Y124" s="55">
        <f>IFERROR(IF(X124="",0,CEILING((X124/$H124),1)*$H124),"")</f>
        <v>2.7</v>
      </c>
      <c r="Z124" s="41">
        <f>IFERROR(IF(Y124=0,"",ROUNDUP(Y124/H124,0)*0.00651),"")</f>
        <v>6.5100000000000002E-3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2.952</v>
      </c>
      <c r="BN124" s="78">
        <f>IFERROR(Y124*I124/H124,"0")</f>
        <v>2.952</v>
      </c>
      <c r="BO124" s="78">
        <f>IFERROR(1/J124*(X124/H124),"0")</f>
        <v>5.4945054945054949E-3</v>
      </c>
      <c r="BP124" s="78">
        <f>IFERROR(1/J124*(Y124/H124),"0")</f>
        <v>5.4945054945054949E-3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8">
        <v>4680115884533</v>
      </c>
      <c r="E125" s="688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90"/>
      <c r="R125" s="690"/>
      <c r="S125" s="690"/>
      <c r="T125" s="69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96"/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7"/>
      <c r="P126" s="693" t="s">
        <v>40</v>
      </c>
      <c r="Q126" s="694"/>
      <c r="R126" s="694"/>
      <c r="S126" s="694"/>
      <c r="T126" s="694"/>
      <c r="U126" s="694"/>
      <c r="V126" s="695"/>
      <c r="W126" s="42" t="s">
        <v>39</v>
      </c>
      <c r="X126" s="43">
        <f>IFERROR(X122/H122,"0")+IFERROR(X123/H123,"0")+IFERROR(X124/H124,"0")+IFERROR(X125/H125,"0")</f>
        <v>9</v>
      </c>
      <c r="Y126" s="43">
        <f>IFERROR(Y122/H122,"0")+IFERROR(Y123/H123,"0")+IFERROR(Y124/H124,"0")+IFERROR(Y125/H125,"0")</f>
        <v>9</v>
      </c>
      <c r="Z126" s="43">
        <f>IFERROR(IF(Z122="",0,Z122),"0")+IFERROR(IF(Z123="",0,Z123),"0")+IFERROR(IF(Z124="",0,Z124),"0")+IFERROR(IF(Z125="",0,Z125),"0")</f>
        <v>0.15834999999999999</v>
      </c>
      <c r="AA126" s="67"/>
      <c r="AB126" s="67"/>
      <c r="AC126" s="67"/>
    </row>
    <row r="127" spans="1:68" x14ac:dyDescent="0.2">
      <c r="A127" s="696"/>
      <c r="B127" s="696"/>
      <c r="C127" s="696"/>
      <c r="D127" s="696"/>
      <c r="E127" s="696"/>
      <c r="F127" s="696"/>
      <c r="G127" s="696"/>
      <c r="H127" s="696"/>
      <c r="I127" s="696"/>
      <c r="J127" s="696"/>
      <c r="K127" s="696"/>
      <c r="L127" s="696"/>
      <c r="M127" s="696"/>
      <c r="N127" s="696"/>
      <c r="O127" s="697"/>
      <c r="P127" s="693" t="s">
        <v>40</v>
      </c>
      <c r="Q127" s="694"/>
      <c r="R127" s="694"/>
      <c r="S127" s="694"/>
      <c r="T127" s="694"/>
      <c r="U127" s="694"/>
      <c r="V127" s="695"/>
      <c r="W127" s="42" t="s">
        <v>0</v>
      </c>
      <c r="X127" s="43">
        <f>IFERROR(SUM(X122:X125),"0")</f>
        <v>67.5</v>
      </c>
      <c r="Y127" s="43">
        <f>IFERROR(SUM(Y122:Y125),"0")</f>
        <v>67.5</v>
      </c>
      <c r="Z127" s="42"/>
      <c r="AA127" s="67"/>
      <c r="AB127" s="67"/>
      <c r="AC127" s="67"/>
    </row>
    <row r="128" spans="1:68" ht="14.25" hidden="1" customHeight="1" x14ac:dyDescent="0.25">
      <c r="A128" s="687" t="s">
        <v>183</v>
      </c>
      <c r="B128" s="687"/>
      <c r="C128" s="687"/>
      <c r="D128" s="687"/>
      <c r="E128" s="687"/>
      <c r="F128" s="687"/>
      <c r="G128" s="687"/>
      <c r="H128" s="687"/>
      <c r="I128" s="687"/>
      <c r="J128" s="687"/>
      <c r="K128" s="687"/>
      <c r="L128" s="687"/>
      <c r="M128" s="687"/>
      <c r="N128" s="687"/>
      <c r="O128" s="687"/>
      <c r="P128" s="687"/>
      <c r="Q128" s="687"/>
      <c r="R128" s="687"/>
      <c r="S128" s="687"/>
      <c r="T128" s="687"/>
      <c r="U128" s="687"/>
      <c r="V128" s="687"/>
      <c r="W128" s="687"/>
      <c r="X128" s="687"/>
      <c r="Y128" s="687"/>
      <c r="Z128" s="687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8">
        <v>4680115880238</v>
      </c>
      <c r="E129" s="688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90"/>
      <c r="R129" s="690"/>
      <c r="S129" s="690"/>
      <c r="T129" s="691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6"/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7"/>
      <c r="P130" s="693" t="s">
        <v>40</v>
      </c>
      <c r="Q130" s="694"/>
      <c r="R130" s="694"/>
      <c r="S130" s="694"/>
      <c r="T130" s="694"/>
      <c r="U130" s="694"/>
      <c r="V130" s="69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6"/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7"/>
      <c r="P131" s="693" t="s">
        <v>40</v>
      </c>
      <c r="Q131" s="694"/>
      <c r="R131" s="694"/>
      <c r="S131" s="694"/>
      <c r="T131" s="694"/>
      <c r="U131" s="694"/>
      <c r="V131" s="69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6" t="s">
        <v>253</v>
      </c>
      <c r="B132" s="686"/>
      <c r="C132" s="686"/>
      <c r="D132" s="686"/>
      <c r="E132" s="686"/>
      <c r="F132" s="686"/>
      <c r="G132" s="686"/>
      <c r="H132" s="686"/>
      <c r="I132" s="686"/>
      <c r="J132" s="686"/>
      <c r="K132" s="686"/>
      <c r="L132" s="686"/>
      <c r="M132" s="686"/>
      <c r="N132" s="686"/>
      <c r="O132" s="686"/>
      <c r="P132" s="686"/>
      <c r="Q132" s="686"/>
      <c r="R132" s="686"/>
      <c r="S132" s="686"/>
      <c r="T132" s="686"/>
      <c r="U132" s="686"/>
      <c r="V132" s="686"/>
      <c r="W132" s="686"/>
      <c r="X132" s="686"/>
      <c r="Y132" s="686"/>
      <c r="Z132" s="686"/>
      <c r="AA132" s="65"/>
      <c r="AB132" s="65"/>
      <c r="AC132" s="79"/>
    </row>
    <row r="133" spans="1:68" ht="14.25" hidden="1" customHeight="1" x14ac:dyDescent="0.25">
      <c r="A133" s="687" t="s">
        <v>129</v>
      </c>
      <c r="B133" s="687"/>
      <c r="C133" s="687"/>
      <c r="D133" s="687"/>
      <c r="E133" s="687"/>
      <c r="F133" s="687"/>
      <c r="G133" s="687"/>
      <c r="H133" s="687"/>
      <c r="I133" s="687"/>
      <c r="J133" s="687"/>
      <c r="K133" s="687"/>
      <c r="L133" s="687"/>
      <c r="M133" s="687"/>
      <c r="N133" s="687"/>
      <c r="O133" s="687"/>
      <c r="P133" s="687"/>
      <c r="Q133" s="687"/>
      <c r="R133" s="687"/>
      <c r="S133" s="687"/>
      <c r="T133" s="687"/>
      <c r="U133" s="687"/>
      <c r="V133" s="687"/>
      <c r="W133" s="687"/>
      <c r="X133" s="687"/>
      <c r="Y133" s="687"/>
      <c r="Z133" s="687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8">
        <v>4680115882577</v>
      </c>
      <c r="E134" s="688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90"/>
      <c r="R134" s="690"/>
      <c r="S134" s="690"/>
      <c r="T134" s="691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8">
        <v>4680115882577</v>
      </c>
      <c r="E135" s="688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90"/>
      <c r="R135" s="690"/>
      <c r="S135" s="690"/>
      <c r="T135" s="691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6"/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7"/>
      <c r="P136" s="693" t="s">
        <v>40</v>
      </c>
      <c r="Q136" s="694"/>
      <c r="R136" s="694"/>
      <c r="S136" s="694"/>
      <c r="T136" s="694"/>
      <c r="U136" s="694"/>
      <c r="V136" s="69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6"/>
      <c r="B137" s="696"/>
      <c r="C137" s="696"/>
      <c r="D137" s="696"/>
      <c r="E137" s="696"/>
      <c r="F137" s="696"/>
      <c r="G137" s="696"/>
      <c r="H137" s="696"/>
      <c r="I137" s="696"/>
      <c r="J137" s="696"/>
      <c r="K137" s="696"/>
      <c r="L137" s="696"/>
      <c r="M137" s="696"/>
      <c r="N137" s="696"/>
      <c r="O137" s="697"/>
      <c r="P137" s="693" t="s">
        <v>40</v>
      </c>
      <c r="Q137" s="694"/>
      <c r="R137" s="694"/>
      <c r="S137" s="694"/>
      <c r="T137" s="694"/>
      <c r="U137" s="694"/>
      <c r="V137" s="69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7" t="s">
        <v>77</v>
      </c>
      <c r="B138" s="687"/>
      <c r="C138" s="687"/>
      <c r="D138" s="687"/>
      <c r="E138" s="687"/>
      <c r="F138" s="687"/>
      <c r="G138" s="687"/>
      <c r="H138" s="687"/>
      <c r="I138" s="687"/>
      <c r="J138" s="687"/>
      <c r="K138" s="687"/>
      <c r="L138" s="687"/>
      <c r="M138" s="687"/>
      <c r="N138" s="687"/>
      <c r="O138" s="687"/>
      <c r="P138" s="687"/>
      <c r="Q138" s="687"/>
      <c r="R138" s="687"/>
      <c r="S138" s="687"/>
      <c r="T138" s="687"/>
      <c r="U138" s="687"/>
      <c r="V138" s="687"/>
      <c r="W138" s="687"/>
      <c r="X138" s="687"/>
      <c r="Y138" s="687"/>
      <c r="Z138" s="687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8">
        <v>4680115883444</v>
      </c>
      <c r="E139" s="688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90"/>
      <c r="R139" s="690"/>
      <c r="S139" s="690"/>
      <c r="T139" s="691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8">
        <v>4680115883444</v>
      </c>
      <c r="E140" s="688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90"/>
      <c r="R140" s="690"/>
      <c r="S140" s="690"/>
      <c r="T140" s="691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6"/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7"/>
      <c r="P141" s="693" t="s">
        <v>40</v>
      </c>
      <c r="Q141" s="694"/>
      <c r="R141" s="694"/>
      <c r="S141" s="694"/>
      <c r="T141" s="694"/>
      <c r="U141" s="694"/>
      <c r="V141" s="69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6"/>
      <c r="B142" s="696"/>
      <c r="C142" s="696"/>
      <c r="D142" s="696"/>
      <c r="E142" s="696"/>
      <c r="F142" s="696"/>
      <c r="G142" s="696"/>
      <c r="H142" s="696"/>
      <c r="I142" s="696"/>
      <c r="J142" s="696"/>
      <c r="K142" s="696"/>
      <c r="L142" s="696"/>
      <c r="M142" s="696"/>
      <c r="N142" s="696"/>
      <c r="O142" s="697"/>
      <c r="P142" s="693" t="s">
        <v>40</v>
      </c>
      <c r="Q142" s="694"/>
      <c r="R142" s="694"/>
      <c r="S142" s="694"/>
      <c r="T142" s="694"/>
      <c r="U142" s="694"/>
      <c r="V142" s="69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7" t="s">
        <v>86</v>
      </c>
      <c r="B143" s="687"/>
      <c r="C143" s="687"/>
      <c r="D143" s="687"/>
      <c r="E143" s="687"/>
      <c r="F143" s="687"/>
      <c r="G143" s="687"/>
      <c r="H143" s="687"/>
      <c r="I143" s="687"/>
      <c r="J143" s="687"/>
      <c r="K143" s="687"/>
      <c r="L143" s="687"/>
      <c r="M143" s="687"/>
      <c r="N143" s="687"/>
      <c r="O143" s="687"/>
      <c r="P143" s="687"/>
      <c r="Q143" s="687"/>
      <c r="R143" s="687"/>
      <c r="S143" s="687"/>
      <c r="T143" s="687"/>
      <c r="U143" s="687"/>
      <c r="V143" s="687"/>
      <c r="W143" s="687"/>
      <c r="X143" s="687"/>
      <c r="Y143" s="687"/>
      <c r="Z143" s="687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8">
        <v>4680115882584</v>
      </c>
      <c r="E144" s="688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90"/>
      <c r="R144" s="690"/>
      <c r="S144" s="690"/>
      <c r="T144" s="691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8">
        <v>4680115882584</v>
      </c>
      <c r="E145" s="688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90"/>
      <c r="R145" s="690"/>
      <c r="S145" s="690"/>
      <c r="T145" s="691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6"/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7"/>
      <c r="P146" s="693" t="s">
        <v>40</v>
      </c>
      <c r="Q146" s="694"/>
      <c r="R146" s="694"/>
      <c r="S146" s="694"/>
      <c r="T146" s="694"/>
      <c r="U146" s="694"/>
      <c r="V146" s="69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6"/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7"/>
      <c r="P147" s="693" t="s">
        <v>40</v>
      </c>
      <c r="Q147" s="694"/>
      <c r="R147" s="694"/>
      <c r="S147" s="694"/>
      <c r="T147" s="694"/>
      <c r="U147" s="694"/>
      <c r="V147" s="69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6" t="s">
        <v>265</v>
      </c>
      <c r="B148" s="686"/>
      <c r="C148" s="686"/>
      <c r="D148" s="686"/>
      <c r="E148" s="686"/>
      <c r="F148" s="686"/>
      <c r="G148" s="686"/>
      <c r="H148" s="686"/>
      <c r="I148" s="686"/>
      <c r="J148" s="686"/>
      <c r="K148" s="686"/>
      <c r="L148" s="686"/>
      <c r="M148" s="686"/>
      <c r="N148" s="686"/>
      <c r="O148" s="686"/>
      <c r="P148" s="686"/>
      <c r="Q148" s="686"/>
      <c r="R148" s="686"/>
      <c r="S148" s="686"/>
      <c r="T148" s="686"/>
      <c r="U148" s="686"/>
      <c r="V148" s="686"/>
      <c r="W148" s="686"/>
      <c r="X148" s="686"/>
      <c r="Y148" s="686"/>
      <c r="Z148" s="686"/>
      <c r="AA148" s="65"/>
      <c r="AB148" s="65"/>
      <c r="AC148" s="79"/>
    </row>
    <row r="149" spans="1:68" ht="14.25" hidden="1" customHeight="1" x14ac:dyDescent="0.25">
      <c r="A149" s="687" t="s">
        <v>86</v>
      </c>
      <c r="B149" s="687"/>
      <c r="C149" s="687"/>
      <c r="D149" s="687"/>
      <c r="E149" s="687"/>
      <c r="F149" s="687"/>
      <c r="G149" s="687"/>
      <c r="H149" s="687"/>
      <c r="I149" s="687"/>
      <c r="J149" s="687"/>
      <c r="K149" s="687"/>
      <c r="L149" s="687"/>
      <c r="M149" s="687"/>
      <c r="N149" s="687"/>
      <c r="O149" s="687"/>
      <c r="P149" s="687"/>
      <c r="Q149" s="687"/>
      <c r="R149" s="687"/>
      <c r="S149" s="687"/>
      <c r="T149" s="687"/>
      <c r="U149" s="687"/>
      <c r="V149" s="687"/>
      <c r="W149" s="687"/>
      <c r="X149" s="687"/>
      <c r="Y149" s="687"/>
      <c r="Z149" s="687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88">
        <v>4680115888203</v>
      </c>
      <c r="E150" s="688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90"/>
      <c r="R150" s="690"/>
      <c r="S150" s="690"/>
      <c r="T150" s="691"/>
      <c r="U150" s="39" t="s">
        <v>46</v>
      </c>
      <c r="V150" s="39" t="s">
        <v>46</v>
      </c>
      <c r="W150" s="40" t="s">
        <v>0</v>
      </c>
      <c r="X150" s="58">
        <v>1.98</v>
      </c>
      <c r="Y150" s="55">
        <f>IFERROR(IF(X150="",0,CEILING((X150/$H150),1)*$H150),"")</f>
        <v>1.98</v>
      </c>
      <c r="Z150" s="41">
        <f>IFERROR(IF(Y150=0,"",ROUNDUP(Y150/H150,0)*0.00651),"")</f>
        <v>6.5100000000000002E-3</v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2.2589999999999999</v>
      </c>
      <c r="BN150" s="78">
        <f>IFERROR(Y150*I150/H150,"0")</f>
        <v>2.2589999999999999</v>
      </c>
      <c r="BO150" s="78">
        <f>IFERROR(1/J150*(X150/H150),"0")</f>
        <v>5.4945054945054949E-3</v>
      </c>
      <c r="BP150" s="78">
        <f>IFERROR(1/J150*(Y150/H150),"0")</f>
        <v>5.4945054945054949E-3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88">
        <v>4680115888180</v>
      </c>
      <c r="E151" s="688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90"/>
      <c r="R151" s="690"/>
      <c r="S151" s="690"/>
      <c r="T151" s="691"/>
      <c r="U151" s="39" t="s">
        <v>46</v>
      </c>
      <c r="V151" s="39" t="s">
        <v>46</v>
      </c>
      <c r="W151" s="40" t="s">
        <v>0</v>
      </c>
      <c r="X151" s="58">
        <v>1.98</v>
      </c>
      <c r="Y151" s="55">
        <f>IFERROR(IF(X151="",0,CEILING((X151/$H151),1)*$H151),"")</f>
        <v>1.98</v>
      </c>
      <c r="Z151" s="41">
        <f>IFERROR(IF(Y151=0,"",ROUNDUP(Y151/H151,0)*0.00651),"")</f>
        <v>6.5100000000000002E-3</v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2.2589999999999999</v>
      </c>
      <c r="BN151" s="78">
        <f>IFERROR(Y151*I151/H151,"0")</f>
        <v>2.2589999999999999</v>
      </c>
      <c r="BO151" s="78">
        <f>IFERROR(1/J151*(X151/H151),"0")</f>
        <v>5.4945054945054949E-3</v>
      </c>
      <c r="BP151" s="78">
        <f>IFERROR(1/J151*(Y151/H151),"0")</f>
        <v>5.4945054945054949E-3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88">
        <v>4680115888197</v>
      </c>
      <c r="E152" s="688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90"/>
      <c r="R152" s="690"/>
      <c r="S152" s="690"/>
      <c r="T152" s="691"/>
      <c r="U152" s="39" t="s">
        <v>46</v>
      </c>
      <c r="V152" s="39" t="s">
        <v>46</v>
      </c>
      <c r="W152" s="40" t="s">
        <v>0</v>
      </c>
      <c r="X152" s="58">
        <v>1.98</v>
      </c>
      <c r="Y152" s="55">
        <f>IFERROR(IF(X152="",0,CEILING((X152/$H152),1)*$H152),"")</f>
        <v>1.98</v>
      </c>
      <c r="Z152" s="41">
        <f>IFERROR(IF(Y152=0,"",ROUNDUP(Y152/H152,0)*0.00651),"")</f>
        <v>6.5100000000000002E-3</v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2.2589999999999999</v>
      </c>
      <c r="BN152" s="78">
        <f>IFERROR(Y152*I152/H152,"0")</f>
        <v>2.2589999999999999</v>
      </c>
      <c r="BO152" s="78">
        <f>IFERROR(1/J152*(X152/H152),"0")</f>
        <v>5.4945054945054949E-3</v>
      </c>
      <c r="BP152" s="78">
        <f>IFERROR(1/J152*(Y152/H152),"0")</f>
        <v>5.4945054945054949E-3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88">
        <v>4680115888210</v>
      </c>
      <c r="E153" s="688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90"/>
      <c r="R153" s="690"/>
      <c r="S153" s="690"/>
      <c r="T153" s="691"/>
      <c r="U153" s="39" t="s">
        <v>46</v>
      </c>
      <c r="V153" s="39" t="s">
        <v>46</v>
      </c>
      <c r="W153" s="40" t="s">
        <v>0</v>
      </c>
      <c r="X153" s="58">
        <v>1.98</v>
      </c>
      <c r="Y153" s="55">
        <f>IFERROR(IF(X153="",0,CEILING((X153/$H153),1)*$H153),"")</f>
        <v>1.98</v>
      </c>
      <c r="Z153" s="41">
        <f>IFERROR(IF(Y153=0,"",ROUNDUP(Y153/H153,0)*0.00651),"")</f>
        <v>6.5100000000000002E-3</v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2.2589999999999999</v>
      </c>
      <c r="BN153" s="78">
        <f>IFERROR(Y153*I153/H153,"0")</f>
        <v>2.2589999999999999</v>
      </c>
      <c r="BO153" s="78">
        <f>IFERROR(1/J153*(X153/H153),"0")</f>
        <v>5.4945054945054949E-3</v>
      </c>
      <c r="BP153" s="78">
        <f>IFERROR(1/J153*(Y153/H153),"0")</f>
        <v>5.4945054945054949E-3</v>
      </c>
    </row>
    <row r="154" spans="1:68" x14ac:dyDescent="0.2">
      <c r="A154" s="696"/>
      <c r="B154" s="696"/>
      <c r="C154" s="696"/>
      <c r="D154" s="696"/>
      <c r="E154" s="696"/>
      <c r="F154" s="696"/>
      <c r="G154" s="696"/>
      <c r="H154" s="696"/>
      <c r="I154" s="696"/>
      <c r="J154" s="696"/>
      <c r="K154" s="696"/>
      <c r="L154" s="696"/>
      <c r="M154" s="696"/>
      <c r="N154" s="696"/>
      <c r="O154" s="697"/>
      <c r="P154" s="693" t="s">
        <v>40</v>
      </c>
      <c r="Q154" s="694"/>
      <c r="R154" s="694"/>
      <c r="S154" s="694"/>
      <c r="T154" s="694"/>
      <c r="U154" s="694"/>
      <c r="V154" s="695"/>
      <c r="W154" s="42" t="s">
        <v>39</v>
      </c>
      <c r="X154" s="43">
        <f>IFERROR(X150/H150,"0")+IFERROR(X151/H151,"0")+IFERROR(X152/H152,"0")+IFERROR(X153/H153,"0")</f>
        <v>4</v>
      </c>
      <c r="Y154" s="43">
        <f>IFERROR(Y150/H150,"0")+IFERROR(Y151/H151,"0")+IFERROR(Y152/H152,"0")+IFERROR(Y153/H153,"0")</f>
        <v>4</v>
      </c>
      <c r="Z154" s="43">
        <f>IFERROR(IF(Z150="",0,Z150),"0")+IFERROR(IF(Z151="",0,Z151),"0")+IFERROR(IF(Z152="",0,Z152),"0")+IFERROR(IF(Z153="",0,Z153),"0")</f>
        <v>2.6040000000000001E-2</v>
      </c>
      <c r="AA154" s="67"/>
      <c r="AB154" s="67"/>
      <c r="AC154" s="67"/>
    </row>
    <row r="155" spans="1:68" x14ac:dyDescent="0.2">
      <c r="A155" s="696"/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7"/>
      <c r="P155" s="693" t="s">
        <v>40</v>
      </c>
      <c r="Q155" s="694"/>
      <c r="R155" s="694"/>
      <c r="S155" s="694"/>
      <c r="T155" s="694"/>
      <c r="U155" s="694"/>
      <c r="V155" s="695"/>
      <c r="W155" s="42" t="s">
        <v>0</v>
      </c>
      <c r="X155" s="43">
        <f>IFERROR(SUM(X150:X153),"0")</f>
        <v>7.92</v>
      </c>
      <c r="Y155" s="43">
        <f>IFERROR(SUM(Y150:Y153),"0")</f>
        <v>7.92</v>
      </c>
      <c r="Z155" s="42"/>
      <c r="AA155" s="67"/>
      <c r="AB155" s="67"/>
      <c r="AC155" s="67"/>
    </row>
    <row r="156" spans="1:68" ht="16.5" hidden="1" customHeight="1" x14ac:dyDescent="0.25">
      <c r="A156" s="686" t="s">
        <v>127</v>
      </c>
      <c r="B156" s="686"/>
      <c r="C156" s="686"/>
      <c r="D156" s="686"/>
      <c r="E156" s="686"/>
      <c r="F156" s="686"/>
      <c r="G156" s="686"/>
      <c r="H156" s="686"/>
      <c r="I156" s="686"/>
      <c r="J156" s="686"/>
      <c r="K156" s="686"/>
      <c r="L156" s="686"/>
      <c r="M156" s="686"/>
      <c r="N156" s="686"/>
      <c r="O156" s="686"/>
      <c r="P156" s="686"/>
      <c r="Q156" s="686"/>
      <c r="R156" s="686"/>
      <c r="S156" s="686"/>
      <c r="T156" s="686"/>
      <c r="U156" s="686"/>
      <c r="V156" s="686"/>
      <c r="W156" s="686"/>
      <c r="X156" s="686"/>
      <c r="Y156" s="686"/>
      <c r="Z156" s="686"/>
      <c r="AA156" s="65"/>
      <c r="AB156" s="65"/>
      <c r="AC156" s="79"/>
    </row>
    <row r="157" spans="1:68" ht="14.25" hidden="1" customHeight="1" x14ac:dyDescent="0.25">
      <c r="A157" s="687" t="s">
        <v>129</v>
      </c>
      <c r="B157" s="687"/>
      <c r="C157" s="687"/>
      <c r="D157" s="687"/>
      <c r="E157" s="687"/>
      <c r="F157" s="687"/>
      <c r="G157" s="687"/>
      <c r="H157" s="687"/>
      <c r="I157" s="687"/>
      <c r="J157" s="687"/>
      <c r="K157" s="687"/>
      <c r="L157" s="687"/>
      <c r="M157" s="687"/>
      <c r="N157" s="687"/>
      <c r="O157" s="687"/>
      <c r="P157" s="687"/>
      <c r="Q157" s="687"/>
      <c r="R157" s="687"/>
      <c r="S157" s="687"/>
      <c r="T157" s="687"/>
      <c r="U157" s="687"/>
      <c r="V157" s="687"/>
      <c r="W157" s="687"/>
      <c r="X157" s="687"/>
      <c r="Y157" s="687"/>
      <c r="Z157" s="687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88">
        <v>4680115887374</v>
      </c>
      <c r="E158" s="688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90"/>
      <c r="R158" s="690"/>
      <c r="S158" s="690"/>
      <c r="T158" s="691"/>
      <c r="U158" s="39" t="s">
        <v>46</v>
      </c>
      <c r="V158" s="39" t="s">
        <v>46</v>
      </c>
      <c r="W158" s="40" t="s">
        <v>0</v>
      </c>
      <c r="X158" s="58">
        <v>64</v>
      </c>
      <c r="Y158" s="55">
        <f>IFERROR(IF(X158="",0,CEILING((X158/$H158),1)*$H158),"")</f>
        <v>64</v>
      </c>
      <c r="Z158" s="41">
        <f>IFERROR(IF(Y158=0,"",ROUNDUP(Y158/H158,0)*0.01898),"")</f>
        <v>9.4899999999999998E-2</v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66.05</v>
      </c>
      <c r="BN158" s="78">
        <f>IFERROR(Y158*I158/H158,"0")</f>
        <v>66.05</v>
      </c>
      <c r="BO158" s="78">
        <f>IFERROR(1/J158*(X158/H158),"0")</f>
        <v>7.8125E-2</v>
      </c>
      <c r="BP158" s="78">
        <f>IFERROR(1/J158*(Y158/H158),"0")</f>
        <v>7.8125E-2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88">
        <v>4607091384604</v>
      </c>
      <c r="E159" s="688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90"/>
      <c r="R159" s="690"/>
      <c r="S159" s="690"/>
      <c r="T159" s="691"/>
      <c r="U159" s="39" t="s">
        <v>46</v>
      </c>
      <c r="V159" s="39" t="s">
        <v>46</v>
      </c>
      <c r="W159" s="40" t="s">
        <v>0</v>
      </c>
      <c r="X159" s="58">
        <v>20</v>
      </c>
      <c r="Y159" s="55">
        <f>IFERROR(IF(X159="",0,CEILING((X159/$H159),1)*$H159),"")</f>
        <v>20</v>
      </c>
      <c r="Z159" s="41">
        <f>IFERROR(IF(Y159=0,"",ROUNDUP(Y159/H159,0)*0.00902),"")</f>
        <v>4.5100000000000001E-2</v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20.950000000000003</v>
      </c>
      <c r="BN159" s="78">
        <f>IFERROR(Y159*I159/H159,"0")</f>
        <v>20.950000000000003</v>
      </c>
      <c r="BO159" s="78">
        <f>IFERROR(1/J159*(X159/H159),"0")</f>
        <v>3.787878787878788E-2</v>
      </c>
      <c r="BP159" s="78">
        <f>IFERROR(1/J159*(Y159/H159),"0")</f>
        <v>3.787878787878788E-2</v>
      </c>
    </row>
    <row r="160" spans="1:68" x14ac:dyDescent="0.2">
      <c r="A160" s="696"/>
      <c r="B160" s="696"/>
      <c r="C160" s="696"/>
      <c r="D160" s="696"/>
      <c r="E160" s="696"/>
      <c r="F160" s="696"/>
      <c r="G160" s="696"/>
      <c r="H160" s="696"/>
      <c r="I160" s="696"/>
      <c r="J160" s="696"/>
      <c r="K160" s="696"/>
      <c r="L160" s="696"/>
      <c r="M160" s="696"/>
      <c r="N160" s="696"/>
      <c r="O160" s="697"/>
      <c r="P160" s="693" t="s">
        <v>40</v>
      </c>
      <c r="Q160" s="694"/>
      <c r="R160" s="694"/>
      <c r="S160" s="694"/>
      <c r="T160" s="694"/>
      <c r="U160" s="694"/>
      <c r="V160" s="695"/>
      <c r="W160" s="42" t="s">
        <v>39</v>
      </c>
      <c r="X160" s="43">
        <f>IFERROR(X158/H158,"0")+IFERROR(X159/H159,"0")</f>
        <v>10</v>
      </c>
      <c r="Y160" s="43">
        <f>IFERROR(Y158/H158,"0")+IFERROR(Y159/H159,"0")</f>
        <v>10</v>
      </c>
      <c r="Z160" s="43">
        <f>IFERROR(IF(Z158="",0,Z158),"0")+IFERROR(IF(Z159="",0,Z159),"0")</f>
        <v>0.14000000000000001</v>
      </c>
      <c r="AA160" s="67"/>
      <c r="AB160" s="67"/>
      <c r="AC160" s="67"/>
    </row>
    <row r="161" spans="1:68" x14ac:dyDescent="0.2">
      <c r="A161" s="696"/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7"/>
      <c r="P161" s="693" t="s">
        <v>40</v>
      </c>
      <c r="Q161" s="694"/>
      <c r="R161" s="694"/>
      <c r="S161" s="694"/>
      <c r="T161" s="694"/>
      <c r="U161" s="694"/>
      <c r="V161" s="695"/>
      <c r="W161" s="42" t="s">
        <v>0</v>
      </c>
      <c r="X161" s="43">
        <f>IFERROR(SUM(X158:X159),"0")</f>
        <v>84</v>
      </c>
      <c r="Y161" s="43">
        <f>IFERROR(SUM(Y158:Y159),"0")</f>
        <v>84</v>
      </c>
      <c r="Z161" s="42"/>
      <c r="AA161" s="67"/>
      <c r="AB161" s="67"/>
      <c r="AC161" s="67"/>
    </row>
    <row r="162" spans="1:68" ht="14.25" hidden="1" customHeight="1" x14ac:dyDescent="0.25">
      <c r="A162" s="687" t="s">
        <v>166</v>
      </c>
      <c r="B162" s="687"/>
      <c r="C162" s="687"/>
      <c r="D162" s="687"/>
      <c r="E162" s="687"/>
      <c r="F162" s="687"/>
      <c r="G162" s="687"/>
      <c r="H162" s="687"/>
      <c r="I162" s="687"/>
      <c r="J162" s="687"/>
      <c r="K162" s="687"/>
      <c r="L162" s="687"/>
      <c r="M162" s="687"/>
      <c r="N162" s="687"/>
      <c r="O162" s="687"/>
      <c r="P162" s="687"/>
      <c r="Q162" s="687"/>
      <c r="R162" s="687"/>
      <c r="S162" s="687"/>
      <c r="T162" s="687"/>
      <c r="U162" s="687"/>
      <c r="V162" s="687"/>
      <c r="W162" s="687"/>
      <c r="X162" s="687"/>
      <c r="Y162" s="687"/>
      <c r="Z162" s="687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8">
        <v>4680115887695</v>
      </c>
      <c r="E163" s="688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90"/>
      <c r="R163" s="690"/>
      <c r="S163" s="690"/>
      <c r="T163" s="691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6"/>
      <c r="B164" s="696"/>
      <c r="C164" s="696"/>
      <c r="D164" s="696"/>
      <c r="E164" s="696"/>
      <c r="F164" s="696"/>
      <c r="G164" s="696"/>
      <c r="H164" s="696"/>
      <c r="I164" s="696"/>
      <c r="J164" s="696"/>
      <c r="K164" s="696"/>
      <c r="L164" s="696"/>
      <c r="M164" s="696"/>
      <c r="N164" s="696"/>
      <c r="O164" s="697"/>
      <c r="P164" s="693" t="s">
        <v>40</v>
      </c>
      <c r="Q164" s="694"/>
      <c r="R164" s="694"/>
      <c r="S164" s="694"/>
      <c r="T164" s="694"/>
      <c r="U164" s="694"/>
      <c r="V164" s="69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6"/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7"/>
      <c r="P165" s="693" t="s">
        <v>40</v>
      </c>
      <c r="Q165" s="694"/>
      <c r="R165" s="694"/>
      <c r="S165" s="694"/>
      <c r="T165" s="694"/>
      <c r="U165" s="694"/>
      <c r="V165" s="69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7" t="s">
        <v>77</v>
      </c>
      <c r="B166" s="687"/>
      <c r="C166" s="687"/>
      <c r="D166" s="687"/>
      <c r="E166" s="687"/>
      <c r="F166" s="687"/>
      <c r="G166" s="687"/>
      <c r="H166" s="687"/>
      <c r="I166" s="687"/>
      <c r="J166" s="687"/>
      <c r="K166" s="687"/>
      <c r="L166" s="687"/>
      <c r="M166" s="687"/>
      <c r="N166" s="687"/>
      <c r="O166" s="687"/>
      <c r="P166" s="687"/>
      <c r="Q166" s="687"/>
      <c r="R166" s="687"/>
      <c r="S166" s="687"/>
      <c r="T166" s="687"/>
      <c r="U166" s="687"/>
      <c r="V166" s="687"/>
      <c r="W166" s="687"/>
      <c r="X166" s="687"/>
      <c r="Y166" s="687"/>
      <c r="Z166" s="687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88">
        <v>4680115887428</v>
      </c>
      <c r="E167" s="688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90"/>
      <c r="R167" s="690"/>
      <c r="S167" s="690"/>
      <c r="T167" s="691"/>
      <c r="U167" s="39" t="s">
        <v>46</v>
      </c>
      <c r="V167" s="39" t="s">
        <v>46</v>
      </c>
      <c r="W167" s="40" t="s">
        <v>0</v>
      </c>
      <c r="X167" s="58">
        <v>24.5</v>
      </c>
      <c r="Y167" s="55">
        <f t="shared" ref="Y167:Y177" si="15">IFERROR(IF(X167="",0,CEILING((X167/$H167),1)*$H167),"")</f>
        <v>24.5</v>
      </c>
      <c r="Z167" s="41">
        <f>IFERROR(IF(Y167=0,"",ROUNDUP(Y167/H167,0)*0.00902),"")</f>
        <v>6.3140000000000002E-2</v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25.830000000000002</v>
      </c>
      <c r="BN167" s="78">
        <f t="shared" ref="BN167:BN177" si="17">IFERROR(Y167*I167/H167,"0")</f>
        <v>25.830000000000002</v>
      </c>
      <c r="BO167" s="78">
        <f t="shared" ref="BO167:BO177" si="18">IFERROR(1/J167*(X167/H167),"0")</f>
        <v>5.3030303030303032E-2</v>
      </c>
      <c r="BP167" s="78">
        <f t="shared" ref="BP167:BP177" si="19">IFERROR(1/J167*(Y167/H167),"0")</f>
        <v>5.3030303030303032E-2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88">
        <v>4607091382426</v>
      </c>
      <c r="E168" s="688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90"/>
      <c r="R168" s="690"/>
      <c r="S168" s="690"/>
      <c r="T168" s="691"/>
      <c r="U168" s="39" t="s">
        <v>46</v>
      </c>
      <c r="V168" s="39" t="s">
        <v>46</v>
      </c>
      <c r="W168" s="40" t="s">
        <v>0</v>
      </c>
      <c r="X168" s="58">
        <v>9</v>
      </c>
      <c r="Y168" s="55">
        <f t="shared" si="15"/>
        <v>9</v>
      </c>
      <c r="Z168" s="41">
        <f>IFERROR(IF(Y168=0,"",ROUNDUP(Y168/H168,0)*0.01898),"")</f>
        <v>1.898E-2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9.56</v>
      </c>
      <c r="BN168" s="78">
        <f t="shared" si="17"/>
        <v>9.56</v>
      </c>
      <c r="BO168" s="78">
        <f t="shared" si="18"/>
        <v>1.5625E-2</v>
      </c>
      <c r="BP168" s="78">
        <f t="shared" si="19"/>
        <v>1.5625E-2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88">
        <v>4680115887398</v>
      </c>
      <c r="E169" s="688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0"/>
      <c r="R169" s="690"/>
      <c r="S169" s="690"/>
      <c r="T169" s="691"/>
      <c r="U169" s="39" t="s">
        <v>46</v>
      </c>
      <c r="V169" s="39" t="s">
        <v>46</v>
      </c>
      <c r="W169" s="40" t="s">
        <v>0</v>
      </c>
      <c r="X169" s="58">
        <v>10.5</v>
      </c>
      <c r="Y169" s="55">
        <f t="shared" si="15"/>
        <v>10.5</v>
      </c>
      <c r="Z169" s="41">
        <f>IFERROR(IF(Y169=0,"",ROUNDUP(Y169/H169,0)*0.00902),"")</f>
        <v>2.7060000000000001E-2</v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11.069999999999999</v>
      </c>
      <c r="BN169" s="78">
        <f t="shared" si="17"/>
        <v>11.069999999999999</v>
      </c>
      <c r="BO169" s="78">
        <f t="shared" si="18"/>
        <v>2.2727272727272728E-2</v>
      </c>
      <c r="BP169" s="78">
        <f t="shared" si="19"/>
        <v>2.2727272727272728E-2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88">
        <v>4680115887336</v>
      </c>
      <c r="E170" s="688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0"/>
      <c r="R170" s="690"/>
      <c r="S170" s="690"/>
      <c r="T170" s="691"/>
      <c r="U170" s="39" t="s">
        <v>46</v>
      </c>
      <c r="V170" s="39" t="s">
        <v>46</v>
      </c>
      <c r="W170" s="40" t="s">
        <v>0</v>
      </c>
      <c r="X170" s="58">
        <v>24.5</v>
      </c>
      <c r="Y170" s="55">
        <f t="shared" si="15"/>
        <v>24.5</v>
      </c>
      <c r="Z170" s="41">
        <f>IFERROR(IF(Y170=0,"",ROUNDUP(Y170/H170,0)*0.00902),"")</f>
        <v>6.3140000000000002E-2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25.830000000000002</v>
      </c>
      <c r="BN170" s="78">
        <f t="shared" si="17"/>
        <v>25.830000000000002</v>
      </c>
      <c r="BO170" s="78">
        <f t="shared" si="18"/>
        <v>5.3030303030303032E-2</v>
      </c>
      <c r="BP170" s="78">
        <f t="shared" si="19"/>
        <v>5.3030303030303032E-2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8">
        <v>4680115887787</v>
      </c>
      <c r="E171" s="688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0"/>
      <c r="R171" s="690"/>
      <c r="S171" s="690"/>
      <c r="T171" s="691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88">
        <v>4680115887503</v>
      </c>
      <c r="E172" s="688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0"/>
      <c r="R172" s="690"/>
      <c r="S172" s="690"/>
      <c r="T172" s="691"/>
      <c r="U172" s="39" t="s">
        <v>46</v>
      </c>
      <c r="V172" s="39" t="s">
        <v>46</v>
      </c>
      <c r="W172" s="40" t="s">
        <v>0</v>
      </c>
      <c r="X172" s="58">
        <v>8.4</v>
      </c>
      <c r="Y172" s="55">
        <f t="shared" si="15"/>
        <v>8.4</v>
      </c>
      <c r="Z172" s="41">
        <f>IFERROR(IF(Y172=0,"",ROUNDUP(Y172/H172,0)*0.00502),"")</f>
        <v>2.5100000000000001E-2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8.9000000000000021</v>
      </c>
      <c r="BN172" s="78">
        <f t="shared" si="17"/>
        <v>8.9000000000000021</v>
      </c>
      <c r="BO172" s="78">
        <f t="shared" si="18"/>
        <v>2.1367521367521368E-2</v>
      </c>
      <c r="BP172" s="78">
        <f t="shared" si="19"/>
        <v>2.1367521367521368E-2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8">
        <v>4680115887763</v>
      </c>
      <c r="E173" s="688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0"/>
      <c r="R173" s="690"/>
      <c r="S173" s="690"/>
      <c r="T173" s="691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8">
        <v>4680115887763</v>
      </c>
      <c r="E174" s="688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0"/>
      <c r="R174" s="690"/>
      <c r="S174" s="690"/>
      <c r="T174" s="691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88">
        <v>4680115887480</v>
      </c>
      <c r="E175" s="688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0"/>
      <c r="R175" s="690"/>
      <c r="S175" s="690"/>
      <c r="T175" s="691"/>
      <c r="U175" s="39" t="s">
        <v>46</v>
      </c>
      <c r="V175" s="39" t="s">
        <v>46</v>
      </c>
      <c r="W175" s="40" t="s">
        <v>0</v>
      </c>
      <c r="X175" s="58">
        <v>8.4</v>
      </c>
      <c r="Y175" s="55">
        <f t="shared" si="15"/>
        <v>8.4</v>
      </c>
      <c r="Z175" s="41">
        <f>IFERROR(IF(Y175=0,"",ROUNDUP(Y175/H175,0)*0.00502),"")</f>
        <v>2.5100000000000001E-2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8.9000000000000021</v>
      </c>
      <c r="BN175" s="78">
        <f t="shared" si="17"/>
        <v>8.9000000000000021</v>
      </c>
      <c r="BO175" s="78">
        <f t="shared" si="18"/>
        <v>2.1367521367521368E-2</v>
      </c>
      <c r="BP175" s="78">
        <f t="shared" si="19"/>
        <v>2.1367521367521368E-2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8">
        <v>4680115888067</v>
      </c>
      <c r="E176" s="688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0"/>
      <c r="R176" s="690"/>
      <c r="S176" s="690"/>
      <c r="T176" s="69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88">
        <v>4680115887435</v>
      </c>
      <c r="E177" s="688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0"/>
      <c r="R177" s="690"/>
      <c r="S177" s="690"/>
      <c r="T177" s="691"/>
      <c r="U177" s="39" t="s">
        <v>46</v>
      </c>
      <c r="V177" s="39" t="s">
        <v>46</v>
      </c>
      <c r="W177" s="40" t="s">
        <v>0</v>
      </c>
      <c r="X177" s="58">
        <v>8.4</v>
      </c>
      <c r="Y177" s="55">
        <f t="shared" si="15"/>
        <v>8.4</v>
      </c>
      <c r="Z177" s="41">
        <f>IFERROR(IF(Y177=0,"",ROUNDUP(Y177/H177,0)*0.00502),"")</f>
        <v>2.5100000000000001E-2</v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8.9000000000000021</v>
      </c>
      <c r="BN177" s="78">
        <f t="shared" si="17"/>
        <v>8.9000000000000021</v>
      </c>
      <c r="BO177" s="78">
        <f t="shared" si="18"/>
        <v>2.1367521367521368E-2</v>
      </c>
      <c r="BP177" s="78">
        <f t="shared" si="19"/>
        <v>2.1367521367521368E-2</v>
      </c>
    </row>
    <row r="178" spans="1:68" x14ac:dyDescent="0.2">
      <c r="A178" s="696"/>
      <c r="B178" s="696"/>
      <c r="C178" s="696"/>
      <c r="D178" s="696"/>
      <c r="E178" s="696"/>
      <c r="F178" s="696"/>
      <c r="G178" s="696"/>
      <c r="H178" s="696"/>
      <c r="I178" s="696"/>
      <c r="J178" s="696"/>
      <c r="K178" s="696"/>
      <c r="L178" s="696"/>
      <c r="M178" s="696"/>
      <c r="N178" s="696"/>
      <c r="O178" s="697"/>
      <c r="P178" s="693" t="s">
        <v>40</v>
      </c>
      <c r="Q178" s="694"/>
      <c r="R178" s="694"/>
      <c r="S178" s="694"/>
      <c r="T178" s="694"/>
      <c r="U178" s="694"/>
      <c r="V178" s="69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33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33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0.24762000000000003</v>
      </c>
      <c r="AA178" s="67"/>
      <c r="AB178" s="67"/>
      <c r="AC178" s="67"/>
    </row>
    <row r="179" spans="1:68" x14ac:dyDescent="0.2">
      <c r="A179" s="696"/>
      <c r="B179" s="696"/>
      <c r="C179" s="696"/>
      <c r="D179" s="696"/>
      <c r="E179" s="696"/>
      <c r="F179" s="696"/>
      <c r="G179" s="696"/>
      <c r="H179" s="696"/>
      <c r="I179" s="696"/>
      <c r="J179" s="696"/>
      <c r="K179" s="696"/>
      <c r="L179" s="696"/>
      <c r="M179" s="696"/>
      <c r="N179" s="696"/>
      <c r="O179" s="697"/>
      <c r="P179" s="693" t="s">
        <v>40</v>
      </c>
      <c r="Q179" s="694"/>
      <c r="R179" s="694"/>
      <c r="S179" s="694"/>
      <c r="T179" s="694"/>
      <c r="U179" s="694"/>
      <c r="V179" s="695"/>
      <c r="W179" s="42" t="s">
        <v>0</v>
      </c>
      <c r="X179" s="43">
        <f>IFERROR(SUM(X167:X177),"0")</f>
        <v>93.700000000000017</v>
      </c>
      <c r="Y179" s="43">
        <f>IFERROR(SUM(Y167:Y177),"0")</f>
        <v>93.700000000000017</v>
      </c>
      <c r="Z179" s="42"/>
      <c r="AA179" s="67"/>
      <c r="AB179" s="67"/>
      <c r="AC179" s="67"/>
    </row>
    <row r="180" spans="1:68" ht="14.25" hidden="1" customHeight="1" x14ac:dyDescent="0.25">
      <c r="A180" s="687" t="s">
        <v>86</v>
      </c>
      <c r="B180" s="687"/>
      <c r="C180" s="687"/>
      <c r="D180" s="687"/>
      <c r="E180" s="687"/>
      <c r="F180" s="687"/>
      <c r="G180" s="687"/>
      <c r="H180" s="687"/>
      <c r="I180" s="687"/>
      <c r="J180" s="687"/>
      <c r="K180" s="687"/>
      <c r="L180" s="687"/>
      <c r="M180" s="687"/>
      <c r="N180" s="687"/>
      <c r="O180" s="687"/>
      <c r="P180" s="687"/>
      <c r="Q180" s="687"/>
      <c r="R180" s="687"/>
      <c r="S180" s="687"/>
      <c r="T180" s="687"/>
      <c r="U180" s="687"/>
      <c r="V180" s="687"/>
      <c r="W180" s="687"/>
      <c r="X180" s="687"/>
      <c r="Y180" s="687"/>
      <c r="Z180" s="687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88">
        <v>4680115888395</v>
      </c>
      <c r="E181" s="688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0"/>
      <c r="R181" s="690"/>
      <c r="S181" s="690"/>
      <c r="T181" s="691"/>
      <c r="U181" s="39" t="s">
        <v>46</v>
      </c>
      <c r="V181" s="39" t="s">
        <v>46</v>
      </c>
      <c r="W181" s="40" t="s">
        <v>0</v>
      </c>
      <c r="X181" s="58">
        <v>2.52</v>
      </c>
      <c r="Y181" s="55">
        <f>IFERROR(IF(X181="",0,CEILING((X181/$H181),1)*$H181),"")</f>
        <v>2.52</v>
      </c>
      <c r="Z181" s="41">
        <f>IFERROR(IF(Y181=0,"",ROUNDUP(Y181/H181,0)*0.00651),"")</f>
        <v>6.5100000000000002E-3</v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2.766</v>
      </c>
      <c r="BN181" s="78">
        <f>IFERROR(Y181*I181/H181,"0")</f>
        <v>2.766</v>
      </c>
      <c r="BO181" s="78">
        <f>IFERROR(1/J181*(X181/H181),"0")</f>
        <v>5.4945054945054949E-3</v>
      </c>
      <c r="BP181" s="78">
        <f>IFERROR(1/J181*(Y181/H181),"0")</f>
        <v>5.4945054945054949E-3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88">
        <v>4680115888371</v>
      </c>
      <c r="E182" s="688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0"/>
      <c r="R182" s="690"/>
      <c r="S182" s="690"/>
      <c r="T182" s="691"/>
      <c r="U182" s="39" t="s">
        <v>46</v>
      </c>
      <c r="V182" s="39" t="s">
        <v>46</v>
      </c>
      <c r="W182" s="40" t="s">
        <v>0</v>
      </c>
      <c r="X182" s="58">
        <v>2.52</v>
      </c>
      <c r="Y182" s="55">
        <f>IFERROR(IF(X182="",0,CEILING((X182/$H182),1)*$H182),"")</f>
        <v>2.52</v>
      </c>
      <c r="Z182" s="41">
        <f>IFERROR(IF(Y182=0,"",ROUNDUP(Y182/H182,0)*0.00651),"")</f>
        <v>6.5100000000000002E-3</v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2.766</v>
      </c>
      <c r="BN182" s="78">
        <f>IFERROR(Y182*I182/H182,"0")</f>
        <v>2.766</v>
      </c>
      <c r="BO182" s="78">
        <f>IFERROR(1/J182*(X182/H182),"0")</f>
        <v>5.4945054945054949E-3</v>
      </c>
      <c r="BP182" s="78">
        <f>IFERROR(1/J182*(Y182/H182),"0")</f>
        <v>5.4945054945054949E-3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8">
        <v>4680115887459</v>
      </c>
      <c r="E183" s="688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0"/>
      <c r="R183" s="690"/>
      <c r="S183" s="690"/>
      <c r="T183" s="691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96"/>
      <c r="B184" s="696"/>
      <c r="C184" s="696"/>
      <c r="D184" s="696"/>
      <c r="E184" s="696"/>
      <c r="F184" s="696"/>
      <c r="G184" s="696"/>
      <c r="H184" s="696"/>
      <c r="I184" s="696"/>
      <c r="J184" s="696"/>
      <c r="K184" s="696"/>
      <c r="L184" s="696"/>
      <c r="M184" s="696"/>
      <c r="N184" s="696"/>
      <c r="O184" s="697"/>
      <c r="P184" s="693" t="s">
        <v>40</v>
      </c>
      <c r="Q184" s="694"/>
      <c r="R184" s="694"/>
      <c r="S184" s="694"/>
      <c r="T184" s="694"/>
      <c r="U184" s="694"/>
      <c r="V184" s="695"/>
      <c r="W184" s="42" t="s">
        <v>39</v>
      </c>
      <c r="X184" s="43">
        <f>IFERROR(X181/H181,"0")+IFERROR(X182/H182,"0")+IFERROR(X183/H183,"0")</f>
        <v>2</v>
      </c>
      <c r="Y184" s="43">
        <f>IFERROR(Y181/H181,"0")+IFERROR(Y182/H182,"0")+IFERROR(Y183/H183,"0")</f>
        <v>2</v>
      </c>
      <c r="Z184" s="43">
        <f>IFERROR(IF(Z181="",0,Z181),"0")+IFERROR(IF(Z182="",0,Z182),"0")+IFERROR(IF(Z183="",0,Z183),"0")</f>
        <v>1.302E-2</v>
      </c>
      <c r="AA184" s="67"/>
      <c r="AB184" s="67"/>
      <c r="AC184" s="67"/>
    </row>
    <row r="185" spans="1:68" x14ac:dyDescent="0.2">
      <c r="A185" s="696"/>
      <c r="B185" s="696"/>
      <c r="C185" s="696"/>
      <c r="D185" s="696"/>
      <c r="E185" s="696"/>
      <c r="F185" s="696"/>
      <c r="G185" s="696"/>
      <c r="H185" s="696"/>
      <c r="I185" s="696"/>
      <c r="J185" s="696"/>
      <c r="K185" s="696"/>
      <c r="L185" s="696"/>
      <c r="M185" s="696"/>
      <c r="N185" s="696"/>
      <c r="O185" s="697"/>
      <c r="P185" s="693" t="s">
        <v>40</v>
      </c>
      <c r="Q185" s="694"/>
      <c r="R185" s="694"/>
      <c r="S185" s="694"/>
      <c r="T185" s="694"/>
      <c r="U185" s="694"/>
      <c r="V185" s="695"/>
      <c r="W185" s="42" t="s">
        <v>0</v>
      </c>
      <c r="X185" s="43">
        <f>IFERROR(SUM(X181:X183),"0")</f>
        <v>5.04</v>
      </c>
      <c r="Y185" s="43">
        <f>IFERROR(SUM(Y181:Y183),"0")</f>
        <v>5.04</v>
      </c>
      <c r="Z185" s="42"/>
      <c r="AA185" s="67"/>
      <c r="AB185" s="67"/>
      <c r="AC185" s="67"/>
    </row>
    <row r="186" spans="1:68" ht="14.25" hidden="1" customHeight="1" x14ac:dyDescent="0.25">
      <c r="A186" s="687" t="s">
        <v>104</v>
      </c>
      <c r="B186" s="687"/>
      <c r="C186" s="687"/>
      <c r="D186" s="687"/>
      <c r="E186" s="687"/>
      <c r="F186" s="687"/>
      <c r="G186" s="687"/>
      <c r="H186" s="687"/>
      <c r="I186" s="687"/>
      <c r="J186" s="687"/>
      <c r="K186" s="687"/>
      <c r="L186" s="687"/>
      <c r="M186" s="687"/>
      <c r="N186" s="687"/>
      <c r="O186" s="687"/>
      <c r="P186" s="687"/>
      <c r="Q186" s="687"/>
      <c r="R186" s="687"/>
      <c r="S186" s="687"/>
      <c r="T186" s="687"/>
      <c r="U186" s="687"/>
      <c r="V186" s="687"/>
      <c r="W186" s="687"/>
      <c r="X186" s="687"/>
      <c r="Y186" s="687"/>
      <c r="Z186" s="687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88">
        <v>4680115889026</v>
      </c>
      <c r="E187" s="688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0"/>
      <c r="R187" s="690"/>
      <c r="S187" s="690"/>
      <c r="T187" s="691"/>
      <c r="U187" s="39" t="s">
        <v>46</v>
      </c>
      <c r="V187" s="39" t="s">
        <v>46</v>
      </c>
      <c r="W187" s="40" t="s">
        <v>0</v>
      </c>
      <c r="X187" s="58">
        <v>1.08</v>
      </c>
      <c r="Y187" s="55">
        <f>IFERROR(IF(X187="",0,CEILING((X187/$H187),1)*$H187),"")</f>
        <v>1.08</v>
      </c>
      <c r="Z187" s="41">
        <f>IFERROR(IF(Y187=0,"",ROUNDUP(Y187/H187,0)*0.0059),"")</f>
        <v>5.8999999999999999E-3</v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1.36</v>
      </c>
      <c r="BN187" s="78">
        <f>IFERROR(Y187*I187/H187,"0")</f>
        <v>1.36</v>
      </c>
      <c r="BO187" s="78">
        <f>IFERROR(1/J187*(X187/H187),"0")</f>
        <v>4.6296296296296294E-3</v>
      </c>
      <c r="BP187" s="78">
        <f>IFERROR(1/J187*(Y187/H187),"0")</f>
        <v>4.6296296296296294E-3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8">
        <v>4680115889088</v>
      </c>
      <c r="E188" s="688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0"/>
      <c r="R188" s="690"/>
      <c r="S188" s="690"/>
      <c r="T188" s="691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96"/>
      <c r="B189" s="696"/>
      <c r="C189" s="696"/>
      <c r="D189" s="696"/>
      <c r="E189" s="696"/>
      <c r="F189" s="696"/>
      <c r="G189" s="696"/>
      <c r="H189" s="696"/>
      <c r="I189" s="696"/>
      <c r="J189" s="696"/>
      <c r="K189" s="696"/>
      <c r="L189" s="696"/>
      <c r="M189" s="696"/>
      <c r="N189" s="696"/>
      <c r="O189" s="697"/>
      <c r="P189" s="693" t="s">
        <v>40</v>
      </c>
      <c r="Q189" s="694"/>
      <c r="R189" s="694"/>
      <c r="S189" s="694"/>
      <c r="T189" s="694"/>
      <c r="U189" s="694"/>
      <c r="V189" s="695"/>
      <c r="W189" s="42" t="s">
        <v>39</v>
      </c>
      <c r="X189" s="43">
        <f>IFERROR(X187/H187,"0")+IFERROR(X188/H188,"0")</f>
        <v>1</v>
      </c>
      <c r="Y189" s="43">
        <f>IFERROR(Y187/H187,"0")+IFERROR(Y188/H188,"0")</f>
        <v>1</v>
      </c>
      <c r="Z189" s="43">
        <f>IFERROR(IF(Z187="",0,Z187),"0")+IFERROR(IF(Z188="",0,Z188),"0")</f>
        <v>5.8999999999999999E-3</v>
      </c>
      <c r="AA189" s="67"/>
      <c r="AB189" s="67"/>
      <c r="AC189" s="67"/>
    </row>
    <row r="190" spans="1:68" x14ac:dyDescent="0.2">
      <c r="A190" s="696"/>
      <c r="B190" s="696"/>
      <c r="C190" s="696"/>
      <c r="D190" s="696"/>
      <c r="E190" s="696"/>
      <c r="F190" s="696"/>
      <c r="G190" s="696"/>
      <c r="H190" s="696"/>
      <c r="I190" s="696"/>
      <c r="J190" s="696"/>
      <c r="K190" s="696"/>
      <c r="L190" s="696"/>
      <c r="M190" s="696"/>
      <c r="N190" s="696"/>
      <c r="O190" s="697"/>
      <c r="P190" s="693" t="s">
        <v>40</v>
      </c>
      <c r="Q190" s="694"/>
      <c r="R190" s="694"/>
      <c r="S190" s="694"/>
      <c r="T190" s="694"/>
      <c r="U190" s="694"/>
      <c r="V190" s="695"/>
      <c r="W190" s="42" t="s">
        <v>0</v>
      </c>
      <c r="X190" s="43">
        <f>IFERROR(SUM(X187:X188),"0")</f>
        <v>1.08</v>
      </c>
      <c r="Y190" s="43">
        <f>IFERROR(SUM(Y187:Y188),"0")</f>
        <v>1.08</v>
      </c>
      <c r="Z190" s="42"/>
      <c r="AA190" s="67"/>
      <c r="AB190" s="67"/>
      <c r="AC190" s="67"/>
    </row>
    <row r="191" spans="1:68" ht="14.25" hidden="1" customHeight="1" x14ac:dyDescent="0.25">
      <c r="A191" s="687" t="s">
        <v>332</v>
      </c>
      <c r="B191" s="687"/>
      <c r="C191" s="687"/>
      <c r="D191" s="687"/>
      <c r="E191" s="687"/>
      <c r="F191" s="687"/>
      <c r="G191" s="687"/>
      <c r="H191" s="687"/>
      <c r="I191" s="687"/>
      <c r="J191" s="687"/>
      <c r="K191" s="687"/>
      <c r="L191" s="687"/>
      <c r="M191" s="687"/>
      <c r="N191" s="687"/>
      <c r="O191" s="687"/>
      <c r="P191" s="687"/>
      <c r="Q191" s="687"/>
      <c r="R191" s="687"/>
      <c r="S191" s="687"/>
      <c r="T191" s="687"/>
      <c r="U191" s="687"/>
      <c r="V191" s="687"/>
      <c r="W191" s="687"/>
      <c r="X191" s="687"/>
      <c r="Y191" s="687"/>
      <c r="Z191" s="687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8">
        <v>4680115889033</v>
      </c>
      <c r="E192" s="688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0"/>
      <c r="R192" s="690"/>
      <c r="S192" s="690"/>
      <c r="T192" s="691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6"/>
      <c r="B193" s="696"/>
      <c r="C193" s="696"/>
      <c r="D193" s="696"/>
      <c r="E193" s="696"/>
      <c r="F193" s="696"/>
      <c r="G193" s="696"/>
      <c r="H193" s="696"/>
      <c r="I193" s="696"/>
      <c r="J193" s="696"/>
      <c r="K193" s="696"/>
      <c r="L193" s="696"/>
      <c r="M193" s="696"/>
      <c r="N193" s="696"/>
      <c r="O193" s="697"/>
      <c r="P193" s="693" t="s">
        <v>40</v>
      </c>
      <c r="Q193" s="694"/>
      <c r="R193" s="694"/>
      <c r="S193" s="694"/>
      <c r="T193" s="694"/>
      <c r="U193" s="694"/>
      <c r="V193" s="69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6"/>
      <c r="B194" s="696"/>
      <c r="C194" s="696"/>
      <c r="D194" s="696"/>
      <c r="E194" s="696"/>
      <c r="F194" s="696"/>
      <c r="G194" s="696"/>
      <c r="H194" s="696"/>
      <c r="I194" s="696"/>
      <c r="J194" s="696"/>
      <c r="K194" s="696"/>
      <c r="L194" s="696"/>
      <c r="M194" s="696"/>
      <c r="N194" s="696"/>
      <c r="O194" s="697"/>
      <c r="P194" s="693" t="s">
        <v>40</v>
      </c>
      <c r="Q194" s="694"/>
      <c r="R194" s="694"/>
      <c r="S194" s="694"/>
      <c r="T194" s="694"/>
      <c r="U194" s="694"/>
      <c r="V194" s="69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5" t="s">
        <v>336</v>
      </c>
      <c r="B195" s="685"/>
      <c r="C195" s="685"/>
      <c r="D195" s="685"/>
      <c r="E195" s="685"/>
      <c r="F195" s="685"/>
      <c r="G195" s="685"/>
      <c r="H195" s="685"/>
      <c r="I195" s="685"/>
      <c r="J195" s="685"/>
      <c r="K195" s="685"/>
      <c r="L195" s="685"/>
      <c r="M195" s="685"/>
      <c r="N195" s="685"/>
      <c r="O195" s="685"/>
      <c r="P195" s="685"/>
      <c r="Q195" s="685"/>
      <c r="R195" s="685"/>
      <c r="S195" s="685"/>
      <c r="T195" s="685"/>
      <c r="U195" s="685"/>
      <c r="V195" s="685"/>
      <c r="W195" s="685"/>
      <c r="X195" s="685"/>
      <c r="Y195" s="685"/>
      <c r="Z195" s="685"/>
      <c r="AA195" s="54"/>
      <c r="AB195" s="54"/>
      <c r="AC195" s="54"/>
    </row>
    <row r="196" spans="1:68" ht="16.5" hidden="1" customHeight="1" x14ac:dyDescent="0.25">
      <c r="A196" s="686" t="s">
        <v>337</v>
      </c>
      <c r="B196" s="686"/>
      <c r="C196" s="686"/>
      <c r="D196" s="686"/>
      <c r="E196" s="686"/>
      <c r="F196" s="686"/>
      <c r="G196" s="686"/>
      <c r="H196" s="686"/>
      <c r="I196" s="686"/>
      <c r="J196" s="686"/>
      <c r="K196" s="686"/>
      <c r="L196" s="686"/>
      <c r="M196" s="686"/>
      <c r="N196" s="686"/>
      <c r="O196" s="686"/>
      <c r="P196" s="686"/>
      <c r="Q196" s="686"/>
      <c r="R196" s="686"/>
      <c r="S196" s="686"/>
      <c r="T196" s="686"/>
      <c r="U196" s="686"/>
      <c r="V196" s="686"/>
      <c r="W196" s="686"/>
      <c r="X196" s="686"/>
      <c r="Y196" s="686"/>
      <c r="Z196" s="686"/>
      <c r="AA196" s="65"/>
      <c r="AB196" s="65"/>
      <c r="AC196" s="79"/>
    </row>
    <row r="197" spans="1:68" ht="14.25" hidden="1" customHeight="1" x14ac:dyDescent="0.25">
      <c r="A197" s="687" t="s">
        <v>129</v>
      </c>
      <c r="B197" s="687"/>
      <c r="C197" s="687"/>
      <c r="D197" s="687"/>
      <c r="E197" s="687"/>
      <c r="F197" s="687"/>
      <c r="G197" s="687"/>
      <c r="H197" s="687"/>
      <c r="I197" s="687"/>
      <c r="J197" s="687"/>
      <c r="K197" s="687"/>
      <c r="L197" s="687"/>
      <c r="M197" s="687"/>
      <c r="N197" s="687"/>
      <c r="O197" s="687"/>
      <c r="P197" s="687"/>
      <c r="Q197" s="687"/>
      <c r="R197" s="687"/>
      <c r="S197" s="687"/>
      <c r="T197" s="687"/>
      <c r="U197" s="687"/>
      <c r="V197" s="687"/>
      <c r="W197" s="687"/>
      <c r="X197" s="687"/>
      <c r="Y197" s="687"/>
      <c r="Z197" s="687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8">
        <v>4680115888760</v>
      </c>
      <c r="E198" s="688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90"/>
      <c r="R198" s="690"/>
      <c r="S198" s="690"/>
      <c r="T198" s="691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8">
        <v>4680115888807</v>
      </c>
      <c r="E199" s="688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90"/>
      <c r="R199" s="690"/>
      <c r="S199" s="690"/>
      <c r="T199" s="691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8">
        <v>4680115888852</v>
      </c>
      <c r="E200" s="688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90"/>
      <c r="R200" s="690"/>
      <c r="S200" s="690"/>
      <c r="T200" s="691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8">
        <v>4607091383423</v>
      </c>
      <c r="E201" s="688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90"/>
      <c r="R201" s="690"/>
      <c r="S201" s="690"/>
      <c r="T201" s="691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8">
        <v>4680115886957</v>
      </c>
      <c r="E202" s="688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0"/>
      <c r="R202" s="690"/>
      <c r="S202" s="690"/>
      <c r="T202" s="691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8">
        <v>4680115885660</v>
      </c>
      <c r="E203" s="688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0"/>
      <c r="R203" s="690"/>
      <c r="S203" s="690"/>
      <c r="T203" s="691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8">
        <v>4680115886773</v>
      </c>
      <c r="E204" s="688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0"/>
      <c r="R204" s="690"/>
      <c r="S204" s="690"/>
      <c r="T204" s="691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6"/>
      <c r="B205" s="696"/>
      <c r="C205" s="696"/>
      <c r="D205" s="696"/>
      <c r="E205" s="696"/>
      <c r="F205" s="696"/>
      <c r="G205" s="696"/>
      <c r="H205" s="696"/>
      <c r="I205" s="696"/>
      <c r="J205" s="696"/>
      <c r="K205" s="696"/>
      <c r="L205" s="696"/>
      <c r="M205" s="696"/>
      <c r="N205" s="696"/>
      <c r="O205" s="697"/>
      <c r="P205" s="693" t="s">
        <v>40</v>
      </c>
      <c r="Q205" s="694"/>
      <c r="R205" s="694"/>
      <c r="S205" s="694"/>
      <c r="T205" s="694"/>
      <c r="U205" s="694"/>
      <c r="V205" s="69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6"/>
      <c r="B206" s="696"/>
      <c r="C206" s="696"/>
      <c r="D206" s="696"/>
      <c r="E206" s="696"/>
      <c r="F206" s="696"/>
      <c r="G206" s="696"/>
      <c r="H206" s="696"/>
      <c r="I206" s="696"/>
      <c r="J206" s="696"/>
      <c r="K206" s="696"/>
      <c r="L206" s="696"/>
      <c r="M206" s="696"/>
      <c r="N206" s="696"/>
      <c r="O206" s="697"/>
      <c r="P206" s="693" t="s">
        <v>40</v>
      </c>
      <c r="Q206" s="694"/>
      <c r="R206" s="694"/>
      <c r="S206" s="694"/>
      <c r="T206" s="694"/>
      <c r="U206" s="694"/>
      <c r="V206" s="69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6" t="s">
        <v>358</v>
      </c>
      <c r="B207" s="686"/>
      <c r="C207" s="686"/>
      <c r="D207" s="686"/>
      <c r="E207" s="686"/>
      <c r="F207" s="686"/>
      <c r="G207" s="686"/>
      <c r="H207" s="686"/>
      <c r="I207" s="686"/>
      <c r="J207" s="686"/>
      <c r="K207" s="686"/>
      <c r="L207" s="686"/>
      <c r="M207" s="686"/>
      <c r="N207" s="686"/>
      <c r="O207" s="686"/>
      <c r="P207" s="686"/>
      <c r="Q207" s="686"/>
      <c r="R207" s="686"/>
      <c r="S207" s="686"/>
      <c r="T207" s="686"/>
      <c r="U207" s="686"/>
      <c r="V207" s="686"/>
      <c r="W207" s="686"/>
      <c r="X207" s="686"/>
      <c r="Y207" s="686"/>
      <c r="Z207" s="686"/>
      <c r="AA207" s="65"/>
      <c r="AB207" s="65"/>
      <c r="AC207" s="79"/>
    </row>
    <row r="208" spans="1:68" ht="14.25" hidden="1" customHeight="1" x14ac:dyDescent="0.25">
      <c r="A208" s="687" t="s">
        <v>166</v>
      </c>
      <c r="B208" s="687"/>
      <c r="C208" s="687"/>
      <c r="D208" s="687"/>
      <c r="E208" s="687"/>
      <c r="F208" s="687"/>
      <c r="G208" s="687"/>
      <c r="H208" s="687"/>
      <c r="I208" s="687"/>
      <c r="J208" s="687"/>
      <c r="K208" s="687"/>
      <c r="L208" s="687"/>
      <c r="M208" s="687"/>
      <c r="N208" s="687"/>
      <c r="O208" s="687"/>
      <c r="P208" s="687"/>
      <c r="Q208" s="687"/>
      <c r="R208" s="687"/>
      <c r="S208" s="687"/>
      <c r="T208" s="687"/>
      <c r="U208" s="687"/>
      <c r="V208" s="687"/>
      <c r="W208" s="687"/>
      <c r="X208" s="687"/>
      <c r="Y208" s="687"/>
      <c r="Z208" s="687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88">
        <v>4680115886223</v>
      </c>
      <c r="E209" s="688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0"/>
      <c r="R209" s="690"/>
      <c r="S209" s="690"/>
      <c r="T209" s="691"/>
      <c r="U209" s="39" t="s">
        <v>46</v>
      </c>
      <c r="V209" s="39" t="s">
        <v>46</v>
      </c>
      <c r="W209" s="40" t="s">
        <v>0</v>
      </c>
      <c r="X209" s="58">
        <v>9.9</v>
      </c>
      <c r="Y209" s="55">
        <f>IFERROR(IF(X209="",0,CEILING((X209/$H209),1)*$H209),"")</f>
        <v>9.9</v>
      </c>
      <c r="Z209" s="41">
        <f>IFERROR(IF(Y209=0,"",ROUNDUP(Y209/H209,0)*0.00502),"")</f>
        <v>2.5100000000000001E-2</v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10.400000000000002</v>
      </c>
      <c r="BN209" s="78">
        <f>IFERROR(Y209*I209/H209,"0")</f>
        <v>10.400000000000002</v>
      </c>
      <c r="BO209" s="78">
        <f>IFERROR(1/J209*(X209/H209),"0")</f>
        <v>2.1367521367521368E-2</v>
      </c>
      <c r="BP209" s="78">
        <f>IFERROR(1/J209*(Y209/H209),"0")</f>
        <v>2.1367521367521368E-2</v>
      </c>
    </row>
    <row r="210" spans="1:68" x14ac:dyDescent="0.2">
      <c r="A210" s="696"/>
      <c r="B210" s="696"/>
      <c r="C210" s="696"/>
      <c r="D210" s="696"/>
      <c r="E210" s="696"/>
      <c r="F210" s="696"/>
      <c r="G210" s="696"/>
      <c r="H210" s="696"/>
      <c r="I210" s="696"/>
      <c r="J210" s="696"/>
      <c r="K210" s="696"/>
      <c r="L210" s="696"/>
      <c r="M210" s="696"/>
      <c r="N210" s="696"/>
      <c r="O210" s="697"/>
      <c r="P210" s="693" t="s">
        <v>40</v>
      </c>
      <c r="Q210" s="694"/>
      <c r="R210" s="694"/>
      <c r="S210" s="694"/>
      <c r="T210" s="694"/>
      <c r="U210" s="694"/>
      <c r="V210" s="695"/>
      <c r="W210" s="42" t="s">
        <v>39</v>
      </c>
      <c r="X210" s="43">
        <f>IFERROR(X209/H209,"0")</f>
        <v>5</v>
      </c>
      <c r="Y210" s="43">
        <f>IFERROR(Y209/H209,"0")</f>
        <v>5</v>
      </c>
      <c r="Z210" s="43">
        <f>IFERROR(IF(Z209="",0,Z209),"0")</f>
        <v>2.5100000000000001E-2</v>
      </c>
      <c r="AA210" s="67"/>
      <c r="AB210" s="67"/>
      <c r="AC210" s="67"/>
    </row>
    <row r="211" spans="1:68" x14ac:dyDescent="0.2">
      <c r="A211" s="696"/>
      <c r="B211" s="696"/>
      <c r="C211" s="696"/>
      <c r="D211" s="696"/>
      <c r="E211" s="696"/>
      <c r="F211" s="696"/>
      <c r="G211" s="696"/>
      <c r="H211" s="696"/>
      <c r="I211" s="696"/>
      <c r="J211" s="696"/>
      <c r="K211" s="696"/>
      <c r="L211" s="696"/>
      <c r="M211" s="696"/>
      <c r="N211" s="696"/>
      <c r="O211" s="697"/>
      <c r="P211" s="693" t="s">
        <v>40</v>
      </c>
      <c r="Q211" s="694"/>
      <c r="R211" s="694"/>
      <c r="S211" s="694"/>
      <c r="T211" s="694"/>
      <c r="U211" s="694"/>
      <c r="V211" s="695"/>
      <c r="W211" s="42" t="s">
        <v>0</v>
      </c>
      <c r="X211" s="43">
        <f>IFERROR(SUM(X209:X209),"0")</f>
        <v>9.9</v>
      </c>
      <c r="Y211" s="43">
        <f>IFERROR(SUM(Y209:Y209),"0")</f>
        <v>9.9</v>
      </c>
      <c r="Z211" s="42"/>
      <c r="AA211" s="67"/>
      <c r="AB211" s="67"/>
      <c r="AC211" s="67"/>
    </row>
    <row r="212" spans="1:68" ht="14.25" hidden="1" customHeight="1" x14ac:dyDescent="0.25">
      <c r="A212" s="687" t="s">
        <v>77</v>
      </c>
      <c r="B212" s="687"/>
      <c r="C212" s="687"/>
      <c r="D212" s="687"/>
      <c r="E212" s="687"/>
      <c r="F212" s="687"/>
      <c r="G212" s="687"/>
      <c r="H212" s="687"/>
      <c r="I212" s="687"/>
      <c r="J212" s="687"/>
      <c r="K212" s="687"/>
      <c r="L212" s="687"/>
      <c r="M212" s="687"/>
      <c r="N212" s="687"/>
      <c r="O212" s="687"/>
      <c r="P212" s="687"/>
      <c r="Q212" s="687"/>
      <c r="R212" s="687"/>
      <c r="S212" s="687"/>
      <c r="T212" s="687"/>
      <c r="U212" s="687"/>
      <c r="V212" s="687"/>
      <c r="W212" s="687"/>
      <c r="X212" s="687"/>
      <c r="Y212" s="687"/>
      <c r="Z212" s="687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88">
        <v>4680115880993</v>
      </c>
      <c r="E213" s="688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0"/>
      <c r="R213" s="690"/>
      <c r="S213" s="690"/>
      <c r="T213" s="691"/>
      <c r="U213" s="39" t="s">
        <v>46</v>
      </c>
      <c r="V213" s="39" t="s">
        <v>46</v>
      </c>
      <c r="W213" s="40" t="s">
        <v>0</v>
      </c>
      <c r="X213" s="58">
        <v>25.2</v>
      </c>
      <c r="Y213" s="55">
        <f t="shared" ref="Y213:Y226" si="26">IFERROR(IF(X213="",0,CEILING((X213/$H213),1)*$H213),"")</f>
        <v>25.200000000000003</v>
      </c>
      <c r="Z213" s="41">
        <f>IFERROR(IF(Y213=0,"",ROUNDUP(Y213/H213,0)*0.00902),"")</f>
        <v>5.4120000000000001E-2</v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26.7</v>
      </c>
      <c r="BN213" s="78">
        <f t="shared" ref="BN213:BN226" si="28">IFERROR(Y213*I213/H213,"0")</f>
        <v>26.700000000000003</v>
      </c>
      <c r="BO213" s="78">
        <f t="shared" ref="BO213:BO226" si="29">IFERROR(1/J213*(X213/H213),"0")</f>
        <v>4.5454545454545456E-2</v>
      </c>
      <c r="BP213" s="78">
        <f t="shared" ref="BP213:BP226" si="30">IFERROR(1/J213*(Y213/H213),"0")</f>
        <v>4.5454545454545456E-2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88">
        <v>4680115881761</v>
      </c>
      <c r="E214" s="688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0"/>
      <c r="R214" s="690"/>
      <c r="S214" s="690"/>
      <c r="T214" s="691"/>
      <c r="U214" s="39" t="s">
        <v>46</v>
      </c>
      <c r="V214" s="39" t="s">
        <v>46</v>
      </c>
      <c r="W214" s="40" t="s">
        <v>0</v>
      </c>
      <c r="X214" s="58">
        <v>16.8</v>
      </c>
      <c r="Y214" s="55">
        <f t="shared" si="26"/>
        <v>16.8</v>
      </c>
      <c r="Z214" s="41">
        <f>IFERROR(IF(Y214=0,"",ROUNDUP(Y214/H214,0)*0.00902),"")</f>
        <v>3.6080000000000001E-2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17.8</v>
      </c>
      <c r="BN214" s="78">
        <f t="shared" si="28"/>
        <v>17.8</v>
      </c>
      <c r="BO214" s="78">
        <f t="shared" si="29"/>
        <v>3.0303030303030304E-2</v>
      </c>
      <c r="BP214" s="78">
        <f t="shared" si="30"/>
        <v>3.0303030303030304E-2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88">
        <v>4680115881563</v>
      </c>
      <c r="E215" s="688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0"/>
      <c r="R215" s="690"/>
      <c r="S215" s="690"/>
      <c r="T215" s="691"/>
      <c r="U215" s="39" t="s">
        <v>46</v>
      </c>
      <c r="V215" s="39" t="s">
        <v>46</v>
      </c>
      <c r="W215" s="40" t="s">
        <v>0</v>
      </c>
      <c r="X215" s="58">
        <v>25.2</v>
      </c>
      <c r="Y215" s="55">
        <f t="shared" si="26"/>
        <v>25.200000000000003</v>
      </c>
      <c r="Z215" s="41">
        <f>IFERROR(IF(Y215=0,"",ROUNDUP(Y215/H215,0)*0.00902),"")</f>
        <v>5.4120000000000001E-2</v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26.339999999999996</v>
      </c>
      <c r="BN215" s="78">
        <f t="shared" si="28"/>
        <v>26.34</v>
      </c>
      <c r="BO215" s="78">
        <f t="shared" si="29"/>
        <v>4.5454545454545456E-2</v>
      </c>
      <c r="BP215" s="78">
        <f t="shared" si="30"/>
        <v>4.5454545454545456E-2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88">
        <v>4680115887565</v>
      </c>
      <c r="E216" s="688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0"/>
      <c r="R216" s="690"/>
      <c r="S216" s="690"/>
      <c r="T216" s="691"/>
      <c r="U216" s="39" t="s">
        <v>46</v>
      </c>
      <c r="V216" s="39" t="s">
        <v>46</v>
      </c>
      <c r="W216" s="40" t="s">
        <v>0</v>
      </c>
      <c r="X216" s="58">
        <v>0.8</v>
      </c>
      <c r="Y216" s="55">
        <f t="shared" si="26"/>
        <v>0.8</v>
      </c>
      <c r="Z216" s="41">
        <f>IFERROR(IF(Y216=0,"",ROUNDUP(Y216/H216,0)*0.00556),"")</f>
        <v>5.5599999999999998E-3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0.93</v>
      </c>
      <c r="BN216" s="78">
        <f t="shared" si="28"/>
        <v>0.93</v>
      </c>
      <c r="BO216" s="78">
        <f t="shared" si="29"/>
        <v>3.968253968253968E-3</v>
      </c>
      <c r="BP216" s="78">
        <f t="shared" si="30"/>
        <v>3.968253968253968E-3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88">
        <v>4680115880986</v>
      </c>
      <c r="E217" s="688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0"/>
      <c r="R217" s="690"/>
      <c r="S217" s="690"/>
      <c r="T217" s="691"/>
      <c r="U217" s="39" t="s">
        <v>46</v>
      </c>
      <c r="V217" s="39" t="s">
        <v>46</v>
      </c>
      <c r="W217" s="40" t="s">
        <v>0</v>
      </c>
      <c r="X217" s="58">
        <v>10.5</v>
      </c>
      <c r="Y217" s="55">
        <f t="shared" si="26"/>
        <v>10.5</v>
      </c>
      <c r="Z217" s="41">
        <f t="shared" ref="Z217:Z222" si="31">IFERROR(IF(Y217=0,"",ROUNDUP(Y217/H217,0)*0.00502),"")</f>
        <v>2.5100000000000001E-2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11.149999999999999</v>
      </c>
      <c r="BN217" s="78">
        <f t="shared" si="28"/>
        <v>11.149999999999999</v>
      </c>
      <c r="BO217" s="78">
        <f t="shared" si="29"/>
        <v>2.1367521367521368E-2</v>
      </c>
      <c r="BP217" s="78">
        <f t="shared" si="30"/>
        <v>2.1367521367521368E-2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88">
        <v>4680115887213</v>
      </c>
      <c r="E218" s="688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0"/>
      <c r="R218" s="690"/>
      <c r="S218" s="690"/>
      <c r="T218" s="691"/>
      <c r="U218" s="39" t="s">
        <v>46</v>
      </c>
      <c r="V218" s="39" t="s">
        <v>46</v>
      </c>
      <c r="W218" s="40" t="s">
        <v>0</v>
      </c>
      <c r="X218" s="58">
        <v>9</v>
      </c>
      <c r="Y218" s="55">
        <f t="shared" si="26"/>
        <v>9</v>
      </c>
      <c r="Z218" s="41">
        <f t="shared" si="31"/>
        <v>2.5100000000000001E-2</v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9.4999999999999982</v>
      </c>
      <c r="BN218" s="78">
        <f t="shared" si="28"/>
        <v>9.4999999999999982</v>
      </c>
      <c r="BO218" s="78">
        <f t="shared" si="29"/>
        <v>2.1367521367521368E-2</v>
      </c>
      <c r="BP218" s="78">
        <f t="shared" si="30"/>
        <v>2.1367521367521368E-2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88">
        <v>4680115881785</v>
      </c>
      <c r="E219" s="688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0"/>
      <c r="R219" s="690"/>
      <c r="S219" s="690"/>
      <c r="T219" s="691"/>
      <c r="U219" s="39" t="s">
        <v>46</v>
      </c>
      <c r="V219" s="39" t="s">
        <v>46</v>
      </c>
      <c r="W219" s="40" t="s">
        <v>0</v>
      </c>
      <c r="X219" s="58">
        <v>10.5</v>
      </c>
      <c r="Y219" s="55">
        <f t="shared" si="26"/>
        <v>10.5</v>
      </c>
      <c r="Z219" s="41">
        <f t="shared" si="31"/>
        <v>2.5100000000000001E-2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11.149999999999999</v>
      </c>
      <c r="BN219" s="78">
        <f t="shared" si="28"/>
        <v>11.149999999999999</v>
      </c>
      <c r="BO219" s="78">
        <f t="shared" si="29"/>
        <v>2.1367521367521368E-2</v>
      </c>
      <c r="BP219" s="78">
        <f t="shared" si="30"/>
        <v>2.1367521367521368E-2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8">
        <v>4680115888432</v>
      </c>
      <c r="E220" s="688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0"/>
      <c r="R220" s="690"/>
      <c r="S220" s="690"/>
      <c r="T220" s="691"/>
      <c r="U220" s="39" t="s">
        <v>46</v>
      </c>
      <c r="V220" s="39" t="s">
        <v>46</v>
      </c>
      <c r="W220" s="40" t="s">
        <v>0</v>
      </c>
      <c r="X220" s="58"/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88">
        <v>4680115888104</v>
      </c>
      <c r="E221" s="688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0"/>
      <c r="R221" s="690"/>
      <c r="S221" s="690"/>
      <c r="T221" s="691"/>
      <c r="U221" s="39" t="s">
        <v>46</v>
      </c>
      <c r="V221" s="39" t="s">
        <v>46</v>
      </c>
      <c r="W221" s="40" t="s">
        <v>0</v>
      </c>
      <c r="X221" s="58">
        <v>10.5</v>
      </c>
      <c r="Y221" s="55">
        <f t="shared" si="26"/>
        <v>10.5</v>
      </c>
      <c r="Z221" s="41">
        <f t="shared" si="31"/>
        <v>2.5100000000000001E-2</v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11</v>
      </c>
      <c r="BN221" s="78">
        <f t="shared" si="28"/>
        <v>11</v>
      </c>
      <c r="BO221" s="78">
        <f t="shared" si="29"/>
        <v>2.1367521367521368E-2</v>
      </c>
      <c r="BP221" s="78">
        <f t="shared" si="30"/>
        <v>2.1367521367521368E-2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88">
        <v>4680115886537</v>
      </c>
      <c r="E222" s="688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0"/>
      <c r="R222" s="690"/>
      <c r="S222" s="690"/>
      <c r="T222" s="691"/>
      <c r="U222" s="39" t="s">
        <v>46</v>
      </c>
      <c r="V222" s="39" t="s">
        <v>46</v>
      </c>
      <c r="W222" s="40" t="s">
        <v>0</v>
      </c>
      <c r="X222" s="58">
        <v>9</v>
      </c>
      <c r="Y222" s="55">
        <f t="shared" si="26"/>
        <v>9</v>
      </c>
      <c r="Z222" s="41">
        <f t="shared" si="31"/>
        <v>2.5100000000000001E-2</v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9.65</v>
      </c>
      <c r="BN222" s="78">
        <f t="shared" si="28"/>
        <v>9.65</v>
      </c>
      <c r="BO222" s="78">
        <f t="shared" si="29"/>
        <v>2.1367521367521368E-2</v>
      </c>
      <c r="BP222" s="78">
        <f t="shared" si="30"/>
        <v>2.1367521367521368E-2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88">
        <v>4680115887596</v>
      </c>
      <c r="E223" s="688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0"/>
      <c r="R223" s="690"/>
      <c r="S223" s="690"/>
      <c r="T223" s="691"/>
      <c r="U223" s="39" t="s">
        <v>46</v>
      </c>
      <c r="V223" s="39" t="s">
        <v>46</v>
      </c>
      <c r="W223" s="40" t="s">
        <v>0</v>
      </c>
      <c r="X223" s="58">
        <v>0.8</v>
      </c>
      <c r="Y223" s="55">
        <f t="shared" si="26"/>
        <v>0.8</v>
      </c>
      <c r="Z223" s="41">
        <f>IFERROR(IF(Y223=0,"",ROUNDUP(Y223/H223,0)*0.00417),"")</f>
        <v>4.1700000000000001E-3</v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1.01</v>
      </c>
      <c r="BN223" s="78">
        <f t="shared" si="28"/>
        <v>1.01</v>
      </c>
      <c r="BO223" s="78">
        <f t="shared" si="29"/>
        <v>2.976190476190476E-3</v>
      </c>
      <c r="BP223" s="78">
        <f t="shared" si="30"/>
        <v>2.976190476190476E-3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88">
        <v>4680115881679</v>
      </c>
      <c r="E224" s="688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0"/>
      <c r="R224" s="690"/>
      <c r="S224" s="690"/>
      <c r="T224" s="691"/>
      <c r="U224" s="39" t="s">
        <v>46</v>
      </c>
      <c r="V224" s="39" t="s">
        <v>46</v>
      </c>
      <c r="W224" s="40" t="s">
        <v>0</v>
      </c>
      <c r="X224" s="58">
        <v>10.5</v>
      </c>
      <c r="Y224" s="55">
        <f t="shared" si="26"/>
        <v>10.5</v>
      </c>
      <c r="Z224" s="41">
        <f>IFERROR(IF(Y224=0,"",ROUNDUP(Y224/H224,0)*0.00502),"")</f>
        <v>2.5100000000000001E-2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11</v>
      </c>
      <c r="BN224" s="78">
        <f t="shared" si="28"/>
        <v>11</v>
      </c>
      <c r="BO224" s="78">
        <f t="shared" si="29"/>
        <v>2.1367521367521368E-2</v>
      </c>
      <c r="BP224" s="78">
        <f t="shared" si="30"/>
        <v>2.1367521367521368E-2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8">
        <v>4680115880191</v>
      </c>
      <c r="E225" s="688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0"/>
      <c r="R225" s="690"/>
      <c r="S225" s="690"/>
      <c r="T225" s="69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88">
        <v>4680115883963</v>
      </c>
      <c r="E226" s="688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0"/>
      <c r="R226" s="690"/>
      <c r="S226" s="690"/>
      <c r="T226" s="691"/>
      <c r="U226" s="39" t="s">
        <v>46</v>
      </c>
      <c r="V226" s="39" t="s">
        <v>46</v>
      </c>
      <c r="W226" s="40" t="s">
        <v>0</v>
      </c>
      <c r="X226" s="58">
        <v>8.4</v>
      </c>
      <c r="Y226" s="55">
        <f t="shared" si="26"/>
        <v>8.4</v>
      </c>
      <c r="Z226" s="41">
        <f>IFERROR(IF(Y226=0,"",ROUNDUP(Y226/H226,0)*0.00502),"")</f>
        <v>2.5100000000000001E-2</v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8.9000000000000021</v>
      </c>
      <c r="BN226" s="78">
        <f t="shared" si="28"/>
        <v>8.9000000000000021</v>
      </c>
      <c r="BO226" s="78">
        <f t="shared" si="29"/>
        <v>2.1367521367521368E-2</v>
      </c>
      <c r="BP226" s="78">
        <f t="shared" si="30"/>
        <v>2.1367521367521368E-2</v>
      </c>
    </row>
    <row r="227" spans="1:68" x14ac:dyDescent="0.2">
      <c r="A227" s="696"/>
      <c r="B227" s="696"/>
      <c r="C227" s="696"/>
      <c r="D227" s="696"/>
      <c r="E227" s="696"/>
      <c r="F227" s="696"/>
      <c r="G227" s="696"/>
      <c r="H227" s="696"/>
      <c r="I227" s="696"/>
      <c r="J227" s="696"/>
      <c r="K227" s="696"/>
      <c r="L227" s="696"/>
      <c r="M227" s="696"/>
      <c r="N227" s="696"/>
      <c r="O227" s="697"/>
      <c r="P227" s="693" t="s">
        <v>40</v>
      </c>
      <c r="Q227" s="694"/>
      <c r="R227" s="694"/>
      <c r="S227" s="694"/>
      <c r="T227" s="694"/>
      <c r="U227" s="694"/>
      <c r="V227" s="69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53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53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0.3297500000000001</v>
      </c>
      <c r="AA227" s="67"/>
      <c r="AB227" s="67"/>
      <c r="AC227" s="67"/>
    </row>
    <row r="228" spans="1:68" x14ac:dyDescent="0.2">
      <c r="A228" s="696"/>
      <c r="B228" s="696"/>
      <c r="C228" s="696"/>
      <c r="D228" s="696"/>
      <c r="E228" s="696"/>
      <c r="F228" s="696"/>
      <c r="G228" s="696"/>
      <c r="H228" s="696"/>
      <c r="I228" s="696"/>
      <c r="J228" s="696"/>
      <c r="K228" s="696"/>
      <c r="L228" s="696"/>
      <c r="M228" s="696"/>
      <c r="N228" s="696"/>
      <c r="O228" s="697"/>
      <c r="P228" s="693" t="s">
        <v>40</v>
      </c>
      <c r="Q228" s="694"/>
      <c r="R228" s="694"/>
      <c r="S228" s="694"/>
      <c r="T228" s="694"/>
      <c r="U228" s="694"/>
      <c r="V228" s="695"/>
      <c r="W228" s="42" t="s">
        <v>0</v>
      </c>
      <c r="X228" s="43">
        <f>IFERROR(SUM(X213:X226),"0")</f>
        <v>137.20000000000002</v>
      </c>
      <c r="Y228" s="43">
        <f>IFERROR(SUM(Y213:Y226),"0")</f>
        <v>137.20000000000002</v>
      </c>
      <c r="Z228" s="42"/>
      <c r="AA228" s="67"/>
      <c r="AB228" s="67"/>
      <c r="AC228" s="67"/>
    </row>
    <row r="229" spans="1:68" ht="14.25" hidden="1" customHeight="1" x14ac:dyDescent="0.25">
      <c r="A229" s="687" t="s">
        <v>86</v>
      </c>
      <c r="B229" s="687"/>
      <c r="C229" s="687"/>
      <c r="D229" s="687"/>
      <c r="E229" s="687"/>
      <c r="F229" s="687"/>
      <c r="G229" s="687"/>
      <c r="H229" s="687"/>
      <c r="I229" s="687"/>
      <c r="J229" s="687"/>
      <c r="K229" s="687"/>
      <c r="L229" s="687"/>
      <c r="M229" s="687"/>
      <c r="N229" s="687"/>
      <c r="O229" s="687"/>
      <c r="P229" s="687"/>
      <c r="Q229" s="687"/>
      <c r="R229" s="687"/>
      <c r="S229" s="687"/>
      <c r="T229" s="687"/>
      <c r="U229" s="687"/>
      <c r="V229" s="687"/>
      <c r="W229" s="687"/>
      <c r="X229" s="687"/>
      <c r="Y229" s="687"/>
      <c r="Z229" s="687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8">
        <v>4680115888975</v>
      </c>
      <c r="E230" s="688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0"/>
      <c r="R230" s="690"/>
      <c r="S230" s="690"/>
      <c r="T230" s="691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88">
        <v>4680115888692</v>
      </c>
      <c r="E231" s="688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8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0"/>
      <c r="R231" s="690"/>
      <c r="S231" s="690"/>
      <c r="T231" s="691"/>
      <c r="U231" s="39" t="s">
        <v>46</v>
      </c>
      <c r="V231" s="39" t="s">
        <v>46</v>
      </c>
      <c r="W231" s="40" t="s">
        <v>0</v>
      </c>
      <c r="X231" s="58">
        <v>14.4</v>
      </c>
      <c r="Y231" s="55">
        <f>IFERROR(IF(X231="",0,CEILING((X231/$H231),1)*$H231),"")</f>
        <v>14.399999999999999</v>
      </c>
      <c r="Z231" s="41">
        <f>IFERROR(IF(Y231=0,"",ROUNDUP(Y231/H231,0)*0.01196),"")</f>
        <v>3.5880000000000002E-2</v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15.666000000000002</v>
      </c>
      <c r="BN231" s="78">
        <f>IFERROR(Y231*I231/H231,"0")</f>
        <v>15.666</v>
      </c>
      <c r="BO231" s="78">
        <f>IFERROR(1/J231*(X231/H231),"0")</f>
        <v>2.8846153846153848E-2</v>
      </c>
      <c r="BP231" s="78">
        <f>IFERROR(1/J231*(Y231/H231),"0")</f>
        <v>2.8846153846153848E-2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88">
        <v>4680115888722</v>
      </c>
      <c r="E232" s="688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0"/>
      <c r="R232" s="690"/>
      <c r="S232" s="690"/>
      <c r="T232" s="691"/>
      <c r="U232" s="39" t="s">
        <v>46</v>
      </c>
      <c r="V232" s="39" t="s">
        <v>46</v>
      </c>
      <c r="W232" s="40" t="s">
        <v>0</v>
      </c>
      <c r="X232" s="58">
        <v>14.4</v>
      </c>
      <c r="Y232" s="55">
        <f>IFERROR(IF(X232="",0,CEILING((X232/$H232),1)*$H232),"")</f>
        <v>14.399999999999999</v>
      </c>
      <c r="Z232" s="41">
        <f>IFERROR(IF(Y232=0,"",ROUNDUP(Y232/H232,0)*0.01196),"")</f>
        <v>3.5880000000000002E-2</v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15.666000000000002</v>
      </c>
      <c r="BN232" s="78">
        <f>IFERROR(Y232*I232/H232,"0")</f>
        <v>15.666</v>
      </c>
      <c r="BO232" s="78">
        <f>IFERROR(1/J232*(X232/H232),"0")</f>
        <v>2.8846153846153848E-2</v>
      </c>
      <c r="BP232" s="78">
        <f>IFERROR(1/J232*(Y232/H232),"0")</f>
        <v>2.8846153846153848E-2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88">
        <v>4680115888951</v>
      </c>
      <c r="E233" s="688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0"/>
      <c r="R233" s="690"/>
      <c r="S233" s="690"/>
      <c r="T233" s="691"/>
      <c r="U233" s="39" t="s">
        <v>46</v>
      </c>
      <c r="V233" s="39" t="s">
        <v>46</v>
      </c>
      <c r="W233" s="40" t="s">
        <v>0</v>
      </c>
      <c r="X233" s="58">
        <v>2.16</v>
      </c>
      <c r="Y233" s="55">
        <f>IFERROR(IF(X233="",0,CEILING((X233/$H233),1)*$H233),"")</f>
        <v>2.16</v>
      </c>
      <c r="Z233" s="41">
        <f>IFERROR(IF(Y233=0,"",ROUNDUP(Y233/H233,0)*0.00902),"")</f>
        <v>9.0200000000000002E-3</v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2.4220000000000002</v>
      </c>
      <c r="BN233" s="78">
        <f>IFERROR(Y233*I233/H233,"0")</f>
        <v>2.4220000000000002</v>
      </c>
      <c r="BO233" s="78">
        <f>IFERROR(1/J233*(X233/H233),"0")</f>
        <v>7.575757575757576E-3</v>
      </c>
      <c r="BP233" s="78">
        <f>IFERROR(1/J233*(Y233/H233),"0")</f>
        <v>7.575757575757576E-3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88">
        <v>4680115888982</v>
      </c>
      <c r="E234" s="688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0"/>
      <c r="R234" s="690"/>
      <c r="S234" s="690"/>
      <c r="T234" s="691"/>
      <c r="U234" s="39" t="s">
        <v>46</v>
      </c>
      <c r="V234" s="39" t="s">
        <v>46</v>
      </c>
      <c r="W234" s="40" t="s">
        <v>0</v>
      </c>
      <c r="X234" s="58">
        <v>2.16</v>
      </c>
      <c r="Y234" s="55">
        <f>IFERROR(IF(X234="",0,CEILING((X234/$H234),1)*$H234),"")</f>
        <v>2.16</v>
      </c>
      <c r="Z234" s="41">
        <f>IFERROR(IF(Y234=0,"",ROUNDUP(Y234/H234,0)*0.00902),"")</f>
        <v>9.0200000000000002E-3</v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2.4220000000000002</v>
      </c>
      <c r="BN234" s="78">
        <f>IFERROR(Y234*I234/H234,"0")</f>
        <v>2.4220000000000002</v>
      </c>
      <c r="BO234" s="78">
        <f>IFERROR(1/J234*(X234/H234),"0")</f>
        <v>7.575757575757576E-3</v>
      </c>
      <c r="BP234" s="78">
        <f>IFERROR(1/J234*(Y234/H234),"0")</f>
        <v>7.575757575757576E-3</v>
      </c>
    </row>
    <row r="235" spans="1:68" x14ac:dyDescent="0.2">
      <c r="A235" s="696"/>
      <c r="B235" s="696"/>
      <c r="C235" s="696"/>
      <c r="D235" s="696"/>
      <c r="E235" s="696"/>
      <c r="F235" s="696"/>
      <c r="G235" s="696"/>
      <c r="H235" s="696"/>
      <c r="I235" s="696"/>
      <c r="J235" s="696"/>
      <c r="K235" s="696"/>
      <c r="L235" s="696"/>
      <c r="M235" s="696"/>
      <c r="N235" s="696"/>
      <c r="O235" s="697"/>
      <c r="P235" s="693" t="s">
        <v>40</v>
      </c>
      <c r="Q235" s="694"/>
      <c r="R235" s="694"/>
      <c r="S235" s="694"/>
      <c r="T235" s="694"/>
      <c r="U235" s="694"/>
      <c r="V235" s="695"/>
      <c r="W235" s="42" t="s">
        <v>39</v>
      </c>
      <c r="X235" s="43">
        <f>IFERROR(X230/H230,"0")+IFERROR(X231/H231,"0")+IFERROR(X232/H232,"0")+IFERROR(X233/H233,"0")+IFERROR(X234/H234,"0")</f>
        <v>8</v>
      </c>
      <c r="Y235" s="43">
        <f>IFERROR(Y230/H230,"0")+IFERROR(Y231/H231,"0")+IFERROR(Y232/H232,"0")+IFERROR(Y233/H233,"0")+IFERROR(Y234/H234,"0")</f>
        <v>8</v>
      </c>
      <c r="Z235" s="43">
        <f>IFERROR(IF(Z230="",0,Z230),"0")+IFERROR(IF(Z231="",0,Z231),"0")+IFERROR(IF(Z232="",0,Z232),"0")+IFERROR(IF(Z233="",0,Z233),"0")+IFERROR(IF(Z234="",0,Z234),"0")</f>
        <v>8.9800000000000005E-2</v>
      </c>
      <c r="AA235" s="67"/>
      <c r="AB235" s="67"/>
      <c r="AC235" s="67"/>
    </row>
    <row r="236" spans="1:68" x14ac:dyDescent="0.2">
      <c r="A236" s="696"/>
      <c r="B236" s="696"/>
      <c r="C236" s="696"/>
      <c r="D236" s="696"/>
      <c r="E236" s="696"/>
      <c r="F236" s="696"/>
      <c r="G236" s="696"/>
      <c r="H236" s="696"/>
      <c r="I236" s="696"/>
      <c r="J236" s="696"/>
      <c r="K236" s="696"/>
      <c r="L236" s="696"/>
      <c r="M236" s="696"/>
      <c r="N236" s="696"/>
      <c r="O236" s="697"/>
      <c r="P236" s="693" t="s">
        <v>40</v>
      </c>
      <c r="Q236" s="694"/>
      <c r="R236" s="694"/>
      <c r="S236" s="694"/>
      <c r="T236" s="694"/>
      <c r="U236" s="694"/>
      <c r="V236" s="695"/>
      <c r="W236" s="42" t="s">
        <v>0</v>
      </c>
      <c r="X236" s="43">
        <f>IFERROR(SUM(X230:X234),"0")</f>
        <v>33.120000000000005</v>
      </c>
      <c r="Y236" s="43">
        <f>IFERROR(SUM(Y230:Y234),"0")</f>
        <v>33.119999999999997</v>
      </c>
      <c r="Z236" s="42"/>
      <c r="AA236" s="67"/>
      <c r="AB236" s="67"/>
      <c r="AC236" s="67"/>
    </row>
    <row r="237" spans="1:68" ht="14.25" hidden="1" customHeight="1" x14ac:dyDescent="0.25">
      <c r="A237" s="687" t="s">
        <v>104</v>
      </c>
      <c r="B237" s="687"/>
      <c r="C237" s="687"/>
      <c r="D237" s="687"/>
      <c r="E237" s="687"/>
      <c r="F237" s="687"/>
      <c r="G237" s="687"/>
      <c r="H237" s="687"/>
      <c r="I237" s="687"/>
      <c r="J237" s="687"/>
      <c r="K237" s="687"/>
      <c r="L237" s="687"/>
      <c r="M237" s="687"/>
      <c r="N237" s="687"/>
      <c r="O237" s="687"/>
      <c r="P237" s="687"/>
      <c r="Q237" s="687"/>
      <c r="R237" s="687"/>
      <c r="S237" s="687"/>
      <c r="T237" s="687"/>
      <c r="U237" s="687"/>
      <c r="V237" s="687"/>
      <c r="W237" s="687"/>
      <c r="X237" s="687"/>
      <c r="Y237" s="687"/>
      <c r="Z237" s="687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8">
        <v>4680115886780</v>
      </c>
      <c r="E238" s="688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0"/>
      <c r="R238" s="690"/>
      <c r="S238" s="690"/>
      <c r="T238" s="691"/>
      <c r="U238" s="39" t="s">
        <v>46</v>
      </c>
      <c r="V238" s="39" t="s">
        <v>46</v>
      </c>
      <c r="W238" s="40" t="s">
        <v>0</v>
      </c>
      <c r="X238" s="58">
        <v>1.26</v>
      </c>
      <c r="Y238" s="55">
        <f>IFERROR(IF(X238="",0,CEILING((X238/$H238),1)*$H238),"")</f>
        <v>1.26</v>
      </c>
      <c r="Z238" s="41">
        <f>IFERROR(IF(Y238=0,"",ROUNDUP(Y238/H238,0)*0.0059),"")</f>
        <v>5.8999999999999999E-3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1.45</v>
      </c>
      <c r="BN238" s="78">
        <f>IFERROR(Y238*I238/H238,"0")</f>
        <v>1.45</v>
      </c>
      <c r="BO238" s="78">
        <f>IFERROR(1/J238*(X238/H238),"0")</f>
        <v>4.6296296296296294E-3</v>
      </c>
      <c r="BP238" s="78">
        <f>IFERROR(1/J238*(Y238/H238),"0")</f>
        <v>4.6296296296296294E-3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8">
        <v>4680115886742</v>
      </c>
      <c r="E239" s="688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0"/>
      <c r="R239" s="690"/>
      <c r="S239" s="690"/>
      <c r="T239" s="691"/>
      <c r="U239" s="39" t="s">
        <v>46</v>
      </c>
      <c r="V239" s="39" t="s">
        <v>46</v>
      </c>
      <c r="W239" s="40" t="s">
        <v>0</v>
      </c>
      <c r="X239" s="58">
        <v>1.26</v>
      </c>
      <c r="Y239" s="55">
        <f>IFERROR(IF(X239="",0,CEILING((X239/$H239),1)*$H239),"")</f>
        <v>1.26</v>
      </c>
      <c r="Z239" s="41">
        <f>IFERROR(IF(Y239=0,"",ROUNDUP(Y239/H239,0)*0.0059),"")</f>
        <v>5.8999999999999999E-3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1.45</v>
      </c>
      <c r="BN239" s="78">
        <f>IFERROR(Y239*I239/H239,"0")</f>
        <v>1.45</v>
      </c>
      <c r="BO239" s="78">
        <f>IFERROR(1/J239*(X239/H239),"0")</f>
        <v>4.6296296296296294E-3</v>
      </c>
      <c r="BP239" s="78">
        <f>IFERROR(1/J239*(Y239/H239),"0")</f>
        <v>4.6296296296296294E-3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8">
        <v>4680115886766</v>
      </c>
      <c r="E240" s="688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0"/>
      <c r="R240" s="690"/>
      <c r="S240" s="690"/>
      <c r="T240" s="691"/>
      <c r="U240" s="39" t="s">
        <v>46</v>
      </c>
      <c r="V240" s="39" t="s">
        <v>46</v>
      </c>
      <c r="W240" s="40" t="s">
        <v>0</v>
      </c>
      <c r="X240" s="58">
        <v>1.26</v>
      </c>
      <c r="Y240" s="55">
        <f>IFERROR(IF(X240="",0,CEILING((X240/$H240),1)*$H240),"")</f>
        <v>1.26</v>
      </c>
      <c r="Z240" s="41">
        <f>IFERROR(IF(Y240=0,"",ROUNDUP(Y240/H240,0)*0.0059),"")</f>
        <v>5.8999999999999999E-3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1.45</v>
      </c>
      <c r="BN240" s="78">
        <f>IFERROR(Y240*I240/H240,"0")</f>
        <v>1.45</v>
      </c>
      <c r="BO240" s="78">
        <f>IFERROR(1/J240*(X240/H240),"0")</f>
        <v>4.6296296296296294E-3</v>
      </c>
      <c r="BP240" s="78">
        <f>IFERROR(1/J240*(Y240/H240),"0")</f>
        <v>4.6296296296296294E-3</v>
      </c>
    </row>
    <row r="241" spans="1:68" x14ac:dyDescent="0.2">
      <c r="A241" s="696"/>
      <c r="B241" s="696"/>
      <c r="C241" s="696"/>
      <c r="D241" s="696"/>
      <c r="E241" s="696"/>
      <c r="F241" s="696"/>
      <c r="G241" s="696"/>
      <c r="H241" s="696"/>
      <c r="I241" s="696"/>
      <c r="J241" s="696"/>
      <c r="K241" s="696"/>
      <c r="L241" s="696"/>
      <c r="M241" s="696"/>
      <c r="N241" s="696"/>
      <c r="O241" s="697"/>
      <c r="P241" s="693" t="s">
        <v>40</v>
      </c>
      <c r="Q241" s="694"/>
      <c r="R241" s="694"/>
      <c r="S241" s="694"/>
      <c r="T241" s="694"/>
      <c r="U241" s="694"/>
      <c r="V241" s="695"/>
      <c r="W241" s="42" t="s">
        <v>39</v>
      </c>
      <c r="X241" s="43">
        <f>IFERROR(X238/H238,"0")+IFERROR(X239/H239,"0")+IFERROR(X240/H240,"0")</f>
        <v>3</v>
      </c>
      <c r="Y241" s="43">
        <f>IFERROR(Y238/H238,"0")+IFERROR(Y239/H239,"0")+IFERROR(Y240/H240,"0")</f>
        <v>3</v>
      </c>
      <c r="Z241" s="43">
        <f>IFERROR(IF(Z238="",0,Z238),"0")+IFERROR(IF(Z239="",0,Z239),"0")+IFERROR(IF(Z240="",0,Z240),"0")</f>
        <v>1.77E-2</v>
      </c>
      <c r="AA241" s="67"/>
      <c r="AB241" s="67"/>
      <c r="AC241" s="67"/>
    </row>
    <row r="242" spans="1:68" x14ac:dyDescent="0.2">
      <c r="A242" s="696"/>
      <c r="B242" s="696"/>
      <c r="C242" s="696"/>
      <c r="D242" s="696"/>
      <c r="E242" s="696"/>
      <c r="F242" s="696"/>
      <c r="G242" s="696"/>
      <c r="H242" s="696"/>
      <c r="I242" s="696"/>
      <c r="J242" s="696"/>
      <c r="K242" s="696"/>
      <c r="L242" s="696"/>
      <c r="M242" s="696"/>
      <c r="N242" s="696"/>
      <c r="O242" s="697"/>
      <c r="P242" s="693" t="s">
        <v>40</v>
      </c>
      <c r="Q242" s="694"/>
      <c r="R242" s="694"/>
      <c r="S242" s="694"/>
      <c r="T242" s="694"/>
      <c r="U242" s="694"/>
      <c r="V242" s="695"/>
      <c r="W242" s="42" t="s">
        <v>0</v>
      </c>
      <c r="X242" s="43">
        <f>IFERROR(SUM(X238:X240),"0")</f>
        <v>3.7800000000000002</v>
      </c>
      <c r="Y242" s="43">
        <f>IFERROR(SUM(Y238:Y240),"0")</f>
        <v>3.7800000000000002</v>
      </c>
      <c r="Z242" s="42"/>
      <c r="AA242" s="67"/>
      <c r="AB242" s="67"/>
      <c r="AC242" s="67"/>
    </row>
    <row r="243" spans="1:68" ht="14.25" hidden="1" customHeight="1" x14ac:dyDescent="0.25">
      <c r="A243" s="687" t="s">
        <v>422</v>
      </c>
      <c r="B243" s="687"/>
      <c r="C243" s="687"/>
      <c r="D243" s="687"/>
      <c r="E243" s="687"/>
      <c r="F243" s="687"/>
      <c r="G243" s="687"/>
      <c r="H243" s="687"/>
      <c r="I243" s="687"/>
      <c r="J243" s="687"/>
      <c r="K243" s="687"/>
      <c r="L243" s="687"/>
      <c r="M243" s="687"/>
      <c r="N243" s="687"/>
      <c r="O243" s="687"/>
      <c r="P243" s="687"/>
      <c r="Q243" s="687"/>
      <c r="R243" s="687"/>
      <c r="S243" s="687"/>
      <c r="T243" s="687"/>
      <c r="U243" s="687"/>
      <c r="V243" s="687"/>
      <c r="W243" s="687"/>
      <c r="X243" s="687"/>
      <c r="Y243" s="687"/>
      <c r="Z243" s="687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8">
        <v>4680115886797</v>
      </c>
      <c r="E244" s="68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0"/>
      <c r="R244" s="690"/>
      <c r="S244" s="690"/>
      <c r="T244" s="69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6"/>
      <c r="B245" s="696"/>
      <c r="C245" s="696"/>
      <c r="D245" s="696"/>
      <c r="E245" s="696"/>
      <c r="F245" s="696"/>
      <c r="G245" s="696"/>
      <c r="H245" s="696"/>
      <c r="I245" s="696"/>
      <c r="J245" s="696"/>
      <c r="K245" s="696"/>
      <c r="L245" s="696"/>
      <c r="M245" s="696"/>
      <c r="N245" s="696"/>
      <c r="O245" s="697"/>
      <c r="P245" s="693" t="s">
        <v>40</v>
      </c>
      <c r="Q245" s="694"/>
      <c r="R245" s="694"/>
      <c r="S245" s="694"/>
      <c r="T245" s="694"/>
      <c r="U245" s="694"/>
      <c r="V245" s="69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6"/>
      <c r="B246" s="696"/>
      <c r="C246" s="696"/>
      <c r="D246" s="696"/>
      <c r="E246" s="696"/>
      <c r="F246" s="696"/>
      <c r="G246" s="696"/>
      <c r="H246" s="696"/>
      <c r="I246" s="696"/>
      <c r="J246" s="696"/>
      <c r="K246" s="696"/>
      <c r="L246" s="696"/>
      <c r="M246" s="696"/>
      <c r="N246" s="696"/>
      <c r="O246" s="697"/>
      <c r="P246" s="693" t="s">
        <v>40</v>
      </c>
      <c r="Q246" s="694"/>
      <c r="R246" s="694"/>
      <c r="S246" s="694"/>
      <c r="T246" s="694"/>
      <c r="U246" s="694"/>
      <c r="V246" s="69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6" t="s">
        <v>425</v>
      </c>
      <c r="B247" s="686"/>
      <c r="C247" s="686"/>
      <c r="D247" s="686"/>
      <c r="E247" s="686"/>
      <c r="F247" s="686"/>
      <c r="G247" s="686"/>
      <c r="H247" s="686"/>
      <c r="I247" s="686"/>
      <c r="J247" s="686"/>
      <c r="K247" s="686"/>
      <c r="L247" s="686"/>
      <c r="M247" s="686"/>
      <c r="N247" s="686"/>
      <c r="O247" s="686"/>
      <c r="P247" s="686"/>
      <c r="Q247" s="686"/>
      <c r="R247" s="686"/>
      <c r="S247" s="686"/>
      <c r="T247" s="686"/>
      <c r="U247" s="686"/>
      <c r="V247" s="686"/>
      <c r="W247" s="686"/>
      <c r="X247" s="686"/>
      <c r="Y247" s="686"/>
      <c r="Z247" s="686"/>
      <c r="AA247" s="65"/>
      <c r="AB247" s="65"/>
      <c r="AC247" s="79"/>
    </row>
    <row r="248" spans="1:68" ht="14.25" hidden="1" customHeight="1" x14ac:dyDescent="0.25">
      <c r="A248" s="687" t="s">
        <v>129</v>
      </c>
      <c r="B248" s="687"/>
      <c r="C248" s="687"/>
      <c r="D248" s="687"/>
      <c r="E248" s="687"/>
      <c r="F248" s="687"/>
      <c r="G248" s="687"/>
      <c r="H248" s="687"/>
      <c r="I248" s="687"/>
      <c r="J248" s="687"/>
      <c r="K248" s="687"/>
      <c r="L248" s="687"/>
      <c r="M248" s="687"/>
      <c r="N248" s="687"/>
      <c r="O248" s="687"/>
      <c r="P248" s="687"/>
      <c r="Q248" s="687"/>
      <c r="R248" s="687"/>
      <c r="S248" s="687"/>
      <c r="T248" s="687"/>
      <c r="U248" s="687"/>
      <c r="V248" s="687"/>
      <c r="W248" s="687"/>
      <c r="X248" s="687"/>
      <c r="Y248" s="687"/>
      <c r="Z248" s="687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8">
        <v>4680115881402</v>
      </c>
      <c r="E249" s="688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0"/>
      <c r="R249" s="690"/>
      <c r="S249" s="690"/>
      <c r="T249" s="691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8">
        <v>4680115881396</v>
      </c>
      <c r="E250" s="688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0"/>
      <c r="R250" s="690"/>
      <c r="S250" s="690"/>
      <c r="T250" s="69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6"/>
      <c r="B251" s="696"/>
      <c r="C251" s="696"/>
      <c r="D251" s="696"/>
      <c r="E251" s="696"/>
      <c r="F251" s="696"/>
      <c r="G251" s="696"/>
      <c r="H251" s="696"/>
      <c r="I251" s="696"/>
      <c r="J251" s="696"/>
      <c r="K251" s="696"/>
      <c r="L251" s="696"/>
      <c r="M251" s="696"/>
      <c r="N251" s="696"/>
      <c r="O251" s="697"/>
      <c r="P251" s="693" t="s">
        <v>40</v>
      </c>
      <c r="Q251" s="694"/>
      <c r="R251" s="694"/>
      <c r="S251" s="694"/>
      <c r="T251" s="694"/>
      <c r="U251" s="694"/>
      <c r="V251" s="69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6"/>
      <c r="B252" s="696"/>
      <c r="C252" s="696"/>
      <c r="D252" s="696"/>
      <c r="E252" s="696"/>
      <c r="F252" s="696"/>
      <c r="G252" s="696"/>
      <c r="H252" s="696"/>
      <c r="I252" s="696"/>
      <c r="J252" s="696"/>
      <c r="K252" s="696"/>
      <c r="L252" s="696"/>
      <c r="M252" s="696"/>
      <c r="N252" s="696"/>
      <c r="O252" s="697"/>
      <c r="P252" s="693" t="s">
        <v>40</v>
      </c>
      <c r="Q252" s="694"/>
      <c r="R252" s="694"/>
      <c r="S252" s="694"/>
      <c r="T252" s="694"/>
      <c r="U252" s="694"/>
      <c r="V252" s="69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7" t="s">
        <v>166</v>
      </c>
      <c r="B253" s="687"/>
      <c r="C253" s="687"/>
      <c r="D253" s="687"/>
      <c r="E253" s="687"/>
      <c r="F253" s="687"/>
      <c r="G253" s="687"/>
      <c r="H253" s="687"/>
      <c r="I253" s="687"/>
      <c r="J253" s="687"/>
      <c r="K253" s="687"/>
      <c r="L253" s="687"/>
      <c r="M253" s="687"/>
      <c r="N253" s="687"/>
      <c r="O253" s="687"/>
      <c r="P253" s="687"/>
      <c r="Q253" s="687"/>
      <c r="R253" s="687"/>
      <c r="S253" s="687"/>
      <c r="T253" s="687"/>
      <c r="U253" s="687"/>
      <c r="V253" s="687"/>
      <c r="W253" s="687"/>
      <c r="X253" s="687"/>
      <c r="Y253" s="687"/>
      <c r="Z253" s="687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8">
        <v>4680115882935</v>
      </c>
      <c r="E254" s="688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0"/>
      <c r="R254" s="690"/>
      <c r="S254" s="690"/>
      <c r="T254" s="691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8">
        <v>4680115880764</v>
      </c>
      <c r="E255" s="688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0"/>
      <c r="R255" s="690"/>
      <c r="S255" s="690"/>
      <c r="T255" s="69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6"/>
      <c r="B256" s="696"/>
      <c r="C256" s="696"/>
      <c r="D256" s="696"/>
      <c r="E256" s="696"/>
      <c r="F256" s="696"/>
      <c r="G256" s="696"/>
      <c r="H256" s="696"/>
      <c r="I256" s="696"/>
      <c r="J256" s="696"/>
      <c r="K256" s="696"/>
      <c r="L256" s="696"/>
      <c r="M256" s="696"/>
      <c r="N256" s="696"/>
      <c r="O256" s="697"/>
      <c r="P256" s="693" t="s">
        <v>40</v>
      </c>
      <c r="Q256" s="694"/>
      <c r="R256" s="694"/>
      <c r="S256" s="694"/>
      <c r="T256" s="694"/>
      <c r="U256" s="694"/>
      <c r="V256" s="69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6"/>
      <c r="B257" s="696"/>
      <c r="C257" s="696"/>
      <c r="D257" s="696"/>
      <c r="E257" s="696"/>
      <c r="F257" s="696"/>
      <c r="G257" s="696"/>
      <c r="H257" s="696"/>
      <c r="I257" s="696"/>
      <c r="J257" s="696"/>
      <c r="K257" s="696"/>
      <c r="L257" s="696"/>
      <c r="M257" s="696"/>
      <c r="N257" s="696"/>
      <c r="O257" s="697"/>
      <c r="P257" s="693" t="s">
        <v>40</v>
      </c>
      <c r="Q257" s="694"/>
      <c r="R257" s="694"/>
      <c r="S257" s="694"/>
      <c r="T257" s="694"/>
      <c r="U257" s="694"/>
      <c r="V257" s="69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7" t="s">
        <v>77</v>
      </c>
      <c r="B258" s="687"/>
      <c r="C258" s="687"/>
      <c r="D258" s="687"/>
      <c r="E258" s="687"/>
      <c r="F258" s="687"/>
      <c r="G258" s="687"/>
      <c r="H258" s="687"/>
      <c r="I258" s="687"/>
      <c r="J258" s="687"/>
      <c r="K258" s="687"/>
      <c r="L258" s="687"/>
      <c r="M258" s="687"/>
      <c r="N258" s="687"/>
      <c r="O258" s="687"/>
      <c r="P258" s="687"/>
      <c r="Q258" s="687"/>
      <c r="R258" s="687"/>
      <c r="S258" s="687"/>
      <c r="T258" s="687"/>
      <c r="U258" s="687"/>
      <c r="V258" s="687"/>
      <c r="W258" s="687"/>
      <c r="X258" s="687"/>
      <c r="Y258" s="687"/>
      <c r="Z258" s="687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8">
        <v>4680115882683</v>
      </c>
      <c r="E259" s="688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0"/>
      <c r="R259" s="690"/>
      <c r="S259" s="690"/>
      <c r="T259" s="691"/>
      <c r="U259" s="39" t="s">
        <v>46</v>
      </c>
      <c r="V259" s="39" t="s">
        <v>46</v>
      </c>
      <c r="W259" s="40" t="s">
        <v>0</v>
      </c>
      <c r="X259" s="58">
        <v>27</v>
      </c>
      <c r="Y259" s="55">
        <f t="shared" ref="Y259:Y266" si="32">IFERROR(IF(X259="",0,CEILING((X259/$H259),1)*$H259),"")</f>
        <v>27</v>
      </c>
      <c r="Z259" s="41">
        <f>IFERROR(IF(Y259=0,"",ROUNDUP(Y259/H259,0)*0.00902),"")</f>
        <v>4.5100000000000001E-2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27.95</v>
      </c>
      <c r="BN259" s="78">
        <f t="shared" ref="BN259:BN266" si="34">IFERROR(Y259*I259/H259,"0")</f>
        <v>27.95</v>
      </c>
      <c r="BO259" s="78">
        <f t="shared" ref="BO259:BO266" si="35">IFERROR(1/J259*(X259/H259),"0")</f>
        <v>3.787878787878788E-2</v>
      </c>
      <c r="BP259" s="78">
        <f t="shared" ref="BP259:BP266" si="36">IFERROR(1/J259*(Y259/H259),"0")</f>
        <v>3.787878787878788E-2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88">
        <v>4680115882690</v>
      </c>
      <c r="E260" s="688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0"/>
      <c r="R260" s="690"/>
      <c r="S260" s="690"/>
      <c r="T260" s="691"/>
      <c r="U260" s="39" t="s">
        <v>46</v>
      </c>
      <c r="V260" s="39" t="s">
        <v>46</v>
      </c>
      <c r="W260" s="40" t="s">
        <v>0</v>
      </c>
      <c r="X260" s="58">
        <v>27</v>
      </c>
      <c r="Y260" s="55">
        <f t="shared" si="32"/>
        <v>27</v>
      </c>
      <c r="Z260" s="41">
        <f>IFERROR(IF(Y260=0,"",ROUNDUP(Y260/H260,0)*0.00902),"")</f>
        <v>4.5100000000000001E-2</v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27.95</v>
      </c>
      <c r="BN260" s="78">
        <f t="shared" si="34"/>
        <v>27.95</v>
      </c>
      <c r="BO260" s="78">
        <f t="shared" si="35"/>
        <v>3.787878787878788E-2</v>
      </c>
      <c r="BP260" s="78">
        <f t="shared" si="36"/>
        <v>3.787878787878788E-2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8">
        <v>4680115882669</v>
      </c>
      <c r="E261" s="688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0"/>
      <c r="R261" s="690"/>
      <c r="S261" s="690"/>
      <c r="T261" s="691"/>
      <c r="U261" s="39" t="s">
        <v>46</v>
      </c>
      <c r="V261" s="39" t="s">
        <v>46</v>
      </c>
      <c r="W261" s="40" t="s">
        <v>0</v>
      </c>
      <c r="X261" s="58">
        <v>27</v>
      </c>
      <c r="Y261" s="55">
        <f t="shared" si="32"/>
        <v>27</v>
      </c>
      <c r="Z261" s="41">
        <f>IFERROR(IF(Y261=0,"",ROUNDUP(Y261/H261,0)*0.00902),"")</f>
        <v>4.5100000000000001E-2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27.95</v>
      </c>
      <c r="BN261" s="78">
        <f t="shared" si="34"/>
        <v>27.95</v>
      </c>
      <c r="BO261" s="78">
        <f t="shared" si="35"/>
        <v>3.787878787878788E-2</v>
      </c>
      <c r="BP261" s="78">
        <f t="shared" si="36"/>
        <v>3.787878787878788E-2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8">
        <v>4680115882676</v>
      </c>
      <c r="E262" s="688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0"/>
      <c r="R262" s="690"/>
      <c r="S262" s="690"/>
      <c r="T262" s="691"/>
      <c r="U262" s="39" t="s">
        <v>46</v>
      </c>
      <c r="V262" s="39" t="s">
        <v>46</v>
      </c>
      <c r="W262" s="40" t="s">
        <v>0</v>
      </c>
      <c r="X262" s="58">
        <v>27</v>
      </c>
      <c r="Y262" s="55">
        <f t="shared" si="32"/>
        <v>27</v>
      </c>
      <c r="Z262" s="41">
        <f>IFERROR(IF(Y262=0,"",ROUNDUP(Y262/H262,0)*0.00902),"")</f>
        <v>4.5100000000000001E-2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27.95</v>
      </c>
      <c r="BN262" s="78">
        <f t="shared" si="34"/>
        <v>27.95</v>
      </c>
      <c r="BO262" s="78">
        <f t="shared" si="35"/>
        <v>3.787878787878788E-2</v>
      </c>
      <c r="BP262" s="78">
        <f t="shared" si="36"/>
        <v>3.787878787878788E-2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8">
        <v>4680115884014</v>
      </c>
      <c r="E263" s="688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0"/>
      <c r="R263" s="690"/>
      <c r="S263" s="690"/>
      <c r="T263" s="691"/>
      <c r="U263" s="39" t="s">
        <v>46</v>
      </c>
      <c r="V263" s="39" t="s">
        <v>46</v>
      </c>
      <c r="W263" s="40" t="s">
        <v>0</v>
      </c>
      <c r="X263" s="58">
        <v>7.2</v>
      </c>
      <c r="Y263" s="55">
        <f t="shared" si="32"/>
        <v>7.2</v>
      </c>
      <c r="Z263" s="41">
        <f>IFERROR(IF(Y263=0,"",ROUNDUP(Y263/H263,0)*0.00502),"")</f>
        <v>2.0080000000000001E-2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7.7199999999999989</v>
      </c>
      <c r="BN263" s="78">
        <f t="shared" si="34"/>
        <v>7.7199999999999989</v>
      </c>
      <c r="BO263" s="78">
        <f t="shared" si="35"/>
        <v>1.7094017094017096E-2</v>
      </c>
      <c r="BP263" s="78">
        <f t="shared" si="36"/>
        <v>1.7094017094017096E-2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8">
        <v>4680115884007</v>
      </c>
      <c r="E264" s="688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0"/>
      <c r="R264" s="690"/>
      <c r="S264" s="690"/>
      <c r="T264" s="691"/>
      <c r="U264" s="39" t="s">
        <v>46</v>
      </c>
      <c r="V264" s="39" t="s">
        <v>46</v>
      </c>
      <c r="W264" s="40" t="s">
        <v>0</v>
      </c>
      <c r="X264" s="58">
        <v>7.2</v>
      </c>
      <c r="Y264" s="55">
        <f t="shared" si="32"/>
        <v>7.2</v>
      </c>
      <c r="Z264" s="41">
        <f>IFERROR(IF(Y264=0,"",ROUNDUP(Y264/H264,0)*0.00502),"")</f>
        <v>2.0080000000000001E-2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7.6</v>
      </c>
      <c r="BN264" s="78">
        <f t="shared" si="34"/>
        <v>7.6</v>
      </c>
      <c r="BO264" s="78">
        <f t="shared" si="35"/>
        <v>1.7094017094017096E-2</v>
      </c>
      <c r="BP264" s="78">
        <f t="shared" si="36"/>
        <v>1.7094017094017096E-2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8">
        <v>4680115884038</v>
      </c>
      <c r="E265" s="688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0"/>
      <c r="R265" s="690"/>
      <c r="S265" s="690"/>
      <c r="T265" s="691"/>
      <c r="U265" s="39" t="s">
        <v>46</v>
      </c>
      <c r="V265" s="39" t="s">
        <v>46</v>
      </c>
      <c r="W265" s="40" t="s">
        <v>0</v>
      </c>
      <c r="X265" s="58">
        <v>7.2</v>
      </c>
      <c r="Y265" s="55">
        <f t="shared" si="32"/>
        <v>7.2</v>
      </c>
      <c r="Z265" s="41">
        <f>IFERROR(IF(Y265=0,"",ROUNDUP(Y265/H265,0)*0.00502),"")</f>
        <v>2.0080000000000001E-2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7.6</v>
      </c>
      <c r="BN265" s="78">
        <f t="shared" si="34"/>
        <v>7.6</v>
      </c>
      <c r="BO265" s="78">
        <f t="shared" si="35"/>
        <v>1.7094017094017096E-2</v>
      </c>
      <c r="BP265" s="78">
        <f t="shared" si="36"/>
        <v>1.7094017094017096E-2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8">
        <v>4680115884021</v>
      </c>
      <c r="E266" s="688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0"/>
      <c r="R266" s="690"/>
      <c r="S266" s="690"/>
      <c r="T266" s="691"/>
      <c r="U266" s="39" t="s">
        <v>46</v>
      </c>
      <c r="V266" s="39" t="s">
        <v>46</v>
      </c>
      <c r="W266" s="40" t="s">
        <v>0</v>
      </c>
      <c r="X266" s="58">
        <v>7.2</v>
      </c>
      <c r="Y266" s="55">
        <f t="shared" si="32"/>
        <v>7.2</v>
      </c>
      <c r="Z266" s="41">
        <f>IFERROR(IF(Y266=0,"",ROUNDUP(Y266/H266,0)*0.00502),"")</f>
        <v>2.0080000000000001E-2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7.6</v>
      </c>
      <c r="BN266" s="78">
        <f t="shared" si="34"/>
        <v>7.6</v>
      </c>
      <c r="BO266" s="78">
        <f t="shared" si="35"/>
        <v>1.7094017094017096E-2</v>
      </c>
      <c r="BP266" s="78">
        <f t="shared" si="36"/>
        <v>1.7094017094017096E-2</v>
      </c>
    </row>
    <row r="267" spans="1:68" x14ac:dyDescent="0.2">
      <c r="A267" s="696"/>
      <c r="B267" s="696"/>
      <c r="C267" s="696"/>
      <c r="D267" s="696"/>
      <c r="E267" s="696"/>
      <c r="F267" s="696"/>
      <c r="G267" s="696"/>
      <c r="H267" s="696"/>
      <c r="I267" s="696"/>
      <c r="J267" s="696"/>
      <c r="K267" s="696"/>
      <c r="L267" s="696"/>
      <c r="M267" s="696"/>
      <c r="N267" s="696"/>
      <c r="O267" s="697"/>
      <c r="P267" s="693" t="s">
        <v>40</v>
      </c>
      <c r="Q267" s="694"/>
      <c r="R267" s="694"/>
      <c r="S267" s="694"/>
      <c r="T267" s="694"/>
      <c r="U267" s="694"/>
      <c r="V267" s="69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36</v>
      </c>
      <c r="Y267" s="43">
        <f>IFERROR(Y259/H259,"0")+IFERROR(Y260/H260,"0")+IFERROR(Y261/H261,"0")+IFERROR(Y262/H262,"0")+IFERROR(Y263/H263,"0")+IFERROR(Y264/H264,"0")+IFERROR(Y265/H265,"0")+IFERROR(Y266/H266,"0")</f>
        <v>36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0.26071999999999995</v>
      </c>
      <c r="AA267" s="67"/>
      <c r="AB267" s="67"/>
      <c r="AC267" s="67"/>
    </row>
    <row r="268" spans="1:68" x14ac:dyDescent="0.2">
      <c r="A268" s="696"/>
      <c r="B268" s="696"/>
      <c r="C268" s="696"/>
      <c r="D268" s="696"/>
      <c r="E268" s="696"/>
      <c r="F268" s="696"/>
      <c r="G268" s="696"/>
      <c r="H268" s="696"/>
      <c r="I268" s="696"/>
      <c r="J268" s="696"/>
      <c r="K268" s="696"/>
      <c r="L268" s="696"/>
      <c r="M268" s="696"/>
      <c r="N268" s="696"/>
      <c r="O268" s="697"/>
      <c r="P268" s="693" t="s">
        <v>40</v>
      </c>
      <c r="Q268" s="694"/>
      <c r="R268" s="694"/>
      <c r="S268" s="694"/>
      <c r="T268" s="694"/>
      <c r="U268" s="694"/>
      <c r="V268" s="695"/>
      <c r="W268" s="42" t="s">
        <v>0</v>
      </c>
      <c r="X268" s="43">
        <f>IFERROR(SUM(X259:X266),"0")</f>
        <v>136.79999999999998</v>
      </c>
      <c r="Y268" s="43">
        <f>IFERROR(SUM(Y259:Y266),"0")</f>
        <v>136.79999999999998</v>
      </c>
      <c r="Z268" s="42"/>
      <c r="AA268" s="67"/>
      <c r="AB268" s="67"/>
      <c r="AC268" s="67"/>
    </row>
    <row r="269" spans="1:68" ht="14.25" hidden="1" customHeight="1" x14ac:dyDescent="0.25">
      <c r="A269" s="687" t="s">
        <v>86</v>
      </c>
      <c r="B269" s="687"/>
      <c r="C269" s="687"/>
      <c r="D269" s="687"/>
      <c r="E269" s="687"/>
      <c r="F269" s="687"/>
      <c r="G269" s="687"/>
      <c r="H269" s="687"/>
      <c r="I269" s="687"/>
      <c r="J269" s="687"/>
      <c r="K269" s="687"/>
      <c r="L269" s="687"/>
      <c r="M269" s="687"/>
      <c r="N269" s="687"/>
      <c r="O269" s="687"/>
      <c r="P269" s="687"/>
      <c r="Q269" s="687"/>
      <c r="R269" s="687"/>
      <c r="S269" s="687"/>
      <c r="T269" s="687"/>
      <c r="U269" s="687"/>
      <c r="V269" s="687"/>
      <c r="W269" s="687"/>
      <c r="X269" s="687"/>
      <c r="Y269" s="687"/>
      <c r="Z269" s="687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88">
        <v>4680115881594</v>
      </c>
      <c r="E270" s="688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0"/>
      <c r="R270" s="690"/>
      <c r="S270" s="690"/>
      <c r="T270" s="691"/>
      <c r="U270" s="39" t="s">
        <v>46</v>
      </c>
      <c r="V270" s="39" t="s">
        <v>46</v>
      </c>
      <c r="W270" s="40" t="s">
        <v>0</v>
      </c>
      <c r="X270" s="58">
        <v>8.1</v>
      </c>
      <c r="Y270" s="55">
        <f t="shared" ref="Y270:Y281" si="37">IFERROR(IF(X270="",0,CEILING((X270/$H270),1)*$H270),"")</f>
        <v>8.1</v>
      </c>
      <c r="Z270" s="41">
        <f>IFERROR(IF(Y270=0,"",ROUNDUP(Y270/H270,0)*0.01898),"")</f>
        <v>1.898E-2</v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8.5939999999999994</v>
      </c>
      <c r="BN270" s="78">
        <f t="shared" ref="BN270:BN281" si="39">IFERROR(Y270*I270/H270,"0")</f>
        <v>8.5939999999999994</v>
      </c>
      <c r="BO270" s="78">
        <f t="shared" ref="BO270:BO281" si="40">IFERROR(1/J270*(X270/H270),"0")</f>
        <v>1.5625E-2</v>
      </c>
      <c r="BP270" s="78">
        <f t="shared" ref="BP270:BP281" si="41">IFERROR(1/J270*(Y270/H270),"0")</f>
        <v>1.5625E-2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88">
        <v>4680115881617</v>
      </c>
      <c r="E271" s="688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0"/>
      <c r="R271" s="690"/>
      <c r="S271" s="690"/>
      <c r="T271" s="691"/>
      <c r="U271" s="39" t="s">
        <v>46</v>
      </c>
      <c r="V271" s="39" t="s">
        <v>46</v>
      </c>
      <c r="W271" s="40" t="s">
        <v>0</v>
      </c>
      <c r="X271" s="58">
        <v>8.1</v>
      </c>
      <c r="Y271" s="55">
        <f t="shared" si="37"/>
        <v>8.1</v>
      </c>
      <c r="Z271" s="41">
        <f>IFERROR(IF(Y271=0,"",ROUNDUP(Y271/H271,0)*0.01898),"")</f>
        <v>1.898E-2</v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8.5760000000000005</v>
      </c>
      <c r="BN271" s="78">
        <f t="shared" si="39"/>
        <v>8.5760000000000005</v>
      </c>
      <c r="BO271" s="78">
        <f t="shared" si="40"/>
        <v>1.5625E-2</v>
      </c>
      <c r="BP271" s="78">
        <f t="shared" si="41"/>
        <v>1.5625E-2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8">
        <v>4680115880573</v>
      </c>
      <c r="E272" s="688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3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0"/>
      <c r="R272" s="690"/>
      <c r="S272" s="690"/>
      <c r="T272" s="691"/>
      <c r="U272" s="39" t="s">
        <v>46</v>
      </c>
      <c r="V272" s="39" t="s">
        <v>46</v>
      </c>
      <c r="W272" s="40" t="s">
        <v>0</v>
      </c>
      <c r="X272" s="58">
        <v>8.6999999999999993</v>
      </c>
      <c r="Y272" s="55">
        <f t="shared" si="37"/>
        <v>8.6999999999999993</v>
      </c>
      <c r="Z272" s="41">
        <f>IFERROR(IF(Y272=0,"",ROUNDUP(Y272/H272,0)*0.01898),"")</f>
        <v>1.898E-2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9.1940000000000008</v>
      </c>
      <c r="BN272" s="78">
        <f t="shared" si="39"/>
        <v>9.1940000000000008</v>
      </c>
      <c r="BO272" s="78">
        <f t="shared" si="40"/>
        <v>1.5625E-2</v>
      </c>
      <c r="BP272" s="78">
        <f t="shared" si="41"/>
        <v>1.5625E-2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8">
        <v>4680115882195</v>
      </c>
      <c r="E273" s="688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0"/>
      <c r="R273" s="690"/>
      <c r="S273" s="690"/>
      <c r="T273" s="691"/>
      <c r="U273" s="39" t="s">
        <v>46</v>
      </c>
      <c r="V273" s="39" t="s">
        <v>46</v>
      </c>
      <c r="W273" s="40" t="s">
        <v>0</v>
      </c>
      <c r="X273" s="58">
        <v>2.4</v>
      </c>
      <c r="Y273" s="55">
        <f t="shared" si="37"/>
        <v>2.4</v>
      </c>
      <c r="Z273" s="41">
        <f>IFERROR(IF(Y273=0,"",ROUNDUP(Y273/H273,0)*0.00651),"")</f>
        <v>6.5100000000000002E-3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2.67</v>
      </c>
      <c r="BN273" s="78">
        <f t="shared" si="39"/>
        <v>2.67</v>
      </c>
      <c r="BO273" s="78">
        <f t="shared" si="40"/>
        <v>5.4945054945054949E-3</v>
      </c>
      <c r="BP273" s="78">
        <f t="shared" si="41"/>
        <v>5.4945054945054949E-3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8">
        <v>4680115882607</v>
      </c>
      <c r="E274" s="688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0"/>
      <c r="R274" s="690"/>
      <c r="S274" s="690"/>
      <c r="T274" s="691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8">
        <v>4680115882607</v>
      </c>
      <c r="E275" s="688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0"/>
      <c r="R275" s="690"/>
      <c r="S275" s="690"/>
      <c r="T275" s="691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8">
        <v>4680115880092</v>
      </c>
      <c r="E276" s="688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0"/>
      <c r="R276" s="690"/>
      <c r="S276" s="690"/>
      <c r="T276" s="691"/>
      <c r="U276" s="39" t="s">
        <v>46</v>
      </c>
      <c r="V276" s="39" t="s">
        <v>46</v>
      </c>
      <c r="W276" s="40" t="s">
        <v>0</v>
      </c>
      <c r="X276" s="58">
        <v>2.4</v>
      </c>
      <c r="Y276" s="55">
        <f t="shared" si="37"/>
        <v>2.4</v>
      </c>
      <c r="Z276" s="41">
        <f>IFERROR(IF(Y276=0,"",ROUNDUP(Y276/H276,0)*0.00651),"")</f>
        <v>6.5100000000000002E-3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2.6520000000000001</v>
      </c>
      <c r="BN276" s="78">
        <f t="shared" si="39"/>
        <v>2.6520000000000001</v>
      </c>
      <c r="BO276" s="78">
        <f t="shared" si="40"/>
        <v>5.4945054945054949E-3</v>
      </c>
      <c r="BP276" s="78">
        <f t="shared" si="41"/>
        <v>5.4945054945054949E-3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8">
        <v>4680115889064</v>
      </c>
      <c r="E277" s="688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0"/>
      <c r="R277" s="690"/>
      <c r="S277" s="690"/>
      <c r="T277" s="69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88">
        <v>4680115880221</v>
      </c>
      <c r="E278" s="688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0"/>
      <c r="R278" s="690"/>
      <c r="S278" s="690"/>
      <c r="T278" s="691"/>
      <c r="U278" s="39" t="s">
        <v>46</v>
      </c>
      <c r="V278" s="39" t="s">
        <v>46</v>
      </c>
      <c r="W278" s="40" t="s">
        <v>0</v>
      </c>
      <c r="X278" s="58">
        <v>2.4</v>
      </c>
      <c r="Y278" s="55">
        <f t="shared" si="37"/>
        <v>2.4</v>
      </c>
      <c r="Z278" s="41">
        <f>IFERROR(IF(Y278=0,"",ROUNDUP(Y278/H278,0)*0.00651),"")</f>
        <v>6.5100000000000002E-3</v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2.6520000000000001</v>
      </c>
      <c r="BN278" s="78">
        <f t="shared" si="39"/>
        <v>2.6520000000000001</v>
      </c>
      <c r="BO278" s="78">
        <f t="shared" si="40"/>
        <v>5.4945054945054949E-3</v>
      </c>
      <c r="BP278" s="78">
        <f t="shared" si="41"/>
        <v>5.4945054945054949E-3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8">
        <v>4680115880504</v>
      </c>
      <c r="E279" s="688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0"/>
      <c r="R279" s="690"/>
      <c r="S279" s="690"/>
      <c r="T279" s="691"/>
      <c r="U279" s="39" t="s">
        <v>46</v>
      </c>
      <c r="V279" s="39" t="s">
        <v>46</v>
      </c>
      <c r="W279" s="40" t="s">
        <v>0</v>
      </c>
      <c r="X279" s="58">
        <v>2.4</v>
      </c>
      <c r="Y279" s="55">
        <f t="shared" si="37"/>
        <v>2.4</v>
      </c>
      <c r="Z279" s="41">
        <f>IFERROR(IF(Y279=0,"",ROUNDUP(Y279/H279,0)*0.00651),"")</f>
        <v>6.5100000000000002E-3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2.6520000000000001</v>
      </c>
      <c r="BN279" s="78">
        <f t="shared" si="39"/>
        <v>2.6520000000000001</v>
      </c>
      <c r="BO279" s="78">
        <f t="shared" si="40"/>
        <v>5.4945054945054949E-3</v>
      </c>
      <c r="BP279" s="78">
        <f t="shared" si="41"/>
        <v>5.4945054945054949E-3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8">
        <v>4680115882164</v>
      </c>
      <c r="E280" s="688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0"/>
      <c r="R280" s="690"/>
      <c r="S280" s="690"/>
      <c r="T280" s="691"/>
      <c r="U280" s="39" t="s">
        <v>46</v>
      </c>
      <c r="V280" s="39" t="s">
        <v>46</v>
      </c>
      <c r="W280" s="40" t="s">
        <v>0</v>
      </c>
      <c r="X280" s="58">
        <v>2.4</v>
      </c>
      <c r="Y280" s="55">
        <f t="shared" si="37"/>
        <v>2.4</v>
      </c>
      <c r="Z280" s="41">
        <f>IFERROR(IF(Y280=0,"",ROUNDUP(Y280/H280,0)*0.00651),"")</f>
        <v>6.5100000000000002E-3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2.6579999999999999</v>
      </c>
      <c r="BN280" s="78">
        <f t="shared" si="39"/>
        <v>2.6579999999999999</v>
      </c>
      <c r="BO280" s="78">
        <f t="shared" si="40"/>
        <v>5.4945054945054949E-3</v>
      </c>
      <c r="BP280" s="78">
        <f t="shared" si="41"/>
        <v>5.4945054945054949E-3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8">
        <v>4680115888340</v>
      </c>
      <c r="E281" s="688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0"/>
      <c r="R281" s="690"/>
      <c r="S281" s="690"/>
      <c r="T281" s="69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96"/>
      <c r="B282" s="696"/>
      <c r="C282" s="696"/>
      <c r="D282" s="696"/>
      <c r="E282" s="696"/>
      <c r="F282" s="696"/>
      <c r="G282" s="696"/>
      <c r="H282" s="696"/>
      <c r="I282" s="696"/>
      <c r="J282" s="696"/>
      <c r="K282" s="696"/>
      <c r="L282" s="696"/>
      <c r="M282" s="696"/>
      <c r="N282" s="696"/>
      <c r="O282" s="697"/>
      <c r="P282" s="693" t="s">
        <v>40</v>
      </c>
      <c r="Q282" s="694"/>
      <c r="R282" s="694"/>
      <c r="S282" s="694"/>
      <c r="T282" s="694"/>
      <c r="U282" s="694"/>
      <c r="V282" s="69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8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8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8.9490000000000014E-2</v>
      </c>
      <c r="AA282" s="67"/>
      <c r="AB282" s="67"/>
      <c r="AC282" s="67"/>
    </row>
    <row r="283" spans="1:68" x14ac:dyDescent="0.2">
      <c r="A283" s="696"/>
      <c r="B283" s="696"/>
      <c r="C283" s="696"/>
      <c r="D283" s="696"/>
      <c r="E283" s="696"/>
      <c r="F283" s="696"/>
      <c r="G283" s="696"/>
      <c r="H283" s="696"/>
      <c r="I283" s="696"/>
      <c r="J283" s="696"/>
      <c r="K283" s="696"/>
      <c r="L283" s="696"/>
      <c r="M283" s="696"/>
      <c r="N283" s="696"/>
      <c r="O283" s="697"/>
      <c r="P283" s="693" t="s">
        <v>40</v>
      </c>
      <c r="Q283" s="694"/>
      <c r="R283" s="694"/>
      <c r="S283" s="694"/>
      <c r="T283" s="694"/>
      <c r="U283" s="694"/>
      <c r="V283" s="695"/>
      <c r="W283" s="42" t="s">
        <v>0</v>
      </c>
      <c r="X283" s="43">
        <f>IFERROR(SUM(X270:X281),"0")</f>
        <v>36.899999999999991</v>
      </c>
      <c r="Y283" s="43">
        <f>IFERROR(SUM(Y270:Y281),"0")</f>
        <v>36.899999999999991</v>
      </c>
      <c r="Z283" s="42"/>
      <c r="AA283" s="67"/>
      <c r="AB283" s="67"/>
      <c r="AC283" s="67"/>
    </row>
    <row r="284" spans="1:68" ht="14.25" hidden="1" customHeight="1" x14ac:dyDescent="0.25">
      <c r="A284" s="687" t="s">
        <v>183</v>
      </c>
      <c r="B284" s="687"/>
      <c r="C284" s="687"/>
      <c r="D284" s="687"/>
      <c r="E284" s="687"/>
      <c r="F284" s="687"/>
      <c r="G284" s="687"/>
      <c r="H284" s="687"/>
      <c r="I284" s="687"/>
      <c r="J284" s="687"/>
      <c r="K284" s="687"/>
      <c r="L284" s="687"/>
      <c r="M284" s="687"/>
      <c r="N284" s="687"/>
      <c r="O284" s="687"/>
      <c r="P284" s="687"/>
      <c r="Q284" s="687"/>
      <c r="R284" s="687"/>
      <c r="S284" s="687"/>
      <c r="T284" s="687"/>
      <c r="U284" s="687"/>
      <c r="V284" s="687"/>
      <c r="W284" s="687"/>
      <c r="X284" s="687"/>
      <c r="Y284" s="687"/>
      <c r="Z284" s="687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8">
        <v>4680115880818</v>
      </c>
      <c r="E285" s="68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0"/>
      <c r="R285" s="690"/>
      <c r="S285" s="690"/>
      <c r="T285" s="691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8">
        <v>4680115880801</v>
      </c>
      <c r="E286" s="688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0"/>
      <c r="R286" s="690"/>
      <c r="S286" s="690"/>
      <c r="T286" s="691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6"/>
      <c r="B287" s="696"/>
      <c r="C287" s="696"/>
      <c r="D287" s="696"/>
      <c r="E287" s="696"/>
      <c r="F287" s="696"/>
      <c r="G287" s="696"/>
      <c r="H287" s="696"/>
      <c r="I287" s="696"/>
      <c r="J287" s="696"/>
      <c r="K287" s="696"/>
      <c r="L287" s="696"/>
      <c r="M287" s="696"/>
      <c r="N287" s="696"/>
      <c r="O287" s="697"/>
      <c r="P287" s="693" t="s">
        <v>40</v>
      </c>
      <c r="Q287" s="694"/>
      <c r="R287" s="694"/>
      <c r="S287" s="694"/>
      <c r="T287" s="694"/>
      <c r="U287" s="694"/>
      <c r="V287" s="69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6"/>
      <c r="B288" s="696"/>
      <c r="C288" s="696"/>
      <c r="D288" s="696"/>
      <c r="E288" s="696"/>
      <c r="F288" s="696"/>
      <c r="G288" s="696"/>
      <c r="H288" s="696"/>
      <c r="I288" s="696"/>
      <c r="J288" s="696"/>
      <c r="K288" s="696"/>
      <c r="L288" s="696"/>
      <c r="M288" s="696"/>
      <c r="N288" s="696"/>
      <c r="O288" s="697"/>
      <c r="P288" s="693" t="s">
        <v>40</v>
      </c>
      <c r="Q288" s="694"/>
      <c r="R288" s="694"/>
      <c r="S288" s="694"/>
      <c r="T288" s="694"/>
      <c r="U288" s="694"/>
      <c r="V288" s="69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6" t="s">
        <v>493</v>
      </c>
      <c r="B289" s="686"/>
      <c r="C289" s="686"/>
      <c r="D289" s="686"/>
      <c r="E289" s="686"/>
      <c r="F289" s="686"/>
      <c r="G289" s="686"/>
      <c r="H289" s="686"/>
      <c r="I289" s="686"/>
      <c r="J289" s="686"/>
      <c r="K289" s="686"/>
      <c r="L289" s="686"/>
      <c r="M289" s="686"/>
      <c r="N289" s="686"/>
      <c r="O289" s="686"/>
      <c r="P289" s="686"/>
      <c r="Q289" s="686"/>
      <c r="R289" s="686"/>
      <c r="S289" s="686"/>
      <c r="T289" s="686"/>
      <c r="U289" s="686"/>
      <c r="V289" s="686"/>
      <c r="W289" s="686"/>
      <c r="X289" s="686"/>
      <c r="Y289" s="686"/>
      <c r="Z289" s="686"/>
      <c r="AA289" s="65"/>
      <c r="AB289" s="65"/>
      <c r="AC289" s="79"/>
    </row>
    <row r="290" spans="1:68" ht="14.25" hidden="1" customHeight="1" x14ac:dyDescent="0.25">
      <c r="A290" s="687" t="s">
        <v>129</v>
      </c>
      <c r="B290" s="687"/>
      <c r="C290" s="687"/>
      <c r="D290" s="687"/>
      <c r="E290" s="687"/>
      <c r="F290" s="687"/>
      <c r="G290" s="687"/>
      <c r="H290" s="687"/>
      <c r="I290" s="687"/>
      <c r="J290" s="687"/>
      <c r="K290" s="687"/>
      <c r="L290" s="687"/>
      <c r="M290" s="687"/>
      <c r="N290" s="687"/>
      <c r="O290" s="687"/>
      <c r="P290" s="687"/>
      <c r="Q290" s="687"/>
      <c r="R290" s="687"/>
      <c r="S290" s="687"/>
      <c r="T290" s="687"/>
      <c r="U290" s="687"/>
      <c r="V290" s="687"/>
      <c r="W290" s="687"/>
      <c r="X290" s="687"/>
      <c r="Y290" s="687"/>
      <c r="Z290" s="687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8">
        <v>4680115884137</v>
      </c>
      <c r="E291" s="688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0"/>
      <c r="R291" s="690"/>
      <c r="S291" s="690"/>
      <c r="T291" s="691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8">
        <v>4680115884236</v>
      </c>
      <c r="E292" s="688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0"/>
      <c r="R292" s="690"/>
      <c r="S292" s="690"/>
      <c r="T292" s="691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8">
        <v>4680115884175</v>
      </c>
      <c r="E293" s="688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0"/>
      <c r="R293" s="690"/>
      <c r="S293" s="690"/>
      <c r="T293" s="691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8">
        <v>4680115884144</v>
      </c>
      <c r="E294" s="688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0"/>
      <c r="R294" s="690"/>
      <c r="S294" s="690"/>
      <c r="T294" s="691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8">
        <v>4680115886551</v>
      </c>
      <c r="E295" s="688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0"/>
      <c r="R295" s="690"/>
      <c r="S295" s="690"/>
      <c r="T295" s="691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8">
        <v>4680115887282</v>
      </c>
      <c r="E296" s="688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0"/>
      <c r="R296" s="690"/>
      <c r="S296" s="690"/>
      <c r="T296" s="691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8">
        <v>4680115884205</v>
      </c>
      <c r="E297" s="688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0"/>
      <c r="R297" s="690"/>
      <c r="S297" s="690"/>
      <c r="T297" s="69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6"/>
      <c r="B298" s="696"/>
      <c r="C298" s="696"/>
      <c r="D298" s="696"/>
      <c r="E298" s="696"/>
      <c r="F298" s="696"/>
      <c r="G298" s="696"/>
      <c r="H298" s="696"/>
      <c r="I298" s="696"/>
      <c r="J298" s="696"/>
      <c r="K298" s="696"/>
      <c r="L298" s="696"/>
      <c r="M298" s="696"/>
      <c r="N298" s="696"/>
      <c r="O298" s="697"/>
      <c r="P298" s="693" t="s">
        <v>40</v>
      </c>
      <c r="Q298" s="694"/>
      <c r="R298" s="694"/>
      <c r="S298" s="694"/>
      <c r="T298" s="694"/>
      <c r="U298" s="694"/>
      <c r="V298" s="69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6"/>
      <c r="B299" s="696"/>
      <c r="C299" s="696"/>
      <c r="D299" s="696"/>
      <c r="E299" s="696"/>
      <c r="F299" s="696"/>
      <c r="G299" s="696"/>
      <c r="H299" s="696"/>
      <c r="I299" s="696"/>
      <c r="J299" s="696"/>
      <c r="K299" s="696"/>
      <c r="L299" s="696"/>
      <c r="M299" s="696"/>
      <c r="N299" s="696"/>
      <c r="O299" s="697"/>
      <c r="P299" s="693" t="s">
        <v>40</v>
      </c>
      <c r="Q299" s="694"/>
      <c r="R299" s="694"/>
      <c r="S299" s="694"/>
      <c r="T299" s="694"/>
      <c r="U299" s="694"/>
      <c r="V299" s="69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7" t="s">
        <v>166</v>
      </c>
      <c r="B300" s="687"/>
      <c r="C300" s="687"/>
      <c r="D300" s="687"/>
      <c r="E300" s="687"/>
      <c r="F300" s="687"/>
      <c r="G300" s="687"/>
      <c r="H300" s="687"/>
      <c r="I300" s="687"/>
      <c r="J300" s="687"/>
      <c r="K300" s="687"/>
      <c r="L300" s="687"/>
      <c r="M300" s="687"/>
      <c r="N300" s="687"/>
      <c r="O300" s="687"/>
      <c r="P300" s="687"/>
      <c r="Q300" s="687"/>
      <c r="R300" s="687"/>
      <c r="S300" s="687"/>
      <c r="T300" s="687"/>
      <c r="U300" s="687"/>
      <c r="V300" s="687"/>
      <c r="W300" s="687"/>
      <c r="X300" s="687"/>
      <c r="Y300" s="687"/>
      <c r="Z300" s="687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8">
        <v>4680115885981</v>
      </c>
      <c r="E301" s="688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0"/>
      <c r="R301" s="690"/>
      <c r="S301" s="690"/>
      <c r="T301" s="691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6"/>
      <c r="B302" s="696"/>
      <c r="C302" s="696"/>
      <c r="D302" s="696"/>
      <c r="E302" s="696"/>
      <c r="F302" s="696"/>
      <c r="G302" s="696"/>
      <c r="H302" s="696"/>
      <c r="I302" s="696"/>
      <c r="J302" s="696"/>
      <c r="K302" s="696"/>
      <c r="L302" s="696"/>
      <c r="M302" s="696"/>
      <c r="N302" s="696"/>
      <c r="O302" s="697"/>
      <c r="P302" s="693" t="s">
        <v>40</v>
      </c>
      <c r="Q302" s="694"/>
      <c r="R302" s="694"/>
      <c r="S302" s="694"/>
      <c r="T302" s="694"/>
      <c r="U302" s="694"/>
      <c r="V302" s="69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6"/>
      <c r="B303" s="696"/>
      <c r="C303" s="696"/>
      <c r="D303" s="696"/>
      <c r="E303" s="696"/>
      <c r="F303" s="696"/>
      <c r="G303" s="696"/>
      <c r="H303" s="696"/>
      <c r="I303" s="696"/>
      <c r="J303" s="696"/>
      <c r="K303" s="696"/>
      <c r="L303" s="696"/>
      <c r="M303" s="696"/>
      <c r="N303" s="696"/>
      <c r="O303" s="697"/>
      <c r="P303" s="693" t="s">
        <v>40</v>
      </c>
      <c r="Q303" s="694"/>
      <c r="R303" s="694"/>
      <c r="S303" s="694"/>
      <c r="T303" s="694"/>
      <c r="U303" s="694"/>
      <c r="V303" s="69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7" t="s">
        <v>515</v>
      </c>
      <c r="B304" s="687"/>
      <c r="C304" s="687"/>
      <c r="D304" s="687"/>
      <c r="E304" s="687"/>
      <c r="F304" s="687"/>
      <c r="G304" s="687"/>
      <c r="H304" s="687"/>
      <c r="I304" s="687"/>
      <c r="J304" s="687"/>
      <c r="K304" s="687"/>
      <c r="L304" s="687"/>
      <c r="M304" s="687"/>
      <c r="N304" s="687"/>
      <c r="O304" s="687"/>
      <c r="P304" s="687"/>
      <c r="Q304" s="687"/>
      <c r="R304" s="687"/>
      <c r="S304" s="687"/>
      <c r="T304" s="687"/>
      <c r="U304" s="687"/>
      <c r="V304" s="687"/>
      <c r="W304" s="687"/>
      <c r="X304" s="687"/>
      <c r="Y304" s="687"/>
      <c r="Z304" s="687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8">
        <v>4680115886803</v>
      </c>
      <c r="E305" s="688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5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0"/>
      <c r="R305" s="690"/>
      <c r="S305" s="690"/>
      <c r="T305" s="691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6"/>
      <c r="B306" s="696"/>
      <c r="C306" s="696"/>
      <c r="D306" s="696"/>
      <c r="E306" s="696"/>
      <c r="F306" s="696"/>
      <c r="G306" s="696"/>
      <c r="H306" s="696"/>
      <c r="I306" s="696"/>
      <c r="J306" s="696"/>
      <c r="K306" s="696"/>
      <c r="L306" s="696"/>
      <c r="M306" s="696"/>
      <c r="N306" s="696"/>
      <c r="O306" s="697"/>
      <c r="P306" s="693" t="s">
        <v>40</v>
      </c>
      <c r="Q306" s="694"/>
      <c r="R306" s="694"/>
      <c r="S306" s="694"/>
      <c r="T306" s="694"/>
      <c r="U306" s="694"/>
      <c r="V306" s="69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6"/>
      <c r="B307" s="696"/>
      <c r="C307" s="696"/>
      <c r="D307" s="696"/>
      <c r="E307" s="696"/>
      <c r="F307" s="696"/>
      <c r="G307" s="696"/>
      <c r="H307" s="696"/>
      <c r="I307" s="696"/>
      <c r="J307" s="696"/>
      <c r="K307" s="696"/>
      <c r="L307" s="696"/>
      <c r="M307" s="696"/>
      <c r="N307" s="696"/>
      <c r="O307" s="697"/>
      <c r="P307" s="693" t="s">
        <v>40</v>
      </c>
      <c r="Q307" s="694"/>
      <c r="R307" s="694"/>
      <c r="S307" s="694"/>
      <c r="T307" s="694"/>
      <c r="U307" s="694"/>
      <c r="V307" s="69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7" t="s">
        <v>332</v>
      </c>
      <c r="B308" s="687"/>
      <c r="C308" s="687"/>
      <c r="D308" s="687"/>
      <c r="E308" s="687"/>
      <c r="F308" s="687"/>
      <c r="G308" s="687"/>
      <c r="H308" s="687"/>
      <c r="I308" s="687"/>
      <c r="J308" s="687"/>
      <c r="K308" s="687"/>
      <c r="L308" s="687"/>
      <c r="M308" s="687"/>
      <c r="N308" s="687"/>
      <c r="O308" s="687"/>
      <c r="P308" s="687"/>
      <c r="Q308" s="687"/>
      <c r="R308" s="687"/>
      <c r="S308" s="687"/>
      <c r="T308" s="687"/>
      <c r="U308" s="687"/>
      <c r="V308" s="687"/>
      <c r="W308" s="687"/>
      <c r="X308" s="687"/>
      <c r="Y308" s="687"/>
      <c r="Z308" s="687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8">
        <v>4680115886704</v>
      </c>
      <c r="E309" s="688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0"/>
      <c r="R309" s="690"/>
      <c r="S309" s="690"/>
      <c r="T309" s="691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8">
        <v>4680115886681</v>
      </c>
      <c r="E310" s="688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0"/>
      <c r="R310" s="690"/>
      <c r="S310" s="690"/>
      <c r="T310" s="691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8">
        <v>4680115886735</v>
      </c>
      <c r="E311" s="688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0"/>
      <c r="R311" s="690"/>
      <c r="S311" s="690"/>
      <c r="T311" s="69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6"/>
      <c r="B312" s="696"/>
      <c r="C312" s="696"/>
      <c r="D312" s="696"/>
      <c r="E312" s="696"/>
      <c r="F312" s="696"/>
      <c r="G312" s="696"/>
      <c r="H312" s="696"/>
      <c r="I312" s="696"/>
      <c r="J312" s="696"/>
      <c r="K312" s="696"/>
      <c r="L312" s="696"/>
      <c r="M312" s="696"/>
      <c r="N312" s="696"/>
      <c r="O312" s="697"/>
      <c r="P312" s="693" t="s">
        <v>40</v>
      </c>
      <c r="Q312" s="694"/>
      <c r="R312" s="694"/>
      <c r="S312" s="694"/>
      <c r="T312" s="694"/>
      <c r="U312" s="694"/>
      <c r="V312" s="69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6"/>
      <c r="B313" s="696"/>
      <c r="C313" s="696"/>
      <c r="D313" s="696"/>
      <c r="E313" s="696"/>
      <c r="F313" s="696"/>
      <c r="G313" s="696"/>
      <c r="H313" s="696"/>
      <c r="I313" s="696"/>
      <c r="J313" s="696"/>
      <c r="K313" s="696"/>
      <c r="L313" s="696"/>
      <c r="M313" s="696"/>
      <c r="N313" s="696"/>
      <c r="O313" s="697"/>
      <c r="P313" s="693" t="s">
        <v>40</v>
      </c>
      <c r="Q313" s="694"/>
      <c r="R313" s="694"/>
      <c r="S313" s="694"/>
      <c r="T313" s="694"/>
      <c r="U313" s="694"/>
      <c r="V313" s="69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6" t="s">
        <v>526</v>
      </c>
      <c r="B314" s="686"/>
      <c r="C314" s="686"/>
      <c r="D314" s="686"/>
      <c r="E314" s="686"/>
      <c r="F314" s="686"/>
      <c r="G314" s="686"/>
      <c r="H314" s="686"/>
      <c r="I314" s="686"/>
      <c r="J314" s="686"/>
      <c r="K314" s="686"/>
      <c r="L314" s="686"/>
      <c r="M314" s="686"/>
      <c r="N314" s="686"/>
      <c r="O314" s="686"/>
      <c r="P314" s="686"/>
      <c r="Q314" s="686"/>
      <c r="R314" s="686"/>
      <c r="S314" s="686"/>
      <c r="T314" s="686"/>
      <c r="U314" s="686"/>
      <c r="V314" s="686"/>
      <c r="W314" s="686"/>
      <c r="X314" s="686"/>
      <c r="Y314" s="686"/>
      <c r="Z314" s="686"/>
      <c r="AA314" s="65"/>
      <c r="AB314" s="65"/>
      <c r="AC314" s="79"/>
    </row>
    <row r="315" spans="1:68" ht="14.25" hidden="1" customHeight="1" x14ac:dyDescent="0.25">
      <c r="A315" s="687" t="s">
        <v>129</v>
      </c>
      <c r="B315" s="687"/>
      <c r="C315" s="687"/>
      <c r="D315" s="687"/>
      <c r="E315" s="687"/>
      <c r="F315" s="687"/>
      <c r="G315" s="687"/>
      <c r="H315" s="687"/>
      <c r="I315" s="687"/>
      <c r="J315" s="687"/>
      <c r="K315" s="687"/>
      <c r="L315" s="687"/>
      <c r="M315" s="687"/>
      <c r="N315" s="687"/>
      <c r="O315" s="687"/>
      <c r="P315" s="687"/>
      <c r="Q315" s="687"/>
      <c r="R315" s="687"/>
      <c r="S315" s="687"/>
      <c r="T315" s="687"/>
      <c r="U315" s="687"/>
      <c r="V315" s="687"/>
      <c r="W315" s="687"/>
      <c r="X315" s="687"/>
      <c r="Y315" s="687"/>
      <c r="Z315" s="687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88">
        <v>4680115885837</v>
      </c>
      <c r="E316" s="688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0"/>
      <c r="R316" s="690"/>
      <c r="S316" s="690"/>
      <c r="T316" s="691"/>
      <c r="U316" s="39" t="s">
        <v>46</v>
      </c>
      <c r="V316" s="39" t="s">
        <v>46</v>
      </c>
      <c r="W316" s="40" t="s">
        <v>0</v>
      </c>
      <c r="X316" s="58">
        <v>108</v>
      </c>
      <c r="Y316" s="55">
        <f>IFERROR(IF(X316="",0,CEILING((X316/$H316),1)*$H316),"")</f>
        <v>108</v>
      </c>
      <c r="Z316" s="41">
        <f>IFERROR(IF(Y316=0,"",ROUNDUP(Y316/H316,0)*0.01898),"")</f>
        <v>0.1898</v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112.1</v>
      </c>
      <c r="BN316" s="78">
        <f>IFERROR(Y316*I316/H316,"0")</f>
        <v>112.1</v>
      </c>
      <c r="BO316" s="78">
        <f>IFERROR(1/J316*(X316/H316),"0")</f>
        <v>0.15625</v>
      </c>
      <c r="BP316" s="78">
        <f>IFERROR(1/J316*(Y316/H316),"0")</f>
        <v>0.15625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88">
        <v>4680115887237</v>
      </c>
      <c r="E317" s="688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0"/>
      <c r="R317" s="690"/>
      <c r="S317" s="690"/>
      <c r="T317" s="691"/>
      <c r="U317" s="39" t="s">
        <v>46</v>
      </c>
      <c r="V317" s="39" t="s">
        <v>46</v>
      </c>
      <c r="W317" s="40" t="s">
        <v>0</v>
      </c>
      <c r="X317" s="58">
        <v>52.5</v>
      </c>
      <c r="Y317" s="55">
        <f>IFERROR(IF(X317="",0,CEILING((X317/$H317),1)*$H317),"")</f>
        <v>54</v>
      </c>
      <c r="Z317" s="41">
        <f>IFERROR(IF(Y317=0,"",ROUNDUP(Y317/H317,0)*0.01898),"")</f>
        <v>9.4899999999999998E-2</v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54.493055555555557</v>
      </c>
      <c r="BN317" s="78">
        <f>IFERROR(Y317*I317/H317,"0")</f>
        <v>56.05</v>
      </c>
      <c r="BO317" s="78">
        <f>IFERROR(1/J317*(X317/H317),"0")</f>
        <v>7.5954861111111105E-2</v>
      </c>
      <c r="BP317" s="78">
        <f>IFERROR(1/J317*(Y317/H317),"0")</f>
        <v>7.8125E-2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88">
        <v>4680115885806</v>
      </c>
      <c r="E318" s="688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0"/>
      <c r="R318" s="690"/>
      <c r="S318" s="690"/>
      <c r="T318" s="691"/>
      <c r="U318" s="39" t="s">
        <v>46</v>
      </c>
      <c r="V318" s="39" t="s">
        <v>46</v>
      </c>
      <c r="W318" s="40" t="s">
        <v>0</v>
      </c>
      <c r="X318" s="58">
        <v>108</v>
      </c>
      <c r="Y318" s="55">
        <f>IFERROR(IF(X318="",0,CEILING((X318/$H318),1)*$H318),"")</f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112.1</v>
      </c>
      <c r="BN318" s="78">
        <f>IFERROR(Y318*I318/H318,"0")</f>
        <v>112.1</v>
      </c>
      <c r="BO318" s="78">
        <f>IFERROR(1/J318*(X318/H318),"0")</f>
        <v>0.15625</v>
      </c>
      <c r="BP318" s="78">
        <f>IFERROR(1/J318*(Y318/H318),"0")</f>
        <v>0.15625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88">
        <v>4680115885844</v>
      </c>
      <c r="E319" s="688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0"/>
      <c r="R319" s="690"/>
      <c r="S319" s="690"/>
      <c r="T319" s="691"/>
      <c r="U319" s="39" t="s">
        <v>46</v>
      </c>
      <c r="V319" s="39" t="s">
        <v>46</v>
      </c>
      <c r="W319" s="40" t="s">
        <v>0</v>
      </c>
      <c r="X319" s="58">
        <v>24</v>
      </c>
      <c r="Y319" s="55">
        <f>IFERROR(IF(X319="",0,CEILING((X319/$H319),1)*$H319),"")</f>
        <v>24</v>
      </c>
      <c r="Z319" s="41">
        <f>IFERROR(IF(Y319=0,"",ROUNDUP(Y319/H319,0)*0.00902),"")</f>
        <v>5.4120000000000001E-2</v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25.14</v>
      </c>
      <c r="BN319" s="78">
        <f>IFERROR(Y319*I319/H319,"0")</f>
        <v>25.14</v>
      </c>
      <c r="BO319" s="78">
        <f>IFERROR(1/J319*(X319/H319),"0")</f>
        <v>4.5454545454545456E-2</v>
      </c>
      <c r="BP319" s="78">
        <f>IFERROR(1/J319*(Y319/H319),"0")</f>
        <v>4.5454545454545456E-2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88">
        <v>4680115885820</v>
      </c>
      <c r="E320" s="688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0"/>
      <c r="R320" s="690"/>
      <c r="S320" s="690"/>
      <c r="T320" s="691"/>
      <c r="U320" s="39" t="s">
        <v>46</v>
      </c>
      <c r="V320" s="39" t="s">
        <v>46</v>
      </c>
      <c r="W320" s="40" t="s">
        <v>0</v>
      </c>
      <c r="X320" s="58">
        <v>24</v>
      </c>
      <c r="Y320" s="55">
        <f>IFERROR(IF(X320="",0,CEILING((X320/$H320),1)*$H320),"")</f>
        <v>24</v>
      </c>
      <c r="Z320" s="41">
        <f>IFERROR(IF(Y320=0,"",ROUNDUP(Y320/H320,0)*0.00902),"")</f>
        <v>5.4120000000000001E-2</v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25.14</v>
      </c>
      <c r="BN320" s="78">
        <f>IFERROR(Y320*I320/H320,"0")</f>
        <v>25.14</v>
      </c>
      <c r="BO320" s="78">
        <f>IFERROR(1/J320*(X320/H320),"0")</f>
        <v>4.5454545454545456E-2</v>
      </c>
      <c r="BP320" s="78">
        <f>IFERROR(1/J320*(Y320/H320),"0")</f>
        <v>4.5454545454545456E-2</v>
      </c>
    </row>
    <row r="321" spans="1:68" x14ac:dyDescent="0.2">
      <c r="A321" s="696"/>
      <c r="B321" s="696"/>
      <c r="C321" s="696"/>
      <c r="D321" s="696"/>
      <c r="E321" s="696"/>
      <c r="F321" s="696"/>
      <c r="G321" s="696"/>
      <c r="H321" s="696"/>
      <c r="I321" s="696"/>
      <c r="J321" s="696"/>
      <c r="K321" s="696"/>
      <c r="L321" s="696"/>
      <c r="M321" s="696"/>
      <c r="N321" s="696"/>
      <c r="O321" s="697"/>
      <c r="P321" s="693" t="s">
        <v>40</v>
      </c>
      <c r="Q321" s="694"/>
      <c r="R321" s="694"/>
      <c r="S321" s="694"/>
      <c r="T321" s="694"/>
      <c r="U321" s="694"/>
      <c r="V321" s="695"/>
      <c r="W321" s="42" t="s">
        <v>39</v>
      </c>
      <c r="X321" s="43">
        <f>IFERROR(X316/H316,"0")+IFERROR(X317/H317,"0")+IFERROR(X318/H318,"0")+IFERROR(X319/H319,"0")+IFERROR(X320/H320,"0")</f>
        <v>36.861111111111114</v>
      </c>
      <c r="Y321" s="43">
        <f>IFERROR(Y316/H316,"0")+IFERROR(Y317/H317,"0")+IFERROR(Y318/H318,"0")+IFERROR(Y319/H319,"0")+IFERROR(Y320/H320,"0")</f>
        <v>37</v>
      </c>
      <c r="Z321" s="43">
        <f>IFERROR(IF(Z316="",0,Z316),"0")+IFERROR(IF(Z317="",0,Z317),"0")+IFERROR(IF(Z318="",0,Z318),"0")+IFERROR(IF(Z319="",0,Z319),"0")+IFERROR(IF(Z320="",0,Z320),"0")</f>
        <v>0.58274000000000004</v>
      </c>
      <c r="AA321" s="67"/>
      <c r="AB321" s="67"/>
      <c r="AC321" s="67"/>
    </row>
    <row r="322" spans="1:68" x14ac:dyDescent="0.2">
      <c r="A322" s="696"/>
      <c r="B322" s="696"/>
      <c r="C322" s="696"/>
      <c r="D322" s="696"/>
      <c r="E322" s="696"/>
      <c r="F322" s="696"/>
      <c r="G322" s="696"/>
      <c r="H322" s="696"/>
      <c r="I322" s="696"/>
      <c r="J322" s="696"/>
      <c r="K322" s="696"/>
      <c r="L322" s="696"/>
      <c r="M322" s="696"/>
      <c r="N322" s="696"/>
      <c r="O322" s="697"/>
      <c r="P322" s="693" t="s">
        <v>40</v>
      </c>
      <c r="Q322" s="694"/>
      <c r="R322" s="694"/>
      <c r="S322" s="694"/>
      <c r="T322" s="694"/>
      <c r="U322" s="694"/>
      <c r="V322" s="695"/>
      <c r="W322" s="42" t="s">
        <v>0</v>
      </c>
      <c r="X322" s="43">
        <f>IFERROR(SUM(X316:X320),"0")</f>
        <v>316.5</v>
      </c>
      <c r="Y322" s="43">
        <f>IFERROR(SUM(Y316:Y320),"0")</f>
        <v>318</v>
      </c>
      <c r="Z322" s="42"/>
      <c r="AA322" s="67"/>
      <c r="AB322" s="67"/>
      <c r="AC322" s="67"/>
    </row>
    <row r="323" spans="1:68" ht="16.5" hidden="1" customHeight="1" x14ac:dyDescent="0.25">
      <c r="A323" s="686" t="s">
        <v>542</v>
      </c>
      <c r="B323" s="686"/>
      <c r="C323" s="686"/>
      <c r="D323" s="686"/>
      <c r="E323" s="686"/>
      <c r="F323" s="686"/>
      <c r="G323" s="686"/>
      <c r="H323" s="686"/>
      <c r="I323" s="686"/>
      <c r="J323" s="686"/>
      <c r="K323" s="686"/>
      <c r="L323" s="686"/>
      <c r="M323" s="686"/>
      <c r="N323" s="686"/>
      <c r="O323" s="686"/>
      <c r="P323" s="686"/>
      <c r="Q323" s="686"/>
      <c r="R323" s="686"/>
      <c r="S323" s="686"/>
      <c r="T323" s="686"/>
      <c r="U323" s="686"/>
      <c r="V323" s="686"/>
      <c r="W323" s="686"/>
      <c r="X323" s="686"/>
      <c r="Y323" s="686"/>
      <c r="Z323" s="686"/>
      <c r="AA323" s="65"/>
      <c r="AB323" s="65"/>
      <c r="AC323" s="79"/>
    </row>
    <row r="324" spans="1:68" ht="14.25" hidden="1" customHeight="1" x14ac:dyDescent="0.25">
      <c r="A324" s="687" t="s">
        <v>86</v>
      </c>
      <c r="B324" s="687"/>
      <c r="C324" s="687"/>
      <c r="D324" s="687"/>
      <c r="E324" s="687"/>
      <c r="F324" s="687"/>
      <c r="G324" s="687"/>
      <c r="H324" s="687"/>
      <c r="I324" s="687"/>
      <c r="J324" s="687"/>
      <c r="K324" s="687"/>
      <c r="L324" s="687"/>
      <c r="M324" s="687"/>
      <c r="N324" s="687"/>
      <c r="O324" s="687"/>
      <c r="P324" s="687"/>
      <c r="Q324" s="687"/>
      <c r="R324" s="687"/>
      <c r="S324" s="687"/>
      <c r="T324" s="687"/>
      <c r="U324" s="687"/>
      <c r="V324" s="687"/>
      <c r="W324" s="687"/>
      <c r="X324" s="687"/>
      <c r="Y324" s="687"/>
      <c r="Z324" s="687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8">
        <v>4680115886186</v>
      </c>
      <c r="E325" s="688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0"/>
      <c r="R325" s="690"/>
      <c r="S325" s="690"/>
      <c r="T325" s="691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8">
        <v>4680115881228</v>
      </c>
      <c r="E326" s="688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0"/>
      <c r="R326" s="690"/>
      <c r="S326" s="690"/>
      <c r="T326" s="691"/>
      <c r="U326" s="39" t="s">
        <v>46</v>
      </c>
      <c r="V326" s="39" t="s">
        <v>46</v>
      </c>
      <c r="W326" s="40" t="s">
        <v>0</v>
      </c>
      <c r="X326" s="58">
        <v>7.2</v>
      </c>
      <c r="Y326" s="55">
        <f>IFERROR(IF(X326="",0,CEILING((X326/$H326),1)*$H326),"")</f>
        <v>7.1999999999999993</v>
      </c>
      <c r="Z326" s="41">
        <f>IFERROR(IF(Y326=0,"",ROUNDUP(Y326/H326,0)*0.00651),"")</f>
        <v>1.9529999999999999E-2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7.9560000000000004</v>
      </c>
      <c r="BN326" s="78">
        <f>IFERROR(Y326*I326/H326,"0")</f>
        <v>7.9560000000000004</v>
      </c>
      <c r="BO326" s="78">
        <f>IFERROR(1/J326*(X326/H326),"0")</f>
        <v>1.6483516483516484E-2</v>
      </c>
      <c r="BP326" s="78">
        <f>IFERROR(1/J326*(Y326/H326),"0")</f>
        <v>1.6483516483516484E-2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8">
        <v>4680115881211</v>
      </c>
      <c r="E327" s="688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0"/>
      <c r="R327" s="690"/>
      <c r="S327" s="690"/>
      <c r="T327" s="691"/>
      <c r="U327" s="39" t="s">
        <v>46</v>
      </c>
      <c r="V327" s="39" t="s">
        <v>46</v>
      </c>
      <c r="W327" s="40" t="s">
        <v>0</v>
      </c>
      <c r="X327" s="58">
        <v>7.2</v>
      </c>
      <c r="Y327" s="55">
        <f>IFERROR(IF(X327="",0,CEILING((X327/$H327),1)*$H327),"")</f>
        <v>7.1999999999999993</v>
      </c>
      <c r="Z327" s="41">
        <f>IFERROR(IF(Y327=0,"",ROUNDUP(Y327/H327,0)*0.00651),"")</f>
        <v>1.9529999999999999E-2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7.74</v>
      </c>
      <c r="BN327" s="78">
        <f>IFERROR(Y327*I327/H327,"0")</f>
        <v>7.7399999999999993</v>
      </c>
      <c r="BO327" s="78">
        <f>IFERROR(1/J327*(X327/H327),"0")</f>
        <v>1.6483516483516484E-2</v>
      </c>
      <c r="BP327" s="78">
        <f>IFERROR(1/J327*(Y327/H327),"0")</f>
        <v>1.6483516483516484E-2</v>
      </c>
    </row>
    <row r="328" spans="1:68" x14ac:dyDescent="0.2">
      <c r="A328" s="696"/>
      <c r="B328" s="696"/>
      <c r="C328" s="696"/>
      <c r="D328" s="696"/>
      <c r="E328" s="696"/>
      <c r="F328" s="696"/>
      <c r="G328" s="696"/>
      <c r="H328" s="696"/>
      <c r="I328" s="696"/>
      <c r="J328" s="696"/>
      <c r="K328" s="696"/>
      <c r="L328" s="696"/>
      <c r="M328" s="696"/>
      <c r="N328" s="696"/>
      <c r="O328" s="697"/>
      <c r="P328" s="693" t="s">
        <v>40</v>
      </c>
      <c r="Q328" s="694"/>
      <c r="R328" s="694"/>
      <c r="S328" s="694"/>
      <c r="T328" s="694"/>
      <c r="U328" s="694"/>
      <c r="V328" s="695"/>
      <c r="W328" s="42" t="s">
        <v>39</v>
      </c>
      <c r="X328" s="43">
        <f>IFERROR(X325/H325,"0")+IFERROR(X326/H326,"0")+IFERROR(X327/H327,"0")</f>
        <v>6</v>
      </c>
      <c r="Y328" s="43">
        <f>IFERROR(Y325/H325,"0")+IFERROR(Y326/H326,"0")+IFERROR(Y327/H327,"0")</f>
        <v>6</v>
      </c>
      <c r="Z328" s="43">
        <f>IFERROR(IF(Z325="",0,Z325),"0")+IFERROR(IF(Z326="",0,Z326),"0")+IFERROR(IF(Z327="",0,Z327),"0")</f>
        <v>3.9059999999999997E-2</v>
      </c>
      <c r="AA328" s="67"/>
      <c r="AB328" s="67"/>
      <c r="AC328" s="67"/>
    </row>
    <row r="329" spans="1:68" x14ac:dyDescent="0.2">
      <c r="A329" s="696"/>
      <c r="B329" s="696"/>
      <c r="C329" s="696"/>
      <c r="D329" s="696"/>
      <c r="E329" s="696"/>
      <c r="F329" s="696"/>
      <c r="G329" s="696"/>
      <c r="H329" s="696"/>
      <c r="I329" s="696"/>
      <c r="J329" s="696"/>
      <c r="K329" s="696"/>
      <c r="L329" s="696"/>
      <c r="M329" s="696"/>
      <c r="N329" s="696"/>
      <c r="O329" s="697"/>
      <c r="P329" s="693" t="s">
        <v>40</v>
      </c>
      <c r="Q329" s="694"/>
      <c r="R329" s="694"/>
      <c r="S329" s="694"/>
      <c r="T329" s="694"/>
      <c r="U329" s="694"/>
      <c r="V329" s="695"/>
      <c r="W329" s="42" t="s">
        <v>0</v>
      </c>
      <c r="X329" s="43">
        <f>IFERROR(SUM(X325:X327),"0")</f>
        <v>14.4</v>
      </c>
      <c r="Y329" s="43">
        <f>IFERROR(SUM(Y325:Y327),"0")</f>
        <v>14.399999999999999</v>
      </c>
      <c r="Z329" s="42"/>
      <c r="AA329" s="67"/>
      <c r="AB329" s="67"/>
      <c r="AC329" s="67"/>
    </row>
    <row r="330" spans="1:68" ht="16.5" hidden="1" customHeight="1" x14ac:dyDescent="0.25">
      <c r="A330" s="686" t="s">
        <v>551</v>
      </c>
      <c r="B330" s="686"/>
      <c r="C330" s="686"/>
      <c r="D330" s="686"/>
      <c r="E330" s="686"/>
      <c r="F330" s="686"/>
      <c r="G330" s="686"/>
      <c r="H330" s="686"/>
      <c r="I330" s="686"/>
      <c r="J330" s="686"/>
      <c r="K330" s="686"/>
      <c r="L330" s="686"/>
      <c r="M330" s="686"/>
      <c r="N330" s="686"/>
      <c r="O330" s="686"/>
      <c r="P330" s="686"/>
      <c r="Q330" s="686"/>
      <c r="R330" s="686"/>
      <c r="S330" s="686"/>
      <c r="T330" s="686"/>
      <c r="U330" s="686"/>
      <c r="V330" s="686"/>
      <c r="W330" s="686"/>
      <c r="X330" s="686"/>
      <c r="Y330" s="686"/>
      <c r="Z330" s="686"/>
      <c r="AA330" s="65"/>
      <c r="AB330" s="65"/>
      <c r="AC330" s="79"/>
    </row>
    <row r="331" spans="1:68" ht="14.25" hidden="1" customHeight="1" x14ac:dyDescent="0.25">
      <c r="A331" s="687" t="s">
        <v>77</v>
      </c>
      <c r="B331" s="687"/>
      <c r="C331" s="687"/>
      <c r="D331" s="687"/>
      <c r="E331" s="687"/>
      <c r="F331" s="687"/>
      <c r="G331" s="687"/>
      <c r="H331" s="687"/>
      <c r="I331" s="687"/>
      <c r="J331" s="687"/>
      <c r="K331" s="687"/>
      <c r="L331" s="687"/>
      <c r="M331" s="687"/>
      <c r="N331" s="687"/>
      <c r="O331" s="687"/>
      <c r="P331" s="687"/>
      <c r="Q331" s="687"/>
      <c r="R331" s="687"/>
      <c r="S331" s="687"/>
      <c r="T331" s="687"/>
      <c r="U331" s="687"/>
      <c r="V331" s="687"/>
      <c r="W331" s="687"/>
      <c r="X331" s="687"/>
      <c r="Y331" s="687"/>
      <c r="Z331" s="687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8">
        <v>4680115888319</v>
      </c>
      <c r="E332" s="688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0"/>
      <c r="R332" s="690"/>
      <c r="S332" s="690"/>
      <c r="T332" s="691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88">
        <v>4680115884700</v>
      </c>
      <c r="E333" s="688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0"/>
      <c r="R333" s="690"/>
      <c r="S333" s="690"/>
      <c r="T333" s="691"/>
      <c r="U333" s="39" t="s">
        <v>46</v>
      </c>
      <c r="V333" s="39" t="s">
        <v>46</v>
      </c>
      <c r="W333" s="40" t="s">
        <v>0</v>
      </c>
      <c r="X333" s="58">
        <v>6.96</v>
      </c>
      <c r="Y333" s="55">
        <f>IFERROR(IF(X333="",0,CEILING((X333/$H333),1)*$H333),"")</f>
        <v>6.9599999999999991</v>
      </c>
      <c r="Z333" s="41">
        <f>IFERROR(IF(Y333=0,"",ROUNDUP(Y333/H333,0)*0.00502),"")</f>
        <v>1.506E-2</v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7.2600000000000007</v>
      </c>
      <c r="BN333" s="78">
        <f>IFERROR(Y333*I333/H333,"0")</f>
        <v>7.2599999999999989</v>
      </c>
      <c r="BO333" s="78">
        <f>IFERROR(1/J333*(X333/H333),"0")</f>
        <v>1.2820512820512822E-2</v>
      </c>
      <c r="BP333" s="78">
        <f>IFERROR(1/J333*(Y333/H333),"0")</f>
        <v>1.2820512820512822E-2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88">
        <v>4680115880344</v>
      </c>
      <c r="E334" s="688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0"/>
      <c r="R334" s="690"/>
      <c r="S334" s="690"/>
      <c r="T334" s="691"/>
      <c r="U334" s="39" t="s">
        <v>46</v>
      </c>
      <c r="V334" s="39" t="s">
        <v>46</v>
      </c>
      <c r="W334" s="40" t="s">
        <v>0</v>
      </c>
      <c r="X334" s="58">
        <v>8.4</v>
      </c>
      <c r="Y334" s="55">
        <f>IFERROR(IF(X334="",0,CEILING((X334/$H334),1)*$H334),"")</f>
        <v>8.4</v>
      </c>
      <c r="Z334" s="41">
        <f>IFERROR(IF(Y334=0,"",ROUNDUP(Y334/H334,0)*0.00502),"")</f>
        <v>2.5100000000000001E-2</v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8.9000000000000021</v>
      </c>
      <c r="BN334" s="78">
        <f>IFERROR(Y334*I334/H334,"0")</f>
        <v>8.9000000000000021</v>
      </c>
      <c r="BO334" s="78">
        <f>IFERROR(1/J334*(X334/H334),"0")</f>
        <v>2.1367521367521368E-2</v>
      </c>
      <c r="BP334" s="78">
        <f>IFERROR(1/J334*(Y334/H334),"0")</f>
        <v>2.1367521367521368E-2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8">
        <v>4680115886919</v>
      </c>
      <c r="E335" s="688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0"/>
      <c r="R335" s="690"/>
      <c r="S335" s="690"/>
      <c r="T335" s="69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88">
        <v>4680115883970</v>
      </c>
      <c r="E336" s="688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0"/>
      <c r="R336" s="690"/>
      <c r="S336" s="690"/>
      <c r="T336" s="691"/>
      <c r="U336" s="39" t="s">
        <v>46</v>
      </c>
      <c r="V336" s="39" t="s">
        <v>46</v>
      </c>
      <c r="W336" s="40" t="s">
        <v>0</v>
      </c>
      <c r="X336" s="58">
        <v>8.4</v>
      </c>
      <c r="Y336" s="55">
        <f>IFERROR(IF(X336="",0,CEILING((X336/$H336),1)*$H336),"")</f>
        <v>8.4</v>
      </c>
      <c r="Z336" s="41">
        <f>IFERROR(IF(Y336=0,"",ROUNDUP(Y336/H336,0)*0.00502),"")</f>
        <v>2.5100000000000001E-2</v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12.5</v>
      </c>
      <c r="BN336" s="78">
        <f>IFERROR(Y336*I336/H336,"0")</f>
        <v>12.5</v>
      </c>
      <c r="BO336" s="78">
        <f>IFERROR(1/J336*(X336/H336),"0")</f>
        <v>2.1367521367521368E-2</v>
      </c>
      <c r="BP336" s="78">
        <f>IFERROR(1/J336*(Y336/H336),"0")</f>
        <v>2.1367521367521368E-2</v>
      </c>
    </row>
    <row r="337" spans="1:68" x14ac:dyDescent="0.2">
      <c r="A337" s="696"/>
      <c r="B337" s="696"/>
      <c r="C337" s="696"/>
      <c r="D337" s="696"/>
      <c r="E337" s="696"/>
      <c r="F337" s="696"/>
      <c r="G337" s="696"/>
      <c r="H337" s="696"/>
      <c r="I337" s="696"/>
      <c r="J337" s="696"/>
      <c r="K337" s="696"/>
      <c r="L337" s="696"/>
      <c r="M337" s="696"/>
      <c r="N337" s="696"/>
      <c r="O337" s="697"/>
      <c r="P337" s="693" t="s">
        <v>40</v>
      </c>
      <c r="Q337" s="694"/>
      <c r="R337" s="694"/>
      <c r="S337" s="694"/>
      <c r="T337" s="694"/>
      <c r="U337" s="694"/>
      <c r="V337" s="695"/>
      <c r="W337" s="42" t="s">
        <v>39</v>
      </c>
      <c r="X337" s="43">
        <f>IFERROR(X332/H332,"0")+IFERROR(X333/H333,"0")+IFERROR(X334/H334,"0")+IFERROR(X335/H335,"0")+IFERROR(X336/H336,"0")</f>
        <v>13</v>
      </c>
      <c r="Y337" s="43">
        <f>IFERROR(Y332/H332,"0")+IFERROR(Y333/H333,"0")+IFERROR(Y334/H334,"0")+IFERROR(Y335/H335,"0")+IFERROR(Y336/H336,"0")</f>
        <v>13</v>
      </c>
      <c r="Z337" s="43">
        <f>IFERROR(IF(Z332="",0,Z332),"0")+IFERROR(IF(Z333="",0,Z333),"0")+IFERROR(IF(Z334="",0,Z334),"0")+IFERROR(IF(Z335="",0,Z335),"0")+IFERROR(IF(Z336="",0,Z336),"0")</f>
        <v>6.5259999999999999E-2</v>
      </c>
      <c r="AA337" s="67"/>
      <c r="AB337" s="67"/>
      <c r="AC337" s="67"/>
    </row>
    <row r="338" spans="1:68" x14ac:dyDescent="0.2">
      <c r="A338" s="696"/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7"/>
      <c r="P338" s="693" t="s">
        <v>40</v>
      </c>
      <c r="Q338" s="694"/>
      <c r="R338" s="694"/>
      <c r="S338" s="694"/>
      <c r="T338" s="694"/>
      <c r="U338" s="694"/>
      <c r="V338" s="695"/>
      <c r="W338" s="42" t="s">
        <v>0</v>
      </c>
      <c r="X338" s="43">
        <f>IFERROR(SUM(X332:X336),"0")</f>
        <v>23.759999999999998</v>
      </c>
      <c r="Y338" s="43">
        <f>IFERROR(SUM(Y332:Y336),"0")</f>
        <v>23.759999999999998</v>
      </c>
      <c r="Z338" s="42"/>
      <c r="AA338" s="67"/>
      <c r="AB338" s="67"/>
      <c r="AC338" s="67"/>
    </row>
    <row r="339" spans="1:68" ht="14.25" hidden="1" customHeight="1" x14ac:dyDescent="0.25">
      <c r="A339" s="687" t="s">
        <v>86</v>
      </c>
      <c r="B339" s="687"/>
      <c r="C339" s="687"/>
      <c r="D339" s="687"/>
      <c r="E339" s="687"/>
      <c r="F339" s="687"/>
      <c r="G339" s="687"/>
      <c r="H339" s="687"/>
      <c r="I339" s="687"/>
      <c r="J339" s="687"/>
      <c r="K339" s="687"/>
      <c r="L339" s="687"/>
      <c r="M339" s="687"/>
      <c r="N339" s="687"/>
      <c r="O339" s="687"/>
      <c r="P339" s="687"/>
      <c r="Q339" s="687"/>
      <c r="R339" s="687"/>
      <c r="S339" s="687"/>
      <c r="T339" s="687"/>
      <c r="U339" s="687"/>
      <c r="V339" s="687"/>
      <c r="W339" s="687"/>
      <c r="X339" s="687"/>
      <c r="Y339" s="687"/>
      <c r="Z339" s="687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8">
        <v>4680115884618</v>
      </c>
      <c r="E340" s="688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0"/>
      <c r="R340" s="690"/>
      <c r="S340" s="690"/>
      <c r="T340" s="691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8">
        <v>4680115887114</v>
      </c>
      <c r="E341" s="688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0"/>
      <c r="R341" s="690"/>
      <c r="S341" s="690"/>
      <c r="T341" s="69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6"/>
      <c r="B342" s="696"/>
      <c r="C342" s="696"/>
      <c r="D342" s="696"/>
      <c r="E342" s="696"/>
      <c r="F342" s="696"/>
      <c r="G342" s="696"/>
      <c r="H342" s="696"/>
      <c r="I342" s="696"/>
      <c r="J342" s="696"/>
      <c r="K342" s="696"/>
      <c r="L342" s="696"/>
      <c r="M342" s="696"/>
      <c r="N342" s="696"/>
      <c r="O342" s="697"/>
      <c r="P342" s="693" t="s">
        <v>40</v>
      </c>
      <c r="Q342" s="694"/>
      <c r="R342" s="694"/>
      <c r="S342" s="694"/>
      <c r="T342" s="694"/>
      <c r="U342" s="694"/>
      <c r="V342" s="69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6"/>
      <c r="B343" s="696"/>
      <c r="C343" s="696"/>
      <c r="D343" s="696"/>
      <c r="E343" s="696"/>
      <c r="F343" s="696"/>
      <c r="G343" s="696"/>
      <c r="H343" s="696"/>
      <c r="I343" s="696"/>
      <c r="J343" s="696"/>
      <c r="K343" s="696"/>
      <c r="L343" s="696"/>
      <c r="M343" s="696"/>
      <c r="N343" s="696"/>
      <c r="O343" s="697"/>
      <c r="P343" s="693" t="s">
        <v>40</v>
      </c>
      <c r="Q343" s="694"/>
      <c r="R343" s="694"/>
      <c r="S343" s="694"/>
      <c r="T343" s="694"/>
      <c r="U343" s="694"/>
      <c r="V343" s="69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6" t="s">
        <v>572</v>
      </c>
      <c r="B344" s="686"/>
      <c r="C344" s="686"/>
      <c r="D344" s="686"/>
      <c r="E344" s="686"/>
      <c r="F344" s="686"/>
      <c r="G344" s="686"/>
      <c r="H344" s="686"/>
      <c r="I344" s="686"/>
      <c r="J344" s="686"/>
      <c r="K344" s="686"/>
      <c r="L344" s="686"/>
      <c r="M344" s="686"/>
      <c r="N344" s="686"/>
      <c r="O344" s="686"/>
      <c r="P344" s="686"/>
      <c r="Q344" s="686"/>
      <c r="R344" s="686"/>
      <c r="S344" s="686"/>
      <c r="T344" s="686"/>
      <c r="U344" s="686"/>
      <c r="V344" s="686"/>
      <c r="W344" s="686"/>
      <c r="X344" s="686"/>
      <c r="Y344" s="686"/>
      <c r="Z344" s="686"/>
      <c r="AA344" s="65"/>
      <c r="AB344" s="65"/>
      <c r="AC344" s="79"/>
    </row>
    <row r="345" spans="1:68" ht="14.25" hidden="1" customHeight="1" x14ac:dyDescent="0.25">
      <c r="A345" s="687" t="s">
        <v>129</v>
      </c>
      <c r="B345" s="687"/>
      <c r="C345" s="687"/>
      <c r="D345" s="687"/>
      <c r="E345" s="687"/>
      <c r="F345" s="687"/>
      <c r="G345" s="687"/>
      <c r="H345" s="687"/>
      <c r="I345" s="687"/>
      <c r="J345" s="687"/>
      <c r="K345" s="687"/>
      <c r="L345" s="687"/>
      <c r="M345" s="687"/>
      <c r="N345" s="687"/>
      <c r="O345" s="687"/>
      <c r="P345" s="687"/>
      <c r="Q345" s="687"/>
      <c r="R345" s="687"/>
      <c r="S345" s="687"/>
      <c r="T345" s="687"/>
      <c r="U345" s="687"/>
      <c r="V345" s="687"/>
      <c r="W345" s="687"/>
      <c r="X345" s="687"/>
      <c r="Y345" s="687"/>
      <c r="Z345" s="687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8">
        <v>4680115887947</v>
      </c>
      <c r="E346" s="688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0"/>
      <c r="R346" s="690"/>
      <c r="S346" s="690"/>
      <c r="T346" s="691"/>
      <c r="U346" s="39" t="s">
        <v>46</v>
      </c>
      <c r="V346" s="39" t="s">
        <v>46</v>
      </c>
      <c r="W346" s="40" t="s">
        <v>0</v>
      </c>
      <c r="X346" s="58">
        <v>15.6</v>
      </c>
      <c r="Y346" s="55">
        <f>IFERROR(IF(X346="",0,CEILING((X346/$H346),1)*$H346),"")</f>
        <v>15.6</v>
      </c>
      <c r="Z346" s="41">
        <f>IFERROR(IF(Y346=0,"",ROUNDUP(Y346/H346,0)*0.01898),"")</f>
        <v>3.7960000000000001E-2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16.420000000000002</v>
      </c>
      <c r="BN346" s="78">
        <f>IFERROR(Y346*I346/H346,"0")</f>
        <v>16.420000000000002</v>
      </c>
      <c r="BO346" s="78">
        <f>IFERROR(1/J346*(X346/H346),"0")</f>
        <v>3.125E-2</v>
      </c>
      <c r="BP346" s="78">
        <f>IFERROR(1/J346*(Y346/H346),"0")</f>
        <v>3.125E-2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8">
        <v>4680115887978</v>
      </c>
      <c r="E347" s="688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7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0"/>
      <c r="R347" s="690"/>
      <c r="S347" s="690"/>
      <c r="T347" s="691"/>
      <c r="U347" s="39" t="s">
        <v>46</v>
      </c>
      <c r="V347" s="39" t="s">
        <v>46</v>
      </c>
      <c r="W347" s="40" t="s">
        <v>0</v>
      </c>
      <c r="X347" s="58">
        <v>15.6</v>
      </c>
      <c r="Y347" s="55">
        <f>IFERROR(IF(X347="",0,CEILING((X347/$H347),1)*$H347),"")</f>
        <v>15.6</v>
      </c>
      <c r="Z347" s="41">
        <f>IFERROR(IF(Y347=0,"",ROUNDUP(Y347/H347,0)*0.01898),"")</f>
        <v>3.7960000000000001E-2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16.420000000000002</v>
      </c>
      <c r="BN347" s="78">
        <f>IFERROR(Y347*I347/H347,"0")</f>
        <v>16.420000000000002</v>
      </c>
      <c r="BO347" s="78">
        <f>IFERROR(1/J347*(X347/H347),"0")</f>
        <v>3.125E-2</v>
      </c>
      <c r="BP347" s="78">
        <f>IFERROR(1/J347*(Y347/H347),"0")</f>
        <v>3.125E-2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8">
        <v>4680115887992</v>
      </c>
      <c r="E348" s="688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0"/>
      <c r="R348" s="690"/>
      <c r="S348" s="690"/>
      <c r="T348" s="691"/>
      <c r="U348" s="39" t="s">
        <v>46</v>
      </c>
      <c r="V348" s="39" t="s">
        <v>46</v>
      </c>
      <c r="W348" s="40" t="s">
        <v>0</v>
      </c>
      <c r="X348" s="58">
        <v>15.6</v>
      </c>
      <c r="Y348" s="55">
        <f>IFERROR(IF(X348="",0,CEILING((X348/$H348),1)*$H348),"")</f>
        <v>15.6</v>
      </c>
      <c r="Z348" s="41">
        <f>IFERROR(IF(Y348=0,"",ROUNDUP(Y348/H348,0)*0.01898),"")</f>
        <v>3.7960000000000001E-2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16.420000000000002</v>
      </c>
      <c r="BN348" s="78">
        <f>IFERROR(Y348*I348/H348,"0")</f>
        <v>16.420000000000002</v>
      </c>
      <c r="BO348" s="78">
        <f>IFERROR(1/J348*(X348/H348),"0")</f>
        <v>3.125E-2</v>
      </c>
      <c r="BP348" s="78">
        <f>IFERROR(1/J348*(Y348/H348),"0")</f>
        <v>3.125E-2</v>
      </c>
    </row>
    <row r="349" spans="1:68" x14ac:dyDescent="0.2">
      <c r="A349" s="696"/>
      <c r="B349" s="696"/>
      <c r="C349" s="696"/>
      <c r="D349" s="696"/>
      <c r="E349" s="696"/>
      <c r="F349" s="696"/>
      <c r="G349" s="696"/>
      <c r="H349" s="696"/>
      <c r="I349" s="696"/>
      <c r="J349" s="696"/>
      <c r="K349" s="696"/>
      <c r="L349" s="696"/>
      <c r="M349" s="696"/>
      <c r="N349" s="696"/>
      <c r="O349" s="697"/>
      <c r="P349" s="693" t="s">
        <v>40</v>
      </c>
      <c r="Q349" s="694"/>
      <c r="R349" s="694"/>
      <c r="S349" s="694"/>
      <c r="T349" s="694"/>
      <c r="U349" s="694"/>
      <c r="V349" s="695"/>
      <c r="W349" s="42" t="s">
        <v>39</v>
      </c>
      <c r="X349" s="43">
        <f>IFERROR(X346/H346,"0")+IFERROR(X347/H347,"0")+IFERROR(X348/H348,"0")</f>
        <v>6</v>
      </c>
      <c r="Y349" s="43">
        <f>IFERROR(Y346/H346,"0")+IFERROR(Y347/H347,"0")+IFERROR(Y348/H348,"0")</f>
        <v>6</v>
      </c>
      <c r="Z349" s="43">
        <f>IFERROR(IF(Z346="",0,Z346),"0")+IFERROR(IF(Z347="",0,Z347),"0")+IFERROR(IF(Z348="",0,Z348),"0")</f>
        <v>0.11388000000000001</v>
      </c>
      <c r="AA349" s="67"/>
      <c r="AB349" s="67"/>
      <c r="AC349" s="67"/>
    </row>
    <row r="350" spans="1:68" x14ac:dyDescent="0.2">
      <c r="A350" s="696"/>
      <c r="B350" s="696"/>
      <c r="C350" s="696"/>
      <c r="D350" s="696"/>
      <c r="E350" s="696"/>
      <c r="F350" s="696"/>
      <c r="G350" s="696"/>
      <c r="H350" s="696"/>
      <c r="I350" s="696"/>
      <c r="J350" s="696"/>
      <c r="K350" s="696"/>
      <c r="L350" s="696"/>
      <c r="M350" s="696"/>
      <c r="N350" s="696"/>
      <c r="O350" s="697"/>
      <c r="P350" s="693" t="s">
        <v>40</v>
      </c>
      <c r="Q350" s="694"/>
      <c r="R350" s="694"/>
      <c r="S350" s="694"/>
      <c r="T350" s="694"/>
      <c r="U350" s="694"/>
      <c r="V350" s="695"/>
      <c r="W350" s="42" t="s">
        <v>0</v>
      </c>
      <c r="X350" s="43">
        <f>IFERROR(SUM(X346:X348),"0")</f>
        <v>46.8</v>
      </c>
      <c r="Y350" s="43">
        <f>IFERROR(SUM(Y346:Y348),"0")</f>
        <v>46.8</v>
      </c>
      <c r="Z350" s="42"/>
      <c r="AA350" s="67"/>
      <c r="AB350" s="67"/>
      <c r="AC350" s="67"/>
    </row>
    <row r="351" spans="1:68" ht="16.5" hidden="1" customHeight="1" x14ac:dyDescent="0.25">
      <c r="A351" s="686" t="s">
        <v>581</v>
      </c>
      <c r="B351" s="686"/>
      <c r="C351" s="686"/>
      <c r="D351" s="686"/>
      <c r="E351" s="686"/>
      <c r="F351" s="686"/>
      <c r="G351" s="686"/>
      <c r="H351" s="686"/>
      <c r="I351" s="686"/>
      <c r="J351" s="686"/>
      <c r="K351" s="686"/>
      <c r="L351" s="686"/>
      <c r="M351" s="686"/>
      <c r="N351" s="686"/>
      <c r="O351" s="686"/>
      <c r="P351" s="686"/>
      <c r="Q351" s="686"/>
      <c r="R351" s="686"/>
      <c r="S351" s="686"/>
      <c r="T351" s="686"/>
      <c r="U351" s="686"/>
      <c r="V351" s="686"/>
      <c r="W351" s="686"/>
      <c r="X351" s="686"/>
      <c r="Y351" s="686"/>
      <c r="Z351" s="686"/>
      <c r="AA351" s="65"/>
      <c r="AB351" s="65"/>
      <c r="AC351" s="79"/>
    </row>
    <row r="352" spans="1:68" ht="14.25" hidden="1" customHeight="1" x14ac:dyDescent="0.25">
      <c r="A352" s="687" t="s">
        <v>129</v>
      </c>
      <c r="B352" s="687"/>
      <c r="C352" s="687"/>
      <c r="D352" s="687"/>
      <c r="E352" s="687"/>
      <c r="F352" s="687"/>
      <c r="G352" s="687"/>
      <c r="H352" s="687"/>
      <c r="I352" s="687"/>
      <c r="J352" s="687"/>
      <c r="K352" s="687"/>
      <c r="L352" s="687"/>
      <c r="M352" s="687"/>
      <c r="N352" s="687"/>
      <c r="O352" s="687"/>
      <c r="P352" s="687"/>
      <c r="Q352" s="687"/>
      <c r="R352" s="687"/>
      <c r="S352" s="687"/>
      <c r="T352" s="687"/>
      <c r="U352" s="687"/>
      <c r="V352" s="687"/>
      <c r="W352" s="687"/>
      <c r="X352" s="687"/>
      <c r="Y352" s="687"/>
      <c r="Z352" s="687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8">
        <v>4607091386004</v>
      </c>
      <c r="E353" s="688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0"/>
      <c r="R353" s="690"/>
      <c r="S353" s="690"/>
      <c r="T353" s="691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8" si="47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717.44</v>
      </c>
      <c r="BN353" s="78">
        <f t="shared" ref="BN353:BN358" si="49">IFERROR(Y353*I353/H353,"0")</f>
        <v>717.44</v>
      </c>
      <c r="BO353" s="78">
        <f t="shared" ref="BO353:BO358" si="50">IFERROR(1/J353*(X353/H353),"0")</f>
        <v>1</v>
      </c>
      <c r="BP353" s="78">
        <f t="shared" ref="BP353:BP358" si="51">IFERROR(1/J353*(Y353/H353),"0")</f>
        <v>1</v>
      </c>
    </row>
    <row r="354" spans="1:68" ht="27" customHeight="1" x14ac:dyDescent="0.25">
      <c r="A354" s="63" t="s">
        <v>585</v>
      </c>
      <c r="B354" s="63" t="s">
        <v>586</v>
      </c>
      <c r="C354" s="36">
        <v>4301012235</v>
      </c>
      <c r="D354" s="688">
        <v>4680115887190</v>
      </c>
      <c r="E354" s="688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0"/>
      <c r="R354" s="690"/>
      <c r="S354" s="690"/>
      <c r="T354" s="691"/>
      <c r="U354" s="39" t="s">
        <v>46</v>
      </c>
      <c r="V354" s="39" t="s">
        <v>46</v>
      </c>
      <c r="W354" s="40" t="s">
        <v>0</v>
      </c>
      <c r="X354" s="58">
        <v>162</v>
      </c>
      <c r="Y354" s="55">
        <f t="shared" si="47"/>
        <v>162</v>
      </c>
      <c r="Z354" s="41">
        <f>IFERROR(IF(Y354=0,"",ROUNDUP(Y354/H354,0)*0.01898),"")</f>
        <v>0.28470000000000001</v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168.15</v>
      </c>
      <c r="BN354" s="78">
        <f t="shared" si="49"/>
        <v>168.15</v>
      </c>
      <c r="BO354" s="78">
        <f t="shared" si="50"/>
        <v>0.23437499999999997</v>
      </c>
      <c r="BP354" s="78">
        <f t="shared" si="51"/>
        <v>0.23437499999999997</v>
      </c>
    </row>
    <row r="355" spans="1:68" ht="37.5" customHeight="1" x14ac:dyDescent="0.25">
      <c r="A355" s="63" t="s">
        <v>588</v>
      </c>
      <c r="B355" s="63" t="s">
        <v>589</v>
      </c>
      <c r="C355" s="36">
        <v>4301012233</v>
      </c>
      <c r="D355" s="688">
        <v>4680115887138</v>
      </c>
      <c r="E355" s="688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0"/>
      <c r="R355" s="690"/>
      <c r="S355" s="690"/>
      <c r="T355" s="691"/>
      <c r="U355" s="39" t="s">
        <v>46</v>
      </c>
      <c r="V355" s="39" t="s">
        <v>46</v>
      </c>
      <c r="W355" s="40" t="s">
        <v>0</v>
      </c>
      <c r="X355" s="58">
        <v>64.8</v>
      </c>
      <c r="Y355" s="55">
        <f t="shared" si="47"/>
        <v>64.800000000000011</v>
      </c>
      <c r="Z355" s="41">
        <f>IFERROR(IF(Y355=0,"",ROUNDUP(Y355/H355,0)*0.01898),"")</f>
        <v>0.11388000000000001</v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67.259999999999991</v>
      </c>
      <c r="BN355" s="78">
        <f t="shared" si="49"/>
        <v>67.260000000000005</v>
      </c>
      <c r="BO355" s="78">
        <f t="shared" si="50"/>
        <v>9.3749999999999986E-2</v>
      </c>
      <c r="BP355" s="78">
        <f t="shared" si="51"/>
        <v>9.3750000000000014E-2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8">
        <v>4680115885554</v>
      </c>
      <c r="E356" s="688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0"/>
      <c r="R356" s="690"/>
      <c r="S356" s="690"/>
      <c r="T356" s="691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customHeight="1" x14ac:dyDescent="0.25">
      <c r="A357" s="63" t="s">
        <v>594</v>
      </c>
      <c r="B357" s="63" t="s">
        <v>595</v>
      </c>
      <c r="C357" s="36">
        <v>4301012236</v>
      </c>
      <c r="D357" s="688">
        <v>4680115887220</v>
      </c>
      <c r="E357" s="688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0"/>
      <c r="R357" s="690"/>
      <c r="S357" s="690"/>
      <c r="T357" s="691"/>
      <c r="U357" s="39" t="s">
        <v>46</v>
      </c>
      <c r="V357" s="39" t="s">
        <v>46</v>
      </c>
      <c r="W357" s="40" t="s">
        <v>0</v>
      </c>
      <c r="X357" s="58">
        <v>24</v>
      </c>
      <c r="Y357" s="55">
        <f t="shared" si="47"/>
        <v>24</v>
      </c>
      <c r="Z357" s="41">
        <f>IFERROR(IF(Y357=0,"",ROUNDUP(Y357/H357,0)*0.00902),"")</f>
        <v>5.4120000000000001E-2</v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25.14</v>
      </c>
      <c r="BN357" s="78">
        <f t="shared" si="49"/>
        <v>25.14</v>
      </c>
      <c r="BO357" s="78">
        <f t="shared" si="50"/>
        <v>4.5454545454545456E-2</v>
      </c>
      <c r="BP357" s="78">
        <f t="shared" si="51"/>
        <v>4.5454545454545456E-2</v>
      </c>
    </row>
    <row r="358" spans="1:68" ht="27" customHeight="1" x14ac:dyDescent="0.25">
      <c r="A358" s="63" t="s">
        <v>596</v>
      </c>
      <c r="B358" s="63" t="s">
        <v>597</v>
      </c>
      <c r="C358" s="36">
        <v>4301011859</v>
      </c>
      <c r="D358" s="688">
        <v>4680115885608</v>
      </c>
      <c r="E358" s="688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0"/>
      <c r="R358" s="690"/>
      <c r="S358" s="690"/>
      <c r="T358" s="691"/>
      <c r="U358" s="39" t="s">
        <v>46</v>
      </c>
      <c r="V358" s="39" t="s">
        <v>46</v>
      </c>
      <c r="W358" s="40" t="s">
        <v>0</v>
      </c>
      <c r="X358" s="58">
        <v>24</v>
      </c>
      <c r="Y358" s="55">
        <f t="shared" si="47"/>
        <v>24</v>
      </c>
      <c r="Z358" s="41">
        <f>IFERROR(IF(Y358=0,"",ROUNDUP(Y358/H358,0)*0.00902),"")</f>
        <v>5.4120000000000001E-2</v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25.14</v>
      </c>
      <c r="BN358" s="78">
        <f t="shared" si="49"/>
        <v>25.14</v>
      </c>
      <c r="BO358" s="78">
        <f t="shared" si="50"/>
        <v>4.5454545454545456E-2</v>
      </c>
      <c r="BP358" s="78">
        <f t="shared" si="51"/>
        <v>4.5454545454545456E-2</v>
      </c>
    </row>
    <row r="359" spans="1:68" x14ac:dyDescent="0.2">
      <c r="A359" s="696"/>
      <c r="B359" s="696"/>
      <c r="C359" s="696"/>
      <c r="D359" s="696"/>
      <c r="E359" s="696"/>
      <c r="F359" s="696"/>
      <c r="G359" s="696"/>
      <c r="H359" s="696"/>
      <c r="I359" s="696"/>
      <c r="J359" s="696"/>
      <c r="K359" s="696"/>
      <c r="L359" s="696"/>
      <c r="M359" s="696"/>
      <c r="N359" s="696"/>
      <c r="O359" s="697"/>
      <c r="P359" s="693" t="s">
        <v>40</v>
      </c>
      <c r="Q359" s="694"/>
      <c r="R359" s="694"/>
      <c r="S359" s="694"/>
      <c r="T359" s="694"/>
      <c r="U359" s="694"/>
      <c r="V359" s="695"/>
      <c r="W359" s="42" t="s">
        <v>39</v>
      </c>
      <c r="X359" s="43">
        <f>IFERROR(X353/H353,"0")+IFERROR(X354/H354,"0")+IFERROR(X355/H355,"0")+IFERROR(X356/H356,"0")+IFERROR(X357/H357,"0")+IFERROR(X358/H358,"0")</f>
        <v>97</v>
      </c>
      <c r="Y359" s="43">
        <f>IFERROR(Y353/H353,"0")+IFERROR(Y354/H354,"0")+IFERROR(Y355/H355,"0")+IFERROR(Y356/H356,"0")+IFERROR(Y357/H357,"0")+IFERROR(Y358/H358,"0")</f>
        <v>97</v>
      </c>
      <c r="Z359" s="43">
        <f>IFERROR(IF(Z353="",0,Z353),"0")+IFERROR(IF(Z354="",0,Z354),"0")+IFERROR(IF(Z355="",0,Z355),"0")+IFERROR(IF(Z356="",0,Z356),"0")+IFERROR(IF(Z357="",0,Z357),"0")+IFERROR(IF(Z358="",0,Z358),"0")</f>
        <v>1.7215399999999998</v>
      </c>
      <c r="AA359" s="67"/>
      <c r="AB359" s="67"/>
      <c r="AC359" s="67"/>
    </row>
    <row r="360" spans="1:68" x14ac:dyDescent="0.2">
      <c r="A360" s="696"/>
      <c r="B360" s="696"/>
      <c r="C360" s="696"/>
      <c r="D360" s="696"/>
      <c r="E360" s="696"/>
      <c r="F360" s="696"/>
      <c r="G360" s="696"/>
      <c r="H360" s="696"/>
      <c r="I360" s="696"/>
      <c r="J360" s="696"/>
      <c r="K360" s="696"/>
      <c r="L360" s="696"/>
      <c r="M360" s="696"/>
      <c r="N360" s="696"/>
      <c r="O360" s="697"/>
      <c r="P360" s="693" t="s">
        <v>40</v>
      </c>
      <c r="Q360" s="694"/>
      <c r="R360" s="694"/>
      <c r="S360" s="694"/>
      <c r="T360" s="694"/>
      <c r="U360" s="694"/>
      <c r="V360" s="695"/>
      <c r="W360" s="42" t="s">
        <v>0</v>
      </c>
      <c r="X360" s="43">
        <f>IFERROR(SUM(X353:X358),"0")</f>
        <v>966</v>
      </c>
      <c r="Y360" s="43">
        <f>IFERROR(SUM(Y353:Y358),"0")</f>
        <v>966</v>
      </c>
      <c r="Z360" s="42"/>
      <c r="AA360" s="67"/>
      <c r="AB360" s="67"/>
      <c r="AC360" s="67"/>
    </row>
    <row r="361" spans="1:68" ht="14.25" hidden="1" customHeight="1" x14ac:dyDescent="0.25">
      <c r="A361" s="687" t="s">
        <v>77</v>
      </c>
      <c r="B361" s="687"/>
      <c r="C361" s="687"/>
      <c r="D361" s="687"/>
      <c r="E361" s="687"/>
      <c r="F361" s="687"/>
      <c r="G361" s="687"/>
      <c r="H361" s="687"/>
      <c r="I361" s="687"/>
      <c r="J361" s="687"/>
      <c r="K361" s="687"/>
      <c r="L361" s="687"/>
      <c r="M361" s="687"/>
      <c r="N361" s="687"/>
      <c r="O361" s="687"/>
      <c r="P361" s="687"/>
      <c r="Q361" s="687"/>
      <c r="R361" s="687"/>
      <c r="S361" s="687"/>
      <c r="T361" s="687"/>
      <c r="U361" s="687"/>
      <c r="V361" s="687"/>
      <c r="W361" s="687"/>
      <c r="X361" s="687"/>
      <c r="Y361" s="687"/>
      <c r="Z361" s="687"/>
      <c r="AA361" s="66"/>
      <c r="AB361" s="66"/>
      <c r="AC361" s="80"/>
    </row>
    <row r="362" spans="1:68" ht="27" customHeight="1" x14ac:dyDescent="0.25">
      <c r="A362" s="63" t="s">
        <v>599</v>
      </c>
      <c r="B362" s="63" t="s">
        <v>600</v>
      </c>
      <c r="C362" s="36">
        <v>4301030878</v>
      </c>
      <c r="D362" s="688">
        <v>4607091387193</v>
      </c>
      <c r="E362" s="688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0"/>
      <c r="R362" s="690"/>
      <c r="S362" s="690"/>
      <c r="T362" s="691"/>
      <c r="U362" s="39" t="s">
        <v>46</v>
      </c>
      <c r="V362" s="39" t="s">
        <v>46</v>
      </c>
      <c r="W362" s="40" t="s">
        <v>0</v>
      </c>
      <c r="X362" s="58">
        <v>84</v>
      </c>
      <c r="Y362" s="55">
        <f t="shared" ref="Y362:Y368" si="52">IFERROR(IF(X362="",0,CEILING((X362/$H362),1)*$H362),"")</f>
        <v>84</v>
      </c>
      <c r="Z362" s="41">
        <f>IFERROR(IF(Y362=0,"",ROUNDUP(Y362/H362,0)*0.00902),"")</f>
        <v>0.1804</v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89</v>
      </c>
      <c r="BN362" s="78">
        <f t="shared" ref="BN362:BN368" si="54">IFERROR(Y362*I362/H362,"0")</f>
        <v>89</v>
      </c>
      <c r="BO362" s="78">
        <f t="shared" ref="BO362:BO368" si="55">IFERROR(1/J362*(X362/H362),"0")</f>
        <v>0.15151515151515152</v>
      </c>
      <c r="BP362" s="78">
        <f t="shared" ref="BP362:BP368" si="56">IFERROR(1/J362*(Y362/H362),"0")</f>
        <v>0.15151515151515152</v>
      </c>
    </row>
    <row r="363" spans="1:68" ht="27" customHeight="1" x14ac:dyDescent="0.25">
      <c r="A363" s="63" t="s">
        <v>602</v>
      </c>
      <c r="B363" s="63" t="s">
        <v>603</v>
      </c>
      <c r="C363" s="36">
        <v>4301031153</v>
      </c>
      <c r="D363" s="688">
        <v>4607091387230</v>
      </c>
      <c r="E363" s="688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0"/>
      <c r="R363" s="690"/>
      <c r="S363" s="690"/>
      <c r="T363" s="691"/>
      <c r="U363" s="39" t="s">
        <v>46</v>
      </c>
      <c r="V363" s="39" t="s">
        <v>46</v>
      </c>
      <c r="W363" s="40" t="s">
        <v>0</v>
      </c>
      <c r="X363" s="58">
        <v>42</v>
      </c>
      <c r="Y363" s="55">
        <f t="shared" si="52"/>
        <v>42</v>
      </c>
      <c r="Z363" s="41">
        <f>IFERROR(IF(Y363=0,"",ROUNDUP(Y363/H363,0)*0.00902),"")</f>
        <v>9.0200000000000002E-2</v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44.5</v>
      </c>
      <c r="BN363" s="78">
        <f t="shared" si="54"/>
        <v>44.5</v>
      </c>
      <c r="BO363" s="78">
        <f t="shared" si="55"/>
        <v>7.575757575757576E-2</v>
      </c>
      <c r="BP363" s="78">
        <f t="shared" si="56"/>
        <v>7.575757575757576E-2</v>
      </c>
    </row>
    <row r="364" spans="1:68" ht="27" customHeight="1" x14ac:dyDescent="0.25">
      <c r="A364" s="63" t="s">
        <v>605</v>
      </c>
      <c r="B364" s="63" t="s">
        <v>606</v>
      </c>
      <c r="C364" s="36">
        <v>4301031154</v>
      </c>
      <c r="D364" s="688">
        <v>4607091387292</v>
      </c>
      <c r="E364" s="688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8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0"/>
      <c r="R364" s="690"/>
      <c r="S364" s="690"/>
      <c r="T364" s="691"/>
      <c r="U364" s="39" t="s">
        <v>46</v>
      </c>
      <c r="V364" s="39" t="s">
        <v>46</v>
      </c>
      <c r="W364" s="40" t="s">
        <v>0</v>
      </c>
      <c r="X364" s="58">
        <v>30.66</v>
      </c>
      <c r="Y364" s="55">
        <f t="shared" si="52"/>
        <v>30.66</v>
      </c>
      <c r="Z364" s="41">
        <f>IFERROR(IF(Y364=0,"",ROUNDUP(Y364/H364,0)*0.00902),"")</f>
        <v>6.3140000000000002E-2</v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32.410000000000004</v>
      </c>
      <c r="BN364" s="78">
        <f t="shared" si="54"/>
        <v>32.410000000000004</v>
      </c>
      <c r="BO364" s="78">
        <f t="shared" si="55"/>
        <v>5.3030303030303032E-2</v>
      </c>
      <c r="BP364" s="78">
        <f t="shared" si="56"/>
        <v>5.3030303030303032E-2</v>
      </c>
    </row>
    <row r="365" spans="1:68" ht="27" customHeight="1" x14ac:dyDescent="0.25">
      <c r="A365" s="63" t="s">
        <v>608</v>
      </c>
      <c r="B365" s="63" t="s">
        <v>609</v>
      </c>
      <c r="C365" s="36">
        <v>4301031152</v>
      </c>
      <c r="D365" s="688">
        <v>4607091387285</v>
      </c>
      <c r="E365" s="688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0"/>
      <c r="R365" s="690"/>
      <c r="S365" s="690"/>
      <c r="T365" s="691"/>
      <c r="U365" s="39" t="s">
        <v>46</v>
      </c>
      <c r="V365" s="39" t="s">
        <v>46</v>
      </c>
      <c r="W365" s="40" t="s">
        <v>0</v>
      </c>
      <c r="X365" s="58">
        <v>14.7</v>
      </c>
      <c r="Y365" s="55">
        <f t="shared" si="52"/>
        <v>14.700000000000001</v>
      </c>
      <c r="Z365" s="41">
        <f>IFERROR(IF(Y365=0,"",ROUNDUP(Y365/H365,0)*0.00502),"")</f>
        <v>3.5140000000000005E-2</v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15.61</v>
      </c>
      <c r="BN365" s="78">
        <f t="shared" si="54"/>
        <v>15.61</v>
      </c>
      <c r="BO365" s="78">
        <f t="shared" si="55"/>
        <v>2.9914529914529912E-2</v>
      </c>
      <c r="BP365" s="78">
        <f t="shared" si="56"/>
        <v>2.9914529914529919E-2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8">
        <v>4607091389845</v>
      </c>
      <c r="E366" s="688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0"/>
      <c r="R366" s="690"/>
      <c r="S366" s="690"/>
      <c r="T366" s="691"/>
      <c r="U366" s="39" t="s">
        <v>46</v>
      </c>
      <c r="V366" s="39" t="s">
        <v>46</v>
      </c>
      <c r="W366" s="40" t="s">
        <v>0</v>
      </c>
      <c r="X366" s="58">
        <v>14.7</v>
      </c>
      <c r="Y366" s="55">
        <f t="shared" si="52"/>
        <v>14.700000000000001</v>
      </c>
      <c r="Z366" s="41">
        <f>IFERROR(IF(Y366=0,"",ROUNDUP(Y366/H366,0)*0.00502),"")</f>
        <v>3.5140000000000005E-2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15.4</v>
      </c>
      <c r="BN366" s="78">
        <f t="shared" si="54"/>
        <v>15.4</v>
      </c>
      <c r="BO366" s="78">
        <f t="shared" si="55"/>
        <v>2.9914529914529912E-2</v>
      </c>
      <c r="BP366" s="78">
        <f t="shared" si="56"/>
        <v>2.9914529914529919E-2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8">
        <v>4680115887442</v>
      </c>
      <c r="E367" s="688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0"/>
      <c r="R367" s="690"/>
      <c r="S367" s="690"/>
      <c r="T367" s="691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8">
        <v>4607091383836</v>
      </c>
      <c r="E368" s="688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0"/>
      <c r="R368" s="690"/>
      <c r="S368" s="690"/>
      <c r="T368" s="691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x14ac:dyDescent="0.2">
      <c r="A369" s="696"/>
      <c r="B369" s="696"/>
      <c r="C369" s="696"/>
      <c r="D369" s="696"/>
      <c r="E369" s="696"/>
      <c r="F369" s="696"/>
      <c r="G369" s="696"/>
      <c r="H369" s="696"/>
      <c r="I369" s="696"/>
      <c r="J369" s="696"/>
      <c r="K369" s="696"/>
      <c r="L369" s="696"/>
      <c r="M369" s="696"/>
      <c r="N369" s="696"/>
      <c r="O369" s="697"/>
      <c r="P369" s="693" t="s">
        <v>40</v>
      </c>
      <c r="Q369" s="694"/>
      <c r="R369" s="694"/>
      <c r="S369" s="694"/>
      <c r="T369" s="694"/>
      <c r="U369" s="694"/>
      <c r="V369" s="695"/>
      <c r="W369" s="42" t="s">
        <v>39</v>
      </c>
      <c r="X369" s="43">
        <f>IFERROR(X362/H362,"0")+IFERROR(X363/H363,"0")+IFERROR(X364/H364,"0")+IFERROR(X365/H365,"0")+IFERROR(X366/H366,"0")+IFERROR(X367/H367,"0")+IFERROR(X368/H368,"0")</f>
        <v>51</v>
      </c>
      <c r="Y369" s="43">
        <f>IFERROR(Y362/H362,"0")+IFERROR(Y363/H363,"0")+IFERROR(Y364/H364,"0")+IFERROR(Y365/H365,"0")+IFERROR(Y366/H366,"0")+IFERROR(Y367/H367,"0")+IFERROR(Y368/H368,"0")</f>
        <v>51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0.40402000000000005</v>
      </c>
      <c r="AA369" s="67"/>
      <c r="AB369" s="67"/>
      <c r="AC369" s="67"/>
    </row>
    <row r="370" spans="1:68" x14ac:dyDescent="0.2">
      <c r="A370" s="696"/>
      <c r="B370" s="696"/>
      <c r="C370" s="696"/>
      <c r="D370" s="696"/>
      <c r="E370" s="696"/>
      <c r="F370" s="696"/>
      <c r="G370" s="696"/>
      <c r="H370" s="696"/>
      <c r="I370" s="696"/>
      <c r="J370" s="696"/>
      <c r="K370" s="696"/>
      <c r="L370" s="696"/>
      <c r="M370" s="696"/>
      <c r="N370" s="696"/>
      <c r="O370" s="697"/>
      <c r="P370" s="693" t="s">
        <v>40</v>
      </c>
      <c r="Q370" s="694"/>
      <c r="R370" s="694"/>
      <c r="S370" s="694"/>
      <c r="T370" s="694"/>
      <c r="U370" s="694"/>
      <c r="V370" s="695"/>
      <c r="W370" s="42" t="s">
        <v>0</v>
      </c>
      <c r="X370" s="43">
        <f>IFERROR(SUM(X362:X368),"0")</f>
        <v>186.05999999999997</v>
      </c>
      <c r="Y370" s="43">
        <f>IFERROR(SUM(Y362:Y368),"0")</f>
        <v>186.05999999999997</v>
      </c>
      <c r="Z370" s="42"/>
      <c r="AA370" s="67"/>
      <c r="AB370" s="67"/>
      <c r="AC370" s="67"/>
    </row>
    <row r="371" spans="1:68" ht="14.25" hidden="1" customHeight="1" x14ac:dyDescent="0.25">
      <c r="A371" s="687" t="s">
        <v>86</v>
      </c>
      <c r="B371" s="687"/>
      <c r="C371" s="687"/>
      <c r="D371" s="687"/>
      <c r="E371" s="687"/>
      <c r="F371" s="687"/>
      <c r="G371" s="687"/>
      <c r="H371" s="687"/>
      <c r="I371" s="687"/>
      <c r="J371" s="687"/>
      <c r="K371" s="687"/>
      <c r="L371" s="687"/>
      <c r="M371" s="687"/>
      <c r="N371" s="687"/>
      <c r="O371" s="687"/>
      <c r="P371" s="687"/>
      <c r="Q371" s="687"/>
      <c r="R371" s="687"/>
      <c r="S371" s="687"/>
      <c r="T371" s="687"/>
      <c r="U371" s="687"/>
      <c r="V371" s="687"/>
      <c r="W371" s="687"/>
      <c r="X371" s="687"/>
      <c r="Y371" s="687"/>
      <c r="Z371" s="687"/>
      <c r="AA371" s="66"/>
      <c r="AB371" s="66"/>
      <c r="AC371" s="80"/>
    </row>
    <row r="372" spans="1:68" ht="27" customHeight="1" x14ac:dyDescent="0.25">
      <c r="A372" s="63" t="s">
        <v>618</v>
      </c>
      <c r="B372" s="63" t="s">
        <v>619</v>
      </c>
      <c r="C372" s="36">
        <v>4301051100</v>
      </c>
      <c r="D372" s="688">
        <v>4607091387766</v>
      </c>
      <c r="E372" s="688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0"/>
      <c r="R372" s="690"/>
      <c r="S372" s="690"/>
      <c r="T372" s="691"/>
      <c r="U372" s="39" t="s">
        <v>46</v>
      </c>
      <c r="V372" s="39" t="s">
        <v>46</v>
      </c>
      <c r="W372" s="40" t="s">
        <v>0</v>
      </c>
      <c r="X372" s="58">
        <v>1497.6</v>
      </c>
      <c r="Y372" s="55">
        <f>IFERROR(IF(X372="",0,CEILING((X372/$H372),1)*$H372),"")</f>
        <v>1497.6</v>
      </c>
      <c r="Z372" s="41">
        <f>IFERROR(IF(Y372=0,"",ROUNDUP(Y372/H372,0)*0.01898),"")</f>
        <v>3.6441600000000003</v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1591.296</v>
      </c>
      <c r="BN372" s="78">
        <f>IFERROR(Y372*I372/H372,"0")</f>
        <v>1591.296</v>
      </c>
      <c r="BO372" s="78">
        <f>IFERROR(1/J372*(X372/H372),"0")</f>
        <v>3</v>
      </c>
      <c r="BP372" s="78">
        <f>IFERROR(1/J372*(Y372/H372),"0")</f>
        <v>3</v>
      </c>
    </row>
    <row r="373" spans="1:68" ht="27" customHeight="1" x14ac:dyDescent="0.25">
      <c r="A373" s="63" t="s">
        <v>621</v>
      </c>
      <c r="B373" s="63" t="s">
        <v>622</v>
      </c>
      <c r="C373" s="36">
        <v>4301051818</v>
      </c>
      <c r="D373" s="688">
        <v>4607091387957</v>
      </c>
      <c r="E373" s="688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0"/>
      <c r="R373" s="690"/>
      <c r="S373" s="690"/>
      <c r="T373" s="691"/>
      <c r="U373" s="39" t="s">
        <v>46</v>
      </c>
      <c r="V373" s="39" t="s">
        <v>46</v>
      </c>
      <c r="W373" s="40" t="s">
        <v>0</v>
      </c>
      <c r="X373" s="58">
        <v>23.4</v>
      </c>
      <c r="Y373" s="55">
        <f>IFERROR(IF(X373="",0,CEILING((X373/$H373),1)*$H373),"")</f>
        <v>23.4</v>
      </c>
      <c r="Z373" s="41">
        <f>IFERROR(IF(Y373=0,"",ROUNDUP(Y373/H373,0)*0.01898),"")</f>
        <v>5.6940000000000004E-2</v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24.882000000000001</v>
      </c>
      <c r="BN373" s="78">
        <f>IFERROR(Y373*I373/H373,"0")</f>
        <v>24.882000000000001</v>
      </c>
      <c r="BO373" s="78">
        <f>IFERROR(1/J373*(X373/H373),"0")</f>
        <v>4.6875E-2</v>
      </c>
      <c r="BP373" s="78">
        <f>IFERROR(1/J373*(Y373/H373),"0")</f>
        <v>4.6875E-2</v>
      </c>
    </row>
    <row r="374" spans="1:68" ht="27" customHeight="1" x14ac:dyDescent="0.25">
      <c r="A374" s="63" t="s">
        <v>624</v>
      </c>
      <c r="B374" s="63" t="s">
        <v>625</v>
      </c>
      <c r="C374" s="36">
        <v>4301051819</v>
      </c>
      <c r="D374" s="688">
        <v>4607091387964</v>
      </c>
      <c r="E374" s="688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0"/>
      <c r="R374" s="690"/>
      <c r="S374" s="690"/>
      <c r="T374" s="691"/>
      <c r="U374" s="39" t="s">
        <v>46</v>
      </c>
      <c r="V374" s="39" t="s">
        <v>46</v>
      </c>
      <c r="W374" s="40" t="s">
        <v>0</v>
      </c>
      <c r="X374" s="58">
        <v>24.3</v>
      </c>
      <c r="Y374" s="55">
        <f>IFERROR(IF(X374="",0,CEILING((X374/$H374),1)*$H374),"")</f>
        <v>24.299999999999997</v>
      </c>
      <c r="Z374" s="41">
        <f>IFERROR(IF(Y374=0,"",ROUNDUP(Y374/H374,0)*0.01898),"")</f>
        <v>5.6940000000000004E-2</v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25.728000000000002</v>
      </c>
      <c r="BN374" s="78">
        <f>IFERROR(Y374*I374/H374,"0")</f>
        <v>25.727999999999998</v>
      </c>
      <c r="BO374" s="78">
        <f>IFERROR(1/J374*(X374/H374),"0")</f>
        <v>4.6875E-2</v>
      </c>
      <c r="BP374" s="78">
        <f>IFERROR(1/J374*(Y374/H374),"0")</f>
        <v>4.6875E-2</v>
      </c>
    </row>
    <row r="375" spans="1:68" ht="27" customHeight="1" x14ac:dyDescent="0.25">
      <c r="A375" s="63" t="s">
        <v>627</v>
      </c>
      <c r="B375" s="63" t="s">
        <v>628</v>
      </c>
      <c r="C375" s="36">
        <v>4301051734</v>
      </c>
      <c r="D375" s="688">
        <v>4680115884588</v>
      </c>
      <c r="E375" s="688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0"/>
      <c r="R375" s="690"/>
      <c r="S375" s="690"/>
      <c r="T375" s="691"/>
      <c r="U375" s="39" t="s">
        <v>46</v>
      </c>
      <c r="V375" s="39" t="s">
        <v>46</v>
      </c>
      <c r="W375" s="40" t="s">
        <v>0</v>
      </c>
      <c r="X375" s="58">
        <v>15</v>
      </c>
      <c r="Y375" s="55">
        <f>IFERROR(IF(X375="",0,CEILING((X375/$H375),1)*$H375),"")</f>
        <v>15</v>
      </c>
      <c r="Z375" s="41">
        <f>IFERROR(IF(Y375=0,"",ROUNDUP(Y375/H375,0)*0.00651),"")</f>
        <v>3.2550000000000003E-2</v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16.23</v>
      </c>
      <c r="BN375" s="78">
        <f>IFERROR(Y375*I375/H375,"0")</f>
        <v>16.23</v>
      </c>
      <c r="BO375" s="78">
        <f>IFERROR(1/J375*(X375/H375),"0")</f>
        <v>2.7472527472527476E-2</v>
      </c>
      <c r="BP375" s="78">
        <f>IFERROR(1/J375*(Y375/H375),"0")</f>
        <v>2.7472527472527476E-2</v>
      </c>
    </row>
    <row r="376" spans="1:68" x14ac:dyDescent="0.2">
      <c r="A376" s="696"/>
      <c r="B376" s="696"/>
      <c r="C376" s="696"/>
      <c r="D376" s="696"/>
      <c r="E376" s="696"/>
      <c r="F376" s="696"/>
      <c r="G376" s="696"/>
      <c r="H376" s="696"/>
      <c r="I376" s="696"/>
      <c r="J376" s="696"/>
      <c r="K376" s="696"/>
      <c r="L376" s="696"/>
      <c r="M376" s="696"/>
      <c r="N376" s="696"/>
      <c r="O376" s="697"/>
      <c r="P376" s="693" t="s">
        <v>40</v>
      </c>
      <c r="Q376" s="694"/>
      <c r="R376" s="694"/>
      <c r="S376" s="694"/>
      <c r="T376" s="694"/>
      <c r="U376" s="694"/>
      <c r="V376" s="695"/>
      <c r="W376" s="42" t="s">
        <v>39</v>
      </c>
      <c r="X376" s="43">
        <f>IFERROR(X372/H372,"0")+IFERROR(X373/H373,"0")+IFERROR(X374/H374,"0")+IFERROR(X375/H375,"0")</f>
        <v>203</v>
      </c>
      <c r="Y376" s="43">
        <f>IFERROR(Y372/H372,"0")+IFERROR(Y373/H373,"0")+IFERROR(Y374/H374,"0")+IFERROR(Y375/H375,"0")</f>
        <v>203</v>
      </c>
      <c r="Z376" s="43">
        <f>IFERROR(IF(Z372="",0,Z372),"0")+IFERROR(IF(Z373="",0,Z373),"0")+IFERROR(IF(Z374="",0,Z374),"0")+IFERROR(IF(Z375="",0,Z375),"0")</f>
        <v>3.7905900000000003</v>
      </c>
      <c r="AA376" s="67"/>
      <c r="AB376" s="67"/>
      <c r="AC376" s="67"/>
    </row>
    <row r="377" spans="1:68" x14ac:dyDescent="0.2">
      <c r="A377" s="696"/>
      <c r="B377" s="696"/>
      <c r="C377" s="696"/>
      <c r="D377" s="696"/>
      <c r="E377" s="696"/>
      <c r="F377" s="696"/>
      <c r="G377" s="696"/>
      <c r="H377" s="696"/>
      <c r="I377" s="696"/>
      <c r="J377" s="696"/>
      <c r="K377" s="696"/>
      <c r="L377" s="696"/>
      <c r="M377" s="696"/>
      <c r="N377" s="696"/>
      <c r="O377" s="697"/>
      <c r="P377" s="693" t="s">
        <v>40</v>
      </c>
      <c r="Q377" s="694"/>
      <c r="R377" s="694"/>
      <c r="S377" s="694"/>
      <c r="T377" s="694"/>
      <c r="U377" s="694"/>
      <c r="V377" s="695"/>
      <c r="W377" s="42" t="s">
        <v>0</v>
      </c>
      <c r="X377" s="43">
        <f>IFERROR(SUM(X372:X375),"0")</f>
        <v>1560.3</v>
      </c>
      <c r="Y377" s="43">
        <f>IFERROR(SUM(Y372:Y375),"0")</f>
        <v>1560.3</v>
      </c>
      <c r="Z377" s="42"/>
      <c r="AA377" s="67"/>
      <c r="AB377" s="67"/>
      <c r="AC377" s="67"/>
    </row>
    <row r="378" spans="1:68" ht="14.25" hidden="1" customHeight="1" x14ac:dyDescent="0.25">
      <c r="A378" s="687" t="s">
        <v>183</v>
      </c>
      <c r="B378" s="687"/>
      <c r="C378" s="687"/>
      <c r="D378" s="687"/>
      <c r="E378" s="687"/>
      <c r="F378" s="687"/>
      <c r="G378" s="687"/>
      <c r="H378" s="687"/>
      <c r="I378" s="687"/>
      <c r="J378" s="687"/>
      <c r="K378" s="687"/>
      <c r="L378" s="687"/>
      <c r="M378" s="687"/>
      <c r="N378" s="687"/>
      <c r="O378" s="687"/>
      <c r="P378" s="687"/>
      <c r="Q378" s="687"/>
      <c r="R378" s="687"/>
      <c r="S378" s="687"/>
      <c r="T378" s="687"/>
      <c r="U378" s="687"/>
      <c r="V378" s="687"/>
      <c r="W378" s="687"/>
      <c r="X378" s="687"/>
      <c r="Y378" s="687"/>
      <c r="Z378" s="687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8">
        <v>4607091380880</v>
      </c>
      <c r="E379" s="688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0"/>
      <c r="R379" s="690"/>
      <c r="S379" s="690"/>
      <c r="T379" s="691"/>
      <c r="U379" s="39" t="s">
        <v>46</v>
      </c>
      <c r="V379" s="39" t="s">
        <v>46</v>
      </c>
      <c r="W379" s="40" t="s">
        <v>0</v>
      </c>
      <c r="X379" s="58">
        <v>42</v>
      </c>
      <c r="Y379" s="55">
        <f>IFERROR(IF(X379="",0,CEILING((X379/$H379),1)*$H379),"")</f>
        <v>42</v>
      </c>
      <c r="Z379" s="41">
        <f>IFERROR(IF(Y379=0,"",ROUNDUP(Y379/H379,0)*0.01898),"")</f>
        <v>9.4899999999999998E-2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44.47</v>
      </c>
      <c r="BN379" s="78">
        <f>IFERROR(Y379*I379/H379,"0")</f>
        <v>44.47</v>
      </c>
      <c r="BO379" s="78">
        <f>IFERROR(1/J379*(X379/H379),"0")</f>
        <v>7.8125E-2</v>
      </c>
      <c r="BP379" s="78">
        <f>IFERROR(1/J379*(Y379/H379),"0")</f>
        <v>7.8125E-2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8">
        <v>4607091384482</v>
      </c>
      <c r="E380" s="688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0"/>
      <c r="R380" s="690"/>
      <c r="S380" s="690"/>
      <c r="T380" s="691"/>
      <c r="U380" s="39" t="s">
        <v>46</v>
      </c>
      <c r="V380" s="39" t="s">
        <v>46</v>
      </c>
      <c r="W380" s="40" t="s">
        <v>0</v>
      </c>
      <c r="X380" s="58">
        <v>46.8</v>
      </c>
      <c r="Y380" s="55">
        <f>IFERROR(IF(X380="",0,CEILING((X380/$H380),1)*$H380),"")</f>
        <v>46.8</v>
      </c>
      <c r="Z380" s="41">
        <f>IFERROR(IF(Y380=0,"",ROUNDUP(Y380/H380,0)*0.01898),"")</f>
        <v>0.11388000000000001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49.764000000000003</v>
      </c>
      <c r="BN380" s="78">
        <f>IFERROR(Y380*I380/H380,"0")</f>
        <v>49.764000000000003</v>
      </c>
      <c r="BO380" s="78">
        <f>IFERROR(1/J380*(X380/H380),"0")</f>
        <v>9.375E-2</v>
      </c>
      <c r="BP380" s="78">
        <f>IFERROR(1/J380*(Y380/H380),"0")</f>
        <v>9.375E-2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8">
        <v>4607091380897</v>
      </c>
      <c r="E381" s="688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0"/>
      <c r="R381" s="690"/>
      <c r="S381" s="690"/>
      <c r="T381" s="691"/>
      <c r="U381" s="39" t="s">
        <v>46</v>
      </c>
      <c r="V381" s="39" t="s">
        <v>46</v>
      </c>
      <c r="W381" s="40" t="s">
        <v>0</v>
      </c>
      <c r="X381" s="58">
        <v>67.2</v>
      </c>
      <c r="Y381" s="55">
        <f>IFERROR(IF(X381="",0,CEILING((X381/$H381),1)*$H381),"")</f>
        <v>67.2</v>
      </c>
      <c r="Z381" s="41">
        <f>IFERROR(IF(Y381=0,"",ROUNDUP(Y381/H381,0)*0.01898),"")</f>
        <v>0.15184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71.152000000000001</v>
      </c>
      <c r="BN381" s="78">
        <f>IFERROR(Y381*I381/H381,"0")</f>
        <v>71.152000000000001</v>
      </c>
      <c r="BO381" s="78">
        <f>IFERROR(1/J381*(X381/H381),"0")</f>
        <v>0.125</v>
      </c>
      <c r="BP381" s="78">
        <f>IFERROR(1/J381*(Y381/H381),"0")</f>
        <v>0.125</v>
      </c>
    </row>
    <row r="382" spans="1:68" x14ac:dyDescent="0.2">
      <c r="A382" s="696"/>
      <c r="B382" s="696"/>
      <c r="C382" s="696"/>
      <c r="D382" s="696"/>
      <c r="E382" s="696"/>
      <c r="F382" s="696"/>
      <c r="G382" s="696"/>
      <c r="H382" s="696"/>
      <c r="I382" s="696"/>
      <c r="J382" s="696"/>
      <c r="K382" s="696"/>
      <c r="L382" s="696"/>
      <c r="M382" s="696"/>
      <c r="N382" s="696"/>
      <c r="O382" s="697"/>
      <c r="P382" s="693" t="s">
        <v>40</v>
      </c>
      <c r="Q382" s="694"/>
      <c r="R382" s="694"/>
      <c r="S382" s="694"/>
      <c r="T382" s="694"/>
      <c r="U382" s="694"/>
      <c r="V382" s="695"/>
      <c r="W382" s="42" t="s">
        <v>39</v>
      </c>
      <c r="X382" s="43">
        <f>IFERROR(X379/H379,"0")+IFERROR(X380/H380,"0")+IFERROR(X381/H381,"0")</f>
        <v>19</v>
      </c>
      <c r="Y382" s="43">
        <f>IFERROR(Y379/H379,"0")+IFERROR(Y380/H380,"0")+IFERROR(Y381/H381,"0")</f>
        <v>19</v>
      </c>
      <c r="Z382" s="43">
        <f>IFERROR(IF(Z379="",0,Z379),"0")+IFERROR(IF(Z380="",0,Z380),"0")+IFERROR(IF(Z381="",0,Z381),"0")</f>
        <v>0.36062000000000005</v>
      </c>
      <c r="AA382" s="67"/>
      <c r="AB382" s="67"/>
      <c r="AC382" s="67"/>
    </row>
    <row r="383" spans="1:68" x14ac:dyDescent="0.2">
      <c r="A383" s="696"/>
      <c r="B383" s="696"/>
      <c r="C383" s="696"/>
      <c r="D383" s="696"/>
      <c r="E383" s="696"/>
      <c r="F383" s="696"/>
      <c r="G383" s="696"/>
      <c r="H383" s="696"/>
      <c r="I383" s="696"/>
      <c r="J383" s="696"/>
      <c r="K383" s="696"/>
      <c r="L383" s="696"/>
      <c r="M383" s="696"/>
      <c r="N383" s="696"/>
      <c r="O383" s="697"/>
      <c r="P383" s="693" t="s">
        <v>40</v>
      </c>
      <c r="Q383" s="694"/>
      <c r="R383" s="694"/>
      <c r="S383" s="694"/>
      <c r="T383" s="694"/>
      <c r="U383" s="694"/>
      <c r="V383" s="695"/>
      <c r="W383" s="42" t="s">
        <v>0</v>
      </c>
      <c r="X383" s="43">
        <f>IFERROR(SUM(X379:X381),"0")</f>
        <v>156</v>
      </c>
      <c r="Y383" s="43">
        <f>IFERROR(SUM(Y379:Y381),"0")</f>
        <v>156</v>
      </c>
      <c r="Z383" s="42"/>
      <c r="AA383" s="67"/>
      <c r="AB383" s="67"/>
      <c r="AC383" s="67"/>
    </row>
    <row r="384" spans="1:68" ht="14.25" hidden="1" customHeight="1" x14ac:dyDescent="0.25">
      <c r="A384" s="687" t="s">
        <v>104</v>
      </c>
      <c r="B384" s="687"/>
      <c r="C384" s="687"/>
      <c r="D384" s="687"/>
      <c r="E384" s="687"/>
      <c r="F384" s="687"/>
      <c r="G384" s="687"/>
      <c r="H384" s="687"/>
      <c r="I384" s="687"/>
      <c r="J384" s="687"/>
      <c r="K384" s="687"/>
      <c r="L384" s="687"/>
      <c r="M384" s="687"/>
      <c r="N384" s="687"/>
      <c r="O384" s="687"/>
      <c r="P384" s="687"/>
      <c r="Q384" s="687"/>
      <c r="R384" s="687"/>
      <c r="S384" s="687"/>
      <c r="T384" s="687"/>
      <c r="U384" s="687"/>
      <c r="V384" s="687"/>
      <c r="W384" s="687"/>
      <c r="X384" s="687"/>
      <c r="Y384" s="687"/>
      <c r="Z384" s="687"/>
      <c r="AA384" s="66"/>
      <c r="AB384" s="66"/>
      <c r="AC384" s="80"/>
    </row>
    <row r="385" spans="1:68" ht="27" customHeight="1" x14ac:dyDescent="0.25">
      <c r="A385" s="63" t="s">
        <v>638</v>
      </c>
      <c r="B385" s="63" t="s">
        <v>639</v>
      </c>
      <c r="C385" s="36">
        <v>4301030235</v>
      </c>
      <c r="D385" s="688">
        <v>4607091388381</v>
      </c>
      <c r="E385" s="688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0"/>
      <c r="R385" s="690"/>
      <c r="S385" s="690"/>
      <c r="T385" s="691"/>
      <c r="U385" s="39" t="s">
        <v>46</v>
      </c>
      <c r="V385" s="39" t="s">
        <v>46</v>
      </c>
      <c r="W385" s="40" t="s">
        <v>0</v>
      </c>
      <c r="X385" s="58">
        <v>3.04</v>
      </c>
      <c r="Y385" s="55">
        <f>IFERROR(IF(X385="",0,CEILING((X385/$H385),1)*$H385),"")</f>
        <v>3.04</v>
      </c>
      <c r="Z385" s="41">
        <f>IFERROR(IF(Y385=0,"",ROUNDUP(Y385/H385,0)*0.00902),"")</f>
        <v>9.0200000000000002E-3</v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3.31</v>
      </c>
      <c r="BN385" s="78">
        <f>IFERROR(Y385*I385/H385,"0")</f>
        <v>3.31</v>
      </c>
      <c r="BO385" s="78">
        <f>IFERROR(1/J385*(X385/H385),"0")</f>
        <v>7.575757575757576E-3</v>
      </c>
      <c r="BP385" s="78">
        <f>IFERROR(1/J385*(Y385/H385),"0")</f>
        <v>7.575757575757576E-3</v>
      </c>
    </row>
    <row r="386" spans="1:68" ht="27" customHeight="1" x14ac:dyDescent="0.25">
      <c r="A386" s="63" t="s">
        <v>641</v>
      </c>
      <c r="B386" s="63" t="s">
        <v>642</v>
      </c>
      <c r="C386" s="36">
        <v>4301030232</v>
      </c>
      <c r="D386" s="688">
        <v>4607091388374</v>
      </c>
      <c r="E386" s="688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0"/>
      <c r="R386" s="690"/>
      <c r="S386" s="690"/>
      <c r="T386" s="691"/>
      <c r="U386" s="39" t="s">
        <v>46</v>
      </c>
      <c r="V386" s="39" t="s">
        <v>46</v>
      </c>
      <c r="W386" s="40" t="s">
        <v>0</v>
      </c>
      <c r="X386" s="58">
        <v>3.04</v>
      </c>
      <c r="Y386" s="55">
        <f>IFERROR(IF(X386="",0,CEILING((X386/$H386),1)*$H386),"")</f>
        <v>3.04</v>
      </c>
      <c r="Z386" s="41">
        <f>IFERROR(IF(Y386=0,"",ROUNDUP(Y386/H386,0)*0.00902),"")</f>
        <v>9.0200000000000002E-3</v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3.2699999999999996</v>
      </c>
      <c r="BN386" s="78">
        <f>IFERROR(Y386*I386/H386,"0")</f>
        <v>3.2699999999999996</v>
      </c>
      <c r="BO386" s="78">
        <f>IFERROR(1/J386*(X386/H386),"0")</f>
        <v>7.575757575757576E-3</v>
      </c>
      <c r="BP386" s="78">
        <f>IFERROR(1/J386*(Y386/H386),"0")</f>
        <v>7.575757575757576E-3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88">
        <v>4607091383102</v>
      </c>
      <c r="E387" s="688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0"/>
      <c r="R387" s="690"/>
      <c r="S387" s="690"/>
      <c r="T387" s="691"/>
      <c r="U387" s="39" t="s">
        <v>46</v>
      </c>
      <c r="V387" s="39" t="s">
        <v>46</v>
      </c>
      <c r="W387" s="40" t="s">
        <v>0</v>
      </c>
      <c r="X387" s="58">
        <v>2.5499999999999998</v>
      </c>
      <c r="Y387" s="55">
        <f>IFERROR(IF(X387="",0,CEILING((X387/$H387),1)*$H387),"")</f>
        <v>2.5499999999999998</v>
      </c>
      <c r="Z387" s="41">
        <f>IFERROR(IF(Y387=0,"",ROUNDUP(Y387/H387,0)*0.00651),"")</f>
        <v>6.5100000000000002E-3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2.9550000000000001</v>
      </c>
      <c r="BN387" s="78">
        <f>IFERROR(Y387*I387/H387,"0")</f>
        <v>2.9550000000000001</v>
      </c>
      <c r="BO387" s="78">
        <f>IFERROR(1/J387*(X387/H387),"0")</f>
        <v>5.4945054945054949E-3</v>
      </c>
      <c r="BP387" s="78">
        <f>IFERROR(1/J387*(Y387/H387),"0")</f>
        <v>5.4945054945054949E-3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88">
        <v>4607091388404</v>
      </c>
      <c r="E388" s="688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0"/>
      <c r="R388" s="690"/>
      <c r="S388" s="690"/>
      <c r="T388" s="691"/>
      <c r="U388" s="39" t="s">
        <v>46</v>
      </c>
      <c r="V388" s="39" t="s">
        <v>46</v>
      </c>
      <c r="W388" s="40" t="s">
        <v>0</v>
      </c>
      <c r="X388" s="58">
        <v>2.5499999999999998</v>
      </c>
      <c r="Y388" s="55">
        <f>IFERROR(IF(X388="",0,CEILING((X388/$H388),1)*$H388),"")</f>
        <v>2.5499999999999998</v>
      </c>
      <c r="Z388" s="41">
        <f>IFERROR(IF(Y388=0,"",ROUNDUP(Y388/H388,0)*0.00651),"")</f>
        <v>6.5100000000000002E-3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2.88</v>
      </c>
      <c r="BN388" s="78">
        <f>IFERROR(Y388*I388/H388,"0")</f>
        <v>2.88</v>
      </c>
      <c r="BO388" s="78">
        <f>IFERROR(1/J388*(X388/H388),"0")</f>
        <v>5.4945054945054949E-3</v>
      </c>
      <c r="BP388" s="78">
        <f>IFERROR(1/J388*(Y388/H388),"0")</f>
        <v>5.4945054945054949E-3</v>
      </c>
    </row>
    <row r="389" spans="1:68" x14ac:dyDescent="0.2">
      <c r="A389" s="696"/>
      <c r="B389" s="696"/>
      <c r="C389" s="696"/>
      <c r="D389" s="696"/>
      <c r="E389" s="696"/>
      <c r="F389" s="696"/>
      <c r="G389" s="696"/>
      <c r="H389" s="696"/>
      <c r="I389" s="696"/>
      <c r="J389" s="696"/>
      <c r="K389" s="696"/>
      <c r="L389" s="696"/>
      <c r="M389" s="696"/>
      <c r="N389" s="696"/>
      <c r="O389" s="697"/>
      <c r="P389" s="693" t="s">
        <v>40</v>
      </c>
      <c r="Q389" s="694"/>
      <c r="R389" s="694"/>
      <c r="S389" s="694"/>
      <c r="T389" s="694"/>
      <c r="U389" s="694"/>
      <c r="V389" s="695"/>
      <c r="W389" s="42" t="s">
        <v>39</v>
      </c>
      <c r="X389" s="43">
        <f>IFERROR(X385/H385,"0")+IFERROR(X386/H386,"0")+IFERROR(X387/H387,"0")+IFERROR(X388/H388,"0")</f>
        <v>4</v>
      </c>
      <c r="Y389" s="43">
        <f>IFERROR(Y385/H385,"0")+IFERROR(Y386/H386,"0")+IFERROR(Y387/H387,"0")+IFERROR(Y388/H388,"0")</f>
        <v>4</v>
      </c>
      <c r="Z389" s="43">
        <f>IFERROR(IF(Z385="",0,Z385),"0")+IFERROR(IF(Z386="",0,Z386),"0")+IFERROR(IF(Z387="",0,Z387),"0")+IFERROR(IF(Z388="",0,Z388),"0")</f>
        <v>3.1060000000000004E-2</v>
      </c>
      <c r="AA389" s="67"/>
      <c r="AB389" s="67"/>
      <c r="AC389" s="67"/>
    </row>
    <row r="390" spans="1:68" x14ac:dyDescent="0.2">
      <c r="A390" s="696"/>
      <c r="B390" s="696"/>
      <c r="C390" s="696"/>
      <c r="D390" s="696"/>
      <c r="E390" s="696"/>
      <c r="F390" s="696"/>
      <c r="G390" s="696"/>
      <c r="H390" s="696"/>
      <c r="I390" s="696"/>
      <c r="J390" s="696"/>
      <c r="K390" s="696"/>
      <c r="L390" s="696"/>
      <c r="M390" s="696"/>
      <c r="N390" s="696"/>
      <c r="O390" s="697"/>
      <c r="P390" s="693" t="s">
        <v>40</v>
      </c>
      <c r="Q390" s="694"/>
      <c r="R390" s="694"/>
      <c r="S390" s="694"/>
      <c r="T390" s="694"/>
      <c r="U390" s="694"/>
      <c r="V390" s="695"/>
      <c r="W390" s="42" t="s">
        <v>0</v>
      </c>
      <c r="X390" s="43">
        <f>IFERROR(SUM(X385:X388),"0")</f>
        <v>11.18</v>
      </c>
      <c r="Y390" s="43">
        <f>IFERROR(SUM(Y385:Y388),"0")</f>
        <v>11.18</v>
      </c>
      <c r="Z390" s="42"/>
      <c r="AA390" s="67"/>
      <c r="AB390" s="67"/>
      <c r="AC390" s="67"/>
    </row>
    <row r="391" spans="1:68" ht="14.25" hidden="1" customHeight="1" x14ac:dyDescent="0.25">
      <c r="A391" s="687" t="s">
        <v>647</v>
      </c>
      <c r="B391" s="687"/>
      <c r="C391" s="687"/>
      <c r="D391" s="687"/>
      <c r="E391" s="687"/>
      <c r="F391" s="687"/>
      <c r="G391" s="687"/>
      <c r="H391" s="687"/>
      <c r="I391" s="687"/>
      <c r="J391" s="687"/>
      <c r="K391" s="687"/>
      <c r="L391" s="687"/>
      <c r="M391" s="687"/>
      <c r="N391" s="687"/>
      <c r="O391" s="687"/>
      <c r="P391" s="687"/>
      <c r="Q391" s="687"/>
      <c r="R391" s="687"/>
      <c r="S391" s="687"/>
      <c r="T391" s="687"/>
      <c r="U391" s="687"/>
      <c r="V391" s="687"/>
      <c r="W391" s="687"/>
      <c r="X391" s="687"/>
      <c r="Y391" s="687"/>
      <c r="Z391" s="687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8">
        <v>4680115881808</v>
      </c>
      <c r="E392" s="688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0"/>
      <c r="R392" s="690"/>
      <c r="S392" s="690"/>
      <c r="T392" s="69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8">
        <v>4680115881822</v>
      </c>
      <c r="E393" s="688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0"/>
      <c r="R393" s="690"/>
      <c r="S393" s="690"/>
      <c r="T393" s="69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8">
        <v>4680115880016</v>
      </c>
      <c r="E394" s="688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0"/>
      <c r="R394" s="690"/>
      <c r="S394" s="690"/>
      <c r="T394" s="69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6"/>
      <c r="B395" s="696"/>
      <c r="C395" s="696"/>
      <c r="D395" s="696"/>
      <c r="E395" s="696"/>
      <c r="F395" s="696"/>
      <c r="G395" s="696"/>
      <c r="H395" s="696"/>
      <c r="I395" s="696"/>
      <c r="J395" s="696"/>
      <c r="K395" s="696"/>
      <c r="L395" s="696"/>
      <c r="M395" s="696"/>
      <c r="N395" s="696"/>
      <c r="O395" s="697"/>
      <c r="P395" s="693" t="s">
        <v>40</v>
      </c>
      <c r="Q395" s="694"/>
      <c r="R395" s="694"/>
      <c r="S395" s="694"/>
      <c r="T395" s="694"/>
      <c r="U395" s="694"/>
      <c r="V395" s="695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6"/>
      <c r="B396" s="696"/>
      <c r="C396" s="696"/>
      <c r="D396" s="696"/>
      <c r="E396" s="696"/>
      <c r="F396" s="696"/>
      <c r="G396" s="696"/>
      <c r="H396" s="696"/>
      <c r="I396" s="696"/>
      <c r="J396" s="696"/>
      <c r="K396" s="696"/>
      <c r="L396" s="696"/>
      <c r="M396" s="696"/>
      <c r="N396" s="696"/>
      <c r="O396" s="697"/>
      <c r="P396" s="693" t="s">
        <v>40</v>
      </c>
      <c r="Q396" s="694"/>
      <c r="R396" s="694"/>
      <c r="S396" s="694"/>
      <c r="T396" s="694"/>
      <c r="U396" s="694"/>
      <c r="V396" s="695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6" t="s">
        <v>656</v>
      </c>
      <c r="B397" s="686"/>
      <c r="C397" s="686"/>
      <c r="D397" s="686"/>
      <c r="E397" s="686"/>
      <c r="F397" s="686"/>
      <c r="G397" s="686"/>
      <c r="H397" s="686"/>
      <c r="I397" s="686"/>
      <c r="J397" s="686"/>
      <c r="K397" s="686"/>
      <c r="L397" s="686"/>
      <c r="M397" s="686"/>
      <c r="N397" s="686"/>
      <c r="O397" s="686"/>
      <c r="P397" s="686"/>
      <c r="Q397" s="686"/>
      <c r="R397" s="686"/>
      <c r="S397" s="686"/>
      <c r="T397" s="686"/>
      <c r="U397" s="686"/>
      <c r="V397" s="686"/>
      <c r="W397" s="686"/>
      <c r="X397" s="686"/>
      <c r="Y397" s="686"/>
      <c r="Z397" s="686"/>
      <c r="AA397" s="65"/>
      <c r="AB397" s="65"/>
      <c r="AC397" s="79"/>
    </row>
    <row r="398" spans="1:68" ht="14.25" hidden="1" customHeight="1" x14ac:dyDescent="0.25">
      <c r="A398" s="687" t="s">
        <v>86</v>
      </c>
      <c r="B398" s="687"/>
      <c r="C398" s="687"/>
      <c r="D398" s="687"/>
      <c r="E398" s="687"/>
      <c r="F398" s="687"/>
      <c r="G398" s="687"/>
      <c r="H398" s="687"/>
      <c r="I398" s="687"/>
      <c r="J398" s="687"/>
      <c r="K398" s="687"/>
      <c r="L398" s="687"/>
      <c r="M398" s="687"/>
      <c r="N398" s="687"/>
      <c r="O398" s="687"/>
      <c r="P398" s="687"/>
      <c r="Q398" s="687"/>
      <c r="R398" s="687"/>
      <c r="S398" s="687"/>
      <c r="T398" s="687"/>
      <c r="U398" s="687"/>
      <c r="V398" s="687"/>
      <c r="W398" s="687"/>
      <c r="X398" s="687"/>
      <c r="Y398" s="687"/>
      <c r="Z398" s="687"/>
      <c r="AA398" s="66"/>
      <c r="AB398" s="66"/>
      <c r="AC398" s="80"/>
    </row>
    <row r="399" spans="1:68" ht="27" customHeight="1" x14ac:dyDescent="0.25">
      <c r="A399" s="63" t="s">
        <v>657</v>
      </c>
      <c r="B399" s="63" t="s">
        <v>658</v>
      </c>
      <c r="C399" s="36">
        <v>4301051489</v>
      </c>
      <c r="D399" s="688">
        <v>4607091387919</v>
      </c>
      <c r="E399" s="688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90"/>
      <c r="R399" s="690"/>
      <c r="S399" s="690"/>
      <c r="T399" s="691"/>
      <c r="U399" s="39" t="s">
        <v>46</v>
      </c>
      <c r="V399" s="39" t="s">
        <v>46</v>
      </c>
      <c r="W399" s="40" t="s">
        <v>0</v>
      </c>
      <c r="X399" s="58">
        <v>64.8</v>
      </c>
      <c r="Y399" s="55">
        <f>IFERROR(IF(X399="",0,CEILING((X399/$H399),1)*$H399),"")</f>
        <v>64.8</v>
      </c>
      <c r="Z399" s="41">
        <f>IFERROR(IF(Y399=0,"",ROUNDUP(Y399/H399,0)*0.01898),"")</f>
        <v>0.15184</v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68.751999999999995</v>
      </c>
      <c r="BN399" s="78">
        <f>IFERROR(Y399*I399/H399,"0")</f>
        <v>68.751999999999995</v>
      </c>
      <c r="BO399" s="78">
        <f>IFERROR(1/J399*(X399/H399),"0")</f>
        <v>0.125</v>
      </c>
      <c r="BP399" s="78">
        <f>IFERROR(1/J399*(Y399/H399),"0")</f>
        <v>0.125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8">
        <v>4680115883604</v>
      </c>
      <c r="E400" s="688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90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90"/>
      <c r="R400" s="690"/>
      <c r="S400" s="690"/>
      <c r="T400" s="691"/>
      <c r="U400" s="39" t="s">
        <v>46</v>
      </c>
      <c r="V400" s="39" t="s">
        <v>46</v>
      </c>
      <c r="W400" s="40" t="s">
        <v>0</v>
      </c>
      <c r="X400" s="58">
        <v>6.3</v>
      </c>
      <c r="Y400" s="55">
        <f>IFERROR(IF(X400="",0,CEILING((X400/$H400),1)*$H400),"")</f>
        <v>6.3000000000000007</v>
      </c>
      <c r="Z400" s="41">
        <f>IFERROR(IF(Y400=0,"",ROUNDUP(Y400/H400,0)*0.00651),"")</f>
        <v>1.9529999999999999E-2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7.0559999999999992</v>
      </c>
      <c r="BN400" s="78">
        <f>IFERROR(Y400*I400/H400,"0")</f>
        <v>7.056</v>
      </c>
      <c r="BO400" s="78">
        <f>IFERROR(1/J400*(X400/H400),"0")</f>
        <v>1.6483516483516484E-2</v>
      </c>
      <c r="BP400" s="78">
        <f>IFERROR(1/J400*(Y400/H400),"0")</f>
        <v>1.6483516483516484E-2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8">
        <v>4680115883567</v>
      </c>
      <c r="E401" s="688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90"/>
      <c r="R401" s="690"/>
      <c r="S401" s="690"/>
      <c r="T401" s="691"/>
      <c r="U401" s="39" t="s">
        <v>46</v>
      </c>
      <c r="V401" s="39" t="s">
        <v>46</v>
      </c>
      <c r="W401" s="40" t="s">
        <v>0</v>
      </c>
      <c r="X401" s="58">
        <v>6.3</v>
      </c>
      <c r="Y401" s="55">
        <f>IFERROR(IF(X401="",0,CEILING((X401/$H401),1)*$H401),"")</f>
        <v>6.3000000000000007</v>
      </c>
      <c r="Z401" s="41">
        <f>IFERROR(IF(Y401=0,"",ROUNDUP(Y401/H401,0)*0.00651),"")</f>
        <v>1.9529999999999999E-2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7.02</v>
      </c>
      <c r="BN401" s="78">
        <f>IFERROR(Y401*I401/H401,"0")</f>
        <v>7.0200000000000005</v>
      </c>
      <c r="BO401" s="78">
        <f>IFERROR(1/J401*(X401/H401),"0")</f>
        <v>1.6483516483516484E-2</v>
      </c>
      <c r="BP401" s="78">
        <f>IFERROR(1/J401*(Y401/H401),"0")</f>
        <v>1.6483516483516484E-2</v>
      </c>
    </row>
    <row r="402" spans="1:68" x14ac:dyDescent="0.2">
      <c r="A402" s="696"/>
      <c r="B402" s="696"/>
      <c r="C402" s="696"/>
      <c r="D402" s="696"/>
      <c r="E402" s="696"/>
      <c r="F402" s="696"/>
      <c r="G402" s="696"/>
      <c r="H402" s="696"/>
      <c r="I402" s="696"/>
      <c r="J402" s="696"/>
      <c r="K402" s="696"/>
      <c r="L402" s="696"/>
      <c r="M402" s="696"/>
      <c r="N402" s="696"/>
      <c r="O402" s="697"/>
      <c r="P402" s="693" t="s">
        <v>40</v>
      </c>
      <c r="Q402" s="694"/>
      <c r="R402" s="694"/>
      <c r="S402" s="694"/>
      <c r="T402" s="694"/>
      <c r="U402" s="694"/>
      <c r="V402" s="695"/>
      <c r="W402" s="42" t="s">
        <v>39</v>
      </c>
      <c r="X402" s="43">
        <f>IFERROR(X399/H399,"0")+IFERROR(X400/H400,"0")+IFERROR(X401/H401,"0")</f>
        <v>14</v>
      </c>
      <c r="Y402" s="43">
        <f>IFERROR(Y399/H399,"0")+IFERROR(Y400/H400,"0")+IFERROR(Y401/H401,"0")</f>
        <v>14</v>
      </c>
      <c r="Z402" s="43">
        <f>IFERROR(IF(Z399="",0,Z399),"0")+IFERROR(IF(Z400="",0,Z400),"0")+IFERROR(IF(Z401="",0,Z401),"0")</f>
        <v>0.19089999999999999</v>
      </c>
      <c r="AA402" s="67"/>
      <c r="AB402" s="67"/>
      <c r="AC402" s="67"/>
    </row>
    <row r="403" spans="1:68" x14ac:dyDescent="0.2">
      <c r="A403" s="696"/>
      <c r="B403" s="696"/>
      <c r="C403" s="696"/>
      <c r="D403" s="696"/>
      <c r="E403" s="696"/>
      <c r="F403" s="696"/>
      <c r="G403" s="696"/>
      <c r="H403" s="696"/>
      <c r="I403" s="696"/>
      <c r="J403" s="696"/>
      <c r="K403" s="696"/>
      <c r="L403" s="696"/>
      <c r="M403" s="696"/>
      <c r="N403" s="696"/>
      <c r="O403" s="697"/>
      <c r="P403" s="693" t="s">
        <v>40</v>
      </c>
      <c r="Q403" s="694"/>
      <c r="R403" s="694"/>
      <c r="S403" s="694"/>
      <c r="T403" s="694"/>
      <c r="U403" s="694"/>
      <c r="V403" s="695"/>
      <c r="W403" s="42" t="s">
        <v>0</v>
      </c>
      <c r="X403" s="43">
        <f>IFERROR(SUM(X399:X401),"0")</f>
        <v>77.399999999999991</v>
      </c>
      <c r="Y403" s="43">
        <f>IFERROR(SUM(Y399:Y401),"0")</f>
        <v>77.399999999999991</v>
      </c>
      <c r="Z403" s="42"/>
      <c r="AA403" s="67"/>
      <c r="AB403" s="67"/>
      <c r="AC403" s="67"/>
    </row>
    <row r="404" spans="1:68" ht="27.75" hidden="1" customHeight="1" x14ac:dyDescent="0.2">
      <c r="A404" s="685" t="s">
        <v>666</v>
      </c>
      <c r="B404" s="685"/>
      <c r="C404" s="685"/>
      <c r="D404" s="685"/>
      <c r="E404" s="685"/>
      <c r="F404" s="685"/>
      <c r="G404" s="685"/>
      <c r="H404" s="685"/>
      <c r="I404" s="685"/>
      <c r="J404" s="685"/>
      <c r="K404" s="685"/>
      <c r="L404" s="685"/>
      <c r="M404" s="685"/>
      <c r="N404" s="685"/>
      <c r="O404" s="685"/>
      <c r="P404" s="685"/>
      <c r="Q404" s="685"/>
      <c r="R404" s="685"/>
      <c r="S404" s="685"/>
      <c r="T404" s="685"/>
      <c r="U404" s="685"/>
      <c r="V404" s="685"/>
      <c r="W404" s="685"/>
      <c r="X404" s="685"/>
      <c r="Y404" s="685"/>
      <c r="Z404" s="685"/>
      <c r="AA404" s="54"/>
      <c r="AB404" s="54"/>
      <c r="AC404" s="54"/>
    </row>
    <row r="405" spans="1:68" ht="16.5" hidden="1" customHeight="1" x14ac:dyDescent="0.25">
      <c r="A405" s="686" t="s">
        <v>667</v>
      </c>
      <c r="B405" s="686"/>
      <c r="C405" s="686"/>
      <c r="D405" s="686"/>
      <c r="E405" s="686"/>
      <c r="F405" s="686"/>
      <c r="G405" s="686"/>
      <c r="H405" s="686"/>
      <c r="I405" s="686"/>
      <c r="J405" s="686"/>
      <c r="K405" s="686"/>
      <c r="L405" s="686"/>
      <c r="M405" s="686"/>
      <c r="N405" s="686"/>
      <c r="O405" s="686"/>
      <c r="P405" s="686"/>
      <c r="Q405" s="686"/>
      <c r="R405" s="686"/>
      <c r="S405" s="686"/>
      <c r="T405" s="686"/>
      <c r="U405" s="686"/>
      <c r="V405" s="686"/>
      <c r="W405" s="686"/>
      <c r="X405" s="686"/>
      <c r="Y405" s="686"/>
      <c r="Z405" s="686"/>
      <c r="AA405" s="65"/>
      <c r="AB405" s="65"/>
      <c r="AC405" s="79"/>
    </row>
    <row r="406" spans="1:68" ht="14.25" hidden="1" customHeight="1" x14ac:dyDescent="0.25">
      <c r="A406" s="687" t="s">
        <v>129</v>
      </c>
      <c r="B406" s="687"/>
      <c r="C406" s="687"/>
      <c r="D406" s="687"/>
      <c r="E406" s="687"/>
      <c r="F406" s="687"/>
      <c r="G406" s="687"/>
      <c r="H406" s="687"/>
      <c r="I406" s="687"/>
      <c r="J406" s="687"/>
      <c r="K406" s="687"/>
      <c r="L406" s="687"/>
      <c r="M406" s="687"/>
      <c r="N406" s="687"/>
      <c r="O406" s="687"/>
      <c r="P406" s="687"/>
      <c r="Q406" s="687"/>
      <c r="R406" s="687"/>
      <c r="S406" s="687"/>
      <c r="T406" s="687"/>
      <c r="U406" s="687"/>
      <c r="V406" s="687"/>
      <c r="W406" s="687"/>
      <c r="X406" s="687"/>
      <c r="Y406" s="687"/>
      <c r="Z406" s="687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8">
        <v>4680115888401</v>
      </c>
      <c r="E407" s="688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90"/>
      <c r="R407" s="690"/>
      <c r="S407" s="690"/>
      <c r="T407" s="691"/>
      <c r="U407" s="39" t="s">
        <v>46</v>
      </c>
      <c r="V407" s="39" t="s">
        <v>46</v>
      </c>
      <c r="W407" s="40" t="s">
        <v>0</v>
      </c>
      <c r="X407" s="58">
        <v>150</v>
      </c>
      <c r="Y407" s="55">
        <f t="shared" ref="Y407:Y414" si="57">IFERROR(IF(X407="",0,CEILING((X407/$H407),1)*$H407),"")</f>
        <v>150</v>
      </c>
      <c r="Z407" s="41">
        <f>IFERROR(IF(Y407=0,"",ROUNDUP(Y407/H407,0)*0.02175),"")</f>
        <v>0.21749999999999997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154.69999999999999</v>
      </c>
      <c r="BN407" s="78">
        <f t="shared" ref="BN407:BN414" si="59">IFERROR(Y407*I407/H407,"0")</f>
        <v>154.69999999999999</v>
      </c>
      <c r="BO407" s="78">
        <f t="shared" ref="BO407:BO414" si="60">IFERROR(1/J407*(X407/H407),"0")</f>
        <v>0.20833333333333331</v>
      </c>
      <c r="BP407" s="78">
        <f t="shared" ref="BP407:BP414" si="61">IFERROR(1/J407*(Y407/H407),"0")</f>
        <v>0.20833333333333331</v>
      </c>
    </row>
    <row r="408" spans="1:68" ht="37.5" hidden="1" customHeight="1" x14ac:dyDescent="0.25">
      <c r="A408" s="63" t="s">
        <v>671</v>
      </c>
      <c r="B408" s="63" t="s">
        <v>672</v>
      </c>
      <c r="C408" s="36">
        <v>4301011869</v>
      </c>
      <c r="D408" s="688">
        <v>4680115884847</v>
      </c>
      <c r="E408" s="688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90"/>
      <c r="R408" s="690"/>
      <c r="S408" s="690"/>
      <c r="T408" s="691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8">
        <v>4680115884854</v>
      </c>
      <c r="E409" s="688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90"/>
      <c r="R409" s="690"/>
      <c r="S409" s="690"/>
      <c r="T409" s="691"/>
      <c r="U409" s="39" t="s">
        <v>46</v>
      </c>
      <c r="V409" s="39" t="s">
        <v>46</v>
      </c>
      <c r="W409" s="40" t="s">
        <v>0</v>
      </c>
      <c r="X409" s="58">
        <v>720</v>
      </c>
      <c r="Y409" s="55">
        <f t="shared" si="57"/>
        <v>720</v>
      </c>
      <c r="Z409" s="41">
        <f>IFERROR(IF(Y409=0,"",ROUNDUP(Y409/H409,0)*0.02175),"")</f>
        <v>1.044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742.56</v>
      </c>
      <c r="BN409" s="78">
        <f t="shared" si="59"/>
        <v>742.56</v>
      </c>
      <c r="BO409" s="78">
        <f t="shared" si="60"/>
        <v>1</v>
      </c>
      <c r="BP409" s="78">
        <f t="shared" si="61"/>
        <v>1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8">
        <v>4680115884830</v>
      </c>
      <c r="E410" s="688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90"/>
      <c r="R410" s="690"/>
      <c r="S410" s="690"/>
      <c r="T410" s="691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4301012356</v>
      </c>
      <c r="D411" s="688">
        <v>4680115889231</v>
      </c>
      <c r="E411" s="688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90"/>
      <c r="R411" s="690"/>
      <c r="S411" s="690"/>
      <c r="T411" s="691"/>
      <c r="U411" s="39" t="s">
        <v>46</v>
      </c>
      <c r="V411" s="39" t="s">
        <v>46</v>
      </c>
      <c r="W411" s="40" t="s">
        <v>0</v>
      </c>
      <c r="X411" s="58">
        <v>900</v>
      </c>
      <c r="Y411" s="55">
        <f t="shared" si="57"/>
        <v>900</v>
      </c>
      <c r="Z411" s="41">
        <f>IFERROR(IF(Y411=0,"",ROUNDUP(Y411/H411,0)*0.02175),"")</f>
        <v>1.3049999999999999</v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928.2</v>
      </c>
      <c r="BN411" s="78">
        <f t="shared" si="59"/>
        <v>928.2</v>
      </c>
      <c r="BO411" s="78">
        <f t="shared" si="60"/>
        <v>1.25</v>
      </c>
      <c r="BP411" s="78">
        <f t="shared" si="61"/>
        <v>1.25</v>
      </c>
    </row>
    <row r="412" spans="1:68" ht="27" customHeight="1" x14ac:dyDescent="0.25">
      <c r="A412" s="63" t="s">
        <v>683</v>
      </c>
      <c r="B412" s="63" t="s">
        <v>684</v>
      </c>
      <c r="C412" s="36">
        <v>4301011433</v>
      </c>
      <c r="D412" s="688">
        <v>4680115882638</v>
      </c>
      <c r="E412" s="688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90"/>
      <c r="R412" s="690"/>
      <c r="S412" s="690"/>
      <c r="T412" s="691"/>
      <c r="U412" s="39" t="s">
        <v>46</v>
      </c>
      <c r="V412" s="39" t="s">
        <v>46</v>
      </c>
      <c r="W412" s="40" t="s">
        <v>0</v>
      </c>
      <c r="X412" s="58">
        <v>8</v>
      </c>
      <c r="Y412" s="55">
        <f t="shared" si="57"/>
        <v>8</v>
      </c>
      <c r="Z412" s="41">
        <f>IFERROR(IF(Y412=0,"",ROUNDUP(Y412/H412,0)*0.00902),"")</f>
        <v>1.804E-2</v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8.3800000000000008</v>
      </c>
      <c r="BN412" s="78">
        <f t="shared" si="59"/>
        <v>8.3800000000000008</v>
      </c>
      <c r="BO412" s="78">
        <f t="shared" si="60"/>
        <v>1.5151515151515152E-2</v>
      </c>
      <c r="BP412" s="78">
        <f t="shared" si="61"/>
        <v>1.5151515151515152E-2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8">
        <v>4680115884922</v>
      </c>
      <c r="E413" s="688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90"/>
      <c r="R413" s="690"/>
      <c r="S413" s="690"/>
      <c r="T413" s="691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8">
        <v>4680115884861</v>
      </c>
      <c r="E414" s="688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90"/>
      <c r="R414" s="690"/>
      <c r="S414" s="690"/>
      <c r="T414" s="691"/>
      <c r="U414" s="39" t="s">
        <v>46</v>
      </c>
      <c r="V414" s="39" t="s">
        <v>46</v>
      </c>
      <c r="W414" s="40" t="s">
        <v>0</v>
      </c>
      <c r="X414" s="58">
        <v>8</v>
      </c>
      <c r="Y414" s="55">
        <f t="shared" si="57"/>
        <v>10</v>
      </c>
      <c r="Z414" s="41">
        <f>IFERROR(IF(Y414=0,"",ROUNDUP(Y414/H414,0)*0.00902),"")</f>
        <v>1.804E-2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8.3040000000000003</v>
      </c>
      <c r="BN414" s="78">
        <f t="shared" si="59"/>
        <v>10.38</v>
      </c>
      <c r="BO414" s="78">
        <f t="shared" si="60"/>
        <v>1.2121212121212123E-2</v>
      </c>
      <c r="BP414" s="78">
        <f t="shared" si="61"/>
        <v>1.5151515151515152E-2</v>
      </c>
    </row>
    <row r="415" spans="1:68" x14ac:dyDescent="0.2">
      <c r="A415" s="696"/>
      <c r="B415" s="696"/>
      <c r="C415" s="696"/>
      <c r="D415" s="696"/>
      <c r="E415" s="696"/>
      <c r="F415" s="696"/>
      <c r="G415" s="696"/>
      <c r="H415" s="696"/>
      <c r="I415" s="696"/>
      <c r="J415" s="696"/>
      <c r="K415" s="696"/>
      <c r="L415" s="696"/>
      <c r="M415" s="696"/>
      <c r="N415" s="696"/>
      <c r="O415" s="697"/>
      <c r="P415" s="693" t="s">
        <v>40</v>
      </c>
      <c r="Q415" s="694"/>
      <c r="R415" s="694"/>
      <c r="S415" s="694"/>
      <c r="T415" s="694"/>
      <c r="U415" s="694"/>
      <c r="V415" s="695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121.6</v>
      </c>
      <c r="Y415" s="43">
        <f>IFERROR(Y407/H407,"0")+IFERROR(Y408/H408,"0")+IFERROR(Y409/H409,"0")+IFERROR(Y410/H410,"0")+IFERROR(Y411/H411,"0")+IFERROR(Y412/H412,"0")+IFERROR(Y413/H413,"0")+IFERROR(Y414/H414,"0")</f>
        <v>122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2.6025800000000001</v>
      </c>
      <c r="AA415" s="67"/>
      <c r="AB415" s="67"/>
      <c r="AC415" s="67"/>
    </row>
    <row r="416" spans="1:68" x14ac:dyDescent="0.2">
      <c r="A416" s="696"/>
      <c r="B416" s="696"/>
      <c r="C416" s="696"/>
      <c r="D416" s="696"/>
      <c r="E416" s="696"/>
      <c r="F416" s="696"/>
      <c r="G416" s="696"/>
      <c r="H416" s="696"/>
      <c r="I416" s="696"/>
      <c r="J416" s="696"/>
      <c r="K416" s="696"/>
      <c r="L416" s="696"/>
      <c r="M416" s="696"/>
      <c r="N416" s="696"/>
      <c r="O416" s="697"/>
      <c r="P416" s="693" t="s">
        <v>40</v>
      </c>
      <c r="Q416" s="694"/>
      <c r="R416" s="694"/>
      <c r="S416" s="694"/>
      <c r="T416" s="694"/>
      <c r="U416" s="694"/>
      <c r="V416" s="695"/>
      <c r="W416" s="42" t="s">
        <v>0</v>
      </c>
      <c r="X416" s="43">
        <f>IFERROR(SUM(X407:X414),"0")</f>
        <v>1786</v>
      </c>
      <c r="Y416" s="43">
        <f>IFERROR(SUM(Y407:Y414),"0")</f>
        <v>1788</v>
      </c>
      <c r="Z416" s="42"/>
      <c r="AA416" s="67"/>
      <c r="AB416" s="67"/>
      <c r="AC416" s="67"/>
    </row>
    <row r="417" spans="1:68" ht="14.25" hidden="1" customHeight="1" x14ac:dyDescent="0.25">
      <c r="A417" s="687" t="s">
        <v>166</v>
      </c>
      <c r="B417" s="687"/>
      <c r="C417" s="687"/>
      <c r="D417" s="687"/>
      <c r="E417" s="687"/>
      <c r="F417" s="687"/>
      <c r="G417" s="687"/>
      <c r="H417" s="687"/>
      <c r="I417" s="687"/>
      <c r="J417" s="687"/>
      <c r="K417" s="687"/>
      <c r="L417" s="687"/>
      <c r="M417" s="687"/>
      <c r="N417" s="687"/>
      <c r="O417" s="687"/>
      <c r="P417" s="687"/>
      <c r="Q417" s="687"/>
      <c r="R417" s="687"/>
      <c r="S417" s="687"/>
      <c r="T417" s="687"/>
      <c r="U417" s="687"/>
      <c r="V417" s="687"/>
      <c r="W417" s="687"/>
      <c r="X417" s="687"/>
      <c r="Y417" s="687"/>
      <c r="Z417" s="687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8">
        <v>4607091383980</v>
      </c>
      <c r="E418" s="688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90"/>
      <c r="R418" s="690"/>
      <c r="S418" s="690"/>
      <c r="T418" s="691"/>
      <c r="U418" s="39" t="s">
        <v>46</v>
      </c>
      <c r="V418" s="39" t="s">
        <v>46</v>
      </c>
      <c r="W418" s="40" t="s">
        <v>0</v>
      </c>
      <c r="X418" s="58">
        <v>720</v>
      </c>
      <c r="Y418" s="55">
        <f>IFERROR(IF(X418="",0,CEILING((X418/$H418),1)*$H418),"")</f>
        <v>720</v>
      </c>
      <c r="Z418" s="41">
        <f>IFERROR(IF(Y418=0,"",ROUNDUP(Y418/H418,0)*0.02175),"")</f>
        <v>1.044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742.56</v>
      </c>
      <c r="BN418" s="78">
        <f>IFERROR(Y418*I418/H418,"0")</f>
        <v>742.56</v>
      </c>
      <c r="BO418" s="78">
        <f>IFERROR(1/J418*(X418/H418),"0")</f>
        <v>1</v>
      </c>
      <c r="BP418" s="78">
        <f>IFERROR(1/J418*(Y418/H418),"0")</f>
        <v>1</v>
      </c>
    </row>
    <row r="419" spans="1:68" ht="27" customHeight="1" x14ac:dyDescent="0.25">
      <c r="A419" s="63" t="s">
        <v>695</v>
      </c>
      <c r="B419" s="63" t="s">
        <v>696</v>
      </c>
      <c r="C419" s="36">
        <v>4301020355</v>
      </c>
      <c r="D419" s="688">
        <v>4680115888425</v>
      </c>
      <c r="E419" s="688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90"/>
      <c r="R419" s="690"/>
      <c r="S419" s="690"/>
      <c r="T419" s="691"/>
      <c r="U419" s="39" t="s">
        <v>46</v>
      </c>
      <c r="V419" s="39" t="s">
        <v>46</v>
      </c>
      <c r="W419" s="40" t="s">
        <v>0</v>
      </c>
      <c r="X419" s="58">
        <v>150</v>
      </c>
      <c r="Y419" s="55">
        <f>IFERROR(IF(X419="",0,CEILING((X419/$H419),1)*$H419),"")</f>
        <v>150</v>
      </c>
      <c r="Z419" s="41">
        <f>IFERROR(IF(Y419=0,"",ROUNDUP(Y419/H419,0)*0.02175),"")</f>
        <v>0.21749999999999997</v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154.69999999999999</v>
      </c>
      <c r="BN419" s="78">
        <f>IFERROR(Y419*I419/H419,"0")</f>
        <v>154.69999999999999</v>
      </c>
      <c r="BO419" s="78">
        <f>IFERROR(1/J419*(X419/H419),"0")</f>
        <v>0.20833333333333331</v>
      </c>
      <c r="BP419" s="78">
        <f>IFERROR(1/J419*(Y419/H419),"0")</f>
        <v>0.20833333333333331</v>
      </c>
    </row>
    <row r="420" spans="1:68" ht="27" customHeight="1" x14ac:dyDescent="0.25">
      <c r="A420" s="63" t="s">
        <v>698</v>
      </c>
      <c r="B420" s="63" t="s">
        <v>699</v>
      </c>
      <c r="C420" s="36">
        <v>4301020179</v>
      </c>
      <c r="D420" s="688">
        <v>4607091384178</v>
      </c>
      <c r="E420" s="688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90"/>
      <c r="R420" s="690"/>
      <c r="S420" s="690"/>
      <c r="T420" s="691"/>
      <c r="U420" s="39" t="s">
        <v>46</v>
      </c>
      <c r="V420" s="39" t="s">
        <v>46</v>
      </c>
      <c r="W420" s="40" t="s">
        <v>0</v>
      </c>
      <c r="X420" s="58">
        <v>8</v>
      </c>
      <c r="Y420" s="55">
        <f>IFERROR(IF(X420="",0,CEILING((X420/$H420),1)*$H420),"")</f>
        <v>8</v>
      </c>
      <c r="Z420" s="41">
        <f>IFERROR(IF(Y420=0,"",ROUNDUP(Y420/H420,0)*0.00902),"")</f>
        <v>1.804E-2</v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8.3800000000000008</v>
      </c>
      <c r="BN420" s="78">
        <f>IFERROR(Y420*I420/H420,"0")</f>
        <v>8.3800000000000008</v>
      </c>
      <c r="BO420" s="78">
        <f>IFERROR(1/J420*(X420/H420),"0")</f>
        <v>1.5151515151515152E-2</v>
      </c>
      <c r="BP420" s="78">
        <f>IFERROR(1/J420*(Y420/H420),"0")</f>
        <v>1.5151515151515152E-2</v>
      </c>
    </row>
    <row r="421" spans="1:68" x14ac:dyDescent="0.2">
      <c r="A421" s="696"/>
      <c r="B421" s="696"/>
      <c r="C421" s="696"/>
      <c r="D421" s="696"/>
      <c r="E421" s="696"/>
      <c r="F421" s="696"/>
      <c r="G421" s="696"/>
      <c r="H421" s="696"/>
      <c r="I421" s="696"/>
      <c r="J421" s="696"/>
      <c r="K421" s="696"/>
      <c r="L421" s="696"/>
      <c r="M421" s="696"/>
      <c r="N421" s="696"/>
      <c r="O421" s="697"/>
      <c r="P421" s="693" t="s">
        <v>40</v>
      </c>
      <c r="Q421" s="694"/>
      <c r="R421" s="694"/>
      <c r="S421" s="694"/>
      <c r="T421" s="694"/>
      <c r="U421" s="694"/>
      <c r="V421" s="695"/>
      <c r="W421" s="42" t="s">
        <v>39</v>
      </c>
      <c r="X421" s="43">
        <f>IFERROR(X418/H418,"0")+IFERROR(X419/H419,"0")+IFERROR(X420/H420,"0")</f>
        <v>60</v>
      </c>
      <c r="Y421" s="43">
        <f>IFERROR(Y418/H418,"0")+IFERROR(Y419/H419,"0")+IFERROR(Y420/H420,"0")</f>
        <v>60</v>
      </c>
      <c r="Z421" s="43">
        <f>IFERROR(IF(Z418="",0,Z418),"0")+IFERROR(IF(Z419="",0,Z419),"0")+IFERROR(IF(Z420="",0,Z420),"0")</f>
        <v>1.2795400000000001</v>
      </c>
      <c r="AA421" s="67"/>
      <c r="AB421" s="67"/>
      <c r="AC421" s="67"/>
    </row>
    <row r="422" spans="1:68" x14ac:dyDescent="0.2">
      <c r="A422" s="696"/>
      <c r="B422" s="696"/>
      <c r="C422" s="696"/>
      <c r="D422" s="696"/>
      <c r="E422" s="696"/>
      <c r="F422" s="696"/>
      <c r="G422" s="696"/>
      <c r="H422" s="696"/>
      <c r="I422" s="696"/>
      <c r="J422" s="696"/>
      <c r="K422" s="696"/>
      <c r="L422" s="696"/>
      <c r="M422" s="696"/>
      <c r="N422" s="696"/>
      <c r="O422" s="697"/>
      <c r="P422" s="693" t="s">
        <v>40</v>
      </c>
      <c r="Q422" s="694"/>
      <c r="R422" s="694"/>
      <c r="S422" s="694"/>
      <c r="T422" s="694"/>
      <c r="U422" s="694"/>
      <c r="V422" s="695"/>
      <c r="W422" s="42" t="s">
        <v>0</v>
      </c>
      <c r="X422" s="43">
        <f>IFERROR(SUM(X418:X420),"0")</f>
        <v>878</v>
      </c>
      <c r="Y422" s="43">
        <f>IFERROR(SUM(Y418:Y420),"0")</f>
        <v>878</v>
      </c>
      <c r="Z422" s="42"/>
      <c r="AA422" s="67"/>
      <c r="AB422" s="67"/>
      <c r="AC422" s="67"/>
    </row>
    <row r="423" spans="1:68" ht="14.25" hidden="1" customHeight="1" x14ac:dyDescent="0.25">
      <c r="A423" s="687" t="s">
        <v>86</v>
      </c>
      <c r="B423" s="687"/>
      <c r="C423" s="687"/>
      <c r="D423" s="687"/>
      <c r="E423" s="687"/>
      <c r="F423" s="687"/>
      <c r="G423" s="687"/>
      <c r="H423" s="687"/>
      <c r="I423" s="687"/>
      <c r="J423" s="687"/>
      <c r="K423" s="687"/>
      <c r="L423" s="687"/>
      <c r="M423" s="687"/>
      <c r="N423" s="687"/>
      <c r="O423" s="687"/>
      <c r="P423" s="687"/>
      <c r="Q423" s="687"/>
      <c r="R423" s="687"/>
      <c r="S423" s="687"/>
      <c r="T423" s="687"/>
      <c r="U423" s="687"/>
      <c r="V423" s="687"/>
      <c r="W423" s="687"/>
      <c r="X423" s="687"/>
      <c r="Y423" s="687"/>
      <c r="Z423" s="687"/>
      <c r="AA423" s="66"/>
      <c r="AB423" s="66"/>
      <c r="AC423" s="80"/>
    </row>
    <row r="424" spans="1:68" ht="27" customHeight="1" x14ac:dyDescent="0.25">
      <c r="A424" s="63" t="s">
        <v>701</v>
      </c>
      <c r="B424" s="63" t="s">
        <v>702</v>
      </c>
      <c r="C424" s="36">
        <v>4301051903</v>
      </c>
      <c r="D424" s="688">
        <v>4607091383928</v>
      </c>
      <c r="E424" s="688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90"/>
      <c r="R424" s="690"/>
      <c r="S424" s="690"/>
      <c r="T424" s="691"/>
      <c r="U424" s="39" t="s">
        <v>46</v>
      </c>
      <c r="V424" s="39" t="s">
        <v>46</v>
      </c>
      <c r="W424" s="40" t="s">
        <v>0</v>
      </c>
      <c r="X424" s="58">
        <v>36</v>
      </c>
      <c r="Y424" s="55">
        <f>IFERROR(IF(X424="",0,CEILING((X424/$H424),1)*$H424),"")</f>
        <v>36</v>
      </c>
      <c r="Z424" s="41">
        <f>IFERROR(IF(Y424=0,"",ROUNDUP(Y424/H424,0)*0.01898),"")</f>
        <v>7.5920000000000001E-2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38</v>
      </c>
      <c r="BN424" s="78">
        <f>IFERROR(Y424*I424/H424,"0")</f>
        <v>38</v>
      </c>
      <c r="BO424" s="78">
        <f>IFERROR(1/J424*(X424/H424),"0")</f>
        <v>6.25E-2</v>
      </c>
      <c r="BP424" s="78">
        <f>IFERROR(1/J424*(Y424/H424),"0")</f>
        <v>6.25E-2</v>
      </c>
    </row>
    <row r="425" spans="1:68" ht="27" customHeight="1" x14ac:dyDescent="0.25">
      <c r="A425" s="63" t="s">
        <v>704</v>
      </c>
      <c r="B425" s="63" t="s">
        <v>705</v>
      </c>
      <c r="C425" s="36">
        <v>4301051897</v>
      </c>
      <c r="D425" s="688">
        <v>4607091384260</v>
      </c>
      <c r="E425" s="688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90"/>
      <c r="R425" s="690"/>
      <c r="S425" s="690"/>
      <c r="T425" s="691"/>
      <c r="U425" s="39" t="s">
        <v>46</v>
      </c>
      <c r="V425" s="39" t="s">
        <v>46</v>
      </c>
      <c r="W425" s="40" t="s">
        <v>0</v>
      </c>
      <c r="X425" s="58">
        <v>9</v>
      </c>
      <c r="Y425" s="55">
        <f>IFERROR(IF(X425="",0,CEILING((X425/$H425),1)*$H425),"")</f>
        <v>9</v>
      </c>
      <c r="Z425" s="41">
        <f>IFERROR(IF(Y425=0,"",ROUNDUP(Y425/H425,0)*0.01898),"")</f>
        <v>1.898E-2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9.4939999999999998</v>
      </c>
      <c r="BN425" s="78">
        <f>IFERROR(Y425*I425/H425,"0")</f>
        <v>9.4939999999999998</v>
      </c>
      <c r="BO425" s="78">
        <f>IFERROR(1/J425*(X425/H425),"0")</f>
        <v>1.5625E-2</v>
      </c>
      <c r="BP425" s="78">
        <f>IFERROR(1/J425*(Y425/H425),"0")</f>
        <v>1.5625E-2</v>
      </c>
    </row>
    <row r="426" spans="1:68" x14ac:dyDescent="0.2">
      <c r="A426" s="696"/>
      <c r="B426" s="696"/>
      <c r="C426" s="696"/>
      <c r="D426" s="696"/>
      <c r="E426" s="696"/>
      <c r="F426" s="696"/>
      <c r="G426" s="696"/>
      <c r="H426" s="696"/>
      <c r="I426" s="696"/>
      <c r="J426" s="696"/>
      <c r="K426" s="696"/>
      <c r="L426" s="696"/>
      <c r="M426" s="696"/>
      <c r="N426" s="696"/>
      <c r="O426" s="697"/>
      <c r="P426" s="693" t="s">
        <v>40</v>
      </c>
      <c r="Q426" s="694"/>
      <c r="R426" s="694"/>
      <c r="S426" s="694"/>
      <c r="T426" s="694"/>
      <c r="U426" s="694"/>
      <c r="V426" s="695"/>
      <c r="W426" s="42" t="s">
        <v>39</v>
      </c>
      <c r="X426" s="43">
        <f>IFERROR(X424/H424,"0")+IFERROR(X425/H425,"0")</f>
        <v>5</v>
      </c>
      <c r="Y426" s="43">
        <f>IFERROR(Y424/H424,"0")+IFERROR(Y425/H425,"0")</f>
        <v>5</v>
      </c>
      <c r="Z426" s="43">
        <f>IFERROR(IF(Z424="",0,Z424),"0")+IFERROR(IF(Z425="",0,Z425),"0")</f>
        <v>9.4899999999999998E-2</v>
      </c>
      <c r="AA426" s="67"/>
      <c r="AB426" s="67"/>
      <c r="AC426" s="67"/>
    </row>
    <row r="427" spans="1:68" x14ac:dyDescent="0.2">
      <c r="A427" s="696"/>
      <c r="B427" s="696"/>
      <c r="C427" s="696"/>
      <c r="D427" s="696"/>
      <c r="E427" s="696"/>
      <c r="F427" s="696"/>
      <c r="G427" s="696"/>
      <c r="H427" s="696"/>
      <c r="I427" s="696"/>
      <c r="J427" s="696"/>
      <c r="K427" s="696"/>
      <c r="L427" s="696"/>
      <c r="M427" s="696"/>
      <c r="N427" s="696"/>
      <c r="O427" s="697"/>
      <c r="P427" s="693" t="s">
        <v>40</v>
      </c>
      <c r="Q427" s="694"/>
      <c r="R427" s="694"/>
      <c r="S427" s="694"/>
      <c r="T427" s="694"/>
      <c r="U427" s="694"/>
      <c r="V427" s="695"/>
      <c r="W427" s="42" t="s">
        <v>0</v>
      </c>
      <c r="X427" s="43">
        <f>IFERROR(SUM(X424:X425),"0")</f>
        <v>45</v>
      </c>
      <c r="Y427" s="43">
        <f>IFERROR(SUM(Y424:Y425),"0")</f>
        <v>45</v>
      </c>
      <c r="Z427" s="42"/>
      <c r="AA427" s="67"/>
      <c r="AB427" s="67"/>
      <c r="AC427" s="67"/>
    </row>
    <row r="428" spans="1:68" ht="14.25" hidden="1" customHeight="1" x14ac:dyDescent="0.25">
      <c r="A428" s="687" t="s">
        <v>183</v>
      </c>
      <c r="B428" s="687"/>
      <c r="C428" s="687"/>
      <c r="D428" s="687"/>
      <c r="E428" s="687"/>
      <c r="F428" s="687"/>
      <c r="G428" s="687"/>
      <c r="H428" s="687"/>
      <c r="I428" s="687"/>
      <c r="J428" s="687"/>
      <c r="K428" s="687"/>
      <c r="L428" s="687"/>
      <c r="M428" s="687"/>
      <c r="N428" s="687"/>
      <c r="O428" s="687"/>
      <c r="P428" s="687"/>
      <c r="Q428" s="687"/>
      <c r="R428" s="687"/>
      <c r="S428" s="687"/>
      <c r="T428" s="687"/>
      <c r="U428" s="687"/>
      <c r="V428" s="687"/>
      <c r="W428" s="687"/>
      <c r="X428" s="687"/>
      <c r="Y428" s="687"/>
      <c r="Z428" s="687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8">
        <v>4607091384673</v>
      </c>
      <c r="E429" s="688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90"/>
      <c r="R429" s="690"/>
      <c r="S429" s="690"/>
      <c r="T429" s="691"/>
      <c r="U429" s="39" t="s">
        <v>46</v>
      </c>
      <c r="V429" s="39" t="s">
        <v>46</v>
      </c>
      <c r="W429" s="40" t="s">
        <v>0</v>
      </c>
      <c r="X429" s="58">
        <v>9</v>
      </c>
      <c r="Y429" s="55">
        <f>IFERROR(IF(X429="",0,CEILING((X429/$H429),1)*$H429),"")</f>
        <v>9</v>
      </c>
      <c r="Z429" s="41">
        <f>IFERROR(IF(Y429=0,"",ROUNDUP(Y429/H429,0)*0.01898),"")</f>
        <v>1.898E-2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9.4939999999999998</v>
      </c>
      <c r="BN429" s="78">
        <f>IFERROR(Y429*I429/H429,"0")</f>
        <v>9.4939999999999998</v>
      </c>
      <c r="BO429" s="78">
        <f>IFERROR(1/J429*(X429/H429),"0")</f>
        <v>1.5625E-2</v>
      </c>
      <c r="BP429" s="78">
        <f>IFERROR(1/J429*(Y429/H429),"0")</f>
        <v>1.5625E-2</v>
      </c>
    </row>
    <row r="430" spans="1:68" x14ac:dyDescent="0.2">
      <c r="A430" s="696"/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7"/>
      <c r="P430" s="693" t="s">
        <v>40</v>
      </c>
      <c r="Q430" s="694"/>
      <c r="R430" s="694"/>
      <c r="S430" s="694"/>
      <c r="T430" s="694"/>
      <c r="U430" s="694"/>
      <c r="V430" s="695"/>
      <c r="W430" s="42" t="s">
        <v>39</v>
      </c>
      <c r="X430" s="43">
        <f>IFERROR(X429/H429,"0")</f>
        <v>1</v>
      </c>
      <c r="Y430" s="43">
        <f>IFERROR(Y429/H429,"0")</f>
        <v>1</v>
      </c>
      <c r="Z430" s="43">
        <f>IFERROR(IF(Z429="",0,Z429),"0")</f>
        <v>1.898E-2</v>
      </c>
      <c r="AA430" s="67"/>
      <c r="AB430" s="67"/>
      <c r="AC430" s="67"/>
    </row>
    <row r="431" spans="1:68" x14ac:dyDescent="0.2">
      <c r="A431" s="696"/>
      <c r="B431" s="696"/>
      <c r="C431" s="696"/>
      <c r="D431" s="696"/>
      <c r="E431" s="696"/>
      <c r="F431" s="696"/>
      <c r="G431" s="696"/>
      <c r="H431" s="696"/>
      <c r="I431" s="696"/>
      <c r="J431" s="696"/>
      <c r="K431" s="696"/>
      <c r="L431" s="696"/>
      <c r="M431" s="696"/>
      <c r="N431" s="696"/>
      <c r="O431" s="697"/>
      <c r="P431" s="693" t="s">
        <v>40</v>
      </c>
      <c r="Q431" s="694"/>
      <c r="R431" s="694"/>
      <c r="S431" s="694"/>
      <c r="T431" s="694"/>
      <c r="U431" s="694"/>
      <c r="V431" s="695"/>
      <c r="W431" s="42" t="s">
        <v>0</v>
      </c>
      <c r="X431" s="43">
        <f>IFERROR(SUM(X429:X429),"0")</f>
        <v>9</v>
      </c>
      <c r="Y431" s="43">
        <f>IFERROR(SUM(Y429:Y429),"0")</f>
        <v>9</v>
      </c>
      <c r="Z431" s="42"/>
      <c r="AA431" s="67"/>
      <c r="AB431" s="67"/>
      <c r="AC431" s="67"/>
    </row>
    <row r="432" spans="1:68" ht="16.5" hidden="1" customHeight="1" x14ac:dyDescent="0.25">
      <c r="A432" s="686" t="s">
        <v>710</v>
      </c>
      <c r="B432" s="686"/>
      <c r="C432" s="686"/>
      <c r="D432" s="686"/>
      <c r="E432" s="686"/>
      <c r="F432" s="686"/>
      <c r="G432" s="686"/>
      <c r="H432" s="686"/>
      <c r="I432" s="686"/>
      <c r="J432" s="686"/>
      <c r="K432" s="686"/>
      <c r="L432" s="686"/>
      <c r="M432" s="686"/>
      <c r="N432" s="686"/>
      <c r="O432" s="686"/>
      <c r="P432" s="686"/>
      <c r="Q432" s="686"/>
      <c r="R432" s="686"/>
      <c r="S432" s="686"/>
      <c r="T432" s="686"/>
      <c r="U432" s="686"/>
      <c r="V432" s="686"/>
      <c r="W432" s="686"/>
      <c r="X432" s="686"/>
      <c r="Y432" s="686"/>
      <c r="Z432" s="686"/>
      <c r="AA432" s="65"/>
      <c r="AB432" s="65"/>
      <c r="AC432" s="79"/>
    </row>
    <row r="433" spans="1:68" ht="14.25" hidden="1" customHeight="1" x14ac:dyDescent="0.25">
      <c r="A433" s="687" t="s">
        <v>129</v>
      </c>
      <c r="B433" s="687"/>
      <c r="C433" s="687"/>
      <c r="D433" s="687"/>
      <c r="E433" s="687"/>
      <c r="F433" s="687"/>
      <c r="G433" s="687"/>
      <c r="H433" s="687"/>
      <c r="I433" s="687"/>
      <c r="J433" s="687"/>
      <c r="K433" s="687"/>
      <c r="L433" s="687"/>
      <c r="M433" s="687"/>
      <c r="N433" s="687"/>
      <c r="O433" s="687"/>
      <c r="P433" s="687"/>
      <c r="Q433" s="687"/>
      <c r="R433" s="687"/>
      <c r="S433" s="687"/>
      <c r="T433" s="687"/>
      <c r="U433" s="687"/>
      <c r="V433" s="687"/>
      <c r="W433" s="687"/>
      <c r="X433" s="687"/>
      <c r="Y433" s="687"/>
      <c r="Z433" s="687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8">
        <v>4680115884885</v>
      </c>
      <c r="E434" s="688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90"/>
      <c r="R434" s="690"/>
      <c r="S434" s="690"/>
      <c r="T434" s="691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8">
        <v>4680115884908</v>
      </c>
      <c r="E435" s="688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90"/>
      <c r="R435" s="690"/>
      <c r="S435" s="690"/>
      <c r="T435" s="691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6"/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7"/>
      <c r="P436" s="693" t="s">
        <v>40</v>
      </c>
      <c r="Q436" s="694"/>
      <c r="R436" s="694"/>
      <c r="S436" s="694"/>
      <c r="T436" s="694"/>
      <c r="U436" s="694"/>
      <c r="V436" s="695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6"/>
      <c r="B437" s="696"/>
      <c r="C437" s="696"/>
      <c r="D437" s="696"/>
      <c r="E437" s="696"/>
      <c r="F437" s="696"/>
      <c r="G437" s="696"/>
      <c r="H437" s="696"/>
      <c r="I437" s="696"/>
      <c r="J437" s="696"/>
      <c r="K437" s="696"/>
      <c r="L437" s="696"/>
      <c r="M437" s="696"/>
      <c r="N437" s="696"/>
      <c r="O437" s="697"/>
      <c r="P437" s="693" t="s">
        <v>40</v>
      </c>
      <c r="Q437" s="694"/>
      <c r="R437" s="694"/>
      <c r="S437" s="694"/>
      <c r="T437" s="694"/>
      <c r="U437" s="694"/>
      <c r="V437" s="695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7" t="s">
        <v>77</v>
      </c>
      <c r="B438" s="687"/>
      <c r="C438" s="687"/>
      <c r="D438" s="687"/>
      <c r="E438" s="687"/>
      <c r="F438" s="687"/>
      <c r="G438" s="687"/>
      <c r="H438" s="687"/>
      <c r="I438" s="687"/>
      <c r="J438" s="687"/>
      <c r="K438" s="687"/>
      <c r="L438" s="687"/>
      <c r="M438" s="687"/>
      <c r="N438" s="687"/>
      <c r="O438" s="687"/>
      <c r="P438" s="687"/>
      <c r="Q438" s="687"/>
      <c r="R438" s="687"/>
      <c r="S438" s="687"/>
      <c r="T438" s="687"/>
      <c r="U438" s="687"/>
      <c r="V438" s="687"/>
      <c r="W438" s="687"/>
      <c r="X438" s="687"/>
      <c r="Y438" s="687"/>
      <c r="Z438" s="687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8">
        <v>4607091384802</v>
      </c>
      <c r="E439" s="688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90"/>
      <c r="R439" s="690"/>
      <c r="S439" s="690"/>
      <c r="T439" s="691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6"/>
      <c r="B440" s="696"/>
      <c r="C440" s="696"/>
      <c r="D440" s="696"/>
      <c r="E440" s="696"/>
      <c r="F440" s="696"/>
      <c r="G440" s="696"/>
      <c r="H440" s="696"/>
      <c r="I440" s="696"/>
      <c r="J440" s="696"/>
      <c r="K440" s="696"/>
      <c r="L440" s="696"/>
      <c r="M440" s="696"/>
      <c r="N440" s="696"/>
      <c r="O440" s="697"/>
      <c r="P440" s="693" t="s">
        <v>40</v>
      </c>
      <c r="Q440" s="694"/>
      <c r="R440" s="694"/>
      <c r="S440" s="694"/>
      <c r="T440" s="694"/>
      <c r="U440" s="694"/>
      <c r="V440" s="695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6"/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7"/>
      <c r="P441" s="693" t="s">
        <v>40</v>
      </c>
      <c r="Q441" s="694"/>
      <c r="R441" s="694"/>
      <c r="S441" s="694"/>
      <c r="T441" s="694"/>
      <c r="U441" s="694"/>
      <c r="V441" s="695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7" t="s">
        <v>86</v>
      </c>
      <c r="B442" s="687"/>
      <c r="C442" s="687"/>
      <c r="D442" s="687"/>
      <c r="E442" s="687"/>
      <c r="F442" s="687"/>
      <c r="G442" s="687"/>
      <c r="H442" s="687"/>
      <c r="I442" s="687"/>
      <c r="J442" s="687"/>
      <c r="K442" s="687"/>
      <c r="L442" s="687"/>
      <c r="M442" s="687"/>
      <c r="N442" s="687"/>
      <c r="O442" s="687"/>
      <c r="P442" s="687"/>
      <c r="Q442" s="687"/>
      <c r="R442" s="687"/>
      <c r="S442" s="687"/>
      <c r="T442" s="687"/>
      <c r="U442" s="687"/>
      <c r="V442" s="687"/>
      <c r="W442" s="687"/>
      <c r="X442" s="687"/>
      <c r="Y442" s="687"/>
      <c r="Z442" s="687"/>
      <c r="AA442" s="66"/>
      <c r="AB442" s="66"/>
      <c r="AC442" s="80"/>
    </row>
    <row r="443" spans="1:68" ht="27" customHeight="1" x14ac:dyDescent="0.25">
      <c r="A443" s="63" t="s">
        <v>719</v>
      </c>
      <c r="B443" s="63" t="s">
        <v>720</v>
      </c>
      <c r="C443" s="36">
        <v>4301051899</v>
      </c>
      <c r="D443" s="688">
        <v>4607091384246</v>
      </c>
      <c r="E443" s="688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90"/>
      <c r="R443" s="690"/>
      <c r="S443" s="690"/>
      <c r="T443" s="691"/>
      <c r="U443" s="39" t="s">
        <v>46</v>
      </c>
      <c r="V443" s="39" t="s">
        <v>46</v>
      </c>
      <c r="W443" s="40" t="s">
        <v>0</v>
      </c>
      <c r="X443" s="58">
        <v>9</v>
      </c>
      <c r="Y443" s="55">
        <f>IFERROR(IF(X443="",0,CEILING((X443/$H443),1)*$H443),"")</f>
        <v>9</v>
      </c>
      <c r="Z443" s="41">
        <f>IFERROR(IF(Y443=0,"",ROUNDUP(Y443/H443,0)*0.01898),"")</f>
        <v>1.898E-2</v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9.4939999999999998</v>
      </c>
      <c r="BN443" s="78">
        <f>IFERROR(Y443*I443/H443,"0")</f>
        <v>9.4939999999999998</v>
      </c>
      <c r="BO443" s="78">
        <f>IFERROR(1/J443*(X443/H443),"0")</f>
        <v>1.5625E-2</v>
      </c>
      <c r="BP443" s="78">
        <f>IFERROR(1/J443*(Y443/H443),"0")</f>
        <v>1.5625E-2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8">
        <v>4607091384253</v>
      </c>
      <c r="E444" s="688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2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90"/>
      <c r="R444" s="690"/>
      <c r="S444" s="690"/>
      <c r="T444" s="691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8">
        <v>4607091384253</v>
      </c>
      <c r="E445" s="688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90"/>
      <c r="R445" s="690"/>
      <c r="S445" s="690"/>
      <c r="T445" s="691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96"/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7"/>
      <c r="P446" s="693" t="s">
        <v>40</v>
      </c>
      <c r="Q446" s="694"/>
      <c r="R446" s="694"/>
      <c r="S446" s="694"/>
      <c r="T446" s="694"/>
      <c r="U446" s="694"/>
      <c r="V446" s="695"/>
      <c r="W446" s="42" t="s">
        <v>39</v>
      </c>
      <c r="X446" s="43">
        <f>IFERROR(X443/H443,"0")+IFERROR(X444/H444,"0")+IFERROR(X445/H445,"0")</f>
        <v>1</v>
      </c>
      <c r="Y446" s="43">
        <f>IFERROR(Y443/H443,"0")+IFERROR(Y444/H444,"0")+IFERROR(Y445/H445,"0")</f>
        <v>1</v>
      </c>
      <c r="Z446" s="43">
        <f>IFERROR(IF(Z443="",0,Z443),"0")+IFERROR(IF(Z444="",0,Z444),"0")+IFERROR(IF(Z445="",0,Z445),"0")</f>
        <v>1.898E-2</v>
      </c>
      <c r="AA446" s="67"/>
      <c r="AB446" s="67"/>
      <c r="AC446" s="67"/>
    </row>
    <row r="447" spans="1:68" x14ac:dyDescent="0.2">
      <c r="A447" s="696"/>
      <c r="B447" s="696"/>
      <c r="C447" s="696"/>
      <c r="D447" s="696"/>
      <c r="E447" s="696"/>
      <c r="F447" s="696"/>
      <c r="G447" s="696"/>
      <c r="H447" s="696"/>
      <c r="I447" s="696"/>
      <c r="J447" s="696"/>
      <c r="K447" s="696"/>
      <c r="L447" s="696"/>
      <c r="M447" s="696"/>
      <c r="N447" s="696"/>
      <c r="O447" s="697"/>
      <c r="P447" s="693" t="s">
        <v>40</v>
      </c>
      <c r="Q447" s="694"/>
      <c r="R447" s="694"/>
      <c r="S447" s="694"/>
      <c r="T447" s="694"/>
      <c r="U447" s="694"/>
      <c r="V447" s="695"/>
      <c r="W447" s="42" t="s">
        <v>0</v>
      </c>
      <c r="X447" s="43">
        <f>IFERROR(SUM(X443:X445),"0")</f>
        <v>9</v>
      </c>
      <c r="Y447" s="43">
        <f>IFERROR(SUM(Y443:Y445),"0")</f>
        <v>9</v>
      </c>
      <c r="Z447" s="42"/>
      <c r="AA447" s="67"/>
      <c r="AB447" s="67"/>
      <c r="AC447" s="67"/>
    </row>
    <row r="448" spans="1:68" ht="27.75" hidden="1" customHeight="1" x14ac:dyDescent="0.2">
      <c r="A448" s="685" t="s">
        <v>726</v>
      </c>
      <c r="B448" s="685"/>
      <c r="C448" s="685"/>
      <c r="D448" s="685"/>
      <c r="E448" s="685"/>
      <c r="F448" s="685"/>
      <c r="G448" s="685"/>
      <c r="H448" s="685"/>
      <c r="I448" s="685"/>
      <c r="J448" s="685"/>
      <c r="K448" s="685"/>
      <c r="L448" s="685"/>
      <c r="M448" s="685"/>
      <c r="N448" s="685"/>
      <c r="O448" s="685"/>
      <c r="P448" s="685"/>
      <c r="Q448" s="685"/>
      <c r="R448" s="685"/>
      <c r="S448" s="685"/>
      <c r="T448" s="685"/>
      <c r="U448" s="685"/>
      <c r="V448" s="685"/>
      <c r="W448" s="685"/>
      <c r="X448" s="685"/>
      <c r="Y448" s="685"/>
      <c r="Z448" s="685"/>
      <c r="AA448" s="54"/>
      <c r="AB448" s="54"/>
      <c r="AC448" s="54"/>
    </row>
    <row r="449" spans="1:68" ht="16.5" hidden="1" customHeight="1" x14ac:dyDescent="0.25">
      <c r="A449" s="686" t="s">
        <v>727</v>
      </c>
      <c r="B449" s="686"/>
      <c r="C449" s="686"/>
      <c r="D449" s="686"/>
      <c r="E449" s="686"/>
      <c r="F449" s="686"/>
      <c r="G449" s="686"/>
      <c r="H449" s="686"/>
      <c r="I449" s="686"/>
      <c r="J449" s="686"/>
      <c r="K449" s="686"/>
      <c r="L449" s="686"/>
      <c r="M449" s="686"/>
      <c r="N449" s="686"/>
      <c r="O449" s="686"/>
      <c r="P449" s="686"/>
      <c r="Q449" s="686"/>
      <c r="R449" s="686"/>
      <c r="S449" s="686"/>
      <c r="T449" s="686"/>
      <c r="U449" s="686"/>
      <c r="V449" s="686"/>
      <c r="W449" s="686"/>
      <c r="X449" s="686"/>
      <c r="Y449" s="686"/>
      <c r="Z449" s="686"/>
      <c r="AA449" s="65"/>
      <c r="AB449" s="65"/>
      <c r="AC449" s="79"/>
    </row>
    <row r="450" spans="1:68" ht="14.25" hidden="1" customHeight="1" x14ac:dyDescent="0.25">
      <c r="A450" s="687" t="s">
        <v>77</v>
      </c>
      <c r="B450" s="687"/>
      <c r="C450" s="687"/>
      <c r="D450" s="687"/>
      <c r="E450" s="687"/>
      <c r="F450" s="687"/>
      <c r="G450" s="687"/>
      <c r="H450" s="687"/>
      <c r="I450" s="687"/>
      <c r="J450" s="687"/>
      <c r="K450" s="687"/>
      <c r="L450" s="687"/>
      <c r="M450" s="687"/>
      <c r="N450" s="687"/>
      <c r="O450" s="687"/>
      <c r="P450" s="687"/>
      <c r="Q450" s="687"/>
      <c r="R450" s="687"/>
      <c r="S450" s="687"/>
      <c r="T450" s="687"/>
      <c r="U450" s="687"/>
      <c r="V450" s="687"/>
      <c r="W450" s="687"/>
      <c r="X450" s="687"/>
      <c r="Y450" s="687"/>
      <c r="Z450" s="687"/>
      <c r="AA450" s="66"/>
      <c r="AB450" s="66"/>
      <c r="AC450" s="80"/>
    </row>
    <row r="451" spans="1:68" ht="27" customHeight="1" x14ac:dyDescent="0.25">
      <c r="A451" s="63" t="s">
        <v>728</v>
      </c>
      <c r="B451" s="63" t="s">
        <v>729</v>
      </c>
      <c r="C451" s="36">
        <v>4301031405</v>
      </c>
      <c r="D451" s="688">
        <v>4680115886100</v>
      </c>
      <c r="E451" s="688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90"/>
      <c r="R451" s="690"/>
      <c r="S451" s="690"/>
      <c r="T451" s="691"/>
      <c r="U451" s="39" t="s">
        <v>46</v>
      </c>
      <c r="V451" s="39" t="s">
        <v>46</v>
      </c>
      <c r="W451" s="40" t="s">
        <v>0</v>
      </c>
      <c r="X451" s="58">
        <v>27</v>
      </c>
      <c r="Y451" s="55">
        <f t="shared" ref="Y451:Y456" si="62">IFERROR(IF(X451="",0,CEILING((X451/$H451),1)*$H451),"")</f>
        <v>27</v>
      </c>
      <c r="Z451" s="41">
        <f>IFERROR(IF(Y451=0,"",ROUNDUP(Y451/H451,0)*0.00902),"")</f>
        <v>4.5100000000000001E-2</v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27.95</v>
      </c>
      <c r="BN451" s="78">
        <f t="shared" ref="BN451:BN456" si="64">IFERROR(Y451*I451/H451,"0")</f>
        <v>27.95</v>
      </c>
      <c r="BO451" s="78">
        <f t="shared" ref="BO451:BO456" si="65">IFERROR(1/J451*(X451/H451),"0")</f>
        <v>3.787878787878788E-2</v>
      </c>
      <c r="BP451" s="78">
        <f t="shared" ref="BP451:BP456" si="66">IFERROR(1/J451*(Y451/H451),"0")</f>
        <v>3.787878787878788E-2</v>
      </c>
    </row>
    <row r="452" spans="1:68" ht="27" customHeight="1" x14ac:dyDescent="0.25">
      <c r="A452" s="63" t="s">
        <v>731</v>
      </c>
      <c r="B452" s="63" t="s">
        <v>732</v>
      </c>
      <c r="C452" s="36">
        <v>4301031402</v>
      </c>
      <c r="D452" s="688">
        <v>4680115886124</v>
      </c>
      <c r="E452" s="688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90"/>
      <c r="R452" s="690"/>
      <c r="S452" s="690"/>
      <c r="T452" s="691"/>
      <c r="U452" s="39" t="s">
        <v>46</v>
      </c>
      <c r="V452" s="39" t="s">
        <v>46</v>
      </c>
      <c r="W452" s="40" t="s">
        <v>0</v>
      </c>
      <c r="X452" s="58">
        <v>27</v>
      </c>
      <c r="Y452" s="55">
        <f t="shared" si="62"/>
        <v>27</v>
      </c>
      <c r="Z452" s="41">
        <f>IFERROR(IF(Y452=0,"",ROUNDUP(Y452/H452,0)*0.00902),"")</f>
        <v>4.5100000000000001E-2</v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27.95</v>
      </c>
      <c r="BN452" s="78">
        <f t="shared" si="64"/>
        <v>27.95</v>
      </c>
      <c r="BO452" s="78">
        <f t="shared" si="65"/>
        <v>3.787878787878788E-2</v>
      </c>
      <c r="BP452" s="78">
        <f t="shared" si="66"/>
        <v>3.787878787878788E-2</v>
      </c>
    </row>
    <row r="453" spans="1:68" ht="27" customHeight="1" x14ac:dyDescent="0.25">
      <c r="A453" s="63" t="s">
        <v>734</v>
      </c>
      <c r="B453" s="63" t="s">
        <v>735</v>
      </c>
      <c r="C453" s="36">
        <v>4301031362</v>
      </c>
      <c r="D453" s="688">
        <v>4607091384338</v>
      </c>
      <c r="E453" s="688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90"/>
      <c r="R453" s="690"/>
      <c r="S453" s="690"/>
      <c r="T453" s="691"/>
      <c r="U453" s="39" t="s">
        <v>46</v>
      </c>
      <c r="V453" s="39" t="s">
        <v>46</v>
      </c>
      <c r="W453" s="40" t="s">
        <v>0</v>
      </c>
      <c r="X453" s="58">
        <v>10.5</v>
      </c>
      <c r="Y453" s="55">
        <f t="shared" si="62"/>
        <v>10.5</v>
      </c>
      <c r="Z453" s="41">
        <f>IFERROR(IF(Y453=0,"",ROUNDUP(Y453/H453,0)*0.00502),"")</f>
        <v>2.5100000000000001E-2</v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11.149999999999999</v>
      </c>
      <c r="BN453" s="78">
        <f t="shared" si="64"/>
        <v>11.149999999999999</v>
      </c>
      <c r="BO453" s="78">
        <f t="shared" si="65"/>
        <v>2.1367521367521368E-2</v>
      </c>
      <c r="BP453" s="78">
        <f t="shared" si="66"/>
        <v>2.1367521367521368E-2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8">
        <v>4680115883161</v>
      </c>
      <c r="E454" s="688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90"/>
      <c r="R454" s="690"/>
      <c r="S454" s="690"/>
      <c r="T454" s="691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8">
        <v>4607091389531</v>
      </c>
      <c r="E455" s="688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90"/>
      <c r="R455" s="690"/>
      <c r="S455" s="690"/>
      <c r="T455" s="691"/>
      <c r="U455" s="39" t="s">
        <v>46</v>
      </c>
      <c r="V455" s="39" t="s">
        <v>46</v>
      </c>
      <c r="W455" s="40" t="s">
        <v>0</v>
      </c>
      <c r="X455" s="58">
        <v>10.5</v>
      </c>
      <c r="Y455" s="55">
        <f t="shared" si="62"/>
        <v>10.5</v>
      </c>
      <c r="Z455" s="41">
        <f>IFERROR(IF(Y455=0,"",ROUNDUP(Y455/H455,0)*0.00502),"")</f>
        <v>2.5100000000000001E-2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11.149999999999999</v>
      </c>
      <c r="BN455" s="78">
        <f t="shared" si="64"/>
        <v>11.149999999999999</v>
      </c>
      <c r="BO455" s="78">
        <f t="shared" si="65"/>
        <v>2.1367521367521368E-2</v>
      </c>
      <c r="BP455" s="78">
        <f t="shared" si="66"/>
        <v>2.1367521367521368E-2</v>
      </c>
    </row>
    <row r="456" spans="1:68" ht="37.5" customHeight="1" x14ac:dyDescent="0.25">
      <c r="A456" s="63" t="s">
        <v>742</v>
      </c>
      <c r="B456" s="63" t="s">
        <v>743</v>
      </c>
      <c r="C456" s="36">
        <v>4301031360</v>
      </c>
      <c r="D456" s="688">
        <v>4607091384345</v>
      </c>
      <c r="E456" s="688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90"/>
      <c r="R456" s="690"/>
      <c r="S456" s="690"/>
      <c r="T456" s="691"/>
      <c r="U456" s="39" t="s">
        <v>46</v>
      </c>
      <c r="V456" s="39" t="s">
        <v>46</v>
      </c>
      <c r="W456" s="40" t="s">
        <v>0</v>
      </c>
      <c r="X456" s="58">
        <v>10.5</v>
      </c>
      <c r="Y456" s="55">
        <f t="shared" si="62"/>
        <v>10.5</v>
      </c>
      <c r="Z456" s="41">
        <f>IFERROR(IF(Y456=0,"",ROUNDUP(Y456/H456,0)*0.00502),"")</f>
        <v>2.5100000000000001E-2</v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11.149999999999999</v>
      </c>
      <c r="BN456" s="78">
        <f t="shared" si="64"/>
        <v>11.149999999999999</v>
      </c>
      <c r="BO456" s="78">
        <f t="shared" si="65"/>
        <v>2.1367521367521368E-2</v>
      </c>
      <c r="BP456" s="78">
        <f t="shared" si="66"/>
        <v>2.1367521367521368E-2</v>
      </c>
    </row>
    <row r="457" spans="1:68" x14ac:dyDescent="0.2">
      <c r="A457" s="696"/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7"/>
      <c r="P457" s="693" t="s">
        <v>40</v>
      </c>
      <c r="Q457" s="694"/>
      <c r="R457" s="694"/>
      <c r="S457" s="694"/>
      <c r="T457" s="694"/>
      <c r="U457" s="694"/>
      <c r="V457" s="695"/>
      <c r="W457" s="42" t="s">
        <v>39</v>
      </c>
      <c r="X457" s="43">
        <f>IFERROR(X451/H451,"0")+IFERROR(X452/H452,"0")+IFERROR(X453/H453,"0")+IFERROR(X454/H454,"0")+IFERROR(X455/H455,"0")+IFERROR(X456/H456,"0")</f>
        <v>25</v>
      </c>
      <c r="Y457" s="43">
        <f>IFERROR(Y451/H451,"0")+IFERROR(Y452/H452,"0")+IFERROR(Y453/H453,"0")+IFERROR(Y454/H454,"0")+IFERROR(Y455/H455,"0")+IFERROR(Y456/H456,"0")</f>
        <v>25</v>
      </c>
      <c r="Z457" s="43">
        <f>IFERROR(IF(Z451="",0,Z451),"0")+IFERROR(IF(Z452="",0,Z452),"0")+IFERROR(IF(Z453="",0,Z453),"0")+IFERROR(IF(Z454="",0,Z454),"0")+IFERROR(IF(Z455="",0,Z455),"0")+IFERROR(IF(Z456="",0,Z456),"0")</f>
        <v>0.16550000000000001</v>
      </c>
      <c r="AA457" s="67"/>
      <c r="AB457" s="67"/>
      <c r="AC457" s="67"/>
    </row>
    <row r="458" spans="1:68" x14ac:dyDescent="0.2">
      <c r="A458" s="696"/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7"/>
      <c r="P458" s="693" t="s">
        <v>40</v>
      </c>
      <c r="Q458" s="694"/>
      <c r="R458" s="694"/>
      <c r="S458" s="694"/>
      <c r="T458" s="694"/>
      <c r="U458" s="694"/>
      <c r="V458" s="695"/>
      <c r="W458" s="42" t="s">
        <v>0</v>
      </c>
      <c r="X458" s="43">
        <f>IFERROR(SUM(X451:X456),"0")</f>
        <v>85.5</v>
      </c>
      <c r="Y458" s="43">
        <f>IFERROR(SUM(Y451:Y456),"0")</f>
        <v>85.5</v>
      </c>
      <c r="Z458" s="42"/>
      <c r="AA458" s="67"/>
      <c r="AB458" s="67"/>
      <c r="AC458" s="67"/>
    </row>
    <row r="459" spans="1:68" ht="14.25" hidden="1" customHeight="1" x14ac:dyDescent="0.25">
      <c r="A459" s="687" t="s">
        <v>86</v>
      </c>
      <c r="B459" s="687"/>
      <c r="C459" s="687"/>
      <c r="D459" s="687"/>
      <c r="E459" s="687"/>
      <c r="F459" s="687"/>
      <c r="G459" s="687"/>
      <c r="H459" s="687"/>
      <c r="I459" s="687"/>
      <c r="J459" s="687"/>
      <c r="K459" s="687"/>
      <c r="L459" s="687"/>
      <c r="M459" s="687"/>
      <c r="N459" s="687"/>
      <c r="O459" s="687"/>
      <c r="P459" s="687"/>
      <c r="Q459" s="687"/>
      <c r="R459" s="687"/>
      <c r="S459" s="687"/>
      <c r="T459" s="687"/>
      <c r="U459" s="687"/>
      <c r="V459" s="687"/>
      <c r="W459" s="687"/>
      <c r="X459" s="687"/>
      <c r="Y459" s="687"/>
      <c r="Z459" s="687"/>
      <c r="AA459" s="66"/>
      <c r="AB459" s="66"/>
      <c r="AC459" s="80"/>
    </row>
    <row r="460" spans="1:68" ht="27" customHeight="1" x14ac:dyDescent="0.25">
      <c r="A460" s="63" t="s">
        <v>744</v>
      </c>
      <c r="B460" s="63" t="s">
        <v>745</v>
      </c>
      <c r="C460" s="36">
        <v>4301051284</v>
      </c>
      <c r="D460" s="688">
        <v>4607091384352</v>
      </c>
      <c r="E460" s="688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90"/>
      <c r="R460" s="690"/>
      <c r="S460" s="690"/>
      <c r="T460" s="691"/>
      <c r="U460" s="39" t="s">
        <v>46</v>
      </c>
      <c r="V460" s="39" t="s">
        <v>46</v>
      </c>
      <c r="W460" s="40" t="s">
        <v>0</v>
      </c>
      <c r="X460" s="58">
        <v>4.8</v>
      </c>
      <c r="Y460" s="55">
        <f>IFERROR(IF(X460="",0,CEILING((X460/$H460),1)*$H460),"")</f>
        <v>4.8</v>
      </c>
      <c r="Z460" s="41">
        <f>IFERROR(IF(Y460=0,"",ROUNDUP(Y460/H460,0)*0.00902),"")</f>
        <v>1.804E-2</v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5.2519999999999998</v>
      </c>
      <c r="BN460" s="78">
        <f>IFERROR(Y460*I460/H460,"0")</f>
        <v>5.2519999999999998</v>
      </c>
      <c r="BO460" s="78">
        <f>IFERROR(1/J460*(X460/H460),"0")</f>
        <v>1.5151515151515152E-2</v>
      </c>
      <c r="BP460" s="78">
        <f>IFERROR(1/J460*(Y460/H460),"0")</f>
        <v>1.5151515151515152E-2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8">
        <v>4607091389654</v>
      </c>
      <c r="E461" s="688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90"/>
      <c r="R461" s="690"/>
      <c r="S461" s="690"/>
      <c r="T461" s="691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96"/>
      <c r="B462" s="696"/>
      <c r="C462" s="696"/>
      <c r="D462" s="696"/>
      <c r="E462" s="696"/>
      <c r="F462" s="696"/>
      <c r="G462" s="696"/>
      <c r="H462" s="696"/>
      <c r="I462" s="696"/>
      <c r="J462" s="696"/>
      <c r="K462" s="696"/>
      <c r="L462" s="696"/>
      <c r="M462" s="696"/>
      <c r="N462" s="696"/>
      <c r="O462" s="697"/>
      <c r="P462" s="693" t="s">
        <v>40</v>
      </c>
      <c r="Q462" s="694"/>
      <c r="R462" s="694"/>
      <c r="S462" s="694"/>
      <c r="T462" s="694"/>
      <c r="U462" s="694"/>
      <c r="V462" s="695"/>
      <c r="W462" s="42" t="s">
        <v>39</v>
      </c>
      <c r="X462" s="43">
        <f>IFERROR(X460/H460,"0")+IFERROR(X461/H461,"0")</f>
        <v>2</v>
      </c>
      <c r="Y462" s="43">
        <f>IFERROR(Y460/H460,"0")+IFERROR(Y461/H461,"0")</f>
        <v>2</v>
      </c>
      <c r="Z462" s="43">
        <f>IFERROR(IF(Z460="",0,Z460),"0")+IFERROR(IF(Z461="",0,Z461),"0")</f>
        <v>1.804E-2</v>
      </c>
      <c r="AA462" s="67"/>
      <c r="AB462" s="67"/>
      <c r="AC462" s="67"/>
    </row>
    <row r="463" spans="1:68" x14ac:dyDescent="0.2">
      <c r="A463" s="696"/>
      <c r="B463" s="696"/>
      <c r="C463" s="696"/>
      <c r="D463" s="696"/>
      <c r="E463" s="696"/>
      <c r="F463" s="696"/>
      <c r="G463" s="696"/>
      <c r="H463" s="696"/>
      <c r="I463" s="696"/>
      <c r="J463" s="696"/>
      <c r="K463" s="696"/>
      <c r="L463" s="696"/>
      <c r="M463" s="696"/>
      <c r="N463" s="696"/>
      <c r="O463" s="697"/>
      <c r="P463" s="693" t="s">
        <v>40</v>
      </c>
      <c r="Q463" s="694"/>
      <c r="R463" s="694"/>
      <c r="S463" s="694"/>
      <c r="T463" s="694"/>
      <c r="U463" s="694"/>
      <c r="V463" s="695"/>
      <c r="W463" s="42" t="s">
        <v>0</v>
      </c>
      <c r="X463" s="43">
        <f>IFERROR(SUM(X460:X461),"0")</f>
        <v>4.8</v>
      </c>
      <c r="Y463" s="43">
        <f>IFERROR(SUM(Y460:Y461),"0")</f>
        <v>4.8</v>
      </c>
      <c r="Z463" s="42"/>
      <c r="AA463" s="67"/>
      <c r="AB463" s="67"/>
      <c r="AC463" s="67"/>
    </row>
    <row r="464" spans="1:68" ht="16.5" hidden="1" customHeight="1" x14ac:dyDescent="0.25">
      <c r="A464" s="686" t="s">
        <v>750</v>
      </c>
      <c r="B464" s="686"/>
      <c r="C464" s="686"/>
      <c r="D464" s="686"/>
      <c r="E464" s="686"/>
      <c r="F464" s="686"/>
      <c r="G464" s="686"/>
      <c r="H464" s="686"/>
      <c r="I464" s="686"/>
      <c r="J464" s="686"/>
      <c r="K464" s="686"/>
      <c r="L464" s="686"/>
      <c r="M464" s="686"/>
      <c r="N464" s="686"/>
      <c r="O464" s="686"/>
      <c r="P464" s="686"/>
      <c r="Q464" s="686"/>
      <c r="R464" s="686"/>
      <c r="S464" s="686"/>
      <c r="T464" s="686"/>
      <c r="U464" s="686"/>
      <c r="V464" s="686"/>
      <c r="W464" s="686"/>
      <c r="X464" s="686"/>
      <c r="Y464" s="686"/>
      <c r="Z464" s="686"/>
      <c r="AA464" s="65"/>
      <c r="AB464" s="65"/>
      <c r="AC464" s="79"/>
    </row>
    <row r="465" spans="1:68" ht="14.25" hidden="1" customHeight="1" x14ac:dyDescent="0.25">
      <c r="A465" s="687" t="s">
        <v>166</v>
      </c>
      <c r="B465" s="687"/>
      <c r="C465" s="687"/>
      <c r="D465" s="687"/>
      <c r="E465" s="687"/>
      <c r="F465" s="687"/>
      <c r="G465" s="687"/>
      <c r="H465" s="687"/>
      <c r="I465" s="687"/>
      <c r="J465" s="687"/>
      <c r="K465" s="687"/>
      <c r="L465" s="687"/>
      <c r="M465" s="687"/>
      <c r="N465" s="687"/>
      <c r="O465" s="687"/>
      <c r="P465" s="687"/>
      <c r="Q465" s="687"/>
      <c r="R465" s="687"/>
      <c r="S465" s="687"/>
      <c r="T465" s="687"/>
      <c r="U465" s="687"/>
      <c r="V465" s="687"/>
      <c r="W465" s="687"/>
      <c r="X465" s="687"/>
      <c r="Y465" s="687"/>
      <c r="Z465" s="687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8">
        <v>4680115885240</v>
      </c>
      <c r="E466" s="688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3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90"/>
      <c r="R466" s="690"/>
      <c r="S466" s="690"/>
      <c r="T466" s="691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6"/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7"/>
      <c r="P467" s="693" t="s">
        <v>40</v>
      </c>
      <c r="Q467" s="694"/>
      <c r="R467" s="694"/>
      <c r="S467" s="694"/>
      <c r="T467" s="694"/>
      <c r="U467" s="694"/>
      <c r="V467" s="695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6"/>
      <c r="B468" s="696"/>
      <c r="C468" s="696"/>
      <c r="D468" s="696"/>
      <c r="E468" s="696"/>
      <c r="F468" s="696"/>
      <c r="G468" s="696"/>
      <c r="H468" s="696"/>
      <c r="I468" s="696"/>
      <c r="J468" s="696"/>
      <c r="K468" s="696"/>
      <c r="L468" s="696"/>
      <c r="M468" s="696"/>
      <c r="N468" s="696"/>
      <c r="O468" s="697"/>
      <c r="P468" s="693" t="s">
        <v>40</v>
      </c>
      <c r="Q468" s="694"/>
      <c r="R468" s="694"/>
      <c r="S468" s="694"/>
      <c r="T468" s="694"/>
      <c r="U468" s="694"/>
      <c r="V468" s="695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7" t="s">
        <v>77</v>
      </c>
      <c r="B469" s="687"/>
      <c r="C469" s="687"/>
      <c r="D469" s="687"/>
      <c r="E469" s="687"/>
      <c r="F469" s="687"/>
      <c r="G469" s="687"/>
      <c r="H469" s="687"/>
      <c r="I469" s="687"/>
      <c r="J469" s="687"/>
      <c r="K469" s="687"/>
      <c r="L469" s="687"/>
      <c r="M469" s="687"/>
      <c r="N469" s="687"/>
      <c r="O469" s="687"/>
      <c r="P469" s="687"/>
      <c r="Q469" s="687"/>
      <c r="R469" s="687"/>
      <c r="S469" s="687"/>
      <c r="T469" s="687"/>
      <c r="U469" s="687"/>
      <c r="V469" s="687"/>
      <c r="W469" s="687"/>
      <c r="X469" s="687"/>
      <c r="Y469" s="687"/>
      <c r="Z469" s="687"/>
      <c r="AA469" s="66"/>
      <c r="AB469" s="66"/>
      <c r="AC469" s="80"/>
    </row>
    <row r="470" spans="1:68" ht="27" customHeight="1" x14ac:dyDescent="0.25">
      <c r="A470" s="63" t="s">
        <v>754</v>
      </c>
      <c r="B470" s="63" t="s">
        <v>755</v>
      </c>
      <c r="C470" s="36">
        <v>4301031407</v>
      </c>
      <c r="D470" s="688">
        <v>4680115886094</v>
      </c>
      <c r="E470" s="688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90"/>
      <c r="R470" s="690"/>
      <c r="S470" s="690"/>
      <c r="T470" s="691"/>
      <c r="U470" s="39" t="s">
        <v>46</v>
      </c>
      <c r="V470" s="39" t="s">
        <v>46</v>
      </c>
      <c r="W470" s="40" t="s">
        <v>0</v>
      </c>
      <c r="X470" s="58">
        <v>27</v>
      </c>
      <c r="Y470" s="55">
        <f>IFERROR(IF(X470="",0,CEILING((X470/$H470),1)*$H470),"")</f>
        <v>27</v>
      </c>
      <c r="Z470" s="41">
        <f>IFERROR(IF(Y470=0,"",ROUNDUP(Y470/H470,0)*0.00902),"")</f>
        <v>4.5100000000000001E-2</v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27.95</v>
      </c>
      <c r="BN470" s="78">
        <f>IFERROR(Y470*I470/H470,"0")</f>
        <v>27.95</v>
      </c>
      <c r="BO470" s="78">
        <f>IFERROR(1/J470*(X470/H470),"0")</f>
        <v>3.787878787878788E-2</v>
      </c>
      <c r="BP470" s="78">
        <f>IFERROR(1/J470*(Y470/H470),"0")</f>
        <v>3.787878787878788E-2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8">
        <v>4680115880771</v>
      </c>
      <c r="E471" s="688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90"/>
      <c r="R471" s="690"/>
      <c r="S471" s="690"/>
      <c r="T471" s="691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760</v>
      </c>
      <c r="B472" s="63" t="s">
        <v>761</v>
      </c>
      <c r="C472" s="36">
        <v>4301031359</v>
      </c>
      <c r="D472" s="688">
        <v>4607091389500</v>
      </c>
      <c r="E472" s="688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90"/>
      <c r="R472" s="690"/>
      <c r="S472" s="690"/>
      <c r="T472" s="691"/>
      <c r="U472" s="39" t="s">
        <v>46</v>
      </c>
      <c r="V472" s="39" t="s">
        <v>46</v>
      </c>
      <c r="W472" s="40" t="s">
        <v>0</v>
      </c>
      <c r="X472" s="58">
        <v>10.5</v>
      </c>
      <c r="Y472" s="55">
        <f>IFERROR(IF(X472="",0,CEILING((X472/$H472),1)*$H472),"")</f>
        <v>10.5</v>
      </c>
      <c r="Z472" s="41">
        <f>IFERROR(IF(Y472=0,"",ROUNDUP(Y472/H472,0)*0.00502),"")</f>
        <v>2.5100000000000001E-2</v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11.149999999999999</v>
      </c>
      <c r="BN472" s="78">
        <f>IFERROR(Y472*I472/H472,"0")</f>
        <v>11.149999999999999</v>
      </c>
      <c r="BO472" s="78">
        <f>IFERROR(1/J472*(X472/H472),"0")</f>
        <v>2.1367521367521368E-2</v>
      </c>
      <c r="BP472" s="78">
        <f>IFERROR(1/J472*(Y472/H472),"0")</f>
        <v>2.1367521367521368E-2</v>
      </c>
    </row>
    <row r="473" spans="1:68" x14ac:dyDescent="0.2">
      <c r="A473" s="696"/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7"/>
      <c r="P473" s="693" t="s">
        <v>40</v>
      </c>
      <c r="Q473" s="694"/>
      <c r="R473" s="694"/>
      <c r="S473" s="694"/>
      <c r="T473" s="694"/>
      <c r="U473" s="694"/>
      <c r="V473" s="695"/>
      <c r="W473" s="42" t="s">
        <v>39</v>
      </c>
      <c r="X473" s="43">
        <f>IFERROR(X470/H470,"0")+IFERROR(X471/H471,"0")+IFERROR(X472/H472,"0")</f>
        <v>10</v>
      </c>
      <c r="Y473" s="43">
        <f>IFERROR(Y470/H470,"0")+IFERROR(Y471/H471,"0")+IFERROR(Y472/H472,"0")</f>
        <v>10</v>
      </c>
      <c r="Z473" s="43">
        <f>IFERROR(IF(Z470="",0,Z470),"0")+IFERROR(IF(Z471="",0,Z471),"0")+IFERROR(IF(Z472="",0,Z472),"0")</f>
        <v>7.0199999999999999E-2</v>
      </c>
      <c r="AA473" s="67"/>
      <c r="AB473" s="67"/>
      <c r="AC473" s="67"/>
    </row>
    <row r="474" spans="1:68" x14ac:dyDescent="0.2">
      <c r="A474" s="696"/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7"/>
      <c r="P474" s="693" t="s">
        <v>40</v>
      </c>
      <c r="Q474" s="694"/>
      <c r="R474" s="694"/>
      <c r="S474" s="694"/>
      <c r="T474" s="694"/>
      <c r="U474" s="694"/>
      <c r="V474" s="695"/>
      <c r="W474" s="42" t="s">
        <v>0</v>
      </c>
      <c r="X474" s="43">
        <f>IFERROR(SUM(X470:X472),"0")</f>
        <v>37.5</v>
      </c>
      <c r="Y474" s="43">
        <f>IFERROR(SUM(Y470:Y472),"0")</f>
        <v>37.5</v>
      </c>
      <c r="Z474" s="42"/>
      <c r="AA474" s="67"/>
      <c r="AB474" s="67"/>
      <c r="AC474" s="67"/>
    </row>
    <row r="475" spans="1:68" ht="27.75" hidden="1" customHeight="1" x14ac:dyDescent="0.2">
      <c r="A475" s="685" t="s">
        <v>762</v>
      </c>
      <c r="B475" s="685"/>
      <c r="C475" s="685"/>
      <c r="D475" s="685"/>
      <c r="E475" s="685"/>
      <c r="F475" s="685"/>
      <c r="G475" s="685"/>
      <c r="H475" s="685"/>
      <c r="I475" s="685"/>
      <c r="J475" s="685"/>
      <c r="K475" s="685"/>
      <c r="L475" s="685"/>
      <c r="M475" s="685"/>
      <c r="N475" s="685"/>
      <c r="O475" s="685"/>
      <c r="P475" s="685"/>
      <c r="Q475" s="685"/>
      <c r="R475" s="685"/>
      <c r="S475" s="685"/>
      <c r="T475" s="685"/>
      <c r="U475" s="685"/>
      <c r="V475" s="685"/>
      <c r="W475" s="685"/>
      <c r="X475" s="685"/>
      <c r="Y475" s="685"/>
      <c r="Z475" s="685"/>
      <c r="AA475" s="54"/>
      <c r="AB475" s="54"/>
      <c r="AC475" s="54"/>
    </row>
    <row r="476" spans="1:68" ht="16.5" hidden="1" customHeight="1" x14ac:dyDescent="0.25">
      <c r="A476" s="686" t="s">
        <v>762</v>
      </c>
      <c r="B476" s="686"/>
      <c r="C476" s="686"/>
      <c r="D476" s="686"/>
      <c r="E476" s="686"/>
      <c r="F476" s="686"/>
      <c r="G476" s="686"/>
      <c r="H476" s="686"/>
      <c r="I476" s="686"/>
      <c r="J476" s="686"/>
      <c r="K476" s="686"/>
      <c r="L476" s="686"/>
      <c r="M476" s="686"/>
      <c r="N476" s="686"/>
      <c r="O476" s="686"/>
      <c r="P476" s="686"/>
      <c r="Q476" s="686"/>
      <c r="R476" s="686"/>
      <c r="S476" s="686"/>
      <c r="T476" s="686"/>
      <c r="U476" s="686"/>
      <c r="V476" s="686"/>
      <c r="W476" s="686"/>
      <c r="X476" s="686"/>
      <c r="Y476" s="686"/>
      <c r="Z476" s="686"/>
      <c r="AA476" s="65"/>
      <c r="AB476" s="65"/>
      <c r="AC476" s="79"/>
    </row>
    <row r="477" spans="1:68" ht="14.25" hidden="1" customHeight="1" x14ac:dyDescent="0.25">
      <c r="A477" s="687" t="s">
        <v>129</v>
      </c>
      <c r="B477" s="687"/>
      <c r="C477" s="687"/>
      <c r="D477" s="687"/>
      <c r="E477" s="687"/>
      <c r="F477" s="687"/>
      <c r="G477" s="687"/>
      <c r="H477" s="687"/>
      <c r="I477" s="687"/>
      <c r="J477" s="687"/>
      <c r="K477" s="687"/>
      <c r="L477" s="687"/>
      <c r="M477" s="687"/>
      <c r="N477" s="687"/>
      <c r="O477" s="687"/>
      <c r="P477" s="687"/>
      <c r="Q477" s="687"/>
      <c r="R477" s="687"/>
      <c r="S477" s="687"/>
      <c r="T477" s="687"/>
      <c r="U477" s="687"/>
      <c r="V477" s="687"/>
      <c r="W477" s="687"/>
      <c r="X477" s="687"/>
      <c r="Y477" s="687"/>
      <c r="Z477" s="687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8">
        <v>4607091389067</v>
      </c>
      <c r="E478" s="688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90"/>
      <c r="R478" s="690"/>
      <c r="S478" s="690"/>
      <c r="T478" s="691"/>
      <c r="U478" s="39" t="s">
        <v>46</v>
      </c>
      <c r="V478" s="39" t="s">
        <v>46</v>
      </c>
      <c r="W478" s="40" t="s">
        <v>0</v>
      </c>
      <c r="X478" s="58"/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8">
        <v>4680115889576</v>
      </c>
      <c r="E479" s="688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90"/>
      <c r="R479" s="690"/>
      <c r="S479" s="690"/>
      <c r="T479" s="691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4301011961</v>
      </c>
      <c r="D480" s="688">
        <v>4680115885271</v>
      </c>
      <c r="E480" s="688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90"/>
      <c r="R480" s="690"/>
      <c r="S480" s="690"/>
      <c r="T480" s="691"/>
      <c r="U480" s="39" t="s">
        <v>46</v>
      </c>
      <c r="V480" s="39" t="s">
        <v>46</v>
      </c>
      <c r="W480" s="40" t="s">
        <v>0</v>
      </c>
      <c r="X480" s="58">
        <v>10.56</v>
      </c>
      <c r="Y480" s="55">
        <f t="shared" si="67"/>
        <v>10.56</v>
      </c>
      <c r="Z480" s="41">
        <f t="shared" si="68"/>
        <v>2.392E-2</v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11.26</v>
      </c>
      <c r="BN480" s="78">
        <f t="shared" si="70"/>
        <v>11.26</v>
      </c>
      <c r="BO480" s="78">
        <f t="shared" si="71"/>
        <v>1.9230769230769232E-2</v>
      </c>
      <c r="BP480" s="78">
        <f t="shared" si="72"/>
        <v>1.9230769230769232E-2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8">
        <v>4680115885226</v>
      </c>
      <c r="E481" s="688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90"/>
      <c r="R481" s="690"/>
      <c r="S481" s="690"/>
      <c r="T481" s="691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8">
        <v>4680115884502</v>
      </c>
      <c r="E482" s="688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90"/>
      <c r="R482" s="690"/>
      <c r="S482" s="690"/>
      <c r="T482" s="691"/>
      <c r="U482" s="39" t="s">
        <v>46</v>
      </c>
      <c r="V482" s="39" t="s">
        <v>46</v>
      </c>
      <c r="W482" s="40" t="s">
        <v>0</v>
      </c>
      <c r="X482" s="58"/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8">
        <v>4607091389104</v>
      </c>
      <c r="E483" s="688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90"/>
      <c r="R483" s="690"/>
      <c r="S483" s="690"/>
      <c r="T483" s="691"/>
      <c r="U483" s="39" t="s">
        <v>46</v>
      </c>
      <c r="V483" s="39" t="s">
        <v>46</v>
      </c>
      <c r="W483" s="40" t="s">
        <v>0</v>
      </c>
      <c r="X483" s="58">
        <v>10.56</v>
      </c>
      <c r="Y483" s="55">
        <f t="shared" si="67"/>
        <v>10.56</v>
      </c>
      <c r="Z483" s="41">
        <f t="shared" si="68"/>
        <v>2.392E-2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11.26</v>
      </c>
      <c r="BN483" s="78">
        <f t="shared" si="70"/>
        <v>11.26</v>
      </c>
      <c r="BO483" s="78">
        <f t="shared" si="71"/>
        <v>1.9230769230769232E-2</v>
      </c>
      <c r="BP483" s="78">
        <f t="shared" si="72"/>
        <v>1.9230769230769232E-2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8">
        <v>4680115886391</v>
      </c>
      <c r="E484" s="688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4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90"/>
      <c r="R484" s="690"/>
      <c r="S484" s="690"/>
      <c r="T484" s="691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8">
        <v>4680115880603</v>
      </c>
      <c r="E485" s="688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90"/>
      <c r="R485" s="690"/>
      <c r="S485" s="690"/>
      <c r="T485" s="691"/>
      <c r="U485" s="39" t="s">
        <v>46</v>
      </c>
      <c r="V485" s="39" t="s">
        <v>46</v>
      </c>
      <c r="W485" s="40" t="s">
        <v>0</v>
      </c>
      <c r="X485" s="58">
        <v>4.8</v>
      </c>
      <c r="Y485" s="55">
        <f t="shared" si="67"/>
        <v>4.8</v>
      </c>
      <c r="Z485" s="41">
        <f>IFERROR(IF(Y485=0,"",ROUNDUP(Y485/H485,0)*0.00902),"")</f>
        <v>9.0200000000000002E-3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6.91</v>
      </c>
      <c r="BN485" s="78">
        <f t="shared" si="70"/>
        <v>6.91</v>
      </c>
      <c r="BO485" s="78">
        <f t="shared" si="71"/>
        <v>7.575757575757576E-3</v>
      </c>
      <c r="BP485" s="78">
        <f t="shared" si="72"/>
        <v>7.575757575757576E-3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8">
        <v>4607091389982</v>
      </c>
      <c r="E486" s="688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90"/>
      <c r="R486" s="690"/>
      <c r="S486" s="690"/>
      <c r="T486" s="691"/>
      <c r="U486" s="39" t="s">
        <v>46</v>
      </c>
      <c r="V486" s="39" t="s">
        <v>46</v>
      </c>
      <c r="W486" s="40" t="s">
        <v>0</v>
      </c>
      <c r="X486" s="58">
        <v>4.8</v>
      </c>
      <c r="Y486" s="55">
        <f t="shared" si="67"/>
        <v>4.8</v>
      </c>
      <c r="Z486" s="41">
        <f>IFERROR(IF(Y486=0,"",ROUNDUP(Y486/H486,0)*0.00902),"")</f>
        <v>9.0200000000000002E-3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6.91</v>
      </c>
      <c r="BN486" s="78">
        <f t="shared" si="70"/>
        <v>6.91</v>
      </c>
      <c r="BO486" s="78">
        <f t="shared" si="71"/>
        <v>7.575757575757576E-3</v>
      </c>
      <c r="BP486" s="78">
        <f t="shared" si="72"/>
        <v>7.575757575757576E-3</v>
      </c>
    </row>
    <row r="487" spans="1:68" x14ac:dyDescent="0.2">
      <c r="A487" s="696"/>
      <c r="B487" s="696"/>
      <c r="C487" s="696"/>
      <c r="D487" s="696"/>
      <c r="E487" s="696"/>
      <c r="F487" s="696"/>
      <c r="G487" s="696"/>
      <c r="H487" s="696"/>
      <c r="I487" s="696"/>
      <c r="J487" s="696"/>
      <c r="K487" s="696"/>
      <c r="L487" s="696"/>
      <c r="M487" s="696"/>
      <c r="N487" s="696"/>
      <c r="O487" s="697"/>
      <c r="P487" s="693" t="s">
        <v>40</v>
      </c>
      <c r="Q487" s="694"/>
      <c r="R487" s="694"/>
      <c r="S487" s="694"/>
      <c r="T487" s="694"/>
      <c r="U487" s="694"/>
      <c r="V487" s="695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6</v>
      </c>
      <c r="Y487" s="43">
        <f>IFERROR(Y478/H478,"0")+IFERROR(Y479/H479,"0")+IFERROR(Y480/H480,"0")+IFERROR(Y481/H481,"0")+IFERROR(Y482/H482,"0")+IFERROR(Y483/H483,"0")+IFERROR(Y484/H484,"0")+IFERROR(Y485/H485,"0")+IFERROR(Y486/H486,"0")</f>
        <v>6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6.5879999999999994E-2</v>
      </c>
      <c r="AA487" s="67"/>
      <c r="AB487" s="67"/>
      <c r="AC487" s="67"/>
    </row>
    <row r="488" spans="1:68" x14ac:dyDescent="0.2">
      <c r="A488" s="696"/>
      <c r="B488" s="696"/>
      <c r="C488" s="696"/>
      <c r="D488" s="696"/>
      <c r="E488" s="696"/>
      <c r="F488" s="696"/>
      <c r="G488" s="696"/>
      <c r="H488" s="696"/>
      <c r="I488" s="696"/>
      <c r="J488" s="696"/>
      <c r="K488" s="696"/>
      <c r="L488" s="696"/>
      <c r="M488" s="696"/>
      <c r="N488" s="696"/>
      <c r="O488" s="697"/>
      <c r="P488" s="693" t="s">
        <v>40</v>
      </c>
      <c r="Q488" s="694"/>
      <c r="R488" s="694"/>
      <c r="S488" s="694"/>
      <c r="T488" s="694"/>
      <c r="U488" s="694"/>
      <c r="V488" s="695"/>
      <c r="W488" s="42" t="s">
        <v>0</v>
      </c>
      <c r="X488" s="43">
        <f>IFERROR(SUM(X478:X486),"0")</f>
        <v>30.720000000000002</v>
      </c>
      <c r="Y488" s="43">
        <f>IFERROR(SUM(Y478:Y486),"0")</f>
        <v>30.720000000000002</v>
      </c>
      <c r="Z488" s="42"/>
      <c r="AA488" s="67"/>
      <c r="AB488" s="67"/>
      <c r="AC488" s="67"/>
    </row>
    <row r="489" spans="1:68" ht="14.25" hidden="1" customHeight="1" x14ac:dyDescent="0.25">
      <c r="A489" s="687" t="s">
        <v>166</v>
      </c>
      <c r="B489" s="687"/>
      <c r="C489" s="687"/>
      <c r="D489" s="687"/>
      <c r="E489" s="687"/>
      <c r="F489" s="687"/>
      <c r="G489" s="687"/>
      <c r="H489" s="687"/>
      <c r="I489" s="687"/>
      <c r="J489" s="687"/>
      <c r="K489" s="687"/>
      <c r="L489" s="687"/>
      <c r="M489" s="687"/>
      <c r="N489" s="687"/>
      <c r="O489" s="687"/>
      <c r="P489" s="687"/>
      <c r="Q489" s="687"/>
      <c r="R489" s="687"/>
      <c r="S489" s="687"/>
      <c r="T489" s="687"/>
      <c r="U489" s="687"/>
      <c r="V489" s="687"/>
      <c r="W489" s="687"/>
      <c r="X489" s="687"/>
      <c r="Y489" s="687"/>
      <c r="Z489" s="687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8">
        <v>4607091388930</v>
      </c>
      <c r="E490" s="688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90"/>
      <c r="R490" s="690"/>
      <c r="S490" s="690"/>
      <c r="T490" s="691"/>
      <c r="U490" s="39" t="s">
        <v>46</v>
      </c>
      <c r="V490" s="39" t="s">
        <v>46</v>
      </c>
      <c r="W490" s="40" t="s">
        <v>0</v>
      </c>
      <c r="X490" s="58">
        <v>10.56</v>
      </c>
      <c r="Y490" s="55">
        <f>IFERROR(IF(X490="",0,CEILING((X490/$H490),1)*$H490),"")</f>
        <v>10.56</v>
      </c>
      <c r="Z490" s="41">
        <f>IFERROR(IF(Y490=0,"",ROUNDUP(Y490/H490,0)*0.01196),"")</f>
        <v>2.392E-2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11.26</v>
      </c>
      <c r="BN490" s="78">
        <f>IFERROR(Y490*I490/H490,"0")</f>
        <v>11.26</v>
      </c>
      <c r="BO490" s="78">
        <f>IFERROR(1/J490*(X490/H490),"0")</f>
        <v>1.9230769230769232E-2</v>
      </c>
      <c r="BP490" s="78">
        <f>IFERROR(1/J490*(Y490/H490),"0")</f>
        <v>1.9230769230769232E-2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8">
        <v>4680115886407</v>
      </c>
      <c r="E491" s="688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90"/>
      <c r="R491" s="690"/>
      <c r="S491" s="690"/>
      <c r="T491" s="691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8">
        <v>4680115880054</v>
      </c>
      <c r="E492" s="688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90"/>
      <c r="R492" s="690"/>
      <c r="S492" s="690"/>
      <c r="T492" s="691"/>
      <c r="U492" s="39" t="s">
        <v>46</v>
      </c>
      <c r="V492" s="39" t="s">
        <v>46</v>
      </c>
      <c r="W492" s="40" t="s">
        <v>0</v>
      </c>
      <c r="X492" s="58">
        <v>4.8</v>
      </c>
      <c r="Y492" s="55">
        <f>IFERROR(IF(X492="",0,CEILING((X492/$H492),1)*$H492),"")</f>
        <v>4.8</v>
      </c>
      <c r="Z492" s="41">
        <f>IFERROR(IF(Y492=0,"",ROUNDUP(Y492/H492,0)*0.00902),"")</f>
        <v>9.0200000000000002E-3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6.91</v>
      </c>
      <c r="BN492" s="78">
        <f>IFERROR(Y492*I492/H492,"0")</f>
        <v>6.91</v>
      </c>
      <c r="BO492" s="78">
        <f>IFERROR(1/J492*(X492/H492),"0")</f>
        <v>7.575757575757576E-3</v>
      </c>
      <c r="BP492" s="78">
        <f>IFERROR(1/J492*(Y492/H492),"0")</f>
        <v>7.575757575757576E-3</v>
      </c>
    </row>
    <row r="493" spans="1:68" x14ac:dyDescent="0.2">
      <c r="A493" s="696"/>
      <c r="B493" s="696"/>
      <c r="C493" s="696"/>
      <c r="D493" s="696"/>
      <c r="E493" s="696"/>
      <c r="F493" s="696"/>
      <c r="G493" s="696"/>
      <c r="H493" s="696"/>
      <c r="I493" s="696"/>
      <c r="J493" s="696"/>
      <c r="K493" s="696"/>
      <c r="L493" s="696"/>
      <c r="M493" s="696"/>
      <c r="N493" s="696"/>
      <c r="O493" s="697"/>
      <c r="P493" s="693" t="s">
        <v>40</v>
      </c>
      <c r="Q493" s="694"/>
      <c r="R493" s="694"/>
      <c r="S493" s="694"/>
      <c r="T493" s="694"/>
      <c r="U493" s="694"/>
      <c r="V493" s="695"/>
      <c r="W493" s="42" t="s">
        <v>39</v>
      </c>
      <c r="X493" s="43">
        <f>IFERROR(X490/H490,"0")+IFERROR(X491/H491,"0")+IFERROR(X492/H492,"0")</f>
        <v>3</v>
      </c>
      <c r="Y493" s="43">
        <f>IFERROR(Y490/H490,"0")+IFERROR(Y491/H491,"0")+IFERROR(Y492/H492,"0")</f>
        <v>3</v>
      </c>
      <c r="Z493" s="43">
        <f>IFERROR(IF(Z490="",0,Z490),"0")+IFERROR(IF(Z491="",0,Z491),"0")+IFERROR(IF(Z492="",0,Z492),"0")</f>
        <v>3.2939999999999997E-2</v>
      </c>
      <c r="AA493" s="67"/>
      <c r="AB493" s="67"/>
      <c r="AC493" s="67"/>
    </row>
    <row r="494" spans="1:68" x14ac:dyDescent="0.2">
      <c r="A494" s="696"/>
      <c r="B494" s="696"/>
      <c r="C494" s="696"/>
      <c r="D494" s="696"/>
      <c r="E494" s="696"/>
      <c r="F494" s="696"/>
      <c r="G494" s="696"/>
      <c r="H494" s="696"/>
      <c r="I494" s="696"/>
      <c r="J494" s="696"/>
      <c r="K494" s="696"/>
      <c r="L494" s="696"/>
      <c r="M494" s="696"/>
      <c r="N494" s="696"/>
      <c r="O494" s="697"/>
      <c r="P494" s="693" t="s">
        <v>40</v>
      </c>
      <c r="Q494" s="694"/>
      <c r="R494" s="694"/>
      <c r="S494" s="694"/>
      <c r="T494" s="694"/>
      <c r="U494" s="694"/>
      <c r="V494" s="695"/>
      <c r="W494" s="42" t="s">
        <v>0</v>
      </c>
      <c r="X494" s="43">
        <f>IFERROR(SUM(X490:X492),"0")</f>
        <v>15.36</v>
      </c>
      <c r="Y494" s="43">
        <f>IFERROR(SUM(Y490:Y492),"0")</f>
        <v>15.36</v>
      </c>
      <c r="Z494" s="42"/>
      <c r="AA494" s="67"/>
      <c r="AB494" s="67"/>
      <c r="AC494" s="67"/>
    </row>
    <row r="495" spans="1:68" ht="14.25" hidden="1" customHeight="1" x14ac:dyDescent="0.25">
      <c r="A495" s="687" t="s">
        <v>77</v>
      </c>
      <c r="B495" s="687"/>
      <c r="C495" s="687"/>
      <c r="D495" s="687"/>
      <c r="E495" s="687"/>
      <c r="F495" s="687"/>
      <c r="G495" s="687"/>
      <c r="H495" s="687"/>
      <c r="I495" s="687"/>
      <c r="J495" s="687"/>
      <c r="K495" s="687"/>
      <c r="L495" s="687"/>
      <c r="M495" s="687"/>
      <c r="N495" s="687"/>
      <c r="O495" s="687"/>
      <c r="P495" s="687"/>
      <c r="Q495" s="687"/>
      <c r="R495" s="687"/>
      <c r="S495" s="687"/>
      <c r="T495" s="687"/>
      <c r="U495" s="687"/>
      <c r="V495" s="687"/>
      <c r="W495" s="687"/>
      <c r="X495" s="687"/>
      <c r="Y495" s="687"/>
      <c r="Z495" s="687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8">
        <v>4680115883116</v>
      </c>
      <c r="E496" s="688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90"/>
      <c r="R496" s="690"/>
      <c r="S496" s="690"/>
      <c r="T496" s="691"/>
      <c r="U496" s="39" t="s">
        <v>46</v>
      </c>
      <c r="V496" s="39" t="s">
        <v>46</v>
      </c>
      <c r="W496" s="40" t="s">
        <v>0</v>
      </c>
      <c r="X496" s="58">
        <v>10.56</v>
      </c>
      <c r="Y496" s="55">
        <f t="shared" ref="Y496:Y502" si="73">IFERROR(IF(X496="",0,CEILING((X496/$H496),1)*$H496),"")</f>
        <v>10.56</v>
      </c>
      <c r="Z496" s="41">
        <f>IFERROR(IF(Y496=0,"",ROUNDUP(Y496/H496,0)*0.01196),"")</f>
        <v>2.392E-2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11.26</v>
      </c>
      <c r="BN496" s="78">
        <f t="shared" ref="BN496:BN502" si="75">IFERROR(Y496*I496/H496,"0")</f>
        <v>11.26</v>
      </c>
      <c r="BO496" s="78">
        <f t="shared" ref="BO496:BO502" si="76">IFERROR(1/J496*(X496/H496),"0")</f>
        <v>1.9230769230769232E-2</v>
      </c>
      <c r="BP496" s="78">
        <f t="shared" ref="BP496:BP502" si="77">IFERROR(1/J496*(Y496/H496),"0")</f>
        <v>1.9230769230769232E-2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8">
        <v>4680115883093</v>
      </c>
      <c r="E497" s="688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90"/>
      <c r="R497" s="690"/>
      <c r="S497" s="690"/>
      <c r="T497" s="691"/>
      <c r="U497" s="39" t="s">
        <v>46</v>
      </c>
      <c r="V497" s="39" t="s">
        <v>46</v>
      </c>
      <c r="W497" s="40" t="s">
        <v>0</v>
      </c>
      <c r="X497" s="58">
        <v>10.56</v>
      </c>
      <c r="Y497" s="55">
        <f t="shared" si="73"/>
        <v>10.56</v>
      </c>
      <c r="Z497" s="41">
        <f>IFERROR(IF(Y497=0,"",ROUNDUP(Y497/H497,0)*0.01196),"")</f>
        <v>2.392E-2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11.26</v>
      </c>
      <c r="BN497" s="78">
        <f t="shared" si="75"/>
        <v>11.26</v>
      </c>
      <c r="BO497" s="78">
        <f t="shared" si="76"/>
        <v>1.9230769230769232E-2</v>
      </c>
      <c r="BP497" s="78">
        <f t="shared" si="77"/>
        <v>1.9230769230769232E-2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8">
        <v>4680115883109</v>
      </c>
      <c r="E498" s="688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90"/>
      <c r="R498" s="690"/>
      <c r="S498" s="690"/>
      <c r="T498" s="691"/>
      <c r="U498" s="39" t="s">
        <v>46</v>
      </c>
      <c r="V498" s="39" t="s">
        <v>46</v>
      </c>
      <c r="W498" s="40" t="s">
        <v>0</v>
      </c>
      <c r="X498" s="58">
        <v>10.56</v>
      </c>
      <c r="Y498" s="55">
        <f t="shared" si="73"/>
        <v>10.56</v>
      </c>
      <c r="Z498" s="41">
        <f>IFERROR(IF(Y498=0,"",ROUNDUP(Y498/H498,0)*0.01196),"")</f>
        <v>2.392E-2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11.26</v>
      </c>
      <c r="BN498" s="78">
        <f t="shared" si="75"/>
        <v>11.26</v>
      </c>
      <c r="BO498" s="78">
        <f t="shared" si="76"/>
        <v>1.9230769230769232E-2</v>
      </c>
      <c r="BP498" s="78">
        <f t="shared" si="77"/>
        <v>1.9230769230769232E-2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8">
        <v>4680115882072</v>
      </c>
      <c r="E499" s="688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90"/>
      <c r="R499" s="690"/>
      <c r="S499" s="690"/>
      <c r="T499" s="691"/>
      <c r="U499" s="39" t="s">
        <v>46</v>
      </c>
      <c r="V499" s="39" t="s">
        <v>46</v>
      </c>
      <c r="W499" s="40" t="s">
        <v>0</v>
      </c>
      <c r="X499" s="58"/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customHeight="1" x14ac:dyDescent="0.25">
      <c r="A500" s="63" t="s">
        <v>804</v>
      </c>
      <c r="B500" s="63" t="s">
        <v>805</v>
      </c>
      <c r="C500" s="36">
        <v>4301031352</v>
      </c>
      <c r="D500" s="688">
        <v>4680115882102</v>
      </c>
      <c r="E500" s="688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5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90"/>
      <c r="R500" s="690"/>
      <c r="S500" s="690"/>
      <c r="T500" s="691"/>
      <c r="U500" s="39" t="s">
        <v>46</v>
      </c>
      <c r="V500" s="39" t="s">
        <v>46</v>
      </c>
      <c r="W500" s="40" t="s">
        <v>0</v>
      </c>
      <c r="X500" s="58">
        <v>3.6</v>
      </c>
      <c r="Y500" s="55">
        <f t="shared" si="73"/>
        <v>3.6</v>
      </c>
      <c r="Z500" s="41">
        <f>IFERROR(IF(Y500=0,"",ROUNDUP(Y500/H500,0)*0.00902),"")</f>
        <v>9.0200000000000002E-3</v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3.79</v>
      </c>
      <c r="BN500" s="78">
        <f t="shared" si="75"/>
        <v>3.79</v>
      </c>
      <c r="BO500" s="78">
        <f t="shared" si="76"/>
        <v>7.575757575757576E-3</v>
      </c>
      <c r="BP500" s="78">
        <f t="shared" si="77"/>
        <v>7.575757575757576E-3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8">
        <v>4680115882102</v>
      </c>
      <c r="E501" s="688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90"/>
      <c r="R501" s="690"/>
      <c r="S501" s="690"/>
      <c r="T501" s="691"/>
      <c r="U501" s="39" t="s">
        <v>46</v>
      </c>
      <c r="V501" s="39" t="s">
        <v>46</v>
      </c>
      <c r="W501" s="40" t="s">
        <v>0</v>
      </c>
      <c r="X501" s="58">
        <v>4.8</v>
      </c>
      <c r="Y501" s="55">
        <f t="shared" si="73"/>
        <v>4.8</v>
      </c>
      <c r="Z501" s="41">
        <f>IFERROR(IF(Y501=0,"",ROUNDUP(Y501/H501,0)*0.00902),"")</f>
        <v>9.0200000000000002E-3</v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6.67</v>
      </c>
      <c r="BN501" s="78">
        <f t="shared" si="75"/>
        <v>6.67</v>
      </c>
      <c r="BO501" s="78">
        <f t="shared" si="76"/>
        <v>7.575757575757576E-3</v>
      </c>
      <c r="BP501" s="78">
        <f t="shared" si="77"/>
        <v>7.575757575757576E-3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8">
        <v>4680115882096</v>
      </c>
      <c r="E502" s="688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90"/>
      <c r="R502" s="690"/>
      <c r="S502" s="690"/>
      <c r="T502" s="691"/>
      <c r="U502" s="39" t="s">
        <v>46</v>
      </c>
      <c r="V502" s="39" t="s">
        <v>46</v>
      </c>
      <c r="W502" s="40" t="s">
        <v>0</v>
      </c>
      <c r="X502" s="58">
        <v>4.8</v>
      </c>
      <c r="Y502" s="55">
        <f t="shared" si="73"/>
        <v>4.8</v>
      </c>
      <c r="Z502" s="41">
        <f>IFERROR(IF(Y502=0,"",ROUNDUP(Y502/H502,0)*0.00902),"")</f>
        <v>9.0200000000000002E-3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6.67</v>
      </c>
      <c r="BN502" s="78">
        <f t="shared" si="75"/>
        <v>6.67</v>
      </c>
      <c r="BO502" s="78">
        <f t="shared" si="76"/>
        <v>7.575757575757576E-3</v>
      </c>
      <c r="BP502" s="78">
        <f t="shared" si="77"/>
        <v>7.575757575757576E-3</v>
      </c>
    </row>
    <row r="503" spans="1:68" x14ac:dyDescent="0.2">
      <c r="A503" s="696"/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7"/>
      <c r="P503" s="693" t="s">
        <v>40</v>
      </c>
      <c r="Q503" s="694"/>
      <c r="R503" s="694"/>
      <c r="S503" s="694"/>
      <c r="T503" s="694"/>
      <c r="U503" s="694"/>
      <c r="V503" s="695"/>
      <c r="W503" s="42" t="s">
        <v>39</v>
      </c>
      <c r="X503" s="43">
        <f>IFERROR(X496/H496,"0")+IFERROR(X497/H497,"0")+IFERROR(X498/H498,"0")+IFERROR(X499/H499,"0")+IFERROR(X500/H500,"0")+IFERROR(X501/H501,"0")+IFERROR(X502/H502,"0")</f>
        <v>9</v>
      </c>
      <c r="Y503" s="43">
        <f>IFERROR(Y496/H496,"0")+IFERROR(Y497/H497,"0")+IFERROR(Y498/H498,"0")+IFERROR(Y499/H499,"0")+IFERROR(Y500/H500,"0")+IFERROR(Y501/H501,"0")+IFERROR(Y502/H502,"0")</f>
        <v>9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9.8820000000000005E-2</v>
      </c>
      <c r="AA503" s="67"/>
      <c r="AB503" s="67"/>
      <c r="AC503" s="67"/>
    </row>
    <row r="504" spans="1:68" x14ac:dyDescent="0.2">
      <c r="A504" s="696"/>
      <c r="B504" s="696"/>
      <c r="C504" s="696"/>
      <c r="D504" s="696"/>
      <c r="E504" s="696"/>
      <c r="F504" s="696"/>
      <c r="G504" s="696"/>
      <c r="H504" s="696"/>
      <c r="I504" s="696"/>
      <c r="J504" s="696"/>
      <c r="K504" s="696"/>
      <c r="L504" s="696"/>
      <c r="M504" s="696"/>
      <c r="N504" s="696"/>
      <c r="O504" s="697"/>
      <c r="P504" s="693" t="s">
        <v>40</v>
      </c>
      <c r="Q504" s="694"/>
      <c r="R504" s="694"/>
      <c r="S504" s="694"/>
      <c r="T504" s="694"/>
      <c r="U504" s="694"/>
      <c r="V504" s="695"/>
      <c r="W504" s="42" t="s">
        <v>0</v>
      </c>
      <c r="X504" s="43">
        <f>IFERROR(SUM(X496:X502),"0")</f>
        <v>44.879999999999995</v>
      </c>
      <c r="Y504" s="43">
        <f>IFERROR(SUM(Y496:Y502),"0")</f>
        <v>44.879999999999995</v>
      </c>
      <c r="Z504" s="42"/>
      <c r="AA504" s="67"/>
      <c r="AB504" s="67"/>
      <c r="AC504" s="67"/>
    </row>
    <row r="505" spans="1:68" ht="27.75" hidden="1" customHeight="1" x14ac:dyDescent="0.2">
      <c r="A505" s="685" t="s">
        <v>809</v>
      </c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5"/>
      <c r="P505" s="685"/>
      <c r="Q505" s="685"/>
      <c r="R505" s="685"/>
      <c r="S505" s="685"/>
      <c r="T505" s="685"/>
      <c r="U505" s="685"/>
      <c r="V505" s="685"/>
      <c r="W505" s="685"/>
      <c r="X505" s="685"/>
      <c r="Y505" s="685"/>
      <c r="Z505" s="685"/>
      <c r="AA505" s="54"/>
      <c r="AB505" s="54"/>
      <c r="AC505" s="54"/>
    </row>
    <row r="506" spans="1:68" ht="16.5" hidden="1" customHeight="1" x14ac:dyDescent="0.25">
      <c r="A506" s="686" t="s">
        <v>809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65"/>
      <c r="AB506" s="65"/>
      <c r="AC506" s="79"/>
    </row>
    <row r="507" spans="1:68" ht="14.25" hidden="1" customHeight="1" x14ac:dyDescent="0.25">
      <c r="A507" s="687" t="s">
        <v>129</v>
      </c>
      <c r="B507" s="687"/>
      <c r="C507" s="687"/>
      <c r="D507" s="687"/>
      <c r="E507" s="687"/>
      <c r="F507" s="687"/>
      <c r="G507" s="687"/>
      <c r="H507" s="687"/>
      <c r="I507" s="687"/>
      <c r="J507" s="687"/>
      <c r="K507" s="687"/>
      <c r="L507" s="687"/>
      <c r="M507" s="687"/>
      <c r="N507" s="687"/>
      <c r="O507" s="687"/>
      <c r="P507" s="687"/>
      <c r="Q507" s="687"/>
      <c r="R507" s="687"/>
      <c r="S507" s="687"/>
      <c r="T507" s="687"/>
      <c r="U507" s="687"/>
      <c r="V507" s="687"/>
      <c r="W507" s="687"/>
      <c r="X507" s="687"/>
      <c r="Y507" s="687"/>
      <c r="Z507" s="687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8">
        <v>4640242180564</v>
      </c>
      <c r="E508" s="688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90"/>
      <c r="R508" s="690"/>
      <c r="S508" s="690"/>
      <c r="T508" s="691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6"/>
      <c r="B509" s="696"/>
      <c r="C509" s="696"/>
      <c r="D509" s="696"/>
      <c r="E509" s="696"/>
      <c r="F509" s="696"/>
      <c r="G509" s="696"/>
      <c r="H509" s="696"/>
      <c r="I509" s="696"/>
      <c r="J509" s="696"/>
      <c r="K509" s="696"/>
      <c r="L509" s="696"/>
      <c r="M509" s="696"/>
      <c r="N509" s="696"/>
      <c r="O509" s="697"/>
      <c r="P509" s="693" t="s">
        <v>40</v>
      </c>
      <c r="Q509" s="694"/>
      <c r="R509" s="694"/>
      <c r="S509" s="694"/>
      <c r="T509" s="694"/>
      <c r="U509" s="694"/>
      <c r="V509" s="695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6"/>
      <c r="B510" s="696"/>
      <c r="C510" s="696"/>
      <c r="D510" s="696"/>
      <c r="E510" s="696"/>
      <c r="F510" s="696"/>
      <c r="G510" s="696"/>
      <c r="H510" s="696"/>
      <c r="I510" s="696"/>
      <c r="J510" s="696"/>
      <c r="K510" s="696"/>
      <c r="L510" s="696"/>
      <c r="M510" s="696"/>
      <c r="N510" s="696"/>
      <c r="O510" s="697"/>
      <c r="P510" s="693" t="s">
        <v>40</v>
      </c>
      <c r="Q510" s="694"/>
      <c r="R510" s="694"/>
      <c r="S510" s="694"/>
      <c r="T510" s="694"/>
      <c r="U510" s="694"/>
      <c r="V510" s="695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7" t="s">
        <v>166</v>
      </c>
      <c r="B511" s="687"/>
      <c r="C511" s="687"/>
      <c r="D511" s="687"/>
      <c r="E511" s="687"/>
      <c r="F511" s="687"/>
      <c r="G511" s="687"/>
      <c r="H511" s="687"/>
      <c r="I511" s="687"/>
      <c r="J511" s="687"/>
      <c r="K511" s="687"/>
      <c r="L511" s="687"/>
      <c r="M511" s="687"/>
      <c r="N511" s="687"/>
      <c r="O511" s="687"/>
      <c r="P511" s="687"/>
      <c r="Q511" s="687"/>
      <c r="R511" s="687"/>
      <c r="S511" s="687"/>
      <c r="T511" s="687"/>
      <c r="U511" s="687"/>
      <c r="V511" s="687"/>
      <c r="W511" s="687"/>
      <c r="X511" s="687"/>
      <c r="Y511" s="687"/>
      <c r="Z511" s="687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8">
        <v>4640242180519</v>
      </c>
      <c r="E512" s="688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90"/>
      <c r="R512" s="690"/>
      <c r="S512" s="690"/>
      <c r="T512" s="691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6"/>
      <c r="B513" s="696"/>
      <c r="C513" s="696"/>
      <c r="D513" s="696"/>
      <c r="E513" s="696"/>
      <c r="F513" s="696"/>
      <c r="G513" s="696"/>
      <c r="H513" s="696"/>
      <c r="I513" s="696"/>
      <c r="J513" s="696"/>
      <c r="K513" s="696"/>
      <c r="L513" s="696"/>
      <c r="M513" s="696"/>
      <c r="N513" s="696"/>
      <c r="O513" s="697"/>
      <c r="P513" s="693" t="s">
        <v>40</v>
      </c>
      <c r="Q513" s="694"/>
      <c r="R513" s="694"/>
      <c r="S513" s="694"/>
      <c r="T513" s="694"/>
      <c r="U513" s="694"/>
      <c r="V513" s="695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6"/>
      <c r="B514" s="696"/>
      <c r="C514" s="696"/>
      <c r="D514" s="696"/>
      <c r="E514" s="696"/>
      <c r="F514" s="696"/>
      <c r="G514" s="696"/>
      <c r="H514" s="696"/>
      <c r="I514" s="696"/>
      <c r="J514" s="696"/>
      <c r="K514" s="696"/>
      <c r="L514" s="696"/>
      <c r="M514" s="696"/>
      <c r="N514" s="696"/>
      <c r="O514" s="697"/>
      <c r="P514" s="693" t="s">
        <v>40</v>
      </c>
      <c r="Q514" s="694"/>
      <c r="R514" s="694"/>
      <c r="S514" s="694"/>
      <c r="T514" s="694"/>
      <c r="U514" s="694"/>
      <c r="V514" s="695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7" t="s">
        <v>77</v>
      </c>
      <c r="B515" s="687"/>
      <c r="C515" s="687"/>
      <c r="D515" s="687"/>
      <c r="E515" s="687"/>
      <c r="F515" s="687"/>
      <c r="G515" s="687"/>
      <c r="H515" s="687"/>
      <c r="I515" s="687"/>
      <c r="J515" s="687"/>
      <c r="K515" s="687"/>
      <c r="L515" s="687"/>
      <c r="M515" s="687"/>
      <c r="N515" s="687"/>
      <c r="O515" s="687"/>
      <c r="P515" s="687"/>
      <c r="Q515" s="687"/>
      <c r="R515" s="687"/>
      <c r="S515" s="687"/>
      <c r="T515" s="687"/>
      <c r="U515" s="687"/>
      <c r="V515" s="687"/>
      <c r="W515" s="687"/>
      <c r="X515" s="687"/>
      <c r="Y515" s="687"/>
      <c r="Z515" s="687"/>
      <c r="AA515" s="66"/>
      <c r="AB515" s="66"/>
      <c r="AC515" s="80"/>
    </row>
    <row r="516" spans="1:68" ht="27" customHeight="1" x14ac:dyDescent="0.25">
      <c r="A516" s="63" t="s">
        <v>816</v>
      </c>
      <c r="B516" s="63" t="s">
        <v>817</v>
      </c>
      <c r="C516" s="36">
        <v>4301031467</v>
      </c>
      <c r="D516" s="688">
        <v>4640242180595</v>
      </c>
      <c r="E516" s="688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90"/>
      <c r="R516" s="690"/>
      <c r="S516" s="690"/>
      <c r="T516" s="691"/>
      <c r="U516" s="39" t="s">
        <v>46</v>
      </c>
      <c r="V516" s="39" t="s">
        <v>46</v>
      </c>
      <c r="W516" s="40" t="s">
        <v>0</v>
      </c>
      <c r="X516" s="58">
        <v>28.8</v>
      </c>
      <c r="Y516" s="55">
        <f>IFERROR(IF(X516="",0,CEILING((X516/$H516),1)*$H516),"")</f>
        <v>28.799999999999997</v>
      </c>
      <c r="Z516" s="41">
        <f>IFERROR(IF(Y516=0,"",ROUNDUP(Y516/H516,0)*0.00902),"")</f>
        <v>5.4120000000000001E-2</v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30.3</v>
      </c>
      <c r="BN516" s="78">
        <f>IFERROR(Y516*I516/H516,"0")</f>
        <v>30.299999999999994</v>
      </c>
      <c r="BO516" s="78">
        <f>IFERROR(1/J516*(X516/H516),"0")</f>
        <v>4.5454545454545456E-2</v>
      </c>
      <c r="BP516" s="78">
        <f>IFERROR(1/J516*(Y516/H516),"0")</f>
        <v>4.5454545454545456E-2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8">
        <v>4640242180595</v>
      </c>
      <c r="E517" s="688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90"/>
      <c r="R517" s="690"/>
      <c r="S517" s="690"/>
      <c r="T517" s="691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96"/>
      <c r="B518" s="696"/>
      <c r="C518" s="696"/>
      <c r="D518" s="696"/>
      <c r="E518" s="696"/>
      <c r="F518" s="696"/>
      <c r="G518" s="696"/>
      <c r="H518" s="696"/>
      <c r="I518" s="696"/>
      <c r="J518" s="696"/>
      <c r="K518" s="696"/>
      <c r="L518" s="696"/>
      <c r="M518" s="696"/>
      <c r="N518" s="696"/>
      <c r="O518" s="697"/>
      <c r="P518" s="693" t="s">
        <v>40</v>
      </c>
      <c r="Q518" s="694"/>
      <c r="R518" s="694"/>
      <c r="S518" s="694"/>
      <c r="T518" s="694"/>
      <c r="U518" s="694"/>
      <c r="V518" s="695"/>
      <c r="W518" s="42" t="s">
        <v>39</v>
      </c>
      <c r="X518" s="43">
        <f>IFERROR(X516/H516,"0")+IFERROR(X517/H517,"0")</f>
        <v>6</v>
      </c>
      <c r="Y518" s="43">
        <f>IFERROR(Y516/H516,"0")+IFERROR(Y517/H517,"0")</f>
        <v>6</v>
      </c>
      <c r="Z518" s="43">
        <f>IFERROR(IF(Z516="",0,Z516),"0")+IFERROR(IF(Z517="",0,Z517),"0")</f>
        <v>5.4120000000000001E-2</v>
      </c>
      <c r="AA518" s="67"/>
      <c r="AB518" s="67"/>
      <c r="AC518" s="67"/>
    </row>
    <row r="519" spans="1:68" x14ac:dyDescent="0.2">
      <c r="A519" s="696"/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7"/>
      <c r="P519" s="693" t="s">
        <v>40</v>
      </c>
      <c r="Q519" s="694"/>
      <c r="R519" s="694"/>
      <c r="S519" s="694"/>
      <c r="T519" s="694"/>
      <c r="U519" s="694"/>
      <c r="V519" s="695"/>
      <c r="W519" s="42" t="s">
        <v>0</v>
      </c>
      <c r="X519" s="43">
        <f>IFERROR(SUM(X516:X517),"0")</f>
        <v>28.8</v>
      </c>
      <c r="Y519" s="43">
        <f>IFERROR(SUM(Y516:Y517),"0")</f>
        <v>28.799999999999997</v>
      </c>
      <c r="Z519" s="42"/>
      <c r="AA519" s="67"/>
      <c r="AB519" s="67"/>
      <c r="AC519" s="67"/>
    </row>
    <row r="520" spans="1:68" ht="14.25" hidden="1" customHeight="1" x14ac:dyDescent="0.25">
      <c r="A520" s="687" t="s">
        <v>86</v>
      </c>
      <c r="B520" s="687"/>
      <c r="C520" s="687"/>
      <c r="D520" s="687"/>
      <c r="E520" s="687"/>
      <c r="F520" s="687"/>
      <c r="G520" s="687"/>
      <c r="H520" s="687"/>
      <c r="I520" s="687"/>
      <c r="J520" s="687"/>
      <c r="K520" s="687"/>
      <c r="L520" s="687"/>
      <c r="M520" s="687"/>
      <c r="N520" s="687"/>
      <c r="O520" s="687"/>
      <c r="P520" s="687"/>
      <c r="Q520" s="687"/>
      <c r="R520" s="687"/>
      <c r="S520" s="687"/>
      <c r="T520" s="687"/>
      <c r="U520" s="687"/>
      <c r="V520" s="687"/>
      <c r="W520" s="687"/>
      <c r="X520" s="687"/>
      <c r="Y520" s="687"/>
      <c r="Z520" s="687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8">
        <v>4640242180533</v>
      </c>
      <c r="E521" s="688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90"/>
      <c r="R521" s="690"/>
      <c r="S521" s="690"/>
      <c r="T521" s="691"/>
      <c r="U521" s="39" t="s">
        <v>46</v>
      </c>
      <c r="V521" s="39" t="s">
        <v>46</v>
      </c>
      <c r="W521" s="40" t="s">
        <v>0</v>
      </c>
      <c r="X521" s="58">
        <v>36</v>
      </c>
      <c r="Y521" s="55">
        <f>IFERROR(IF(X521="",0,CEILING((X521/$H521),1)*$H521),"")</f>
        <v>36</v>
      </c>
      <c r="Z521" s="41">
        <f>IFERROR(IF(Y521=0,"",ROUNDUP(Y521/H521,0)*0.01898),"")</f>
        <v>7.5920000000000001E-2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37.975999999999999</v>
      </c>
      <c r="BN521" s="78">
        <f>IFERROR(Y521*I521/H521,"0")</f>
        <v>37.975999999999999</v>
      </c>
      <c r="BO521" s="78">
        <f>IFERROR(1/J521*(X521/H521),"0")</f>
        <v>6.25E-2</v>
      </c>
      <c r="BP521" s="78">
        <f>IFERROR(1/J521*(Y521/H521),"0")</f>
        <v>6.25E-2</v>
      </c>
    </row>
    <row r="522" spans="1:68" x14ac:dyDescent="0.2">
      <c r="A522" s="696"/>
      <c r="B522" s="696"/>
      <c r="C522" s="696"/>
      <c r="D522" s="696"/>
      <c r="E522" s="696"/>
      <c r="F522" s="696"/>
      <c r="G522" s="696"/>
      <c r="H522" s="696"/>
      <c r="I522" s="696"/>
      <c r="J522" s="696"/>
      <c r="K522" s="696"/>
      <c r="L522" s="696"/>
      <c r="M522" s="696"/>
      <c r="N522" s="696"/>
      <c r="O522" s="697"/>
      <c r="P522" s="693" t="s">
        <v>40</v>
      </c>
      <c r="Q522" s="694"/>
      <c r="R522" s="694"/>
      <c r="S522" s="694"/>
      <c r="T522" s="694"/>
      <c r="U522" s="694"/>
      <c r="V522" s="695"/>
      <c r="W522" s="42" t="s">
        <v>39</v>
      </c>
      <c r="X522" s="43">
        <f>IFERROR(X521/H521,"0")</f>
        <v>4</v>
      </c>
      <c r="Y522" s="43">
        <f>IFERROR(Y521/H521,"0")</f>
        <v>4</v>
      </c>
      <c r="Z522" s="43">
        <f>IFERROR(IF(Z521="",0,Z521),"0")</f>
        <v>7.5920000000000001E-2</v>
      </c>
      <c r="AA522" s="67"/>
      <c r="AB522" s="67"/>
      <c r="AC522" s="67"/>
    </row>
    <row r="523" spans="1:68" x14ac:dyDescent="0.2">
      <c r="A523" s="696"/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7"/>
      <c r="P523" s="693" t="s">
        <v>40</v>
      </c>
      <c r="Q523" s="694"/>
      <c r="R523" s="694"/>
      <c r="S523" s="694"/>
      <c r="T523" s="694"/>
      <c r="U523" s="694"/>
      <c r="V523" s="695"/>
      <c r="W523" s="42" t="s">
        <v>0</v>
      </c>
      <c r="X523" s="43">
        <f>IFERROR(SUM(X521:X521),"0")</f>
        <v>36</v>
      </c>
      <c r="Y523" s="43">
        <f>IFERROR(SUM(Y521:Y521),"0")</f>
        <v>36</v>
      </c>
      <c r="Z523" s="42"/>
      <c r="AA523" s="67"/>
      <c r="AB523" s="67"/>
      <c r="AC523" s="67"/>
    </row>
    <row r="524" spans="1:68" ht="14.25" hidden="1" customHeight="1" x14ac:dyDescent="0.25">
      <c r="A524" s="687" t="s">
        <v>183</v>
      </c>
      <c r="B524" s="687"/>
      <c r="C524" s="687"/>
      <c r="D524" s="687"/>
      <c r="E524" s="687"/>
      <c r="F524" s="687"/>
      <c r="G524" s="687"/>
      <c r="H524" s="687"/>
      <c r="I524" s="687"/>
      <c r="J524" s="687"/>
      <c r="K524" s="687"/>
      <c r="L524" s="687"/>
      <c r="M524" s="687"/>
      <c r="N524" s="687"/>
      <c r="O524" s="687"/>
      <c r="P524" s="687"/>
      <c r="Q524" s="687"/>
      <c r="R524" s="687"/>
      <c r="S524" s="687"/>
      <c r="T524" s="687"/>
      <c r="U524" s="687"/>
      <c r="V524" s="687"/>
      <c r="W524" s="687"/>
      <c r="X524" s="687"/>
      <c r="Y524" s="687"/>
      <c r="Z524" s="687"/>
      <c r="AA524" s="66"/>
      <c r="AB524" s="66"/>
      <c r="AC524" s="80"/>
    </row>
    <row r="525" spans="1:68" ht="27" customHeight="1" x14ac:dyDescent="0.25">
      <c r="A525" s="63" t="s">
        <v>824</v>
      </c>
      <c r="B525" s="63" t="s">
        <v>825</v>
      </c>
      <c r="C525" s="36">
        <v>4301060535</v>
      </c>
      <c r="D525" s="688">
        <v>4640242180120</v>
      </c>
      <c r="E525" s="688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8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90"/>
      <c r="R525" s="690"/>
      <c r="S525" s="690"/>
      <c r="T525" s="691"/>
      <c r="U525" s="39" t="s">
        <v>46</v>
      </c>
      <c r="V525" s="39" t="s">
        <v>46</v>
      </c>
      <c r="W525" s="40" t="s">
        <v>0</v>
      </c>
      <c r="X525" s="58">
        <v>9</v>
      </c>
      <c r="Y525" s="55">
        <f>IFERROR(IF(X525="",0,CEILING((X525/$H525),1)*$H525),"")</f>
        <v>9</v>
      </c>
      <c r="Z525" s="41">
        <f>IFERROR(IF(Y525=0,"",ROUNDUP(Y525/H525,0)*0.01898),"")</f>
        <v>1.898E-2</v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9.41</v>
      </c>
      <c r="BN525" s="78">
        <f>IFERROR(Y525*I525/H525,"0")</f>
        <v>9.41</v>
      </c>
      <c r="BO525" s="78">
        <f>IFERROR(1/J525*(X525/H525),"0")</f>
        <v>1.5625E-2</v>
      </c>
      <c r="BP525" s="78">
        <f>IFERROR(1/J525*(Y525/H525),"0")</f>
        <v>1.5625E-2</v>
      </c>
    </row>
    <row r="526" spans="1:68" ht="27" customHeight="1" x14ac:dyDescent="0.25">
      <c r="A526" s="63" t="s">
        <v>827</v>
      </c>
      <c r="B526" s="63" t="s">
        <v>828</v>
      </c>
      <c r="C526" s="36">
        <v>4301060536</v>
      </c>
      <c r="D526" s="688">
        <v>4640242180137</v>
      </c>
      <c r="E526" s="688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90"/>
      <c r="R526" s="690"/>
      <c r="S526" s="690"/>
      <c r="T526" s="691"/>
      <c r="U526" s="39" t="s">
        <v>46</v>
      </c>
      <c r="V526" s="39" t="s">
        <v>46</v>
      </c>
      <c r="W526" s="40" t="s">
        <v>0</v>
      </c>
      <c r="X526" s="58">
        <v>9</v>
      </c>
      <c r="Y526" s="55">
        <f>IFERROR(IF(X526="",0,CEILING((X526/$H526),1)*$H526),"")</f>
        <v>9</v>
      </c>
      <c r="Z526" s="41">
        <f>IFERROR(IF(Y526=0,"",ROUNDUP(Y526/H526,0)*0.01898),"")</f>
        <v>1.898E-2</v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9.41</v>
      </c>
      <c r="BN526" s="78">
        <f>IFERROR(Y526*I526/H526,"0")</f>
        <v>9.41</v>
      </c>
      <c r="BO526" s="78">
        <f>IFERROR(1/J526*(X526/H526),"0")</f>
        <v>1.5625E-2</v>
      </c>
      <c r="BP526" s="78">
        <f>IFERROR(1/J526*(Y526/H526),"0")</f>
        <v>1.5625E-2</v>
      </c>
    </row>
    <row r="527" spans="1:68" x14ac:dyDescent="0.2">
      <c r="A527" s="696"/>
      <c r="B527" s="696"/>
      <c r="C527" s="696"/>
      <c r="D527" s="696"/>
      <c r="E527" s="696"/>
      <c r="F527" s="696"/>
      <c r="G527" s="696"/>
      <c r="H527" s="696"/>
      <c r="I527" s="696"/>
      <c r="J527" s="696"/>
      <c r="K527" s="696"/>
      <c r="L527" s="696"/>
      <c r="M527" s="696"/>
      <c r="N527" s="696"/>
      <c r="O527" s="697"/>
      <c r="P527" s="693" t="s">
        <v>40</v>
      </c>
      <c r="Q527" s="694"/>
      <c r="R527" s="694"/>
      <c r="S527" s="694"/>
      <c r="T527" s="694"/>
      <c r="U527" s="694"/>
      <c r="V527" s="695"/>
      <c r="W527" s="42" t="s">
        <v>39</v>
      </c>
      <c r="X527" s="43">
        <f>IFERROR(X525/H525,"0")+IFERROR(X526/H526,"0")</f>
        <v>2</v>
      </c>
      <c r="Y527" s="43">
        <f>IFERROR(Y525/H525,"0")+IFERROR(Y526/H526,"0")</f>
        <v>2</v>
      </c>
      <c r="Z527" s="43">
        <f>IFERROR(IF(Z525="",0,Z525),"0")+IFERROR(IF(Z526="",0,Z526),"0")</f>
        <v>3.7960000000000001E-2</v>
      </c>
      <c r="AA527" s="67"/>
      <c r="AB527" s="67"/>
      <c r="AC527" s="67"/>
    </row>
    <row r="528" spans="1:68" x14ac:dyDescent="0.2">
      <c r="A528" s="696"/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7"/>
      <c r="P528" s="693" t="s">
        <v>40</v>
      </c>
      <c r="Q528" s="694"/>
      <c r="R528" s="694"/>
      <c r="S528" s="694"/>
      <c r="T528" s="694"/>
      <c r="U528" s="694"/>
      <c r="V528" s="695"/>
      <c r="W528" s="42" t="s">
        <v>0</v>
      </c>
      <c r="X528" s="43">
        <f>IFERROR(SUM(X525:X526),"0")</f>
        <v>18</v>
      </c>
      <c r="Y528" s="43">
        <f>IFERROR(SUM(Y525:Y526),"0")</f>
        <v>18</v>
      </c>
      <c r="Z528" s="42"/>
      <c r="AA528" s="67"/>
      <c r="AB528" s="67"/>
      <c r="AC528" s="67"/>
    </row>
    <row r="529" spans="1:68" ht="16.5" hidden="1" customHeight="1" x14ac:dyDescent="0.25">
      <c r="A529" s="686" t="s">
        <v>830</v>
      </c>
      <c r="B529" s="686"/>
      <c r="C529" s="686"/>
      <c r="D529" s="686"/>
      <c r="E529" s="686"/>
      <c r="F529" s="686"/>
      <c r="G529" s="686"/>
      <c r="H529" s="686"/>
      <c r="I529" s="686"/>
      <c r="J529" s="686"/>
      <c r="K529" s="686"/>
      <c r="L529" s="686"/>
      <c r="M529" s="686"/>
      <c r="N529" s="686"/>
      <c r="O529" s="686"/>
      <c r="P529" s="686"/>
      <c r="Q529" s="686"/>
      <c r="R529" s="686"/>
      <c r="S529" s="686"/>
      <c r="T529" s="686"/>
      <c r="U529" s="686"/>
      <c r="V529" s="686"/>
      <c r="W529" s="686"/>
      <c r="X529" s="686"/>
      <c r="Y529" s="686"/>
      <c r="Z529" s="686"/>
      <c r="AA529" s="65"/>
      <c r="AB529" s="65"/>
      <c r="AC529" s="79"/>
    </row>
    <row r="530" spans="1:68" ht="14.25" hidden="1" customHeight="1" x14ac:dyDescent="0.25">
      <c r="A530" s="687" t="s">
        <v>166</v>
      </c>
      <c r="B530" s="687"/>
      <c r="C530" s="687"/>
      <c r="D530" s="687"/>
      <c r="E530" s="687"/>
      <c r="F530" s="687"/>
      <c r="G530" s="687"/>
      <c r="H530" s="687"/>
      <c r="I530" s="687"/>
      <c r="J530" s="687"/>
      <c r="K530" s="687"/>
      <c r="L530" s="687"/>
      <c r="M530" s="687"/>
      <c r="N530" s="687"/>
      <c r="O530" s="687"/>
      <c r="P530" s="687"/>
      <c r="Q530" s="687"/>
      <c r="R530" s="687"/>
      <c r="S530" s="687"/>
      <c r="T530" s="687"/>
      <c r="U530" s="687"/>
      <c r="V530" s="687"/>
      <c r="W530" s="687"/>
      <c r="X530" s="687"/>
      <c r="Y530" s="687"/>
      <c r="Z530" s="687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8">
        <v>4640242180090</v>
      </c>
      <c r="E531" s="688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6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90"/>
      <c r="R531" s="690"/>
      <c r="S531" s="690"/>
      <c r="T531" s="691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6"/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7"/>
      <c r="P532" s="693" t="s">
        <v>40</v>
      </c>
      <c r="Q532" s="694"/>
      <c r="R532" s="694"/>
      <c r="S532" s="694"/>
      <c r="T532" s="694"/>
      <c r="U532" s="694"/>
      <c r="V532" s="695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6"/>
      <c r="B533" s="696"/>
      <c r="C533" s="696"/>
      <c r="D533" s="696"/>
      <c r="E533" s="696"/>
      <c r="F533" s="696"/>
      <c r="G533" s="696"/>
      <c r="H533" s="696"/>
      <c r="I533" s="696"/>
      <c r="J533" s="696"/>
      <c r="K533" s="696"/>
      <c r="L533" s="696"/>
      <c r="M533" s="696"/>
      <c r="N533" s="696"/>
      <c r="O533" s="697"/>
      <c r="P533" s="693" t="s">
        <v>40</v>
      </c>
      <c r="Q533" s="694"/>
      <c r="R533" s="694"/>
      <c r="S533" s="694"/>
      <c r="T533" s="694"/>
      <c r="U533" s="694"/>
      <c r="V533" s="695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6"/>
      <c r="B534" s="696"/>
      <c r="C534" s="696"/>
      <c r="D534" s="696"/>
      <c r="E534" s="696"/>
      <c r="F534" s="696"/>
      <c r="G534" s="696"/>
      <c r="H534" s="696"/>
      <c r="I534" s="696"/>
      <c r="J534" s="696"/>
      <c r="K534" s="696"/>
      <c r="L534" s="696"/>
      <c r="M534" s="696"/>
      <c r="N534" s="696"/>
      <c r="O534" s="964"/>
      <c r="P534" s="961" t="s">
        <v>33</v>
      </c>
      <c r="Q534" s="962"/>
      <c r="R534" s="962"/>
      <c r="S534" s="962"/>
      <c r="T534" s="962"/>
      <c r="U534" s="962"/>
      <c r="V534" s="963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7852.7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7856.2</v>
      </c>
      <c r="Z534" s="42"/>
      <c r="AA534" s="67"/>
      <c r="AB534" s="67"/>
      <c r="AC534" s="67"/>
    </row>
    <row r="535" spans="1:68" x14ac:dyDescent="0.2">
      <c r="A535" s="696"/>
      <c r="B535" s="696"/>
      <c r="C535" s="696"/>
      <c r="D535" s="696"/>
      <c r="E535" s="696"/>
      <c r="F535" s="696"/>
      <c r="G535" s="696"/>
      <c r="H535" s="696"/>
      <c r="I535" s="696"/>
      <c r="J535" s="696"/>
      <c r="K535" s="696"/>
      <c r="L535" s="696"/>
      <c r="M535" s="696"/>
      <c r="N535" s="696"/>
      <c r="O535" s="964"/>
      <c r="P535" s="961" t="s">
        <v>34</v>
      </c>
      <c r="Q535" s="962"/>
      <c r="R535" s="962"/>
      <c r="S535" s="962"/>
      <c r="T535" s="962"/>
      <c r="U535" s="962"/>
      <c r="V535" s="963"/>
      <c r="W535" s="42" t="s">
        <v>0</v>
      </c>
      <c r="X535" s="43">
        <f>IFERROR(SUM(BM22:BM531),"0")</f>
        <v>8220.8300555555561</v>
      </c>
      <c r="Y535" s="43">
        <f>IFERROR(SUM(BN22:BN531),"0")</f>
        <v>8224.4630000000016</v>
      </c>
      <c r="Z535" s="42"/>
      <c r="AA535" s="67"/>
      <c r="AB535" s="67"/>
      <c r="AC535" s="67"/>
    </row>
    <row r="536" spans="1:68" x14ac:dyDescent="0.2">
      <c r="A536" s="696"/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964"/>
      <c r="P536" s="961" t="s">
        <v>35</v>
      </c>
      <c r="Q536" s="962"/>
      <c r="R536" s="962"/>
      <c r="S536" s="962"/>
      <c r="T536" s="962"/>
      <c r="U536" s="962"/>
      <c r="V536" s="963"/>
      <c r="W536" s="42" t="s">
        <v>20</v>
      </c>
      <c r="X536" s="44">
        <f>ROUNDUP(SUM(BO22:BO531),0)</f>
        <v>13</v>
      </c>
      <c r="Y536" s="44">
        <f>ROUNDUP(SUM(BP22:BP531),0)</f>
        <v>13</v>
      </c>
      <c r="Z536" s="42"/>
      <c r="AA536" s="67"/>
      <c r="AB536" s="67"/>
      <c r="AC536" s="67"/>
    </row>
    <row r="537" spans="1:68" x14ac:dyDescent="0.2">
      <c r="A537" s="696"/>
      <c r="B537" s="696"/>
      <c r="C537" s="696"/>
      <c r="D537" s="696"/>
      <c r="E537" s="696"/>
      <c r="F537" s="696"/>
      <c r="G537" s="696"/>
      <c r="H537" s="696"/>
      <c r="I537" s="696"/>
      <c r="J537" s="696"/>
      <c r="K537" s="696"/>
      <c r="L537" s="696"/>
      <c r="M537" s="696"/>
      <c r="N537" s="696"/>
      <c r="O537" s="964"/>
      <c r="P537" s="961" t="s">
        <v>36</v>
      </c>
      <c r="Q537" s="962"/>
      <c r="R537" s="962"/>
      <c r="S537" s="962"/>
      <c r="T537" s="962"/>
      <c r="U537" s="962"/>
      <c r="V537" s="963"/>
      <c r="W537" s="42" t="s">
        <v>0</v>
      </c>
      <c r="X537" s="43">
        <f>GrossWeightTotal+PalletQtyTotal*25</f>
        <v>8545.8300555555561</v>
      </c>
      <c r="Y537" s="43">
        <f>GrossWeightTotalR+PalletQtyTotalR*25</f>
        <v>8549.4630000000016</v>
      </c>
      <c r="Z537" s="42"/>
      <c r="AA537" s="67"/>
      <c r="AB537" s="67"/>
      <c r="AC537" s="67"/>
    </row>
    <row r="538" spans="1:68" x14ac:dyDescent="0.2">
      <c r="A538" s="696"/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964"/>
      <c r="P538" s="961" t="s">
        <v>37</v>
      </c>
      <c r="Q538" s="962"/>
      <c r="R538" s="962"/>
      <c r="S538" s="962"/>
      <c r="T538" s="962"/>
      <c r="U538" s="962"/>
      <c r="V538" s="963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988.46111111111111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989</v>
      </c>
      <c r="Z538" s="42"/>
      <c r="AA538" s="67"/>
      <c r="AB538" s="67"/>
      <c r="AC538" s="67"/>
    </row>
    <row r="539" spans="1:68" ht="14.25" hidden="1" x14ac:dyDescent="0.2">
      <c r="A539" s="696"/>
      <c r="B539" s="696"/>
      <c r="C539" s="696"/>
      <c r="D539" s="696"/>
      <c r="E539" s="696"/>
      <c r="F539" s="696"/>
      <c r="G539" s="696"/>
      <c r="H539" s="696"/>
      <c r="I539" s="696"/>
      <c r="J539" s="696"/>
      <c r="K539" s="696"/>
      <c r="L539" s="696"/>
      <c r="M539" s="696"/>
      <c r="N539" s="696"/>
      <c r="O539" s="964"/>
      <c r="P539" s="961" t="s">
        <v>38</v>
      </c>
      <c r="Q539" s="962"/>
      <c r="R539" s="962"/>
      <c r="S539" s="962"/>
      <c r="T539" s="962"/>
      <c r="U539" s="962"/>
      <c r="V539" s="963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14.942370000000002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7" t="s">
        <v>127</v>
      </c>
      <c r="E541" s="967" t="s">
        <v>127</v>
      </c>
      <c r="F541" s="967" t="s">
        <v>127</v>
      </c>
      <c r="G541" s="967" t="s">
        <v>127</v>
      </c>
      <c r="H541" s="967" t="s">
        <v>127</v>
      </c>
      <c r="I541" s="967" t="s">
        <v>127</v>
      </c>
      <c r="J541" s="967" t="s">
        <v>127</v>
      </c>
      <c r="K541" s="967" t="s">
        <v>336</v>
      </c>
      <c r="L541" s="967" t="s">
        <v>336</v>
      </c>
      <c r="M541" s="967" t="s">
        <v>336</v>
      </c>
      <c r="N541" s="968"/>
      <c r="O541" s="967" t="s">
        <v>336</v>
      </c>
      <c r="P541" s="967" t="s">
        <v>336</v>
      </c>
      <c r="Q541" s="967" t="s">
        <v>336</v>
      </c>
      <c r="R541" s="967" t="s">
        <v>336</v>
      </c>
      <c r="S541" s="967" t="s">
        <v>336</v>
      </c>
      <c r="T541" s="967" t="s">
        <v>336</v>
      </c>
      <c r="U541" s="967" t="s">
        <v>336</v>
      </c>
      <c r="V541" s="967" t="s">
        <v>666</v>
      </c>
      <c r="W541" s="967" t="s">
        <v>666</v>
      </c>
      <c r="X541" s="967" t="s">
        <v>726</v>
      </c>
      <c r="Y541" s="967" t="s">
        <v>726</v>
      </c>
      <c r="Z541" s="85" t="s">
        <v>762</v>
      </c>
      <c r="AA541" s="967" t="s">
        <v>809</v>
      </c>
      <c r="AB541" s="967" t="s">
        <v>809</v>
      </c>
      <c r="AC541" s="60"/>
      <c r="AF541" s="1"/>
    </row>
    <row r="542" spans="1:68" ht="14.25" customHeight="1" thickTop="1" x14ac:dyDescent="0.2">
      <c r="A542" s="965" t="s">
        <v>10</v>
      </c>
      <c r="B542" s="967" t="s">
        <v>76</v>
      </c>
      <c r="C542" s="967" t="s">
        <v>110</v>
      </c>
      <c r="D542" s="967" t="s">
        <v>128</v>
      </c>
      <c r="E542" s="967" t="s">
        <v>144</v>
      </c>
      <c r="F542" s="967" t="s">
        <v>190</v>
      </c>
      <c r="G542" s="967" t="s">
        <v>211</v>
      </c>
      <c r="H542" s="967" t="s">
        <v>253</v>
      </c>
      <c r="I542" s="967" t="s">
        <v>265</v>
      </c>
      <c r="J542" s="967" t="s">
        <v>127</v>
      </c>
      <c r="K542" s="967" t="s">
        <v>337</v>
      </c>
      <c r="L542" s="967" t="s">
        <v>358</v>
      </c>
      <c r="M542" s="967" t="s">
        <v>425</v>
      </c>
      <c r="N542" s="1"/>
      <c r="O542" s="967" t="s">
        <v>493</v>
      </c>
      <c r="P542" s="967" t="s">
        <v>526</v>
      </c>
      <c r="Q542" s="967" t="s">
        <v>542</v>
      </c>
      <c r="R542" s="967" t="s">
        <v>551</v>
      </c>
      <c r="S542" s="967" t="s">
        <v>572</v>
      </c>
      <c r="T542" s="967" t="s">
        <v>581</v>
      </c>
      <c r="U542" s="967" t="s">
        <v>656</v>
      </c>
      <c r="V542" s="967" t="s">
        <v>667</v>
      </c>
      <c r="W542" s="967" t="s">
        <v>710</v>
      </c>
      <c r="X542" s="967" t="s">
        <v>727</v>
      </c>
      <c r="Y542" s="967" t="s">
        <v>750</v>
      </c>
      <c r="Z542" s="967" t="s">
        <v>762</v>
      </c>
      <c r="AA542" s="967" t="s">
        <v>809</v>
      </c>
      <c r="AB542" s="967" t="s">
        <v>830</v>
      </c>
      <c r="AC542" s="60"/>
      <c r="AF542" s="1"/>
    </row>
    <row r="543" spans="1:68" ht="13.5" thickBot="1" x14ac:dyDescent="0.25">
      <c r="A543" s="966"/>
      <c r="B543" s="967"/>
      <c r="C543" s="967"/>
      <c r="D543" s="967"/>
      <c r="E543" s="967"/>
      <c r="F543" s="967"/>
      <c r="G543" s="967"/>
      <c r="H543" s="967"/>
      <c r="I543" s="967"/>
      <c r="J543" s="967"/>
      <c r="K543" s="967"/>
      <c r="L543" s="967"/>
      <c r="M543" s="967"/>
      <c r="N543" s="1"/>
      <c r="O543" s="967"/>
      <c r="P543" s="967"/>
      <c r="Q543" s="967"/>
      <c r="R543" s="967"/>
      <c r="S543" s="967"/>
      <c r="T543" s="967"/>
      <c r="U543" s="967"/>
      <c r="V543" s="967"/>
      <c r="W543" s="967"/>
      <c r="X543" s="967"/>
      <c r="Y543" s="967"/>
      <c r="Z543" s="967"/>
      <c r="AA543" s="967"/>
      <c r="AB543" s="967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13.520000000000001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182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343.5</v>
      </c>
      <c r="F544" s="52">
        <f>IFERROR(Y88*1,"0")+IFERROR(Y89*1,"0")+IFERROR(Y90*1,"0")+IFERROR(Y91*1,"0")+IFERROR(Y95*1,"0")+IFERROR(Y96*1,"0")+IFERROR(Y97*1,"0")+IFERROR(Y98*1,"0")</f>
        <v>217.98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159.29999999999998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7.92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183.82000000000005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184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173.7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318</v>
      </c>
      <c r="Q544" s="52">
        <f>IFERROR(Y325*1,"0")+IFERROR(Y326*1,"0")+IFERROR(Y327*1,"0")</f>
        <v>14.399999999999999</v>
      </c>
      <c r="R544" s="52">
        <f>IFERROR(Y332*1,"0")+IFERROR(Y333*1,"0")+IFERROR(Y334*1,"0")+IFERROR(Y335*1,"0")+IFERROR(Y336*1,"0")+IFERROR(Y340*1,"0")+IFERROR(Y341*1,"0")</f>
        <v>23.759999999999998</v>
      </c>
      <c r="S544" s="52">
        <f>IFERROR(Y346*1,"0")+IFERROR(Y347*1,"0")+IFERROR(Y348*1,"0")</f>
        <v>46.8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2879.5400000000004</v>
      </c>
      <c r="U544" s="52">
        <f>IFERROR(Y399*1,"0")+IFERROR(Y400*1,"0")+IFERROR(Y401*1,"0")</f>
        <v>77.399999999999991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2720</v>
      </c>
      <c r="W544" s="52">
        <f>IFERROR(Y434*1,"0")+IFERROR(Y435*1,"0")+IFERROR(Y439*1,"0")+IFERROR(Y443*1,"0")+IFERROR(Y444*1,"0")+IFERROR(Y445*1,"0")</f>
        <v>9</v>
      </c>
      <c r="X544" s="52">
        <f>IFERROR(Y451*1,"0")+IFERROR(Y452*1,"0")+IFERROR(Y453*1,"0")+IFERROR(Y454*1,"0")+IFERROR(Y455*1,"0")+IFERROR(Y456*1,"0")+IFERROR(Y460*1,"0")+IFERROR(Y461*1,"0")</f>
        <v>90.3</v>
      </c>
      <c r="Y544" s="52">
        <f>IFERROR(Y466*1,"0")+IFERROR(Y470*1,"0")+IFERROR(Y471*1,"0")+IFERROR(Y472*1,"0")</f>
        <v>37.5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90.96</v>
      </c>
      <c r="AA544" s="52">
        <f>IFERROR(Y508*1,"0")+IFERROR(Y512*1,"0")+IFERROR(Y516*1,"0")+IFERROR(Y517*1,"0")+IFERROR(Y521*1,"0")+IFERROR(Y525*1,"0")+IFERROR(Y526*1,"0")</f>
        <v>82.8</v>
      </c>
      <c r="AB544" s="52">
        <f>IFERROR(Y531*1,"0")</f>
        <v>0</v>
      </c>
      <c r="AC544" s="60"/>
      <c r="AF544" s="1"/>
    </row>
  </sheetData>
  <sheetProtection algorithmName="SHA-512" hashValue="XhmVrVIPEPEKNpKuRzOBzG4V8wYYkZ8mKo+Dw/pmehIx7py/WDbIph1Kyf8BytjdcomT4uPs47hH4wz5814STA==" saltValue="Kg11nQsL4QXRFt63PhqMKA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0"/>
        <filter val="1 497,60"/>
        <filter val="1 560,30"/>
        <filter val="1 786,00"/>
        <filter val="1,00"/>
        <filter val="1,08"/>
        <filter val="1,26"/>
        <filter val="1,80"/>
        <filter val="1,98"/>
        <filter val="10,00"/>
        <filter val="10,50"/>
        <filter val="10,56"/>
        <filter val="108,00"/>
        <filter val="11,18"/>
        <filter val="121,60"/>
        <filter val="129,60"/>
        <filter val="13"/>
        <filter val="13,00"/>
        <filter val="136,80"/>
        <filter val="137,20"/>
        <filter val="14,00"/>
        <filter val="14,40"/>
        <filter val="14,70"/>
        <filter val="144,90"/>
        <filter val="15,00"/>
        <filter val="15,36"/>
        <filter val="15,60"/>
        <filter val="150,00"/>
        <filter val="156,00"/>
        <filter val="156,60"/>
        <filter val="16,80"/>
        <filter val="162,00"/>
        <filter val="18,00"/>
        <filter val="182,00"/>
        <filter val="186,06"/>
        <filter val="189,00"/>
        <filter val="19,00"/>
        <filter val="2,00"/>
        <filter val="2,16"/>
        <filter val="2,40"/>
        <filter val="2,52"/>
        <filter val="2,55"/>
        <filter val="2,70"/>
        <filter val="20,00"/>
        <filter val="203,00"/>
        <filter val="21,60"/>
        <filter val="22,50"/>
        <filter val="23,40"/>
        <filter val="23,76"/>
        <filter val="24,00"/>
        <filter val="24,30"/>
        <filter val="24,50"/>
        <filter val="25,00"/>
        <filter val="25,20"/>
        <filter val="27,00"/>
        <filter val="28,80"/>
        <filter val="3,00"/>
        <filter val="3,04"/>
        <filter val="3,60"/>
        <filter val="3,78"/>
        <filter val="3,80"/>
        <filter val="30,66"/>
        <filter val="30,72"/>
        <filter val="316,50"/>
        <filter val="33,00"/>
        <filter val="33,12"/>
        <filter val="36,00"/>
        <filter val="36,86"/>
        <filter val="36,90"/>
        <filter val="37,50"/>
        <filter val="4,00"/>
        <filter val="4,80"/>
        <filter val="42,00"/>
        <filter val="44,88"/>
        <filter val="45,00"/>
        <filter val="46,80"/>
        <filter val="5,00"/>
        <filter val="5,04"/>
        <filter val="51,00"/>
        <filter val="52,50"/>
        <filter val="53,00"/>
        <filter val="54,00"/>
        <filter val="56,70"/>
        <filter val="6,00"/>
        <filter val="6,12"/>
        <filter val="6,30"/>
        <filter val="6,96"/>
        <filter val="60,00"/>
        <filter val="61,38"/>
        <filter val="63,00"/>
        <filter val="64,00"/>
        <filter val="64,80"/>
        <filter val="67,20"/>
        <filter val="67,50"/>
        <filter val="691,20"/>
        <filter val="7 852,70"/>
        <filter val="7,00"/>
        <filter val="7,20"/>
        <filter val="7,40"/>
        <filter val="7,80"/>
        <filter val="7,92"/>
        <filter val="720,00"/>
        <filter val="77,40"/>
        <filter val="8 220,83"/>
        <filter val="8 545,83"/>
        <filter val="8,00"/>
        <filter val="8,10"/>
        <filter val="8,40"/>
        <filter val="8,70"/>
        <filter val="84,00"/>
        <filter val="85,50"/>
        <filter val="878,00"/>
        <filter val="9,00"/>
        <filter val="9,90"/>
        <filter val="900,00"/>
        <filter val="93,70"/>
        <filter val="966,00"/>
        <filter val="97,00"/>
        <filter val="988,46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8" spans="2:8" x14ac:dyDescent="0.2">
      <c r="B8" s="53" t="s">
        <v>843</v>
      </c>
      <c r="C8" s="53" t="s">
        <v>844</v>
      </c>
      <c r="D8" s="53" t="s">
        <v>845</v>
      </c>
      <c r="E8" s="53" t="s">
        <v>46</v>
      </c>
    </row>
    <row r="10" spans="2:8" x14ac:dyDescent="0.2">
      <c r="B10" s="53" t="s">
        <v>846</v>
      </c>
      <c r="C10" s="53" t="s">
        <v>838</v>
      </c>
      <c r="D10" s="53" t="s">
        <v>46</v>
      </c>
      <c r="E10" s="53" t="s">
        <v>46</v>
      </c>
    </row>
    <row r="12" spans="2:8" x14ac:dyDescent="0.2">
      <c r="B12" s="53" t="s">
        <v>847</v>
      </c>
      <c r="C12" s="53" t="s">
        <v>841</v>
      </c>
      <c r="D12" s="53" t="s">
        <v>46</v>
      </c>
      <c r="E12" s="53" t="s">
        <v>46</v>
      </c>
    </row>
    <row r="14" spans="2:8" x14ac:dyDescent="0.2">
      <c r="B14" s="53" t="s">
        <v>848</v>
      </c>
      <c r="C14" s="53" t="s">
        <v>844</v>
      </c>
      <c r="D14" s="53" t="s">
        <v>46</v>
      </c>
      <c r="E14" s="53" t="s">
        <v>46</v>
      </c>
    </row>
    <row r="16" spans="2:8" x14ac:dyDescent="0.2">
      <c r="B16" s="53" t="s">
        <v>849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850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851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857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858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859</v>
      </c>
      <c r="C26" s="53" t="s">
        <v>46</v>
      </c>
      <c r="D26" s="53" t="s">
        <v>46</v>
      </c>
      <c r="E26" s="53" t="s">
        <v>46</v>
      </c>
    </row>
  </sheetData>
  <sheetProtection algorithmName="SHA-512" hashValue="bdKgv3ty+TKQsISliOtThS9ZGpDe3R02/aExyIQiSFV/Apw1WDLcQGBWSa3rWA2Umlw2J2ozkyi5dajrfvorwA==" saltValue="5xQ1Y9gSRSsw/RJjoOKbH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bb0b2827-4eb3-461f-8866-28597c48f473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1105</vt:i4>
      </vt:variant>
    </vt:vector>
  </HeadingPairs>
  <TitlesOfParts>
    <vt:vector size="110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