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E8CED56-E42F-41E6-B558-3AFB7F144FF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Y100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Y79" i="2" l="1"/>
  <c r="Y383" i="2"/>
  <c r="Z221" i="2"/>
  <c r="Z98" i="2"/>
  <c r="Z401" i="2"/>
  <c r="Z280" i="2"/>
  <c r="BN280" i="2"/>
  <c r="Z187" i="2"/>
  <c r="BN187" i="2"/>
  <c r="Y190" i="2"/>
  <c r="Z225" i="2"/>
  <c r="BN225" i="2"/>
  <c r="Z231" i="2"/>
  <c r="Z367" i="2"/>
  <c r="Z419" i="2"/>
  <c r="Y130" i="2"/>
  <c r="Y210" i="2"/>
  <c r="Y302" i="2"/>
  <c r="Y343" i="2"/>
  <c r="X536" i="2"/>
  <c r="Y161" i="2"/>
  <c r="Z176" i="2"/>
  <c r="Z224" i="2"/>
  <c r="Z278" i="2"/>
  <c r="Y306" i="2"/>
  <c r="Z355" i="2"/>
  <c r="Z410" i="2"/>
  <c r="Z497" i="2"/>
  <c r="BN497" i="2"/>
  <c r="BP516" i="2"/>
  <c r="BN52" i="2"/>
  <c r="BN73" i="2"/>
  <c r="BN78" i="2"/>
  <c r="BN107" i="2"/>
  <c r="Z29" i="2"/>
  <c r="BN29" i="2"/>
  <c r="BN31" i="2"/>
  <c r="Z44" i="2"/>
  <c r="BN44" i="2"/>
  <c r="BN45" i="2"/>
  <c r="E544" i="2"/>
  <c r="BN61" i="2"/>
  <c r="Y74" i="2"/>
  <c r="BN90" i="2"/>
  <c r="Z103" i="2"/>
  <c r="BN112" i="2"/>
  <c r="BN117" i="2"/>
  <c r="BN125" i="2"/>
  <c r="BN129" i="2"/>
  <c r="Y155" i="2"/>
  <c r="Z159" i="2"/>
  <c r="Z160" i="2" s="1"/>
  <c r="Y189" i="2"/>
  <c r="Z203" i="2"/>
  <c r="BN209" i="2"/>
  <c r="BN214" i="2"/>
  <c r="Z223" i="2"/>
  <c r="BP224" i="2"/>
  <c r="BP244" i="2"/>
  <c r="Y251" i="2"/>
  <c r="BN262" i="2"/>
  <c r="Z264" i="2"/>
  <c r="BN272" i="2"/>
  <c r="BP278" i="2"/>
  <c r="BN293" i="2"/>
  <c r="Z295" i="2"/>
  <c r="BN301" i="2"/>
  <c r="BN305" i="2"/>
  <c r="Z311" i="2"/>
  <c r="BN325" i="2"/>
  <c r="Z334" i="2"/>
  <c r="BN334" i="2"/>
  <c r="BN340" i="2"/>
  <c r="Z341" i="2"/>
  <c r="Z342" i="2" s="1"/>
  <c r="Z358" i="2"/>
  <c r="Z365" i="2"/>
  <c r="BP367" i="2"/>
  <c r="BN368" i="2"/>
  <c r="BN387" i="2"/>
  <c r="BP401" i="2"/>
  <c r="Z412" i="2"/>
  <c r="Z413" i="2"/>
  <c r="BN413" i="2"/>
  <c r="Z434" i="2"/>
  <c r="Y436" i="2"/>
  <c r="Z443" i="2"/>
  <c r="Y446" i="2"/>
  <c r="Y447" i="2"/>
  <c r="BN452" i="2"/>
  <c r="Y474" i="2"/>
  <c r="BN482" i="2"/>
  <c r="BN485" i="2"/>
  <c r="Z490" i="2"/>
  <c r="Y493" i="2"/>
  <c r="Y494" i="2"/>
  <c r="BN499" i="2"/>
  <c r="BP502" i="2"/>
  <c r="Y80" i="2"/>
  <c r="BN96" i="2"/>
  <c r="BN122" i="2"/>
  <c r="Y126" i="2"/>
  <c r="BP159" i="2"/>
  <c r="BN170" i="2"/>
  <c r="BN174" i="2"/>
  <c r="BN182" i="2"/>
  <c r="BP203" i="2"/>
  <c r="BN204" i="2"/>
  <c r="BN217" i="2"/>
  <c r="BN250" i="2"/>
  <c r="BP311" i="2"/>
  <c r="BN320" i="2"/>
  <c r="BP358" i="2"/>
  <c r="BN372" i="2"/>
  <c r="BP412" i="2"/>
  <c r="BP434" i="2"/>
  <c r="BN435" i="2"/>
  <c r="BN454" i="2"/>
  <c r="BN470" i="2"/>
  <c r="BN479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527" i="2" l="1"/>
  <c r="Z46" i="2"/>
  <c r="Z24" i="2"/>
  <c r="Z146" i="2"/>
  <c r="Z189" i="2"/>
  <c r="Z395" i="2"/>
  <c r="X537" i="2"/>
  <c r="Z382" i="2"/>
  <c r="Z126" i="2"/>
  <c r="Z457" i="2"/>
  <c r="Z421" i="2"/>
  <c r="Z415" i="2"/>
  <c r="Z321" i="2"/>
  <c r="Z205" i="2"/>
  <c r="Z84" i="2"/>
  <c r="Z493" i="2"/>
  <c r="Z446" i="2"/>
  <c r="Z436" i="2"/>
  <c r="Z312" i="2"/>
  <c r="Z402" i="2"/>
  <c r="Z473" i="2"/>
  <c r="Z74" i="2"/>
  <c r="Z376" i="2"/>
  <c r="Z119" i="2"/>
  <c r="Z359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<sst xmlns="http://schemas.openxmlformats.org/spreadsheetml/2006/main" count="4048" uniqueCount="861">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</sst>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860</v>
      </c>
      <c r="I5" s="621"/>
      <c r="J5" s="621"/>
      <c r="K5" s="621"/>
      <c r="L5" s="621"/>
      <c r="M5" s="621"/>
      <c r="N5" s="72"/>
      <c r="P5" s="27" t="s">
        <v>4</v>
      </c>
      <c r="Q5" s="623">
        <v>46220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Пятница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0.45833333333333331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hidden="1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hidden="1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hidden="1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hidden="1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hidden="1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hidden="1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hidden="1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216</v>
      </c>
      <c r="Y51" s="55">
        <f>IFERROR(IF(X51="",0,CEILING((X51/$H51),1)*$H51),"")</f>
        <v>216</v>
      </c>
      <c r="Z51" s="41">
        <f>IFERROR(IF(Y51=0,"",ROUNDUP(Y51/H51,0)*0.01898),"")</f>
        <v>0.37959999999999999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224.2</v>
      </c>
      <c r="BN51" s="78">
        <f>IFERROR(Y51*I51/H51,"0")</f>
        <v>224.2</v>
      </c>
      <c r="BO51" s="78">
        <f>IFERROR(1/J51*(X51/H51),"0")</f>
        <v>0.3125</v>
      </c>
      <c r="BP51" s="78">
        <f>IFERROR(1/J51*(Y51/H51),"0")</f>
        <v>0.3125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80</v>
      </c>
      <c r="Y53" s="55">
        <f>IFERROR(IF(X53="",0,CEILING((X53/$H53),1)*$H53),"")</f>
        <v>80</v>
      </c>
      <c r="Z53" s="41">
        <f>IFERROR(IF(Y53=0,"",ROUNDUP(Y53/H53,0)*0.00902),"")</f>
        <v>0.1804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83.800000000000011</v>
      </c>
      <c r="BN53" s="78">
        <f>IFERROR(Y53*I53/H53,"0")</f>
        <v>83.800000000000011</v>
      </c>
      <c r="BO53" s="78">
        <f>IFERROR(1/J53*(X53/H53),"0")</f>
        <v>0.15151515151515152</v>
      </c>
      <c r="BP53" s="78">
        <f>IFERROR(1/J53*(Y53/H53),"0")</f>
        <v>0.15151515151515152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40</v>
      </c>
      <c r="Y55" s="43">
        <f>IFERROR(Y51/H51,"0")+IFERROR(Y52/H52,"0")+IFERROR(Y53/H53,"0")+IFERROR(Y54/H54,"0")</f>
        <v>40</v>
      </c>
      <c r="Z55" s="43">
        <f>IFERROR(IF(Z51="",0,Z51),"0")+IFERROR(IF(Z52="",0,Z52),"0")+IFERROR(IF(Z53="",0,Z53),"0")+IFERROR(IF(Z54="",0,Z54),"0")</f>
        <v>0.56000000000000005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296</v>
      </c>
      <c r="Y56" s="43">
        <f>IFERROR(SUM(Y51:Y54),"0")</f>
        <v>296</v>
      </c>
      <c r="Z56" s="42"/>
      <c r="AA56" s="67"/>
      <c r="AB56" s="67"/>
      <c r="AC56" s="67"/>
    </row>
    <row r="57" spans="1:68" ht="16.5" hidden="1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hidden="1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691.2</v>
      </c>
      <c r="Y61" s="55">
        <f t="shared" si="0"/>
        <v>691.2</v>
      </c>
      <c r="Z61" s="41">
        <f>IFERROR(IF(Y61=0,"",ROUNDUP(Y61/H61,0)*0.01898),"")</f>
        <v>1.21472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717.44</v>
      </c>
      <c r="BN61" s="78">
        <f t="shared" si="2"/>
        <v>717.44</v>
      </c>
      <c r="BO61" s="78">
        <f t="shared" si="3"/>
        <v>1</v>
      </c>
      <c r="BP61" s="78">
        <f t="shared" si="4"/>
        <v>1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80</v>
      </c>
      <c r="Y64" s="55">
        <f t="shared" si="0"/>
        <v>80</v>
      </c>
      <c r="Z64" s="41">
        <f>IFERROR(IF(Y64=0,"",ROUNDUP(Y64/H64,0)*0.00902),"")</f>
        <v>0.1804</v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83.800000000000011</v>
      </c>
      <c r="BN64" s="78">
        <f t="shared" si="2"/>
        <v>83.800000000000011</v>
      </c>
      <c r="BO64" s="78">
        <f t="shared" si="3"/>
        <v>0.15151515151515152</v>
      </c>
      <c r="BP64" s="78">
        <f t="shared" si="4"/>
        <v>0.15151515151515152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84</v>
      </c>
      <c r="Y67" s="43">
        <f>IFERROR(Y59/H59,"0")+IFERROR(Y60/H60,"0")+IFERROR(Y61/H61,"0")+IFERROR(Y62/H62,"0")+IFERROR(Y63/H63,"0")+IFERROR(Y64/H64,"0")+IFERROR(Y65/H65,"0")+IFERROR(Y66/H66,"0")</f>
        <v>84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1.3951199999999999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771.2</v>
      </c>
      <c r="Y68" s="43">
        <f>IFERROR(SUM(Y59:Y66),"0")</f>
        <v>771.2</v>
      </c>
      <c r="Z68" s="42"/>
      <c r="AA68" s="67"/>
      <c r="AB68" s="67"/>
      <c r="AC68" s="67"/>
    </row>
    <row r="69" spans="1:68" ht="14.25" hidden="1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216</v>
      </c>
      <c r="Y70" s="55">
        <f>IFERROR(IF(X70="",0,CEILING((X70/$H70),1)*$H70),"")</f>
        <v>216</v>
      </c>
      <c r="Z70" s="41">
        <f>IFERROR(IF(Y70=0,"",ROUNDUP(Y70/H70,0)*0.01898),"")</f>
        <v>0.37959999999999999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224.2</v>
      </c>
      <c r="BN70" s="78">
        <f>IFERROR(Y70*I70/H70,"0")</f>
        <v>224.2</v>
      </c>
      <c r="BO70" s="78">
        <f>IFERROR(1/J70*(X70/H70),"0")</f>
        <v>0.3125</v>
      </c>
      <c r="BP70" s="78">
        <f>IFERROR(1/J70*(Y70/H70),"0")</f>
        <v>0.3125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54</v>
      </c>
      <c r="Y73" s="55">
        <f>IFERROR(IF(X73="",0,CEILING((X73/$H73),1)*$H73),"")</f>
        <v>54</v>
      </c>
      <c r="Z73" s="41">
        <f>IFERROR(IF(Y73=0,"",ROUNDUP(Y73/H73,0)*0.00651),"")</f>
        <v>0.13020000000000001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57.599999999999987</v>
      </c>
      <c r="BN73" s="78">
        <f>IFERROR(Y73*I73/H73,"0")</f>
        <v>57.599999999999987</v>
      </c>
      <c r="BO73" s="78">
        <f>IFERROR(1/J73*(X73/H73),"0")</f>
        <v>0.1098901098901099</v>
      </c>
      <c r="BP73" s="78">
        <f>IFERROR(1/J73*(Y73/H73),"0")</f>
        <v>0.1098901098901099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40</v>
      </c>
      <c r="Y74" s="43">
        <f>IFERROR(Y70/H70,"0")+IFERROR(Y71/H71,"0")+IFERROR(Y72/H72,"0")+IFERROR(Y73/H73,"0")</f>
        <v>40</v>
      </c>
      <c r="Z74" s="43">
        <f>IFERROR(IF(Z70="",0,Z70),"0")+IFERROR(IF(Z71="",0,Z71),"0")+IFERROR(IF(Z72="",0,Z72),"0")+IFERROR(IF(Z73="",0,Z73),"0")</f>
        <v>0.50980000000000003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270</v>
      </c>
      <c r="Y75" s="43">
        <f>IFERROR(SUM(Y70:Y73),"0")</f>
        <v>270</v>
      </c>
      <c r="Z75" s="42"/>
      <c r="AA75" s="67"/>
      <c r="AB75" s="67"/>
      <c r="AC75" s="67"/>
    </row>
    <row r="76" spans="1:68" ht="14.25" hidden="1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hidden="1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hidden="1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hidden="1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hidden="1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hidden="1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hidden="1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hidden="1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hidden="1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hidden="1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45</v>
      </c>
      <c r="Y168" s="55">
        <f t="shared" si="15"/>
        <v>45</v>
      </c>
      <c r="Z168" s="41">
        <f>IFERROR(IF(Y168=0,"",ROUNDUP(Y168/H168,0)*0.01898),"")</f>
        <v>9.4899999999999998E-2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47.800000000000004</v>
      </c>
      <c r="BN168" s="78">
        <f t="shared" si="17"/>
        <v>47.800000000000004</v>
      </c>
      <c r="BO168" s="78">
        <f t="shared" si="18"/>
        <v>7.8125E-2</v>
      </c>
      <c r="BP168" s="78">
        <f t="shared" si="19"/>
        <v>7.8125E-2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5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5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9.4899999999999998E-2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45</v>
      </c>
      <c r="Y179" s="43">
        <f>IFERROR(SUM(Y167:Y177),"0")</f>
        <v>45</v>
      </c>
      <c r="Z179" s="42"/>
      <c r="AA179" s="67"/>
      <c r="AB179" s="67"/>
      <c r="AC179" s="67"/>
    </row>
    <row r="180" spans="1:68" ht="14.25" hidden="1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hidden="1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hidden="1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hidden="1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hidden="1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idden="1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hidden="1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hidden="1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hidden="1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108</v>
      </c>
      <c r="Y318" s="55">
        <f>IFERROR(IF(X318="",0,CEILING((X318/$H318),1)*$H318),"")</f>
        <v>108</v>
      </c>
      <c r="Z318" s="41">
        <f>IFERROR(IF(Y318=0,"",ROUNDUP(Y318/H318,0)*0.01898),"")</f>
        <v>0.1898</v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112.1</v>
      </c>
      <c r="BN318" s="78">
        <f>IFERROR(Y318*I318/H318,"0")</f>
        <v>112.1</v>
      </c>
      <c r="BO318" s="78">
        <f>IFERROR(1/J318*(X318/H318),"0")</f>
        <v>0.15625</v>
      </c>
      <c r="BP318" s="78">
        <f>IFERROR(1/J318*(Y318/H318),"0")</f>
        <v>0.15625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10</v>
      </c>
      <c r="Y321" s="43">
        <f>IFERROR(Y316/H316,"0")+IFERROR(Y317/H317,"0")+IFERROR(Y318/H318,"0")+IFERROR(Y319/H319,"0")+IFERROR(Y320/H320,"0")</f>
        <v>10</v>
      </c>
      <c r="Z321" s="43">
        <f>IFERROR(IF(Z316="",0,Z316),"0")+IFERROR(IF(Z317="",0,Z317),"0")+IFERROR(IF(Z318="",0,Z318),"0")+IFERROR(IF(Z319="",0,Z319),"0")+IFERROR(IF(Z320="",0,Z320),"0")</f>
        <v>0.1898</v>
      </c>
      <c r="AA321" s="67"/>
      <c r="AB321" s="67"/>
      <c r="AC321" s="67"/>
    </row>
    <row r="322" spans="1:68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108</v>
      </c>
      <c r="Y322" s="43">
        <f>IFERROR(SUM(Y316:Y320),"0")</f>
        <v>108</v>
      </c>
      <c r="Z322" s="42"/>
      <c r="AA322" s="67"/>
      <c r="AB322" s="67"/>
      <c r="AC322" s="67"/>
    </row>
    <row r="323" spans="1:68" ht="16.5" hidden="1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hidden="1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hidden="1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hidden="1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hidden="1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691.2</v>
      </c>
      <c r="Y353" s="55">
        <f t="shared" ref="Y353:Y358" si="47">IFERROR(IF(X353="",0,CEILING((X353/$H353),1)*$H353),"")</f>
        <v>691.2</v>
      </c>
      <c r="Z353" s="41">
        <f>IFERROR(IF(Y353=0,"",ROUNDUP(Y353/H353,0)*0.01898),"")</f>
        <v>1.21472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717.44</v>
      </c>
      <c r="BN353" s="78">
        <f t="shared" ref="BN353:BN358" si="49">IFERROR(Y353*I353/H353,"0")</f>
        <v>717.44</v>
      </c>
      <c r="BO353" s="78">
        <f t="shared" ref="BO353:BO358" si="50">IFERROR(1/J353*(X353/H353),"0")</f>
        <v>1</v>
      </c>
      <c r="BP353" s="78">
        <f t="shared" ref="BP353:BP358" si="51">IFERROR(1/J353*(Y353/H353),"0")</f>
        <v>1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108</v>
      </c>
      <c r="Y354" s="55">
        <f t="shared" si="47"/>
        <v>108</v>
      </c>
      <c r="Z354" s="41">
        <f>IFERROR(IF(Y354=0,"",ROUNDUP(Y354/H354,0)*0.01898),"")</f>
        <v>0.1898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112.1</v>
      </c>
      <c r="BN354" s="78">
        <f t="shared" si="49"/>
        <v>112.1</v>
      </c>
      <c r="BO354" s="78">
        <f t="shared" si="50"/>
        <v>0.15625</v>
      </c>
      <c r="BP354" s="78">
        <f t="shared" si="51"/>
        <v>0.15625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108</v>
      </c>
      <c r="Y355" s="55">
        <f t="shared" si="47"/>
        <v>108</v>
      </c>
      <c r="Z355" s="41">
        <f>IFERROR(IF(Y355=0,"",ROUNDUP(Y355/H355,0)*0.01898),"")</f>
        <v>0.1898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112.1</v>
      </c>
      <c r="BN355" s="78">
        <f t="shared" si="49"/>
        <v>112.1</v>
      </c>
      <c r="BO355" s="78">
        <f t="shared" si="50"/>
        <v>0.15625</v>
      </c>
      <c r="BP355" s="78">
        <f t="shared" si="51"/>
        <v>0.15625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80</v>
      </c>
      <c r="Y358" s="55">
        <f t="shared" si="47"/>
        <v>80</v>
      </c>
      <c r="Z358" s="41">
        <f>IFERROR(IF(Y358=0,"",ROUNDUP(Y358/H358,0)*0.00902),"")</f>
        <v>0.1804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83.800000000000011</v>
      </c>
      <c r="BN358" s="78">
        <f t="shared" si="49"/>
        <v>83.800000000000011</v>
      </c>
      <c r="BO358" s="78">
        <f t="shared" si="50"/>
        <v>0.15151515151515152</v>
      </c>
      <c r="BP358" s="78">
        <f t="shared" si="51"/>
        <v>0.15151515151515152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104</v>
      </c>
      <c r="Y359" s="43">
        <f>IFERROR(Y353/H353,"0")+IFERROR(Y354/H354,"0")+IFERROR(Y355/H355,"0")+IFERROR(Y356/H356,"0")+IFERROR(Y357/H357,"0")+IFERROR(Y358/H358,"0")</f>
        <v>104</v>
      </c>
      <c r="Z359" s="43">
        <f>IFERROR(IF(Z353="",0,Z353),"0")+IFERROR(IF(Z354="",0,Z354),"0")+IFERROR(IF(Z355="",0,Z355),"0")+IFERROR(IF(Z356="",0,Z356),"0")+IFERROR(IF(Z357="",0,Z357),"0")+IFERROR(IF(Z358="",0,Z358),"0")</f>
        <v>1.7747199999999999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987.2</v>
      </c>
      <c r="Y360" s="43">
        <f>IFERROR(SUM(Y353:Y358),"0")</f>
        <v>987.2</v>
      </c>
      <c r="Z360" s="42"/>
      <c r="AA360" s="67"/>
      <c r="AB360" s="67"/>
      <c r="AC360" s="67"/>
    </row>
    <row r="361" spans="1:68" ht="14.25" hidden="1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idden="1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998.4</v>
      </c>
      <c r="Y372" s="55">
        <f>IFERROR(IF(X372="",0,CEILING((X372/$H372),1)*$H372),"")</f>
        <v>998.4</v>
      </c>
      <c r="Z372" s="41">
        <f>IFERROR(IF(Y372=0,"",ROUNDUP(Y372/H372,0)*0.01898),"")</f>
        <v>2.42944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1060.864</v>
      </c>
      <c r="BN372" s="78">
        <f>IFERROR(Y372*I372/H372,"0")</f>
        <v>1060.864</v>
      </c>
      <c r="BO372" s="78">
        <f>IFERROR(1/J372*(X372/H372),"0")</f>
        <v>2</v>
      </c>
      <c r="BP372" s="78">
        <f>IFERROR(1/J372*(Y372/H372),"0")</f>
        <v>2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128</v>
      </c>
      <c r="Y376" s="43">
        <f>IFERROR(Y372/H372,"0")+IFERROR(Y373/H373,"0")+IFERROR(Y374/H374,"0")+IFERROR(Y375/H375,"0")</f>
        <v>128</v>
      </c>
      <c r="Z376" s="43">
        <f>IFERROR(IF(Z372="",0,Z372),"0")+IFERROR(IF(Z373="",0,Z373),"0")+IFERROR(IF(Z374="",0,Z374),"0")+IFERROR(IF(Z375="",0,Z375),"0")</f>
        <v>2.42944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998.4</v>
      </c>
      <c r="Y377" s="43">
        <f>IFERROR(SUM(Y372:Y375),"0")</f>
        <v>998.4</v>
      </c>
      <c r="Z377" s="42"/>
      <c r="AA377" s="67"/>
      <c r="AB377" s="67"/>
      <c r="AC377" s="67"/>
    </row>
    <row r="378" spans="1:68" ht="14.25" hidden="1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195</v>
      </c>
      <c r="Y380" s="55">
        <f>IFERROR(IF(X380="",0,CEILING((X380/$H380),1)*$H380),"")</f>
        <v>195</v>
      </c>
      <c r="Z380" s="41">
        <f>IFERROR(IF(Y380=0,"",ROUNDUP(Y380/H380,0)*0.01898),"")</f>
        <v>0.47450000000000003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207.35000000000002</v>
      </c>
      <c r="BN380" s="78">
        <f>IFERROR(Y380*I380/H380,"0")</f>
        <v>207.35000000000002</v>
      </c>
      <c r="BO380" s="78">
        <f>IFERROR(1/J380*(X380/H380),"0")</f>
        <v>0.390625</v>
      </c>
      <c r="BP380" s="78">
        <f>IFERROR(1/J380*(Y380/H380),"0")</f>
        <v>0.390625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42</v>
      </c>
      <c r="Y381" s="55">
        <f>IFERROR(IF(X381="",0,CEILING((X381/$H381),1)*$H381),"")</f>
        <v>42</v>
      </c>
      <c r="Z381" s="41">
        <f>IFERROR(IF(Y381=0,"",ROUNDUP(Y381/H381,0)*0.01898),"")</f>
        <v>9.4899999999999998E-2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44.47</v>
      </c>
      <c r="BN381" s="78">
        <f>IFERROR(Y381*I381/H381,"0")</f>
        <v>44.47</v>
      </c>
      <c r="BO381" s="78">
        <f>IFERROR(1/J381*(X381/H381),"0")</f>
        <v>7.8125E-2</v>
      </c>
      <c r="BP381" s="78">
        <f>IFERROR(1/J381*(Y381/H381),"0")</f>
        <v>7.8125E-2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30</v>
      </c>
      <c r="Y382" s="43">
        <f>IFERROR(Y379/H379,"0")+IFERROR(Y380/H380,"0")+IFERROR(Y381/H381,"0")</f>
        <v>30</v>
      </c>
      <c r="Z382" s="43">
        <f>IFERROR(IF(Z379="",0,Z379),"0")+IFERROR(IF(Z380="",0,Z380),"0")+IFERROR(IF(Z381="",0,Z381),"0")</f>
        <v>0.56940000000000002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237</v>
      </c>
      <c r="Y383" s="43">
        <f>IFERROR(SUM(Y379:Y381),"0")</f>
        <v>237</v>
      </c>
      <c r="Z383" s="42"/>
      <c r="AA383" s="67"/>
      <c r="AB383" s="67"/>
      <c r="AC383" s="67"/>
    </row>
    <row r="384" spans="1:68" ht="14.25" hidden="1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hidden="1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10.5</v>
      </c>
      <c r="Y400" s="55">
        <f>IFERROR(IF(X400="",0,CEILING((X400/$H400),1)*$H400),"")</f>
        <v>10.5</v>
      </c>
      <c r="Z400" s="41">
        <f>IFERROR(IF(Y400=0,"",ROUNDUP(Y400/H400,0)*0.00651),"")</f>
        <v>3.2550000000000003E-2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11.759999999999998</v>
      </c>
      <c r="BN400" s="78">
        <f>IFERROR(Y400*I400/H400,"0")</f>
        <v>11.759999999999998</v>
      </c>
      <c r="BO400" s="78">
        <f>IFERROR(1/J400*(X400/H400),"0")</f>
        <v>2.7472527472527476E-2</v>
      </c>
      <c r="BP400" s="78">
        <f>IFERROR(1/J400*(Y400/H400),"0")</f>
        <v>2.7472527472527476E-2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10.5</v>
      </c>
      <c r="Y401" s="55">
        <f>IFERROR(IF(X401="",0,CEILING((X401/$H401),1)*$H401),"")</f>
        <v>10.5</v>
      </c>
      <c r="Z401" s="41">
        <f>IFERROR(IF(Y401=0,"",ROUNDUP(Y401/H401,0)*0.00651),"")</f>
        <v>3.2550000000000003E-2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11.7</v>
      </c>
      <c r="BN401" s="78">
        <f>IFERROR(Y401*I401/H401,"0")</f>
        <v>11.7</v>
      </c>
      <c r="BO401" s="78">
        <f>IFERROR(1/J401*(X401/H401),"0")</f>
        <v>2.7472527472527476E-2</v>
      </c>
      <c r="BP401" s="78">
        <f>IFERROR(1/J401*(Y401/H401),"0")</f>
        <v>2.7472527472527476E-2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10</v>
      </c>
      <c r="Y402" s="43">
        <f>IFERROR(Y399/H399,"0")+IFERROR(Y400/H400,"0")+IFERROR(Y401/H401,"0")</f>
        <v>10</v>
      </c>
      <c r="Z402" s="43">
        <f>IFERROR(IF(Z399="",0,Z399),"0")+IFERROR(IF(Z400="",0,Z400),"0")+IFERROR(IF(Z401="",0,Z401),"0")</f>
        <v>6.5100000000000005E-2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21</v>
      </c>
      <c r="Y403" s="43">
        <f>IFERROR(SUM(Y399:Y401),"0")</f>
        <v>21</v>
      </c>
      <c r="Z403" s="42"/>
      <c r="AA403" s="67"/>
      <c r="AB403" s="67"/>
      <c r="AC403" s="67"/>
    </row>
    <row r="404" spans="1:68" ht="27.75" hidden="1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hidden="1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hidden="1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hidden="1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720</v>
      </c>
      <c r="Y409" s="55">
        <f t="shared" si="57"/>
        <v>720</v>
      </c>
      <c r="Z409" s="41">
        <f>IFERROR(IF(Y409=0,"",ROUNDUP(Y409/H409,0)*0.02175),"")</f>
        <v>1.044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742.56</v>
      </c>
      <c r="BN409" s="78">
        <f t="shared" si="59"/>
        <v>742.56</v>
      </c>
      <c r="BO409" s="78">
        <f t="shared" si="60"/>
        <v>1</v>
      </c>
      <c r="BP409" s="78">
        <f t="shared" si="61"/>
        <v>1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720</v>
      </c>
      <c r="Y411" s="55">
        <f t="shared" si="57"/>
        <v>720</v>
      </c>
      <c r="Z411" s="41">
        <f>IFERROR(IF(Y411=0,"",ROUNDUP(Y411/H411,0)*0.02175),"")</f>
        <v>1.044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742.56</v>
      </c>
      <c r="BN411" s="78">
        <f t="shared" si="59"/>
        <v>742.56</v>
      </c>
      <c r="BO411" s="78">
        <f t="shared" si="60"/>
        <v>1</v>
      </c>
      <c r="BP411" s="78">
        <f t="shared" si="61"/>
        <v>1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25</v>
      </c>
      <c r="Y414" s="55">
        <f t="shared" si="57"/>
        <v>25</v>
      </c>
      <c r="Z414" s="41">
        <f>IFERROR(IF(Y414=0,"",ROUNDUP(Y414/H414,0)*0.00902),"")</f>
        <v>4.5100000000000001E-2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25.95</v>
      </c>
      <c r="BN414" s="78">
        <f t="shared" si="59"/>
        <v>25.95</v>
      </c>
      <c r="BO414" s="78">
        <f t="shared" si="60"/>
        <v>3.787878787878788E-2</v>
      </c>
      <c r="BP414" s="78">
        <f t="shared" si="61"/>
        <v>3.787878787878788E-2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101</v>
      </c>
      <c r="Y415" s="43">
        <f>IFERROR(Y407/H407,"0")+IFERROR(Y408/H408,"0")+IFERROR(Y409/H409,"0")+IFERROR(Y410/H410,"0")+IFERROR(Y411/H411,"0")+IFERROR(Y412/H412,"0")+IFERROR(Y413/H413,"0")+IFERROR(Y414/H414,"0")</f>
        <v>101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2.1331000000000002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1465</v>
      </c>
      <c r="Y416" s="43">
        <f>IFERROR(SUM(Y407:Y414),"0")</f>
        <v>1465</v>
      </c>
      <c r="Z416" s="42"/>
      <c r="AA416" s="67"/>
      <c r="AB416" s="67"/>
      <c r="AC416" s="67"/>
    </row>
    <row r="417" spans="1:68" ht="14.25" hidden="1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1440</v>
      </c>
      <c r="Y418" s="55">
        <f>IFERROR(IF(X418="",0,CEILING((X418/$H418),1)*$H418),"")</f>
        <v>1440</v>
      </c>
      <c r="Z418" s="41">
        <f>IFERROR(IF(Y418=0,"",ROUNDUP(Y418/H418,0)*0.02175),"")</f>
        <v>2.0880000000000001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1485.12</v>
      </c>
      <c r="BN418" s="78">
        <f>IFERROR(Y418*I418/H418,"0")</f>
        <v>1485.12</v>
      </c>
      <c r="BO418" s="78">
        <f>IFERROR(1/J418*(X418/H418),"0")</f>
        <v>2</v>
      </c>
      <c r="BP418" s="78">
        <f>IFERROR(1/J418*(Y418/H418),"0")</f>
        <v>2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20</v>
      </c>
      <c r="Y420" s="55">
        <f>IFERROR(IF(X420="",0,CEILING((X420/$H420),1)*$H420),"")</f>
        <v>20</v>
      </c>
      <c r="Z420" s="41">
        <f>IFERROR(IF(Y420=0,"",ROUNDUP(Y420/H420,0)*0.00902),"")</f>
        <v>4.5100000000000001E-2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20.950000000000003</v>
      </c>
      <c r="BN420" s="78">
        <f>IFERROR(Y420*I420/H420,"0")</f>
        <v>20.950000000000003</v>
      </c>
      <c r="BO420" s="78">
        <f>IFERROR(1/J420*(X420/H420),"0")</f>
        <v>3.787878787878788E-2</v>
      </c>
      <c r="BP420" s="78">
        <f>IFERROR(1/J420*(Y420/H420),"0")</f>
        <v>3.787878787878788E-2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101</v>
      </c>
      <c r="Y421" s="43">
        <f>IFERROR(Y418/H418,"0")+IFERROR(Y419/H419,"0")+IFERROR(Y420/H420,"0")</f>
        <v>101</v>
      </c>
      <c r="Z421" s="43">
        <f>IFERROR(IF(Z418="",0,Z418),"0")+IFERROR(IF(Z419="",0,Z419),"0")+IFERROR(IF(Z420="",0,Z420),"0")</f>
        <v>2.1331000000000002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1460</v>
      </c>
      <c r="Y422" s="43">
        <f>IFERROR(SUM(Y418:Y420),"0")</f>
        <v>1460</v>
      </c>
      <c r="Z422" s="42"/>
      <c r="AA422" s="67"/>
      <c r="AB422" s="67"/>
      <c r="AC422" s="67"/>
    </row>
    <row r="423" spans="1:68" ht="14.25" hidden="1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hidden="1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hidden="1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hidden="1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hidden="1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hidden="1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hidden="1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158.4</v>
      </c>
      <c r="Y481" s="55">
        <f t="shared" si="67"/>
        <v>158.4</v>
      </c>
      <c r="Z481" s="41">
        <f t="shared" si="68"/>
        <v>0.35880000000000001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168.9</v>
      </c>
      <c r="BN481" s="78">
        <f t="shared" si="70"/>
        <v>168.9</v>
      </c>
      <c r="BO481" s="78">
        <f t="shared" si="71"/>
        <v>0.28846153846153849</v>
      </c>
      <c r="BP481" s="78">
        <f t="shared" si="72"/>
        <v>0.28846153846153849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105.6</v>
      </c>
      <c r="Y483" s="55">
        <f t="shared" si="67"/>
        <v>105.60000000000001</v>
      </c>
      <c r="Z483" s="41">
        <f t="shared" si="68"/>
        <v>0.2392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112.59999999999998</v>
      </c>
      <c r="BN483" s="78">
        <f t="shared" si="70"/>
        <v>112.6</v>
      </c>
      <c r="BO483" s="78">
        <f t="shared" si="71"/>
        <v>0.19230769230769229</v>
      </c>
      <c r="BP483" s="78">
        <f t="shared" si="72"/>
        <v>0.19230769230769232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50</v>
      </c>
      <c r="Y487" s="43">
        <f>IFERROR(Y478/H478,"0")+IFERROR(Y479/H479,"0")+IFERROR(Y480/H480,"0")+IFERROR(Y481/H481,"0")+IFERROR(Y482/H482,"0")+IFERROR(Y483/H483,"0")+IFERROR(Y484/H484,"0")+IFERROR(Y485/H485,"0")+IFERROR(Y486/H486,"0")</f>
        <v>50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0.59799999999999998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264</v>
      </c>
      <c r="Y488" s="43">
        <f>IFERROR(SUM(Y478:Y486),"0")</f>
        <v>264</v>
      </c>
      <c r="Z488" s="42"/>
      <c r="AA488" s="67"/>
      <c r="AB488" s="67"/>
      <c r="AC488" s="67"/>
    </row>
    <row r="489" spans="1:68" ht="14.25" hidden="1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158.4</v>
      </c>
      <c r="Y490" s="55">
        <f>IFERROR(IF(X490="",0,CEILING((X490/$H490),1)*$H490),"")</f>
        <v>158.4</v>
      </c>
      <c r="Z490" s="41">
        <f>IFERROR(IF(Y490=0,"",ROUNDUP(Y490/H490,0)*0.01196),"")</f>
        <v>0.35880000000000001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168.9</v>
      </c>
      <c r="BN490" s="78">
        <f>IFERROR(Y490*I490/H490,"0")</f>
        <v>168.9</v>
      </c>
      <c r="BO490" s="78">
        <f>IFERROR(1/J490*(X490/H490),"0")</f>
        <v>0.28846153846153849</v>
      </c>
      <c r="BP490" s="78">
        <f>IFERROR(1/J490*(Y490/H490),"0")</f>
        <v>0.28846153846153849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30</v>
      </c>
      <c r="Y493" s="43">
        <f>IFERROR(Y490/H490,"0")+IFERROR(Y491/H491,"0")+IFERROR(Y492/H492,"0")</f>
        <v>30</v>
      </c>
      <c r="Z493" s="43">
        <f>IFERROR(IF(Z490="",0,Z490),"0")+IFERROR(IF(Z491="",0,Z491),"0")+IFERROR(IF(Z492="",0,Z492),"0")</f>
        <v>0.35880000000000001</v>
      </c>
      <c r="AA493" s="67"/>
      <c r="AB493" s="67"/>
      <c r="AC493" s="67"/>
    </row>
    <row r="494" spans="1:68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158.4</v>
      </c>
      <c r="Y494" s="43">
        <f>IFERROR(SUM(Y490:Y492),"0")</f>
        <v>158.4</v>
      </c>
      <c r="Z494" s="42"/>
      <c r="AA494" s="67"/>
      <c r="AB494" s="67"/>
      <c r="AC494" s="67"/>
    </row>
    <row r="495" spans="1:68" ht="14.25" hidden="1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105.6</v>
      </c>
      <c r="Y498" s="55">
        <f t="shared" si="73"/>
        <v>105.60000000000001</v>
      </c>
      <c r="Z498" s="41">
        <f>IFERROR(IF(Y498=0,"",ROUNDUP(Y498/H498,0)*0.01196),"")</f>
        <v>0.2392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112.59999999999998</v>
      </c>
      <c r="BN498" s="78">
        <f t="shared" si="75"/>
        <v>112.6</v>
      </c>
      <c r="BO498" s="78">
        <f t="shared" si="76"/>
        <v>0.19230769230769229</v>
      </c>
      <c r="BP498" s="78">
        <f t="shared" si="77"/>
        <v>0.19230769230769232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19.999999999999996</v>
      </c>
      <c r="Y503" s="43">
        <f>IFERROR(Y496/H496,"0")+IFERROR(Y497/H497,"0")+IFERROR(Y498/H498,"0")+IFERROR(Y499/H499,"0")+IFERROR(Y500/H500,"0")+IFERROR(Y501/H501,"0")+IFERROR(Y502/H502,"0")</f>
        <v>20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0.2392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105.6</v>
      </c>
      <c r="Y504" s="43">
        <f>IFERROR(SUM(Y496:Y502),"0")</f>
        <v>105.60000000000001</v>
      </c>
      <c r="Z504" s="42"/>
      <c r="AA504" s="67"/>
      <c r="AB504" s="67"/>
      <c r="AC504" s="67"/>
    </row>
    <row r="505" spans="1:68" ht="27.75" hidden="1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hidden="1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hidden="1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hidden="1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7186.8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7186.8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7492.6639999999998</v>
      </c>
      <c r="Y535" s="43">
        <f>IFERROR(SUM(BN22:BN531),"0")</f>
        <v>7492.6639999999998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12</v>
      </c>
      <c r="Y536" s="44">
        <f>ROUNDUP(SUM(BP22:BP531),0)</f>
        <v>12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7792.6639999999998</v>
      </c>
      <c r="Y537" s="43">
        <f>GrossWeightTotalR+PalletQtyTotalR*25</f>
        <v>7792.6639999999998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753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753</v>
      </c>
      <c r="Z538" s="42"/>
      <c r="AA538" s="67"/>
      <c r="AB538" s="67"/>
      <c r="AC538" s="67"/>
    </row>
    <row r="539" spans="1:68" ht="14.25" hidden="1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13.050480000000002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296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1041.2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45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108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2222.6</v>
      </c>
      <c r="U544" s="52">
        <f>IFERROR(Y399*1,"0")+IFERROR(Y400*1,"0")+IFERROR(Y401*1,"0")</f>
        <v>21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2925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528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 460,00"/>
        <filter val="1 465,00"/>
        <filter val="10,00"/>
        <filter val="10,50"/>
        <filter val="101,00"/>
        <filter val="104,00"/>
        <filter val="105,60"/>
        <filter val="108,00"/>
        <filter val="12"/>
        <filter val="128,00"/>
        <filter val="158,40"/>
        <filter val="195,00"/>
        <filter val="20,00"/>
        <filter val="21,00"/>
        <filter val="216,00"/>
        <filter val="237,00"/>
        <filter val="25,00"/>
        <filter val="264,00"/>
        <filter val="270,00"/>
        <filter val="296,00"/>
        <filter val="30,00"/>
        <filter val="40,00"/>
        <filter val="42,00"/>
        <filter val="45,00"/>
        <filter val="5,00"/>
        <filter val="50,00"/>
        <filter val="54,00"/>
        <filter val="691,20"/>
        <filter val="7 186,80"/>
        <filter val="7 492,66"/>
        <filter val="7 792,66"/>
        <filter val="720,00"/>
        <filter val="753,00"/>
        <filter val="771,20"/>
        <filter val="80,00"/>
        <filter val="84,00"/>
        <filter val="987,20"/>
        <filter val="998,40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