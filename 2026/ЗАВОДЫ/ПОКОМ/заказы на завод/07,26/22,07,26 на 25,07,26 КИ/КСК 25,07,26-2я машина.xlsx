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A06831F-6295-4F58-A74F-6D138049C18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Z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Z333" i="2"/>
  <c r="Y333" i="2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N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Z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71" i="2" l="1"/>
  <c r="BN83" i="2"/>
  <c r="BN121" i="2"/>
  <c r="BN218" i="2"/>
  <c r="BN363" i="2"/>
  <c r="BN381" i="2"/>
  <c r="BN499" i="2"/>
  <c r="BN108" i="2"/>
  <c r="BN183" i="2"/>
  <c r="BN271" i="2"/>
  <c r="Z316" i="2"/>
  <c r="BN375" i="2"/>
  <c r="BN386" i="2"/>
  <c r="Z413" i="2"/>
  <c r="BN426" i="2"/>
  <c r="BN462" i="2"/>
  <c r="Z176" i="2"/>
  <c r="BN162" i="2"/>
  <c r="BN175" i="2"/>
  <c r="BN172" i="2"/>
  <c r="BN170" i="2"/>
  <c r="BN416" i="2"/>
  <c r="BN494" i="2"/>
  <c r="BN261" i="2"/>
  <c r="BN215" i="2"/>
  <c r="Z214" i="2"/>
  <c r="Y390" i="2"/>
  <c r="Y536" i="2"/>
  <c r="Y521" i="2"/>
  <c r="BN520" i="2"/>
  <c r="BP509" i="2"/>
  <c r="Z509" i="2"/>
  <c r="Z506" i="2"/>
  <c r="Z498" i="2"/>
  <c r="BN491" i="2"/>
  <c r="BN489" i="2"/>
  <c r="Z489" i="2"/>
  <c r="BN474" i="2"/>
  <c r="Y476" i="2"/>
  <c r="Y471" i="2"/>
  <c r="BN452" i="2"/>
  <c r="BN447" i="2"/>
  <c r="BN442" i="2"/>
  <c r="Y445" i="2"/>
  <c r="BP431" i="2"/>
  <c r="Z431" i="2"/>
  <c r="Y428" i="2"/>
  <c r="Z425" i="2"/>
  <c r="BP425" i="2"/>
  <c r="BN420" i="2"/>
  <c r="BP419" i="2"/>
  <c r="BN414" i="2"/>
  <c r="BP413" i="2"/>
  <c r="BP394" i="2"/>
  <c r="Y396" i="2"/>
  <c r="Z385" i="2"/>
  <c r="Y382" i="2"/>
  <c r="Z372" i="2"/>
  <c r="BN353" i="2"/>
  <c r="BN336" i="2"/>
  <c r="BN325" i="2"/>
  <c r="BN319" i="2"/>
  <c r="BN318" i="2"/>
  <c r="Z310" i="2"/>
  <c r="Y306" i="2"/>
  <c r="BN305" i="2"/>
  <c r="BP301" i="2"/>
  <c r="Z301" i="2"/>
  <c r="Z302" i="2" s="1"/>
  <c r="BN275" i="2"/>
  <c r="BN273" i="2"/>
  <c r="Z262" i="2"/>
  <c r="Z260" i="2"/>
  <c r="BP260" i="2"/>
  <c r="BN255" i="2"/>
  <c r="BN223" i="2"/>
  <c r="BN222" i="2"/>
  <c r="BN200" i="2"/>
  <c r="Z188" i="2"/>
  <c r="BP188" i="2"/>
  <c r="BN182" i="2"/>
  <c r="Z182" i="2"/>
  <c r="Z170" i="2"/>
  <c r="Y163" i="2"/>
  <c r="Z151" i="2"/>
  <c r="BN151" i="2"/>
  <c r="Z138" i="2"/>
  <c r="BP138" i="2"/>
  <c r="Z121" i="2"/>
  <c r="Z115" i="2"/>
  <c r="BN115" i="2"/>
  <c r="BP113" i="2"/>
  <c r="BN103" i="2"/>
  <c r="BN97" i="2"/>
  <c r="BN95" i="2"/>
  <c r="Y84" i="2"/>
  <c r="BN62" i="2"/>
  <c r="BN59" i="2"/>
  <c r="Z59" i="2"/>
  <c r="BP52" i="2"/>
  <c r="Z52" i="2"/>
  <c r="BN51" i="2"/>
  <c r="Y56" i="2"/>
  <c r="BP30" i="2"/>
  <c r="Z28" i="2"/>
  <c r="BP28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Z337" i="2" s="1"/>
  <c r="Y383" i="2"/>
  <c r="BP379" i="2"/>
  <c r="Z386" i="2"/>
  <c r="Y395" i="2"/>
  <c r="BP414" i="2"/>
  <c r="Y444" i="2"/>
  <c r="BP447" i="2"/>
  <c r="Z453" i="2"/>
  <c r="Z491" i="2"/>
  <c r="Z499" i="2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Z46" i="2" s="1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421" i="2" s="1"/>
  <c r="Z534" i="2"/>
  <c r="Y540" i="2"/>
  <c r="Y552" i="2"/>
  <c r="BN534" i="2"/>
  <c r="Y541" i="2"/>
  <c r="BN498" i="2"/>
  <c r="Z99" i="2" l="1"/>
  <c r="Z256" i="2"/>
  <c r="Z427" i="2"/>
  <c r="Z433" i="2"/>
  <c r="Z152" i="2"/>
  <c r="Z349" i="2"/>
  <c r="Z139" i="2"/>
  <c r="Z501" i="2"/>
  <c r="Z267" i="2"/>
  <c r="Z389" i="2"/>
  <c r="Z124" i="2"/>
  <c r="Z535" i="2"/>
  <c r="Z454" i="2"/>
  <c r="Z382" i="2"/>
  <c r="X545" i="2"/>
  <c r="Z328" i="2"/>
  <c r="Z67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<sst xmlns="http://schemas.openxmlformats.org/spreadsheetml/2006/main" count="4110" uniqueCount="873">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</sst>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872</v>
      </c>
      <c r="I5" s="976"/>
      <c r="J5" s="976"/>
      <c r="K5" s="976"/>
      <c r="L5" s="976"/>
      <c r="M5" s="976"/>
      <c r="N5" s="72"/>
      <c r="P5" s="27" t="s">
        <v>4</v>
      </c>
      <c r="Q5" s="978">
        <v>46228</v>
      </c>
      <c r="R5" s="978"/>
      <c r="T5" s="979" t="s">
        <v>3</v>
      </c>
      <c r="U5" s="980"/>
      <c r="V5" s="981" t="s">
        <v>853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854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Суббота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1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1" t="s">
        <v>76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hidden="1" customHeight="1" x14ac:dyDescent="0.25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hidden="1" customHeight="1" x14ac:dyDescent="0.25">
      <c r="A21" s="630" t="s">
        <v>77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30" t="s">
        <v>86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30" t="s">
        <v>104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hidden="1" customHeight="1" x14ac:dyDescent="0.25">
      <c r="A39" s="646" t="s">
        <v>110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hidden="1" customHeight="1" x14ac:dyDescent="0.25">
      <c r="A40" s="630" t="s">
        <v>86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32</v>
      </c>
      <c r="Y44" s="55">
        <f>IFERROR(IF(X44="",0,CEILING((X44/$H44),1)*$H44),"")</f>
        <v>32.64</v>
      </c>
      <c r="Z44" s="41">
        <f>IFERROR(IF(Y44=0,"",ROUNDUP(Y44/H44,0)*0.00651),"")</f>
        <v>0.11067</v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35</v>
      </c>
      <c r="BN44" s="78">
        <f>IFERROR(Y44*I44/H44,"0")</f>
        <v>35.70000000000001</v>
      </c>
      <c r="BO44" s="78">
        <f>IFERROR(1/J44*(X44/H44),"0")</f>
        <v>9.1575091575091583E-2</v>
      </c>
      <c r="BP44" s="78">
        <f>IFERROR(1/J44*(Y44/H44),"0")</f>
        <v>9.3406593406593408E-2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16.666666666666668</v>
      </c>
      <c r="Y46" s="43">
        <f>IFERROR(Y41/H41,"0")+IFERROR(Y42/H42,"0")+IFERROR(Y43/H43,"0")+IFERROR(Y44/H44,"0")+IFERROR(Y45/H45,"0")</f>
        <v>17</v>
      </c>
      <c r="Z46" s="43">
        <f>IFERROR(IF(Z41="",0,Z41),"0")+IFERROR(IF(Z42="",0,Z42),"0")+IFERROR(IF(Z43="",0,Z43),"0")+IFERROR(IF(Z44="",0,Z44),"0")+IFERROR(IF(Z45="",0,Z45),"0")</f>
        <v>0.11067</v>
      </c>
      <c r="AA46" s="67"/>
      <c r="AB46" s="67"/>
      <c r="AC46" s="67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32</v>
      </c>
      <c r="Y47" s="43">
        <f>IFERROR(SUM(Y41:Y45),"0")</f>
        <v>32.64</v>
      </c>
      <c r="Z47" s="42"/>
      <c r="AA47" s="67"/>
      <c r="AB47" s="67"/>
      <c r="AC47" s="67"/>
    </row>
    <row r="48" spans="1:68" ht="27.75" hidden="1" customHeight="1" x14ac:dyDescent="0.2">
      <c r="A48" s="651" t="s">
        <v>126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hidden="1" customHeight="1" x14ac:dyDescent="0.25">
      <c r="A49" s="646" t="s">
        <v>127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hidden="1" customHeight="1" x14ac:dyDescent="0.25">
      <c r="A50" s="630" t="s">
        <v>128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300</v>
      </c>
      <c r="Y51" s="55">
        <f>IFERROR(IF(X51="",0,CEILING((X51/$H51),1)*$H51),"")</f>
        <v>302.40000000000003</v>
      </c>
      <c r="Z51" s="41">
        <f>IFERROR(IF(Y51=0,"",ROUNDUP(Y51/H51,0)*0.01898),"")</f>
        <v>0.53144000000000002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311.38888888888891</v>
      </c>
      <c r="BN51" s="78">
        <f>IFERROR(Y51*I51/H51,"0")</f>
        <v>313.88</v>
      </c>
      <c r="BO51" s="78">
        <f>IFERROR(1/J51*(X51/H51),"0")</f>
        <v>0.43402777777777773</v>
      </c>
      <c r="BP51" s="78">
        <f>IFERROR(1/J51*(Y51/H51),"0")</f>
        <v>0.4375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200</v>
      </c>
      <c r="Y53" s="55">
        <f>IFERROR(IF(X53="",0,CEILING((X53/$H53),1)*$H53),"")</f>
        <v>200</v>
      </c>
      <c r="Z53" s="41">
        <f>IFERROR(IF(Y53=0,"",ROUNDUP(Y53/H53,0)*0.00902),"")</f>
        <v>0.45100000000000001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209.50000000000003</v>
      </c>
      <c r="BN53" s="78">
        <f>IFERROR(Y53*I53/H53,"0")</f>
        <v>209.50000000000003</v>
      </c>
      <c r="BO53" s="78">
        <f>IFERROR(1/J53*(X53/H53),"0")</f>
        <v>0.37878787878787878</v>
      </c>
      <c r="BP53" s="78">
        <f>IFERROR(1/J53*(Y53/H53),"0")</f>
        <v>0.37878787878787878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77.777777777777771</v>
      </c>
      <c r="Y55" s="43">
        <f>IFERROR(Y51/H51,"0")+IFERROR(Y52/H52,"0")+IFERROR(Y53/H53,"0")+IFERROR(Y54/H54,"0")</f>
        <v>78</v>
      </c>
      <c r="Z55" s="43">
        <f>IFERROR(IF(Z51="",0,Z51),"0")+IFERROR(IF(Z52="",0,Z52),"0")+IFERROR(IF(Z53="",0,Z53),"0")+IFERROR(IF(Z54="",0,Z54),"0")</f>
        <v>0.98243999999999998</v>
      </c>
      <c r="AA55" s="67"/>
      <c r="AB55" s="67"/>
      <c r="AC55" s="67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500</v>
      </c>
      <c r="Y56" s="43">
        <f>IFERROR(SUM(Y51:Y54),"0")</f>
        <v>502.40000000000003</v>
      </c>
      <c r="Z56" s="42"/>
      <c r="AA56" s="67"/>
      <c r="AB56" s="67"/>
      <c r="AC56" s="67"/>
    </row>
    <row r="57" spans="1:68" ht="16.5" hidden="1" customHeight="1" x14ac:dyDescent="0.25">
      <c r="A57" s="646" t="s">
        <v>143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hidden="1" customHeight="1" x14ac:dyDescent="0.25">
      <c r="A58" s="630" t="s">
        <v>128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200</v>
      </c>
      <c r="Y61" s="55">
        <f t="shared" si="0"/>
        <v>205.20000000000002</v>
      </c>
      <c r="Z61" s="41">
        <f>IFERROR(IF(Y61=0,"",ROUNDUP(Y61/H61,0)*0.01898),"")</f>
        <v>0.36062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207.59259259259258</v>
      </c>
      <c r="BN61" s="78">
        <f t="shared" si="2"/>
        <v>212.99</v>
      </c>
      <c r="BO61" s="78">
        <f t="shared" si="3"/>
        <v>0.28935185185185186</v>
      </c>
      <c r="BP61" s="78">
        <f t="shared" si="4"/>
        <v>0.296875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0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234.5</v>
      </c>
      <c r="BN66" s="78">
        <f t="shared" si="2"/>
        <v>234.5</v>
      </c>
      <c r="BO66" s="78">
        <f t="shared" si="3"/>
        <v>0.37878787878787878</v>
      </c>
      <c r="BP66" s="78">
        <f t="shared" si="4"/>
        <v>0.37878787878787878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68.518518518518519</v>
      </c>
      <c r="Y67" s="43">
        <f>IFERROR(Y59/H59,"0")+IFERROR(Y60/H60,"0")+IFERROR(Y61/H61,"0")+IFERROR(Y62/H62,"0")+IFERROR(Y63/H63,"0")+IFERROR(Y64/H64,"0")+IFERROR(Y65/H65,"0")+IFERROR(Y66/H66,"0")</f>
        <v>69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0.81162000000000001</v>
      </c>
      <c r="AA67" s="67"/>
      <c r="AB67" s="67"/>
      <c r="AC67" s="67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425</v>
      </c>
      <c r="Y68" s="43">
        <f>IFERROR(SUM(Y59:Y66),"0")</f>
        <v>430.20000000000005</v>
      </c>
      <c r="Z68" s="42"/>
      <c r="AA68" s="67"/>
      <c r="AB68" s="67"/>
      <c r="AC68" s="67"/>
    </row>
    <row r="69" spans="1:68" ht="14.25" hidden="1" customHeight="1" x14ac:dyDescent="0.25">
      <c r="A69" s="630" t="s">
        <v>164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200</v>
      </c>
      <c r="Y70" s="55">
        <f>IFERROR(IF(X70="",0,CEILING((X70/$H70),1)*$H70),"")</f>
        <v>205.20000000000002</v>
      </c>
      <c r="Z70" s="41">
        <f>IFERROR(IF(Y70=0,"",ROUNDUP(Y70/H70,0)*0.01898),"")</f>
        <v>0.36062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207.59259259259258</v>
      </c>
      <c r="BN70" s="78">
        <f>IFERROR(Y70*I70/H70,"0")</f>
        <v>212.99</v>
      </c>
      <c r="BO70" s="78">
        <f>IFERROR(1/J70*(X70/H70),"0")</f>
        <v>0.28935185185185186</v>
      </c>
      <c r="BP70" s="78">
        <f>IFERROR(1/J70*(Y70/H70),"0")</f>
        <v>0.296875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180</v>
      </c>
      <c r="Y73" s="55">
        <f>IFERROR(IF(X73="",0,CEILING((X73/$H73),1)*$H73),"")</f>
        <v>180.9</v>
      </c>
      <c r="Z73" s="41">
        <f>IFERROR(IF(Y73=0,"",ROUNDUP(Y73/H73,0)*0.00651),"")</f>
        <v>0.43617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191.99999999999997</v>
      </c>
      <c r="BN73" s="78">
        <f>IFERROR(Y73*I73/H73,"0")</f>
        <v>192.95999999999998</v>
      </c>
      <c r="BO73" s="78">
        <f>IFERROR(1/J73*(X73/H73),"0")</f>
        <v>0.36630036630036628</v>
      </c>
      <c r="BP73" s="78">
        <f>IFERROR(1/J73*(Y73/H73),"0")</f>
        <v>0.36813186813186816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85.185185185185176</v>
      </c>
      <c r="Y74" s="43">
        <f>IFERROR(Y70/H70,"0")+IFERROR(Y71/H71,"0")+IFERROR(Y72/H72,"0")+IFERROR(Y73/H73,"0")</f>
        <v>86</v>
      </c>
      <c r="Z74" s="43">
        <f>IFERROR(IF(Z70="",0,Z70),"0")+IFERROR(IF(Z71="",0,Z71),"0")+IFERROR(IF(Z72="",0,Z72),"0")+IFERROR(IF(Z73="",0,Z73),"0")</f>
        <v>0.79679</v>
      </c>
      <c r="AA74" s="67"/>
      <c r="AB74" s="67"/>
      <c r="AC74" s="67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380</v>
      </c>
      <c r="Y75" s="43">
        <f>IFERROR(SUM(Y70:Y73),"0")</f>
        <v>386.1</v>
      </c>
      <c r="Z75" s="42"/>
      <c r="AA75" s="67"/>
      <c r="AB75" s="67"/>
      <c r="AC75" s="67"/>
    </row>
    <row r="76" spans="1:68" ht="14.25" hidden="1" customHeight="1" x14ac:dyDescent="0.25">
      <c r="A76" s="630" t="s">
        <v>86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30" t="s">
        <v>181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100</v>
      </c>
      <c r="Y82" s="55">
        <f>IFERROR(IF(X82="",0,CEILING((X82/$H82),1)*$H82),"")</f>
        <v>101.39999999999999</v>
      </c>
      <c r="Z82" s="41">
        <f>IFERROR(IF(Y82=0,"",ROUNDUP(Y82/H82,0)*0.01898),"")</f>
        <v>0.24674000000000001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105.25641025641028</v>
      </c>
      <c r="BN82" s="78">
        <f>IFERROR(Y82*I82/H82,"0")</f>
        <v>106.73</v>
      </c>
      <c r="BO82" s="78">
        <f>IFERROR(1/J82*(X82/H82),"0")</f>
        <v>0.20032051282051283</v>
      </c>
      <c r="BP82" s="78">
        <f>IFERROR(1/J82*(Y82/H82),"0")</f>
        <v>0.203125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12.820512820512821</v>
      </c>
      <c r="Y84" s="43">
        <f>IFERROR(Y82/H82,"0")+IFERROR(Y83/H83,"0")</f>
        <v>13</v>
      </c>
      <c r="Z84" s="43">
        <f>IFERROR(IF(Z82="",0,Z82),"0")+IFERROR(IF(Z83="",0,Z83),"0")</f>
        <v>0.24674000000000001</v>
      </c>
      <c r="AA84" s="67"/>
      <c r="AB84" s="67"/>
      <c r="AC84" s="67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100</v>
      </c>
      <c r="Y85" s="43">
        <f>IFERROR(SUM(Y82:Y83),"0")</f>
        <v>101.39999999999999</v>
      </c>
      <c r="Z85" s="42"/>
      <c r="AA85" s="67"/>
      <c r="AB85" s="67"/>
      <c r="AC85" s="67"/>
    </row>
    <row r="86" spans="1:68" ht="16.5" hidden="1" customHeight="1" x14ac:dyDescent="0.25">
      <c r="A86" s="646" t="s">
        <v>188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hidden="1" customHeight="1" x14ac:dyDescent="0.25">
      <c r="A87" s="630" t="s">
        <v>128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225</v>
      </c>
      <c r="Y91" s="55">
        <f>IFERROR(IF(X91="",0,CEILING((X91/$H91),1)*$H91),"")</f>
        <v>225</v>
      </c>
      <c r="Z91" s="41">
        <f>IFERROR(IF(Y91=0,"",ROUNDUP(Y91/H91,0)*0.00902),"")</f>
        <v>0.45100000000000001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234.5</v>
      </c>
      <c r="BN91" s="78">
        <f>IFERROR(Y91*I91/H91,"0")</f>
        <v>234.5</v>
      </c>
      <c r="BO91" s="78">
        <f>IFERROR(1/J91*(X91/H91),"0")</f>
        <v>0.37878787878787878</v>
      </c>
      <c r="BP91" s="78">
        <f>IFERROR(1/J91*(Y91/H91),"0")</f>
        <v>0.37878787878787878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68.518518518518519</v>
      </c>
      <c r="Y92" s="43">
        <f>IFERROR(Y88/H88,"0")+IFERROR(Y89/H89,"0")+IFERROR(Y90/H90,"0")+IFERROR(Y91/H91,"0")</f>
        <v>69</v>
      </c>
      <c r="Z92" s="43">
        <f>IFERROR(IF(Z88="",0,Z88),"0")+IFERROR(IF(Z89="",0,Z89),"0")+IFERROR(IF(Z90="",0,Z90),"0")+IFERROR(IF(Z91="",0,Z91),"0")</f>
        <v>0.81162000000000001</v>
      </c>
      <c r="AA92" s="67"/>
      <c r="AB92" s="67"/>
      <c r="AC92" s="67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425</v>
      </c>
      <c r="Y93" s="43">
        <f>IFERROR(SUM(Y88:Y91),"0")</f>
        <v>430.20000000000005</v>
      </c>
      <c r="Z93" s="42"/>
      <c r="AA93" s="67"/>
      <c r="AB93" s="67"/>
      <c r="AC93" s="67"/>
    </row>
    <row r="94" spans="1:68" ht="14.25" hidden="1" customHeight="1" x14ac:dyDescent="0.25">
      <c r="A94" s="630" t="s">
        <v>86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200</v>
      </c>
      <c r="Y95" s="55">
        <f>IFERROR(IF(X95="",0,CEILING((X95/$H95),1)*$H95),"")</f>
        <v>202.5</v>
      </c>
      <c r="Z95" s="41">
        <f>IFERROR(IF(Y95=0,"",ROUNDUP(Y95/H95,0)*0.01898),"")</f>
        <v>0.47450000000000003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212.19753086419755</v>
      </c>
      <c r="BN95" s="78">
        <f>IFERROR(Y95*I95/H95,"0")</f>
        <v>214.85</v>
      </c>
      <c r="BO95" s="78">
        <f>IFERROR(1/J95*(X95/H95),"0")</f>
        <v>0.38580246913580246</v>
      </c>
      <c r="BP95" s="78">
        <f>IFERROR(1/J95*(Y95/H95),"0")</f>
        <v>0.390625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675</v>
      </c>
      <c r="Y97" s="55">
        <f>IFERROR(IF(X97="",0,CEILING((X97/$H97),1)*$H97),"")</f>
        <v>675</v>
      </c>
      <c r="Z97" s="41">
        <f>IFERROR(IF(Y97=0,"",ROUNDUP(Y97/H97,0)*0.00651),"")</f>
        <v>1.6274999999999999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737.99999999999989</v>
      </c>
      <c r="BN97" s="78">
        <f>IFERROR(Y97*I97/H97,"0")</f>
        <v>737.99999999999989</v>
      </c>
      <c r="BO97" s="78">
        <f>IFERROR(1/J97*(X97/H97),"0")</f>
        <v>1.3736263736263736</v>
      </c>
      <c r="BP97" s="78">
        <f>IFERROR(1/J97*(Y97/H97),"0")</f>
        <v>1.3736263736263736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274.69135802469134</v>
      </c>
      <c r="Y99" s="43">
        <f>IFERROR(Y95/H95,"0")+IFERROR(Y96/H96,"0")+IFERROR(Y97/H97,"0")+IFERROR(Y98/H98,"0")</f>
        <v>275</v>
      </c>
      <c r="Z99" s="43">
        <f>IFERROR(IF(Z95="",0,Z95),"0")+IFERROR(IF(Z96="",0,Z96),"0")+IFERROR(IF(Z97="",0,Z97),"0")+IFERROR(IF(Z98="",0,Z98),"0")</f>
        <v>2.1019999999999999</v>
      </c>
      <c r="AA99" s="67"/>
      <c r="AB99" s="67"/>
      <c r="AC99" s="67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875</v>
      </c>
      <c r="Y100" s="43">
        <f>IFERROR(SUM(Y95:Y98),"0")</f>
        <v>877.5</v>
      </c>
      <c r="Z100" s="42"/>
      <c r="AA100" s="67"/>
      <c r="AB100" s="67"/>
      <c r="AC100" s="67"/>
    </row>
    <row r="101" spans="1:68" ht="16.5" hidden="1" customHeight="1" x14ac:dyDescent="0.25">
      <c r="A101" s="646" t="s">
        <v>209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hidden="1" customHeight="1" x14ac:dyDescent="0.25">
      <c r="A102" s="630" t="s">
        <v>128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135</v>
      </c>
      <c r="Y107" s="55">
        <f t="shared" si="5"/>
        <v>135</v>
      </c>
      <c r="Z107" s="41">
        <f>IFERROR(IF(Y107=0,"",ROUNDUP(Y107/H107,0)*0.00902),"")</f>
        <v>0.27060000000000001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140.70000000000002</v>
      </c>
      <c r="BN107" s="78">
        <f t="shared" si="7"/>
        <v>140.70000000000002</v>
      </c>
      <c r="BO107" s="78">
        <f t="shared" si="8"/>
        <v>0.22727272727272729</v>
      </c>
      <c r="BP107" s="78">
        <f t="shared" si="9"/>
        <v>0.22727272727272729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32.777777777777779</v>
      </c>
      <c r="Y109" s="43">
        <f>IFERROR(Y103/H103,"0")+IFERROR(Y104/H104,"0")+IFERROR(Y105/H105,"0")+IFERROR(Y106/H106,"0")+IFERROR(Y107/H107,"0")+IFERROR(Y108/H108,"0")</f>
        <v>33</v>
      </c>
      <c r="Z109" s="43">
        <f>IFERROR(IF(Z103="",0,Z103),"0")+IFERROR(IF(Z104="",0,Z104),"0")+IFERROR(IF(Z105="",0,Z105),"0")+IFERROR(IF(Z106="",0,Z106),"0")+IFERROR(IF(Z107="",0,Z107),"0")+IFERROR(IF(Z108="",0,Z108),"0")</f>
        <v>0.32754</v>
      </c>
      <c r="AA109" s="67"/>
      <c r="AB109" s="67"/>
      <c r="AC109" s="67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165</v>
      </c>
      <c r="Y110" s="43">
        <f>IFERROR(SUM(Y103:Y108),"0")</f>
        <v>167.4</v>
      </c>
      <c r="Z110" s="42"/>
      <c r="AA110" s="67"/>
      <c r="AB110" s="67"/>
      <c r="AC110" s="67"/>
    </row>
    <row r="111" spans="1:68" ht="14.25" hidden="1" customHeight="1" x14ac:dyDescent="0.25">
      <c r="A111" s="630" t="s">
        <v>164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30" t="s">
        <v>86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1000</v>
      </c>
      <c r="Y120" s="55">
        <f>IFERROR(IF(X120="",0,CEILING((X120/$H120),1)*$H120),"")</f>
        <v>1004.4</v>
      </c>
      <c r="Z120" s="41">
        <f>IFERROR(IF(Y120=0,"",ROUNDUP(Y120/H120,0)*0.01898),"")</f>
        <v>2.3535200000000001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1060.2469135802469</v>
      </c>
      <c r="BN120" s="78">
        <f>IFERROR(Y120*I120/H120,"0")</f>
        <v>1064.9119999999998</v>
      </c>
      <c r="BO120" s="78">
        <f>IFERROR(1/J120*(X120/H120),"0")</f>
        <v>1.9290123456790125</v>
      </c>
      <c r="BP120" s="78">
        <f>IFERROR(1/J120*(Y120/H120),"0")</f>
        <v>1.9375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675</v>
      </c>
      <c r="Y122" s="55">
        <f>IFERROR(IF(X122="",0,CEILING((X122/$H122),1)*$H122),"")</f>
        <v>675</v>
      </c>
      <c r="Z122" s="41">
        <f>IFERROR(IF(Y122=0,"",ROUNDUP(Y122/H122,0)*0.00651),"")</f>
        <v>1.6274999999999999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737.99999999999989</v>
      </c>
      <c r="BN122" s="78">
        <f>IFERROR(Y122*I122/H122,"0")</f>
        <v>737.99999999999989</v>
      </c>
      <c r="BO122" s="78">
        <f>IFERROR(1/J122*(X122/H122),"0")</f>
        <v>1.3736263736263736</v>
      </c>
      <c r="BP122" s="78">
        <f>IFERROR(1/J122*(Y122/H122),"0")</f>
        <v>1.3736263736263736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60</v>
      </c>
      <c r="Y123" s="55">
        <f>IFERROR(IF(X123="",0,CEILING((X123/$H123),1)*$H123),"")</f>
        <v>61.2</v>
      </c>
      <c r="Z123" s="41">
        <f>IFERROR(IF(Y123=0,"",ROUNDUP(Y123/H123,0)*0.00651),"")</f>
        <v>0.22134000000000001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66</v>
      </c>
      <c r="BN123" s="78">
        <f>IFERROR(Y123*I123/H123,"0")</f>
        <v>67.319999999999993</v>
      </c>
      <c r="BO123" s="78">
        <f>IFERROR(1/J123*(X123/H123),"0")</f>
        <v>0.18315018315018317</v>
      </c>
      <c r="BP123" s="78">
        <f>IFERROR(1/J123*(Y123/H123),"0")</f>
        <v>0.18681318681318682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406.79012345679007</v>
      </c>
      <c r="Y124" s="43">
        <f>IFERROR(Y120/H120,"0")+IFERROR(Y121/H121,"0")+IFERROR(Y122/H122,"0")+IFERROR(Y123/H123,"0")</f>
        <v>408</v>
      </c>
      <c r="Z124" s="43">
        <f>IFERROR(IF(Z120="",0,Z120),"0")+IFERROR(IF(Z121="",0,Z121),"0")+IFERROR(IF(Z122="",0,Z122),"0")+IFERROR(IF(Z123="",0,Z123),"0")</f>
        <v>4.2023599999999997</v>
      </c>
      <c r="AA124" s="67"/>
      <c r="AB124" s="67"/>
      <c r="AC124" s="67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1735</v>
      </c>
      <c r="Y125" s="43">
        <f>IFERROR(SUM(Y120:Y123),"0")</f>
        <v>1740.6000000000001</v>
      </c>
      <c r="Z125" s="42"/>
      <c r="AA125" s="67"/>
      <c r="AB125" s="67"/>
      <c r="AC125" s="67"/>
    </row>
    <row r="126" spans="1:68" ht="14.25" hidden="1" customHeight="1" x14ac:dyDescent="0.25">
      <c r="A126" s="630" t="s">
        <v>181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66</v>
      </c>
      <c r="Y127" s="55">
        <f>IFERROR(IF(X127="",0,CEILING((X127/$H127),1)*$H127),"")</f>
        <v>67.319999999999993</v>
      </c>
      <c r="Z127" s="41">
        <f>IFERROR(IF(Y127=0,"",ROUNDUP(Y127/H127,0)*0.00651),"")</f>
        <v>0.22134000000000001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74.599999999999994</v>
      </c>
      <c r="BN127" s="78">
        <f>IFERROR(Y127*I127/H127,"0")</f>
        <v>76.091999999999985</v>
      </c>
      <c r="BO127" s="78">
        <f>IFERROR(1/J127*(X127/H127),"0")</f>
        <v>0.18315018315018317</v>
      </c>
      <c r="BP127" s="78">
        <f>IFERROR(1/J127*(Y127/H127),"0")</f>
        <v>0.18681318681318682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33.333333333333336</v>
      </c>
      <c r="Y128" s="43">
        <f>IFERROR(Y127/H127,"0")</f>
        <v>34</v>
      </c>
      <c r="Z128" s="43">
        <f>IFERROR(IF(Z127="",0,Z127),"0")</f>
        <v>0.22134000000000001</v>
      </c>
      <c r="AA128" s="67"/>
      <c r="AB128" s="67"/>
      <c r="AC128" s="67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66</v>
      </c>
      <c r="Y129" s="43">
        <f>IFERROR(SUM(Y127:Y127),"0")</f>
        <v>67.319999999999993</v>
      </c>
      <c r="Z129" s="42"/>
      <c r="AA129" s="67"/>
      <c r="AB129" s="67"/>
      <c r="AC129" s="67"/>
    </row>
    <row r="130" spans="1:68" ht="16.5" hidden="1" customHeight="1" x14ac:dyDescent="0.25">
      <c r="A130" s="646" t="s">
        <v>248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hidden="1" customHeight="1" x14ac:dyDescent="0.25">
      <c r="A131" s="630" t="s">
        <v>128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40</v>
      </c>
      <c r="Y133" s="55">
        <f>IFERROR(IF(X133="",0,CEILING((X133/$H133),1)*$H133),"")</f>
        <v>41.6</v>
      </c>
      <c r="Z133" s="41">
        <f>IFERROR(IF(Y133=0,"",ROUNDUP(Y133/H133,0)*0.00651),"")</f>
        <v>8.4629999999999997E-2</v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42.249999999999993</v>
      </c>
      <c r="BN133" s="78">
        <f>IFERROR(Y133*I133/H133,"0")</f>
        <v>43.94</v>
      </c>
      <c r="BO133" s="78">
        <f>IFERROR(1/J133*(X133/H133),"0")</f>
        <v>6.8681318681318687E-2</v>
      </c>
      <c r="BP133" s="78">
        <f>IFERROR(1/J133*(Y133/H133),"0")</f>
        <v>7.1428571428571438E-2</v>
      </c>
    </row>
    <row r="134" spans="1:68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12.5</v>
      </c>
      <c r="Y134" s="43">
        <f>IFERROR(Y132/H132,"0")+IFERROR(Y133/H133,"0")</f>
        <v>13</v>
      </c>
      <c r="Z134" s="43">
        <f>IFERROR(IF(Z132="",0,Z132),"0")+IFERROR(IF(Z133="",0,Z133),"0")</f>
        <v>8.4629999999999997E-2</v>
      </c>
      <c r="AA134" s="67"/>
      <c r="AB134" s="67"/>
      <c r="AC134" s="67"/>
    </row>
    <row r="135" spans="1:68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40</v>
      </c>
      <c r="Y135" s="43">
        <f>IFERROR(SUM(Y132:Y133),"0")</f>
        <v>41.6</v>
      </c>
      <c r="Z135" s="42"/>
      <c r="AA135" s="67"/>
      <c r="AB135" s="67"/>
      <c r="AC135" s="67"/>
    </row>
    <row r="136" spans="1:68" ht="14.25" hidden="1" customHeight="1" x14ac:dyDescent="0.25">
      <c r="A136" s="630" t="s">
        <v>77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35</v>
      </c>
      <c r="Y137" s="55">
        <f>IFERROR(IF(X137="",0,CEILING((X137/$H137),1)*$H137),"")</f>
        <v>36.4</v>
      </c>
      <c r="Z137" s="41">
        <f>IFERROR(IF(Y137=0,"",ROUNDUP(Y137/H137,0)*0.00651),"")</f>
        <v>8.4629999999999997E-2</v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38.35</v>
      </c>
      <c r="BN137" s="78">
        <f>IFERROR(Y137*I137/H137,"0")</f>
        <v>39.884</v>
      </c>
      <c r="BO137" s="78">
        <f>IFERROR(1/J137*(X137/H137),"0")</f>
        <v>6.8681318681318687E-2</v>
      </c>
      <c r="BP137" s="78">
        <f>IFERROR(1/J137*(Y137/H137),"0")</f>
        <v>7.1428571428571438E-2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12.5</v>
      </c>
      <c r="Y139" s="43">
        <f>IFERROR(Y137/H137,"0")+IFERROR(Y138/H138,"0")</f>
        <v>13</v>
      </c>
      <c r="Z139" s="43">
        <f>IFERROR(IF(Z137="",0,Z137),"0")+IFERROR(IF(Z138="",0,Z138),"0")</f>
        <v>8.4629999999999997E-2</v>
      </c>
      <c r="AA139" s="67"/>
      <c r="AB139" s="67"/>
      <c r="AC139" s="67"/>
    </row>
    <row r="140" spans="1:68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35</v>
      </c>
      <c r="Y140" s="43">
        <f>IFERROR(SUM(Y137:Y138),"0")</f>
        <v>36.4</v>
      </c>
      <c r="Z140" s="42"/>
      <c r="AA140" s="67"/>
      <c r="AB140" s="67"/>
      <c r="AC140" s="67"/>
    </row>
    <row r="141" spans="1:68" ht="14.25" hidden="1" customHeight="1" x14ac:dyDescent="0.25">
      <c r="A141" s="630" t="s">
        <v>86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82.5</v>
      </c>
      <c r="Y142" s="55">
        <f>IFERROR(IF(X142="",0,CEILING((X142/$H142),1)*$H142),"")</f>
        <v>84.48</v>
      </c>
      <c r="Z142" s="41">
        <f>IFERROR(IF(Y142=0,"",ROUNDUP(Y142/H142,0)*0.00651),"")</f>
        <v>0.20832000000000001</v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90.875</v>
      </c>
      <c r="BN142" s="78">
        <f>IFERROR(Y142*I142/H142,"0")</f>
        <v>93.055999999999997</v>
      </c>
      <c r="BO142" s="78">
        <f>IFERROR(1/J142*(X142/H142),"0")</f>
        <v>0.1717032967032967</v>
      </c>
      <c r="BP142" s="78">
        <f>IFERROR(1/J142*(Y142/H142),"0")</f>
        <v>0.17582417582417584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31.25</v>
      </c>
      <c r="Y144" s="43">
        <f>IFERROR(Y142/H142,"0")+IFERROR(Y143/H143,"0")</f>
        <v>32</v>
      </c>
      <c r="Z144" s="43">
        <f>IFERROR(IF(Z142="",0,Z142),"0")+IFERROR(IF(Z143="",0,Z143),"0")</f>
        <v>0.20832000000000001</v>
      </c>
      <c r="AA144" s="67"/>
      <c r="AB144" s="67"/>
      <c r="AC144" s="67"/>
    </row>
    <row r="145" spans="1:68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82.5</v>
      </c>
      <c r="Y145" s="43">
        <f>IFERROR(SUM(Y142:Y143),"0")</f>
        <v>84.48</v>
      </c>
      <c r="Z145" s="42"/>
      <c r="AA145" s="67"/>
      <c r="AB145" s="67"/>
      <c r="AC145" s="67"/>
    </row>
    <row r="146" spans="1:68" ht="16.5" hidden="1" customHeight="1" x14ac:dyDescent="0.25">
      <c r="A146" s="646" t="s">
        <v>260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hidden="1" customHeight="1" x14ac:dyDescent="0.25">
      <c r="A147" s="630" t="s">
        <v>86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46" t="s">
        <v>126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hidden="1" customHeight="1" x14ac:dyDescent="0.25">
      <c r="A155" s="630" t="s">
        <v>128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30" t="s">
        <v>164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6</v>
      </c>
      <c r="Y162" s="55">
        <f>IFERROR(IF(X162="",0,CEILING((X162/$H162),1)*$H162),"")</f>
        <v>6.4799999999999995</v>
      </c>
      <c r="Z162" s="41">
        <f>IFERROR(IF(Y162=0,"",ROUNDUP(Y162/H162,0)*0.00556),"")</f>
        <v>5.0040000000000001E-2</v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7.083333333333333</v>
      </c>
      <c r="BN162" s="78">
        <f>IFERROR(Y162*I162/H162,"0")</f>
        <v>7.6499999999999995</v>
      </c>
      <c r="BO162" s="78">
        <f>IFERROR(1/J162*(X162/H162),"0")</f>
        <v>3.3068783068783067E-2</v>
      </c>
      <c r="BP162" s="78">
        <f>IFERROR(1/J162*(Y162/H162),"0")</f>
        <v>3.5714285714285712E-2</v>
      </c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8.3333333333333339</v>
      </c>
      <c r="Y163" s="43">
        <f>IFERROR(Y162/H162,"0")</f>
        <v>9</v>
      </c>
      <c r="Z163" s="43">
        <f>IFERROR(IF(Z162="",0,Z162),"0")</f>
        <v>5.0040000000000001E-2</v>
      </c>
      <c r="AA163" s="67"/>
      <c r="AB163" s="67"/>
      <c r="AC163" s="67"/>
    </row>
    <row r="164" spans="1:68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6</v>
      </c>
      <c r="Y164" s="43">
        <f>IFERROR(SUM(Y162:Y162),"0")</f>
        <v>6.4799999999999995</v>
      </c>
      <c r="Z164" s="42"/>
      <c r="AA164" s="67"/>
      <c r="AB164" s="67"/>
      <c r="AC164" s="67"/>
    </row>
    <row r="165" spans="1:68" ht="14.25" hidden="1" customHeight="1" x14ac:dyDescent="0.25">
      <c r="A165" s="630" t="s">
        <v>77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200</v>
      </c>
      <c r="Y166" s="55">
        <f t="shared" ref="Y166:Y177" si="10">IFERROR(IF(X166="",0,CEILING((X166/$H166),1)*$H166),"")</f>
        <v>203</v>
      </c>
      <c r="Z166" s="41">
        <f>IFERROR(IF(Y166=0,"",ROUNDUP(Y166/H166,0)*0.00902),"")</f>
        <v>0.52316000000000007</v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210.85714285714286</v>
      </c>
      <c r="BN166" s="78">
        <f t="shared" ref="BN166:BN177" si="12">IFERROR(Y166*I166/H166,"0")</f>
        <v>214.01999999999998</v>
      </c>
      <c r="BO166" s="78">
        <f t="shared" ref="BO166:BO177" si="13">IFERROR(1/J166*(X166/H166),"0")</f>
        <v>0.43290043290043295</v>
      </c>
      <c r="BP166" s="78">
        <f t="shared" ref="BP166:BP177" si="14">IFERROR(1/J166*(Y166/H166),"0")</f>
        <v>0.43939393939393939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200</v>
      </c>
      <c r="Y169" s="55">
        <f t="shared" si="10"/>
        <v>203</v>
      </c>
      <c r="Z169" s="41">
        <f>IFERROR(IF(Y169=0,"",ROUNDUP(Y169/H169,0)*0.00902),"")</f>
        <v>0.52316000000000007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210.85714285714286</v>
      </c>
      <c r="BN169" s="78">
        <f t="shared" si="12"/>
        <v>214.01999999999998</v>
      </c>
      <c r="BO169" s="78">
        <f t="shared" si="13"/>
        <v>0.43290043290043295</v>
      </c>
      <c r="BP169" s="78">
        <f t="shared" si="14"/>
        <v>0.43939393939393939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300</v>
      </c>
      <c r="Y170" s="55">
        <f t="shared" si="10"/>
        <v>301</v>
      </c>
      <c r="Z170" s="41">
        <f>IFERROR(IF(Y170=0,"",ROUNDUP(Y170/H170,0)*0.00902),"")</f>
        <v>0.77571999999999997</v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316.28571428571428</v>
      </c>
      <c r="BN170" s="78">
        <f t="shared" si="12"/>
        <v>317.34000000000003</v>
      </c>
      <c r="BO170" s="78">
        <f t="shared" si="13"/>
        <v>0.64935064935064934</v>
      </c>
      <c r="BP170" s="78">
        <f t="shared" si="14"/>
        <v>0.65151515151515149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4.5</v>
      </c>
      <c r="Y171" s="55">
        <f t="shared" si="10"/>
        <v>4.5</v>
      </c>
      <c r="Z171" s="41">
        <f>IFERROR(IF(Y171=0,"",ROUNDUP(Y171/H171,0)*0.00417),"")</f>
        <v>2.085E-2</v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5.55</v>
      </c>
      <c r="BN171" s="78">
        <f t="shared" si="12"/>
        <v>5.55</v>
      </c>
      <c r="BO171" s="78">
        <f t="shared" si="13"/>
        <v>1.488095238095238E-2</v>
      </c>
      <c r="BP171" s="78">
        <f t="shared" si="14"/>
        <v>1.488095238095238E-2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70</v>
      </c>
      <c r="Y172" s="55">
        <f t="shared" si="10"/>
        <v>70.56</v>
      </c>
      <c r="Z172" s="41">
        <f>IFERROR(IF(Y172=0,"",ROUNDUP(Y172/H172,0)*0.00502),"")</f>
        <v>0.21084</v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74.166666666666671</v>
      </c>
      <c r="BN172" s="78">
        <f t="shared" si="12"/>
        <v>74.760000000000005</v>
      </c>
      <c r="BO172" s="78">
        <f t="shared" si="13"/>
        <v>0.17806267806267811</v>
      </c>
      <c r="BP172" s="78">
        <f t="shared" si="14"/>
        <v>0.17948717948717952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28.000000000000004</v>
      </c>
      <c r="Y175" s="55">
        <f t="shared" si="10"/>
        <v>28.56</v>
      </c>
      <c r="Z175" s="41">
        <f>IFERROR(IF(Y175=0,"",ROUNDUP(Y175/H175,0)*0.00502),"")</f>
        <v>8.5339999999999999E-2</v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29.666666666666675</v>
      </c>
      <c r="BN175" s="78">
        <f t="shared" si="12"/>
        <v>30.259999999999998</v>
      </c>
      <c r="BO175" s="78">
        <f t="shared" si="13"/>
        <v>7.122507122507124E-2</v>
      </c>
      <c r="BP175" s="78">
        <f t="shared" si="14"/>
        <v>7.2649572649572655E-2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4.5</v>
      </c>
      <c r="Y176" s="55">
        <f t="shared" si="10"/>
        <v>4.5</v>
      </c>
      <c r="Z176" s="41">
        <f>IFERROR(IF(Y176=0,"",ROUNDUP(Y176/H176,0)*0.00417),"")</f>
        <v>2.085E-2</v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5</v>
      </c>
      <c r="BN176" s="78">
        <f t="shared" si="12"/>
        <v>5</v>
      </c>
      <c r="BO176" s="78">
        <f t="shared" si="13"/>
        <v>1.488095238095238E-2</v>
      </c>
      <c r="BP176" s="78">
        <f t="shared" si="14"/>
        <v>1.488095238095238E-2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56.000000000000007</v>
      </c>
      <c r="Y177" s="55">
        <f t="shared" si="10"/>
        <v>57.12</v>
      </c>
      <c r="Z177" s="41">
        <f>IFERROR(IF(Y177=0,"",ROUNDUP(Y177/H177,0)*0.00502),"")</f>
        <v>0.17068</v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59.33333333333335</v>
      </c>
      <c r="BN177" s="78">
        <f t="shared" si="12"/>
        <v>60.519999999999996</v>
      </c>
      <c r="BO177" s="78">
        <f t="shared" si="13"/>
        <v>0.14245014245014248</v>
      </c>
      <c r="BP177" s="78">
        <f t="shared" si="14"/>
        <v>0.14529914529914531</v>
      </c>
    </row>
    <row r="178" spans="1:68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301.66666666666669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305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2.3306</v>
      </c>
      <c r="AA178" s="67"/>
      <c r="AB178" s="67"/>
      <c r="AC178" s="67"/>
    </row>
    <row r="179" spans="1:68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863</v>
      </c>
      <c r="Y179" s="43">
        <f>IFERROR(SUM(Y166:Y177),"0")</f>
        <v>872.2399999999999</v>
      </c>
      <c r="Z179" s="42"/>
      <c r="AA179" s="67"/>
      <c r="AB179" s="67"/>
      <c r="AC179" s="67"/>
    </row>
    <row r="180" spans="1:68" ht="14.25" hidden="1" customHeight="1" x14ac:dyDescent="0.25">
      <c r="A180" s="630" t="s">
        <v>86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30" t="s">
        <v>104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30" t="s">
        <v>334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51" t="s">
        <v>338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hidden="1" customHeight="1" x14ac:dyDescent="0.25">
      <c r="A196" s="646" t="s">
        <v>339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hidden="1" customHeight="1" x14ac:dyDescent="0.25">
      <c r="A197" s="630" t="s">
        <v>128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46" t="s">
        <v>360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hidden="1" customHeight="1" x14ac:dyDescent="0.25">
      <c r="A208" s="630" t="s">
        <v>164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30" t="s">
        <v>77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30</v>
      </c>
      <c r="Y213" s="55">
        <f t="shared" ref="Y213:Y226" si="21">IFERROR(IF(X213="",0,CEILING((X213/$H213),1)*$H213),"")</f>
        <v>33.6</v>
      </c>
      <c r="Z213" s="41">
        <f>IFERROR(IF(Y213=0,"",ROUNDUP(Y213/H213,0)*0.00902),"")</f>
        <v>7.2160000000000002E-2</v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31.785714285714285</v>
      </c>
      <c r="BN213" s="78">
        <f t="shared" ref="BN213:BN226" si="23">IFERROR(Y213*I213/H213,"0")</f>
        <v>35.6</v>
      </c>
      <c r="BO213" s="78">
        <f t="shared" ref="BO213:BO226" si="24">IFERROR(1/J213*(X213/H213),"0")</f>
        <v>5.4112554112554112E-2</v>
      </c>
      <c r="BP213" s="78">
        <f t="shared" ref="BP213:BP226" si="25">IFERROR(1/J213*(Y213/H213),"0")</f>
        <v>6.0606060606060608E-2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20</v>
      </c>
      <c r="Y214" s="55">
        <f t="shared" si="21"/>
        <v>21</v>
      </c>
      <c r="Z214" s="41">
        <f>IFERROR(IF(Y214=0,"",ROUNDUP(Y214/H214,0)*0.00902),"")</f>
        <v>4.5100000000000001E-2</v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21.19047619047619</v>
      </c>
      <c r="BN214" s="78">
        <f t="shared" si="23"/>
        <v>22.25</v>
      </c>
      <c r="BO214" s="78">
        <f t="shared" si="24"/>
        <v>3.6075036075036072E-2</v>
      </c>
      <c r="BP214" s="78">
        <f t="shared" si="25"/>
        <v>3.787878787878788E-2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21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31.357142857142854</v>
      </c>
      <c r="BN215" s="78">
        <f t="shared" si="23"/>
        <v>35.119999999999997</v>
      </c>
      <c r="BO215" s="78">
        <f t="shared" si="24"/>
        <v>5.4112554112554112E-2</v>
      </c>
      <c r="BP215" s="78">
        <f t="shared" si="25"/>
        <v>6.0606060606060608E-2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8</v>
      </c>
      <c r="Y216" s="55">
        <f t="shared" si="21"/>
        <v>8</v>
      </c>
      <c r="Z216" s="41">
        <f>IFERROR(IF(Y216=0,"",ROUNDUP(Y216/H216,0)*0.00556),"")</f>
        <v>5.5599999999999997E-2</v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9.3000000000000007</v>
      </c>
      <c r="BN216" s="78">
        <f t="shared" si="23"/>
        <v>9.3000000000000007</v>
      </c>
      <c r="BO216" s="78">
        <f t="shared" si="24"/>
        <v>3.968253968253968E-2</v>
      </c>
      <c r="BP216" s="78">
        <f t="shared" si="25"/>
        <v>3.968253968253968E-2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59.499999999999993</v>
      </c>
      <c r="Y217" s="55">
        <f t="shared" si="21"/>
        <v>60.900000000000006</v>
      </c>
      <c r="Z217" s="41">
        <f t="shared" ref="Z217:Z222" si="26">IFERROR(IF(Y217=0,"",ROUNDUP(Y217/H217,0)*0.00502),"")</f>
        <v>0.14558000000000001</v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63.183333333333316</v>
      </c>
      <c r="BN217" s="78">
        <f t="shared" si="23"/>
        <v>64.67</v>
      </c>
      <c r="BO217" s="78">
        <f t="shared" si="24"/>
        <v>0.12108262108262108</v>
      </c>
      <c r="BP217" s="78">
        <f t="shared" si="25"/>
        <v>0.12393162393162395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140</v>
      </c>
      <c r="Y219" s="55">
        <f t="shared" si="21"/>
        <v>140.70000000000002</v>
      </c>
      <c r="Z219" s="41">
        <f t="shared" si="26"/>
        <v>0.33634000000000003</v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148.66666666666666</v>
      </c>
      <c r="BN219" s="78">
        <f t="shared" si="23"/>
        <v>149.41</v>
      </c>
      <c r="BO219" s="78">
        <f t="shared" si="24"/>
        <v>0.28490028490028491</v>
      </c>
      <c r="BP219" s="78">
        <f t="shared" si="25"/>
        <v>0.28632478632478636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1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5.05</v>
      </c>
      <c r="BN223" s="78">
        <f t="shared" si="23"/>
        <v>5.05</v>
      </c>
      <c r="BO223" s="78">
        <f t="shared" si="24"/>
        <v>1.488095238095238E-2</v>
      </c>
      <c r="BP223" s="78">
        <f t="shared" si="25"/>
        <v>1.488095238095238E-2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210</v>
      </c>
      <c r="Y224" s="55">
        <f t="shared" si="21"/>
        <v>210</v>
      </c>
      <c r="Z224" s="41">
        <f>IFERROR(IF(Y224=0,"",ROUNDUP(Y224/H224,0)*0.00502),"")</f>
        <v>0.502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220.00000000000003</v>
      </c>
      <c r="BN224" s="78">
        <f t="shared" si="23"/>
        <v>220.00000000000003</v>
      </c>
      <c r="BO224" s="78">
        <f t="shared" si="24"/>
        <v>0.42735042735042739</v>
      </c>
      <c r="BP224" s="78">
        <f t="shared" si="25"/>
        <v>0.42735042735042739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229.04761904761904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232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1.2497900000000002</v>
      </c>
      <c r="AA227" s="67"/>
      <c r="AB227" s="67"/>
      <c r="AC227" s="67"/>
    </row>
    <row r="228" spans="1:68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501.5</v>
      </c>
      <c r="Y228" s="43">
        <f>IFERROR(SUM(Y213:Y226),"0")</f>
        <v>511.80000000000007</v>
      </c>
      <c r="Z228" s="42"/>
      <c r="AA228" s="67"/>
      <c r="AB228" s="67"/>
      <c r="AC228" s="67"/>
    </row>
    <row r="229" spans="1:68" ht="14.25" hidden="1" customHeight="1" x14ac:dyDescent="0.25">
      <c r="A229" s="630" t="s">
        <v>86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30" t="s">
        <v>104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7.0000000000000009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2.5720164609053499E-2</v>
      </c>
      <c r="BP238" s="78">
        <f>IFERROR(1/J238*(Y238/H238),"0")</f>
        <v>2.7777777777777776E-2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10.500000000000002</v>
      </c>
      <c r="Y239" s="55">
        <f>IFERROR(IF(X239="",0,CEILING((X239/$H239),1)*$H239),"")</f>
        <v>11.34</v>
      </c>
      <c r="Z239" s="41">
        <f>IFERROR(IF(Y239=0,"",ROUNDUP(Y239/H239,0)*0.0059),"")</f>
        <v>5.3100000000000001E-2</v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12.083333333333334</v>
      </c>
      <c r="BN239" s="78">
        <f>IFERROR(Y239*I239/H239,"0")</f>
        <v>13.049999999999999</v>
      </c>
      <c r="BO239" s="78">
        <f>IFERROR(1/J239*(X239/H239),"0")</f>
        <v>3.8580246913580245E-2</v>
      </c>
      <c r="BP239" s="78">
        <f>IFERROR(1/J239*(Y239/H239),"0")</f>
        <v>4.1666666666666664E-2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10.500000000000002</v>
      </c>
      <c r="Y240" s="55">
        <f>IFERROR(IF(X240="",0,CEILING((X240/$H240),1)*$H240),"")</f>
        <v>11.34</v>
      </c>
      <c r="Z240" s="41">
        <f>IFERROR(IF(Y240=0,"",ROUNDUP(Y240/H240,0)*0.0059),"")</f>
        <v>5.3100000000000001E-2</v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12.083333333333334</v>
      </c>
      <c r="BN240" s="78">
        <f>IFERROR(Y240*I240/H240,"0")</f>
        <v>13.049999999999999</v>
      </c>
      <c r="BO240" s="78">
        <f>IFERROR(1/J240*(X240/H240),"0")</f>
        <v>3.8580246913580245E-2</v>
      </c>
      <c r="BP240" s="78">
        <f>IFERROR(1/J240*(Y240/H240),"0")</f>
        <v>4.1666666666666664E-2</v>
      </c>
    </row>
    <row r="241" spans="1:68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22.222222222222221</v>
      </c>
      <c r="Y241" s="43">
        <f>IFERROR(Y238/H238,"0")+IFERROR(Y239/H239,"0")+IFERROR(Y240/H240,"0")</f>
        <v>24</v>
      </c>
      <c r="Z241" s="43">
        <f>IFERROR(IF(Z238="",0,Z238),"0")+IFERROR(IF(Z239="",0,Z239),"0")+IFERROR(IF(Z240="",0,Z240),"0")</f>
        <v>0.1416</v>
      </c>
      <c r="AA241" s="67"/>
      <c r="AB241" s="67"/>
      <c r="AC241" s="67"/>
    </row>
    <row r="242" spans="1:68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28.000000000000007</v>
      </c>
      <c r="Y242" s="43">
        <f>IFERROR(SUM(Y238:Y240),"0")</f>
        <v>30.24</v>
      </c>
      <c r="Z242" s="42"/>
      <c r="AA242" s="67"/>
      <c r="AB242" s="67"/>
      <c r="AC242" s="67"/>
    </row>
    <row r="243" spans="1:68" ht="14.25" hidden="1" customHeight="1" x14ac:dyDescent="0.25">
      <c r="A243" s="630" t="s">
        <v>424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10.500000000000002</v>
      </c>
      <c r="Y244" s="55">
        <f>IFERROR(IF(X244="",0,CEILING((X244/$H244),1)*$H244),"")</f>
        <v>11.34</v>
      </c>
      <c r="Z244" s="41">
        <f>IFERROR(IF(Y244=0,"",ROUNDUP(Y244/H244,0)*0.0059),"")</f>
        <v>5.3100000000000001E-2</v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12.083333333333334</v>
      </c>
      <c r="BN244" s="78">
        <f>IFERROR(Y244*I244/H244,"0")</f>
        <v>13.049999999999999</v>
      </c>
      <c r="BO244" s="78">
        <f>IFERROR(1/J244*(X244/H244),"0")</f>
        <v>3.8580246913580245E-2</v>
      </c>
      <c r="BP244" s="78">
        <f>IFERROR(1/J244*(Y244/H244),"0")</f>
        <v>4.1666666666666664E-2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8.3333333333333339</v>
      </c>
      <c r="Y245" s="43">
        <f>IFERROR(Y244/H244,"0")</f>
        <v>9</v>
      </c>
      <c r="Z245" s="43">
        <f>IFERROR(IF(Z244="",0,Z244),"0")</f>
        <v>5.3100000000000001E-2</v>
      </c>
      <c r="AA245" s="67"/>
      <c r="AB245" s="67"/>
      <c r="AC245" s="67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10.500000000000002</v>
      </c>
      <c r="Y246" s="43">
        <f>IFERROR(SUM(Y244:Y244),"0")</f>
        <v>11.34</v>
      </c>
      <c r="Z246" s="42"/>
      <c r="AA246" s="67"/>
      <c r="AB246" s="67"/>
      <c r="AC246" s="67"/>
    </row>
    <row r="247" spans="1:68" ht="16.5" hidden="1" customHeight="1" x14ac:dyDescent="0.25">
      <c r="A247" s="646" t="s">
        <v>427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hidden="1" customHeight="1" x14ac:dyDescent="0.25">
      <c r="A248" s="630" t="s">
        <v>128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30" t="s">
        <v>164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30" t="s">
        <v>77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27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207.03703703703701</v>
      </c>
      <c r="BN259" s="78">
        <f t="shared" ref="BN259:BN266" si="29">IFERROR(Y259*I259/H259,"0")</f>
        <v>212.42</v>
      </c>
      <c r="BO259" s="78">
        <f t="shared" ref="BO259:BO266" si="30">IFERROR(1/J259*(X259/H259),"0")</f>
        <v>0.28058361391694725</v>
      </c>
      <c r="BP259" s="78">
        <f t="shared" ref="BP259:BP266" si="31">IFERROR(1/J259*(Y259/H259),"0")</f>
        <v>0.2878787878787879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50</v>
      </c>
      <c r="Y260" s="55">
        <f t="shared" si="27"/>
        <v>54</v>
      </c>
      <c r="Z260" s="41">
        <f>IFERROR(IF(Y260=0,"",ROUNDUP(Y260/H260,0)*0.00902),"")</f>
        <v>9.0200000000000002E-2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51.759259259259252</v>
      </c>
      <c r="BN260" s="78">
        <f t="shared" si="29"/>
        <v>55.9</v>
      </c>
      <c r="BO260" s="78">
        <f t="shared" si="30"/>
        <v>7.0145903479236812E-2</v>
      </c>
      <c r="BP260" s="78">
        <f t="shared" si="31"/>
        <v>7.575757575757576E-2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27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103.5185185185185</v>
      </c>
      <c r="BN261" s="78">
        <f t="shared" si="29"/>
        <v>106.21</v>
      </c>
      <c r="BO261" s="78">
        <f t="shared" si="30"/>
        <v>0.14029180695847362</v>
      </c>
      <c r="BP261" s="78">
        <f t="shared" si="31"/>
        <v>0.14393939393939395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50</v>
      </c>
      <c r="Y262" s="55">
        <f t="shared" si="27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51.759259259259252</v>
      </c>
      <c r="BN262" s="78">
        <f t="shared" si="29"/>
        <v>55.9</v>
      </c>
      <c r="BO262" s="78">
        <f t="shared" si="30"/>
        <v>7.0145903479236812E-2</v>
      </c>
      <c r="BP262" s="78">
        <f t="shared" si="31"/>
        <v>7.575757575757576E-2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90</v>
      </c>
      <c r="Y263" s="55">
        <f t="shared" si="27"/>
        <v>90</v>
      </c>
      <c r="Z263" s="41">
        <f>IFERROR(IF(Y263=0,"",ROUNDUP(Y263/H263,0)*0.00502),"")</f>
        <v>0.251</v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96.499999999999986</v>
      </c>
      <c r="BN263" s="78">
        <f t="shared" si="29"/>
        <v>96.499999999999986</v>
      </c>
      <c r="BO263" s="78">
        <f t="shared" si="30"/>
        <v>0.21367521367521369</v>
      </c>
      <c r="BP263" s="78">
        <f t="shared" si="31"/>
        <v>0.21367521367521369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90</v>
      </c>
      <c r="Y264" s="55">
        <f t="shared" si="27"/>
        <v>90</v>
      </c>
      <c r="Z264" s="41">
        <f>IFERROR(IF(Y264=0,"",ROUNDUP(Y264/H264,0)*0.00502),"")</f>
        <v>0.251</v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95</v>
      </c>
      <c r="BN264" s="78">
        <f t="shared" si="29"/>
        <v>95</v>
      </c>
      <c r="BO264" s="78">
        <f t="shared" si="30"/>
        <v>0.21367521367521369</v>
      </c>
      <c r="BP264" s="78">
        <f t="shared" si="31"/>
        <v>0.21367521367521369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90</v>
      </c>
      <c r="Y265" s="55">
        <f t="shared" si="27"/>
        <v>90</v>
      </c>
      <c r="Z265" s="41">
        <f>IFERROR(IF(Y265=0,"",ROUNDUP(Y265/H265,0)*0.00502),"")</f>
        <v>0.251</v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95</v>
      </c>
      <c r="BN265" s="78">
        <f t="shared" si="29"/>
        <v>95</v>
      </c>
      <c r="BO265" s="78">
        <f t="shared" si="30"/>
        <v>0.21367521367521369</v>
      </c>
      <c r="BP265" s="78">
        <f t="shared" si="31"/>
        <v>0.21367521367521369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90</v>
      </c>
      <c r="Y266" s="55">
        <f t="shared" si="27"/>
        <v>90</v>
      </c>
      <c r="Z266" s="41">
        <f>IFERROR(IF(Y266=0,"",ROUNDUP(Y266/H266,0)*0.00502),"")</f>
        <v>0.251</v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95</v>
      </c>
      <c r="BN266" s="78">
        <f t="shared" si="29"/>
        <v>95</v>
      </c>
      <c r="BO266" s="78">
        <f t="shared" si="30"/>
        <v>0.21367521367521369</v>
      </c>
      <c r="BP266" s="78">
        <f t="shared" si="31"/>
        <v>0.21367521367521369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274.07407407407408</v>
      </c>
      <c r="Y267" s="43">
        <f>IFERROR(Y259/H259,"0")+IFERROR(Y260/H260,"0")+IFERROR(Y261/H261,"0")+IFERROR(Y262/H262,"0")+IFERROR(Y263/H263,"0")+IFERROR(Y264/H264,"0")+IFERROR(Y265/H265,"0")+IFERROR(Y266/H266,"0")</f>
        <v>277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1.6985399999999999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760</v>
      </c>
      <c r="Y268" s="43">
        <f>IFERROR(SUM(Y259:Y266),"0")</f>
        <v>775.80000000000007</v>
      </c>
      <c r="Z268" s="42"/>
      <c r="AA268" s="67"/>
      <c r="AB268" s="67"/>
      <c r="AC268" s="67"/>
    </row>
    <row r="269" spans="1:68" ht="14.25" hidden="1" customHeight="1" x14ac:dyDescent="0.25">
      <c r="A269" s="630" t="s">
        <v>86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300</v>
      </c>
      <c r="Y272" s="55">
        <f t="shared" si="32"/>
        <v>304.5</v>
      </c>
      <c r="Z272" s="41">
        <f>IFERROR(IF(Y272=0,"",ROUNDUP(Y272/H272,0)*0.01898),"")</f>
        <v>0.6643</v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317.03448275862075</v>
      </c>
      <c r="BN272" s="78">
        <f t="shared" si="34"/>
        <v>321.79000000000008</v>
      </c>
      <c r="BO272" s="78">
        <f t="shared" si="35"/>
        <v>0.53879310344827591</v>
      </c>
      <c r="BP272" s="78">
        <f t="shared" si="36"/>
        <v>0.546875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400</v>
      </c>
      <c r="Y273" s="55">
        <f t="shared" si="32"/>
        <v>400.8</v>
      </c>
      <c r="Z273" s="41">
        <f>IFERROR(IF(Y273=0,"",ROUNDUP(Y273/H273,0)*0.00651),"")</f>
        <v>1.08717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445</v>
      </c>
      <c r="BN273" s="78">
        <f t="shared" si="34"/>
        <v>445.89</v>
      </c>
      <c r="BO273" s="78">
        <f t="shared" si="35"/>
        <v>0.91575091575091594</v>
      </c>
      <c r="BP273" s="78">
        <f t="shared" si="36"/>
        <v>0.91758241758241765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200</v>
      </c>
      <c r="Y276" s="55">
        <f t="shared" si="32"/>
        <v>201.6</v>
      </c>
      <c r="Z276" s="41">
        <f>IFERROR(IF(Y276=0,"",ROUNDUP(Y276/H276,0)*0.00651),"")</f>
        <v>0.54683999999999999</v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221</v>
      </c>
      <c r="BN276" s="78">
        <f t="shared" si="34"/>
        <v>222.768</v>
      </c>
      <c r="BO276" s="78">
        <f t="shared" si="35"/>
        <v>0.45787545787545797</v>
      </c>
      <c r="BP276" s="78">
        <f t="shared" si="36"/>
        <v>0.46153846153846156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40</v>
      </c>
      <c r="Y279" s="55">
        <f t="shared" si="32"/>
        <v>40.799999999999997</v>
      </c>
      <c r="Z279" s="41">
        <f>IFERROR(IF(Y279=0,"",ROUNDUP(Y279/H279,0)*0.00651),"")</f>
        <v>0.11067</v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44.20000000000001</v>
      </c>
      <c r="BN279" s="78">
        <f t="shared" si="34"/>
        <v>45.084000000000003</v>
      </c>
      <c r="BO279" s="78">
        <f t="shared" si="35"/>
        <v>9.1575091575091583E-2</v>
      </c>
      <c r="BP279" s="78">
        <f t="shared" si="36"/>
        <v>9.3406593406593408E-2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400</v>
      </c>
      <c r="Y280" s="55">
        <f t="shared" si="32"/>
        <v>400.8</v>
      </c>
      <c r="Z280" s="41">
        <f>IFERROR(IF(Y280=0,"",ROUNDUP(Y280/H280,0)*0.00651),"")</f>
        <v>1.08717</v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443.00000000000006</v>
      </c>
      <c r="BN280" s="78">
        <f t="shared" si="34"/>
        <v>443.88599999999997</v>
      </c>
      <c r="BO280" s="78">
        <f t="shared" si="35"/>
        <v>0.91575091575091594</v>
      </c>
      <c r="BP280" s="78">
        <f t="shared" si="36"/>
        <v>0.91758241758241765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467.81609195402302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470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3.4961499999999996</v>
      </c>
      <c r="AA282" s="67"/>
      <c r="AB282" s="67"/>
      <c r="AC282" s="67"/>
    </row>
    <row r="283" spans="1:68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1340</v>
      </c>
      <c r="Y283" s="43">
        <f>IFERROR(SUM(Y270:Y281),"0")</f>
        <v>1348.5</v>
      </c>
      <c r="Z283" s="42"/>
      <c r="AA283" s="67"/>
      <c r="AB283" s="67"/>
      <c r="AC283" s="67"/>
    </row>
    <row r="284" spans="1:68" ht="14.25" hidden="1" customHeight="1" x14ac:dyDescent="0.25">
      <c r="A284" s="630" t="s">
        <v>181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80</v>
      </c>
      <c r="Y285" s="55">
        <f>IFERROR(IF(X285="",0,CEILING((X285/$H285),1)*$H285),"")</f>
        <v>81.599999999999994</v>
      </c>
      <c r="Z285" s="41">
        <f>IFERROR(IF(Y285=0,"",ROUNDUP(Y285/H285,0)*0.00651),"")</f>
        <v>0.22134000000000001</v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88.40000000000002</v>
      </c>
      <c r="BN285" s="78">
        <f>IFERROR(Y285*I285/H285,"0")</f>
        <v>90.168000000000006</v>
      </c>
      <c r="BO285" s="78">
        <f>IFERROR(1/J285*(X285/H285),"0")</f>
        <v>0.18315018315018317</v>
      </c>
      <c r="BP285" s="78">
        <f>IFERROR(1/J285*(Y285/H285),"0")</f>
        <v>0.18681318681318682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160</v>
      </c>
      <c r="Y286" s="55">
        <f>IFERROR(IF(X286="",0,CEILING((X286/$H286),1)*$H286),"")</f>
        <v>160.79999999999998</v>
      </c>
      <c r="Z286" s="41">
        <f>IFERROR(IF(Y286=0,"",ROUNDUP(Y286/H286,0)*0.00651),"")</f>
        <v>0.43617</v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176.80000000000004</v>
      </c>
      <c r="BN286" s="78">
        <f>IFERROR(Y286*I286/H286,"0")</f>
        <v>177.684</v>
      </c>
      <c r="BO286" s="78">
        <f>IFERROR(1/J286*(X286/H286),"0")</f>
        <v>0.36630036630036633</v>
      </c>
      <c r="BP286" s="78">
        <f>IFERROR(1/J286*(Y286/H286),"0")</f>
        <v>0.36813186813186816</v>
      </c>
    </row>
    <row r="287" spans="1:68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100</v>
      </c>
      <c r="Y287" s="43">
        <f>IFERROR(Y285/H285,"0")+IFERROR(Y286/H286,"0")</f>
        <v>101</v>
      </c>
      <c r="Z287" s="43">
        <f>IFERROR(IF(Z285="",0,Z285),"0")+IFERROR(IF(Z286="",0,Z286),"0")</f>
        <v>0.65751000000000004</v>
      </c>
      <c r="AA287" s="67"/>
      <c r="AB287" s="67"/>
      <c r="AC287" s="67"/>
    </row>
    <row r="288" spans="1:68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240</v>
      </c>
      <c r="Y288" s="43">
        <f>IFERROR(SUM(Y285:Y286),"0")</f>
        <v>242.39999999999998</v>
      </c>
      <c r="Z288" s="42"/>
      <c r="AA288" s="67"/>
      <c r="AB288" s="67"/>
      <c r="AC288" s="67"/>
    </row>
    <row r="289" spans="1:68" ht="16.5" hidden="1" customHeight="1" x14ac:dyDescent="0.25">
      <c r="A289" s="646" t="s">
        <v>495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hidden="1" customHeight="1" x14ac:dyDescent="0.25">
      <c r="A290" s="630" t="s">
        <v>128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20</v>
      </c>
      <c r="Y291" s="55">
        <f t="shared" ref="Y291:Y297" si="37">IFERROR(IF(X291="",0,CEILING((X291/$H291),1)*$H291),"")</f>
        <v>23.2</v>
      </c>
      <c r="Z291" s="41">
        <f>IFERROR(IF(Y291=0,"",ROUNDUP(Y291/H291,0)*0.01898),"")</f>
        <v>3.7960000000000001E-2</v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20.706896551724139</v>
      </c>
      <c r="BN291" s="78">
        <f t="shared" ref="BN291:BN297" si="39">IFERROR(Y291*I291/H291,"0")</f>
        <v>24.02</v>
      </c>
      <c r="BO291" s="78">
        <f t="shared" ref="BO291:BO297" si="40">IFERROR(1/J291*(X291/H291),"0")</f>
        <v>2.6939655172413795E-2</v>
      </c>
      <c r="BP291" s="78">
        <f t="shared" ref="BP291:BP297" si="41">IFERROR(1/J291*(Y291/H291),"0")</f>
        <v>3.125E-2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30</v>
      </c>
      <c r="Y293" s="55">
        <f t="shared" si="37"/>
        <v>34.799999999999997</v>
      </c>
      <c r="Z293" s="41">
        <f>IFERROR(IF(Y293=0,"",ROUNDUP(Y293/H293,0)*0.01898),"")</f>
        <v>5.6940000000000004E-2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31.06034482758621</v>
      </c>
      <c r="BN293" s="78">
        <f t="shared" si="39"/>
        <v>36.03</v>
      </c>
      <c r="BO293" s="78">
        <f t="shared" si="40"/>
        <v>4.0409482758620691E-2</v>
      </c>
      <c r="BP293" s="78">
        <f t="shared" si="41"/>
        <v>4.6875E-2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8</v>
      </c>
      <c r="Y294" s="55">
        <f t="shared" si="37"/>
        <v>8</v>
      </c>
      <c r="Z294" s="41">
        <f>IFERROR(IF(Y294=0,"",ROUNDUP(Y294/H294,0)*0.00902),"")</f>
        <v>1.804E-2</v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8.3800000000000008</v>
      </c>
      <c r="BN294" s="78">
        <f t="shared" si="39"/>
        <v>8.3800000000000008</v>
      </c>
      <c r="BO294" s="78">
        <f t="shared" si="40"/>
        <v>1.5151515151515152E-2</v>
      </c>
      <c r="BP294" s="78">
        <f t="shared" si="41"/>
        <v>1.5151515151515152E-2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120</v>
      </c>
      <c r="Y297" s="55">
        <f t="shared" si="37"/>
        <v>120</v>
      </c>
      <c r="Z297" s="41">
        <f>IFERROR(IF(Y297=0,"",ROUNDUP(Y297/H297,0)*0.00902),"")</f>
        <v>0.27060000000000001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125.70000000000002</v>
      </c>
      <c r="BN297" s="78">
        <f t="shared" si="39"/>
        <v>125.70000000000002</v>
      </c>
      <c r="BO297" s="78">
        <f t="shared" si="40"/>
        <v>0.22727272727272729</v>
      </c>
      <c r="BP297" s="78">
        <f t="shared" si="41"/>
        <v>0.22727272727272729</v>
      </c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36.310344827586206</v>
      </c>
      <c r="Y298" s="43">
        <f>IFERROR(Y291/H291,"0")+IFERROR(Y292/H292,"0")+IFERROR(Y293/H293,"0")+IFERROR(Y294/H294,"0")+IFERROR(Y295/H295,"0")+IFERROR(Y296/H296,"0")+IFERROR(Y297/H297,"0")</f>
        <v>37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0.38353999999999999</v>
      </c>
      <c r="AA298" s="67"/>
      <c r="AB298" s="67"/>
      <c r="AC298" s="67"/>
    </row>
    <row r="299" spans="1:68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178</v>
      </c>
      <c r="Y299" s="43">
        <f>IFERROR(SUM(Y291:Y297),"0")</f>
        <v>186</v>
      </c>
      <c r="Z299" s="42"/>
      <c r="AA299" s="67"/>
      <c r="AB299" s="67"/>
      <c r="AC299" s="67"/>
    </row>
    <row r="300" spans="1:68" ht="14.25" hidden="1" customHeight="1" x14ac:dyDescent="0.25">
      <c r="A300" s="630" t="s">
        <v>164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30" t="s">
        <v>517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18</v>
      </c>
      <c r="Y305" s="55">
        <f>IFERROR(IF(X305="",0,CEILING((X305/$H305),1)*$H305),"")</f>
        <v>18</v>
      </c>
      <c r="Z305" s="41">
        <f>IFERROR(IF(Y305=0,"",ROUNDUP(Y305/H305,0)*0.0059),"")</f>
        <v>5.8999999999999997E-2</v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19.750000000000004</v>
      </c>
      <c r="BN305" s="78">
        <f>IFERROR(Y305*I305/H305,"0")</f>
        <v>19.750000000000004</v>
      </c>
      <c r="BO305" s="78">
        <f>IFERROR(1/J305*(X305/H305),"0")</f>
        <v>4.6296296296296294E-2</v>
      </c>
      <c r="BP305" s="78">
        <f>IFERROR(1/J305*(Y305/H305),"0")</f>
        <v>4.6296296296296294E-2</v>
      </c>
    </row>
    <row r="306" spans="1:68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10</v>
      </c>
      <c r="Y306" s="43">
        <f>IFERROR(Y305/H305,"0")</f>
        <v>10</v>
      </c>
      <c r="Z306" s="43">
        <f>IFERROR(IF(Z305="",0,Z305),"0")</f>
        <v>5.8999999999999997E-2</v>
      </c>
      <c r="AA306" s="67"/>
      <c r="AB306" s="67"/>
      <c r="AC306" s="67"/>
    </row>
    <row r="307" spans="1:68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18</v>
      </c>
      <c r="Y307" s="43">
        <f>IFERROR(SUM(Y305:Y305),"0")</f>
        <v>18</v>
      </c>
      <c r="Z307" s="42"/>
      <c r="AA307" s="67"/>
      <c r="AB307" s="67"/>
      <c r="AC307" s="67"/>
    </row>
    <row r="308" spans="1:68" ht="14.25" hidden="1" customHeight="1" x14ac:dyDescent="0.25">
      <c r="A308" s="630" t="s">
        <v>334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12</v>
      </c>
      <c r="Y310" s="55">
        <f>IFERROR(IF(X310="",0,CEILING((X310/$H310),1)*$H310),"")</f>
        <v>12.6</v>
      </c>
      <c r="Z310" s="41">
        <f>IFERROR(IF(Y310=0,"",ROUNDUP(Y310/H310,0)*0.0059),"")</f>
        <v>4.1299999999999996E-2</v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13.166666666666668</v>
      </c>
      <c r="BN310" s="78">
        <f>IFERROR(Y310*I310/H310,"0")</f>
        <v>13.825000000000001</v>
      </c>
      <c r="BO310" s="78">
        <f>IFERROR(1/J310*(X310/H310),"0")</f>
        <v>3.0864197530864192E-2</v>
      </c>
      <c r="BP310" s="78">
        <f>IFERROR(1/J310*(Y310/H310),"0")</f>
        <v>3.2407407407407406E-2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5</v>
      </c>
      <c r="Y311" s="55">
        <f>IFERROR(IF(X311="",0,CEILING((X311/$H311),1)*$H311),"")</f>
        <v>5.4</v>
      </c>
      <c r="Z311" s="41">
        <f>IFERROR(IF(Y311=0,"",ROUNDUP(Y311/H311,0)*0.0059),"")</f>
        <v>3.5400000000000001E-2</v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6.0555555555555554</v>
      </c>
      <c r="BN311" s="78">
        <f>IFERROR(Y311*I311/H311,"0")</f>
        <v>6.5400000000000009</v>
      </c>
      <c r="BO311" s="78">
        <f>IFERROR(1/J311*(X311/H311),"0")</f>
        <v>2.5720164609053495E-2</v>
      </c>
      <c r="BP311" s="78">
        <f>IFERROR(1/J311*(Y311/H311),"0")</f>
        <v>2.7777777777777776E-2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12.222222222222221</v>
      </c>
      <c r="Y312" s="43">
        <f>IFERROR(Y309/H309,"0")+IFERROR(Y310/H310,"0")+IFERROR(Y311/H311,"0")</f>
        <v>13</v>
      </c>
      <c r="Z312" s="43">
        <f>IFERROR(IF(Z309="",0,Z309),"0")+IFERROR(IF(Z310="",0,Z310),"0")+IFERROR(IF(Z311="",0,Z311),"0")</f>
        <v>7.669999999999999E-2</v>
      </c>
      <c r="AA312" s="67"/>
      <c r="AB312" s="67"/>
      <c r="AC312" s="67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17</v>
      </c>
      <c r="Y313" s="43">
        <f>IFERROR(SUM(Y309:Y311),"0")</f>
        <v>18</v>
      </c>
      <c r="Z313" s="42"/>
      <c r="AA313" s="67"/>
      <c r="AB313" s="67"/>
      <c r="AC313" s="67"/>
    </row>
    <row r="314" spans="1:68" ht="16.5" hidden="1" customHeight="1" x14ac:dyDescent="0.25">
      <c r="A314" s="646" t="s">
        <v>528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hidden="1" customHeight="1" x14ac:dyDescent="0.25">
      <c r="A315" s="630" t="s">
        <v>128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6" t="s">
        <v>544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hidden="1" customHeight="1" x14ac:dyDescent="0.25">
      <c r="A324" s="630" t="s">
        <v>86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600</v>
      </c>
      <c r="Y327" s="55">
        <f>IFERROR(IF(X327="",0,CEILING((X327/$H327),1)*$H327),"")</f>
        <v>600</v>
      </c>
      <c r="Z327" s="41">
        <f>IFERROR(IF(Y327=0,"",ROUNDUP(Y327/H327,0)*0.00651),"")</f>
        <v>1.6274999999999999</v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645</v>
      </c>
      <c r="BN327" s="78">
        <f>IFERROR(Y327*I327/H327,"0")</f>
        <v>645</v>
      </c>
      <c r="BO327" s="78">
        <f>IFERROR(1/J327*(X327/H327),"0")</f>
        <v>1.3736263736263736</v>
      </c>
      <c r="BP327" s="78">
        <f>IFERROR(1/J327*(Y327/H327),"0")</f>
        <v>1.3736263736263736</v>
      </c>
    </row>
    <row r="328" spans="1:68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283.33333333333331</v>
      </c>
      <c r="Y328" s="43">
        <f>IFERROR(Y325/H325,"0")+IFERROR(Y326/H326,"0")+IFERROR(Y327/H327,"0")</f>
        <v>284</v>
      </c>
      <c r="Z328" s="43">
        <f>IFERROR(IF(Z325="",0,Z325),"0")+IFERROR(IF(Z326="",0,Z326),"0")+IFERROR(IF(Z327="",0,Z327),"0")</f>
        <v>1.84884</v>
      </c>
      <c r="AA328" s="67"/>
      <c r="AB328" s="67"/>
      <c r="AC328" s="67"/>
    </row>
    <row r="329" spans="1:68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680</v>
      </c>
      <c r="Y329" s="43">
        <f>IFERROR(SUM(Y325:Y327),"0")</f>
        <v>681.6</v>
      </c>
      <c r="Z329" s="42"/>
      <c r="AA329" s="67"/>
      <c r="AB329" s="67"/>
      <c r="AC329" s="67"/>
    </row>
    <row r="330" spans="1:68" ht="16.5" hidden="1" customHeight="1" x14ac:dyDescent="0.25">
      <c r="A330" s="646" t="s">
        <v>553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hidden="1" customHeight="1" x14ac:dyDescent="0.25">
      <c r="A331" s="630" t="s">
        <v>77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30" t="s">
        <v>86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6" t="s">
        <v>574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hidden="1" customHeight="1" x14ac:dyDescent="0.25">
      <c r="A345" s="630" t="s">
        <v>128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120</v>
      </c>
      <c r="Y346" s="55">
        <f>IFERROR(IF(X346="",0,CEILING((X346/$H346),1)*$H346),"")</f>
        <v>124.8</v>
      </c>
      <c r="Z346" s="41">
        <f>IFERROR(IF(Y346=0,"",ROUNDUP(Y346/H346,0)*0.01898),"")</f>
        <v>0.30368000000000001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126.30769230769232</v>
      </c>
      <c r="BN346" s="78">
        <f>IFERROR(Y346*I346/H346,"0")</f>
        <v>131.36000000000001</v>
      </c>
      <c r="BO346" s="78">
        <f>IFERROR(1/J346*(X346/H346),"0")</f>
        <v>0.24038461538461539</v>
      </c>
      <c r="BP346" s="78">
        <f>IFERROR(1/J346*(Y346/H346),"0")</f>
        <v>0.25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120</v>
      </c>
      <c r="Y347" s="55">
        <f>IFERROR(IF(X347="",0,CEILING((X347/$H347),1)*$H347),"")</f>
        <v>124.8</v>
      </c>
      <c r="Z347" s="41">
        <f>IFERROR(IF(Y347=0,"",ROUNDUP(Y347/H347,0)*0.01898),"")</f>
        <v>0.30368000000000001</v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126.30769230769232</v>
      </c>
      <c r="BN347" s="78">
        <f>IFERROR(Y347*I347/H347,"0")</f>
        <v>131.36000000000001</v>
      </c>
      <c r="BO347" s="78">
        <f>IFERROR(1/J347*(X347/H347),"0")</f>
        <v>0.24038461538461539</v>
      </c>
      <c r="BP347" s="78">
        <f>IFERROR(1/J347*(Y347/H347),"0")</f>
        <v>0.25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70</v>
      </c>
      <c r="Y348" s="55">
        <f>IFERROR(IF(X348="",0,CEILING((X348/$H348),1)*$H348),"")</f>
        <v>70.2</v>
      </c>
      <c r="Z348" s="41">
        <f>IFERROR(IF(Y348=0,"",ROUNDUP(Y348/H348,0)*0.01898),"")</f>
        <v>0.17082</v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73.679487179487182</v>
      </c>
      <c r="BN348" s="78">
        <f>IFERROR(Y348*I348/H348,"0")</f>
        <v>73.890000000000015</v>
      </c>
      <c r="BO348" s="78">
        <f>IFERROR(1/J348*(X348/H348),"0")</f>
        <v>0.14022435897435898</v>
      </c>
      <c r="BP348" s="78">
        <f>IFERROR(1/J348*(Y348/H348),"0")</f>
        <v>0.140625</v>
      </c>
    </row>
    <row r="349" spans="1:68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39.743589743589745</v>
      </c>
      <c r="Y349" s="43">
        <f>IFERROR(Y346/H346,"0")+IFERROR(Y347/H347,"0")+IFERROR(Y348/H348,"0")</f>
        <v>41</v>
      </c>
      <c r="Z349" s="43">
        <f>IFERROR(IF(Z346="",0,Z346),"0")+IFERROR(IF(Z347="",0,Z347),"0")+IFERROR(IF(Z348="",0,Z348),"0")</f>
        <v>0.77817999999999998</v>
      </c>
      <c r="AA349" s="67"/>
      <c r="AB349" s="67"/>
      <c r="AC349" s="67"/>
    </row>
    <row r="350" spans="1:68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310</v>
      </c>
      <c r="Y350" s="43">
        <f>IFERROR(SUM(Y346:Y348),"0")</f>
        <v>319.8</v>
      </c>
      <c r="Z350" s="42"/>
      <c r="AA350" s="67"/>
      <c r="AB350" s="67"/>
      <c r="AC350" s="67"/>
    </row>
    <row r="351" spans="1:68" ht="16.5" hidden="1" customHeight="1" x14ac:dyDescent="0.25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hidden="1" customHeight="1" x14ac:dyDescent="0.25">
      <c r="A352" s="630" t="s">
        <v>128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30" t="s">
        <v>77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70</v>
      </c>
      <c r="Y366" s="55">
        <f t="shared" si="47"/>
        <v>71.400000000000006</v>
      </c>
      <c r="Z366" s="41">
        <f>IFERROR(IF(Y366=0,"",ROUNDUP(Y366/H366,0)*0.00502),"")</f>
        <v>0.17068</v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73.333333333333329</v>
      </c>
      <c r="BN366" s="78">
        <f t="shared" si="49"/>
        <v>74.8</v>
      </c>
      <c r="BO366" s="78">
        <f t="shared" si="50"/>
        <v>0.14245014245014245</v>
      </c>
      <c r="BP366" s="78">
        <f t="shared" si="51"/>
        <v>0.14529914529914531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30</v>
      </c>
      <c r="Y368" s="55">
        <f t="shared" si="47"/>
        <v>30.6</v>
      </c>
      <c r="Z368" s="41">
        <f>IFERROR(IF(Y368=0,"",ROUNDUP(Y368/H368,0)*0.00651),"")</f>
        <v>0.11067</v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33.800000000000004</v>
      </c>
      <c r="BN368" s="78">
        <f t="shared" si="49"/>
        <v>34.475999999999999</v>
      </c>
      <c r="BO368" s="78">
        <f t="shared" si="50"/>
        <v>9.1575091575091583E-2</v>
      </c>
      <c r="BP368" s="78">
        <f t="shared" si="51"/>
        <v>9.3406593406593408E-2</v>
      </c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50</v>
      </c>
      <c r="Y369" s="43">
        <f>IFERROR(Y362/H362,"0")+IFERROR(Y363/H363,"0")+IFERROR(Y364/H364,"0")+IFERROR(Y365/H365,"0")+IFERROR(Y366/H366,"0")+IFERROR(Y367/H367,"0")+IFERROR(Y368/H368,"0")</f>
        <v>51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0.28134999999999999</v>
      </c>
      <c r="AA369" s="67"/>
      <c r="AB369" s="67"/>
      <c r="AC369" s="67"/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100</v>
      </c>
      <c r="Y370" s="43">
        <f>IFERROR(SUM(Y362:Y368),"0")</f>
        <v>102</v>
      </c>
      <c r="Z370" s="42"/>
      <c r="AA370" s="67"/>
      <c r="AB370" s="67"/>
      <c r="AC370" s="67"/>
    </row>
    <row r="371" spans="1:68" ht="14.25" hidden="1" customHeight="1" x14ac:dyDescent="0.25">
      <c r="A371" s="630" t="s">
        <v>86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30" t="s">
        <v>181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700</v>
      </c>
      <c r="Y379" s="55">
        <f>IFERROR(IF(X379="",0,CEILING((X379/$H379),1)*$H379),"")</f>
        <v>705.6</v>
      </c>
      <c r="Z379" s="41">
        <f>IFERROR(IF(Y379=0,"",ROUNDUP(Y379/H379,0)*0.01898),"")</f>
        <v>1.59432</v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741.16666666666663</v>
      </c>
      <c r="BN379" s="78">
        <f>IFERROR(Y379*I379/H379,"0")</f>
        <v>747.096</v>
      </c>
      <c r="BO379" s="78">
        <f>IFERROR(1/J379*(X379/H379),"0")</f>
        <v>1.3020833333333333</v>
      </c>
      <c r="BP379" s="78">
        <f>IFERROR(1/J379*(Y379/H379),"0")</f>
        <v>1.3125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1000</v>
      </c>
      <c r="Y380" s="55">
        <f>IFERROR(IF(X380="",0,CEILING((X380/$H380),1)*$H380),"")</f>
        <v>1006.1999999999999</v>
      </c>
      <c r="Z380" s="41">
        <f>IFERROR(IF(Y380=0,"",ROUNDUP(Y380/H380,0)*0.01898),"")</f>
        <v>2.44842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1063.3333333333333</v>
      </c>
      <c r="BN380" s="78">
        <f>IFERROR(Y380*I380/H380,"0")</f>
        <v>1069.9260000000002</v>
      </c>
      <c r="BO380" s="78">
        <f>IFERROR(1/J380*(X380/H380),"0")</f>
        <v>2.0032051282051282</v>
      </c>
      <c r="BP380" s="78">
        <f>IFERROR(1/J380*(Y380/H380),"0")</f>
        <v>2.015625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150</v>
      </c>
      <c r="Y381" s="55">
        <f>IFERROR(IF(X381="",0,CEILING((X381/$H381),1)*$H381),"")</f>
        <v>151.20000000000002</v>
      </c>
      <c r="Z381" s="41">
        <f>IFERROR(IF(Y381=0,"",ROUNDUP(Y381/H381,0)*0.01898),"")</f>
        <v>0.34164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158.82142857142856</v>
      </c>
      <c r="BN381" s="78">
        <f>IFERROR(Y381*I381/H381,"0")</f>
        <v>160.09200000000001</v>
      </c>
      <c r="BO381" s="78">
        <f>IFERROR(1/J381*(X381/H381),"0")</f>
        <v>0.27901785714285715</v>
      </c>
      <c r="BP381" s="78">
        <f>IFERROR(1/J381*(Y381/H381),"0")</f>
        <v>0.28125</v>
      </c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229.39560439560441</v>
      </c>
      <c r="Y382" s="43">
        <f>IFERROR(Y379/H379,"0")+IFERROR(Y380/H380,"0")+IFERROR(Y381/H381,"0")</f>
        <v>231</v>
      </c>
      <c r="Z382" s="43">
        <f>IFERROR(IF(Z379="",0,Z379),"0")+IFERROR(IF(Z380="",0,Z380),"0")+IFERROR(IF(Z381="",0,Z381),"0")</f>
        <v>4.3843800000000002</v>
      </c>
      <c r="AA382" s="67"/>
      <c r="AB382" s="67"/>
      <c r="AC382" s="67"/>
    </row>
    <row r="383" spans="1:68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1850</v>
      </c>
      <c r="Y383" s="43">
        <f>IFERROR(SUM(Y379:Y381),"0")</f>
        <v>1863</v>
      </c>
      <c r="Z383" s="42"/>
      <c r="AA383" s="67"/>
      <c r="AB383" s="67"/>
      <c r="AC383" s="67"/>
    </row>
    <row r="384" spans="1:68" ht="14.25" hidden="1" customHeight="1" x14ac:dyDescent="0.25">
      <c r="A384" s="630" t="s">
        <v>104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customHeight="1" x14ac:dyDescent="0.25">
      <c r="A385" s="63" t="s">
        <v>640</v>
      </c>
      <c r="B385" s="63" t="s">
        <v>641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30</v>
      </c>
      <c r="Y385" s="55">
        <f>IFERROR(IF(X385="",0,CEILING((X385/$H385),1)*$H385),"")</f>
        <v>30.4</v>
      </c>
      <c r="Z385" s="41">
        <f>IFERROR(IF(Y385=0,"",ROUNDUP(Y385/H385,0)*0.00902),"")</f>
        <v>9.0200000000000002E-2</v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32.664473684210527</v>
      </c>
      <c r="BN385" s="78">
        <f>IFERROR(Y385*I385/H385,"0")</f>
        <v>33.1</v>
      </c>
      <c r="BO385" s="78">
        <f>IFERROR(1/J385*(X385/H385),"0")</f>
        <v>7.4760765550239236E-2</v>
      </c>
      <c r="BP385" s="78">
        <f>IFERROR(1/J385*(Y385/H385),"0")</f>
        <v>7.575757575757576E-2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17</v>
      </c>
      <c r="Y387" s="55">
        <f>IFERROR(IF(X387="",0,CEILING((X387/$H387),1)*$H387),"")</f>
        <v>17.849999999999998</v>
      </c>
      <c r="Z387" s="41">
        <f>IFERROR(IF(Y387=0,"",ROUNDUP(Y387/H387,0)*0.00651),"")</f>
        <v>4.5569999999999999E-2</v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19.700000000000003</v>
      </c>
      <c r="BN387" s="78">
        <f>IFERROR(Y387*I387/H387,"0")</f>
        <v>20.684999999999999</v>
      </c>
      <c r="BO387" s="78">
        <f>IFERROR(1/J387*(X387/H387),"0")</f>
        <v>3.6630036630036632E-2</v>
      </c>
      <c r="BP387" s="78">
        <f>IFERROR(1/J387*(Y387/H387),"0")</f>
        <v>3.8461538461538464E-2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16.535087719298247</v>
      </c>
      <c r="Y389" s="43">
        <f>IFERROR(Y385/H385,"0")+IFERROR(Y386/H386,"0")+IFERROR(Y387/H387,"0")+IFERROR(Y388/H388,"0")</f>
        <v>17</v>
      </c>
      <c r="Z389" s="43">
        <f>IFERROR(IF(Z385="",0,Z385),"0")+IFERROR(IF(Z386="",0,Z386),"0")+IFERROR(IF(Z387="",0,Z387),"0")+IFERROR(IF(Z388="",0,Z388),"0")</f>
        <v>0.13577</v>
      </c>
      <c r="AA389" s="67"/>
      <c r="AB389" s="67"/>
      <c r="AC389" s="67"/>
    </row>
    <row r="390" spans="1:68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47</v>
      </c>
      <c r="Y390" s="43">
        <f>IFERROR(SUM(Y385:Y388),"0")</f>
        <v>48.25</v>
      </c>
      <c r="Z390" s="42"/>
      <c r="AA390" s="67"/>
      <c r="AB390" s="67"/>
      <c r="AC390" s="67"/>
    </row>
    <row r="391" spans="1:68" ht="14.25" hidden="1" customHeight="1" x14ac:dyDescent="0.25">
      <c r="A391" s="630" t="s">
        <v>649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30" t="s">
        <v>658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46" t="s">
        <v>667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hidden="1" customHeight="1" x14ac:dyDescent="0.25">
      <c r="A404" s="630" t="s">
        <v>86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525</v>
      </c>
      <c r="Y406" s="55">
        <f>IFERROR(IF(X406="",0,CEILING((X406/$H406),1)*$H406),"")</f>
        <v>525</v>
      </c>
      <c r="Z406" s="41">
        <f>IFERROR(IF(Y406=0,"",ROUNDUP(Y406/H406,0)*0.00651),"")</f>
        <v>1.6274999999999999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588</v>
      </c>
      <c r="BN406" s="78">
        <f>IFERROR(Y406*I406/H406,"0")</f>
        <v>588</v>
      </c>
      <c r="BO406" s="78">
        <f>IFERROR(1/J406*(X406/H406),"0")</f>
        <v>1.3736263736263736</v>
      </c>
      <c r="BP406" s="78">
        <f>IFERROR(1/J406*(Y406/H406),"0")</f>
        <v>1.3736263736263736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525</v>
      </c>
      <c r="Y407" s="55">
        <f>IFERROR(IF(X407="",0,CEILING((X407/$H407),1)*$H407),"")</f>
        <v>525</v>
      </c>
      <c r="Z407" s="41">
        <f>IFERROR(IF(Y407=0,"",ROUNDUP(Y407/H407,0)*0.00651),"")</f>
        <v>1.6274999999999999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585</v>
      </c>
      <c r="BN407" s="78">
        <f>IFERROR(Y407*I407/H407,"0")</f>
        <v>585</v>
      </c>
      <c r="BO407" s="78">
        <f>IFERROR(1/J407*(X407/H407),"0")</f>
        <v>1.3736263736263736</v>
      </c>
      <c r="BP407" s="78">
        <f>IFERROR(1/J407*(Y407/H407),"0")</f>
        <v>1.3736263736263736</v>
      </c>
    </row>
    <row r="408" spans="1:68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500</v>
      </c>
      <c r="Y408" s="43">
        <f>IFERROR(Y405/H405,"0")+IFERROR(Y406/H406,"0")+IFERROR(Y407/H407,"0")</f>
        <v>500</v>
      </c>
      <c r="Z408" s="43">
        <f>IFERROR(IF(Z405="",0,Z405),"0")+IFERROR(IF(Z406="",0,Z406),"0")+IFERROR(IF(Z407="",0,Z407),"0")</f>
        <v>3.2549999999999999</v>
      </c>
      <c r="AA408" s="67"/>
      <c r="AB408" s="67"/>
      <c r="AC408" s="67"/>
    </row>
    <row r="409" spans="1:68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1050</v>
      </c>
      <c r="Y409" s="43">
        <f>IFERROR(SUM(Y405:Y407),"0")</f>
        <v>1050</v>
      </c>
      <c r="Z409" s="42"/>
      <c r="AA409" s="67"/>
      <c r="AB409" s="67"/>
      <c r="AC409" s="67"/>
    </row>
    <row r="410" spans="1:68" ht="27.75" hidden="1" customHeight="1" x14ac:dyDescent="0.2">
      <c r="A410" s="651" t="s">
        <v>677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hidden="1" customHeight="1" x14ac:dyDescent="0.25">
      <c r="A411" s="646" t="s">
        <v>678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hidden="1" customHeight="1" x14ac:dyDescent="0.25">
      <c r="A412" s="630" t="s">
        <v>128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220</v>
      </c>
      <c r="Y413" s="55">
        <f t="shared" ref="Y413:Y420" si="52">IFERROR(IF(X413="",0,CEILING((X413/$H413),1)*$H413),"")</f>
        <v>225</v>
      </c>
      <c r="Z413" s="41">
        <f>IFERROR(IF(Y413=0,"",ROUNDUP(Y413/H413,0)*0.02175),"")</f>
        <v>0.32624999999999998</v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226.89333333333335</v>
      </c>
      <c r="BN413" s="78">
        <f t="shared" ref="BN413:BN420" si="54">IFERROR(Y413*I413/H413,"0")</f>
        <v>232.05</v>
      </c>
      <c r="BO413" s="78">
        <f t="shared" ref="BO413:BO420" si="55">IFERROR(1/J413*(X413/H413),"0")</f>
        <v>0.30555555555555552</v>
      </c>
      <c r="BP413" s="78">
        <f t="shared" ref="BP413:BP420" si="56">IFERROR(1/J413*(Y413/H413),"0")</f>
        <v>0.3125</v>
      </c>
    </row>
    <row r="414" spans="1:68" ht="37.5" hidden="1" customHeight="1" x14ac:dyDescent="0.25">
      <c r="A414" s="63" t="s">
        <v>682</v>
      </c>
      <c r="B414" s="63" t="s">
        <v>683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1000</v>
      </c>
      <c r="Y415" s="55">
        <f t="shared" si="52"/>
        <v>1005</v>
      </c>
      <c r="Z415" s="41">
        <f>IFERROR(IF(Y415=0,"",ROUNDUP(Y415/H415,0)*0.02175),"")</f>
        <v>1.4572499999999999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1031.3333333333333</v>
      </c>
      <c r="BN415" s="78">
        <f t="shared" si="54"/>
        <v>1036.49</v>
      </c>
      <c r="BO415" s="78">
        <f t="shared" si="55"/>
        <v>1.3888888888888888</v>
      </c>
      <c r="BP415" s="78">
        <f t="shared" si="56"/>
        <v>1.3958333333333333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350</v>
      </c>
      <c r="Y416" s="55">
        <f t="shared" si="52"/>
        <v>360</v>
      </c>
      <c r="Z416" s="41">
        <f>IFERROR(IF(Y416=0,"",ROUNDUP(Y416/H416,0)*0.02175),"")</f>
        <v>0.52200000000000002</v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360.96666666666664</v>
      </c>
      <c r="BN416" s="78">
        <f t="shared" si="54"/>
        <v>371.28</v>
      </c>
      <c r="BO416" s="78">
        <f t="shared" si="55"/>
        <v>0.48611111111111105</v>
      </c>
      <c r="BP416" s="78">
        <f t="shared" si="56"/>
        <v>0.5</v>
      </c>
    </row>
    <row r="417" spans="1:68" ht="27" hidden="1" customHeight="1" x14ac:dyDescent="0.25">
      <c r="A417" s="63" t="s">
        <v>691</v>
      </c>
      <c r="B417" s="63" t="s">
        <v>692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104.66666666666667</v>
      </c>
      <c r="Y421" s="43">
        <f>IFERROR(Y413/H413,"0")+IFERROR(Y414/H414,"0")+IFERROR(Y415/H415,"0")+IFERROR(Y416/H416,"0")+IFERROR(Y417/H417,"0")+IFERROR(Y418/H418,"0")+IFERROR(Y419/H419,"0")+IFERROR(Y420/H420,"0")</f>
        <v>106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2.3054999999999999</v>
      </c>
      <c r="AA421" s="67"/>
      <c r="AB421" s="67"/>
      <c r="AC421" s="67"/>
    </row>
    <row r="422" spans="1:68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1570</v>
      </c>
      <c r="Y422" s="43">
        <f>IFERROR(SUM(Y413:Y420),"0")</f>
        <v>1590</v>
      </c>
      <c r="Z422" s="42"/>
      <c r="AA422" s="67"/>
      <c r="AB422" s="67"/>
      <c r="AC422" s="67"/>
    </row>
    <row r="423" spans="1:68" ht="14.25" hidden="1" customHeight="1" x14ac:dyDescent="0.25">
      <c r="A423" s="630" t="s">
        <v>164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hidden="1" customHeight="1" x14ac:dyDescent="0.25">
      <c r="A424" s="63" t="s">
        <v>703</v>
      </c>
      <c r="B424" s="63" t="s">
        <v>704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30" t="s">
        <v>86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150</v>
      </c>
      <c r="Y432" s="55">
        <f>IFERROR(IF(X432="",0,CEILING((X432/$H432),1)*$H432),"")</f>
        <v>153</v>
      </c>
      <c r="Z432" s="41">
        <f>IFERROR(IF(Y432=0,"",ROUNDUP(Y432/H432,0)*0.01898),"")</f>
        <v>0.32266</v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158.23333333333332</v>
      </c>
      <c r="BN432" s="78">
        <f>IFERROR(Y432*I432/H432,"0")</f>
        <v>161.398</v>
      </c>
      <c r="BO432" s="78">
        <f>IFERROR(1/J432*(X432/H432),"0")</f>
        <v>0.26041666666666669</v>
      </c>
      <c r="BP432" s="78">
        <f>IFERROR(1/J432*(Y432/H432),"0")</f>
        <v>0.265625</v>
      </c>
    </row>
    <row r="433" spans="1:68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16.666666666666668</v>
      </c>
      <c r="Y433" s="43">
        <f>IFERROR(Y430/H430,"0")+IFERROR(Y431/H431,"0")+IFERROR(Y432/H432,"0")</f>
        <v>17</v>
      </c>
      <c r="Z433" s="43">
        <f>IFERROR(IF(Z430="",0,Z430),"0")+IFERROR(IF(Z431="",0,Z431),"0")+IFERROR(IF(Z432="",0,Z432),"0")</f>
        <v>0.32266</v>
      </c>
      <c r="AA433" s="67"/>
      <c r="AB433" s="67"/>
      <c r="AC433" s="67"/>
    </row>
    <row r="434" spans="1:68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150</v>
      </c>
      <c r="Y434" s="43">
        <f>IFERROR(SUM(Y430:Y432),"0")</f>
        <v>153</v>
      </c>
      <c r="Z434" s="42"/>
      <c r="AA434" s="67"/>
      <c r="AB434" s="67"/>
      <c r="AC434" s="67"/>
    </row>
    <row r="435" spans="1:68" ht="14.25" hidden="1" customHeight="1" x14ac:dyDescent="0.25">
      <c r="A435" s="630" t="s">
        <v>181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100</v>
      </c>
      <c r="Y437" s="55">
        <f>IFERROR(IF(X437="",0,CEILING((X437/$H437),1)*$H437),"")</f>
        <v>108</v>
      </c>
      <c r="Z437" s="41">
        <f>IFERROR(IF(Y437=0,"",ROUNDUP(Y437/H437,0)*0.01898),"")</f>
        <v>0.22776000000000002</v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105.48888888888888</v>
      </c>
      <c r="BN437" s="78">
        <f>IFERROR(Y437*I437/H437,"0")</f>
        <v>113.92799999999998</v>
      </c>
      <c r="BO437" s="78">
        <f>IFERROR(1/J437*(X437/H437),"0")</f>
        <v>0.1736111111111111</v>
      </c>
      <c r="BP437" s="78">
        <f>IFERROR(1/J437*(Y437/H437),"0")</f>
        <v>0.1875</v>
      </c>
    </row>
    <row r="438" spans="1:68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11.111111111111111</v>
      </c>
      <c r="Y438" s="43">
        <f>IFERROR(Y436/H436,"0")+IFERROR(Y437/H437,"0")</f>
        <v>12</v>
      </c>
      <c r="Z438" s="43">
        <f>IFERROR(IF(Z436="",0,Z436),"0")+IFERROR(IF(Z437="",0,Z437),"0")</f>
        <v>0.22776000000000002</v>
      </c>
      <c r="AA438" s="67"/>
      <c r="AB438" s="67"/>
      <c r="AC438" s="67"/>
    </row>
    <row r="439" spans="1:68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100</v>
      </c>
      <c r="Y439" s="43">
        <f>IFERROR(SUM(Y436:Y437),"0")</f>
        <v>108</v>
      </c>
      <c r="Z439" s="42"/>
      <c r="AA439" s="67"/>
      <c r="AB439" s="67"/>
      <c r="AC439" s="67"/>
    </row>
    <row r="440" spans="1:68" ht="16.5" hidden="1" customHeight="1" x14ac:dyDescent="0.25">
      <c r="A440" s="646" t="s">
        <v>727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hidden="1" customHeight="1" x14ac:dyDescent="0.25">
      <c r="A441" s="630" t="s">
        <v>128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30" t="s">
        <v>77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30" t="s">
        <v>86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100</v>
      </c>
      <c r="Y451" s="55">
        <f>IFERROR(IF(X451="",0,CEILING((X451/$H451),1)*$H451),"")</f>
        <v>108</v>
      </c>
      <c r="Z451" s="41">
        <f>IFERROR(IF(Y451=0,"",ROUNDUP(Y451/H451,0)*0.01898),"")</f>
        <v>0.22776000000000002</v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105.48888888888888</v>
      </c>
      <c r="BN451" s="78">
        <f>IFERROR(Y451*I451/H451,"0")</f>
        <v>113.92799999999998</v>
      </c>
      <c r="BO451" s="78">
        <f>IFERROR(1/J451*(X451/H451),"0")</f>
        <v>0.1736111111111111</v>
      </c>
      <c r="BP451" s="78">
        <f>IFERROR(1/J451*(Y451/H451),"0")</f>
        <v>0.1875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11.111111111111111</v>
      </c>
      <c r="Y454" s="43">
        <f>IFERROR(Y451/H451,"0")+IFERROR(Y452/H452,"0")+IFERROR(Y453/H453,"0")</f>
        <v>12</v>
      </c>
      <c r="Z454" s="43">
        <f>IFERROR(IF(Z451="",0,Z451),"0")+IFERROR(IF(Z452="",0,Z452),"0")+IFERROR(IF(Z453="",0,Z453),"0")</f>
        <v>0.22776000000000002</v>
      </c>
      <c r="AA454" s="67"/>
      <c r="AB454" s="67"/>
      <c r="AC454" s="67"/>
    </row>
    <row r="455" spans="1:68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100</v>
      </c>
      <c r="Y455" s="43">
        <f>IFERROR(SUM(Y451:Y453),"0")</f>
        <v>108</v>
      </c>
      <c r="Z455" s="42"/>
      <c r="AA455" s="67"/>
      <c r="AB455" s="67"/>
      <c r="AC455" s="67"/>
    </row>
    <row r="456" spans="1:68" ht="27.75" hidden="1" customHeight="1" x14ac:dyDescent="0.2">
      <c r="A456" s="651" t="s">
        <v>743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hidden="1" customHeight="1" x14ac:dyDescent="0.25">
      <c r="A457" s="646" t="s">
        <v>744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hidden="1" customHeight="1" x14ac:dyDescent="0.25">
      <c r="A458" s="630" t="s">
        <v>77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30" t="s">
        <v>86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46" t="s">
        <v>767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hidden="1" customHeight="1" x14ac:dyDescent="0.25">
      <c r="A473" s="630" t="s">
        <v>164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30" t="s">
        <v>77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51" t="s">
        <v>779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hidden="1" customHeight="1" x14ac:dyDescent="0.25">
      <c r="A484" s="646" t="s">
        <v>779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hidden="1" customHeight="1" x14ac:dyDescent="0.25">
      <c r="A485" s="630" t="s">
        <v>128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100</v>
      </c>
      <c r="Y486" s="55">
        <f t="shared" ref="Y486:Y494" si="62">IFERROR(IF(X486="",0,CEILING((X486/$H486),1)*$H486),"")</f>
        <v>100.32000000000001</v>
      </c>
      <c r="Z486" s="41">
        <f t="shared" ref="Z486:Z491" si="63">IFERROR(IF(Y486=0,"",ROUNDUP(Y486/H486,0)*0.01196),"")</f>
        <v>0.22724</v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106.62878787878788</v>
      </c>
      <c r="BN486" s="78">
        <f t="shared" ref="BN486:BN494" si="65">IFERROR(Y486*I486/H486,"0")</f>
        <v>106.97</v>
      </c>
      <c r="BO486" s="78">
        <f t="shared" ref="BO486:BO494" si="66">IFERROR(1/J486*(X486/H486),"0")</f>
        <v>0.18210955710955709</v>
      </c>
      <c r="BP486" s="78">
        <f t="shared" ref="BP486:BP494" si="67">IFERROR(1/J486*(Y486/H486),"0")</f>
        <v>0.18269230769230771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100</v>
      </c>
      <c r="Y489" s="55">
        <f t="shared" si="62"/>
        <v>100.32000000000001</v>
      </c>
      <c r="Z489" s="41">
        <f t="shared" si="63"/>
        <v>0.22724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106.62878787878788</v>
      </c>
      <c r="BN489" s="78">
        <f t="shared" si="65"/>
        <v>106.97</v>
      </c>
      <c r="BO489" s="78">
        <f t="shared" si="66"/>
        <v>0.18210955710955709</v>
      </c>
      <c r="BP489" s="78">
        <f t="shared" si="67"/>
        <v>0.18269230769230771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350</v>
      </c>
      <c r="Y491" s="55">
        <f t="shared" si="62"/>
        <v>353.76</v>
      </c>
      <c r="Z491" s="41">
        <f t="shared" si="63"/>
        <v>0.80132000000000003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373.20075757575756</v>
      </c>
      <c r="BN491" s="78">
        <f t="shared" si="65"/>
        <v>377.21</v>
      </c>
      <c r="BO491" s="78">
        <f t="shared" si="66"/>
        <v>0.63738344988344986</v>
      </c>
      <c r="BP491" s="78">
        <f t="shared" si="67"/>
        <v>0.64423076923076927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90</v>
      </c>
      <c r="Y493" s="55">
        <f t="shared" si="62"/>
        <v>91.2</v>
      </c>
      <c r="Z493" s="41">
        <f>IFERROR(IF(Y493=0,"",ROUNDUP(Y493/H493,0)*0.00902),"")</f>
        <v>0.17138</v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129.5625</v>
      </c>
      <c r="BN493" s="78">
        <f t="shared" si="65"/>
        <v>131.29000000000002</v>
      </c>
      <c r="BO493" s="78">
        <f t="shared" si="66"/>
        <v>0.14204545454545456</v>
      </c>
      <c r="BP493" s="78">
        <f t="shared" si="67"/>
        <v>0.14393939393939395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120</v>
      </c>
      <c r="Y494" s="55">
        <f t="shared" si="62"/>
        <v>120</v>
      </c>
      <c r="Z494" s="41">
        <f>IFERROR(IF(Y494=0,"",ROUNDUP(Y494/H494,0)*0.00902),"")</f>
        <v>0.22550000000000001</v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172.75000000000003</v>
      </c>
      <c r="BN494" s="78">
        <f t="shared" si="65"/>
        <v>172.75000000000003</v>
      </c>
      <c r="BO494" s="78">
        <f t="shared" si="66"/>
        <v>0.18939393939393939</v>
      </c>
      <c r="BP494" s="78">
        <f t="shared" si="67"/>
        <v>0.18939393939393939</v>
      </c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147.91666666666666</v>
      </c>
      <c r="Y495" s="43">
        <f>IFERROR(Y486/H486,"0")+IFERROR(Y487/H487,"0")+IFERROR(Y488/H488,"0")+IFERROR(Y489/H489,"0")+IFERROR(Y490/H490,"0")+IFERROR(Y491/H491,"0")+IFERROR(Y492/H492,"0")+IFERROR(Y493/H493,"0")+IFERROR(Y494/H494,"0")</f>
        <v>149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1.6526800000000001</v>
      </c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760</v>
      </c>
      <c r="Y496" s="43">
        <f>IFERROR(SUM(Y486:Y494),"0")</f>
        <v>765.6</v>
      </c>
      <c r="Z496" s="42"/>
      <c r="AA496" s="67"/>
      <c r="AB496" s="67"/>
      <c r="AC496" s="67"/>
    </row>
    <row r="497" spans="1:68" ht="14.25" hidden="1" customHeight="1" x14ac:dyDescent="0.25">
      <c r="A497" s="630" t="s">
        <v>164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500</v>
      </c>
      <c r="Y498" s="55">
        <f>IFERROR(IF(X498="",0,CEILING((X498/$H498),1)*$H498),"")</f>
        <v>501.6</v>
      </c>
      <c r="Z498" s="41">
        <f>IFERROR(IF(Y498=0,"",ROUNDUP(Y498/H498,0)*0.01196),"")</f>
        <v>1.1362000000000001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533.14393939393938</v>
      </c>
      <c r="BN498" s="78">
        <f>IFERROR(Y498*I498/H498,"0")</f>
        <v>534.85</v>
      </c>
      <c r="BO498" s="78">
        <f>IFERROR(1/J498*(X498/H498),"0")</f>
        <v>0.91054778554778548</v>
      </c>
      <c r="BP498" s="78">
        <f>IFERROR(1/J498*(Y498/H498),"0")</f>
        <v>0.91346153846153855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120</v>
      </c>
      <c r="Y500" s="55">
        <f>IFERROR(IF(X500="",0,CEILING((X500/$H500),1)*$H500),"")</f>
        <v>120</v>
      </c>
      <c r="Z500" s="41">
        <f>IFERROR(IF(Y500=0,"",ROUNDUP(Y500/H500,0)*0.00902),"")</f>
        <v>0.22550000000000001</v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172.75000000000003</v>
      </c>
      <c r="BN500" s="78">
        <f>IFERROR(Y500*I500/H500,"0")</f>
        <v>172.75000000000003</v>
      </c>
      <c r="BO500" s="78">
        <f>IFERROR(1/J500*(X500/H500),"0")</f>
        <v>0.18939393939393939</v>
      </c>
      <c r="BP500" s="78">
        <f>IFERROR(1/J500*(Y500/H500),"0")</f>
        <v>0.18939393939393939</v>
      </c>
    </row>
    <row r="501" spans="1:68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119.69696969696969</v>
      </c>
      <c r="Y501" s="43">
        <f>IFERROR(Y498/H498,"0")+IFERROR(Y499/H499,"0")+IFERROR(Y500/H500,"0")</f>
        <v>120</v>
      </c>
      <c r="Z501" s="43">
        <f>IFERROR(IF(Z498="",0,Z498),"0")+IFERROR(IF(Z499="",0,Z499),"0")+IFERROR(IF(Z500="",0,Z500),"0")</f>
        <v>1.3617000000000001</v>
      </c>
      <c r="AA501" s="67"/>
      <c r="AB501" s="67"/>
      <c r="AC501" s="67"/>
    </row>
    <row r="502" spans="1:68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620</v>
      </c>
      <c r="Y502" s="43">
        <f>IFERROR(SUM(Y498:Y500),"0")</f>
        <v>621.6</v>
      </c>
      <c r="Z502" s="42"/>
      <c r="AA502" s="67"/>
      <c r="AB502" s="67"/>
      <c r="AC502" s="67"/>
    </row>
    <row r="503" spans="1:68" ht="14.25" hidden="1" customHeight="1" x14ac:dyDescent="0.25">
      <c r="A503" s="630" t="s">
        <v>77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50</v>
      </c>
      <c r="Y504" s="55">
        <f t="shared" ref="Y504:Y510" si="68">IFERROR(IF(X504="",0,CEILING((X504/$H504),1)*$H504),"")</f>
        <v>52.800000000000004</v>
      </c>
      <c r="Z504" s="41">
        <f>IFERROR(IF(Y504=0,"",ROUNDUP(Y504/H504,0)*0.01196),"")</f>
        <v>0.1196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53.314393939393938</v>
      </c>
      <c r="BN504" s="78">
        <f t="shared" ref="BN504:BN510" si="70">IFERROR(Y504*I504/H504,"0")</f>
        <v>56.3</v>
      </c>
      <c r="BO504" s="78">
        <f t="shared" ref="BO504:BO510" si="71">IFERROR(1/J504*(X504/H504),"0")</f>
        <v>9.1054778554778545E-2</v>
      </c>
      <c r="BP504" s="78">
        <f t="shared" ref="BP504:BP510" si="72">IFERROR(1/J504*(Y504/H504),"0")</f>
        <v>9.6153846153846159E-2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30</v>
      </c>
      <c r="Y505" s="55">
        <f t="shared" si="68"/>
        <v>31.68</v>
      </c>
      <c r="Z505" s="41">
        <f>IFERROR(IF(Y505=0,"",ROUNDUP(Y505/H505,0)*0.01196),"")</f>
        <v>7.1760000000000004E-2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31.988636363636363</v>
      </c>
      <c r="BN505" s="78">
        <f t="shared" si="70"/>
        <v>33.779999999999994</v>
      </c>
      <c r="BO505" s="78">
        <f t="shared" si="71"/>
        <v>5.4632867132867136E-2</v>
      </c>
      <c r="BP505" s="78">
        <f t="shared" si="72"/>
        <v>5.7692307692307696E-2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100</v>
      </c>
      <c r="Y506" s="55">
        <f t="shared" si="68"/>
        <v>100.32000000000001</v>
      </c>
      <c r="Z506" s="41">
        <f>IFERROR(IF(Y506=0,"",ROUNDUP(Y506/H506,0)*0.01196),"")</f>
        <v>0.22724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106.62878787878788</v>
      </c>
      <c r="BN506" s="78">
        <f t="shared" si="70"/>
        <v>106.97</v>
      </c>
      <c r="BO506" s="78">
        <f t="shared" si="71"/>
        <v>0.18210955710955709</v>
      </c>
      <c r="BP506" s="78">
        <f t="shared" si="72"/>
        <v>0.18269230769230771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60</v>
      </c>
      <c r="Y507" s="55">
        <f t="shared" si="68"/>
        <v>62.4</v>
      </c>
      <c r="Z507" s="41">
        <f>IFERROR(IF(Y507=0,"",ROUNDUP(Y507/H507,0)*0.00902),"")</f>
        <v>0.11726</v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86.375000000000014</v>
      </c>
      <c r="BN507" s="78">
        <f t="shared" si="70"/>
        <v>89.830000000000013</v>
      </c>
      <c r="BO507" s="78">
        <f t="shared" si="71"/>
        <v>9.4696969696969696E-2</v>
      </c>
      <c r="BP507" s="78">
        <f t="shared" si="72"/>
        <v>9.8484848484848481E-2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18</v>
      </c>
      <c r="Y509" s="55">
        <f t="shared" si="68"/>
        <v>19.2</v>
      </c>
      <c r="Z509" s="41">
        <f>IFERROR(IF(Y509=0,"",ROUNDUP(Y509/H509,0)*0.00902),"")</f>
        <v>3.6080000000000001E-2</v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25.012500000000003</v>
      </c>
      <c r="BN509" s="78">
        <f t="shared" si="70"/>
        <v>26.68</v>
      </c>
      <c r="BO509" s="78">
        <f t="shared" si="71"/>
        <v>2.8409090909090912E-2</v>
      </c>
      <c r="BP509" s="78">
        <f t="shared" si="72"/>
        <v>3.0303030303030304E-2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120</v>
      </c>
      <c r="Y510" s="55">
        <f t="shared" si="68"/>
        <v>120</v>
      </c>
      <c r="Z510" s="41">
        <f>IFERROR(IF(Y510=0,"",ROUNDUP(Y510/H510,0)*0.00902),"")</f>
        <v>0.22550000000000001</v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166.75</v>
      </c>
      <c r="BN510" s="78">
        <f t="shared" si="70"/>
        <v>166.75</v>
      </c>
      <c r="BO510" s="78">
        <f t="shared" si="71"/>
        <v>0.18939393939393939</v>
      </c>
      <c r="BP510" s="78">
        <f t="shared" si="72"/>
        <v>0.18939393939393939</v>
      </c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75.340909090909093</v>
      </c>
      <c r="Y511" s="43">
        <f>IFERROR(Y504/H504,"0")+IFERROR(Y505/H505,"0")+IFERROR(Y506/H506,"0")+IFERROR(Y507/H507,"0")+IFERROR(Y508/H508,"0")+IFERROR(Y509/H509,"0")+IFERROR(Y510/H510,"0")</f>
        <v>77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0.79744000000000004</v>
      </c>
      <c r="AA511" s="67"/>
      <c r="AB511" s="67"/>
      <c r="AC511" s="67"/>
    </row>
    <row r="512" spans="1:68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378</v>
      </c>
      <c r="Y512" s="43">
        <f>IFERROR(SUM(Y504:Y510),"0")</f>
        <v>386.40000000000003</v>
      </c>
      <c r="Z512" s="42"/>
      <c r="AA512" s="67"/>
      <c r="AB512" s="67"/>
      <c r="AC512" s="67"/>
    </row>
    <row r="513" spans="1:68" ht="27.75" hidden="1" customHeight="1" x14ac:dyDescent="0.2">
      <c r="A513" s="651" t="s">
        <v>826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hidden="1" customHeight="1" x14ac:dyDescent="0.25">
      <c r="A514" s="646" t="s">
        <v>826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hidden="1" customHeight="1" x14ac:dyDescent="0.25">
      <c r="A515" s="630" t="s">
        <v>128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50</v>
      </c>
      <c r="Y516" s="55">
        <f>IFERROR(IF(X516="",0,CEILING((X516/$H516),1)*$H516),"")</f>
        <v>60</v>
      </c>
      <c r="Z516" s="41">
        <f>IFERROR(IF(Y516=0,"",ROUNDUP(Y516/H516,0)*0.01898),"")</f>
        <v>9.4899999999999998E-2</v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51.708333333333336</v>
      </c>
      <c r="BN516" s="78">
        <f>IFERROR(Y516*I516/H516,"0")</f>
        <v>62.050000000000004</v>
      </c>
      <c r="BO516" s="78">
        <f>IFERROR(1/J516*(X516/H516),"0")</f>
        <v>6.5104166666666671E-2</v>
      </c>
      <c r="BP516" s="78">
        <f>IFERROR(1/J516*(Y516/H516),"0")</f>
        <v>7.8125E-2</v>
      </c>
    </row>
    <row r="517" spans="1:68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4.166666666666667</v>
      </c>
      <c r="Y517" s="43">
        <f>IFERROR(Y516/H516,"0")</f>
        <v>5</v>
      </c>
      <c r="Z517" s="43">
        <f>IFERROR(IF(Z516="",0,Z516),"0")</f>
        <v>9.4899999999999998E-2</v>
      </c>
      <c r="AA517" s="67"/>
      <c r="AB517" s="67"/>
      <c r="AC517" s="67"/>
    </row>
    <row r="518" spans="1:68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50</v>
      </c>
      <c r="Y518" s="43">
        <f>IFERROR(SUM(Y516:Y516),"0")</f>
        <v>60</v>
      </c>
      <c r="Z518" s="42"/>
      <c r="AA518" s="67"/>
      <c r="AB518" s="67"/>
      <c r="AC518" s="67"/>
    </row>
    <row r="519" spans="1:68" ht="14.25" hidden="1" customHeight="1" x14ac:dyDescent="0.25">
      <c r="A519" s="630" t="s">
        <v>164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30" t="s">
        <v>77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30" t="s">
        <v>86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800</v>
      </c>
      <c r="Y529" s="55">
        <f>IFERROR(IF(X529="",0,CEILING((X529/$H529),1)*$H529),"")</f>
        <v>801</v>
      </c>
      <c r="Z529" s="41">
        <f>IFERROR(IF(Y529=0,"",ROUNDUP(Y529/H529,0)*0.01898),"")</f>
        <v>1.6892199999999999</v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843.91111111111104</v>
      </c>
      <c r="BN529" s="78">
        <f>IFERROR(Y529*I529/H529,"0")</f>
        <v>844.96599999999989</v>
      </c>
      <c r="BO529" s="78">
        <f>IFERROR(1/J529*(X529/H529),"0")</f>
        <v>1.3888888888888888</v>
      </c>
      <c r="BP529" s="78">
        <f>IFERROR(1/J529*(Y529/H529),"0")</f>
        <v>1.390625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88.888888888888886</v>
      </c>
      <c r="Y530" s="43">
        <f>IFERROR(Y529/H529,"0")</f>
        <v>89</v>
      </c>
      <c r="Z530" s="43">
        <f>IFERROR(IF(Z529="",0,Z529),"0")</f>
        <v>1.6892199999999999</v>
      </c>
      <c r="AA530" s="67"/>
      <c r="AB530" s="67"/>
      <c r="AC530" s="67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800</v>
      </c>
      <c r="Y531" s="43">
        <f>IFERROR(SUM(Y529:Y529),"0")</f>
        <v>801</v>
      </c>
      <c r="Z531" s="42"/>
      <c r="AA531" s="67"/>
      <c r="AB531" s="67"/>
      <c r="AC531" s="67"/>
    </row>
    <row r="532" spans="1:68" ht="14.25" hidden="1" customHeight="1" x14ac:dyDescent="0.25">
      <c r="A532" s="630" t="s">
        <v>181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46" t="s">
        <v>847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hidden="1" customHeight="1" x14ac:dyDescent="0.25">
      <c r="A538" s="630" t="s">
        <v>164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17387.5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17577.29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18731.020406761349</v>
      </c>
      <c r="Y543" s="43">
        <f>IFERROR(SUM(BN22:BN539),"0")</f>
        <v>18933.081999999999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34</v>
      </c>
      <c r="Y544" s="44">
        <f>ROUNDUP(SUM(BP22:BP539),0)</f>
        <v>35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19581.020406761349</v>
      </c>
      <c r="Y545" s="43">
        <f>GrossWeightTotalR+PalletQtyTotalR*25</f>
        <v>19808.081999999999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4301.9289515183345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4338</v>
      </c>
      <c r="Z546" s="42"/>
      <c r="AA546" s="67"/>
      <c r="AB546" s="67"/>
      <c r="AC546" s="67"/>
    </row>
    <row r="547" spans="1:32" ht="14.25" hidden="1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40.550410000000007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626" t="s">
        <v>126</v>
      </c>
      <c r="E549" s="626" t="s">
        <v>126</v>
      </c>
      <c r="F549" s="626" t="s">
        <v>126</v>
      </c>
      <c r="G549" s="626" t="s">
        <v>126</v>
      </c>
      <c r="H549" s="626" t="s">
        <v>126</v>
      </c>
      <c r="I549" s="626" t="s">
        <v>126</v>
      </c>
      <c r="J549" s="626" t="s">
        <v>126</v>
      </c>
      <c r="K549" s="626" t="s">
        <v>338</v>
      </c>
      <c r="L549" s="626" t="s">
        <v>338</v>
      </c>
      <c r="M549" s="626" t="s">
        <v>338</v>
      </c>
      <c r="N549" s="627"/>
      <c r="O549" s="626" t="s">
        <v>338</v>
      </c>
      <c r="P549" s="626" t="s">
        <v>338</v>
      </c>
      <c r="Q549" s="626" t="s">
        <v>338</v>
      </c>
      <c r="R549" s="626" t="s">
        <v>338</v>
      </c>
      <c r="S549" s="626" t="s">
        <v>338</v>
      </c>
      <c r="T549" s="626" t="s">
        <v>338</v>
      </c>
      <c r="U549" s="626" t="s">
        <v>338</v>
      </c>
      <c r="V549" s="626" t="s">
        <v>677</v>
      </c>
      <c r="W549" s="626" t="s">
        <v>677</v>
      </c>
      <c r="X549" s="626" t="s">
        <v>743</v>
      </c>
      <c r="Y549" s="626" t="s">
        <v>743</v>
      </c>
      <c r="Z549" s="85" t="s">
        <v>779</v>
      </c>
      <c r="AA549" s="626" t="s">
        <v>826</v>
      </c>
      <c r="AB549" s="626" t="s">
        <v>826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76</v>
      </c>
      <c r="C550" s="626" t="s">
        <v>110</v>
      </c>
      <c r="D550" s="626" t="s">
        <v>127</v>
      </c>
      <c r="E550" s="626" t="s">
        <v>143</v>
      </c>
      <c r="F550" s="626" t="s">
        <v>188</v>
      </c>
      <c r="G550" s="626" t="s">
        <v>209</v>
      </c>
      <c r="H550" s="626" t="s">
        <v>248</v>
      </c>
      <c r="I550" s="626" t="s">
        <v>260</v>
      </c>
      <c r="J550" s="626" t="s">
        <v>126</v>
      </c>
      <c r="K550" s="626" t="s">
        <v>339</v>
      </c>
      <c r="L550" s="626" t="s">
        <v>360</v>
      </c>
      <c r="M550" s="626" t="s">
        <v>427</v>
      </c>
      <c r="N550" s="1"/>
      <c r="O550" s="626" t="s">
        <v>495</v>
      </c>
      <c r="P550" s="626" t="s">
        <v>528</v>
      </c>
      <c r="Q550" s="626" t="s">
        <v>544</v>
      </c>
      <c r="R550" s="626" t="s">
        <v>553</v>
      </c>
      <c r="S550" s="626" t="s">
        <v>574</v>
      </c>
      <c r="T550" s="626" t="s">
        <v>583</v>
      </c>
      <c r="U550" s="626" t="s">
        <v>667</v>
      </c>
      <c r="V550" s="626" t="s">
        <v>678</v>
      </c>
      <c r="W550" s="626" t="s">
        <v>727</v>
      </c>
      <c r="X550" s="626" t="s">
        <v>744</v>
      </c>
      <c r="Y550" s="626" t="s">
        <v>767</v>
      </c>
      <c r="Z550" s="626" t="s">
        <v>779</v>
      </c>
      <c r="AA550" s="626" t="s">
        <v>826</v>
      </c>
      <c r="AB550" s="626" t="s">
        <v>847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32.64</v>
      </c>
      <c r="D552" s="52">
        <f>IFERROR(Y51*1,"0")+IFERROR(Y52*1,"0")+IFERROR(Y53*1,"0")+IFERROR(Y54*1,"0")</f>
        <v>502.40000000000003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917.7</v>
      </c>
      <c r="F552" s="52">
        <f>IFERROR(Y88*1,"0")+IFERROR(Y89*1,"0")+IFERROR(Y90*1,"0")+IFERROR(Y91*1,"0")+IFERROR(Y95*1,"0")+IFERROR(Y96*1,"0")+IFERROR(Y97*1,"0")+IFERROR(Y98*1,"0")</f>
        <v>1307.7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1975.32</v>
      </c>
      <c r="H552" s="52">
        <f>IFERROR(Y132*1,"0")+IFERROR(Y133*1,"0")+IFERROR(Y137*1,"0")+IFERROR(Y138*1,"0")+IFERROR(Y142*1,"0")+IFERROR(Y143*1,"0")</f>
        <v>162.48000000000002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878.71999999999991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553.38000000000011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2366.7000000000003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222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681.6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319.8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2013.25</v>
      </c>
      <c r="U552" s="52">
        <f>IFERROR(Y405*1,"0")+IFERROR(Y406*1,"0")+IFERROR(Y407*1,"0")</f>
        <v>1050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1851</v>
      </c>
      <c r="W552" s="52">
        <f>IFERROR(Y442*1,"0")+IFERROR(Y443*1,"0")+IFERROR(Y447*1,"0")+IFERROR(Y451*1,"0")+IFERROR(Y452*1,"0")+IFERROR(Y453*1,"0")</f>
        <v>108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1773.6000000000001</v>
      </c>
      <c r="AA552" s="52">
        <f>IFERROR(Y516*1,"0")+IFERROR(Y520*1,"0")+IFERROR(Y524*1,"0")+IFERROR(Y525*1,"0")+IFERROR(Y529*1,"0")+IFERROR(Y533*1,"0")+IFERROR(Y534*1,"0")</f>
        <v>861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340,00"/>
        <filter val="1 570,00"/>
        <filter val="1 735,00"/>
        <filter val="1 850,00"/>
        <filter val="10,00"/>
        <filter val="10,50"/>
        <filter val="100,00"/>
        <filter val="104,67"/>
        <filter val="11,11"/>
        <filter val="119,70"/>
        <filter val="12,00"/>
        <filter val="12,22"/>
        <filter val="12,50"/>
        <filter val="12,82"/>
        <filter val="120,00"/>
        <filter val="135,00"/>
        <filter val="140,00"/>
        <filter val="147,92"/>
        <filter val="150,00"/>
        <filter val="16,54"/>
        <filter val="16,67"/>
        <filter val="160,00"/>
        <filter val="165,00"/>
        <filter val="17 387,50"/>
        <filter val="17,00"/>
        <filter val="178,00"/>
        <filter val="18 731,02"/>
        <filter val="18,00"/>
        <filter val="180,00"/>
        <filter val="19 581,02"/>
        <filter val="20,00"/>
        <filter val="200,00"/>
        <filter val="210,00"/>
        <filter val="22,22"/>
        <filter val="220,00"/>
        <filter val="225,00"/>
        <filter val="229,05"/>
        <filter val="229,40"/>
        <filter val="240,00"/>
        <filter val="274,07"/>
        <filter val="274,69"/>
        <filter val="28,00"/>
        <filter val="283,33"/>
        <filter val="30,00"/>
        <filter val="300,00"/>
        <filter val="301,67"/>
        <filter val="31,25"/>
        <filter val="310,00"/>
        <filter val="32,00"/>
        <filter val="32,78"/>
        <filter val="33,33"/>
        <filter val="34"/>
        <filter val="35,00"/>
        <filter val="350,00"/>
        <filter val="36,31"/>
        <filter val="378,00"/>
        <filter val="380,00"/>
        <filter val="39,74"/>
        <filter val="4 301,93"/>
        <filter val="4,00"/>
        <filter val="4,17"/>
        <filter val="4,50"/>
        <filter val="40,00"/>
        <filter val="400,00"/>
        <filter val="406,79"/>
        <filter val="425,00"/>
        <filter val="467,82"/>
        <filter val="47,00"/>
        <filter val="5,00"/>
        <filter val="50,00"/>
        <filter val="500,00"/>
        <filter val="501,50"/>
        <filter val="525,00"/>
        <filter val="56,00"/>
        <filter val="59,50"/>
        <filter val="6,00"/>
        <filter val="60,00"/>
        <filter val="600,00"/>
        <filter val="620,00"/>
        <filter val="66,00"/>
        <filter val="675,00"/>
        <filter val="68,52"/>
        <filter val="680,00"/>
        <filter val="7,00"/>
        <filter val="70,00"/>
        <filter val="700,00"/>
        <filter val="75,34"/>
        <filter val="760,00"/>
        <filter val="77,78"/>
        <filter val="8,00"/>
        <filter val="8,33"/>
        <filter val="80,00"/>
        <filter val="800,00"/>
        <filter val="82,50"/>
        <filter val="85,19"/>
        <filter val="863,00"/>
        <filter val="875,00"/>
        <filter val="88,89"/>
        <filter val="90,00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9" spans="2:8" x14ac:dyDescent="0.2">
      <c r="B9" s="53" t="s">
        <v>860</v>
      </c>
      <c r="C9" s="53" t="s">
        <v>855</v>
      </c>
      <c r="D9" s="53" t="s">
        <v>46</v>
      </c>
      <c r="E9" s="53" t="s">
        <v>46</v>
      </c>
    </row>
    <row r="11" spans="2:8" x14ac:dyDescent="0.2">
      <c r="B11" s="53" t="s">
        <v>860</v>
      </c>
      <c r="C11" s="53" t="s">
        <v>858</v>
      </c>
      <c r="D11" s="53" t="s">
        <v>46</v>
      </c>
      <c r="E11" s="53" t="s">
        <v>46</v>
      </c>
    </row>
    <row r="13" spans="2:8" x14ac:dyDescent="0.2">
      <c r="B13" s="53" t="s">
        <v>861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