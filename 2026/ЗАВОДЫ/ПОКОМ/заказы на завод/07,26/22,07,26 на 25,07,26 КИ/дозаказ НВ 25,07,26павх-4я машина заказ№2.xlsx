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F39435-0495-4394-9B38-C0723C6C52D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Y124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3" i="2" l="1"/>
  <c r="BN54" i="2"/>
  <c r="BN104" i="2"/>
  <c r="BN147" i="2"/>
  <c r="BN181" i="2"/>
  <c r="BN202" i="2"/>
  <c r="BN214" i="2"/>
  <c r="BN274" i="2"/>
  <c r="BN282" i="2"/>
  <c r="BN287" i="2"/>
  <c r="BN315" i="2"/>
  <c r="BN321" i="2"/>
  <c r="BN357" i="2"/>
  <c r="BN372" i="2"/>
  <c r="BN424" i="2"/>
  <c r="BN452" i="2"/>
  <c r="BN470" i="2"/>
  <c r="BN519" i="2"/>
  <c r="BN35" i="2"/>
  <c r="BN42" i="2"/>
  <c r="BP78" i="2"/>
  <c r="BN91" i="2"/>
  <c r="BN96" i="2"/>
  <c r="BN120" i="2"/>
  <c r="BN142" i="2"/>
  <c r="BP156" i="2"/>
  <c r="BN166" i="2"/>
  <c r="BN210" i="2"/>
  <c r="BN231" i="2"/>
  <c r="BP234" i="2"/>
  <c r="BP242" i="2"/>
  <c r="BN244" i="2"/>
  <c r="BN269" i="2"/>
  <c r="BP295" i="2"/>
  <c r="BN305" i="2"/>
  <c r="Y316" i="2"/>
  <c r="BN326" i="2"/>
  <c r="Z345" i="2"/>
  <c r="BN345" i="2"/>
  <c r="BN351" i="2"/>
  <c r="Z382" i="2"/>
  <c r="BN394" i="2"/>
  <c r="BP402" i="2"/>
  <c r="Y411" i="2"/>
  <c r="BN429" i="2"/>
  <c r="BN462" i="2"/>
  <c r="BN488" i="2"/>
  <c r="BP496" i="2"/>
  <c r="BN500" i="2"/>
  <c r="BN533" i="2"/>
  <c r="Z98" i="2"/>
  <c r="Z329" i="2"/>
  <c r="Z350" i="2"/>
  <c r="Z375" i="2"/>
  <c r="Z396" i="2"/>
  <c r="Y490" i="2"/>
  <c r="BP487" i="2"/>
  <c r="Z495" i="2"/>
  <c r="Z499" i="2"/>
  <c r="BP499" i="2"/>
  <c r="Z501" i="2"/>
  <c r="BP350" i="2"/>
  <c r="Y505" i="2"/>
  <c r="Z29" i="2"/>
  <c r="Z106" i="2"/>
  <c r="Y125" i="2"/>
  <c r="Z139" i="2"/>
  <c r="Z147" i="2"/>
  <c r="BN148" i="2"/>
  <c r="BN154" i="2"/>
  <c r="BN235" i="2"/>
  <c r="Z357" i="2"/>
  <c r="Z394" i="2"/>
  <c r="Z441" i="2"/>
  <c r="Z469" i="2"/>
  <c r="Z487" i="2"/>
  <c r="Y491" i="2"/>
  <c r="BP29" i="2"/>
  <c r="Y170" i="2"/>
  <c r="Z178" i="2"/>
  <c r="BN82" i="2"/>
  <c r="X550" i="2"/>
  <c r="Z65" i="2"/>
  <c r="BP77" i="2"/>
  <c r="BP121" i="2"/>
  <c r="BN179" i="2"/>
  <c r="Z181" i="2"/>
  <c r="BN182" i="2"/>
  <c r="Z198" i="2"/>
  <c r="Y203" i="2"/>
  <c r="BN226" i="2"/>
  <c r="Z287" i="2"/>
  <c r="BN288" i="2"/>
  <c r="BN303" i="2"/>
  <c r="BP358" i="2"/>
  <c r="Z424" i="2"/>
  <c r="BN495" i="2"/>
  <c r="BN515" i="2"/>
  <c r="BP529" i="2"/>
  <c r="Z88" i="2"/>
  <c r="BN88" i="2"/>
  <c r="Y92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BN168" i="2"/>
  <c r="BP319" i="2"/>
  <c r="BP468" i="2"/>
  <c r="BP525" i="2"/>
  <c r="Y549" i="2"/>
  <c r="BN121" i="2"/>
  <c r="BN155" i="2"/>
  <c r="BN401" i="2"/>
  <c r="Z378" i="2" l="1"/>
  <c r="Z46" i="2"/>
  <c r="Z109" i="2"/>
  <c r="Z143" i="2"/>
  <c r="Z391" i="2"/>
  <c r="Z368" i="2"/>
  <c r="Z479" i="2"/>
  <c r="Z442" i="2"/>
  <c r="Z520" i="2"/>
  <c r="Z158" i="2"/>
  <c r="Z417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<sst xmlns="http://schemas.openxmlformats.org/spreadsheetml/2006/main" count="4221" uniqueCount="909">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</sst>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88" sqref="AA8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908</v>
      </c>
      <c r="I5" s="641"/>
      <c r="J5" s="641"/>
      <c r="K5" s="641"/>
      <c r="L5" s="641"/>
      <c r="M5" s="641"/>
      <c r="N5" s="72"/>
      <c r="P5" s="27" t="s">
        <v>4</v>
      </c>
      <c r="Q5" s="643">
        <v>46228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886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Суббота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7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0.5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907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500</v>
      </c>
      <c r="Y88" s="55">
        <f>IFERROR(IF(X88="",0,CEILING((X88/$H88),1)*$H88),"")</f>
        <v>507.6</v>
      </c>
      <c r="Z88" s="41">
        <f>IFERROR(IF(Y88=0,"",ROUNDUP(Y88/H88,0)*0.01898),"")</f>
        <v>0.89205999999999996</v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518.98148148148141</v>
      </c>
      <c r="BN88" s="78">
        <f>IFERROR(Y88*I88/H88,"0")</f>
        <v>526.87</v>
      </c>
      <c r="BO88" s="78">
        <f>IFERROR(1/J88*(X88/H88),"0")</f>
        <v>0.72337962962962954</v>
      </c>
      <c r="BP88" s="78">
        <f>IFERROR(1/J88*(Y88/H88),"0")</f>
        <v>0.734375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46.296296296296291</v>
      </c>
      <c r="Y92" s="43">
        <f>IFERROR(Y88/H88,"0")+IFERROR(Y89/H89,"0")+IFERROR(Y90/H90,"0")+IFERROR(Y91/H91,"0")</f>
        <v>47</v>
      </c>
      <c r="Z92" s="43">
        <f>IFERROR(IF(Z88="",0,Z88),"0")+IFERROR(IF(Z89="",0,Z89),"0")+IFERROR(IF(Z90="",0,Z90),"0")+IFERROR(IF(Z91="",0,Z91),"0")</f>
        <v>0.89205999999999996</v>
      </c>
      <c r="AA92" s="67"/>
      <c r="AB92" s="67"/>
      <c r="AC92" s="67"/>
    </row>
    <row r="93" spans="1:68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500</v>
      </c>
      <c r="Y93" s="43">
        <f>IFERROR(SUM(Y88:Y91),"0")</f>
        <v>507.6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1845</v>
      </c>
      <c r="Y423" s="55">
        <f t="shared" si="47"/>
        <v>1845</v>
      </c>
      <c r="Z423" s="41">
        <f>IFERROR(IF(Y423=0,"",ROUNDUP(Y423/H423,0)*0.02175),"")</f>
        <v>2.6752499999999997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1902.8100000000002</v>
      </c>
      <c r="BN423" s="78">
        <f t="shared" si="49"/>
        <v>1902.8100000000002</v>
      </c>
      <c r="BO423" s="78">
        <f t="shared" si="50"/>
        <v>2.5625</v>
      </c>
      <c r="BP423" s="78">
        <f t="shared" si="51"/>
        <v>2.5625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1845</v>
      </c>
      <c r="Y425" s="55">
        <f t="shared" si="47"/>
        <v>1845</v>
      </c>
      <c r="Z425" s="41">
        <f>IFERROR(IF(Y425=0,"",ROUNDUP(Y425/H425,0)*0.02175),"")</f>
        <v>2.6752499999999997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1902.8100000000002</v>
      </c>
      <c r="BN425" s="78">
        <f t="shared" si="49"/>
        <v>1902.8100000000002</v>
      </c>
      <c r="BO425" s="78">
        <f t="shared" si="50"/>
        <v>2.5625</v>
      </c>
      <c r="BP425" s="78">
        <f t="shared" si="51"/>
        <v>2.5625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2000</v>
      </c>
      <c r="Y426" s="55">
        <f t="shared" si="47"/>
        <v>2010</v>
      </c>
      <c r="Z426" s="41">
        <f>IFERROR(IF(Y426=0,"",ROUNDUP(Y426/H426,0)*0.02175),"")</f>
        <v>2.9144999999999999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2062.6666666666665</v>
      </c>
      <c r="BN426" s="78">
        <f t="shared" si="49"/>
        <v>2072.98</v>
      </c>
      <c r="BO426" s="78">
        <f t="shared" si="50"/>
        <v>2.7777777777777777</v>
      </c>
      <c r="BP426" s="78">
        <f t="shared" si="51"/>
        <v>2.7916666666666665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379.33333333333337</v>
      </c>
      <c r="Y430" s="43">
        <f>IFERROR(Y422/H422,"0")+IFERROR(Y423/H423,"0")+IFERROR(Y424/H424,"0")+IFERROR(Y425/H425,"0")+IFERROR(Y426/H426,"0")+IFERROR(Y427/H427,"0")+IFERROR(Y428/H428,"0")+IFERROR(Y429/H429,"0")</f>
        <v>380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8.2649999999999988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5690</v>
      </c>
      <c r="Y431" s="43">
        <f>IFERROR(SUM(Y422:Y429),"0")</f>
        <v>5700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6190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6207.6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6387.2681481481486</v>
      </c>
      <c r="Y551" s="43">
        <f>IFERROR(SUM(BN22:BN547),"0")</f>
        <v>6405.4700000000012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9</v>
      </c>
      <c r="Y552" s="44">
        <f>ROUNDUP(SUM(BP22:BP547),0)</f>
        <v>9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6612.2681481481486</v>
      </c>
      <c r="Y553" s="43">
        <f>GrossWeightTotalR+PalletQtyTotalR*25</f>
        <v>6630.4700000000012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425.62962962962968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427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9.1570599999999995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507.6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5700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45,00"/>
        <filter val="2 000,00"/>
        <filter val="379,33"/>
        <filter val="425,63"/>
        <filter val="46,30"/>
        <filter val="5 690,00"/>
        <filter val="500,00"/>
        <filter val="6 190,00"/>
        <filter val="6 387,27"/>
        <filter val="6 612,27"/>
        <filter val="9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