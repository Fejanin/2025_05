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F1D9674-3215-4145-8D2F-761A440D500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N541" i="1" s="1"/>
  <c r="P541" i="1"/>
  <c r="X539" i="1"/>
  <c r="X538" i="1"/>
  <c r="BP537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P529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O503" i="1"/>
  <c r="BM503" i="1"/>
  <c r="Y503" i="1"/>
  <c r="BP503" i="1" s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O499" i="1"/>
  <c r="BM499" i="1"/>
  <c r="Z499" i="1"/>
  <c r="Y499" i="1"/>
  <c r="BN499" i="1" s="1"/>
  <c r="P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BN495" i="1" s="1"/>
  <c r="P495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BP487" i="1" s="1"/>
  <c r="P487" i="1"/>
  <c r="X485" i="1"/>
  <c r="X484" i="1"/>
  <c r="BO483" i="1"/>
  <c r="BM483" i="1"/>
  <c r="Z483" i="1"/>
  <c r="Z484" i="1" s="1"/>
  <c r="Y483" i="1"/>
  <c r="Y485" i="1" s="1"/>
  <c r="P483" i="1"/>
  <c r="X480" i="1"/>
  <c r="Y479" i="1"/>
  <c r="X479" i="1"/>
  <c r="BO478" i="1"/>
  <c r="BM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BO470" i="1"/>
  <c r="BM470" i="1"/>
  <c r="Y470" i="1"/>
  <c r="BP470" i="1" s="1"/>
  <c r="P470" i="1"/>
  <c r="BO469" i="1"/>
  <c r="BM469" i="1"/>
  <c r="Z469" i="1"/>
  <c r="Y469" i="1"/>
  <c r="BP469" i="1" s="1"/>
  <c r="P469" i="1"/>
  <c r="BO468" i="1"/>
  <c r="BM468" i="1"/>
  <c r="Y468" i="1"/>
  <c r="P468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P439" i="1"/>
  <c r="X437" i="1"/>
  <c r="X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P428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BP416" i="1" s="1"/>
  <c r="P416" i="1"/>
  <c r="BO415" i="1"/>
  <c r="BM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P408" i="1"/>
  <c r="BO407" i="1"/>
  <c r="BM407" i="1"/>
  <c r="Y407" i="1"/>
  <c r="BN407" i="1" s="1"/>
  <c r="P407" i="1"/>
  <c r="X405" i="1"/>
  <c r="X404" i="1"/>
  <c r="BO403" i="1"/>
  <c r="BM403" i="1"/>
  <c r="Y403" i="1"/>
  <c r="P403" i="1"/>
  <c r="BO402" i="1"/>
  <c r="BM402" i="1"/>
  <c r="Y402" i="1"/>
  <c r="P402" i="1"/>
  <c r="BO401" i="1"/>
  <c r="BM401" i="1"/>
  <c r="Y401" i="1"/>
  <c r="BP401" i="1" s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Z383" i="1"/>
  <c r="Y383" i="1"/>
  <c r="BN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Z377" i="1"/>
  <c r="Y377" i="1"/>
  <c r="BN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Z363" i="1"/>
  <c r="Y363" i="1"/>
  <c r="BN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BP351" i="1" s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Z329" i="1"/>
  <c r="Y329" i="1"/>
  <c r="BN329" i="1" s="1"/>
  <c r="P329" i="1"/>
  <c r="BO328" i="1"/>
  <c r="BM328" i="1"/>
  <c r="Y328" i="1"/>
  <c r="P328" i="1"/>
  <c r="BO327" i="1"/>
  <c r="BM327" i="1"/>
  <c r="Y327" i="1"/>
  <c r="BN327" i="1" s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P311" i="1"/>
  <c r="BO311" i="1"/>
  <c r="BM311" i="1"/>
  <c r="Y311" i="1"/>
  <c r="P311" i="1"/>
  <c r="X309" i="1"/>
  <c r="X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BN303" i="1" s="1"/>
  <c r="P303" i="1"/>
  <c r="BO302" i="1"/>
  <c r="BM302" i="1"/>
  <c r="Y302" i="1"/>
  <c r="P302" i="1"/>
  <c r="BO301" i="1"/>
  <c r="BM301" i="1"/>
  <c r="Y301" i="1"/>
  <c r="BN301" i="1" s="1"/>
  <c r="P301" i="1"/>
  <c r="X298" i="1"/>
  <c r="X297" i="1"/>
  <c r="BO296" i="1"/>
  <c r="BM296" i="1"/>
  <c r="Z296" i="1"/>
  <c r="Y296" i="1"/>
  <c r="BN296" i="1" s="1"/>
  <c r="P296" i="1"/>
  <c r="BO295" i="1"/>
  <c r="BM295" i="1"/>
  <c r="Y295" i="1"/>
  <c r="Y297" i="1" s="1"/>
  <c r="P295" i="1"/>
  <c r="X293" i="1"/>
  <c r="X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N286" i="1" s="1"/>
  <c r="P286" i="1"/>
  <c r="BO285" i="1"/>
  <c r="BM285" i="1"/>
  <c r="Y285" i="1"/>
  <c r="P285" i="1"/>
  <c r="BO284" i="1"/>
  <c r="BM284" i="1"/>
  <c r="Y284" i="1"/>
  <c r="BN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Z280" i="1"/>
  <c r="Y280" i="1"/>
  <c r="BN280" i="1" s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O272" i="1"/>
  <c r="BM272" i="1"/>
  <c r="Y272" i="1"/>
  <c r="BN272" i="1" s="1"/>
  <c r="P272" i="1"/>
  <c r="BO271" i="1"/>
  <c r="BM271" i="1"/>
  <c r="Y271" i="1"/>
  <c r="BP271" i="1" s="1"/>
  <c r="P271" i="1"/>
  <c r="BO270" i="1"/>
  <c r="BM270" i="1"/>
  <c r="Y270" i="1"/>
  <c r="BN270" i="1" s="1"/>
  <c r="P270" i="1"/>
  <c r="BO269" i="1"/>
  <c r="BM269" i="1"/>
  <c r="Y269" i="1"/>
  <c r="P269" i="1"/>
  <c r="X267" i="1"/>
  <c r="X266" i="1"/>
  <c r="BO265" i="1"/>
  <c r="BM265" i="1"/>
  <c r="Y265" i="1"/>
  <c r="BP265" i="1" s="1"/>
  <c r="P265" i="1"/>
  <c r="BO264" i="1"/>
  <c r="BM264" i="1"/>
  <c r="Z264" i="1"/>
  <c r="Y264" i="1"/>
  <c r="P264" i="1"/>
  <c r="X262" i="1"/>
  <c r="X261" i="1"/>
  <c r="BO260" i="1"/>
  <c r="BM260" i="1"/>
  <c r="Z260" i="1"/>
  <c r="Y260" i="1"/>
  <c r="BN260" i="1" s="1"/>
  <c r="P260" i="1"/>
  <c r="BO259" i="1"/>
  <c r="BM259" i="1"/>
  <c r="Y259" i="1"/>
  <c r="P259" i="1"/>
  <c r="X256" i="1"/>
  <c r="X255" i="1"/>
  <c r="BO254" i="1"/>
  <c r="BM254" i="1"/>
  <c r="Y254" i="1"/>
  <c r="Y255" i="1" s="1"/>
  <c r="P254" i="1"/>
  <c r="X252" i="1"/>
  <c r="X251" i="1"/>
  <c r="BO250" i="1"/>
  <c r="BM250" i="1"/>
  <c r="Y250" i="1"/>
  <c r="BP250" i="1" s="1"/>
  <c r="P250" i="1"/>
  <c r="BO249" i="1"/>
  <c r="BM249" i="1"/>
  <c r="Y249" i="1"/>
  <c r="BN249" i="1" s="1"/>
  <c r="P249" i="1"/>
  <c r="BO248" i="1"/>
  <c r="BM248" i="1"/>
  <c r="Y248" i="1"/>
  <c r="Y251" i="1" s="1"/>
  <c r="P248" i="1"/>
  <c r="X246" i="1"/>
  <c r="X245" i="1"/>
  <c r="BO244" i="1"/>
  <c r="BM244" i="1"/>
  <c r="Y244" i="1"/>
  <c r="BP244" i="1" s="1"/>
  <c r="P244" i="1"/>
  <c r="BO243" i="1"/>
  <c r="BM243" i="1"/>
  <c r="Z243" i="1"/>
  <c r="Y243" i="1"/>
  <c r="BN243" i="1" s="1"/>
  <c r="P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Y245" i="1" s="1"/>
  <c r="P240" i="1"/>
  <c r="X238" i="1"/>
  <c r="X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Z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BN223" i="1" s="1"/>
  <c r="P223" i="1"/>
  <c r="X221" i="1"/>
  <c r="X220" i="1"/>
  <c r="BO219" i="1"/>
  <c r="BM219" i="1"/>
  <c r="Z219" i="1"/>
  <c r="Z220" i="1" s="1"/>
  <c r="Y219" i="1"/>
  <c r="Y220" i="1" s="1"/>
  <c r="P219" i="1"/>
  <c r="X216" i="1"/>
  <c r="X215" i="1"/>
  <c r="BO214" i="1"/>
  <c r="BN214" i="1"/>
  <c r="BM214" i="1"/>
  <c r="Z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N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BN198" i="1" s="1"/>
  <c r="P198" i="1"/>
  <c r="BO197" i="1"/>
  <c r="BM197" i="1"/>
  <c r="Y197" i="1"/>
  <c r="Y200" i="1" s="1"/>
  <c r="P197" i="1"/>
  <c r="X195" i="1"/>
  <c r="X194" i="1"/>
  <c r="BO193" i="1"/>
  <c r="BM193" i="1"/>
  <c r="Y193" i="1"/>
  <c r="BP193" i="1" s="1"/>
  <c r="P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BP173" i="1" s="1"/>
  <c r="P173" i="1"/>
  <c r="BO172" i="1"/>
  <c r="BM172" i="1"/>
  <c r="Y172" i="1"/>
  <c r="BN172" i="1" s="1"/>
  <c r="X170" i="1"/>
  <c r="X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P166" i="1"/>
  <c r="X163" i="1"/>
  <c r="X162" i="1"/>
  <c r="BO161" i="1"/>
  <c r="BM161" i="1"/>
  <c r="Y161" i="1"/>
  <c r="Y162" i="1" s="1"/>
  <c r="P161" i="1"/>
  <c r="X159" i="1"/>
  <c r="X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BP140" i="1" s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M122" i="1"/>
  <c r="Y122" i="1"/>
  <c r="BN122" i="1" s="1"/>
  <c r="P122" i="1"/>
  <c r="BO121" i="1"/>
  <c r="BM121" i="1"/>
  <c r="Y121" i="1"/>
  <c r="BP121" i="1" s="1"/>
  <c r="P121" i="1"/>
  <c r="BO120" i="1"/>
  <c r="BN120" i="1"/>
  <c r="BM120" i="1"/>
  <c r="Z120" i="1"/>
  <c r="Y120" i="1"/>
  <c r="P120" i="1"/>
  <c r="X118" i="1"/>
  <c r="X117" i="1"/>
  <c r="BO116" i="1"/>
  <c r="BM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BN112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N66" i="1" s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N43" i="1"/>
  <c r="BM43" i="1"/>
  <c r="Z43" i="1"/>
  <c r="Y43" i="1"/>
  <c r="BP43" i="1" s="1"/>
  <c r="P43" i="1"/>
  <c r="BO42" i="1"/>
  <c r="BM42" i="1"/>
  <c r="Y42" i="1"/>
  <c r="BP42" i="1" s="1"/>
  <c r="P42" i="1"/>
  <c r="BO41" i="1"/>
  <c r="BM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60" i="1" l="1"/>
  <c r="BN60" i="1"/>
  <c r="Z60" i="1"/>
  <c r="BP89" i="1"/>
  <c r="BN89" i="1"/>
  <c r="Z89" i="1"/>
  <c r="BP114" i="1"/>
  <c r="BN114" i="1"/>
  <c r="Z114" i="1"/>
  <c r="BP184" i="1"/>
  <c r="BN184" i="1"/>
  <c r="Z184" i="1"/>
  <c r="BP192" i="1"/>
  <c r="BN192" i="1"/>
  <c r="Z192" i="1"/>
  <c r="BN235" i="1"/>
  <c r="Z235" i="1"/>
  <c r="BN276" i="1"/>
  <c r="BN288" i="1"/>
  <c r="Z288" i="1"/>
  <c r="Y323" i="1"/>
  <c r="Z319" i="1"/>
  <c r="BN356" i="1"/>
  <c r="Z356" i="1"/>
  <c r="BN401" i="1"/>
  <c r="BN440" i="1"/>
  <c r="BN451" i="1"/>
  <c r="Z451" i="1"/>
  <c r="BN470" i="1"/>
  <c r="BN503" i="1"/>
  <c r="BN509" i="1"/>
  <c r="BP515" i="1"/>
  <c r="BN515" i="1"/>
  <c r="Z515" i="1"/>
  <c r="Y527" i="1"/>
  <c r="Y526" i="1"/>
  <c r="BN525" i="1"/>
  <c r="Y535" i="1"/>
  <c r="Y534" i="1"/>
  <c r="BN533" i="1"/>
  <c r="B560" i="1"/>
  <c r="X552" i="1"/>
  <c r="X553" i="1" s="1"/>
  <c r="Z31" i="1"/>
  <c r="BN31" i="1"/>
  <c r="BP70" i="1"/>
  <c r="BN70" i="1"/>
  <c r="Z70" i="1"/>
  <c r="BP104" i="1"/>
  <c r="BN104" i="1"/>
  <c r="Z104" i="1"/>
  <c r="BN135" i="1"/>
  <c r="BN141" i="1"/>
  <c r="BN149" i="1"/>
  <c r="BN156" i="1"/>
  <c r="BN178" i="1"/>
  <c r="BN210" i="1"/>
  <c r="BN225" i="1"/>
  <c r="Z225" i="1"/>
  <c r="BP235" i="1"/>
  <c r="BN241" i="1"/>
  <c r="Z241" i="1"/>
  <c r="BP288" i="1"/>
  <c r="BN290" i="1"/>
  <c r="BP305" i="1"/>
  <c r="BN305" i="1"/>
  <c r="Z305" i="1"/>
  <c r="Y313" i="1"/>
  <c r="Z311" i="1"/>
  <c r="Z312" i="1" s="1"/>
  <c r="BP319" i="1"/>
  <c r="BN321" i="1"/>
  <c r="BN351" i="1"/>
  <c r="BP356" i="1"/>
  <c r="BP358" i="1"/>
  <c r="BN358" i="1"/>
  <c r="Z358" i="1"/>
  <c r="BN367" i="1"/>
  <c r="BN373" i="1"/>
  <c r="BP414" i="1"/>
  <c r="BN414" i="1"/>
  <c r="Z414" i="1"/>
  <c r="BP422" i="1"/>
  <c r="BN422" i="1"/>
  <c r="Z422" i="1"/>
  <c r="BN428" i="1"/>
  <c r="Z428" i="1"/>
  <c r="BP451" i="1"/>
  <c r="BP461" i="1"/>
  <c r="BN461" i="1"/>
  <c r="Z461" i="1"/>
  <c r="Y510" i="1"/>
  <c r="BN513" i="1"/>
  <c r="Z513" i="1"/>
  <c r="Y531" i="1"/>
  <c r="Z529" i="1"/>
  <c r="Z530" i="1" s="1"/>
  <c r="Y539" i="1"/>
  <c r="Z537" i="1"/>
  <c r="Z538" i="1" s="1"/>
  <c r="BN167" i="1"/>
  <c r="BN180" i="1"/>
  <c r="BN186" i="1"/>
  <c r="BP219" i="1"/>
  <c r="BP227" i="1"/>
  <c r="BN229" i="1"/>
  <c r="BP243" i="1"/>
  <c r="BP260" i="1"/>
  <c r="BP280" i="1"/>
  <c r="BN282" i="1"/>
  <c r="BP296" i="1"/>
  <c r="BN307" i="1"/>
  <c r="BP329" i="1"/>
  <c r="BN343" i="1"/>
  <c r="BP363" i="1"/>
  <c r="BP377" i="1"/>
  <c r="BP383" i="1"/>
  <c r="BN395" i="1"/>
  <c r="BN416" i="1"/>
  <c r="BN424" i="1"/>
  <c r="BN478" i="1"/>
  <c r="BP483" i="1"/>
  <c r="BN487" i="1"/>
  <c r="BP499" i="1"/>
  <c r="BN517" i="1"/>
  <c r="BN23" i="1"/>
  <c r="X550" i="1"/>
  <c r="BN29" i="1"/>
  <c r="BN35" i="1"/>
  <c r="Y36" i="1"/>
  <c r="Z41" i="1"/>
  <c r="BP41" i="1"/>
  <c r="BN45" i="1"/>
  <c r="BN53" i="1"/>
  <c r="BN62" i="1"/>
  <c r="Z66" i="1"/>
  <c r="BP66" i="1"/>
  <c r="Y74" i="1"/>
  <c r="Z72" i="1"/>
  <c r="BP72" i="1"/>
  <c r="BN82" i="1"/>
  <c r="BN91" i="1"/>
  <c r="BN97" i="1"/>
  <c r="BN106" i="1"/>
  <c r="Z116" i="1"/>
  <c r="BP116" i="1"/>
  <c r="Y124" i="1"/>
  <c r="Z122" i="1"/>
  <c r="BP122" i="1"/>
  <c r="J560" i="1"/>
  <c r="Y174" i="1"/>
  <c r="Z182" i="1"/>
  <c r="BP182" i="1"/>
  <c r="Z198" i="1"/>
  <c r="BP198" i="1"/>
  <c r="BP212" i="1"/>
  <c r="BP231" i="1"/>
  <c r="Z231" i="1"/>
  <c r="BP272" i="1"/>
  <c r="BP286" i="1"/>
  <c r="BP303" i="1"/>
  <c r="Y317" i="1"/>
  <c r="BP315" i="1"/>
  <c r="Z315" i="1"/>
  <c r="Z316" i="1" s="1"/>
  <c r="BN409" i="1"/>
  <c r="BP409" i="1"/>
  <c r="Z409" i="1"/>
  <c r="BN426" i="1"/>
  <c r="BP426" i="1"/>
  <c r="Z426" i="1"/>
  <c r="BN434" i="1"/>
  <c r="BP434" i="1"/>
  <c r="Z434" i="1"/>
  <c r="Y118" i="1"/>
  <c r="BP120" i="1"/>
  <c r="Z167" i="1"/>
  <c r="Z172" i="1"/>
  <c r="BP172" i="1"/>
  <c r="Y188" i="1"/>
  <c r="Z180" i="1"/>
  <c r="Z202" i="1"/>
  <c r="Z203" i="1" s="1"/>
  <c r="BP202" i="1"/>
  <c r="Z212" i="1"/>
  <c r="BP233" i="1"/>
  <c r="BP249" i="1"/>
  <c r="Z272" i="1"/>
  <c r="Z286" i="1"/>
  <c r="Z303" i="1"/>
  <c r="Y316" i="1"/>
  <c r="BP327" i="1"/>
  <c r="BN403" i="1"/>
  <c r="BP403" i="1"/>
  <c r="Z403" i="1"/>
  <c r="BN497" i="1"/>
  <c r="BP497" i="1"/>
  <c r="Z497" i="1"/>
  <c r="X551" i="1"/>
  <c r="Z23" i="1"/>
  <c r="Y33" i="1"/>
  <c r="Z29" i="1"/>
  <c r="Z35" i="1"/>
  <c r="Z36" i="1" s="1"/>
  <c r="BP35" i="1"/>
  <c r="Z45" i="1"/>
  <c r="Z53" i="1"/>
  <c r="E560" i="1"/>
  <c r="Z62" i="1"/>
  <c r="Z82" i="1"/>
  <c r="BP82" i="1"/>
  <c r="F560" i="1"/>
  <c r="Z91" i="1"/>
  <c r="Y99" i="1"/>
  <c r="Z97" i="1"/>
  <c r="G560" i="1"/>
  <c r="Z106" i="1"/>
  <c r="Z112" i="1"/>
  <c r="BP112" i="1"/>
  <c r="H560" i="1"/>
  <c r="Z135" i="1"/>
  <c r="Y143" i="1"/>
  <c r="Z141" i="1"/>
  <c r="Y151" i="1"/>
  <c r="Z149" i="1"/>
  <c r="Z156" i="1"/>
  <c r="Z178" i="1"/>
  <c r="Z186" i="1"/>
  <c r="Y194" i="1"/>
  <c r="Z210" i="1"/>
  <c r="Y237" i="1"/>
  <c r="BP223" i="1"/>
  <c r="Z223" i="1"/>
  <c r="BN231" i="1"/>
  <c r="Z233" i="1"/>
  <c r="Z249" i="1"/>
  <c r="BN315" i="1"/>
  <c r="Z327" i="1"/>
  <c r="BN345" i="1"/>
  <c r="BP345" i="1"/>
  <c r="Z345" i="1"/>
  <c r="BN397" i="1"/>
  <c r="BP397" i="1"/>
  <c r="Z397" i="1"/>
  <c r="BN489" i="1"/>
  <c r="BP489" i="1"/>
  <c r="Z489" i="1"/>
  <c r="BN519" i="1"/>
  <c r="BP519" i="1"/>
  <c r="Z519" i="1"/>
  <c r="BN202" i="1"/>
  <c r="Y203" i="1"/>
  <c r="BP225" i="1"/>
  <c r="BP241" i="1"/>
  <c r="Y266" i="1"/>
  <c r="BN264" i="1"/>
  <c r="BP264" i="1"/>
  <c r="Y278" i="1"/>
  <c r="BP270" i="1"/>
  <c r="Z270" i="1"/>
  <c r="BP284" i="1"/>
  <c r="Z284" i="1"/>
  <c r="BP301" i="1"/>
  <c r="Z301" i="1"/>
  <c r="BN336" i="1"/>
  <c r="BP336" i="1"/>
  <c r="Z336" i="1"/>
  <c r="BN375" i="1"/>
  <c r="BP375" i="1"/>
  <c r="Z375" i="1"/>
  <c r="BN381" i="1"/>
  <c r="BP381" i="1"/>
  <c r="Z381" i="1"/>
  <c r="BN389" i="1"/>
  <c r="BP389" i="1"/>
  <c r="Z389" i="1"/>
  <c r="BN472" i="1"/>
  <c r="BP472" i="1"/>
  <c r="Z472" i="1"/>
  <c r="Y411" i="1"/>
  <c r="Z560" i="1"/>
  <c r="Y543" i="1"/>
  <c r="BN219" i="1"/>
  <c r="BN311" i="1"/>
  <c r="Y312" i="1"/>
  <c r="BN319" i="1"/>
  <c r="Z343" i="1"/>
  <c r="Z351" i="1"/>
  <c r="Z367" i="1"/>
  <c r="Y379" i="1"/>
  <c r="Z373" i="1"/>
  <c r="Z395" i="1"/>
  <c r="Z401" i="1"/>
  <c r="Z407" i="1"/>
  <c r="BP407" i="1"/>
  <c r="Z416" i="1"/>
  <c r="Z424" i="1"/>
  <c r="Z440" i="1"/>
  <c r="BN469" i="1"/>
  <c r="Z470" i="1"/>
  <c r="Z478" i="1"/>
  <c r="BN483" i="1"/>
  <c r="Y484" i="1"/>
  <c r="Z487" i="1"/>
  <c r="Z495" i="1"/>
  <c r="BP495" i="1"/>
  <c r="Z503" i="1"/>
  <c r="Y511" i="1"/>
  <c r="Z509" i="1"/>
  <c r="Z517" i="1"/>
  <c r="Z525" i="1"/>
  <c r="Z526" i="1" s="1"/>
  <c r="BP525" i="1"/>
  <c r="BN529" i="1"/>
  <c r="Y530" i="1"/>
  <c r="Z533" i="1"/>
  <c r="Z534" i="1" s="1"/>
  <c r="BP533" i="1"/>
  <c r="BN537" i="1"/>
  <c r="Y538" i="1"/>
  <c r="Z541" i="1"/>
  <c r="Z543" i="1" s="1"/>
  <c r="BP541" i="1"/>
  <c r="Z229" i="1"/>
  <c r="M560" i="1"/>
  <c r="Z276" i="1"/>
  <c r="Z282" i="1"/>
  <c r="Z290" i="1"/>
  <c r="Z307" i="1"/>
  <c r="Z321" i="1"/>
  <c r="Y410" i="1"/>
  <c r="W560" i="1"/>
  <c r="Y560" i="1"/>
  <c r="A10" i="1"/>
  <c r="Y56" i="1"/>
  <c r="Y75" i="1"/>
  <c r="Y79" i="1"/>
  <c r="Y92" i="1"/>
  <c r="Y100" i="1"/>
  <c r="Y109" i="1"/>
  <c r="Y117" i="1"/>
  <c r="Y125" i="1"/>
  <c r="Y129" i="1"/>
  <c r="Y136" i="1"/>
  <c r="Y144" i="1"/>
  <c r="Y150" i="1"/>
  <c r="Y159" i="1"/>
  <c r="Y163" i="1"/>
  <c r="Y170" i="1"/>
  <c r="Y175" i="1"/>
  <c r="Y189" i="1"/>
  <c r="Y195" i="1"/>
  <c r="Y199" i="1"/>
  <c r="Y215" i="1"/>
  <c r="Y238" i="1"/>
  <c r="Y246" i="1"/>
  <c r="Y252" i="1"/>
  <c r="Y256" i="1"/>
  <c r="Y261" i="1"/>
  <c r="Y267" i="1"/>
  <c r="Y277" i="1"/>
  <c r="BP281" i="1"/>
  <c r="BN281" i="1"/>
  <c r="Z281" i="1"/>
  <c r="BP285" i="1"/>
  <c r="BN285" i="1"/>
  <c r="Z285" i="1"/>
  <c r="BP289" i="1"/>
  <c r="BN289" i="1"/>
  <c r="Z289" i="1"/>
  <c r="BP302" i="1"/>
  <c r="BN302" i="1"/>
  <c r="Z302" i="1"/>
  <c r="BP306" i="1"/>
  <c r="BN306" i="1"/>
  <c r="Z306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Y339" i="1"/>
  <c r="BP344" i="1"/>
  <c r="BN344" i="1"/>
  <c r="Z344" i="1"/>
  <c r="BP357" i="1"/>
  <c r="BN357" i="1"/>
  <c r="Z357" i="1"/>
  <c r="Y359" i="1"/>
  <c r="BP374" i="1"/>
  <c r="BN374" i="1"/>
  <c r="Z374" i="1"/>
  <c r="Y378" i="1"/>
  <c r="BP382" i="1"/>
  <c r="BN382" i="1"/>
  <c r="Z382" i="1"/>
  <c r="Y386" i="1"/>
  <c r="BP390" i="1"/>
  <c r="BN390" i="1"/>
  <c r="Z390" i="1"/>
  <c r="Y392" i="1"/>
  <c r="Y399" i="1"/>
  <c r="BP394" i="1"/>
  <c r="BN394" i="1"/>
  <c r="Z394" i="1"/>
  <c r="Y398" i="1"/>
  <c r="BP402" i="1"/>
  <c r="BN402" i="1"/>
  <c r="Z402" i="1"/>
  <c r="Z404" i="1" s="1"/>
  <c r="Y404" i="1"/>
  <c r="BP425" i="1"/>
  <c r="BN425" i="1"/>
  <c r="Z425" i="1"/>
  <c r="BP429" i="1"/>
  <c r="BN429" i="1"/>
  <c r="Z429" i="1"/>
  <c r="Y431" i="1"/>
  <c r="Y436" i="1"/>
  <c r="BP433" i="1"/>
  <c r="BN433" i="1"/>
  <c r="Z433" i="1"/>
  <c r="Y437" i="1"/>
  <c r="BP441" i="1"/>
  <c r="BN441" i="1"/>
  <c r="Z441" i="1"/>
  <c r="Y443" i="1"/>
  <c r="Y448" i="1"/>
  <c r="BP445" i="1"/>
  <c r="BN445" i="1"/>
  <c r="Z445" i="1"/>
  <c r="Z447" i="1" s="1"/>
  <c r="Y447" i="1"/>
  <c r="Q560" i="1"/>
  <c r="H9" i="1"/>
  <c r="Y24" i="1"/>
  <c r="Y32" i="1"/>
  <c r="Y46" i="1"/>
  <c r="Y67" i="1"/>
  <c r="Y85" i="1"/>
  <c r="F9" i="1"/>
  <c r="J9" i="1"/>
  <c r="Z22" i="1"/>
  <c r="Z24" i="1" s="1"/>
  <c r="BN22" i="1"/>
  <c r="BP22" i="1"/>
  <c r="X554" i="1"/>
  <c r="Y25" i="1"/>
  <c r="Z28" i="1"/>
  <c r="BN28" i="1"/>
  <c r="Z30" i="1"/>
  <c r="BN30" i="1"/>
  <c r="C560" i="1"/>
  <c r="Z42" i="1"/>
  <c r="BN42" i="1"/>
  <c r="Z44" i="1"/>
  <c r="BN44" i="1"/>
  <c r="Y47" i="1"/>
  <c r="D560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Z115" i="1"/>
  <c r="BN115" i="1"/>
  <c r="Z121" i="1"/>
  <c r="BN121" i="1"/>
  <c r="Z123" i="1"/>
  <c r="BN123" i="1"/>
  <c r="Z127" i="1"/>
  <c r="Z128" i="1" s="1"/>
  <c r="BN127" i="1"/>
  <c r="BP127" i="1"/>
  <c r="Z132" i="1"/>
  <c r="BN132" i="1"/>
  <c r="BP132" i="1"/>
  <c r="Z134" i="1"/>
  <c r="BN134" i="1"/>
  <c r="Y137" i="1"/>
  <c r="Z140" i="1"/>
  <c r="BN140" i="1"/>
  <c r="Z142" i="1"/>
  <c r="BN142" i="1"/>
  <c r="Z146" i="1"/>
  <c r="BN146" i="1"/>
  <c r="BP146" i="1"/>
  <c r="Z148" i="1"/>
  <c r="BN148" i="1"/>
  <c r="I560" i="1"/>
  <c r="Z155" i="1"/>
  <c r="BN155" i="1"/>
  <c r="Z157" i="1"/>
  <c r="BN157" i="1"/>
  <c r="Y158" i="1"/>
  <c r="Z161" i="1"/>
  <c r="Z162" i="1" s="1"/>
  <c r="BN161" i="1"/>
  <c r="BP161" i="1"/>
  <c r="Z166" i="1"/>
  <c r="BN166" i="1"/>
  <c r="BP166" i="1"/>
  <c r="Z168" i="1"/>
  <c r="BN168" i="1"/>
  <c r="Y169" i="1"/>
  <c r="Z173" i="1"/>
  <c r="Z174" i="1" s="1"/>
  <c r="BN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Z191" i="1"/>
  <c r="BN191" i="1"/>
  <c r="BP191" i="1"/>
  <c r="Z193" i="1"/>
  <c r="BN193" i="1"/>
  <c r="Z197" i="1"/>
  <c r="BN197" i="1"/>
  <c r="BP197" i="1"/>
  <c r="K560" i="1"/>
  <c r="Z209" i="1"/>
  <c r="BN209" i="1"/>
  <c r="Z211" i="1"/>
  <c r="BN211" i="1"/>
  <c r="Z213" i="1"/>
  <c r="BN213" i="1"/>
  <c r="Y216" i="1"/>
  <c r="L560" i="1"/>
  <c r="Y221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Z240" i="1"/>
  <c r="BN240" i="1"/>
  <c r="BP240" i="1"/>
  <c r="Z242" i="1"/>
  <c r="BN242" i="1"/>
  <c r="Z244" i="1"/>
  <c r="BN244" i="1"/>
  <c r="Z248" i="1"/>
  <c r="BN248" i="1"/>
  <c r="BP248" i="1"/>
  <c r="Z250" i="1"/>
  <c r="BN250" i="1"/>
  <c r="Z254" i="1"/>
  <c r="Z255" i="1" s="1"/>
  <c r="BN254" i="1"/>
  <c r="BP254" i="1"/>
  <c r="Z259" i="1"/>
  <c r="Z261" i="1" s="1"/>
  <c r="BN259" i="1"/>
  <c r="BP259" i="1"/>
  <c r="Y262" i="1"/>
  <c r="Z265" i="1"/>
  <c r="Z266" i="1" s="1"/>
  <c r="BN265" i="1"/>
  <c r="Z269" i="1"/>
  <c r="BN269" i="1"/>
  <c r="BP269" i="1"/>
  <c r="Z271" i="1"/>
  <c r="BN271" i="1"/>
  <c r="Z273" i="1"/>
  <c r="BN273" i="1"/>
  <c r="Z275" i="1"/>
  <c r="BN275" i="1"/>
  <c r="Y292" i="1"/>
  <c r="BP283" i="1"/>
  <c r="BN283" i="1"/>
  <c r="Z283" i="1"/>
  <c r="BP287" i="1"/>
  <c r="BN287" i="1"/>
  <c r="Z287" i="1"/>
  <c r="BP291" i="1"/>
  <c r="BN291" i="1"/>
  <c r="Z291" i="1"/>
  <c r="Y293" i="1"/>
  <c r="Y298" i="1"/>
  <c r="BP295" i="1"/>
  <c r="BN295" i="1"/>
  <c r="Z295" i="1"/>
  <c r="Z297" i="1" s="1"/>
  <c r="BP304" i="1"/>
  <c r="BN304" i="1"/>
  <c r="Z304" i="1"/>
  <c r="Y308" i="1"/>
  <c r="BP320" i="1"/>
  <c r="BN320" i="1"/>
  <c r="Z320" i="1"/>
  <c r="BP366" i="1"/>
  <c r="BN366" i="1"/>
  <c r="Z366" i="1"/>
  <c r="BP415" i="1"/>
  <c r="BN415" i="1"/>
  <c r="Z415" i="1"/>
  <c r="U560" i="1"/>
  <c r="Y417" i="1"/>
  <c r="BP462" i="1"/>
  <c r="BN462" i="1"/>
  <c r="Z462" i="1"/>
  <c r="Y464" i="1"/>
  <c r="X560" i="1"/>
  <c r="Y474" i="1"/>
  <c r="Y475" i="1"/>
  <c r="BP468" i="1"/>
  <c r="BN468" i="1"/>
  <c r="Z468" i="1"/>
  <c r="BP498" i="1"/>
  <c r="BN498" i="1"/>
  <c r="Z498" i="1"/>
  <c r="BP502" i="1"/>
  <c r="BN502" i="1"/>
  <c r="Z502" i="1"/>
  <c r="O560" i="1"/>
  <c r="Y309" i="1"/>
  <c r="Y322" i="1"/>
  <c r="BP328" i="1"/>
  <c r="BN328" i="1"/>
  <c r="Z328" i="1"/>
  <c r="BP337" i="1"/>
  <c r="BN337" i="1"/>
  <c r="Z337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S560" i="1"/>
  <c r="BP364" i="1"/>
  <c r="BN364" i="1"/>
  <c r="Z364" i="1"/>
  <c r="Y368" i="1"/>
  <c r="BP372" i="1"/>
  <c r="BN372" i="1"/>
  <c r="Z372" i="1"/>
  <c r="BP376" i="1"/>
  <c r="BN376" i="1"/>
  <c r="Z376" i="1"/>
  <c r="Y385" i="1"/>
  <c r="BP384" i="1"/>
  <c r="BN384" i="1"/>
  <c r="Z384" i="1"/>
  <c r="Z385" i="1" s="1"/>
  <c r="Y391" i="1"/>
  <c r="BP388" i="1"/>
  <c r="BN388" i="1"/>
  <c r="Z388" i="1"/>
  <c r="Z391" i="1" s="1"/>
  <c r="BP396" i="1"/>
  <c r="BN396" i="1"/>
  <c r="Z396" i="1"/>
  <c r="Y405" i="1"/>
  <c r="BP408" i="1"/>
  <c r="BN408" i="1"/>
  <c r="Z408" i="1"/>
  <c r="Z410" i="1" s="1"/>
  <c r="Y418" i="1"/>
  <c r="BP423" i="1"/>
  <c r="BN423" i="1"/>
  <c r="Z423" i="1"/>
  <c r="BP427" i="1"/>
  <c r="BN427" i="1"/>
  <c r="Z427" i="1"/>
  <c r="BP435" i="1"/>
  <c r="BN435" i="1"/>
  <c r="Z435" i="1"/>
  <c r="Y442" i="1"/>
  <c r="BP439" i="1"/>
  <c r="BN439" i="1"/>
  <c r="Z439" i="1"/>
  <c r="BP452" i="1"/>
  <c r="BN452" i="1"/>
  <c r="Z452" i="1"/>
  <c r="Z453" i="1" s="1"/>
  <c r="Y454" i="1"/>
  <c r="Y457" i="1"/>
  <c r="BP456" i="1"/>
  <c r="BN456" i="1"/>
  <c r="Z456" i="1"/>
  <c r="Z457" i="1" s="1"/>
  <c r="Y458" i="1"/>
  <c r="Y463" i="1"/>
  <c r="BP460" i="1"/>
  <c r="BN460" i="1"/>
  <c r="Z460" i="1"/>
  <c r="Z463" i="1" s="1"/>
  <c r="BP471" i="1"/>
  <c r="BN471" i="1"/>
  <c r="Z471" i="1"/>
  <c r="BP488" i="1"/>
  <c r="BN488" i="1"/>
  <c r="Z488" i="1"/>
  <c r="Z490" i="1" s="1"/>
  <c r="Y490" i="1"/>
  <c r="BP514" i="1"/>
  <c r="BN514" i="1"/>
  <c r="Z514" i="1"/>
  <c r="Y520" i="1"/>
  <c r="BP518" i="1"/>
  <c r="BN518" i="1"/>
  <c r="Z518" i="1"/>
  <c r="Y360" i="1"/>
  <c r="T560" i="1"/>
  <c r="Y369" i="1"/>
  <c r="V560" i="1"/>
  <c r="Y430" i="1"/>
  <c r="Y453" i="1"/>
  <c r="BP473" i="1"/>
  <c r="BN473" i="1"/>
  <c r="Z473" i="1"/>
  <c r="Y480" i="1"/>
  <c r="BP477" i="1"/>
  <c r="BN477" i="1"/>
  <c r="Z477" i="1"/>
  <c r="Z479" i="1" s="1"/>
  <c r="Y491" i="1"/>
  <c r="BP496" i="1"/>
  <c r="BN496" i="1"/>
  <c r="Z496" i="1"/>
  <c r="BP500" i="1"/>
  <c r="BN500" i="1"/>
  <c r="Z500" i="1"/>
  <c r="Y504" i="1"/>
  <c r="BP508" i="1"/>
  <c r="BN508" i="1"/>
  <c r="Z508" i="1"/>
  <c r="Y521" i="1"/>
  <c r="BP516" i="1"/>
  <c r="BN516" i="1"/>
  <c r="Z516" i="1"/>
  <c r="BP542" i="1"/>
  <c r="BN542" i="1"/>
  <c r="Z542" i="1"/>
  <c r="Y544" i="1"/>
  <c r="AB560" i="1"/>
  <c r="Y548" i="1"/>
  <c r="BP547" i="1"/>
  <c r="BN547" i="1"/>
  <c r="Z547" i="1"/>
  <c r="Z548" i="1" s="1"/>
  <c r="Y549" i="1"/>
  <c r="AA560" i="1"/>
  <c r="Y505" i="1"/>
  <c r="Z55" i="1" l="1"/>
  <c r="Z520" i="1"/>
  <c r="Z510" i="1"/>
  <c r="Z442" i="1"/>
  <c r="Z430" i="1"/>
  <c r="Z368" i="1"/>
  <c r="Z417" i="1"/>
  <c r="Z322" i="1"/>
  <c r="Z199" i="1"/>
  <c r="Z150" i="1"/>
  <c r="Z143" i="1"/>
  <c r="Z74" i="1"/>
  <c r="Z359" i="1"/>
  <c r="Z237" i="1"/>
  <c r="Z378" i="1"/>
  <c r="Z277" i="1"/>
  <c r="Z215" i="1"/>
  <c r="Z308" i="1"/>
  <c r="Z124" i="1"/>
  <c r="Z117" i="1"/>
  <c r="Z99" i="1"/>
  <c r="Z46" i="1"/>
  <c r="Z292" i="1"/>
  <c r="Z504" i="1"/>
  <c r="Z251" i="1"/>
  <c r="Z188" i="1"/>
  <c r="Z169" i="1"/>
  <c r="Z158" i="1"/>
  <c r="Z136" i="1"/>
  <c r="Z67" i="1"/>
  <c r="Z32" i="1"/>
  <c r="Y551" i="1"/>
  <c r="Y554" i="1"/>
  <c r="Z436" i="1"/>
  <c r="Z347" i="1"/>
  <c r="Z474" i="1"/>
  <c r="Z245" i="1"/>
  <c r="Z194" i="1"/>
  <c r="Z109" i="1"/>
  <c r="Z92" i="1"/>
  <c r="Y550" i="1"/>
  <c r="Y552" i="1"/>
  <c r="Z398" i="1"/>
  <c r="Z338" i="1"/>
  <c r="Z331" i="1"/>
  <c r="Z555" i="1" l="1"/>
  <c r="Y553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<sst xmlns="http://schemas.openxmlformats.org/spreadsheetml/2006/main" count="2502" uniqueCount="908">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</sst>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46228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882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6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0.54166666666666663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906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26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27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28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29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30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31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32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33</v>
      </c>
      <c r="B17" s="680" t="s">
        <v>34</v>
      </c>
      <c r="C17" s="758" t="s">
        <v>35</v>
      </c>
      <c r="D17" s="680" t="s">
        <v>36</v>
      </c>
      <c r="E17" s="746"/>
      <c r="F17" s="680" t="s">
        <v>37</v>
      </c>
      <c r="G17" s="680" t="s">
        <v>38</v>
      </c>
      <c r="H17" s="680" t="s">
        <v>39</v>
      </c>
      <c r="I17" s="680" t="s">
        <v>40</v>
      </c>
      <c r="J17" s="680" t="s">
        <v>41</v>
      </c>
      <c r="K17" s="680" t="s">
        <v>42</v>
      </c>
      <c r="L17" s="680" t="s">
        <v>43</v>
      </c>
      <c r="M17" s="680" t="s">
        <v>44</v>
      </c>
      <c r="N17" s="680" t="s">
        <v>45</v>
      </c>
      <c r="O17" s="680" t="s">
        <v>46</v>
      </c>
      <c r="P17" s="680" t="s">
        <v>47</v>
      </c>
      <c r="Q17" s="745"/>
      <c r="R17" s="745"/>
      <c r="S17" s="745"/>
      <c r="T17" s="746"/>
      <c r="U17" s="988" t="s">
        <v>48</v>
      </c>
      <c r="V17" s="716"/>
      <c r="W17" s="680" t="s">
        <v>49</v>
      </c>
      <c r="X17" s="680" t="s">
        <v>50</v>
      </c>
      <c r="Y17" s="989" t="s">
        <v>51</v>
      </c>
      <c r="Z17" s="890" t="s">
        <v>52</v>
      </c>
      <c r="AA17" s="860" t="s">
        <v>53</v>
      </c>
      <c r="AB17" s="860" t="s">
        <v>54</v>
      </c>
      <c r="AC17" s="860" t="s">
        <v>55</v>
      </c>
      <c r="AD17" s="860" t="s">
        <v>56</v>
      </c>
      <c r="AE17" s="936"/>
      <c r="AF17" s="937"/>
      <c r="AG17" s="66"/>
      <c r="BD17" s="65" t="s">
        <v>57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58</v>
      </c>
      <c r="V18" s="67" t="s">
        <v>59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60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60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61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66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66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71</v>
      </c>
      <c r="Q24" s="651"/>
      <c r="R24" s="651"/>
      <c r="S24" s="651"/>
      <c r="T24" s="651"/>
      <c r="U24" s="651"/>
      <c r="V24" s="652"/>
      <c r="W24" s="37" t="s">
        <v>72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71</v>
      </c>
      <c r="Q25" s="651"/>
      <c r="R25" s="651"/>
      <c r="S25" s="651"/>
      <c r="T25" s="651"/>
      <c r="U25" s="651"/>
      <c r="V25" s="652"/>
      <c r="W25" s="37" t="s">
        <v>66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73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66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66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66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66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66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71</v>
      </c>
      <c r="Q32" s="651"/>
      <c r="R32" s="651"/>
      <c r="S32" s="651"/>
      <c r="T32" s="651"/>
      <c r="U32" s="651"/>
      <c r="V32" s="652"/>
      <c r="W32" s="37" t="s">
        <v>72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71</v>
      </c>
      <c r="Q33" s="651"/>
      <c r="R33" s="651"/>
      <c r="S33" s="651"/>
      <c r="T33" s="651"/>
      <c r="U33" s="651"/>
      <c r="V33" s="652"/>
      <c r="W33" s="37" t="s">
        <v>66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91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66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71</v>
      </c>
      <c r="Q36" s="651"/>
      <c r="R36" s="651"/>
      <c r="S36" s="651"/>
      <c r="T36" s="651"/>
      <c r="U36" s="651"/>
      <c r="V36" s="652"/>
      <c r="W36" s="37" t="s">
        <v>72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71</v>
      </c>
      <c r="Q37" s="651"/>
      <c r="R37" s="651"/>
      <c r="S37" s="651"/>
      <c r="T37" s="651"/>
      <c r="U37" s="651"/>
      <c r="V37" s="652"/>
      <c r="W37" s="37" t="s">
        <v>66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97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98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73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66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66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66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66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66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71</v>
      </c>
      <c r="Q46" s="651"/>
      <c r="R46" s="651"/>
      <c r="S46" s="651"/>
      <c r="T46" s="651"/>
      <c r="U46" s="651"/>
      <c r="V46" s="652"/>
      <c r="W46" s="37" t="s">
        <v>72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71</v>
      </c>
      <c r="Q47" s="651"/>
      <c r="R47" s="651"/>
      <c r="S47" s="651"/>
      <c r="T47" s="651"/>
      <c r="U47" s="651"/>
      <c r="V47" s="652"/>
      <c r="W47" s="37" t="s">
        <v>66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114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115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116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66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66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66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66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71</v>
      </c>
      <c r="Q55" s="651"/>
      <c r="R55" s="651"/>
      <c r="S55" s="651"/>
      <c r="T55" s="651"/>
      <c r="U55" s="651"/>
      <c r="V55" s="652"/>
      <c r="W55" s="37" t="s">
        <v>72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71</v>
      </c>
      <c r="Q56" s="651"/>
      <c r="R56" s="651"/>
      <c r="S56" s="651"/>
      <c r="T56" s="651"/>
      <c r="U56" s="651"/>
      <c r="V56" s="652"/>
      <c r="W56" s="37" t="s">
        <v>66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7" t="s">
        <v>131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116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66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66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137</v>
      </c>
      <c r="B61" s="54" t="s">
        <v>138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66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66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66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66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66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66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71</v>
      </c>
      <c r="Q67" s="651"/>
      <c r="R67" s="651"/>
      <c r="S67" s="651"/>
      <c r="T67" s="651"/>
      <c r="U67" s="651"/>
      <c r="V67" s="652"/>
      <c r="W67" s="37" t="s">
        <v>72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71</v>
      </c>
      <c r="Q68" s="651"/>
      <c r="R68" s="651"/>
      <c r="S68" s="651"/>
      <c r="T68" s="651"/>
      <c r="U68" s="651"/>
      <c r="V68" s="652"/>
      <c r="W68" s="37" t="s">
        <v>66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54" t="s">
        <v>152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66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66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66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66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71</v>
      </c>
      <c r="Q74" s="651"/>
      <c r="R74" s="651"/>
      <c r="S74" s="651"/>
      <c r="T74" s="651"/>
      <c r="U74" s="651"/>
      <c r="V74" s="652"/>
      <c r="W74" s="37" t="s">
        <v>72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71</v>
      </c>
      <c r="Q75" s="651"/>
      <c r="R75" s="651"/>
      <c r="S75" s="651"/>
      <c r="T75" s="651"/>
      <c r="U75" s="651"/>
      <c r="V75" s="652"/>
      <c r="W75" s="37" t="s">
        <v>66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73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66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66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71</v>
      </c>
      <c r="Q79" s="651"/>
      <c r="R79" s="651"/>
      <c r="S79" s="651"/>
      <c r="T79" s="651"/>
      <c r="U79" s="651"/>
      <c r="V79" s="652"/>
      <c r="W79" s="37" t="s">
        <v>72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71</v>
      </c>
      <c r="Q80" s="651"/>
      <c r="R80" s="651"/>
      <c r="S80" s="651"/>
      <c r="T80" s="651"/>
      <c r="U80" s="651"/>
      <c r="V80" s="652"/>
      <c r="W80" s="37" t="s">
        <v>66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169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66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66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71</v>
      </c>
      <c r="Q84" s="651"/>
      <c r="R84" s="651"/>
      <c r="S84" s="651"/>
      <c r="T84" s="651"/>
      <c r="U84" s="651"/>
      <c r="V84" s="652"/>
      <c r="W84" s="37" t="s">
        <v>72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71</v>
      </c>
      <c r="Q85" s="651"/>
      <c r="R85" s="651"/>
      <c r="S85" s="651"/>
      <c r="T85" s="651"/>
      <c r="U85" s="651"/>
      <c r="V85" s="652"/>
      <c r="W85" s="37" t="s">
        <v>66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176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116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66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66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66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66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71</v>
      </c>
      <c r="Q92" s="651"/>
      <c r="R92" s="651"/>
      <c r="S92" s="651"/>
      <c r="T92" s="651"/>
      <c r="U92" s="651"/>
      <c r="V92" s="652"/>
      <c r="W92" s="37" t="s">
        <v>72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71</v>
      </c>
      <c r="Q93" s="651"/>
      <c r="R93" s="651"/>
      <c r="S93" s="651"/>
      <c r="T93" s="651"/>
      <c r="U93" s="651"/>
      <c r="V93" s="652"/>
      <c r="W93" s="37" t="s">
        <v>66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73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66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66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66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66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71</v>
      </c>
      <c r="Q99" s="651"/>
      <c r="R99" s="651"/>
      <c r="S99" s="651"/>
      <c r="T99" s="651"/>
      <c r="U99" s="651"/>
      <c r="V99" s="652"/>
      <c r="W99" s="37" t="s">
        <v>72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71</v>
      </c>
      <c r="Q100" s="651"/>
      <c r="R100" s="651"/>
      <c r="S100" s="651"/>
      <c r="T100" s="651"/>
      <c r="U100" s="651"/>
      <c r="V100" s="652"/>
      <c r="W100" s="37" t="s">
        <v>66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7" t="s">
        <v>197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116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66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66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66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66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66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66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71</v>
      </c>
      <c r="Q109" s="651"/>
      <c r="R109" s="651"/>
      <c r="S109" s="651"/>
      <c r="T109" s="651"/>
      <c r="U109" s="651"/>
      <c r="V109" s="652"/>
      <c r="W109" s="37" t="s">
        <v>72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71</v>
      </c>
      <c r="Q110" s="651"/>
      <c r="R110" s="651"/>
      <c r="S110" s="651"/>
      <c r="T110" s="651"/>
      <c r="U110" s="651"/>
      <c r="V110" s="652"/>
      <c r="W110" s="37" t="s">
        <v>66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152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66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66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66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66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66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71</v>
      </c>
      <c r="Q117" s="651"/>
      <c r="R117" s="651"/>
      <c r="S117" s="651"/>
      <c r="T117" s="651"/>
      <c r="U117" s="651"/>
      <c r="V117" s="652"/>
      <c r="W117" s="37" t="s">
        <v>72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71</v>
      </c>
      <c r="Q118" s="651"/>
      <c r="R118" s="651"/>
      <c r="S118" s="651"/>
      <c r="T118" s="651"/>
      <c r="U118" s="651"/>
      <c r="V118" s="652"/>
      <c r="W118" s="37" t="s">
        <v>66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73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66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66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66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66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71</v>
      </c>
      <c r="Q124" s="651"/>
      <c r="R124" s="651"/>
      <c r="S124" s="651"/>
      <c r="T124" s="651"/>
      <c r="U124" s="651"/>
      <c r="V124" s="652"/>
      <c r="W124" s="37" t="s">
        <v>72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hidden="1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71</v>
      </c>
      <c r="Q125" s="651"/>
      <c r="R125" s="651"/>
      <c r="S125" s="651"/>
      <c r="T125" s="651"/>
      <c r="U125" s="651"/>
      <c r="V125" s="652"/>
      <c r="W125" s="37" t="s">
        <v>66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hidden="1" customHeight="1" x14ac:dyDescent="0.25">
      <c r="A126" s="654" t="s">
        <v>169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66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71</v>
      </c>
      <c r="Q128" s="651"/>
      <c r="R128" s="651"/>
      <c r="S128" s="651"/>
      <c r="T128" s="651"/>
      <c r="U128" s="651"/>
      <c r="V128" s="652"/>
      <c r="W128" s="37" t="s">
        <v>72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71</v>
      </c>
      <c r="Q129" s="651"/>
      <c r="R129" s="651"/>
      <c r="S129" s="651"/>
      <c r="T129" s="651"/>
      <c r="U129" s="651"/>
      <c r="V129" s="652"/>
      <c r="W129" s="37" t="s">
        <v>66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236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116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237</v>
      </c>
      <c r="B132" s="54" t="s">
        <v>238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119</v>
      </c>
      <c r="L132" s="32"/>
      <c r="M132" s="33" t="s">
        <v>239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66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240</v>
      </c>
      <c r="AC132" s="183" t="s">
        <v>241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242</v>
      </c>
      <c r="B133" s="54" t="s">
        <v>243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128</v>
      </c>
      <c r="L133" s="32"/>
      <c r="M133" s="33" t="s">
        <v>239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66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240</v>
      </c>
      <c r="AC133" s="185" t="s">
        <v>241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244</v>
      </c>
      <c r="B134" s="54" t="s">
        <v>245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66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246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244</v>
      </c>
      <c r="B135" s="54" t="s">
        <v>247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66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246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71</v>
      </c>
      <c r="Q136" s="651"/>
      <c r="R136" s="651"/>
      <c r="S136" s="651"/>
      <c r="T136" s="651"/>
      <c r="U136" s="651"/>
      <c r="V136" s="652"/>
      <c r="W136" s="37" t="s">
        <v>72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71</v>
      </c>
      <c r="Q137" s="651"/>
      <c r="R137" s="651"/>
      <c r="S137" s="651"/>
      <c r="T137" s="651"/>
      <c r="U137" s="651"/>
      <c r="V137" s="652"/>
      <c r="W137" s="37" t="s">
        <v>66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61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248</v>
      </c>
      <c r="B139" s="54" t="s">
        <v>249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119</v>
      </c>
      <c r="L139" s="32"/>
      <c r="M139" s="33" t="s">
        <v>239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66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240</v>
      </c>
      <c r="AC139" s="191" t="s">
        <v>250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251</v>
      </c>
      <c r="B140" s="54" t="s">
        <v>252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64</v>
      </c>
      <c r="L140" s="32"/>
      <c r="M140" s="33" t="s">
        <v>239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66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240</v>
      </c>
      <c r="AC140" s="193" t="s">
        <v>250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253</v>
      </c>
      <c r="B141" s="54" t="s">
        <v>254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76</v>
      </c>
      <c r="L141" s="32"/>
      <c r="M141" s="33" t="s">
        <v>94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66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255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253</v>
      </c>
      <c r="B142" s="54" t="s">
        <v>256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66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71</v>
      </c>
      <c r="Q143" s="651"/>
      <c r="R143" s="651"/>
      <c r="S143" s="651"/>
      <c r="T143" s="651"/>
      <c r="U143" s="651"/>
      <c r="V143" s="652"/>
      <c r="W143" s="37" t="s">
        <v>72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71</v>
      </c>
      <c r="Q144" s="651"/>
      <c r="R144" s="651"/>
      <c r="S144" s="651"/>
      <c r="T144" s="651"/>
      <c r="U144" s="651"/>
      <c r="V144" s="652"/>
      <c r="W144" s="37" t="s">
        <v>66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73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257</v>
      </c>
      <c r="B146" s="54" t="s">
        <v>258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119</v>
      </c>
      <c r="L146" s="32"/>
      <c r="M146" s="33" t="s">
        <v>239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66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240</v>
      </c>
      <c r="AC146" s="199" t="s">
        <v>241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259</v>
      </c>
      <c r="B147" s="54" t="s">
        <v>260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76</v>
      </c>
      <c r="L147" s="32"/>
      <c r="M147" s="33" t="s">
        <v>239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66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240</v>
      </c>
      <c r="AC147" s="201" t="s">
        <v>241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261</v>
      </c>
      <c r="B148" s="54" t="s">
        <v>262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76</v>
      </c>
      <c r="L148" s="32"/>
      <c r="M148" s="33" t="s">
        <v>94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66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246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261</v>
      </c>
      <c r="B149" s="54" t="s">
        <v>263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76</v>
      </c>
      <c r="L149" s="32"/>
      <c r="M149" s="33" t="s">
        <v>94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66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246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71</v>
      </c>
      <c r="Q150" s="651"/>
      <c r="R150" s="651"/>
      <c r="S150" s="651"/>
      <c r="T150" s="651"/>
      <c r="U150" s="651"/>
      <c r="V150" s="652"/>
      <c r="W150" s="37" t="s">
        <v>72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71</v>
      </c>
      <c r="Q151" s="651"/>
      <c r="R151" s="651"/>
      <c r="S151" s="651"/>
      <c r="T151" s="651"/>
      <c r="U151" s="651"/>
      <c r="V151" s="652"/>
      <c r="W151" s="37" t="s">
        <v>66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264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265</v>
      </c>
      <c r="B154" s="54" t="s">
        <v>266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66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267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66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270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271</v>
      </c>
      <c r="B156" s="54" t="s">
        <v>272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66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273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274</v>
      </c>
      <c r="B157" s="54" t="s">
        <v>275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76</v>
      </c>
      <c r="L157" s="32"/>
      <c r="M157" s="33" t="s">
        <v>83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66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276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71</v>
      </c>
      <c r="Q158" s="651"/>
      <c r="R158" s="651"/>
      <c r="S158" s="651"/>
      <c r="T158" s="651"/>
      <c r="U158" s="651"/>
      <c r="V158" s="652"/>
      <c r="W158" s="37" t="s">
        <v>72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71</v>
      </c>
      <c r="Q159" s="651"/>
      <c r="R159" s="651"/>
      <c r="S159" s="651"/>
      <c r="T159" s="651"/>
      <c r="U159" s="651"/>
      <c r="V159" s="652"/>
      <c r="W159" s="37" t="s">
        <v>66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91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277</v>
      </c>
      <c r="B161" s="54" t="s">
        <v>278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279</v>
      </c>
      <c r="L161" s="32"/>
      <c r="M161" s="33" t="s">
        <v>280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66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281</v>
      </c>
      <c r="AG161" s="64"/>
      <c r="AJ161" s="68"/>
      <c r="AK161" s="68">
        <v>0</v>
      </c>
      <c r="BB161" s="216" t="s">
        <v>96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71</v>
      </c>
      <c r="Q162" s="651"/>
      <c r="R162" s="651"/>
      <c r="S162" s="651"/>
      <c r="T162" s="651"/>
      <c r="U162" s="651"/>
      <c r="V162" s="652"/>
      <c r="W162" s="37" t="s">
        <v>72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71</v>
      </c>
      <c r="Q163" s="651"/>
      <c r="R163" s="651"/>
      <c r="S163" s="651"/>
      <c r="T163" s="651"/>
      <c r="U163" s="651"/>
      <c r="V163" s="652"/>
      <c r="W163" s="37" t="s">
        <v>66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114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116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66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240</v>
      </c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285</v>
      </c>
      <c r="B167" s="54" t="s">
        <v>286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119</v>
      </c>
      <c r="L167" s="32"/>
      <c r="M167" s="33" t="s">
        <v>120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66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287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288</v>
      </c>
      <c r="B168" s="54" t="s">
        <v>289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128</v>
      </c>
      <c r="L168" s="32"/>
      <c r="M168" s="33" t="s">
        <v>120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66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290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71</v>
      </c>
      <c r="Q169" s="651"/>
      <c r="R169" s="651"/>
      <c r="S169" s="651"/>
      <c r="T169" s="651"/>
      <c r="U169" s="651"/>
      <c r="V169" s="652"/>
      <c r="W169" s="37" t="s">
        <v>72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71</v>
      </c>
      <c r="Q170" s="651"/>
      <c r="R170" s="651"/>
      <c r="S170" s="651"/>
      <c r="T170" s="651"/>
      <c r="U170" s="651"/>
      <c r="V170" s="652"/>
      <c r="W170" s="37" t="s">
        <v>66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152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291</v>
      </c>
      <c r="B172" s="54" t="s">
        <v>292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64</v>
      </c>
      <c r="L172" s="32"/>
      <c r="M172" s="33" t="s">
        <v>120</v>
      </c>
      <c r="N172" s="33"/>
      <c r="O172" s="32">
        <v>55</v>
      </c>
      <c r="P172" s="666" t="s">
        <v>293</v>
      </c>
      <c r="Q172" s="635"/>
      <c r="R172" s="635"/>
      <c r="S172" s="635"/>
      <c r="T172" s="636"/>
      <c r="U172" s="34"/>
      <c r="V172" s="34"/>
      <c r="W172" s="35" t="s">
        <v>66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240</v>
      </c>
      <c r="AC172" s="223" t="s">
        <v>294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295</v>
      </c>
      <c r="B173" s="54" t="s">
        <v>296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64</v>
      </c>
      <c r="L173" s="32"/>
      <c r="M173" s="33" t="s">
        <v>65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66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71</v>
      </c>
      <c r="Q174" s="651"/>
      <c r="R174" s="651"/>
      <c r="S174" s="651"/>
      <c r="T174" s="651"/>
      <c r="U174" s="651"/>
      <c r="V174" s="652"/>
      <c r="W174" s="37" t="s">
        <v>72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71</v>
      </c>
      <c r="Q175" s="651"/>
      <c r="R175" s="651"/>
      <c r="S175" s="651"/>
      <c r="T175" s="651"/>
      <c r="U175" s="651"/>
      <c r="V175" s="652"/>
      <c r="W175" s="37" t="s">
        <v>66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61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298</v>
      </c>
      <c r="B177" s="54" t="s">
        <v>299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128</v>
      </c>
      <c r="L177" s="32"/>
      <c r="M177" s="33" t="s">
        <v>65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66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300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301</v>
      </c>
      <c r="B178" s="54" t="s">
        <v>302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128</v>
      </c>
      <c r="L178" s="32"/>
      <c r="M178" s="33" t="s">
        <v>65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66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303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128</v>
      </c>
      <c r="L179" s="32"/>
      <c r="M179" s="33" t="s">
        <v>65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66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306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128</v>
      </c>
      <c r="L180" s="32"/>
      <c r="M180" s="33" t="s">
        <v>65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66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309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310</v>
      </c>
      <c r="B181" s="54" t="s">
        <v>311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124</v>
      </c>
      <c r="L181" s="32"/>
      <c r="M181" s="33" t="s">
        <v>65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66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312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66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300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124</v>
      </c>
      <c r="L183" s="32"/>
      <c r="M183" s="33" t="s">
        <v>65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66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317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315</v>
      </c>
      <c r="B184" s="54" t="s">
        <v>318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124</v>
      </c>
      <c r="L184" s="32"/>
      <c r="M184" s="33" t="s">
        <v>65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66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66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306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124</v>
      </c>
      <c r="L186" s="32"/>
      <c r="M186" s="33" t="s">
        <v>65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66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323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324</v>
      </c>
      <c r="B187" s="54" t="s">
        <v>325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66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309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71</v>
      </c>
      <c r="Q188" s="651"/>
      <c r="R188" s="651"/>
      <c r="S188" s="651"/>
      <c r="T188" s="651"/>
      <c r="U188" s="651"/>
      <c r="V188" s="652"/>
      <c r="W188" s="37" t="s">
        <v>72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71</v>
      </c>
      <c r="Q189" s="651"/>
      <c r="R189" s="651"/>
      <c r="S189" s="651"/>
      <c r="T189" s="651"/>
      <c r="U189" s="651"/>
      <c r="V189" s="652"/>
      <c r="W189" s="37" t="s">
        <v>66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54" t="s">
        <v>73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326</v>
      </c>
      <c r="B191" s="54" t="s">
        <v>327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66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329</v>
      </c>
      <c r="B192" s="54" t="s">
        <v>330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66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331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332</v>
      </c>
      <c r="B193" s="54" t="s">
        <v>333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66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334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71</v>
      </c>
      <c r="Q194" s="651"/>
      <c r="R194" s="651"/>
      <c r="S194" s="651"/>
      <c r="T194" s="651"/>
      <c r="U194" s="651"/>
      <c r="V194" s="652"/>
      <c r="W194" s="37" t="s">
        <v>72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71</v>
      </c>
      <c r="Q195" s="651"/>
      <c r="R195" s="651"/>
      <c r="S195" s="651"/>
      <c r="T195" s="651"/>
      <c r="U195" s="651"/>
      <c r="V195" s="652"/>
      <c r="W195" s="37" t="s">
        <v>66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91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335</v>
      </c>
      <c r="B197" s="54" t="s">
        <v>336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337</v>
      </c>
      <c r="L197" s="32"/>
      <c r="M197" s="33" t="s">
        <v>280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66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338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339</v>
      </c>
      <c r="B198" s="54" t="s">
        <v>340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337</v>
      </c>
      <c r="L198" s="32"/>
      <c r="M198" s="33" t="s">
        <v>280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66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341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71</v>
      </c>
      <c r="Q199" s="651"/>
      <c r="R199" s="651"/>
      <c r="S199" s="651"/>
      <c r="T199" s="651"/>
      <c r="U199" s="651"/>
      <c r="V199" s="652"/>
      <c r="W199" s="37" t="s">
        <v>72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71</v>
      </c>
      <c r="Q200" s="651"/>
      <c r="R200" s="651"/>
      <c r="S200" s="651"/>
      <c r="T200" s="651"/>
      <c r="U200" s="651"/>
      <c r="V200" s="652"/>
      <c r="W200" s="37" t="s">
        <v>66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342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343</v>
      </c>
      <c r="B202" s="54" t="s">
        <v>344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337</v>
      </c>
      <c r="L202" s="32"/>
      <c r="M202" s="33" t="s">
        <v>280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66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345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71</v>
      </c>
      <c r="Q203" s="651"/>
      <c r="R203" s="651"/>
      <c r="S203" s="651"/>
      <c r="T203" s="651"/>
      <c r="U203" s="651"/>
      <c r="V203" s="652"/>
      <c r="W203" s="37" t="s">
        <v>72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71</v>
      </c>
      <c r="Q204" s="651"/>
      <c r="R204" s="651"/>
      <c r="S204" s="651"/>
      <c r="T204" s="651"/>
      <c r="U204" s="651"/>
      <c r="V204" s="652"/>
      <c r="W204" s="37" t="s">
        <v>66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346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347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116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348</v>
      </c>
      <c r="B208" s="54" t="s">
        <v>349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119</v>
      </c>
      <c r="L208" s="32"/>
      <c r="M208" s="33" t="s">
        <v>77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66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121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119</v>
      </c>
      <c r="L209" s="32"/>
      <c r="M209" s="33" t="s">
        <v>77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66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119</v>
      </c>
      <c r="L210" s="32"/>
      <c r="M210" s="33" t="s">
        <v>77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66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119</v>
      </c>
      <c r="L211" s="32"/>
      <c r="M211" s="33" t="s">
        <v>77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66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359</v>
      </c>
      <c r="B212" s="54" t="s">
        <v>360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119</v>
      </c>
      <c r="L212" s="32"/>
      <c r="M212" s="33" t="s">
        <v>77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66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361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362</v>
      </c>
      <c r="B213" s="54" t="s">
        <v>363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119</v>
      </c>
      <c r="L213" s="32"/>
      <c r="M213" s="33" t="s">
        <v>77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66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364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365</v>
      </c>
      <c r="B214" s="54" t="s">
        <v>366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119</v>
      </c>
      <c r="L214" s="32"/>
      <c r="M214" s="33" t="s">
        <v>77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66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367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71</v>
      </c>
      <c r="Q215" s="651"/>
      <c r="R215" s="651"/>
      <c r="S215" s="651"/>
      <c r="T215" s="651"/>
      <c r="U215" s="651"/>
      <c r="V215" s="652"/>
      <c r="W215" s="37" t="s">
        <v>72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71</v>
      </c>
      <c r="Q216" s="651"/>
      <c r="R216" s="651"/>
      <c r="S216" s="651"/>
      <c r="T216" s="651"/>
      <c r="U216" s="651"/>
      <c r="V216" s="652"/>
      <c r="W216" s="37" t="s">
        <v>66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368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152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369</v>
      </c>
      <c r="B219" s="54" t="s">
        <v>370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66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71</v>
      </c>
      <c r="Q220" s="651"/>
      <c r="R220" s="651"/>
      <c r="S220" s="651"/>
      <c r="T220" s="651"/>
      <c r="U220" s="651"/>
      <c r="V220" s="652"/>
      <c r="W220" s="37" t="s">
        <v>72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71</v>
      </c>
      <c r="Q221" s="651"/>
      <c r="R221" s="651"/>
      <c r="S221" s="651"/>
      <c r="T221" s="651"/>
      <c r="U221" s="651"/>
      <c r="V221" s="652"/>
      <c r="W221" s="37" t="s">
        <v>66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61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372</v>
      </c>
      <c r="B223" s="54" t="s">
        <v>373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128</v>
      </c>
      <c r="L223" s="32"/>
      <c r="M223" s="33" t="s">
        <v>65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66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128</v>
      </c>
      <c r="L224" s="32"/>
      <c r="M224" s="33" t="s">
        <v>65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66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377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128</v>
      </c>
      <c r="L225" s="32"/>
      <c r="M225" s="33" t="s">
        <v>65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66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380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381</v>
      </c>
      <c r="B226" s="54" t="s">
        <v>382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64</v>
      </c>
      <c r="L226" s="32"/>
      <c r="M226" s="33" t="s">
        <v>65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66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383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66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374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66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388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66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377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66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393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394</v>
      </c>
      <c r="B231" s="54" t="s">
        <v>395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66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66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124</v>
      </c>
      <c r="L233" s="32"/>
      <c r="M233" s="33" t="s">
        <v>65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66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403</v>
      </c>
      <c r="B234" s="54" t="s">
        <v>404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66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380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405</v>
      </c>
      <c r="B235" s="54" t="s">
        <v>406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66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380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407</v>
      </c>
      <c r="B236" s="54" t="s">
        <v>408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66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409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idden="1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71</v>
      </c>
      <c r="Q237" s="651"/>
      <c r="R237" s="651"/>
      <c r="S237" s="651"/>
      <c r="T237" s="651"/>
      <c r="U237" s="651"/>
      <c r="V237" s="652"/>
      <c r="W237" s="37" t="s">
        <v>72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hidden="1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71</v>
      </c>
      <c r="Q238" s="651"/>
      <c r="R238" s="651"/>
      <c r="S238" s="651"/>
      <c r="T238" s="651"/>
      <c r="U238" s="651"/>
      <c r="V238" s="652"/>
      <c r="W238" s="37" t="s">
        <v>66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hidden="1" customHeight="1" x14ac:dyDescent="0.25">
      <c r="A239" s="654" t="s">
        <v>73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410</v>
      </c>
      <c r="B240" s="54" t="s">
        <v>411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119</v>
      </c>
      <c r="L240" s="32"/>
      <c r="M240" s="33" t="s">
        <v>83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66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412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413</v>
      </c>
      <c r="B241" s="54" t="s">
        <v>414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119</v>
      </c>
      <c r="L241" s="32"/>
      <c r="M241" s="33" t="s">
        <v>83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66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415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416</v>
      </c>
      <c r="B242" s="54" t="s">
        <v>417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128</v>
      </c>
      <c r="L242" s="32"/>
      <c r="M242" s="33" t="s">
        <v>83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66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418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419</v>
      </c>
      <c r="B243" s="54" t="s">
        <v>420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128</v>
      </c>
      <c r="L243" s="32"/>
      <c r="M243" s="33" t="s">
        <v>83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66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421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422</v>
      </c>
      <c r="B244" s="54" t="s">
        <v>423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128</v>
      </c>
      <c r="L244" s="32"/>
      <c r="M244" s="33" t="s">
        <v>83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66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415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71</v>
      </c>
      <c r="Q245" s="651"/>
      <c r="R245" s="651"/>
      <c r="S245" s="651"/>
      <c r="T245" s="651"/>
      <c r="U245" s="651"/>
      <c r="V245" s="652"/>
      <c r="W245" s="37" t="s">
        <v>72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71</v>
      </c>
      <c r="Q246" s="651"/>
      <c r="R246" s="651"/>
      <c r="S246" s="651"/>
      <c r="T246" s="651"/>
      <c r="U246" s="651"/>
      <c r="V246" s="652"/>
      <c r="W246" s="37" t="s">
        <v>66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91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424</v>
      </c>
      <c r="B248" s="54" t="s">
        <v>425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337</v>
      </c>
      <c r="L248" s="32"/>
      <c r="M248" s="33" t="s">
        <v>280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66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426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427</v>
      </c>
      <c r="B249" s="54" t="s">
        <v>428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337</v>
      </c>
      <c r="L249" s="32"/>
      <c r="M249" s="33" t="s">
        <v>280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66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429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430</v>
      </c>
      <c r="B250" s="54" t="s">
        <v>431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337</v>
      </c>
      <c r="L250" s="32"/>
      <c r="M250" s="33" t="s">
        <v>280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66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429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71</v>
      </c>
      <c r="Q251" s="651"/>
      <c r="R251" s="651"/>
      <c r="S251" s="651"/>
      <c r="T251" s="651"/>
      <c r="U251" s="651"/>
      <c r="V251" s="652"/>
      <c r="W251" s="37" t="s">
        <v>72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71</v>
      </c>
      <c r="Q252" s="651"/>
      <c r="R252" s="651"/>
      <c r="S252" s="651"/>
      <c r="T252" s="651"/>
      <c r="U252" s="651"/>
      <c r="V252" s="652"/>
      <c r="W252" s="37" t="s">
        <v>66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432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433</v>
      </c>
      <c r="B254" s="54" t="s">
        <v>434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337</v>
      </c>
      <c r="L254" s="32"/>
      <c r="M254" s="33" t="s">
        <v>280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66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429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71</v>
      </c>
      <c r="Q255" s="651"/>
      <c r="R255" s="651"/>
      <c r="S255" s="651"/>
      <c r="T255" s="651"/>
      <c r="U255" s="651"/>
      <c r="V255" s="652"/>
      <c r="W255" s="37" t="s">
        <v>72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71</v>
      </c>
      <c r="Q256" s="651"/>
      <c r="R256" s="651"/>
      <c r="S256" s="651"/>
      <c r="T256" s="651"/>
      <c r="U256" s="651"/>
      <c r="V256" s="652"/>
      <c r="W256" s="37" t="s">
        <v>66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435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116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436</v>
      </c>
      <c r="B259" s="54" t="s">
        <v>437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119</v>
      </c>
      <c r="L259" s="32"/>
      <c r="M259" s="33" t="s">
        <v>120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66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438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439</v>
      </c>
      <c r="B260" s="54" t="s">
        <v>440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76</v>
      </c>
      <c r="L260" s="32"/>
      <c r="M260" s="33" t="s">
        <v>120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66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438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71</v>
      </c>
      <c r="Q261" s="651"/>
      <c r="R261" s="651"/>
      <c r="S261" s="651"/>
      <c r="T261" s="651"/>
      <c r="U261" s="651"/>
      <c r="V261" s="652"/>
      <c r="W261" s="37" t="s">
        <v>72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71</v>
      </c>
      <c r="Q262" s="651"/>
      <c r="R262" s="651"/>
      <c r="S262" s="651"/>
      <c r="T262" s="651"/>
      <c r="U262" s="651"/>
      <c r="V262" s="652"/>
      <c r="W262" s="37" t="s">
        <v>66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152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441</v>
      </c>
      <c r="B264" s="54" t="s">
        <v>442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119</v>
      </c>
      <c r="L264" s="32"/>
      <c r="M264" s="33" t="s">
        <v>120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66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443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444</v>
      </c>
      <c r="B265" s="54" t="s">
        <v>445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76</v>
      </c>
      <c r="L265" s="32"/>
      <c r="M265" s="33" t="s">
        <v>120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66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443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71</v>
      </c>
      <c r="Q266" s="651"/>
      <c r="R266" s="651"/>
      <c r="S266" s="651"/>
      <c r="T266" s="651"/>
      <c r="U266" s="651"/>
      <c r="V266" s="652"/>
      <c r="W266" s="37" t="s">
        <v>72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71</v>
      </c>
      <c r="Q267" s="651"/>
      <c r="R267" s="651"/>
      <c r="S267" s="651"/>
      <c r="T267" s="651"/>
      <c r="U267" s="651"/>
      <c r="V267" s="652"/>
      <c r="W267" s="37" t="s">
        <v>66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61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446</v>
      </c>
      <c r="B269" s="54" t="s">
        <v>447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128</v>
      </c>
      <c r="L269" s="32"/>
      <c r="M269" s="33" t="s">
        <v>65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66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448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449</v>
      </c>
      <c r="B270" s="54" t="s">
        <v>450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128</v>
      </c>
      <c r="L270" s="32"/>
      <c r="M270" s="33" t="s">
        <v>65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66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451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452</v>
      </c>
      <c r="B271" s="54" t="s">
        <v>453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128</v>
      </c>
      <c r="L271" s="32"/>
      <c r="M271" s="33" t="s">
        <v>65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66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454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128</v>
      </c>
      <c r="L272" s="32"/>
      <c r="M272" s="33" t="s">
        <v>65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66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457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66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66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462</v>
      </c>
      <c r="B275" s="54" t="s">
        <v>463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66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454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464</v>
      </c>
      <c r="B276" s="54" t="s">
        <v>465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66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457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71</v>
      </c>
      <c r="Q277" s="651"/>
      <c r="R277" s="651"/>
      <c r="S277" s="651"/>
      <c r="T277" s="651"/>
      <c r="U277" s="651"/>
      <c r="V277" s="652"/>
      <c r="W277" s="37" t="s">
        <v>72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71</v>
      </c>
      <c r="Q278" s="651"/>
      <c r="R278" s="651"/>
      <c r="S278" s="651"/>
      <c r="T278" s="651"/>
      <c r="U278" s="651"/>
      <c r="V278" s="652"/>
      <c r="W278" s="37" t="s">
        <v>66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54" t="s">
        <v>73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466</v>
      </c>
      <c r="B280" s="54" t="s">
        <v>467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119</v>
      </c>
      <c r="L280" s="32"/>
      <c r="M280" s="33" t="s">
        <v>77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66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468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469</v>
      </c>
      <c r="B281" s="54" t="s">
        <v>470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119</v>
      </c>
      <c r="L281" s="32"/>
      <c r="M281" s="33" t="s">
        <v>77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66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471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119</v>
      </c>
      <c r="L282" s="32"/>
      <c r="M282" s="33" t="s">
        <v>77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66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474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76</v>
      </c>
      <c r="L283" s="32"/>
      <c r="M283" s="33" t="s">
        <v>77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66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468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76</v>
      </c>
      <c r="L284" s="32"/>
      <c r="M284" s="33" t="s">
        <v>83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66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128</v>
      </c>
      <c r="L285" s="32"/>
      <c r="M285" s="33" t="s">
        <v>77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66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481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66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474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484</v>
      </c>
      <c r="B287" s="54" t="s">
        <v>485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119</v>
      </c>
      <c r="L287" s="32"/>
      <c r="M287" s="33" t="s">
        <v>77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66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481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66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474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hidden="1" customHeight="1" x14ac:dyDescent="0.25">
      <c r="A289" s="54" t="s">
        <v>488</v>
      </c>
      <c r="B289" s="54" t="s">
        <v>489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76</v>
      </c>
      <c r="L289" s="32"/>
      <c r="M289" s="33" t="s">
        <v>83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66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490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hidden="1" customHeight="1" x14ac:dyDescent="0.25">
      <c r="A290" s="54" t="s">
        <v>491</v>
      </c>
      <c r="B290" s="54" t="s">
        <v>492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66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493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494</v>
      </c>
      <c r="B291" s="54" t="s">
        <v>495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76</v>
      </c>
      <c r="L291" s="32"/>
      <c r="M291" s="33" t="s">
        <v>77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66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496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hidden="1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71</v>
      </c>
      <c r="Q292" s="651"/>
      <c r="R292" s="651"/>
      <c r="S292" s="651"/>
      <c r="T292" s="651"/>
      <c r="U292" s="651"/>
      <c r="V292" s="652"/>
      <c r="W292" s="37" t="s">
        <v>72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30"/>
      <c r="AB292" s="630"/>
      <c r="AC292" s="630"/>
    </row>
    <row r="293" spans="1:68" hidden="1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71</v>
      </c>
      <c r="Q293" s="651"/>
      <c r="R293" s="651"/>
      <c r="S293" s="651"/>
      <c r="T293" s="651"/>
      <c r="U293" s="651"/>
      <c r="V293" s="652"/>
      <c r="W293" s="37" t="s">
        <v>66</v>
      </c>
      <c r="X293" s="629">
        <f>IFERROR(SUM(X280:X291),"0")</f>
        <v>0</v>
      </c>
      <c r="Y293" s="629">
        <f>IFERROR(SUM(Y280:Y291),"0")</f>
        <v>0</v>
      </c>
      <c r="Z293" s="37"/>
      <c r="AA293" s="630"/>
      <c r="AB293" s="630"/>
      <c r="AC293" s="630"/>
    </row>
    <row r="294" spans="1:68" ht="14.25" hidden="1" customHeight="1" x14ac:dyDescent="0.25">
      <c r="A294" s="654" t="s">
        <v>169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497</v>
      </c>
      <c r="B295" s="54" t="s">
        <v>498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76</v>
      </c>
      <c r="L295" s="32"/>
      <c r="M295" s="33" t="s">
        <v>83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66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499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500</v>
      </c>
      <c r="B296" s="54" t="s">
        <v>501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76</v>
      </c>
      <c r="L296" s="32"/>
      <c r="M296" s="33" t="s">
        <v>77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66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502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71</v>
      </c>
      <c r="Q297" s="651"/>
      <c r="R297" s="651"/>
      <c r="S297" s="651"/>
      <c r="T297" s="651"/>
      <c r="U297" s="651"/>
      <c r="V297" s="652"/>
      <c r="W297" s="37" t="s">
        <v>72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71</v>
      </c>
      <c r="Q298" s="651"/>
      <c r="R298" s="651"/>
      <c r="S298" s="651"/>
      <c r="T298" s="651"/>
      <c r="U298" s="651"/>
      <c r="V298" s="652"/>
      <c r="W298" s="37" t="s">
        <v>66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503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116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504</v>
      </c>
      <c r="B301" s="54" t="s">
        <v>505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119</v>
      </c>
      <c r="L301" s="32"/>
      <c r="M301" s="33" t="s">
        <v>120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66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506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119</v>
      </c>
      <c r="L302" s="32"/>
      <c r="M302" s="33" t="s">
        <v>120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66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509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119</v>
      </c>
      <c r="L303" s="32"/>
      <c r="M303" s="33" t="s">
        <v>120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66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364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128</v>
      </c>
      <c r="L304" s="32"/>
      <c r="M304" s="33" t="s">
        <v>120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66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506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514</v>
      </c>
      <c r="B305" s="54" t="s">
        <v>515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128</v>
      </c>
      <c r="L305" s="32"/>
      <c r="M305" s="33" t="s">
        <v>120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66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516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517</v>
      </c>
      <c r="B306" s="54" t="s">
        <v>518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76</v>
      </c>
      <c r="L306" s="32"/>
      <c r="M306" s="33" t="s">
        <v>120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66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519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520</v>
      </c>
      <c r="B307" s="54" t="s">
        <v>521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128</v>
      </c>
      <c r="L307" s="32"/>
      <c r="M307" s="33" t="s">
        <v>120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66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364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71</v>
      </c>
      <c r="Q308" s="651"/>
      <c r="R308" s="651"/>
      <c r="S308" s="651"/>
      <c r="T308" s="651"/>
      <c r="U308" s="651"/>
      <c r="V308" s="652"/>
      <c r="W308" s="37" t="s">
        <v>72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71</v>
      </c>
      <c r="Q309" s="651"/>
      <c r="R309" s="651"/>
      <c r="S309" s="651"/>
      <c r="T309" s="651"/>
      <c r="U309" s="651"/>
      <c r="V309" s="652"/>
      <c r="W309" s="37" t="s">
        <v>66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152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522</v>
      </c>
      <c r="B311" s="54" t="s">
        <v>523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64</v>
      </c>
      <c r="L311" s="32"/>
      <c r="M311" s="33" t="s">
        <v>77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66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524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71</v>
      </c>
      <c r="Q312" s="651"/>
      <c r="R312" s="651"/>
      <c r="S312" s="651"/>
      <c r="T312" s="651"/>
      <c r="U312" s="651"/>
      <c r="V312" s="652"/>
      <c r="W312" s="37" t="s">
        <v>72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71</v>
      </c>
      <c r="Q313" s="651"/>
      <c r="R313" s="651"/>
      <c r="S313" s="651"/>
      <c r="T313" s="651"/>
      <c r="U313" s="651"/>
      <c r="V313" s="652"/>
      <c r="W313" s="37" t="s">
        <v>66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525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526</v>
      </c>
      <c r="B315" s="54" t="s">
        <v>527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337</v>
      </c>
      <c r="L315" s="32"/>
      <c r="M315" s="33" t="s">
        <v>280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66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528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71</v>
      </c>
      <c r="Q316" s="651"/>
      <c r="R316" s="651"/>
      <c r="S316" s="651"/>
      <c r="T316" s="651"/>
      <c r="U316" s="651"/>
      <c r="V316" s="652"/>
      <c r="W316" s="37" t="s">
        <v>72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71</v>
      </c>
      <c r="Q317" s="651"/>
      <c r="R317" s="651"/>
      <c r="S317" s="651"/>
      <c r="T317" s="651"/>
      <c r="U317" s="651"/>
      <c r="V317" s="652"/>
      <c r="W317" s="37" t="s">
        <v>66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342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529</v>
      </c>
      <c r="B319" s="54" t="s">
        <v>530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337</v>
      </c>
      <c r="L319" s="32"/>
      <c r="M319" s="33" t="s">
        <v>280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66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531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532</v>
      </c>
      <c r="B320" s="54" t="s">
        <v>533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337</v>
      </c>
      <c r="L320" s="32"/>
      <c r="M320" s="33" t="s">
        <v>280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66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531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534</v>
      </c>
      <c r="B321" s="54" t="s">
        <v>535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337</v>
      </c>
      <c r="L321" s="32"/>
      <c r="M321" s="33" t="s">
        <v>280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66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531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71</v>
      </c>
      <c r="Q322" s="651"/>
      <c r="R322" s="651"/>
      <c r="S322" s="651"/>
      <c r="T322" s="651"/>
      <c r="U322" s="651"/>
      <c r="V322" s="652"/>
      <c r="W322" s="37" t="s">
        <v>72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71</v>
      </c>
      <c r="Q323" s="651"/>
      <c r="R323" s="651"/>
      <c r="S323" s="651"/>
      <c r="T323" s="651"/>
      <c r="U323" s="651"/>
      <c r="V323" s="652"/>
      <c r="W323" s="37" t="s">
        <v>66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536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116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537</v>
      </c>
      <c r="B326" s="54" t="s">
        <v>538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119</v>
      </c>
      <c r="L326" s="32"/>
      <c r="M326" s="33" t="s">
        <v>120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66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539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540</v>
      </c>
      <c r="B327" s="54" t="s">
        <v>541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119</v>
      </c>
      <c r="L327" s="32"/>
      <c r="M327" s="33" t="s">
        <v>120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66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542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543</v>
      </c>
      <c r="B328" s="54" t="s">
        <v>544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119</v>
      </c>
      <c r="L328" s="32"/>
      <c r="M328" s="33" t="s">
        <v>120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66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545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546</v>
      </c>
      <c r="B329" s="54" t="s">
        <v>547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128</v>
      </c>
      <c r="L329" s="32"/>
      <c r="M329" s="33" t="s">
        <v>120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66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548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549</v>
      </c>
      <c r="B330" s="54" t="s">
        <v>550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128</v>
      </c>
      <c r="L330" s="32"/>
      <c r="M330" s="33" t="s">
        <v>120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66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551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71</v>
      </c>
      <c r="Q331" s="651"/>
      <c r="R331" s="651"/>
      <c r="S331" s="651"/>
      <c r="T331" s="651"/>
      <c r="U331" s="651"/>
      <c r="V331" s="652"/>
      <c r="W331" s="37" t="s">
        <v>72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71</v>
      </c>
      <c r="Q332" s="651"/>
      <c r="R332" s="651"/>
      <c r="S332" s="651"/>
      <c r="T332" s="651"/>
      <c r="U332" s="651"/>
      <c r="V332" s="652"/>
      <c r="W332" s="37" t="s">
        <v>66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552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73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553</v>
      </c>
      <c r="B335" s="54" t="s">
        <v>554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66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555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556</v>
      </c>
      <c r="B336" s="54" t="s">
        <v>557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76</v>
      </c>
      <c r="L336" s="32"/>
      <c r="M336" s="33" t="s">
        <v>83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66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558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559</v>
      </c>
      <c r="B337" s="54" t="s">
        <v>560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76</v>
      </c>
      <c r="L337" s="32"/>
      <c r="M337" s="33" t="s">
        <v>77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66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555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71</v>
      </c>
      <c r="Q338" s="651"/>
      <c r="R338" s="651"/>
      <c r="S338" s="651"/>
      <c r="T338" s="651"/>
      <c r="U338" s="651"/>
      <c r="V338" s="652"/>
      <c r="W338" s="37" t="s">
        <v>72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71</v>
      </c>
      <c r="Q339" s="651"/>
      <c r="R339" s="651"/>
      <c r="S339" s="651"/>
      <c r="T339" s="651"/>
      <c r="U339" s="651"/>
      <c r="V339" s="652"/>
      <c r="W339" s="37" t="s">
        <v>66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561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61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562</v>
      </c>
      <c r="B342" s="54" t="s">
        <v>563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66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396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66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66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76</v>
      </c>
      <c r="L345" s="32"/>
      <c r="M345" s="33" t="s">
        <v>65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66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573</v>
      </c>
      <c r="B346" s="54" t="s">
        <v>574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66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71</v>
      </c>
      <c r="Q347" s="651"/>
      <c r="R347" s="651"/>
      <c r="S347" s="651"/>
      <c r="T347" s="651"/>
      <c r="U347" s="651"/>
      <c r="V347" s="652"/>
      <c r="W347" s="37" t="s">
        <v>72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71</v>
      </c>
      <c r="Q348" s="651"/>
      <c r="R348" s="651"/>
      <c r="S348" s="651"/>
      <c r="T348" s="651"/>
      <c r="U348" s="651"/>
      <c r="V348" s="652"/>
      <c r="W348" s="37" t="s">
        <v>66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73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576</v>
      </c>
      <c r="B350" s="54" t="s">
        <v>577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128</v>
      </c>
      <c r="L350" s="32"/>
      <c r="M350" s="33" t="s">
        <v>77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66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579</v>
      </c>
      <c r="B351" s="54" t="s">
        <v>580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128</v>
      </c>
      <c r="L351" s="32"/>
      <c r="M351" s="33" t="s">
        <v>77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66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581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71</v>
      </c>
      <c r="Q352" s="651"/>
      <c r="R352" s="651"/>
      <c r="S352" s="651"/>
      <c r="T352" s="651"/>
      <c r="U352" s="651"/>
      <c r="V352" s="652"/>
      <c r="W352" s="37" t="s">
        <v>72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71</v>
      </c>
      <c r="Q353" s="651"/>
      <c r="R353" s="651"/>
      <c r="S353" s="651"/>
      <c r="T353" s="651"/>
      <c r="U353" s="651"/>
      <c r="V353" s="652"/>
      <c r="W353" s="37" t="s">
        <v>66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582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116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583</v>
      </c>
      <c r="B356" s="54" t="s">
        <v>584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119</v>
      </c>
      <c r="L356" s="32"/>
      <c r="M356" s="33" t="s">
        <v>77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66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355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585</v>
      </c>
      <c r="B357" s="54" t="s">
        <v>586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119</v>
      </c>
      <c r="L357" s="32"/>
      <c r="M357" s="33" t="s">
        <v>77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66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587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588</v>
      </c>
      <c r="B358" s="54" t="s">
        <v>589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119</v>
      </c>
      <c r="L358" s="32"/>
      <c r="M358" s="33" t="s">
        <v>77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66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590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71</v>
      </c>
      <c r="Q359" s="651"/>
      <c r="R359" s="651"/>
      <c r="S359" s="651"/>
      <c r="T359" s="651"/>
      <c r="U359" s="651"/>
      <c r="V359" s="652"/>
      <c r="W359" s="37" t="s">
        <v>72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71</v>
      </c>
      <c r="Q360" s="651"/>
      <c r="R360" s="651"/>
      <c r="S360" s="651"/>
      <c r="T360" s="651"/>
      <c r="U360" s="651"/>
      <c r="V360" s="652"/>
      <c r="W360" s="37" t="s">
        <v>66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591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116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592</v>
      </c>
      <c r="B363" s="54" t="s">
        <v>593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119</v>
      </c>
      <c r="L363" s="32"/>
      <c r="M363" s="33" t="s">
        <v>120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66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595</v>
      </c>
      <c r="B364" s="54" t="s">
        <v>596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119</v>
      </c>
      <c r="L364" s="32"/>
      <c r="M364" s="33" t="s">
        <v>120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66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597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119</v>
      </c>
      <c r="L365" s="32"/>
      <c r="M365" s="33" t="s">
        <v>77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66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128</v>
      </c>
      <c r="L366" s="32"/>
      <c r="M366" s="33" t="s">
        <v>120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66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128</v>
      </c>
      <c r="L367" s="32"/>
      <c r="M367" s="33" t="s">
        <v>120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66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71</v>
      </c>
      <c r="Q368" s="651"/>
      <c r="R368" s="651"/>
      <c r="S368" s="651"/>
      <c r="T368" s="651"/>
      <c r="U368" s="651"/>
      <c r="V368" s="652"/>
      <c r="W368" s="37" t="s">
        <v>72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71</v>
      </c>
      <c r="Q369" s="651"/>
      <c r="R369" s="651"/>
      <c r="S369" s="651"/>
      <c r="T369" s="651"/>
      <c r="U369" s="651"/>
      <c r="V369" s="652"/>
      <c r="W369" s="37" t="s">
        <v>66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61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606</v>
      </c>
      <c r="B371" s="54" t="s">
        <v>607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128</v>
      </c>
      <c r="L371" s="32"/>
      <c r="M371" s="33" t="s">
        <v>65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66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128</v>
      </c>
      <c r="L372" s="32"/>
      <c r="M372" s="33" t="s">
        <v>65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66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128</v>
      </c>
      <c r="L373" s="32"/>
      <c r="M373" s="33" t="s">
        <v>65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66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64</v>
      </c>
      <c r="L374" s="32"/>
      <c r="M374" s="33" t="s">
        <v>65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66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611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64</v>
      </c>
      <c r="L375" s="32"/>
      <c r="M375" s="33" t="s">
        <v>65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66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619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620</v>
      </c>
      <c r="B376" s="54" t="s">
        <v>621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128</v>
      </c>
      <c r="L376" s="32"/>
      <c r="M376" s="33" t="s">
        <v>65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66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614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622</v>
      </c>
      <c r="B377" s="54" t="s">
        <v>623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76</v>
      </c>
      <c r="L377" s="32"/>
      <c r="M377" s="33" t="s">
        <v>65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66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624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71</v>
      </c>
      <c r="Q378" s="651"/>
      <c r="R378" s="651"/>
      <c r="S378" s="651"/>
      <c r="T378" s="651"/>
      <c r="U378" s="651"/>
      <c r="V378" s="652"/>
      <c r="W378" s="37" t="s">
        <v>72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71</v>
      </c>
      <c r="Q379" s="651"/>
      <c r="R379" s="651"/>
      <c r="S379" s="651"/>
      <c r="T379" s="651"/>
      <c r="U379" s="651"/>
      <c r="V379" s="652"/>
      <c r="W379" s="37" t="s">
        <v>66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73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625</v>
      </c>
      <c r="B381" s="54" t="s">
        <v>626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119</v>
      </c>
      <c r="L381" s="32"/>
      <c r="M381" s="33" t="s">
        <v>77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66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627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119</v>
      </c>
      <c r="L382" s="32"/>
      <c r="M382" s="33" t="s">
        <v>77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66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630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631</v>
      </c>
      <c r="B383" s="54" t="s">
        <v>632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119</v>
      </c>
      <c r="L383" s="32"/>
      <c r="M383" s="33" t="s">
        <v>77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66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633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634</v>
      </c>
      <c r="B384" s="54" t="s">
        <v>635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76</v>
      </c>
      <c r="L384" s="32"/>
      <c r="M384" s="33" t="s">
        <v>77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66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627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71</v>
      </c>
      <c r="Q385" s="651"/>
      <c r="R385" s="651"/>
      <c r="S385" s="651"/>
      <c r="T385" s="651"/>
      <c r="U385" s="651"/>
      <c r="V385" s="652"/>
      <c r="W385" s="37" t="s">
        <v>72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71</v>
      </c>
      <c r="Q386" s="651"/>
      <c r="R386" s="651"/>
      <c r="S386" s="651"/>
      <c r="T386" s="651"/>
      <c r="U386" s="651"/>
      <c r="V386" s="652"/>
      <c r="W386" s="37" t="s">
        <v>66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169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636</v>
      </c>
      <c r="B388" s="54" t="s">
        <v>637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119</v>
      </c>
      <c r="L388" s="32"/>
      <c r="M388" s="33" t="s">
        <v>77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66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638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639</v>
      </c>
      <c r="B389" s="54" t="s">
        <v>640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119</v>
      </c>
      <c r="L389" s="32"/>
      <c r="M389" s="33" t="s">
        <v>77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66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642</v>
      </c>
      <c r="B390" s="54" t="s">
        <v>643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119</v>
      </c>
      <c r="L390" s="32"/>
      <c r="M390" s="33" t="s">
        <v>83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66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644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71</v>
      </c>
      <c r="Q391" s="651"/>
      <c r="R391" s="651"/>
      <c r="S391" s="651"/>
      <c r="T391" s="651"/>
      <c r="U391" s="651"/>
      <c r="V391" s="652"/>
      <c r="W391" s="37" t="s">
        <v>72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71</v>
      </c>
      <c r="Q392" s="651"/>
      <c r="R392" s="651"/>
      <c r="S392" s="651"/>
      <c r="T392" s="651"/>
      <c r="U392" s="651"/>
      <c r="V392" s="652"/>
      <c r="W392" s="37" t="s">
        <v>66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91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645</v>
      </c>
      <c r="B394" s="54" t="s">
        <v>646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128</v>
      </c>
      <c r="L394" s="32"/>
      <c r="M394" s="33" t="s">
        <v>94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66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647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128</v>
      </c>
      <c r="L395" s="32"/>
      <c r="M395" s="33" t="s">
        <v>94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66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647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650</v>
      </c>
      <c r="B396" s="54" t="s">
        <v>651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76</v>
      </c>
      <c r="L396" s="32"/>
      <c r="M396" s="33" t="s">
        <v>94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66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647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652</v>
      </c>
      <c r="B397" s="54" t="s">
        <v>653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76</v>
      </c>
      <c r="L397" s="32"/>
      <c r="M397" s="33" t="s">
        <v>94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66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647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71</v>
      </c>
      <c r="Q398" s="651"/>
      <c r="R398" s="651"/>
      <c r="S398" s="651"/>
      <c r="T398" s="651"/>
      <c r="U398" s="651"/>
      <c r="V398" s="652"/>
      <c r="W398" s="37" t="s">
        <v>72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71</v>
      </c>
      <c r="Q399" s="651"/>
      <c r="R399" s="651"/>
      <c r="S399" s="651"/>
      <c r="T399" s="651"/>
      <c r="U399" s="651"/>
      <c r="V399" s="652"/>
      <c r="W399" s="37" t="s">
        <v>66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654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655</v>
      </c>
      <c r="B401" s="54" t="s">
        <v>656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76</v>
      </c>
      <c r="L401" s="32"/>
      <c r="M401" s="33" t="s">
        <v>657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66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658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659</v>
      </c>
      <c r="B402" s="54" t="s">
        <v>660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76</v>
      </c>
      <c r="L402" s="32"/>
      <c r="M402" s="33" t="s">
        <v>657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66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658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661</v>
      </c>
      <c r="B403" s="54" t="s">
        <v>662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76</v>
      </c>
      <c r="L403" s="32"/>
      <c r="M403" s="33" t="s">
        <v>657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66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71</v>
      </c>
      <c r="Q404" s="651"/>
      <c r="R404" s="651"/>
      <c r="S404" s="651"/>
      <c r="T404" s="651"/>
      <c r="U404" s="651"/>
      <c r="V404" s="652"/>
      <c r="W404" s="37" t="s">
        <v>72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71</v>
      </c>
      <c r="Q405" s="651"/>
      <c r="R405" s="651"/>
      <c r="S405" s="651"/>
      <c r="T405" s="651"/>
      <c r="U405" s="651"/>
      <c r="V405" s="652"/>
      <c r="W405" s="37" t="s">
        <v>66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663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664</v>
      </c>
      <c r="B407" s="54" t="s">
        <v>665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76</v>
      </c>
      <c r="L407" s="32"/>
      <c r="M407" s="33" t="s">
        <v>657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66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240</v>
      </c>
      <c r="AC407" s="487" t="s">
        <v>666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128</v>
      </c>
      <c r="L408" s="32"/>
      <c r="M408" s="33" t="s">
        <v>657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66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240</v>
      </c>
      <c r="AC408" s="489" t="s">
        <v>669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670</v>
      </c>
      <c r="B409" s="54" t="s">
        <v>671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76</v>
      </c>
      <c r="L409" s="32"/>
      <c r="M409" s="33" t="s">
        <v>657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66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240</v>
      </c>
      <c r="AC409" s="491" t="s">
        <v>666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71</v>
      </c>
      <c r="Q410" s="651"/>
      <c r="R410" s="651"/>
      <c r="S410" s="651"/>
      <c r="T410" s="651"/>
      <c r="U410" s="651"/>
      <c r="V410" s="652"/>
      <c r="W410" s="37" t="s">
        <v>72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71</v>
      </c>
      <c r="Q411" s="651"/>
      <c r="R411" s="651"/>
      <c r="S411" s="651"/>
      <c r="T411" s="651"/>
      <c r="U411" s="651"/>
      <c r="V411" s="652"/>
      <c r="W411" s="37" t="s">
        <v>66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672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73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673</v>
      </c>
      <c r="B414" s="54" t="s">
        <v>674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119</v>
      </c>
      <c r="L414" s="32"/>
      <c r="M414" s="33" t="s">
        <v>83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66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76</v>
      </c>
      <c r="L415" s="32"/>
      <c r="M415" s="33" t="s">
        <v>77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66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678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679</v>
      </c>
      <c r="B416" s="54" t="s">
        <v>680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76</v>
      </c>
      <c r="L416" s="32"/>
      <c r="M416" s="33" t="s">
        <v>83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66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681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71</v>
      </c>
      <c r="Q417" s="651"/>
      <c r="R417" s="651"/>
      <c r="S417" s="651"/>
      <c r="T417" s="651"/>
      <c r="U417" s="651"/>
      <c r="V417" s="652"/>
      <c r="W417" s="37" t="s">
        <v>72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71</v>
      </c>
      <c r="Q418" s="651"/>
      <c r="R418" s="651"/>
      <c r="S418" s="651"/>
      <c r="T418" s="651"/>
      <c r="U418" s="651"/>
      <c r="V418" s="652"/>
      <c r="W418" s="37" t="s">
        <v>66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60" t="s">
        <v>682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683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116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684</v>
      </c>
      <c r="B422" s="54" t="s">
        <v>685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119</v>
      </c>
      <c r="L422" s="32"/>
      <c r="M422" s="33" t="s">
        <v>83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66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686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687</v>
      </c>
      <c r="B423" s="54" t="s">
        <v>688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119</v>
      </c>
      <c r="L423" s="32"/>
      <c r="M423" s="33" t="s">
        <v>65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66</v>
      </c>
      <c r="X423" s="627">
        <v>1400</v>
      </c>
      <c r="Y423" s="628">
        <f t="shared" si="47"/>
        <v>1410</v>
      </c>
      <c r="Z423" s="36">
        <f>IFERROR(IF(Y423=0,"",ROUNDUP(Y423/H423,0)*0.02175),"")</f>
        <v>2.0444999999999998</v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 t="shared" si="48"/>
        <v>1443.8666666666666</v>
      </c>
      <c r="BN423" s="64">
        <f t="shared" si="49"/>
        <v>1454.18</v>
      </c>
      <c r="BO423" s="64">
        <f t="shared" si="50"/>
        <v>1.9444444444444442</v>
      </c>
      <c r="BP423" s="64">
        <f t="shared" si="51"/>
        <v>1.9583333333333333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66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693</v>
      </c>
      <c r="B425" s="54" t="s">
        <v>694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119</v>
      </c>
      <c r="L425" s="32"/>
      <c r="M425" s="33" t="s">
        <v>65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66</v>
      </c>
      <c r="X425" s="627">
        <v>2900</v>
      </c>
      <c r="Y425" s="628">
        <f t="shared" si="47"/>
        <v>2910</v>
      </c>
      <c r="Z425" s="36">
        <f>IFERROR(IF(Y425=0,"",ROUNDUP(Y425/H425,0)*0.02175),"")</f>
        <v>4.2195</v>
      </c>
      <c r="AA425" s="56"/>
      <c r="AB425" s="57"/>
      <c r="AC425" s="505" t="s">
        <v>695</v>
      </c>
      <c r="AG425" s="64"/>
      <c r="AJ425" s="68"/>
      <c r="AK425" s="68">
        <v>0</v>
      </c>
      <c r="BB425" s="506" t="s">
        <v>1</v>
      </c>
      <c r="BM425" s="64">
        <f t="shared" si="48"/>
        <v>2990.8666666666668</v>
      </c>
      <c r="BN425" s="64">
        <f t="shared" si="49"/>
        <v>3001.1800000000003</v>
      </c>
      <c r="BO425" s="64">
        <f t="shared" si="50"/>
        <v>4.0277777777777777</v>
      </c>
      <c r="BP425" s="64">
        <f t="shared" si="51"/>
        <v>4.0416666666666661</v>
      </c>
    </row>
    <row r="426" spans="1:68" ht="27" hidden="1" customHeight="1" x14ac:dyDescent="0.25">
      <c r="A426" s="54" t="s">
        <v>696</v>
      </c>
      <c r="B426" s="54" t="s">
        <v>697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119</v>
      </c>
      <c r="L426" s="32"/>
      <c r="M426" s="33" t="s">
        <v>83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66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698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699</v>
      </c>
      <c r="B427" s="54" t="s">
        <v>700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128</v>
      </c>
      <c r="L427" s="32"/>
      <c r="M427" s="33" t="s">
        <v>120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66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701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702</v>
      </c>
      <c r="B428" s="54" t="s">
        <v>703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128</v>
      </c>
      <c r="L428" s="32"/>
      <c r="M428" s="33" t="s">
        <v>65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66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704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705</v>
      </c>
      <c r="B429" s="54" t="s">
        <v>706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128</v>
      </c>
      <c r="L429" s="32"/>
      <c r="M429" s="33" t="s">
        <v>65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66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707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71</v>
      </c>
      <c r="Q430" s="651"/>
      <c r="R430" s="651"/>
      <c r="S430" s="651"/>
      <c r="T430" s="651"/>
      <c r="U430" s="651"/>
      <c r="V430" s="652"/>
      <c r="W430" s="37" t="s">
        <v>72</v>
      </c>
      <c r="X430" s="629">
        <f>IFERROR(X422/H422,"0")+IFERROR(X423/H423,"0")+IFERROR(X424/H424,"0")+IFERROR(X425/H425,"0")+IFERROR(X426/H426,"0")+IFERROR(X427/H427,"0")+IFERROR(X428/H428,"0")+IFERROR(X429/H429,"0")</f>
        <v>286.66666666666669</v>
      </c>
      <c r="Y430" s="629">
        <f>IFERROR(Y422/H422,"0")+IFERROR(Y423/H423,"0")+IFERROR(Y424/H424,"0")+IFERROR(Y425/H425,"0")+IFERROR(Y426/H426,"0")+IFERROR(Y427/H427,"0")+IFERROR(Y428/H428,"0")+IFERROR(Y429/H429,"0")</f>
        <v>288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6.2639999999999993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71</v>
      </c>
      <c r="Q431" s="651"/>
      <c r="R431" s="651"/>
      <c r="S431" s="651"/>
      <c r="T431" s="651"/>
      <c r="U431" s="651"/>
      <c r="V431" s="652"/>
      <c r="W431" s="37" t="s">
        <v>66</v>
      </c>
      <c r="X431" s="629">
        <f>IFERROR(SUM(X422:X429),"0")</f>
        <v>4300</v>
      </c>
      <c r="Y431" s="629">
        <f>IFERROR(SUM(Y422:Y429),"0")</f>
        <v>4320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152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708</v>
      </c>
      <c r="B433" s="54" t="s">
        <v>709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119</v>
      </c>
      <c r="L433" s="32"/>
      <c r="M433" s="33" t="s">
        <v>120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66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710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711</v>
      </c>
      <c r="B434" s="54" t="s">
        <v>712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119</v>
      </c>
      <c r="L434" s="32"/>
      <c r="M434" s="33" t="s">
        <v>120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66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713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714</v>
      </c>
      <c r="B435" s="54" t="s">
        <v>715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128</v>
      </c>
      <c r="L435" s="32"/>
      <c r="M435" s="33" t="s">
        <v>120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66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716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71</v>
      </c>
      <c r="Q436" s="651"/>
      <c r="R436" s="651"/>
      <c r="S436" s="651"/>
      <c r="T436" s="651"/>
      <c r="U436" s="651"/>
      <c r="V436" s="652"/>
      <c r="W436" s="37" t="s">
        <v>72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71</v>
      </c>
      <c r="Q437" s="651"/>
      <c r="R437" s="651"/>
      <c r="S437" s="651"/>
      <c r="T437" s="651"/>
      <c r="U437" s="651"/>
      <c r="V437" s="652"/>
      <c r="W437" s="37" t="s">
        <v>66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73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717</v>
      </c>
      <c r="B439" s="54" t="s">
        <v>718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119</v>
      </c>
      <c r="L439" s="32"/>
      <c r="M439" s="33" t="s">
        <v>77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66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719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720</v>
      </c>
      <c r="B440" s="54" t="s">
        <v>721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119</v>
      </c>
      <c r="L440" s="32"/>
      <c r="M440" s="33" t="s">
        <v>77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66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722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723</v>
      </c>
      <c r="B441" s="54" t="s">
        <v>724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119</v>
      </c>
      <c r="L441" s="32"/>
      <c r="M441" s="33" t="s">
        <v>77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66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725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71</v>
      </c>
      <c r="Q442" s="651"/>
      <c r="R442" s="651"/>
      <c r="S442" s="651"/>
      <c r="T442" s="651"/>
      <c r="U442" s="651"/>
      <c r="V442" s="652"/>
      <c r="W442" s="37" t="s">
        <v>72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71</v>
      </c>
      <c r="Q443" s="651"/>
      <c r="R443" s="651"/>
      <c r="S443" s="651"/>
      <c r="T443" s="651"/>
      <c r="U443" s="651"/>
      <c r="V443" s="652"/>
      <c r="W443" s="37" t="s">
        <v>66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169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726</v>
      </c>
      <c r="B445" s="54" t="s">
        <v>727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119</v>
      </c>
      <c r="L445" s="32"/>
      <c r="M445" s="33" t="s">
        <v>77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66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728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729</v>
      </c>
      <c r="B446" s="54" t="s">
        <v>730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119</v>
      </c>
      <c r="L446" s="32"/>
      <c r="M446" s="33" t="s">
        <v>77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66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731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71</v>
      </c>
      <c r="Q447" s="651"/>
      <c r="R447" s="651"/>
      <c r="S447" s="651"/>
      <c r="T447" s="651"/>
      <c r="U447" s="651"/>
      <c r="V447" s="652"/>
      <c r="W447" s="37" t="s">
        <v>72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71</v>
      </c>
      <c r="Q448" s="651"/>
      <c r="R448" s="651"/>
      <c r="S448" s="651"/>
      <c r="T448" s="651"/>
      <c r="U448" s="651"/>
      <c r="V448" s="652"/>
      <c r="W448" s="37" t="s">
        <v>66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732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116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733</v>
      </c>
      <c r="B451" s="54" t="s">
        <v>734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119</v>
      </c>
      <c r="L451" s="32"/>
      <c r="M451" s="33" t="s">
        <v>65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66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735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736</v>
      </c>
      <c r="B452" s="54" t="s">
        <v>737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128</v>
      </c>
      <c r="L452" s="32"/>
      <c r="M452" s="33" t="s">
        <v>65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66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735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71</v>
      </c>
      <c r="Q453" s="651"/>
      <c r="R453" s="651"/>
      <c r="S453" s="651"/>
      <c r="T453" s="651"/>
      <c r="U453" s="651"/>
      <c r="V453" s="652"/>
      <c r="W453" s="37" t="s">
        <v>72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71</v>
      </c>
      <c r="Q454" s="651"/>
      <c r="R454" s="651"/>
      <c r="S454" s="651"/>
      <c r="T454" s="651"/>
      <c r="U454" s="651"/>
      <c r="V454" s="652"/>
      <c r="W454" s="37" t="s">
        <v>66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61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738</v>
      </c>
      <c r="B456" s="54" t="s">
        <v>739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128</v>
      </c>
      <c r="L456" s="32"/>
      <c r="M456" s="33" t="s">
        <v>65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66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740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71</v>
      </c>
      <c r="Q457" s="651"/>
      <c r="R457" s="651"/>
      <c r="S457" s="651"/>
      <c r="T457" s="651"/>
      <c r="U457" s="651"/>
      <c r="V457" s="652"/>
      <c r="W457" s="37" t="s">
        <v>72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71</v>
      </c>
      <c r="Q458" s="651"/>
      <c r="R458" s="651"/>
      <c r="S458" s="651"/>
      <c r="T458" s="651"/>
      <c r="U458" s="651"/>
      <c r="V458" s="652"/>
      <c r="W458" s="37" t="s">
        <v>66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73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hidden="1" customHeight="1" x14ac:dyDescent="0.25">
      <c r="A460" s="54" t="s">
        <v>741</v>
      </c>
      <c r="B460" s="54" t="s">
        <v>742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119</v>
      </c>
      <c r="L460" s="32"/>
      <c r="M460" s="33" t="s">
        <v>77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66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743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744</v>
      </c>
      <c r="B461" s="54" t="s">
        <v>745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76</v>
      </c>
      <c r="L461" s="32"/>
      <c r="M461" s="33" t="s">
        <v>77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66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743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744</v>
      </c>
      <c r="B462" s="54" t="s">
        <v>746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76</v>
      </c>
      <c r="L462" s="32"/>
      <c r="M462" s="33" t="s">
        <v>77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66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747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71</v>
      </c>
      <c r="Q463" s="651"/>
      <c r="R463" s="651"/>
      <c r="S463" s="651"/>
      <c r="T463" s="651"/>
      <c r="U463" s="651"/>
      <c r="V463" s="652"/>
      <c r="W463" s="37" t="s">
        <v>72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hidden="1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71</v>
      </c>
      <c r="Q464" s="651"/>
      <c r="R464" s="651"/>
      <c r="S464" s="651"/>
      <c r="T464" s="651"/>
      <c r="U464" s="651"/>
      <c r="V464" s="652"/>
      <c r="W464" s="37" t="s">
        <v>66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hidden="1" customHeight="1" x14ac:dyDescent="0.2">
      <c r="A465" s="660" t="s">
        <v>748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749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61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750</v>
      </c>
      <c r="B468" s="54" t="s">
        <v>751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128</v>
      </c>
      <c r="L468" s="32"/>
      <c r="M468" s="33" t="s">
        <v>65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66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753</v>
      </c>
      <c r="B469" s="54" t="s">
        <v>754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128</v>
      </c>
      <c r="L469" s="32"/>
      <c r="M469" s="33" t="s">
        <v>65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66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755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756</v>
      </c>
      <c r="B470" s="54" t="s">
        <v>757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64</v>
      </c>
      <c r="L470" s="32"/>
      <c r="M470" s="33" t="s">
        <v>65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66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752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758</v>
      </c>
      <c r="B471" s="54" t="s">
        <v>759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64</v>
      </c>
      <c r="L471" s="32"/>
      <c r="M471" s="33" t="s">
        <v>65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66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760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761</v>
      </c>
      <c r="B472" s="54" t="s">
        <v>762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66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763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764</v>
      </c>
      <c r="B473" s="54" t="s">
        <v>765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66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760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71</v>
      </c>
      <c r="Q474" s="651"/>
      <c r="R474" s="651"/>
      <c r="S474" s="651"/>
      <c r="T474" s="651"/>
      <c r="U474" s="651"/>
      <c r="V474" s="652"/>
      <c r="W474" s="37" t="s">
        <v>72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71</v>
      </c>
      <c r="Q475" s="651"/>
      <c r="R475" s="651"/>
      <c r="S475" s="651"/>
      <c r="T475" s="651"/>
      <c r="U475" s="651"/>
      <c r="V475" s="652"/>
      <c r="W475" s="37" t="s">
        <v>66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73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766</v>
      </c>
      <c r="B477" s="54" t="s">
        <v>767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128</v>
      </c>
      <c r="L477" s="32"/>
      <c r="M477" s="33" t="s">
        <v>77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66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768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769</v>
      </c>
      <c r="B478" s="54" t="s">
        <v>770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76</v>
      </c>
      <c r="L478" s="32"/>
      <c r="M478" s="33" t="s">
        <v>77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66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771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71</v>
      </c>
      <c r="Q479" s="651"/>
      <c r="R479" s="651"/>
      <c r="S479" s="651"/>
      <c r="T479" s="651"/>
      <c r="U479" s="651"/>
      <c r="V479" s="652"/>
      <c r="W479" s="37" t="s">
        <v>72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71</v>
      </c>
      <c r="Q480" s="651"/>
      <c r="R480" s="651"/>
      <c r="S480" s="651"/>
      <c r="T480" s="651"/>
      <c r="U480" s="651"/>
      <c r="V480" s="652"/>
      <c r="W480" s="37" t="s">
        <v>66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772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152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773</v>
      </c>
      <c r="B483" s="54" t="s">
        <v>774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76</v>
      </c>
      <c r="L483" s="32"/>
      <c r="M483" s="33" t="s">
        <v>65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66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775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71</v>
      </c>
      <c r="Q484" s="651"/>
      <c r="R484" s="651"/>
      <c r="S484" s="651"/>
      <c r="T484" s="651"/>
      <c r="U484" s="651"/>
      <c r="V484" s="652"/>
      <c r="W484" s="37" t="s">
        <v>72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71</v>
      </c>
      <c r="Q485" s="651"/>
      <c r="R485" s="651"/>
      <c r="S485" s="651"/>
      <c r="T485" s="651"/>
      <c r="U485" s="651"/>
      <c r="V485" s="652"/>
      <c r="W485" s="37" t="s">
        <v>66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61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776</v>
      </c>
      <c r="B487" s="54" t="s">
        <v>777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128</v>
      </c>
      <c r="L487" s="32"/>
      <c r="M487" s="33" t="s">
        <v>65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66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778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779</v>
      </c>
      <c r="B488" s="54" t="s">
        <v>780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64</v>
      </c>
      <c r="L488" s="32"/>
      <c r="M488" s="33" t="s">
        <v>65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66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781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64</v>
      </c>
      <c r="L489" s="32"/>
      <c r="M489" s="33" t="s">
        <v>65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66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781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71</v>
      </c>
      <c r="Q490" s="651"/>
      <c r="R490" s="651"/>
      <c r="S490" s="651"/>
      <c r="T490" s="651"/>
      <c r="U490" s="651"/>
      <c r="V490" s="652"/>
      <c r="W490" s="37" t="s">
        <v>72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71</v>
      </c>
      <c r="Q491" s="651"/>
      <c r="R491" s="651"/>
      <c r="S491" s="651"/>
      <c r="T491" s="651"/>
      <c r="U491" s="651"/>
      <c r="V491" s="652"/>
      <c r="W491" s="37" t="s">
        <v>66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784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784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116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785</v>
      </c>
      <c r="B495" s="54" t="s">
        <v>786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119</v>
      </c>
      <c r="L495" s="32"/>
      <c r="M495" s="33" t="s">
        <v>77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66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121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787</v>
      </c>
      <c r="B496" s="54" t="s">
        <v>788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119</v>
      </c>
      <c r="L496" s="32"/>
      <c r="M496" s="33" t="s">
        <v>120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66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789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790</v>
      </c>
      <c r="B497" s="54" t="s">
        <v>791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119</v>
      </c>
      <c r="L497" s="32"/>
      <c r="M497" s="33" t="s">
        <v>120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66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792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793</v>
      </c>
      <c r="B498" s="54" t="s">
        <v>794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119</v>
      </c>
      <c r="L498" s="32"/>
      <c r="M498" s="33" t="s">
        <v>120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66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795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796</v>
      </c>
      <c r="B499" s="54" t="s">
        <v>797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119</v>
      </c>
      <c r="L499" s="32"/>
      <c r="M499" s="33" t="s">
        <v>77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66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798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799</v>
      </c>
      <c r="B500" s="54" t="s">
        <v>800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119</v>
      </c>
      <c r="L500" s="32"/>
      <c r="M500" s="33" t="s">
        <v>120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66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801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802</v>
      </c>
      <c r="B501" s="54" t="s">
        <v>803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76</v>
      </c>
      <c r="L501" s="32"/>
      <c r="M501" s="33" t="s">
        <v>77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66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121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804</v>
      </c>
      <c r="B502" s="54" t="s">
        <v>805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128</v>
      </c>
      <c r="L502" s="32"/>
      <c r="M502" s="33" t="s">
        <v>77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66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121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806</v>
      </c>
      <c r="B503" s="54" t="s">
        <v>807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128</v>
      </c>
      <c r="L503" s="32"/>
      <c r="M503" s="33" t="s">
        <v>120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66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801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hidden="1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71</v>
      </c>
      <c r="Q504" s="651"/>
      <c r="R504" s="651"/>
      <c r="S504" s="651"/>
      <c r="T504" s="651"/>
      <c r="U504" s="651"/>
      <c r="V504" s="652"/>
      <c r="W504" s="37" t="s">
        <v>72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hidden="1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71</v>
      </c>
      <c r="Q505" s="651"/>
      <c r="R505" s="651"/>
      <c r="S505" s="651"/>
      <c r="T505" s="651"/>
      <c r="U505" s="651"/>
      <c r="V505" s="652"/>
      <c r="W505" s="37" t="s">
        <v>66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152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hidden="1" customHeight="1" x14ac:dyDescent="0.25">
      <c r="A507" s="54" t="s">
        <v>808</v>
      </c>
      <c r="B507" s="54" t="s">
        <v>809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119</v>
      </c>
      <c r="L507" s="32"/>
      <c r="M507" s="33" t="s">
        <v>77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66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810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811</v>
      </c>
      <c r="B508" s="54" t="s">
        <v>812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76</v>
      </c>
      <c r="L508" s="32"/>
      <c r="M508" s="33" t="s">
        <v>120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66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810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813</v>
      </c>
      <c r="B509" s="54" t="s">
        <v>814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128</v>
      </c>
      <c r="L509" s="32"/>
      <c r="M509" s="33" t="s">
        <v>120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66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810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71</v>
      </c>
      <c r="Q510" s="651"/>
      <c r="R510" s="651"/>
      <c r="S510" s="651"/>
      <c r="T510" s="651"/>
      <c r="U510" s="651"/>
      <c r="V510" s="652"/>
      <c r="W510" s="37" t="s">
        <v>72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71</v>
      </c>
      <c r="Q511" s="651"/>
      <c r="R511" s="651"/>
      <c r="S511" s="651"/>
      <c r="T511" s="651"/>
      <c r="U511" s="651"/>
      <c r="V511" s="652"/>
      <c r="W511" s="37" t="s">
        <v>66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54" t="s">
        <v>61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815</v>
      </c>
      <c r="B513" s="54" t="s">
        <v>816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119</v>
      </c>
      <c r="L513" s="32"/>
      <c r="M513" s="33" t="s">
        <v>120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66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817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818</v>
      </c>
      <c r="B514" s="54" t="s">
        <v>819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119</v>
      </c>
      <c r="L514" s="32"/>
      <c r="M514" s="33" t="s">
        <v>65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66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820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821</v>
      </c>
      <c r="B515" s="54" t="s">
        <v>822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119</v>
      </c>
      <c r="L515" s="32"/>
      <c r="M515" s="33" t="s">
        <v>65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66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823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824</v>
      </c>
      <c r="B516" s="54" t="s">
        <v>825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128</v>
      </c>
      <c r="L516" s="32"/>
      <c r="M516" s="33" t="s">
        <v>120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66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817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826</v>
      </c>
      <c r="B517" s="54" t="s">
        <v>827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128</v>
      </c>
      <c r="L517" s="32"/>
      <c r="M517" s="33" t="s">
        <v>65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66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820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826</v>
      </c>
      <c r="B518" s="54" t="s">
        <v>828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128</v>
      </c>
      <c r="L518" s="32"/>
      <c r="M518" s="33" t="s">
        <v>65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66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820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829</v>
      </c>
      <c r="B519" s="54" t="s">
        <v>830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128</v>
      </c>
      <c r="L519" s="32"/>
      <c r="M519" s="33" t="s">
        <v>65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66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823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71</v>
      </c>
      <c r="Q520" s="651"/>
      <c r="R520" s="651"/>
      <c r="S520" s="651"/>
      <c r="T520" s="651"/>
      <c r="U520" s="651"/>
      <c r="V520" s="652"/>
      <c r="W520" s="37" t="s">
        <v>72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71</v>
      </c>
      <c r="Q521" s="651"/>
      <c r="R521" s="651"/>
      <c r="S521" s="651"/>
      <c r="T521" s="651"/>
      <c r="U521" s="651"/>
      <c r="V521" s="652"/>
      <c r="W521" s="37" t="s">
        <v>66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60" t="s">
        <v>831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831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116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832</v>
      </c>
      <c r="B525" s="54" t="s">
        <v>833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119</v>
      </c>
      <c r="L525" s="32"/>
      <c r="M525" s="33" t="s">
        <v>120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66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834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71</v>
      </c>
      <c r="Q526" s="651"/>
      <c r="R526" s="651"/>
      <c r="S526" s="651"/>
      <c r="T526" s="651"/>
      <c r="U526" s="651"/>
      <c r="V526" s="652"/>
      <c r="W526" s="37" t="s">
        <v>72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71</v>
      </c>
      <c r="Q527" s="651"/>
      <c r="R527" s="651"/>
      <c r="S527" s="651"/>
      <c r="T527" s="651"/>
      <c r="U527" s="651"/>
      <c r="V527" s="652"/>
      <c r="W527" s="37" t="s">
        <v>66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835</v>
      </c>
      <c r="B529" s="54" t="s">
        <v>836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119</v>
      </c>
      <c r="L529" s="32"/>
      <c r="M529" s="33" t="s">
        <v>120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66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837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71</v>
      </c>
      <c r="Q530" s="651"/>
      <c r="R530" s="651"/>
      <c r="S530" s="651"/>
      <c r="T530" s="651"/>
      <c r="U530" s="651"/>
      <c r="V530" s="652"/>
      <c r="W530" s="37" t="s">
        <v>72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71</v>
      </c>
      <c r="Q531" s="651"/>
      <c r="R531" s="651"/>
      <c r="S531" s="651"/>
      <c r="T531" s="651"/>
      <c r="U531" s="651"/>
      <c r="V531" s="652"/>
      <c r="W531" s="37" t="s">
        <v>66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838</v>
      </c>
      <c r="B533" s="54" t="s">
        <v>839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128</v>
      </c>
      <c r="L533" s="32"/>
      <c r="M533" s="33" t="s">
        <v>65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66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840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71</v>
      </c>
      <c r="Q534" s="651"/>
      <c r="R534" s="651"/>
      <c r="S534" s="651"/>
      <c r="T534" s="651"/>
      <c r="U534" s="651"/>
      <c r="V534" s="652"/>
      <c r="W534" s="37" t="s">
        <v>72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71</v>
      </c>
      <c r="Q535" s="651"/>
      <c r="R535" s="651"/>
      <c r="S535" s="651"/>
      <c r="T535" s="651"/>
      <c r="U535" s="651"/>
      <c r="V535" s="652"/>
      <c r="W535" s="37" t="s">
        <v>66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73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841</v>
      </c>
      <c r="B537" s="54" t="s">
        <v>842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119</v>
      </c>
      <c r="L537" s="32"/>
      <c r="M537" s="33" t="s">
        <v>77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66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843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71</v>
      </c>
      <c r="Q538" s="651"/>
      <c r="R538" s="651"/>
      <c r="S538" s="651"/>
      <c r="T538" s="651"/>
      <c r="U538" s="651"/>
      <c r="V538" s="652"/>
      <c r="W538" s="37" t="s">
        <v>72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71</v>
      </c>
      <c r="Q539" s="651"/>
      <c r="R539" s="651"/>
      <c r="S539" s="651"/>
      <c r="T539" s="651"/>
      <c r="U539" s="651"/>
      <c r="V539" s="652"/>
      <c r="W539" s="37" t="s">
        <v>66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169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844</v>
      </c>
      <c r="B541" s="54" t="s">
        <v>845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119</v>
      </c>
      <c r="L541" s="32"/>
      <c r="M541" s="33" t="s">
        <v>77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66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846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847</v>
      </c>
      <c r="B542" s="54" t="s">
        <v>848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119</v>
      </c>
      <c r="L542" s="32"/>
      <c r="M542" s="33" t="s">
        <v>77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66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849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71</v>
      </c>
      <c r="Q543" s="651"/>
      <c r="R543" s="651"/>
      <c r="S543" s="651"/>
      <c r="T543" s="651"/>
      <c r="U543" s="651"/>
      <c r="V543" s="652"/>
      <c r="W543" s="37" t="s">
        <v>72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71</v>
      </c>
      <c r="Q544" s="651"/>
      <c r="R544" s="651"/>
      <c r="S544" s="651"/>
      <c r="T544" s="651"/>
      <c r="U544" s="651"/>
      <c r="V544" s="652"/>
      <c r="W544" s="37" t="s">
        <v>66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850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152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851</v>
      </c>
      <c r="B547" s="54" t="s">
        <v>852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119</v>
      </c>
      <c r="L547" s="32"/>
      <c r="M547" s="33" t="s">
        <v>120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66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853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71</v>
      </c>
      <c r="Q548" s="651"/>
      <c r="R548" s="651"/>
      <c r="S548" s="651"/>
      <c r="T548" s="651"/>
      <c r="U548" s="651"/>
      <c r="V548" s="652"/>
      <c r="W548" s="37" t="s">
        <v>72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71</v>
      </c>
      <c r="Q549" s="651"/>
      <c r="R549" s="651"/>
      <c r="S549" s="651"/>
      <c r="T549" s="651"/>
      <c r="U549" s="651"/>
      <c r="V549" s="652"/>
      <c r="W549" s="37" t="s">
        <v>66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854</v>
      </c>
      <c r="Q550" s="715"/>
      <c r="R550" s="715"/>
      <c r="S550" s="715"/>
      <c r="T550" s="715"/>
      <c r="U550" s="715"/>
      <c r="V550" s="716"/>
      <c r="W550" s="37" t="s">
        <v>66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4300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4320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855</v>
      </c>
      <c r="Q551" s="715"/>
      <c r="R551" s="715"/>
      <c r="S551" s="715"/>
      <c r="T551" s="715"/>
      <c r="U551" s="715"/>
      <c r="V551" s="716"/>
      <c r="W551" s="37" t="s">
        <v>66</v>
      </c>
      <c r="X551" s="629">
        <f>IFERROR(SUM(BM22:BM547),"0")</f>
        <v>4434.7333333333336</v>
      </c>
      <c r="Y551" s="629">
        <f>IFERROR(SUM(BN22:BN547),"0")</f>
        <v>4455.3600000000006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856</v>
      </c>
      <c r="Q552" s="715"/>
      <c r="R552" s="715"/>
      <c r="S552" s="715"/>
      <c r="T552" s="715"/>
      <c r="U552" s="715"/>
      <c r="V552" s="716"/>
      <c r="W552" s="37" t="s">
        <v>857</v>
      </c>
      <c r="X552" s="38">
        <f>ROUNDUP(SUM(BO22:BO547),0)</f>
        <v>6</v>
      </c>
      <c r="Y552" s="38">
        <f>ROUNDUP(SUM(BP22:BP547),0)</f>
        <v>6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858</v>
      </c>
      <c r="Q553" s="715"/>
      <c r="R553" s="715"/>
      <c r="S553" s="715"/>
      <c r="T553" s="715"/>
      <c r="U553" s="715"/>
      <c r="V553" s="716"/>
      <c r="W553" s="37" t="s">
        <v>66</v>
      </c>
      <c r="X553" s="629">
        <f>GrossWeightTotal+PalletQtyTotal*25</f>
        <v>4584.7333333333336</v>
      </c>
      <c r="Y553" s="629">
        <f>GrossWeightTotalR+PalletQtyTotalR*25</f>
        <v>4605.3600000000006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859</v>
      </c>
      <c r="Q554" s="715"/>
      <c r="R554" s="715"/>
      <c r="S554" s="715"/>
      <c r="T554" s="715"/>
      <c r="U554" s="715"/>
      <c r="V554" s="716"/>
      <c r="W554" s="37" t="s">
        <v>857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286.66666666666669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288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860</v>
      </c>
      <c r="Q555" s="715"/>
      <c r="R555" s="715"/>
      <c r="S555" s="715"/>
      <c r="T555" s="715"/>
      <c r="U555" s="715"/>
      <c r="V555" s="716"/>
      <c r="W555" s="39" t="s">
        <v>861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6.2639999999999993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862</v>
      </c>
      <c r="B557" s="624" t="s">
        <v>60</v>
      </c>
      <c r="C557" s="624" t="s">
        <v>97</v>
      </c>
      <c r="D557" s="637" t="s">
        <v>114</v>
      </c>
      <c r="E557" s="806"/>
      <c r="F557" s="806"/>
      <c r="G557" s="806"/>
      <c r="H557" s="806"/>
      <c r="I557" s="806"/>
      <c r="J557" s="777"/>
      <c r="K557" s="637" t="s">
        <v>346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682</v>
      </c>
      <c r="W557" s="777"/>
      <c r="X557" s="637" t="s">
        <v>748</v>
      </c>
      <c r="Y557" s="777"/>
      <c r="Z557" s="624" t="s">
        <v>784</v>
      </c>
      <c r="AA557" s="637" t="s">
        <v>831</v>
      </c>
      <c r="AB557" s="777"/>
      <c r="AC557" s="52"/>
      <c r="AF557" s="625"/>
    </row>
    <row r="558" spans="1:68" ht="14.25" customHeight="1" thickTop="1" x14ac:dyDescent="0.2">
      <c r="A558" s="772" t="s">
        <v>863</v>
      </c>
      <c r="B558" s="637" t="s">
        <v>60</v>
      </c>
      <c r="C558" s="637" t="s">
        <v>98</v>
      </c>
      <c r="D558" s="637" t="s">
        <v>115</v>
      </c>
      <c r="E558" s="637" t="s">
        <v>131</v>
      </c>
      <c r="F558" s="637" t="s">
        <v>176</v>
      </c>
      <c r="G558" s="637" t="s">
        <v>197</v>
      </c>
      <c r="H558" s="637" t="s">
        <v>236</v>
      </c>
      <c r="I558" s="637" t="s">
        <v>264</v>
      </c>
      <c r="J558" s="637" t="s">
        <v>114</v>
      </c>
      <c r="K558" s="637" t="s">
        <v>347</v>
      </c>
      <c r="L558" s="637" t="s">
        <v>368</v>
      </c>
      <c r="M558" s="637" t="s">
        <v>435</v>
      </c>
      <c r="N558" s="625"/>
      <c r="O558" s="637" t="s">
        <v>503</v>
      </c>
      <c r="P558" s="637" t="s">
        <v>536</v>
      </c>
      <c r="Q558" s="637" t="s">
        <v>552</v>
      </c>
      <c r="R558" s="637" t="s">
        <v>561</v>
      </c>
      <c r="S558" s="637" t="s">
        <v>582</v>
      </c>
      <c r="T558" s="637" t="s">
        <v>591</v>
      </c>
      <c r="U558" s="637" t="s">
        <v>672</v>
      </c>
      <c r="V558" s="637" t="s">
        <v>683</v>
      </c>
      <c r="W558" s="637" t="s">
        <v>732</v>
      </c>
      <c r="X558" s="637" t="s">
        <v>749</v>
      </c>
      <c r="Y558" s="637" t="s">
        <v>772</v>
      </c>
      <c r="Z558" s="637" t="s">
        <v>784</v>
      </c>
      <c r="AA558" s="637" t="s">
        <v>831</v>
      </c>
      <c r="AB558" s="637" t="s">
        <v>850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864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4320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2 900,00"/>
        <filter val="286,67"/>
        <filter val="4 300,00"/>
        <filter val="4 434,73"/>
        <filter val="4 584,73"/>
        <filter val="6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4" spans="2:8" x14ac:dyDescent="0.2">
      <c r="B14" s="47" t="s">
        <v>888</v>
      </c>
      <c r="C14" s="47" t="s">
        <v>868</v>
      </c>
      <c r="D14" s="47"/>
      <c r="E14" s="47"/>
    </row>
    <row r="16" spans="2:8" x14ac:dyDescent="0.2">
      <c r="B16" s="47" t="s">
        <v>889</v>
      </c>
      <c r="C16" s="47" t="s">
        <v>871</v>
      </c>
      <c r="D16" s="47"/>
      <c r="E16" s="47"/>
    </row>
    <row r="18" spans="2:5" x14ac:dyDescent="0.2">
      <c r="B18" s="47" t="s">
        <v>890</v>
      </c>
      <c r="C18" s="47" t="s">
        <v>874</v>
      </c>
      <c r="D18" s="47"/>
      <c r="E18" s="47"/>
    </row>
    <row r="20" spans="2:5" x14ac:dyDescent="0.2">
      <c r="B20" s="47" t="s">
        <v>891</v>
      </c>
      <c r="C20" s="47" t="s">
        <v>877</v>
      </c>
      <c r="D20" s="47"/>
      <c r="E20" s="47"/>
    </row>
    <row r="22" spans="2:5" x14ac:dyDescent="0.2">
      <c r="B22" s="47" t="s">
        <v>892</v>
      </c>
      <c r="C22" s="47" t="s">
        <v>880</v>
      </c>
      <c r="D22" s="47"/>
      <c r="E22" s="47"/>
    </row>
    <row r="24" spans="2:5" x14ac:dyDescent="0.2">
      <c r="B24" s="47" t="s">
        <v>893</v>
      </c>
      <c r="C24" s="47" t="s">
        <v>883</v>
      </c>
      <c r="D24" s="47"/>
      <c r="E24" s="47"/>
    </row>
    <row r="26" spans="2:5" x14ac:dyDescent="0.2">
      <c r="B26" s="47" t="s">
        <v>894</v>
      </c>
      <c r="C26" s="47" t="s">
        <v>886</v>
      </c>
      <c r="D26" s="47"/>
      <c r="E26" s="47"/>
    </row>
    <row r="28" spans="2:5" x14ac:dyDescent="0.2">
      <c r="B28" s="47" t="s">
        <v>895</v>
      </c>
      <c r="C28" s="47"/>
      <c r="D28" s="47"/>
      <c r="E28" s="47"/>
    </row>
    <row r="29" spans="2:5" x14ac:dyDescent="0.2">
      <c r="B29" s="47" t="s">
        <v>896</v>
      </c>
      <c r="C29" s="47"/>
      <c r="D29" s="47"/>
      <c r="E29" s="47"/>
    </row>
    <row r="30" spans="2:5" x14ac:dyDescent="0.2">
      <c r="B30" s="47" t="s">
        <v>897</v>
      </c>
      <c r="C30" s="47"/>
      <c r="D30" s="47"/>
      <c r="E30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