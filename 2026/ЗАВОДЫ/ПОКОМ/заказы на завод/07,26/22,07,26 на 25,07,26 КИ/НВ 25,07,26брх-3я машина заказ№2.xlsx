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057FD9-96D1-4D48-BAD2-55D39211BDC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P528" i="1"/>
  <c r="X526" i="1"/>
  <c r="X525" i="1"/>
  <c r="BO524" i="1"/>
  <c r="BM524" i="1"/>
  <c r="Y524" i="1"/>
  <c r="BP524" i="1" s="1"/>
  <c r="P524" i="1"/>
  <c r="BO523" i="1"/>
  <c r="BM523" i="1"/>
  <c r="Y523" i="1"/>
  <c r="Y525" i="1" s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M508" i="1"/>
  <c r="Y508" i="1"/>
  <c r="BP508" i="1" s="1"/>
  <c r="P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P504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BO488" i="1"/>
  <c r="BM488" i="1"/>
  <c r="Z488" i="1"/>
  <c r="Y488" i="1"/>
  <c r="BN488" i="1" s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Z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Z463" i="1"/>
  <c r="Y463" i="1"/>
  <c r="BN463" i="1" s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BP459" i="1" s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P441" i="1" s="1"/>
  <c r="P441" i="1"/>
  <c r="X438" i="1"/>
  <c r="X437" i="1"/>
  <c r="BO436" i="1"/>
  <c r="BM436" i="1"/>
  <c r="Z436" i="1"/>
  <c r="Y436" i="1"/>
  <c r="BN436" i="1" s="1"/>
  <c r="P436" i="1"/>
  <c r="BO435" i="1"/>
  <c r="BM435" i="1"/>
  <c r="Y435" i="1"/>
  <c r="Y437" i="1" s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X427" i="1"/>
  <c r="X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BP413" i="1" s="1"/>
  <c r="P413" i="1"/>
  <c r="BO412" i="1"/>
  <c r="BM412" i="1"/>
  <c r="Z412" i="1"/>
  <c r="Y412" i="1"/>
  <c r="BN412" i="1" s="1"/>
  <c r="P412" i="1"/>
  <c r="X408" i="1"/>
  <c r="X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BP398" i="1" s="1"/>
  <c r="P398" i="1"/>
  <c r="BO397" i="1"/>
  <c r="BM397" i="1"/>
  <c r="Z397" i="1"/>
  <c r="Y397" i="1"/>
  <c r="Y401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P391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O385" i="1"/>
  <c r="BM385" i="1"/>
  <c r="Z385" i="1"/>
  <c r="Y385" i="1"/>
  <c r="BN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BP353" i="1" s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BN346" i="1" s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Y329" i="1" s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Z317" i="1"/>
  <c r="Y317" i="1"/>
  <c r="BN317" i="1" s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P292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Z277" i="1"/>
  <c r="Y277" i="1"/>
  <c r="BN277" i="1" s="1"/>
  <c r="P277" i="1"/>
  <c r="BO276" i="1"/>
  <c r="BM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O260" i="1"/>
  <c r="BM260" i="1"/>
  <c r="Z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P221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N219" i="1" s="1"/>
  <c r="P219" i="1"/>
  <c r="BO218" i="1"/>
  <c r="BM218" i="1"/>
  <c r="Y218" i="1"/>
  <c r="BP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O213" i="1"/>
  <c r="BM213" i="1"/>
  <c r="Z213" i="1"/>
  <c r="Y213" i="1"/>
  <c r="BN213" i="1" s="1"/>
  <c r="P213" i="1"/>
  <c r="X211" i="1"/>
  <c r="X210" i="1"/>
  <c r="BO209" i="1"/>
  <c r="BM209" i="1"/>
  <c r="Y209" i="1"/>
  <c r="BN209" i="1" s="1"/>
  <c r="P209" i="1"/>
  <c r="X206" i="1"/>
  <c r="X205" i="1"/>
  <c r="BO204" i="1"/>
  <c r="BM204" i="1"/>
  <c r="Y204" i="1"/>
  <c r="BN204" i="1" s="1"/>
  <c r="P204" i="1"/>
  <c r="BO203" i="1"/>
  <c r="BM203" i="1"/>
  <c r="Y203" i="1"/>
  <c r="BP203" i="1" s="1"/>
  <c r="P203" i="1"/>
  <c r="BO202" i="1"/>
  <c r="BM202" i="1"/>
  <c r="Y202" i="1"/>
  <c r="BN202" i="1" s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P198" i="1"/>
  <c r="BO198" i="1"/>
  <c r="BM198" i="1"/>
  <c r="Y198" i="1"/>
  <c r="P198" i="1"/>
  <c r="X194" i="1"/>
  <c r="X193" i="1"/>
  <c r="BO192" i="1"/>
  <c r="BM192" i="1"/>
  <c r="Y192" i="1"/>
  <c r="P192" i="1"/>
  <c r="X190" i="1"/>
  <c r="X189" i="1"/>
  <c r="BO188" i="1"/>
  <c r="BM188" i="1"/>
  <c r="Y188" i="1"/>
  <c r="BN188" i="1" s="1"/>
  <c r="P188" i="1"/>
  <c r="BO187" i="1"/>
  <c r="BM187" i="1"/>
  <c r="Y187" i="1"/>
  <c r="Y190" i="1" s="1"/>
  <c r="P187" i="1"/>
  <c r="X185" i="1"/>
  <c r="X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Y184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Z174" i="1"/>
  <c r="Y174" i="1"/>
  <c r="BN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N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P166" i="1"/>
  <c r="BO166" i="1"/>
  <c r="BM166" i="1"/>
  <c r="Y166" i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P158" i="1"/>
  <c r="BO157" i="1"/>
  <c r="BM157" i="1"/>
  <c r="Y157" i="1"/>
  <c r="BP157" i="1" s="1"/>
  <c r="P157" i="1"/>
  <c r="BO156" i="1"/>
  <c r="BM156" i="1"/>
  <c r="Y156" i="1"/>
  <c r="P156" i="1"/>
  <c r="X153" i="1"/>
  <c r="X152" i="1"/>
  <c r="BO151" i="1"/>
  <c r="BM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Z142" i="1" s="1"/>
  <c r="P142" i="1"/>
  <c r="X140" i="1"/>
  <c r="X139" i="1"/>
  <c r="BO138" i="1"/>
  <c r="BM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P127" i="1"/>
  <c r="X125" i="1"/>
  <c r="X124" i="1"/>
  <c r="BO123" i="1"/>
  <c r="BM123" i="1"/>
  <c r="Z123" i="1"/>
  <c r="Y123" i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O115" i="1"/>
  <c r="BM115" i="1"/>
  <c r="Z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Z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5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X545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138" i="1" l="1"/>
  <c r="Z138" i="1"/>
  <c r="BP168" i="1"/>
  <c r="BN168" i="1"/>
  <c r="Z168" i="1"/>
  <c r="BN172" i="1"/>
  <c r="Z172" i="1"/>
  <c r="BN182" i="1"/>
  <c r="Z182" i="1"/>
  <c r="BP200" i="1"/>
  <c r="BN200" i="1"/>
  <c r="Z200" i="1"/>
  <c r="BP223" i="1"/>
  <c r="BN223" i="1"/>
  <c r="Z223" i="1"/>
  <c r="BP231" i="1"/>
  <c r="BN231" i="1"/>
  <c r="Z231" i="1"/>
  <c r="BP239" i="1"/>
  <c r="BN239" i="1"/>
  <c r="Z239" i="1"/>
  <c r="BP254" i="1"/>
  <c r="BN254" i="1"/>
  <c r="Z254" i="1"/>
  <c r="BN264" i="1"/>
  <c r="BN273" i="1"/>
  <c r="BP294" i="1"/>
  <c r="BN294" i="1"/>
  <c r="Z294" i="1"/>
  <c r="BN310" i="1"/>
  <c r="BN326" i="1"/>
  <c r="Z326" i="1"/>
  <c r="BN363" i="1"/>
  <c r="Z363" i="1"/>
  <c r="BP393" i="1"/>
  <c r="BN393" i="1"/>
  <c r="Z393" i="1"/>
  <c r="BN404" i="1"/>
  <c r="Z404" i="1"/>
  <c r="BN430" i="1"/>
  <c r="BN459" i="1"/>
  <c r="BN492" i="1"/>
  <c r="BN506" i="1"/>
  <c r="BN532" i="1"/>
  <c r="Z22" i="1"/>
  <c r="BN22" i="1"/>
  <c r="Y32" i="1"/>
  <c r="Z44" i="1"/>
  <c r="BN44" i="1"/>
  <c r="Z61" i="1"/>
  <c r="BN61" i="1"/>
  <c r="Z73" i="1"/>
  <c r="BN73" i="1"/>
  <c r="Z90" i="1"/>
  <c r="BN90" i="1"/>
  <c r="Z107" i="1"/>
  <c r="BN107" i="1"/>
  <c r="BP115" i="1"/>
  <c r="BN123" i="1"/>
  <c r="BP123" i="1"/>
  <c r="BP138" i="1"/>
  <c r="BN158" i="1"/>
  <c r="Z158" i="1"/>
  <c r="BN166" i="1"/>
  <c r="Z166" i="1"/>
  <c r="BP182" i="1"/>
  <c r="BN198" i="1"/>
  <c r="Z198" i="1"/>
  <c r="BN221" i="1"/>
  <c r="Z221" i="1"/>
  <c r="BN281" i="1"/>
  <c r="BN292" i="1"/>
  <c r="Z292" i="1"/>
  <c r="BP326" i="1"/>
  <c r="BN335" i="1"/>
  <c r="Z335" i="1"/>
  <c r="BN357" i="1"/>
  <c r="Z357" i="1"/>
  <c r="BP363" i="1"/>
  <c r="BP365" i="1"/>
  <c r="BN365" i="1"/>
  <c r="Z365" i="1"/>
  <c r="BP371" i="1"/>
  <c r="BN371" i="1"/>
  <c r="Z371" i="1"/>
  <c r="BP379" i="1"/>
  <c r="BN379" i="1"/>
  <c r="Z379" i="1"/>
  <c r="Y395" i="1"/>
  <c r="Z391" i="1"/>
  <c r="BP404" i="1"/>
  <c r="BP406" i="1"/>
  <c r="BN406" i="1"/>
  <c r="Z406" i="1"/>
  <c r="BN416" i="1"/>
  <c r="BN504" i="1"/>
  <c r="Z504" i="1"/>
  <c r="BN524" i="1"/>
  <c r="BN132" i="1"/>
  <c r="BP174" i="1"/>
  <c r="BP213" i="1"/>
  <c r="BN250" i="1"/>
  <c r="BP260" i="1"/>
  <c r="BP277" i="1"/>
  <c r="BN296" i="1"/>
  <c r="BP317" i="1"/>
  <c r="BN319" i="1"/>
  <c r="Y349" i="1"/>
  <c r="BN353" i="1"/>
  <c r="BN367" i="1"/>
  <c r="BN373" i="1"/>
  <c r="BP385" i="1"/>
  <c r="BP397" i="1"/>
  <c r="BP412" i="1"/>
  <c r="BN424" i="1"/>
  <c r="BP436" i="1"/>
  <c r="BN441" i="1"/>
  <c r="BP463" i="1"/>
  <c r="BP478" i="1"/>
  <c r="BP488" i="1"/>
  <c r="BN490" i="1"/>
  <c r="BN498" i="1"/>
  <c r="BN508" i="1"/>
  <c r="BP98" i="1"/>
  <c r="BP103" i="1"/>
  <c r="Z103" i="1"/>
  <c r="BP113" i="1"/>
  <c r="Y129" i="1"/>
  <c r="Y128" i="1"/>
  <c r="BN127" i="1"/>
  <c r="BP127" i="1"/>
  <c r="BP151" i="1"/>
  <c r="BP156" i="1"/>
  <c r="Z156" i="1"/>
  <c r="BP188" i="1"/>
  <c r="Y194" i="1"/>
  <c r="BP192" i="1"/>
  <c r="Z192" i="1"/>
  <c r="Z193" i="1" s="1"/>
  <c r="BP219" i="1"/>
  <c r="BN333" i="1"/>
  <c r="BP333" i="1"/>
  <c r="Z333" i="1"/>
  <c r="BN341" i="1"/>
  <c r="BP341" i="1"/>
  <c r="Z341" i="1"/>
  <c r="BN451" i="1"/>
  <c r="BP451" i="1"/>
  <c r="Z451" i="1"/>
  <c r="Z28" i="1"/>
  <c r="BP28" i="1"/>
  <c r="BN42" i="1"/>
  <c r="BN52" i="1"/>
  <c r="BN59" i="1"/>
  <c r="Z63" i="1"/>
  <c r="BP63" i="1"/>
  <c r="Z71" i="1"/>
  <c r="BP71" i="1"/>
  <c r="Z77" i="1"/>
  <c r="BP77" i="1"/>
  <c r="BN88" i="1"/>
  <c r="BN96" i="1"/>
  <c r="Z98" i="1"/>
  <c r="BP105" i="1"/>
  <c r="Z113" i="1"/>
  <c r="Z127" i="1"/>
  <c r="Z128" i="1" s="1"/>
  <c r="Z151" i="1"/>
  <c r="BP158" i="1"/>
  <c r="Y164" i="1"/>
  <c r="BP162" i="1"/>
  <c r="Z162" i="1"/>
  <c r="Z163" i="1" s="1"/>
  <c r="Z188" i="1"/>
  <c r="Y193" i="1"/>
  <c r="BP202" i="1"/>
  <c r="Z202" i="1"/>
  <c r="Z219" i="1"/>
  <c r="BP233" i="1"/>
  <c r="Z233" i="1"/>
  <c r="Y100" i="1"/>
  <c r="BN103" i="1"/>
  <c r="BP121" i="1"/>
  <c r="BN156" i="1"/>
  <c r="BP170" i="1"/>
  <c r="Z170" i="1"/>
  <c r="BN192" i="1"/>
  <c r="BP204" i="1"/>
  <c r="BP209" i="1"/>
  <c r="Z209" i="1"/>
  <c r="Z210" i="1" s="1"/>
  <c r="BN355" i="1"/>
  <c r="BP355" i="1"/>
  <c r="Z355" i="1"/>
  <c r="Y369" i="1"/>
  <c r="BN361" i="1"/>
  <c r="BP361" i="1"/>
  <c r="Z361" i="1"/>
  <c r="Y530" i="1"/>
  <c r="Y529" i="1"/>
  <c r="BN528" i="1"/>
  <c r="BP528" i="1"/>
  <c r="Z528" i="1"/>
  <c r="Z529" i="1" s="1"/>
  <c r="Z42" i="1"/>
  <c r="Z52" i="1"/>
  <c r="Z59" i="1"/>
  <c r="BN77" i="1"/>
  <c r="Z88" i="1"/>
  <c r="Z96" i="1"/>
  <c r="Z121" i="1"/>
  <c r="Y144" i="1"/>
  <c r="BN142" i="1"/>
  <c r="BP142" i="1"/>
  <c r="I551" i="1"/>
  <c r="BP149" i="1"/>
  <c r="Z149" i="1"/>
  <c r="BN162" i="1"/>
  <c r="BP172" i="1"/>
  <c r="Z204" i="1"/>
  <c r="Y210" i="1"/>
  <c r="BP217" i="1"/>
  <c r="Z217" i="1"/>
  <c r="BP225" i="1"/>
  <c r="Z225" i="1"/>
  <c r="BN275" i="1"/>
  <c r="BP275" i="1"/>
  <c r="Z275" i="1"/>
  <c r="BN348" i="1"/>
  <c r="BP348" i="1"/>
  <c r="Z348" i="1"/>
  <c r="BN418" i="1"/>
  <c r="BP418" i="1"/>
  <c r="Z418" i="1"/>
  <c r="BN461" i="1"/>
  <c r="BP461" i="1"/>
  <c r="Z461" i="1"/>
  <c r="BN467" i="1"/>
  <c r="BP467" i="1"/>
  <c r="Z467" i="1"/>
  <c r="BN486" i="1"/>
  <c r="BP486" i="1"/>
  <c r="Z486" i="1"/>
  <c r="M551" i="1"/>
  <c r="S551" i="1"/>
  <c r="Y376" i="1"/>
  <c r="Y235" i="1"/>
  <c r="Y241" i="1"/>
  <c r="Z250" i="1"/>
  <c r="Y256" i="1"/>
  <c r="Z264" i="1"/>
  <c r="Z273" i="1"/>
  <c r="Z281" i="1"/>
  <c r="Y287" i="1"/>
  <c r="Z296" i="1"/>
  <c r="Z346" i="1"/>
  <c r="BP346" i="1"/>
  <c r="Z353" i="1"/>
  <c r="Z367" i="1"/>
  <c r="Z373" i="1"/>
  <c r="BN391" i="1"/>
  <c r="BN397" i="1"/>
  <c r="Z416" i="1"/>
  <c r="Z424" i="1"/>
  <c r="Z441" i="1"/>
  <c r="Z459" i="1"/>
  <c r="Z492" i="1"/>
  <c r="Z508" i="1"/>
  <c r="Z132" i="1"/>
  <c r="Y178" i="1"/>
  <c r="Y227" i="1"/>
  <c r="Y267" i="1"/>
  <c r="Y299" i="1"/>
  <c r="Z310" i="1"/>
  <c r="Z319" i="1"/>
  <c r="Z430" i="1"/>
  <c r="Z490" i="1"/>
  <c r="Z498" i="1"/>
  <c r="Z506" i="1"/>
  <c r="Z524" i="1"/>
  <c r="Z532" i="1"/>
  <c r="F9" i="1"/>
  <c r="J9" i="1"/>
  <c r="F10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Y135" i="1"/>
  <c r="Y139" i="1"/>
  <c r="Y145" i="1"/>
  <c r="Y152" i="1"/>
  <c r="Y159" i="1"/>
  <c r="Y179" i="1"/>
  <c r="Y185" i="1"/>
  <c r="Y189" i="1"/>
  <c r="Y205" i="1"/>
  <c r="Y228" i="1"/>
  <c r="Y236" i="1"/>
  <c r="Y242" i="1"/>
  <c r="Y246" i="1"/>
  <c r="Y251" i="1"/>
  <c r="Y257" i="1"/>
  <c r="BP272" i="1"/>
  <c r="BN272" i="1"/>
  <c r="Z272" i="1"/>
  <c r="BP276" i="1"/>
  <c r="BN276" i="1"/>
  <c r="Z276" i="1"/>
  <c r="BP280" i="1"/>
  <c r="BN280" i="1"/>
  <c r="Z280" i="1"/>
  <c r="BP293" i="1"/>
  <c r="BN293" i="1"/>
  <c r="Z293" i="1"/>
  <c r="BP297" i="1"/>
  <c r="BN297" i="1"/>
  <c r="Z297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BP318" i="1"/>
  <c r="BN318" i="1"/>
  <c r="Z318" i="1"/>
  <c r="BP327" i="1"/>
  <c r="BN327" i="1"/>
  <c r="Z327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BP354" i="1"/>
  <c r="BN354" i="1"/>
  <c r="Z354" i="1"/>
  <c r="Y358" i="1"/>
  <c r="BP362" i="1"/>
  <c r="BN362" i="1"/>
  <c r="Z362" i="1"/>
  <c r="BP366" i="1"/>
  <c r="BN366" i="1"/>
  <c r="Z366" i="1"/>
  <c r="Y375" i="1"/>
  <c r="BP374" i="1"/>
  <c r="BN374" i="1"/>
  <c r="Z374" i="1"/>
  <c r="Y381" i="1"/>
  <c r="BP378" i="1"/>
  <c r="BN378" i="1"/>
  <c r="Z378" i="1"/>
  <c r="H9" i="1"/>
  <c r="B551" i="1"/>
  <c r="X542" i="1"/>
  <c r="X543" i="1"/>
  <c r="Z23" i="1"/>
  <c r="Z24" i="1" s="1"/>
  <c r="BN23" i="1"/>
  <c r="Y24" i="1"/>
  <c r="X541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F551" i="1"/>
  <c r="Z89" i="1"/>
  <c r="BN89" i="1"/>
  <c r="Z91" i="1"/>
  <c r="BN91" i="1"/>
  <c r="Y92" i="1"/>
  <c r="Z95" i="1"/>
  <c r="BN95" i="1"/>
  <c r="BP95" i="1"/>
  <c r="Z97" i="1"/>
  <c r="BN97" i="1"/>
  <c r="G551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51" i="1"/>
  <c r="Z133" i="1"/>
  <c r="BN133" i="1"/>
  <c r="Y134" i="1"/>
  <c r="Z137" i="1"/>
  <c r="Z139" i="1" s="1"/>
  <c r="BN137" i="1"/>
  <c r="BP137" i="1"/>
  <c r="Z143" i="1"/>
  <c r="Z144" i="1" s="1"/>
  <c r="BN143" i="1"/>
  <c r="Z148" i="1"/>
  <c r="BN148" i="1"/>
  <c r="BP148" i="1"/>
  <c r="Z150" i="1"/>
  <c r="BN150" i="1"/>
  <c r="Y153" i="1"/>
  <c r="J551" i="1"/>
  <c r="Z157" i="1"/>
  <c r="Z159" i="1" s="1"/>
  <c r="BN157" i="1"/>
  <c r="Y160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Z187" i="1"/>
  <c r="Z189" i="1" s="1"/>
  <c r="BN187" i="1"/>
  <c r="BP187" i="1"/>
  <c r="K551" i="1"/>
  <c r="Z199" i="1"/>
  <c r="BN199" i="1"/>
  <c r="Z201" i="1"/>
  <c r="BN201" i="1"/>
  <c r="Z203" i="1"/>
  <c r="BN203" i="1"/>
  <c r="Y206" i="1"/>
  <c r="L551" i="1"/>
  <c r="Y211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Z238" i="1"/>
  <c r="BN238" i="1"/>
  <c r="BP238" i="1"/>
  <c r="Z240" i="1"/>
  <c r="BN240" i="1"/>
  <c r="Z244" i="1"/>
  <c r="Z245" i="1" s="1"/>
  <c r="BN244" i="1"/>
  <c r="BP244" i="1"/>
  <c r="Z249" i="1"/>
  <c r="Z251" i="1" s="1"/>
  <c r="BN249" i="1"/>
  <c r="BP249" i="1"/>
  <c r="Y252" i="1"/>
  <c r="Z255" i="1"/>
  <c r="Z256" i="1" s="1"/>
  <c r="BN255" i="1"/>
  <c r="Z259" i="1"/>
  <c r="BN259" i="1"/>
  <c r="BP259" i="1"/>
  <c r="Z261" i="1"/>
  <c r="BN261" i="1"/>
  <c r="Z263" i="1"/>
  <c r="BN263" i="1"/>
  <c r="Z265" i="1"/>
  <c r="BN265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O551" i="1"/>
  <c r="BP295" i="1"/>
  <c r="BN295" i="1"/>
  <c r="Z295" i="1"/>
  <c r="BP311" i="1"/>
  <c r="BN311" i="1"/>
  <c r="Z311" i="1"/>
  <c r="Y313" i="1"/>
  <c r="P551" i="1"/>
  <c r="Y321" i="1"/>
  <c r="BP316" i="1"/>
  <c r="BN316" i="1"/>
  <c r="Z316" i="1"/>
  <c r="Z321" i="1" s="1"/>
  <c r="BP320" i="1"/>
  <c r="BN320" i="1"/>
  <c r="Z320" i="1"/>
  <c r="Y322" i="1"/>
  <c r="Q551" i="1"/>
  <c r="Y328" i="1"/>
  <c r="BP325" i="1"/>
  <c r="BN325" i="1"/>
  <c r="Z325" i="1"/>
  <c r="BP334" i="1"/>
  <c r="BN334" i="1"/>
  <c r="Z334" i="1"/>
  <c r="Y342" i="1"/>
  <c r="BP347" i="1"/>
  <c r="BN347" i="1"/>
  <c r="Z347" i="1"/>
  <c r="Z349" i="1" s="1"/>
  <c r="BP356" i="1"/>
  <c r="BN356" i="1"/>
  <c r="Z356" i="1"/>
  <c r="BP364" i="1"/>
  <c r="BN364" i="1"/>
  <c r="Z364" i="1"/>
  <c r="Z368" i="1" s="1"/>
  <c r="Y368" i="1"/>
  <c r="BP372" i="1"/>
  <c r="BN372" i="1"/>
  <c r="Z372" i="1"/>
  <c r="Z375" i="1" s="1"/>
  <c r="BP380" i="1"/>
  <c r="BN380" i="1"/>
  <c r="Z380" i="1"/>
  <c r="Y382" i="1"/>
  <c r="Y389" i="1"/>
  <c r="BP384" i="1"/>
  <c r="BN384" i="1"/>
  <c r="Z384" i="1"/>
  <c r="Y388" i="1"/>
  <c r="Y394" i="1"/>
  <c r="Y400" i="1"/>
  <c r="Y407" i="1"/>
  <c r="BP415" i="1"/>
  <c r="BN415" i="1"/>
  <c r="BP417" i="1"/>
  <c r="BN417" i="1"/>
  <c r="Z417" i="1"/>
  <c r="BP425" i="1"/>
  <c r="BN425" i="1"/>
  <c r="Z425" i="1"/>
  <c r="Y427" i="1"/>
  <c r="Y432" i="1"/>
  <c r="BP429" i="1"/>
  <c r="BN429" i="1"/>
  <c r="Z429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W551" i="1"/>
  <c r="Y350" i="1"/>
  <c r="T551" i="1"/>
  <c r="Y359" i="1"/>
  <c r="Z386" i="1"/>
  <c r="BN386" i="1"/>
  <c r="Z392" i="1"/>
  <c r="Z394" i="1" s="1"/>
  <c r="BN392" i="1"/>
  <c r="Z398" i="1"/>
  <c r="Z400" i="1" s="1"/>
  <c r="BN398" i="1"/>
  <c r="U551" i="1"/>
  <c r="Z405" i="1"/>
  <c r="BN405" i="1"/>
  <c r="Y408" i="1"/>
  <c r="V551" i="1"/>
  <c r="Y420" i="1"/>
  <c r="Z413" i="1"/>
  <c r="BN413" i="1"/>
  <c r="Z415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3" i="1"/>
  <c r="Y438" i="1"/>
  <c r="BP435" i="1"/>
  <c r="BN435" i="1"/>
  <c r="Z435" i="1"/>
  <c r="Z437" i="1" s="1"/>
  <c r="Y443" i="1"/>
  <c r="BP452" i="1"/>
  <c r="BN452" i="1"/>
  <c r="Z452" i="1"/>
  <c r="Y454" i="1"/>
  <c r="X551" i="1"/>
  <c r="Y465" i="1"/>
  <c r="BP458" i="1"/>
  <c r="BN458" i="1"/>
  <c r="Z458" i="1"/>
  <c r="Z464" i="1" s="1"/>
  <c r="BP462" i="1"/>
  <c r="BN462" i="1"/>
  <c r="Z462" i="1"/>
  <c r="Y469" i="1"/>
  <c r="AA551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420" i="1" l="1"/>
  <c r="Z407" i="1"/>
  <c r="Z328" i="1"/>
  <c r="Z134" i="1"/>
  <c r="Z227" i="1"/>
  <c r="Z109" i="1"/>
  <c r="Z358" i="1"/>
  <c r="Z205" i="1"/>
  <c r="Z178" i="1"/>
  <c r="Y543" i="1"/>
  <c r="Z92" i="1"/>
  <c r="Z67" i="1"/>
  <c r="Y542" i="1"/>
  <c r="Y544" i="1"/>
  <c r="Z480" i="1"/>
  <c r="Z453" i="1"/>
  <c r="Z388" i="1"/>
  <c r="Z298" i="1"/>
  <c r="Z235" i="1"/>
  <c r="Z184" i="1"/>
  <c r="Z152" i="1"/>
  <c r="Z124" i="1"/>
  <c r="Z99" i="1"/>
  <c r="Z74" i="1"/>
  <c r="Z55" i="1"/>
  <c r="Z46" i="1"/>
  <c r="Z32" i="1"/>
  <c r="Y545" i="1"/>
  <c r="X544" i="1"/>
  <c r="Z381" i="1"/>
  <c r="Z337" i="1"/>
  <c r="Y541" i="1"/>
  <c r="Z494" i="1"/>
  <c r="Z510" i="1"/>
  <c r="Z432" i="1"/>
  <c r="Z282" i="1"/>
  <c r="Z267" i="1"/>
  <c r="Z241" i="1"/>
  <c r="Z312" i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<sst xmlns="http://schemas.openxmlformats.org/spreadsheetml/2006/main" count="2450" uniqueCount="890">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</sst>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46228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850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Суббота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0.45833333333333331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16</v>
      </c>
      <c r="Y51" s="616">
        <f>IFERROR(IF(X51="",0,CEILING((X51/$H51),1)*$H51),"")</f>
        <v>21.6</v>
      </c>
      <c r="Z51" s="36">
        <f>IFERROR(IF(Y51=0,"",ROUNDUP(Y51/H51,0)*0.01898),"")</f>
        <v>3.7960000000000001E-2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16.607407407407408</v>
      </c>
      <c r="BN51" s="64">
        <f>IFERROR(Y51*I51/H51,"0")</f>
        <v>22.42</v>
      </c>
      <c r="BO51" s="64">
        <f>IFERROR(1/J51*(X51/H51),"0")</f>
        <v>2.3148148148148147E-2</v>
      </c>
      <c r="BP51" s="64">
        <f>IFERROR(1/J51*(Y51/H51),"0")</f>
        <v>3.125E-2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1.4814814814814814</v>
      </c>
      <c r="Y55" s="617">
        <f>IFERROR(Y51/H51,"0")+IFERROR(Y52/H52,"0")+IFERROR(Y53/H53,"0")+IFERROR(Y54/H54,"0")</f>
        <v>2</v>
      </c>
      <c r="Z55" s="617">
        <f>IFERROR(IF(Z51="",0,Z51),"0")+IFERROR(IF(Z52="",0,Z52),"0")+IFERROR(IF(Z53="",0,Z53),"0")+IFERROR(IF(Z54="",0,Z54),"0")</f>
        <v>3.7960000000000001E-2</v>
      </c>
      <c r="AA55" s="618"/>
      <c r="AB55" s="618"/>
      <c r="AC55" s="618"/>
    </row>
    <row r="56" spans="1:68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16</v>
      </c>
      <c r="Y56" s="617">
        <f>IFERROR(SUM(Y51:Y54),"0")</f>
        <v>21.6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4</v>
      </c>
      <c r="Y59" s="61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4.1464285714285714</v>
      </c>
      <c r="BN59" s="64">
        <f t="shared" ref="BN59:BN66" si="2">IFERROR(Y59*I59/H59,"0")</f>
        <v>11.61</v>
      </c>
      <c r="BO59" s="64">
        <f t="shared" ref="BO59:BO66" si="3">IFERROR(1/J59*(X59/H59),"0")</f>
        <v>5.580357142857143E-3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0.35714285714285715</v>
      </c>
      <c r="Y67" s="617">
        <f>IFERROR(Y59/H59,"0")+IFERROR(Y60/H60,"0")+IFERROR(Y61/H61,"0")+IFERROR(Y62/H62,"0")+IFERROR(Y63/H63,"0")+IFERROR(Y64/H64,"0")+IFERROR(Y65/H65,"0")+IFERROR(Y66/H66,"0")</f>
        <v>1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1.898E-2</v>
      </c>
      <c r="AA67" s="618"/>
      <c r="AB67" s="618"/>
      <c r="AC67" s="618"/>
    </row>
    <row r="68" spans="1:68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4</v>
      </c>
      <c r="Y68" s="617">
        <f>IFERROR(SUM(Y59:Y66),"0")</f>
        <v>11.2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137</v>
      </c>
      <c r="Y82" s="616">
        <f>IFERROR(IF(X82="",0,CEILING((X82/$H82),1)*$H82),"")</f>
        <v>140.4</v>
      </c>
      <c r="Z82" s="36">
        <f>IFERROR(IF(Y82=0,"",ROUNDUP(Y82/H82,0)*0.01898),"")</f>
        <v>0.34164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144.20128205128208</v>
      </c>
      <c r="BN82" s="64">
        <f>IFERROR(Y82*I82/H82,"0")</f>
        <v>147.78000000000003</v>
      </c>
      <c r="BO82" s="64">
        <f>IFERROR(1/J82*(X82/H82),"0")</f>
        <v>0.27443910256410259</v>
      </c>
      <c r="BP82" s="64">
        <f>IFERROR(1/J82*(Y82/H82),"0")</f>
        <v>0.28125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17.564102564102566</v>
      </c>
      <c r="Y84" s="617">
        <f>IFERROR(Y82/H82,"0")+IFERROR(Y83/H83,"0")</f>
        <v>18</v>
      </c>
      <c r="Z84" s="617">
        <f>IFERROR(IF(Z82="",0,Z82),"0")+IFERROR(IF(Z83="",0,Z83),"0")</f>
        <v>0.34164</v>
      </c>
      <c r="AA84" s="618"/>
      <c r="AB84" s="618"/>
      <c r="AC84" s="618"/>
    </row>
    <row r="85" spans="1:68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137</v>
      </c>
      <c r="Y85" s="617">
        <f>IFERROR(SUM(Y82:Y83),"0")</f>
        <v>140.4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260</v>
      </c>
      <c r="Y97" s="616">
        <f>IFERROR(IF(X97="",0,CEILING((X97/$H97),1)*$H97),"")</f>
        <v>261.90000000000003</v>
      </c>
      <c r="Z97" s="36">
        <f>IFERROR(IF(Y97=0,"",ROUNDUP(Y97/H97,0)*0.00651),"")</f>
        <v>0.63146999999999998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284.26666666666665</v>
      </c>
      <c r="BN97" s="64">
        <f>IFERROR(Y97*I97/H97,"0")</f>
        <v>286.34399999999999</v>
      </c>
      <c r="BO97" s="64">
        <f>IFERROR(1/J97*(X97/H97),"0")</f>
        <v>0.52910052910052907</v>
      </c>
      <c r="BP97" s="64">
        <f>IFERROR(1/J97*(Y97/H97),"0")</f>
        <v>0.53296703296703296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96.296296296296291</v>
      </c>
      <c r="Y99" s="617">
        <f>IFERROR(Y95/H95,"0")+IFERROR(Y96/H96,"0")+IFERROR(Y97/H97,"0")+IFERROR(Y98/H98,"0")</f>
        <v>97</v>
      </c>
      <c r="Z99" s="617">
        <f>IFERROR(IF(Z95="",0,Z95),"0")+IFERROR(IF(Z96="",0,Z96),"0")+IFERROR(IF(Z97="",0,Z97),"0")+IFERROR(IF(Z98="",0,Z98),"0")</f>
        <v>0.63146999999999998</v>
      </c>
      <c r="AA99" s="618"/>
      <c r="AB99" s="618"/>
      <c r="AC99" s="618"/>
    </row>
    <row r="100" spans="1:68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260</v>
      </c>
      <c r="Y100" s="617">
        <f>IFERROR(SUM(Y95:Y98),"0")</f>
        <v>261.90000000000003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115</v>
      </c>
      <c r="Y103" s="616">
        <f t="shared" ref="Y103:Y108" si="5">IFERROR(IF(X103="",0,CEILING((X103/$H103),1)*$H103),"")</f>
        <v>118.80000000000001</v>
      </c>
      <c r="Z103" s="36">
        <f>IFERROR(IF(Y103=0,"",ROUNDUP(Y103/H103,0)*0.01898),"")</f>
        <v>0.20877999999999999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119.36574074074075</v>
      </c>
      <c r="BN103" s="64">
        <f t="shared" ref="BN103:BN108" si="7">IFERROR(Y103*I103/H103,"0")</f>
        <v>123.31000000000002</v>
      </c>
      <c r="BO103" s="64">
        <f t="shared" ref="BO103:BO108" si="8">IFERROR(1/J103*(X103/H103),"0")</f>
        <v>0.1663773148148148</v>
      </c>
      <c r="BP103" s="64">
        <f t="shared" ref="BP103:BP108" si="9">IFERROR(1/J103*(Y103/H103),"0")</f>
        <v>0.171875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2</v>
      </c>
      <c r="Y104" s="616">
        <f t="shared" si="5"/>
        <v>2.2000000000000002</v>
      </c>
      <c r="Z104" s="36">
        <f>IFERROR(IF(Y104=0,"",ROUNDUP(Y104/H104,0)*0.00726),"")</f>
        <v>1.452E-2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2.3818181818181818</v>
      </c>
      <c r="BN104" s="64">
        <f t="shared" si="7"/>
        <v>2.62</v>
      </c>
      <c r="BO104" s="64">
        <f t="shared" si="8"/>
        <v>9.4696969696969682E-3</v>
      </c>
      <c r="BP104" s="64">
        <f t="shared" si="9"/>
        <v>1.0416666666666666E-2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151</v>
      </c>
      <c r="Y107" s="616">
        <f t="shared" si="5"/>
        <v>153</v>
      </c>
      <c r="Z107" s="36">
        <f>IFERROR(IF(Y107=0,"",ROUNDUP(Y107/H107,0)*0.00902),"")</f>
        <v>0.30668000000000001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157.37555555555556</v>
      </c>
      <c r="BN107" s="64">
        <f t="shared" si="7"/>
        <v>159.46</v>
      </c>
      <c r="BO107" s="64">
        <f t="shared" si="8"/>
        <v>0.25420875420875422</v>
      </c>
      <c r="BP107" s="64">
        <f t="shared" si="9"/>
        <v>0.25757575757575757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46.021885521885523</v>
      </c>
      <c r="Y109" s="617">
        <f>IFERROR(Y103/H103,"0")+IFERROR(Y104/H104,"0")+IFERROR(Y105/H105,"0")+IFERROR(Y106/H106,"0")+IFERROR(Y107/H107,"0")+IFERROR(Y108/H108,"0")</f>
        <v>47</v>
      </c>
      <c r="Z109" s="617">
        <f>IFERROR(IF(Z103="",0,Z103),"0")+IFERROR(IF(Z104="",0,Z104),"0")+IFERROR(IF(Z105="",0,Z105),"0")+IFERROR(IF(Z106="",0,Z106),"0")+IFERROR(IF(Z107="",0,Z107),"0")+IFERROR(IF(Z108="",0,Z108),"0")</f>
        <v>0.52998000000000001</v>
      </c>
      <c r="AA109" s="618"/>
      <c r="AB109" s="618"/>
      <c r="AC109" s="618"/>
    </row>
    <row r="110" spans="1:68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268</v>
      </c>
      <c r="Y110" s="617">
        <f>IFERROR(SUM(Y103:Y108),"0")</f>
        <v>274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31</v>
      </c>
      <c r="Y116" s="616">
        <f>IFERROR(IF(X116="",0,CEILING((X116/$H116),1)*$H116),"")</f>
        <v>31.2</v>
      </c>
      <c r="Z116" s="36">
        <f>IFERROR(IF(Y116=0,"",ROUNDUP(Y116/H116,0)*0.00651),"")</f>
        <v>8.4629999999999997E-2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33.325000000000003</v>
      </c>
      <c r="BN116" s="64">
        <f>IFERROR(Y116*I116/H116,"0")</f>
        <v>33.54</v>
      </c>
      <c r="BO116" s="64">
        <f>IFERROR(1/J116*(X116/H116),"0")</f>
        <v>7.0970695970695982E-2</v>
      </c>
      <c r="BP116" s="64">
        <f>IFERROR(1/J116*(Y116/H116),"0")</f>
        <v>7.1428571428571438E-2</v>
      </c>
    </row>
    <row r="117" spans="1:68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12.916666666666668</v>
      </c>
      <c r="Y117" s="617">
        <f>IFERROR(Y112/H112,"0")+IFERROR(Y113/H113,"0")+IFERROR(Y114/H114,"0")+IFERROR(Y115/H115,"0")+IFERROR(Y116/H116,"0")</f>
        <v>13</v>
      </c>
      <c r="Z117" s="617">
        <f>IFERROR(IF(Z112="",0,Z112),"0")+IFERROR(IF(Z113="",0,Z113),"0")+IFERROR(IF(Z114="",0,Z114),"0")+IFERROR(IF(Z115="",0,Z115),"0")+IFERROR(IF(Z116="",0,Z116),"0")</f>
        <v>8.4629999999999997E-2</v>
      </c>
      <c r="AA117" s="618"/>
      <c r="AB117" s="618"/>
      <c r="AC117" s="618"/>
    </row>
    <row r="118" spans="1:68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31</v>
      </c>
      <c r="Y118" s="617">
        <f>IFERROR(SUM(Y112:Y116),"0")</f>
        <v>31.2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108</v>
      </c>
      <c r="Y120" s="616">
        <f>IFERROR(IF(X120="",0,CEILING((X120/$H120),1)*$H120),"")</f>
        <v>113.39999999999999</v>
      </c>
      <c r="Z120" s="36">
        <f>IFERROR(IF(Y120=0,"",ROUNDUP(Y120/H120,0)*0.01898),"")</f>
        <v>0.26572000000000001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114.50666666666666</v>
      </c>
      <c r="BN120" s="64">
        <f>IFERROR(Y120*I120/H120,"0")</f>
        <v>120.23199999999999</v>
      </c>
      <c r="BO120" s="64">
        <f>IFERROR(1/J120*(X120/H120),"0")</f>
        <v>0.20833333333333334</v>
      </c>
      <c r="BP120" s="64">
        <f>IFERROR(1/J120*(Y120/H120),"0")</f>
        <v>0.21875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85</v>
      </c>
      <c r="Y122" s="616">
        <f>IFERROR(IF(X122="",0,CEILING((X122/$H122),1)*$H122),"")</f>
        <v>86.4</v>
      </c>
      <c r="Z122" s="36">
        <f>IFERROR(IF(Y122=0,"",ROUNDUP(Y122/H122,0)*0.00651),"")</f>
        <v>0.20832000000000001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92.933333333333323</v>
      </c>
      <c r="BN122" s="64">
        <f>IFERROR(Y122*I122/H122,"0")</f>
        <v>94.463999999999999</v>
      </c>
      <c r="BO122" s="64">
        <f>IFERROR(1/J122*(X122/H122),"0")</f>
        <v>0.17297517297517298</v>
      </c>
      <c r="BP122" s="64">
        <f>IFERROR(1/J122*(Y122/H122),"0")</f>
        <v>0.17582417582417584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44.814814814814817</v>
      </c>
      <c r="Y124" s="617">
        <f>IFERROR(Y120/H120,"0")+IFERROR(Y121/H121,"0")+IFERROR(Y122/H122,"0")+IFERROR(Y123/H123,"0")</f>
        <v>46</v>
      </c>
      <c r="Z124" s="617">
        <f>IFERROR(IF(Z120="",0,Z120),"0")+IFERROR(IF(Z121="",0,Z121),"0")+IFERROR(IF(Z122="",0,Z122),"0")+IFERROR(IF(Z123="",0,Z123),"0")</f>
        <v>0.47404000000000002</v>
      </c>
      <c r="AA124" s="618"/>
      <c r="AB124" s="618"/>
      <c r="AC124" s="618"/>
    </row>
    <row r="125" spans="1:68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193</v>
      </c>
      <c r="Y125" s="617">
        <f>IFERROR(SUM(Y120:Y123),"0")</f>
        <v>199.8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2</v>
      </c>
      <c r="Y132" s="616">
        <f>IFERROR(IF(X132="",0,CEILING((X132/$H132),1)*$H132),"")</f>
        <v>3.2</v>
      </c>
      <c r="Z132" s="36">
        <f>IFERROR(IF(Y132=0,"",ROUNDUP(Y132/H132,0)*0.00651),"")</f>
        <v>6.5100000000000002E-3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2.1124999999999998</v>
      </c>
      <c r="BN132" s="64">
        <f>IFERROR(Y132*I132/H132,"0")</f>
        <v>3.38</v>
      </c>
      <c r="BO132" s="64">
        <f>IFERROR(1/J132*(X132/H132),"0")</f>
        <v>3.4340659340659344E-3</v>
      </c>
      <c r="BP132" s="64">
        <f>IFERROR(1/J132*(Y132/H132),"0")</f>
        <v>5.4945054945054949E-3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0.625</v>
      </c>
      <c r="Y134" s="617">
        <f>IFERROR(Y132/H132,"0")+IFERROR(Y133/H133,"0")</f>
        <v>1</v>
      </c>
      <c r="Z134" s="617">
        <f>IFERROR(IF(Z132="",0,Z132),"0")+IFERROR(IF(Z133="",0,Z133),"0")</f>
        <v>6.5100000000000002E-3</v>
      </c>
      <c r="AA134" s="618"/>
      <c r="AB134" s="618"/>
      <c r="AC134" s="618"/>
    </row>
    <row r="135" spans="1:68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2</v>
      </c>
      <c r="Y135" s="617">
        <f>IFERROR(SUM(Y132:Y133),"0")</f>
        <v>3.2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14</v>
      </c>
      <c r="Y137" s="616">
        <f>IFERROR(IF(X137="",0,CEILING((X137/$H137),1)*$H137),"")</f>
        <v>14</v>
      </c>
      <c r="Z137" s="36">
        <f>IFERROR(IF(Y137=0,"",ROUNDUP(Y137/H137,0)*0.00651),"")</f>
        <v>3.2550000000000003E-2</v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15.34</v>
      </c>
      <c r="BN137" s="64">
        <f>IFERROR(Y137*I137/H137,"0")</f>
        <v>15.34</v>
      </c>
      <c r="BO137" s="64">
        <f>IFERROR(1/J137*(X137/H137),"0")</f>
        <v>2.7472527472527476E-2</v>
      </c>
      <c r="BP137" s="64">
        <f>IFERROR(1/J137*(Y137/H137),"0")</f>
        <v>2.7472527472527476E-2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5</v>
      </c>
      <c r="Y139" s="617">
        <f>IFERROR(Y137/H137,"0")+IFERROR(Y138/H138,"0")</f>
        <v>5</v>
      </c>
      <c r="Z139" s="617">
        <f>IFERROR(IF(Z137="",0,Z137),"0")+IFERROR(IF(Z138="",0,Z138),"0")</f>
        <v>3.2550000000000003E-2</v>
      </c>
      <c r="AA139" s="618"/>
      <c r="AB139" s="618"/>
      <c r="AC139" s="618"/>
    </row>
    <row r="140" spans="1:68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14</v>
      </c>
      <c r="Y140" s="617">
        <f>IFERROR(SUM(Y137:Y138),"0")</f>
        <v>14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27</v>
      </c>
      <c r="Y142" s="616">
        <f>IFERROR(IF(X142="",0,CEILING((X142/$H142),1)*$H142),"")</f>
        <v>29.040000000000003</v>
      </c>
      <c r="Z142" s="36">
        <f>IFERROR(IF(Y142=0,"",ROUNDUP(Y142/H142,0)*0.00651),"")</f>
        <v>7.1610000000000007E-2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29.740909090909085</v>
      </c>
      <c r="BN142" s="64">
        <f>IFERROR(Y142*I142/H142,"0")</f>
        <v>31.988000000000003</v>
      </c>
      <c r="BO142" s="64">
        <f>IFERROR(1/J142*(X142/H142),"0")</f>
        <v>5.6193806193806192E-2</v>
      </c>
      <c r="BP142" s="64">
        <f>IFERROR(1/J142*(Y142/H142),"0")</f>
        <v>6.0439560439560447E-2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10.227272727272727</v>
      </c>
      <c r="Y144" s="617">
        <f>IFERROR(Y142/H142,"0")+IFERROR(Y143/H143,"0")</f>
        <v>11</v>
      </c>
      <c r="Z144" s="617">
        <f>IFERROR(IF(Z142="",0,Z142),"0")+IFERROR(IF(Z143="",0,Z143),"0")</f>
        <v>7.1610000000000007E-2</v>
      </c>
      <c r="AA144" s="618"/>
      <c r="AB144" s="618"/>
      <c r="AC144" s="618"/>
    </row>
    <row r="145" spans="1:68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27</v>
      </c>
      <c r="Y145" s="617">
        <f>IFERROR(SUM(Y142:Y143),"0")</f>
        <v>29.040000000000003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hidden="1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11</v>
      </c>
      <c r="Y169" s="616">
        <f t="shared" si="10"/>
        <v>14</v>
      </c>
      <c r="Z169" s="36">
        <f>IFERROR(IF(Y169=0,"",ROUNDUP(Y169/H169,0)*0.00902),"")</f>
        <v>3.6080000000000001E-2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11.597142857142856</v>
      </c>
      <c r="BN169" s="64">
        <f t="shared" si="12"/>
        <v>14.76</v>
      </c>
      <c r="BO169" s="64">
        <f t="shared" si="13"/>
        <v>2.3809523809523808E-2</v>
      </c>
      <c r="BP169" s="64">
        <f t="shared" si="14"/>
        <v>3.0303030303030304E-2</v>
      </c>
    </row>
    <row r="170" spans="1:68" ht="27" hidden="1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37</v>
      </c>
      <c r="Y172" s="616">
        <f t="shared" si="10"/>
        <v>38.64</v>
      </c>
      <c r="Z172" s="36">
        <f>IFERROR(IF(Y172=0,"",ROUNDUP(Y172/H172,0)*0.00502),"")</f>
        <v>0.11546000000000001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39.202380952380956</v>
      </c>
      <c r="BN172" s="64">
        <f t="shared" si="12"/>
        <v>40.940000000000005</v>
      </c>
      <c r="BO172" s="64">
        <f t="shared" si="13"/>
        <v>9.4118844118844136E-2</v>
      </c>
      <c r="BP172" s="64">
        <f t="shared" si="14"/>
        <v>9.8290598290598302E-2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31</v>
      </c>
      <c r="Y177" s="616">
        <f t="shared" si="10"/>
        <v>31.919999999999998</v>
      </c>
      <c r="Z177" s="36">
        <f>IFERROR(IF(Y177=0,"",ROUNDUP(Y177/H177,0)*0.00502),"")</f>
        <v>9.5380000000000006E-2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32.845238095238095</v>
      </c>
      <c r="BN177" s="64">
        <f t="shared" si="12"/>
        <v>33.82</v>
      </c>
      <c r="BO177" s="64">
        <f t="shared" si="13"/>
        <v>7.8856328856328858E-2</v>
      </c>
      <c r="BP177" s="64">
        <f t="shared" si="14"/>
        <v>8.11965811965812E-2</v>
      </c>
    </row>
    <row r="178" spans="1:68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43.61904761904762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46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0.24692000000000003</v>
      </c>
      <c r="AA178" s="618"/>
      <c r="AB178" s="618"/>
      <c r="AC178" s="618"/>
    </row>
    <row r="179" spans="1:68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79</v>
      </c>
      <c r="Y179" s="617">
        <f>IFERROR(SUM(Y166:Y177),"0")</f>
        <v>84.56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hidden="1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57</v>
      </c>
      <c r="Y215" s="616">
        <f t="shared" si="21"/>
        <v>58.800000000000004</v>
      </c>
      <c r="Z215" s="36">
        <f>IFERROR(IF(Y215=0,"",ROUNDUP(Y215/H215,0)*0.00902),"")</f>
        <v>0.12628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59.578571428571422</v>
      </c>
      <c r="BN215" s="64">
        <f t="shared" si="23"/>
        <v>61.46</v>
      </c>
      <c r="BO215" s="64">
        <f t="shared" si="24"/>
        <v>0.10281385281385282</v>
      </c>
      <c r="BP215" s="64">
        <f t="shared" si="25"/>
        <v>0.10606060606060606</v>
      </c>
    </row>
    <row r="216" spans="1:68" ht="37.5" hidden="1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36</v>
      </c>
      <c r="Y224" s="616">
        <f t="shared" si="21"/>
        <v>37.800000000000004</v>
      </c>
      <c r="Z224" s="36">
        <f>IFERROR(IF(Y224=0,"",ROUNDUP(Y224/H224,0)*0.00502),"")</f>
        <v>9.0359999999999996E-2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37.714285714285715</v>
      </c>
      <c r="BN224" s="64">
        <f t="shared" si="23"/>
        <v>39.6</v>
      </c>
      <c r="BO224" s="64">
        <f t="shared" si="24"/>
        <v>7.3260073260073263E-2</v>
      </c>
      <c r="BP224" s="64">
        <f t="shared" si="25"/>
        <v>7.6923076923076927E-2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30.714285714285715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32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0.21664</v>
      </c>
      <c r="AA227" s="618"/>
      <c r="AB227" s="618"/>
      <c r="AC227" s="618"/>
    </row>
    <row r="228" spans="1:68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93</v>
      </c>
      <c r="Y228" s="617">
        <f>IFERROR(SUM(Y213:Y226),"0")</f>
        <v>96.600000000000009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5</v>
      </c>
      <c r="Y240" s="61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3.9682539682539684</v>
      </c>
      <c r="Y241" s="617">
        <f>IFERROR(Y238/H238,"0")+IFERROR(Y239/H239,"0")+IFERROR(Y240/H240,"0")</f>
        <v>4</v>
      </c>
      <c r="Z241" s="617">
        <f>IFERROR(IF(Z238="",0,Z238),"0")+IFERROR(IF(Z239="",0,Z239),"0")+IFERROR(IF(Z240="",0,Z240),"0")</f>
        <v>2.3599999999999999E-2</v>
      </c>
      <c r="AA241" s="618"/>
      <c r="AB241" s="618"/>
      <c r="AC241" s="618"/>
    </row>
    <row r="242" spans="1:68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5</v>
      </c>
      <c r="Y242" s="617">
        <f>IFERROR(SUM(Y238:Y240),"0")</f>
        <v>5.04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2</v>
      </c>
      <c r="Y244" s="616">
        <f>IFERROR(IF(X244="",0,CEILING((X244/$H244),1)*$H244),"")</f>
        <v>2.52</v>
      </c>
      <c r="Z244" s="36">
        <f>IFERROR(IF(Y244=0,"",ROUNDUP(Y244/H244,0)*0.0059),"")</f>
        <v>1.18E-2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2.3015873015873014</v>
      </c>
      <c r="BN244" s="64">
        <f>IFERROR(Y244*I244/H244,"0")</f>
        <v>2.9</v>
      </c>
      <c r="BO244" s="64">
        <f>IFERROR(1/J244*(X244/H244),"0")</f>
        <v>7.3486184597295699E-3</v>
      </c>
      <c r="BP244" s="64">
        <f>IFERROR(1/J244*(Y244/H244),"0")</f>
        <v>9.2592592592592587E-3</v>
      </c>
    </row>
    <row r="245" spans="1:68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1.5873015873015872</v>
      </c>
      <c r="Y245" s="617">
        <f>IFERROR(Y244/H244,"0")</f>
        <v>2</v>
      </c>
      <c r="Z245" s="617">
        <f>IFERROR(IF(Z244="",0,Z244),"0")</f>
        <v>1.18E-2</v>
      </c>
      <c r="AA245" s="618"/>
      <c r="AB245" s="618"/>
      <c r="AC245" s="618"/>
    </row>
    <row r="246" spans="1:68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2</v>
      </c>
      <c r="Y246" s="617">
        <f>IFERROR(SUM(Y244:Y244),"0")</f>
        <v>2.52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hidden="1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75</v>
      </c>
      <c r="Y260" s="616">
        <f t="shared" si="27"/>
        <v>75.600000000000009</v>
      </c>
      <c r="Z260" s="36">
        <f>IFERROR(IF(Y260=0,"",ROUNDUP(Y260/H260,0)*0.00902),"")</f>
        <v>0.12628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77.638888888888886</v>
      </c>
      <c r="BN260" s="64">
        <f t="shared" si="29"/>
        <v>78.260000000000005</v>
      </c>
      <c r="BO260" s="64">
        <f t="shared" si="30"/>
        <v>0.10521885521885521</v>
      </c>
      <c r="BP260" s="64">
        <f t="shared" si="31"/>
        <v>0.10606060606060606</v>
      </c>
    </row>
    <row r="261" spans="1:68" ht="27" hidden="1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207</v>
      </c>
      <c r="Y262" s="616">
        <f t="shared" si="27"/>
        <v>210.60000000000002</v>
      </c>
      <c r="Z262" s="36">
        <f>IFERROR(IF(Y262=0,"",ROUNDUP(Y262/H262,0)*0.00902),"")</f>
        <v>0.35177999999999998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214.2833333333333</v>
      </c>
      <c r="BN262" s="64">
        <f t="shared" si="29"/>
        <v>218.01000000000002</v>
      </c>
      <c r="BO262" s="64">
        <f t="shared" si="30"/>
        <v>0.29040404040404039</v>
      </c>
      <c r="BP262" s="64">
        <f t="shared" si="31"/>
        <v>0.29545454545454547</v>
      </c>
    </row>
    <row r="263" spans="1:68" ht="27" hidden="1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52.222222222222214</v>
      </c>
      <c r="Y267" s="617">
        <f>IFERROR(Y259/H259,"0")+IFERROR(Y260/H260,"0")+IFERROR(Y261/H261,"0")+IFERROR(Y262/H262,"0")+IFERROR(Y263/H263,"0")+IFERROR(Y264/H264,"0")+IFERROR(Y265/H265,"0")+IFERROR(Y266/H266,"0")</f>
        <v>53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0.47805999999999998</v>
      </c>
      <c r="AA267" s="618"/>
      <c r="AB267" s="618"/>
      <c r="AC267" s="618"/>
    </row>
    <row r="268" spans="1:68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282</v>
      </c>
      <c r="Y268" s="617">
        <f>IFERROR(SUM(Y259:Y266),"0")</f>
        <v>286.20000000000005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hidden="1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40</v>
      </c>
      <c r="Y271" s="616">
        <f t="shared" si="32"/>
        <v>40.5</v>
      </c>
      <c r="Z271" s="36">
        <f>IFERROR(IF(Y271=0,"",ROUNDUP(Y271/H271,0)*0.01898),"")</f>
        <v>9.4899999999999998E-2</v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42.350617283950619</v>
      </c>
      <c r="BN271" s="64">
        <f t="shared" si="34"/>
        <v>42.88</v>
      </c>
      <c r="BO271" s="64">
        <f t="shared" si="35"/>
        <v>7.7160493827160503E-2</v>
      </c>
      <c r="BP271" s="64">
        <f t="shared" si="36"/>
        <v>7.8125E-2</v>
      </c>
    </row>
    <row r="272" spans="1:68" ht="27" hidden="1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370</v>
      </c>
      <c r="Y276" s="616">
        <f t="shared" si="32"/>
        <v>372</v>
      </c>
      <c r="Z276" s="36">
        <f>IFERROR(IF(Y276=0,"",ROUNDUP(Y276/H276,0)*0.00651),"")</f>
        <v>1.00905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408.85</v>
      </c>
      <c r="BN276" s="64">
        <f t="shared" si="34"/>
        <v>411.06000000000006</v>
      </c>
      <c r="BO276" s="64">
        <f t="shared" si="35"/>
        <v>0.84706959706959728</v>
      </c>
      <c r="BP276" s="64">
        <f t="shared" si="36"/>
        <v>0.85164835164835173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114</v>
      </c>
      <c r="Y278" s="616">
        <f t="shared" si="32"/>
        <v>115.19999999999999</v>
      </c>
      <c r="Z278" s="36">
        <f>IFERROR(IF(Y278=0,"",ROUNDUP(Y278/H278,0)*0.00651),"")</f>
        <v>0.31247999999999998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125.97000000000001</v>
      </c>
      <c r="BN278" s="64">
        <f t="shared" si="34"/>
        <v>127.29600000000001</v>
      </c>
      <c r="BO278" s="64">
        <f t="shared" si="35"/>
        <v>0.26098901098901101</v>
      </c>
      <c r="BP278" s="64">
        <f t="shared" si="36"/>
        <v>0.26373626373626374</v>
      </c>
    </row>
    <row r="279" spans="1:68" ht="27" hidden="1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42</v>
      </c>
      <c r="Y280" s="616">
        <f t="shared" si="32"/>
        <v>43.199999999999996</v>
      </c>
      <c r="Z280" s="36">
        <f>IFERROR(IF(Y280=0,"",ROUNDUP(Y280/H280,0)*0.00651),"")</f>
        <v>0.11718000000000001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46.515000000000001</v>
      </c>
      <c r="BN280" s="64">
        <f t="shared" si="34"/>
        <v>47.843999999999994</v>
      </c>
      <c r="BO280" s="64">
        <f t="shared" si="35"/>
        <v>9.6153846153846159E-2</v>
      </c>
      <c r="BP280" s="64">
        <f t="shared" si="36"/>
        <v>9.8901098901098911E-2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224.10493827160496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226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1.5336100000000001</v>
      </c>
      <c r="AA282" s="618"/>
      <c r="AB282" s="618"/>
      <c r="AC282" s="618"/>
    </row>
    <row r="283" spans="1:68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566</v>
      </c>
      <c r="Y283" s="617">
        <f>IFERROR(SUM(Y270:Y281),"0")</f>
        <v>570.90000000000009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hidden="1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12</v>
      </c>
      <c r="Y286" s="616">
        <f>IFERROR(IF(X286="",0,CEILING((X286/$H286),1)*$H286),"")</f>
        <v>12</v>
      </c>
      <c r="Z286" s="36">
        <f>IFERROR(IF(Y286=0,"",ROUNDUP(Y286/H286,0)*0.00651),"")</f>
        <v>3.2550000000000003E-2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13.260000000000002</v>
      </c>
      <c r="BN286" s="64">
        <f>IFERROR(Y286*I286/H286,"0")</f>
        <v>13.260000000000002</v>
      </c>
      <c r="BO286" s="64">
        <f>IFERROR(1/J286*(X286/H286),"0")</f>
        <v>2.7472527472527476E-2</v>
      </c>
      <c r="BP286" s="64">
        <f>IFERROR(1/J286*(Y286/H286),"0")</f>
        <v>2.7472527472527476E-2</v>
      </c>
    </row>
    <row r="287" spans="1:68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5</v>
      </c>
      <c r="Y287" s="617">
        <f>IFERROR(Y285/H285,"0")+IFERROR(Y286/H286,"0")</f>
        <v>5</v>
      </c>
      <c r="Z287" s="617">
        <f>IFERROR(IF(Z285="",0,Z285),"0")+IFERROR(IF(Z286="",0,Z286),"0")</f>
        <v>3.2550000000000003E-2</v>
      </c>
      <c r="AA287" s="618"/>
      <c r="AB287" s="618"/>
      <c r="AC287" s="618"/>
    </row>
    <row r="288" spans="1:68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12</v>
      </c>
      <c r="Y288" s="617">
        <f>IFERROR(SUM(Y285:Y286),"0")</f>
        <v>12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110</v>
      </c>
      <c r="Y327" s="616">
        <f>IFERROR(IF(X327="",0,CEILING((X327/$H327),1)*$H327),"")</f>
        <v>110.39999999999999</v>
      </c>
      <c r="Z327" s="36">
        <f>IFERROR(IF(Y327=0,"",ROUNDUP(Y327/H327,0)*0.00651),"")</f>
        <v>0.29946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118.25000000000001</v>
      </c>
      <c r="BN327" s="64">
        <f>IFERROR(Y327*I327/H327,"0")</f>
        <v>118.68</v>
      </c>
      <c r="BO327" s="64">
        <f>IFERROR(1/J327*(X327/H327),"0")</f>
        <v>0.25183150183150188</v>
      </c>
      <c r="BP327" s="64">
        <f>IFERROR(1/J327*(Y327/H327),"0")</f>
        <v>0.25274725274725279</v>
      </c>
    </row>
    <row r="328" spans="1:68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45.833333333333336</v>
      </c>
      <c r="Y328" s="617">
        <f>IFERROR(Y325/H325,"0")+IFERROR(Y326/H326,"0")+IFERROR(Y327/H327,"0")</f>
        <v>46</v>
      </c>
      <c r="Z328" s="617">
        <f>IFERROR(IF(Z325="",0,Z325),"0")+IFERROR(IF(Z326="",0,Z326),"0")+IFERROR(IF(Z327="",0,Z327),"0")</f>
        <v>0.29946</v>
      </c>
      <c r="AA328" s="618"/>
      <c r="AB328" s="618"/>
      <c r="AC328" s="618"/>
    </row>
    <row r="329" spans="1:68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110</v>
      </c>
      <c r="Y329" s="617">
        <f>IFERROR(SUM(Y325:Y327),"0")</f>
        <v>110.39999999999999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56</v>
      </c>
      <c r="Y346" s="616">
        <f>IFERROR(IF(X346="",0,CEILING((X346/$H346),1)*$H346),"")</f>
        <v>62.4</v>
      </c>
      <c r="Z346" s="36">
        <f>IFERROR(IF(Y346=0,"",ROUNDUP(Y346/H346,0)*0.01898),"")</f>
        <v>0.15184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58.943589743589754</v>
      </c>
      <c r="BN346" s="64">
        <f>IFERROR(Y346*I346/H346,"0")</f>
        <v>65.680000000000007</v>
      </c>
      <c r="BO346" s="64">
        <f>IFERROR(1/J346*(X346/H346),"0")</f>
        <v>0.11217948717948718</v>
      </c>
      <c r="BP346" s="64">
        <f>IFERROR(1/J346*(Y346/H346),"0")</f>
        <v>0.125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23</v>
      </c>
      <c r="Y347" s="616">
        <f>IFERROR(IF(X347="",0,CEILING((X347/$H347),1)*$H347),"")</f>
        <v>23.4</v>
      </c>
      <c r="Z347" s="36">
        <f>IFERROR(IF(Y347=0,"",ROUNDUP(Y347/H347,0)*0.01898),"")</f>
        <v>5.6940000000000004E-2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24.208974358974363</v>
      </c>
      <c r="BN347" s="64">
        <f>IFERROR(Y347*I347/H347,"0")</f>
        <v>24.630000000000003</v>
      </c>
      <c r="BO347" s="64">
        <f>IFERROR(1/J347*(X347/H347),"0")</f>
        <v>4.6073717948717952E-2</v>
      </c>
      <c r="BP347" s="64">
        <f>IFERROR(1/J347*(Y347/H347),"0")</f>
        <v>4.6875E-2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10.128205128205128</v>
      </c>
      <c r="Y349" s="617">
        <f>IFERROR(Y346/H346,"0")+IFERROR(Y347/H347,"0")+IFERROR(Y348/H348,"0")</f>
        <v>11</v>
      </c>
      <c r="Z349" s="617">
        <f>IFERROR(IF(Z346="",0,Z346),"0")+IFERROR(IF(Z347="",0,Z347),"0")+IFERROR(IF(Z348="",0,Z348),"0")</f>
        <v>0.20878000000000002</v>
      </c>
      <c r="AA349" s="618"/>
      <c r="AB349" s="618"/>
      <c r="AC349" s="618"/>
    </row>
    <row r="350" spans="1:68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79</v>
      </c>
      <c r="Y350" s="617">
        <f>IFERROR(SUM(Y346:Y348),"0")</f>
        <v>85.8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12</v>
      </c>
      <c r="Y367" s="616">
        <f t="shared" si="42"/>
        <v>12.6</v>
      </c>
      <c r="Z367" s="36">
        <f>IFERROR(IF(Y367=0,"",ROUNDUP(Y367/H367,0)*0.00651),"")</f>
        <v>4.5569999999999999E-2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13.52</v>
      </c>
      <c r="BN367" s="64">
        <f t="shared" si="44"/>
        <v>14.196</v>
      </c>
      <c r="BO367" s="64">
        <f t="shared" si="45"/>
        <v>3.6630036630036632E-2</v>
      </c>
      <c r="BP367" s="64">
        <f t="shared" si="46"/>
        <v>3.8461538461538464E-2</v>
      </c>
    </row>
    <row r="368" spans="1:68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6.6666666666666661</v>
      </c>
      <c r="Y368" s="617">
        <f>IFERROR(Y361/H361,"0")+IFERROR(Y362/H362,"0")+IFERROR(Y363/H363,"0")+IFERROR(Y364/H364,"0")+IFERROR(Y365/H365,"0")+IFERROR(Y366/H366,"0")+IFERROR(Y367/H367,"0")</f>
        <v>7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4.5569999999999999E-2</v>
      </c>
      <c r="AA368" s="618"/>
      <c r="AB368" s="618"/>
      <c r="AC368" s="618"/>
    </row>
    <row r="369" spans="1:68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12</v>
      </c>
      <c r="Y369" s="617">
        <f>IFERROR(SUM(Y361:Y367),"0")</f>
        <v>12.6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150</v>
      </c>
      <c r="Y378" s="616">
        <f>IFERROR(IF(X378="",0,CEILING((X378/$H378),1)*$H378),"")</f>
        <v>151.20000000000002</v>
      </c>
      <c r="Z378" s="36">
        <f>IFERROR(IF(Y378=0,"",ROUNDUP(Y378/H378,0)*0.01898),"")</f>
        <v>0.34164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158.82142857142856</v>
      </c>
      <c r="BN378" s="64">
        <f>IFERROR(Y378*I378/H378,"0")</f>
        <v>160.09200000000001</v>
      </c>
      <c r="BO378" s="64">
        <f>IFERROR(1/J378*(X378/H378),"0")</f>
        <v>0.27901785714285715</v>
      </c>
      <c r="BP378" s="64">
        <f>IFERROR(1/J378*(Y378/H378),"0")</f>
        <v>0.28125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21</v>
      </c>
      <c r="Y380" s="616">
        <f>IFERROR(IF(X380="",0,CEILING((X380/$H380),1)*$H380),"")</f>
        <v>25.200000000000003</v>
      </c>
      <c r="Z380" s="36">
        <f>IFERROR(IF(Y380=0,"",ROUNDUP(Y380/H380,0)*0.01898),"")</f>
        <v>5.6940000000000004E-2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22.234999999999999</v>
      </c>
      <c r="BN380" s="64">
        <f>IFERROR(Y380*I380/H380,"0")</f>
        <v>26.682000000000002</v>
      </c>
      <c r="BO380" s="64">
        <f>IFERROR(1/J380*(X380/H380),"0")</f>
        <v>3.90625E-2</v>
      </c>
      <c r="BP380" s="64">
        <f>IFERROR(1/J380*(Y380/H380),"0")</f>
        <v>4.6875E-2</v>
      </c>
    </row>
    <row r="381" spans="1:68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20.357142857142858</v>
      </c>
      <c r="Y381" s="617">
        <f>IFERROR(Y378/H378,"0")+IFERROR(Y379/H379,"0")+IFERROR(Y380/H380,"0")</f>
        <v>21</v>
      </c>
      <c r="Z381" s="617">
        <f>IFERROR(IF(Z378="",0,Z378),"0")+IFERROR(IF(Z379="",0,Z379),"0")+IFERROR(IF(Z380="",0,Z380),"0")</f>
        <v>0.39857999999999999</v>
      </c>
      <c r="AA381" s="618"/>
      <c r="AB381" s="618"/>
      <c r="AC381" s="618"/>
    </row>
    <row r="382" spans="1:68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171</v>
      </c>
      <c r="Y382" s="617">
        <f>IFERROR(SUM(Y378:Y380),"0")</f>
        <v>176.40000000000003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12</v>
      </c>
      <c r="Y393" s="616">
        <f>IFERROR(IF(X393="",0,CEILING((X393/$H393),1)*$H393),"")</f>
        <v>12</v>
      </c>
      <c r="Z393" s="36">
        <f>IFERROR(IF(Y393=0,"",ROUNDUP(Y393/H393,0)*0.00474),"")</f>
        <v>2.844E-2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13.440000000000001</v>
      </c>
      <c r="BN393" s="64">
        <f>IFERROR(Y393*I393/H393,"0")</f>
        <v>13.440000000000001</v>
      </c>
      <c r="BO393" s="64">
        <f>IFERROR(1/J393*(X393/H393),"0")</f>
        <v>2.5210084033613446E-2</v>
      </c>
      <c r="BP393" s="64">
        <f>IFERROR(1/J393*(Y393/H393),"0")</f>
        <v>2.5210084033613446E-2</v>
      </c>
    </row>
    <row r="394" spans="1:68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6</v>
      </c>
      <c r="Y394" s="617">
        <f>IFERROR(Y391/H391,"0")+IFERROR(Y392/H392,"0")+IFERROR(Y393/H393,"0")</f>
        <v>6</v>
      </c>
      <c r="Z394" s="617">
        <f>IFERROR(IF(Z391="",0,Z391),"0")+IFERROR(IF(Z392="",0,Z392),"0")+IFERROR(IF(Z393="",0,Z393),"0")</f>
        <v>2.844E-2</v>
      </c>
      <c r="AA394" s="618"/>
      <c r="AB394" s="618"/>
      <c r="AC394" s="618"/>
    </row>
    <row r="395" spans="1:68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12</v>
      </c>
      <c r="Y395" s="617">
        <f>IFERROR(SUM(Y391:Y393),"0")</f>
        <v>12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50</v>
      </c>
      <c r="Y397" s="616">
        <f>IFERROR(IF(X397="",0,CEILING((X397/$H397),1)*$H397),"")</f>
        <v>51</v>
      </c>
      <c r="Z397" s="36">
        <f>IFERROR(IF(Y397=0,"",ROUNDUP(Y397/H397,0)*0.0045),"")</f>
        <v>7.6499999999999999E-2</v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53.666666666666664</v>
      </c>
      <c r="BN397" s="64">
        <f>IFERROR(Y397*I397/H397,"0")</f>
        <v>54.74</v>
      </c>
      <c r="BO397" s="64">
        <f>IFERROR(1/J397*(X397/H397),"0")</f>
        <v>7.4404761904761904E-2</v>
      </c>
      <c r="BP397" s="64">
        <f>IFERROR(1/J397*(Y397/H397),"0")</f>
        <v>7.5892857142857137E-2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65</v>
      </c>
      <c r="Y398" s="616">
        <f>IFERROR(IF(X398="",0,CEILING((X398/$H398),1)*$H398),"")</f>
        <v>66.3</v>
      </c>
      <c r="Z398" s="36">
        <f>IFERROR(IF(Y398=0,"",ROUNDUP(Y398/H398,0)*0.006),"")</f>
        <v>0.10200000000000001</v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69.5</v>
      </c>
      <c r="BN398" s="64">
        <f>IFERROR(Y398*I398/H398,"0")</f>
        <v>70.89</v>
      </c>
      <c r="BO398" s="64">
        <f>IFERROR(1/J398*(X398/H398),"0")</f>
        <v>0.11574074074074074</v>
      </c>
      <c r="BP398" s="64">
        <f>IFERROR(1/J398*(Y398/H398),"0")</f>
        <v>0.11805555555555555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50</v>
      </c>
      <c r="Y399" s="616">
        <f>IFERROR(IF(X399="",0,CEILING((X399/$H399),1)*$H399),"")</f>
        <v>51</v>
      </c>
      <c r="Z399" s="36">
        <f>IFERROR(IF(Y399=0,"",ROUNDUP(Y399/H399,0)*0.0045),"")</f>
        <v>7.6499999999999999E-2</v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53.666666666666664</v>
      </c>
      <c r="BN399" s="64">
        <f>IFERROR(Y399*I399/H399,"0")</f>
        <v>54.74</v>
      </c>
      <c r="BO399" s="64">
        <f>IFERROR(1/J399*(X399/H399),"0")</f>
        <v>7.4404761904761904E-2</v>
      </c>
      <c r="BP399" s="64">
        <f>IFERROR(1/J399*(Y399/H399),"0")</f>
        <v>7.5892857142857137E-2</v>
      </c>
    </row>
    <row r="400" spans="1:68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50</v>
      </c>
      <c r="Y400" s="617">
        <f>IFERROR(Y397/H397,"0")+IFERROR(Y398/H398,"0")+IFERROR(Y399/H399,"0")</f>
        <v>51</v>
      </c>
      <c r="Z400" s="617">
        <f>IFERROR(IF(Z397="",0,Z397),"0")+IFERROR(IF(Z398="",0,Z398),"0")+IFERROR(IF(Z399="",0,Z399),"0")</f>
        <v>0.255</v>
      </c>
      <c r="AA400" s="618"/>
      <c r="AB400" s="618"/>
      <c r="AC400" s="618"/>
    </row>
    <row r="401" spans="1:68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165</v>
      </c>
      <c r="Y401" s="617">
        <f>IFERROR(SUM(Y397:Y399),"0")</f>
        <v>168.3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54</v>
      </c>
      <c r="Y405" s="616">
        <f>IFERROR(IF(X405="",0,CEILING((X405/$H405),1)*$H405),"")</f>
        <v>54.6</v>
      </c>
      <c r="Z405" s="36">
        <f>IFERROR(IF(Y405=0,"",ROUNDUP(Y405/H405,0)*0.00651),"")</f>
        <v>0.16925999999999999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60.48</v>
      </c>
      <c r="BN405" s="64">
        <f>IFERROR(Y405*I405/H405,"0")</f>
        <v>61.151999999999994</v>
      </c>
      <c r="BO405" s="64">
        <f>IFERROR(1/J405*(X405/H405),"0")</f>
        <v>0.14128728414442701</v>
      </c>
      <c r="BP405" s="64">
        <f>IFERROR(1/J405*(Y405/H405),"0")</f>
        <v>0.14285714285714288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25.714285714285712</v>
      </c>
      <c r="Y407" s="617">
        <f>IFERROR(Y404/H404,"0")+IFERROR(Y405/H405,"0")+IFERROR(Y406/H406,"0")</f>
        <v>26</v>
      </c>
      <c r="Z407" s="617">
        <f>IFERROR(IF(Z404="",0,Z404),"0")+IFERROR(IF(Z405="",0,Z405),"0")+IFERROR(IF(Z406="",0,Z406),"0")</f>
        <v>0.16925999999999999</v>
      </c>
      <c r="AA407" s="618"/>
      <c r="AB407" s="618"/>
      <c r="AC407" s="618"/>
    </row>
    <row r="408" spans="1:68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54</v>
      </c>
      <c r="Y408" s="617">
        <f>IFERROR(SUM(Y404:Y406),"0")</f>
        <v>54.6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132</v>
      </c>
      <c r="Y412" s="616">
        <f t="shared" ref="Y412:Y419" si="47">IFERROR(IF(X412="",0,CEILING((X412/$H412),1)*$H412),"")</f>
        <v>135</v>
      </c>
      <c r="Z412" s="36">
        <f>IFERROR(IF(Y412=0,"",ROUNDUP(Y412/H412,0)*0.02175),"")</f>
        <v>0.19574999999999998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136.13600000000002</v>
      </c>
      <c r="BN412" s="64">
        <f t="shared" ref="BN412:BN419" si="49">IFERROR(Y412*I412/H412,"0")</f>
        <v>139.23000000000002</v>
      </c>
      <c r="BO412" s="64">
        <f t="shared" ref="BO412:BO419" si="50">IFERROR(1/J412*(X412/H412),"0")</f>
        <v>0.18333333333333335</v>
      </c>
      <c r="BP412" s="64">
        <f t="shared" ref="BP412:BP419" si="51">IFERROR(1/J412*(Y412/H412),"0")</f>
        <v>0.1875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370</v>
      </c>
      <c r="Y413" s="616">
        <f t="shared" si="47"/>
        <v>375</v>
      </c>
      <c r="Z413" s="36">
        <f>IFERROR(IF(Y413=0,"",ROUNDUP(Y413/H413,0)*0.02175),"")</f>
        <v>0.54374999999999996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381.59333333333336</v>
      </c>
      <c r="BN413" s="64">
        <f t="shared" si="49"/>
        <v>386.75</v>
      </c>
      <c r="BO413" s="64">
        <f t="shared" si="50"/>
        <v>0.51388888888888884</v>
      </c>
      <c r="BP413" s="64">
        <f t="shared" si="51"/>
        <v>0.52083333333333326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1233</v>
      </c>
      <c r="Y414" s="616">
        <f t="shared" si="47"/>
        <v>1245</v>
      </c>
      <c r="Z414" s="36">
        <f>IFERROR(IF(Y414=0,"",ROUNDUP(Y414/H414,0)*0.02175),"")</f>
        <v>1.8052499999999998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1271.6340000000002</v>
      </c>
      <c r="BN414" s="64">
        <f t="shared" si="49"/>
        <v>1284.01</v>
      </c>
      <c r="BO414" s="64">
        <f t="shared" si="50"/>
        <v>1.7124999999999999</v>
      </c>
      <c r="BP414" s="64">
        <f t="shared" si="51"/>
        <v>1.7291666666666665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793</v>
      </c>
      <c r="Y415" s="616">
        <f t="shared" si="47"/>
        <v>795</v>
      </c>
      <c r="Z415" s="36">
        <f>IFERROR(IF(Y415=0,"",ROUNDUP(Y415/H415,0)*0.02175),"")</f>
        <v>1.1527499999999999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817.84733333333338</v>
      </c>
      <c r="BN415" s="64">
        <f t="shared" si="49"/>
        <v>819.91</v>
      </c>
      <c r="BO415" s="64">
        <f t="shared" si="50"/>
        <v>1.1013888888888888</v>
      </c>
      <c r="BP415" s="64">
        <f t="shared" si="51"/>
        <v>1.1041666666666665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551</v>
      </c>
      <c r="Y416" s="616">
        <f t="shared" si="47"/>
        <v>555</v>
      </c>
      <c r="Z416" s="36">
        <f>IFERROR(IF(Y416=0,"",ROUNDUP(Y416/H416,0)*0.02175),"")</f>
        <v>0.80474999999999997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568.2646666666667</v>
      </c>
      <c r="BN416" s="64">
        <f t="shared" si="49"/>
        <v>572.39</v>
      </c>
      <c r="BO416" s="64">
        <f t="shared" si="50"/>
        <v>0.76527777777777772</v>
      </c>
      <c r="BP416" s="64">
        <f t="shared" si="51"/>
        <v>0.77083333333333326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205.26666666666665</v>
      </c>
      <c r="Y420" s="617">
        <f>IFERROR(Y412/H412,"0")+IFERROR(Y413/H413,"0")+IFERROR(Y414/H414,"0")+IFERROR(Y415/H415,"0")+IFERROR(Y416/H416,"0")+IFERROR(Y417/H417,"0")+IFERROR(Y418/H418,"0")+IFERROR(Y419/H419,"0")</f>
        <v>207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4.5022500000000001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3079</v>
      </c>
      <c r="Y421" s="617">
        <f>IFERROR(SUM(Y412:Y419),"0")</f>
        <v>3105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1721</v>
      </c>
      <c r="Y423" s="616">
        <f>IFERROR(IF(X423="",0,CEILING((X423/$H423),1)*$H423),"")</f>
        <v>1725</v>
      </c>
      <c r="Z423" s="36">
        <f>IFERROR(IF(Y423=0,"",ROUNDUP(Y423/H423,0)*0.02175),"")</f>
        <v>2.5012499999999998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1774.9246666666668</v>
      </c>
      <c r="BN423" s="64">
        <f>IFERROR(Y423*I423/H423,"0")</f>
        <v>1779.05</v>
      </c>
      <c r="BO423" s="64">
        <f>IFERROR(1/J423*(X423/H423),"0")</f>
        <v>2.3902777777777775</v>
      </c>
      <c r="BP423" s="64">
        <f>IFERROR(1/J423*(Y423/H423),"0")</f>
        <v>2.395833333333333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97</v>
      </c>
      <c r="Y424" s="616">
        <f>IFERROR(IF(X424="",0,CEILING((X424/$H424),1)*$H424),"")</f>
        <v>105</v>
      </c>
      <c r="Z424" s="36">
        <f>IFERROR(IF(Y424=0,"",ROUNDUP(Y424/H424,0)*0.02175),"")</f>
        <v>0.15225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100.03933333333335</v>
      </c>
      <c r="BN424" s="64">
        <f>IFERROR(Y424*I424/H424,"0")</f>
        <v>108.29</v>
      </c>
      <c r="BO424" s="64">
        <f>IFERROR(1/J424*(X424/H424),"0")</f>
        <v>0.13472222222222222</v>
      </c>
      <c r="BP424" s="64">
        <f>IFERROR(1/J424*(Y424/H424),"0")</f>
        <v>0.14583333333333331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121.2</v>
      </c>
      <c r="Y426" s="617">
        <f>IFERROR(Y423/H423,"0")+IFERROR(Y424/H424,"0")+IFERROR(Y425/H425,"0")</f>
        <v>122</v>
      </c>
      <c r="Z426" s="617">
        <f>IFERROR(IF(Z423="",0,Z423),"0")+IFERROR(IF(Z424="",0,Z424),"0")+IFERROR(IF(Z425="",0,Z425),"0")</f>
        <v>2.6534999999999997</v>
      </c>
      <c r="AA426" s="618"/>
      <c r="AB426" s="618"/>
      <c r="AC426" s="618"/>
    </row>
    <row r="427" spans="1:68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1818</v>
      </c>
      <c r="Y427" s="617">
        <f>IFERROR(SUM(Y423:Y425),"0")</f>
        <v>1830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35</v>
      </c>
      <c r="Y431" s="616">
        <f>IFERROR(IF(X431="",0,CEILING((X431/$H431),1)*$H431),"")</f>
        <v>36</v>
      </c>
      <c r="Z431" s="36">
        <f>IFERROR(IF(Y431=0,"",ROUNDUP(Y431/H431,0)*0.01898),"")</f>
        <v>7.5920000000000001E-2</v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36.921111111111109</v>
      </c>
      <c r="BN431" s="64">
        <f>IFERROR(Y431*I431/H431,"0")</f>
        <v>37.975999999999999</v>
      </c>
      <c r="BO431" s="64">
        <f>IFERROR(1/J431*(X431/H431),"0")</f>
        <v>6.0763888888888888E-2</v>
      </c>
      <c r="BP431" s="64">
        <f>IFERROR(1/J431*(Y431/H431),"0")</f>
        <v>6.25E-2</v>
      </c>
    </row>
    <row r="432" spans="1:68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3.8888888888888888</v>
      </c>
      <c r="Y432" s="617">
        <f>IFERROR(Y429/H429,"0")+IFERROR(Y430/H430,"0")+IFERROR(Y431/H431,"0")</f>
        <v>4</v>
      </c>
      <c r="Z432" s="617">
        <f>IFERROR(IF(Z429="",0,Z429),"0")+IFERROR(IF(Z430="",0,Z430),"0")+IFERROR(IF(Z431="",0,Z431),"0")</f>
        <v>7.5920000000000001E-2</v>
      </c>
      <c r="AA432" s="618"/>
      <c r="AB432" s="618"/>
      <c r="AC432" s="618"/>
    </row>
    <row r="433" spans="1:68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35</v>
      </c>
      <c r="Y433" s="617">
        <f>IFERROR(SUM(Y429:Y431),"0")</f>
        <v>36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1095</v>
      </c>
      <c r="Y450" s="616">
        <f>IFERROR(IF(X450="",0,CEILING((X450/$H450),1)*$H450),"")</f>
        <v>1098</v>
      </c>
      <c r="Z450" s="36">
        <f>IFERROR(IF(Y450=0,"",ROUNDUP(Y450/H450,0)*0.01898),"")</f>
        <v>2.3155600000000001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1155.1033333333335</v>
      </c>
      <c r="BN450" s="64">
        <f>IFERROR(Y450*I450/H450,"0")</f>
        <v>1158.268</v>
      </c>
      <c r="BO450" s="64">
        <f>IFERROR(1/J450*(X450/H450),"0")</f>
        <v>1.9010416666666667</v>
      </c>
      <c r="BP450" s="64">
        <f>IFERROR(1/J450*(Y450/H450),"0")</f>
        <v>1.90625</v>
      </c>
    </row>
    <row r="451" spans="1:68" ht="27" hidden="1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121.66666666666667</v>
      </c>
      <c r="Y453" s="617">
        <f>IFERROR(Y450/H450,"0")+IFERROR(Y451/H451,"0")+IFERROR(Y452/H452,"0")</f>
        <v>122</v>
      </c>
      <c r="Z453" s="617">
        <f>IFERROR(IF(Z450="",0,Z450),"0")+IFERROR(IF(Z451="",0,Z451),"0")+IFERROR(IF(Z452="",0,Z452),"0")</f>
        <v>2.3155600000000001</v>
      </c>
      <c r="AA453" s="618"/>
      <c r="AB453" s="618"/>
      <c r="AC453" s="618"/>
    </row>
    <row r="454" spans="1:68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1095</v>
      </c>
      <c r="Y454" s="617">
        <f>IFERROR(SUM(Y450:Y452),"0")</f>
        <v>1098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101</v>
      </c>
      <c r="Y477" s="616">
        <f>IFERROR(IF(X477="",0,CEILING((X477/$H477),1)*$H477),"")</f>
        <v>102.60000000000001</v>
      </c>
      <c r="Z477" s="36">
        <f>IFERROR(IF(Y477=0,"",ROUNDUP(Y477/H477,0)*0.00902),"")</f>
        <v>0.17138</v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104.5537037037037</v>
      </c>
      <c r="BN477" s="64">
        <f>IFERROR(Y477*I477/H477,"0")</f>
        <v>106.21</v>
      </c>
      <c r="BO477" s="64">
        <f>IFERROR(1/J477*(X477/H477),"0")</f>
        <v>0.14169472502805835</v>
      </c>
      <c r="BP477" s="64">
        <f>IFERROR(1/J477*(Y477/H477),"0")</f>
        <v>0.14393939393939395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18.703703703703702</v>
      </c>
      <c r="Y480" s="617">
        <f>IFERROR(Y477/H477,"0")+IFERROR(Y478/H478,"0")+IFERROR(Y479/H479,"0")</f>
        <v>19</v>
      </c>
      <c r="Z480" s="617">
        <f>IFERROR(IF(Z477="",0,Z477),"0")+IFERROR(IF(Z478="",0,Z478),"0")+IFERROR(IF(Z479="",0,Z479),"0")</f>
        <v>0.17138</v>
      </c>
      <c r="AA480" s="618"/>
      <c r="AB480" s="618"/>
      <c r="AC480" s="618"/>
    </row>
    <row r="481" spans="1:68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101</v>
      </c>
      <c r="Y481" s="617">
        <f>IFERROR(SUM(Y477:Y479),"0")</f>
        <v>102.60000000000001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hidden="1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93</v>
      </c>
      <c r="Y488" s="616">
        <f t="shared" si="57"/>
        <v>95.04</v>
      </c>
      <c r="Z488" s="36">
        <f t="shared" si="58"/>
        <v>0.21528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99.164772727272734</v>
      </c>
      <c r="BN488" s="64">
        <f t="shared" si="60"/>
        <v>101.33999999999999</v>
      </c>
      <c r="BO488" s="64">
        <f t="shared" si="61"/>
        <v>0.16936188811188813</v>
      </c>
      <c r="BP488" s="64">
        <f t="shared" si="62"/>
        <v>0.17307692307692307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199</v>
      </c>
      <c r="Y490" s="616">
        <f t="shared" si="57"/>
        <v>200.64000000000001</v>
      </c>
      <c r="Z490" s="36">
        <f t="shared" si="58"/>
        <v>0.45448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212.19128787878785</v>
      </c>
      <c r="BN490" s="64">
        <f t="shared" si="60"/>
        <v>213.94</v>
      </c>
      <c r="BO490" s="64">
        <f t="shared" si="61"/>
        <v>0.36239801864801863</v>
      </c>
      <c r="BP490" s="64">
        <f t="shared" si="62"/>
        <v>0.36538461538461542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55.303030303030297</v>
      </c>
      <c r="Y494" s="617">
        <f>IFERROR(Y485/H485,"0")+IFERROR(Y486/H486,"0")+IFERROR(Y487/H487,"0")+IFERROR(Y488/H488,"0")+IFERROR(Y489/H489,"0")+IFERROR(Y490/H490,"0")+IFERROR(Y491/H491,"0")+IFERROR(Y492/H492,"0")+IFERROR(Y493/H493,"0")</f>
        <v>56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0.66976000000000002</v>
      </c>
      <c r="AA494" s="618"/>
      <c r="AB494" s="618"/>
      <c r="AC494" s="618"/>
    </row>
    <row r="495" spans="1:68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292</v>
      </c>
      <c r="Y495" s="617">
        <f>IFERROR(SUM(Y485:Y493),"0")</f>
        <v>295.68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316</v>
      </c>
      <c r="Y497" s="616">
        <f>IFERROR(IF(X497="",0,CEILING((X497/$H497),1)*$H497),"")</f>
        <v>316.8</v>
      </c>
      <c r="Z497" s="36">
        <f>IFERROR(IF(Y497=0,"",ROUNDUP(Y497/H497,0)*0.01196),"")</f>
        <v>0.71760000000000002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336.94696969696969</v>
      </c>
      <c r="BN497" s="64">
        <f>IFERROR(Y497*I497/H497,"0")</f>
        <v>337.8</v>
      </c>
      <c r="BO497" s="64">
        <f>IFERROR(1/J497*(X497/H497),"0")</f>
        <v>0.57546620046620045</v>
      </c>
      <c r="BP497" s="64">
        <f>IFERROR(1/J497*(Y497/H497),"0")</f>
        <v>0.57692307692307698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19</v>
      </c>
      <c r="Y499" s="616">
        <f>IFERROR(IF(X499="",0,CEILING((X499/$H499),1)*$H499),"")</f>
        <v>19.2</v>
      </c>
      <c r="Z499" s="36">
        <f>IFERROR(IF(Y499=0,"",ROUNDUP(Y499/H499,0)*0.00902),"")</f>
        <v>3.6080000000000001E-2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27.352083333333333</v>
      </c>
      <c r="BN499" s="64">
        <f>IFERROR(Y499*I499/H499,"0")</f>
        <v>27.64</v>
      </c>
      <c r="BO499" s="64">
        <f>IFERROR(1/J499*(X499/H499),"0")</f>
        <v>2.998737373737374E-2</v>
      </c>
      <c r="BP499" s="64">
        <f>IFERROR(1/J499*(Y499/H499),"0")</f>
        <v>3.0303030303030304E-2</v>
      </c>
    </row>
    <row r="500" spans="1:68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63.80681818181818</v>
      </c>
      <c r="Y500" s="617">
        <f>IFERROR(Y497/H497,"0")+IFERROR(Y498/H498,"0")+IFERROR(Y499/H499,"0")</f>
        <v>64</v>
      </c>
      <c r="Z500" s="617">
        <f>IFERROR(IF(Z497="",0,Z497),"0")+IFERROR(IF(Z498="",0,Z498),"0")+IFERROR(IF(Z499="",0,Z499),"0")</f>
        <v>0.75368000000000002</v>
      </c>
      <c r="AA500" s="618"/>
      <c r="AB500" s="618"/>
      <c r="AC500" s="618"/>
    </row>
    <row r="501" spans="1:68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335</v>
      </c>
      <c r="Y501" s="617">
        <f>IFERROR(SUM(Y497:Y499),"0")</f>
        <v>336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49</v>
      </c>
      <c r="Y503" s="616">
        <f t="shared" ref="Y503:Y509" si="63">IFERROR(IF(X503="",0,CEILING((X503/$H503),1)*$H503),"")</f>
        <v>52.800000000000004</v>
      </c>
      <c r="Z503" s="36">
        <f>IFERROR(IF(Y503=0,"",ROUNDUP(Y503/H503,0)*0.01196),"")</f>
        <v>0.1196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52.248106060606062</v>
      </c>
      <c r="BN503" s="64">
        <f t="shared" ref="BN503:BN509" si="65">IFERROR(Y503*I503/H503,"0")</f>
        <v>56.3</v>
      </c>
      <c r="BO503" s="64">
        <f t="shared" ref="BO503:BO509" si="66">IFERROR(1/J503*(X503/H503),"0")</f>
        <v>8.9233682983682977E-2</v>
      </c>
      <c r="BP503" s="64">
        <f t="shared" ref="BP503:BP509" si="67">IFERROR(1/J503*(Y503/H503),"0")</f>
        <v>9.6153846153846159E-2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76</v>
      </c>
      <c r="Y504" s="616">
        <f t="shared" si="63"/>
        <v>79.2</v>
      </c>
      <c r="Z504" s="36">
        <f>IFERROR(IF(Y504=0,"",ROUNDUP(Y504/H504,0)*0.01196),"")</f>
        <v>0.1794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81.037878787878782</v>
      </c>
      <c r="BN504" s="64">
        <f t="shared" si="65"/>
        <v>84.45</v>
      </c>
      <c r="BO504" s="64">
        <f t="shared" si="66"/>
        <v>0.13840326340326339</v>
      </c>
      <c r="BP504" s="64">
        <f t="shared" si="67"/>
        <v>0.14423076923076925</v>
      </c>
    </row>
    <row r="505" spans="1:68" ht="27" hidden="1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23.674242424242422</v>
      </c>
      <c r="Y510" s="617">
        <f>IFERROR(Y503/H503,"0")+IFERROR(Y504/H504,"0")+IFERROR(Y505/H505,"0")+IFERROR(Y506/H506,"0")+IFERROR(Y507/H507,"0")+IFERROR(Y508/H508,"0")+IFERROR(Y509/H509,"0")</f>
        <v>25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0.29899999999999999</v>
      </c>
      <c r="AA510" s="618"/>
      <c r="AB510" s="618"/>
      <c r="AC510" s="618"/>
    </row>
    <row r="511" spans="1:68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125</v>
      </c>
      <c r="Y511" s="617">
        <f>IFERROR(SUM(Y503:Y509),"0")</f>
        <v>132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209</v>
      </c>
      <c r="Y528" s="616">
        <f>IFERROR(IF(X528="",0,CEILING((X528/$H528),1)*$H528),"")</f>
        <v>216</v>
      </c>
      <c r="Z528" s="36">
        <f>IFERROR(IF(Y528=0,"",ROUNDUP(Y528/H528,0)*0.01898),"")</f>
        <v>0.45552000000000004</v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220.47177777777776</v>
      </c>
      <c r="BN528" s="64">
        <f>IFERROR(Y528*I528/H528,"0")</f>
        <v>227.85599999999997</v>
      </c>
      <c r="BO528" s="64">
        <f>IFERROR(1/J528*(X528/H528),"0")</f>
        <v>0.36284722222222221</v>
      </c>
      <c r="BP528" s="64">
        <f>IFERROR(1/J528*(Y528/H528),"0")</f>
        <v>0.375</v>
      </c>
    </row>
    <row r="529" spans="1:68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23.222222222222221</v>
      </c>
      <c r="Y529" s="617">
        <f>IFERROR(Y528/H528,"0")</f>
        <v>24</v>
      </c>
      <c r="Z529" s="617">
        <f>IFERROR(IF(Z528="",0,Z528),"0")</f>
        <v>0.45552000000000004</v>
      </c>
      <c r="AA529" s="618"/>
      <c r="AB529" s="618"/>
      <c r="AC529" s="618"/>
    </row>
    <row r="530" spans="1:68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209</v>
      </c>
      <c r="Y530" s="617">
        <f>IFERROR(SUM(Y528:Y528),"0")</f>
        <v>216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9683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9815.5400000000009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10157.327006126587</v>
      </c>
      <c r="Y542" s="617">
        <f>IFERROR(SUM(BN22:BN538),"0")</f>
        <v>10296.709999999997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16</v>
      </c>
      <c r="Y543" s="38">
        <f>ROUNDUP(SUM(BP22:BP538),0)</f>
        <v>16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10557.327006126587</v>
      </c>
      <c r="Y544" s="617">
        <f>GrossWeightTotalR+PalletQtyTotalR*25</f>
        <v>10696.709999999997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1397.9525850692517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1420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18.074209999999997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21.6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151.6</v>
      </c>
      <c r="F551" s="46">
        <f>IFERROR(Y88*1,"0")+IFERROR(Y89*1,"0")+IFERROR(Y90*1,"0")+IFERROR(Y91*1,"0")+IFERROR(Y95*1,"0")+IFERROR(Y96*1,"0")+IFERROR(Y97*1,"0")+IFERROR(Y98*1,"0")</f>
        <v>261.90000000000003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505</v>
      </c>
      <c r="H551" s="46">
        <f>IFERROR(Y132*1,"0")+IFERROR(Y133*1,"0")+IFERROR(Y137*1,"0")+IFERROR(Y138*1,"0")+IFERROR(Y142*1,"0")+IFERROR(Y143*1,"0")</f>
        <v>46.24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84.56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104.16000000000001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869.10000000000014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110.39999999999999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85.8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369.3</v>
      </c>
      <c r="U551" s="46">
        <f>IFERROR(Y404*1,"0")+IFERROR(Y405*1,"0")+IFERROR(Y406*1,"0")</f>
        <v>54.6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4971</v>
      </c>
      <c r="W551" s="46">
        <f>IFERROR(Y441*1,"0")+IFERROR(Y442*1,"0")+IFERROR(Y446*1,"0")+IFERROR(Y450*1,"0")+IFERROR(Y451*1,"0")+IFERROR(Y452*1,"0")</f>
        <v>1098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102.60000000000001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763.68000000000006</v>
      </c>
      <c r="AA551" s="46">
        <f>IFERROR(Y515*1,"0")+IFERROR(Y519*1,"0")+IFERROR(Y523*1,"0")+IFERROR(Y524*1,"0")+IFERROR(Y528*1,"0")+IFERROR(Y532*1,"0")+IFERROR(Y533*1,"0")</f>
        <v>216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6"/>
        <filter val="0,63"/>
        <filter val="1 095,00"/>
        <filter val="1 233,00"/>
        <filter val="1 397,95"/>
        <filter val="1 721,00"/>
        <filter val="1 818,00"/>
        <filter val="1,48"/>
        <filter val="1,59"/>
        <filter val="10 157,33"/>
        <filter val="10 557,33"/>
        <filter val="10,13"/>
        <filter val="10,23"/>
        <filter val="101,00"/>
        <filter val="108,00"/>
        <filter val="11,00"/>
        <filter val="110,00"/>
        <filter val="114,00"/>
        <filter val="115,00"/>
        <filter val="12,00"/>
        <filter val="12,92"/>
        <filter val="121,20"/>
        <filter val="121,67"/>
        <filter val="125,00"/>
        <filter val="132,00"/>
        <filter val="137,00"/>
        <filter val="14,00"/>
        <filter val="150,00"/>
        <filter val="151,00"/>
        <filter val="16"/>
        <filter val="16,00"/>
        <filter val="165,00"/>
        <filter val="17,56"/>
        <filter val="171,00"/>
        <filter val="18,70"/>
        <filter val="19,00"/>
        <filter val="193,00"/>
        <filter val="199,00"/>
        <filter val="2,00"/>
        <filter val="20,36"/>
        <filter val="205,27"/>
        <filter val="207,00"/>
        <filter val="209,00"/>
        <filter val="21,00"/>
        <filter val="224,10"/>
        <filter val="23,00"/>
        <filter val="23,22"/>
        <filter val="23,67"/>
        <filter val="25,71"/>
        <filter val="260,00"/>
        <filter val="268,00"/>
        <filter val="27,00"/>
        <filter val="282,00"/>
        <filter val="292,00"/>
        <filter val="3 079,00"/>
        <filter val="3,89"/>
        <filter val="3,97"/>
        <filter val="30,71"/>
        <filter val="31,00"/>
        <filter val="316,00"/>
        <filter val="335,00"/>
        <filter val="35,00"/>
        <filter val="36,00"/>
        <filter val="37,00"/>
        <filter val="370,00"/>
        <filter val="4,00"/>
        <filter val="40,00"/>
        <filter val="42,00"/>
        <filter val="43,62"/>
        <filter val="44,81"/>
        <filter val="45,83"/>
        <filter val="46,02"/>
        <filter val="49,00"/>
        <filter val="5,00"/>
        <filter val="50,00"/>
        <filter val="52,22"/>
        <filter val="54,00"/>
        <filter val="55,30"/>
        <filter val="551,00"/>
        <filter val="56,00"/>
        <filter val="566,00"/>
        <filter val="57,00"/>
        <filter val="6,00"/>
        <filter val="6,67"/>
        <filter val="63,81"/>
        <filter val="65,00"/>
        <filter val="75,00"/>
        <filter val="76,00"/>
        <filter val="79,00"/>
        <filter val="793,00"/>
        <filter val="85,00"/>
        <filter val="9 683,00"/>
        <filter val="93,00"/>
        <filter val="96,30"/>
        <filter val="97,0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