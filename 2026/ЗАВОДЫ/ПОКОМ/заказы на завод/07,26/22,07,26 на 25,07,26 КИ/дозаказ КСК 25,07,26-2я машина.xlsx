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B8627B-565F-4C7D-A62C-6D52BF4CD61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Y532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N498" i="2"/>
  <c r="BM498" i="2"/>
  <c r="Y498" i="2"/>
  <c r="BP498" i="2" s="1"/>
  <c r="P498" i="2"/>
  <c r="BO497" i="2"/>
  <c r="BM497" i="2"/>
  <c r="Y497" i="2"/>
  <c r="P497" i="2"/>
  <c r="BO496" i="2"/>
  <c r="BN496" i="2"/>
  <c r="BM496" i="2"/>
  <c r="Y496" i="2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N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Y458" i="2"/>
  <c r="X458" i="2"/>
  <c r="BO457" i="2"/>
  <c r="BM457" i="2"/>
  <c r="Z457" i="2"/>
  <c r="Z458" i="2" s="1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N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N364" i="2"/>
  <c r="BM364" i="2"/>
  <c r="Z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Y360" i="2" s="1"/>
  <c r="P357" i="2"/>
  <c r="BO356" i="2"/>
  <c r="BM356" i="2"/>
  <c r="Y356" i="2"/>
  <c r="BP356" i="2" s="1"/>
  <c r="P356" i="2"/>
  <c r="X353" i="2"/>
  <c r="X352" i="2"/>
  <c r="BO351" i="2"/>
  <c r="BN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N346" i="2" s="1"/>
  <c r="P346" i="2"/>
  <c r="BO345" i="2"/>
  <c r="BN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Z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N304" i="2"/>
  <c r="BM304" i="2"/>
  <c r="Z304" i="2"/>
  <c r="Y304" i="2"/>
  <c r="BP304" i="2" s="1"/>
  <c r="P304" i="2"/>
  <c r="BO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Z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N284" i="2"/>
  <c r="BM284" i="2"/>
  <c r="Y284" i="2"/>
  <c r="BP284" i="2" s="1"/>
  <c r="P284" i="2"/>
  <c r="BO283" i="2"/>
  <c r="BM283" i="2"/>
  <c r="Z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P273" i="2"/>
  <c r="BO273" i="2"/>
  <c r="BM273" i="2"/>
  <c r="Z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N264" i="2"/>
  <c r="BM264" i="2"/>
  <c r="Z264" i="2"/>
  <c r="Y264" i="2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Y249" i="2"/>
  <c r="BN249" i="2" s="1"/>
  <c r="P249" i="2"/>
  <c r="BO248" i="2"/>
  <c r="BM248" i="2"/>
  <c r="Z248" i="2"/>
  <c r="Y248" i="2"/>
  <c r="P248" i="2"/>
  <c r="X246" i="2"/>
  <c r="X245" i="2"/>
  <c r="BO244" i="2"/>
  <c r="BM244" i="2"/>
  <c r="Z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N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N231" i="2"/>
  <c r="BM231" i="2"/>
  <c r="Z231" i="2"/>
  <c r="Y231" i="2"/>
  <c r="P231" i="2"/>
  <c r="BO230" i="2"/>
  <c r="BM230" i="2"/>
  <c r="Z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N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N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Y204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N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N186" i="2"/>
  <c r="BM186" i="2"/>
  <c r="Y186" i="2"/>
  <c r="BP186" i="2" s="1"/>
  <c r="P186" i="2"/>
  <c r="BO185" i="2"/>
  <c r="BM185" i="2"/>
  <c r="Z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N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P168" i="2"/>
  <c r="BO168" i="2"/>
  <c r="BM168" i="2"/>
  <c r="Y168" i="2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Y158" i="2" s="1"/>
  <c r="P154" i="2"/>
  <c r="X151" i="2"/>
  <c r="X150" i="2"/>
  <c r="BO149" i="2"/>
  <c r="BM149" i="2"/>
  <c r="Y149" i="2"/>
  <c r="BP149" i="2" s="1"/>
  <c r="P149" i="2"/>
  <c r="BO148" i="2"/>
  <c r="BN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Z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N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N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N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Y79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N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59" i="2" l="1"/>
  <c r="BN383" i="2"/>
  <c r="BN517" i="2"/>
  <c r="Y55" i="2"/>
  <c r="Z173" i="2"/>
  <c r="BN209" i="2"/>
  <c r="Z425" i="2"/>
  <c r="BN429" i="2"/>
  <c r="Z472" i="2"/>
  <c r="Z31" i="2"/>
  <c r="BN416" i="2"/>
  <c r="BN472" i="2"/>
  <c r="Z504" i="2"/>
  <c r="Z192" i="2"/>
  <c r="Y323" i="2"/>
  <c r="BN358" i="2"/>
  <c r="BN72" i="2"/>
  <c r="Z90" i="2"/>
  <c r="Z134" i="2"/>
  <c r="Z167" i="2"/>
  <c r="BP185" i="2"/>
  <c r="BN259" i="2"/>
  <c r="BP283" i="2"/>
  <c r="Z373" i="2"/>
  <c r="BN457" i="2"/>
  <c r="Z113" i="2"/>
  <c r="Z157" i="2"/>
  <c r="BN373" i="2"/>
  <c r="Z402" i="2"/>
  <c r="BN473" i="2"/>
  <c r="BN106" i="2"/>
  <c r="BN120" i="2"/>
  <c r="Z35" i="2"/>
  <c r="Z36" i="2" s="1"/>
  <c r="Z280" i="2"/>
  <c r="Z320" i="2"/>
  <c r="Z328" i="2"/>
  <c r="BP127" i="2"/>
  <c r="Z363" i="2"/>
  <c r="Y128" i="2"/>
  <c r="BN441" i="2"/>
  <c r="Y25" i="2"/>
  <c r="Z22" i="2"/>
  <c r="Y151" i="2"/>
  <c r="BP363" i="2"/>
  <c r="BN396" i="2"/>
  <c r="Z428" i="2"/>
  <c r="BP35" i="2"/>
  <c r="Y137" i="2"/>
  <c r="Y262" i="2"/>
  <c r="Z270" i="2"/>
  <c r="Z356" i="2"/>
  <c r="BN389" i="2"/>
  <c r="BN77" i="2"/>
  <c r="F561" i="2"/>
  <c r="BP187" i="2"/>
  <c r="BN274" i="2"/>
  <c r="BN368" i="2"/>
  <c r="Y37" i="2"/>
  <c r="Z122" i="2"/>
  <c r="BP428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24" i="2" s="1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17" i="2" l="1"/>
  <c r="Z136" i="2"/>
  <c r="Z245" i="2"/>
  <c r="Z292" i="2"/>
  <c r="Z277" i="2"/>
  <c r="Z480" i="2"/>
  <c r="Z215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<sst xmlns="http://schemas.openxmlformats.org/spreadsheetml/2006/main" count="4194" uniqueCount="891">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</sst>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46228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0.41666666666666669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2000</v>
      </c>
      <c r="Y424" s="53">
        <f t="shared" si="52"/>
        <v>2010</v>
      </c>
      <c r="Z424" s="39">
        <f>IFERROR(IF(Y424=0,"",ROUNDUP(Y424/H424,0)*0.02175),"")</f>
        <v>2.9144999999999999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2062.6666666666665</v>
      </c>
      <c r="BN424" s="75">
        <f t="shared" si="54"/>
        <v>2072.98</v>
      </c>
      <c r="BO424" s="75">
        <f t="shared" si="55"/>
        <v>2.7777777777777777</v>
      </c>
      <c r="BP424" s="75">
        <f t="shared" si="56"/>
        <v>2.7916666666666665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2000</v>
      </c>
      <c r="Y426" s="53">
        <f t="shared" si="52"/>
        <v>2010</v>
      </c>
      <c r="Z426" s="39">
        <f>IFERROR(IF(Y426=0,"",ROUNDUP(Y426/H426,0)*0.02175),"")</f>
        <v>2.9144999999999999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2062.6666666666665</v>
      </c>
      <c r="BN426" s="75">
        <f t="shared" si="54"/>
        <v>2072.98</v>
      </c>
      <c r="BO426" s="75">
        <f t="shared" si="55"/>
        <v>2.7777777777777777</v>
      </c>
      <c r="BP426" s="75">
        <f t="shared" si="56"/>
        <v>2.7916666666666665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266.66666666666669</v>
      </c>
      <c r="Y431" s="41">
        <f>IFERROR(Y423/H423,"0")+IFERROR(Y424/H424,"0")+IFERROR(Y425/H425,"0")+IFERROR(Y426/H426,"0")+IFERROR(Y427/H427,"0")+IFERROR(Y428/H428,"0")+IFERROR(Y429/H429,"0")+IFERROR(Y430/H430,"0")</f>
        <v>268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5.8289999999999997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4000</v>
      </c>
      <c r="Y432" s="41">
        <f>IFERROR(SUM(Y423:Y430),"0")</f>
        <v>4020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4000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4020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4125.333333333333</v>
      </c>
      <c r="Y552" s="41">
        <f>IFERROR(SUM(BN22:BN548),"0")</f>
        <v>4145.96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6</v>
      </c>
      <c r="Y553" s="42">
        <f>ROUNDUP(SUM(BP22:BP548),0)</f>
        <v>6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4275.333333333333</v>
      </c>
      <c r="Y554" s="41">
        <f>GrossWeightTotalR+PalletQtyTotalR*25</f>
        <v>4295.96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266.66666666666669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268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5.8289999999999997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4020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000,00"/>
        <filter val="266,67"/>
        <filter val="4 000,00"/>
        <filter val="4 125,33"/>
        <filter val="4 275,33"/>
        <filter val="6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2026-07-24T14:59:48Z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