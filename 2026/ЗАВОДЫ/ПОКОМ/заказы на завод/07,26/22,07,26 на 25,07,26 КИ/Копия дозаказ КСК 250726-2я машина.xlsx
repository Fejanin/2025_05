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676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N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79" i="2" l="1"/>
  <c r="BN61" i="2"/>
  <c r="Y158" i="2"/>
  <c r="BN373" i="2"/>
  <c r="BN77" i="2"/>
  <c r="Z373" i="2"/>
  <c r="Z457" i="2"/>
  <c r="Z458" i="2" s="1"/>
  <c r="BN358" i="2"/>
  <c r="BN470" i="2"/>
  <c r="Y151" i="2"/>
  <c r="BP283" i="2"/>
  <c r="Z250" i="2"/>
  <c r="BP185" i="2"/>
  <c r="Z364" i="2"/>
  <c r="BN457" i="2"/>
  <c r="BP264" i="2"/>
  <c r="Y323" i="2"/>
  <c r="BN30" i="2"/>
  <c r="BN259" i="2"/>
  <c r="Z113" i="2"/>
  <c r="Z182" i="2"/>
  <c r="BP187" i="2"/>
  <c r="BN290" i="2"/>
  <c r="Z304" i="2"/>
  <c r="BN429" i="2"/>
  <c r="Y458" i="2"/>
  <c r="Z59" i="2"/>
  <c r="Z192" i="2"/>
  <c r="Z273" i="2"/>
  <c r="Y532" i="2"/>
  <c r="BN82" i="2"/>
  <c r="BP202" i="2"/>
  <c r="F561" i="2"/>
  <c r="Z173" i="2"/>
  <c r="BN209" i="2"/>
  <c r="Z280" i="2"/>
  <c r="Z320" i="2"/>
  <c r="Z346" i="2"/>
  <c r="BN389" i="2"/>
  <c r="Z402" i="2"/>
  <c r="BN304" i="2"/>
  <c r="Y37" i="2"/>
  <c r="Y55" i="2"/>
  <c r="BN72" i="2"/>
  <c r="Y412" i="2"/>
  <c r="BN28" i="2"/>
  <c r="Z157" i="2"/>
  <c r="Z244" i="2"/>
  <c r="Z290" i="2"/>
  <c r="BP363" i="2"/>
  <c r="Y137" i="2"/>
  <c r="BN155" i="2"/>
  <c r="Y262" i="2"/>
  <c r="Z302" i="2"/>
  <c r="Y360" i="2"/>
  <c r="BN472" i="2"/>
  <c r="BN498" i="2"/>
  <c r="Z504" i="2"/>
  <c r="BN148" i="2"/>
  <c r="BN274" i="2"/>
  <c r="BN383" i="2"/>
  <c r="BN441" i="2"/>
  <c r="Z90" i="2"/>
  <c r="Z231" i="2"/>
  <c r="Z35" i="2"/>
  <c r="Z36" i="2" s="1"/>
  <c r="BN115" i="2"/>
  <c r="BP127" i="2"/>
  <c r="BN132" i="2"/>
  <c r="Z134" i="2"/>
  <c r="Z167" i="2"/>
  <c r="BN186" i="2"/>
  <c r="Z264" i="2"/>
  <c r="Z266" i="2" s="1"/>
  <c r="BN284" i="2"/>
  <c r="Z328" i="2"/>
  <c r="BN396" i="2"/>
  <c r="BN402" i="2"/>
  <c r="Z428" i="2"/>
  <c r="BN463" i="2"/>
  <c r="BN515" i="2"/>
  <c r="Z31" i="2"/>
  <c r="Z43" i="2"/>
  <c r="Z156" i="2"/>
  <c r="Z185" i="2"/>
  <c r="BN214" i="2"/>
  <c r="BN231" i="2"/>
  <c r="Z270" i="2"/>
  <c r="Z283" i="2"/>
  <c r="BN288" i="2"/>
  <c r="Z356" i="2"/>
  <c r="Z363" i="2"/>
  <c r="BN364" i="2"/>
  <c r="BN416" i="2"/>
  <c r="BN446" i="2"/>
  <c r="Y128" i="2"/>
  <c r="BN226" i="2"/>
  <c r="Z230" i="2"/>
  <c r="BP273" i="2"/>
  <c r="BN473" i="2"/>
  <c r="BN517" i="2"/>
  <c r="Y25" i="2"/>
  <c r="BP35" i="2"/>
  <c r="BN106" i="2"/>
  <c r="BN120" i="2"/>
  <c r="Z122" i="2"/>
  <c r="BN235" i="2"/>
  <c r="Z336" i="2"/>
  <c r="BN351" i="2"/>
  <c r="BN374" i="2"/>
  <c r="Z425" i="2"/>
  <c r="BP428" i="2"/>
  <c r="Z47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32" i="2"/>
  <c r="Z411" i="2"/>
  <c r="Z475" i="2"/>
  <c r="Z124" i="2"/>
  <c r="Z322" i="2"/>
  <c r="Z464" i="2"/>
  <c r="Z277" i="2"/>
  <c r="X554" i="2"/>
  <c r="Z174" i="2"/>
  <c r="Z405" i="2"/>
  <c r="Z418" i="2"/>
  <c r="Z150" i="2"/>
  <c r="Z117" i="2"/>
  <c r="Z480" i="2"/>
  <c r="Z245" i="2"/>
  <c r="Z338" i="2"/>
  <c r="Z359" i="2"/>
  <c r="Z215" i="2"/>
  <c r="Z158" i="2"/>
  <c r="Z369" i="2"/>
  <c r="Z386" i="2"/>
  <c r="Z29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<sst xmlns="http://schemas.openxmlformats.org/spreadsheetml/2006/main" count="4194" uniqueCount="891">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</sst>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1"/>
  <sheetViews>
    <sheetView showGridLines="0" tabSelected="1" topLeftCell="H543" zoomScaleNormal="100" zoomScaleSheetLayoutView="100" workbookViewId="0">
      <selection activeCell="X424" sqref="X424"/>
    </sheetView>
  </sheetViews>
  <sheetFormatPr defaultColWidth="9.1796875" defaultRowHeight="13" x14ac:dyDescent="0.3"/>
  <cols>
    <col min="1" max="1" width="9.1796875" style="1"/>
    <col min="2" max="2" width="10.81640625" style="4" customWidth="1"/>
    <col min="3" max="3" width="12.54296875" style="4" customWidth="1"/>
    <col min="4" max="4" width="6.453125" style="4" customWidth="1"/>
    <col min="5" max="5" width="6.81640625" style="4" customWidth="1"/>
    <col min="6" max="6" width="8.453125" style="4" customWidth="1"/>
    <col min="7" max="7" width="9.453125" style="4" customWidth="1"/>
    <col min="8" max="8" width="11.81640625" style="4" customWidth="1"/>
    <col min="9" max="9" width="9.453125" style="4" customWidth="1"/>
    <col min="10" max="10" width="9.1796875" style="5" customWidth="1"/>
    <col min="11" max="12" width="13.81640625" style="5" customWidth="1"/>
    <col min="13" max="13" width="9.453125" style="5" customWidth="1"/>
    <col min="14" max="14" width="15.81640625" style="5" hidden="1" customWidth="1"/>
    <col min="15" max="15" width="10.453125" style="4" customWidth="1"/>
    <col min="16" max="16" width="7.453125" style="2" customWidth="1"/>
    <col min="17" max="17" width="15.54296875" style="2" customWidth="1"/>
    <col min="18" max="18" width="8.1796875" style="1" customWidth="1"/>
    <col min="19" max="19" width="6.1796875" style="1" customWidth="1"/>
    <col min="20" max="20" width="10.81640625" style="3" customWidth="1"/>
    <col min="21" max="21" width="10.453125" style="3" customWidth="1"/>
    <col min="22" max="22" width="9.453125" style="3" customWidth="1"/>
    <col min="23" max="23" width="8.453125" style="3" customWidth="1"/>
    <col min="24" max="24" width="10" style="1" customWidth="1"/>
    <col min="25" max="25" width="11" style="1" customWidth="1"/>
    <col min="26" max="26" width="10" style="1" customWidth="1"/>
    <col min="27" max="27" width="11.54296875" style="1" customWidth="1"/>
    <col min="28" max="28" width="10.453125" style="1" customWidth="1"/>
    <col min="29" max="29" width="30" style="1" customWidth="1"/>
    <col min="30" max="30" width="11.453125" style="60" bestFit="1" customWidth="1"/>
    <col min="31" max="31" width="9.1796875" style="60"/>
    <col min="32" max="32" width="8.81640625" style="60" customWidth="1"/>
    <col min="33" max="33" width="13.54296875" style="1" customWidth="1"/>
    <col min="34" max="16384" width="9.1796875" style="1"/>
  </cols>
  <sheetData>
    <row r="1" spans="1:32" s="17" customFormat="1" ht="45" customHeight="1" x14ac:dyDescent="0.25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5" customHeight="1" x14ac:dyDescent="0.25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46228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5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Суббота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5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40" customHeight="1" x14ac:dyDescent="0.25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5" customHeight="1" x14ac:dyDescent="0.25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6" customHeight="1" x14ac:dyDescent="0.3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49999999999999" customHeight="1" x14ac:dyDescent="0.25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5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49999999999999" customHeight="1" x14ac:dyDescent="0.25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3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5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5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3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3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3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3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12.5" x14ac:dyDescent="0.25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t="12.5" x14ac:dyDescent="0.25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3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3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3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3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3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3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t="12.5" x14ac:dyDescent="0.25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t="12.5" x14ac:dyDescent="0.25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3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3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t="12.5" x14ac:dyDescent="0.25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t="12.5" x14ac:dyDescent="0.25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5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customHeight="1" x14ac:dyDescent="0.3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customHeight="1" x14ac:dyDescent="0.3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3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3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3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3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3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12.5" x14ac:dyDescent="0.25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t="12.5" x14ac:dyDescent="0.25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5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customHeight="1" x14ac:dyDescent="0.3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customHeight="1" x14ac:dyDescent="0.3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3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3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3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3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12.5" x14ac:dyDescent="0.25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t="12.5" x14ac:dyDescent="0.25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3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customHeight="1" x14ac:dyDescent="0.3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3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3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3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3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3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3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3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3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t="12.5" x14ac:dyDescent="0.25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t="12.5" x14ac:dyDescent="0.25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3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3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3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3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3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2.5" x14ac:dyDescent="0.25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t="12.5" x14ac:dyDescent="0.25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3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3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3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12.5" x14ac:dyDescent="0.25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t="12.5" x14ac:dyDescent="0.25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3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3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3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12.5" x14ac:dyDescent="0.25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t="12.5" x14ac:dyDescent="0.25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3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customHeight="1" x14ac:dyDescent="0.3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3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3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3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3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12.5" x14ac:dyDescent="0.25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t="12.5" x14ac:dyDescent="0.25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3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3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3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3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3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2.5" x14ac:dyDescent="0.25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t="12.5" x14ac:dyDescent="0.25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3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customHeight="1" x14ac:dyDescent="0.3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3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3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3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3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3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3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12.5" x14ac:dyDescent="0.25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t="12.5" x14ac:dyDescent="0.25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3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3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3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3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3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3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2.5" x14ac:dyDescent="0.25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t="12.5" x14ac:dyDescent="0.25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3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3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3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3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3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2.5" x14ac:dyDescent="0.25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t="12.5" x14ac:dyDescent="0.25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3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3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12.5" x14ac:dyDescent="0.25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t="12.5" x14ac:dyDescent="0.25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3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customHeight="1" x14ac:dyDescent="0.3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customHeight="1" x14ac:dyDescent="0.3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3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3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3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2.5" x14ac:dyDescent="0.25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t="12.5" x14ac:dyDescent="0.25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3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customHeight="1" x14ac:dyDescent="0.3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3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3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3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2.5" x14ac:dyDescent="0.25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t="12.5" x14ac:dyDescent="0.25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3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customHeight="1" x14ac:dyDescent="0.3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3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3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3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2.5" x14ac:dyDescent="0.25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t="12.5" x14ac:dyDescent="0.25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3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customHeight="1" x14ac:dyDescent="0.3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3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3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3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3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12.5" x14ac:dyDescent="0.25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t="12.5" x14ac:dyDescent="0.25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3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3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2.5" x14ac:dyDescent="0.25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t="12.5" x14ac:dyDescent="0.25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3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customHeight="1" x14ac:dyDescent="0.3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3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3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3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2.5" x14ac:dyDescent="0.25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t="12.5" x14ac:dyDescent="0.25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3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customHeight="1" x14ac:dyDescent="0.3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3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12.5" x14ac:dyDescent="0.25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t="12.5" x14ac:dyDescent="0.25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3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3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3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3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3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3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3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3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3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3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3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3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t="12.5" x14ac:dyDescent="0.25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t="12.5" x14ac:dyDescent="0.25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3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3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3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3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12.5" x14ac:dyDescent="0.25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t="12.5" x14ac:dyDescent="0.25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3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3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3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2.5" x14ac:dyDescent="0.25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t="12.5" x14ac:dyDescent="0.25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3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customHeight="1" x14ac:dyDescent="0.3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t="12.5" x14ac:dyDescent="0.25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t="12.5" x14ac:dyDescent="0.25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5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customHeight="1" x14ac:dyDescent="0.3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customHeight="1" x14ac:dyDescent="0.3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customHeight="1" x14ac:dyDescent="0.3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3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3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3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3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3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3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t="12.5" x14ac:dyDescent="0.25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t="12.5" x14ac:dyDescent="0.25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3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customHeight="1" x14ac:dyDescent="0.3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3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12.5" x14ac:dyDescent="0.25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t="12.5" x14ac:dyDescent="0.25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3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3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3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3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3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3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3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3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3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3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3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3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3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3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3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12.5" x14ac:dyDescent="0.25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t="12.5" x14ac:dyDescent="0.25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3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customHeight="1" x14ac:dyDescent="0.3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3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3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3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3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12.5" x14ac:dyDescent="0.25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t="12.5" x14ac:dyDescent="0.25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3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3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3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3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2.5" x14ac:dyDescent="0.25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t="12.5" x14ac:dyDescent="0.25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3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3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2.5" x14ac:dyDescent="0.25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t="12.5" x14ac:dyDescent="0.25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3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customHeight="1" x14ac:dyDescent="0.3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customHeight="1" x14ac:dyDescent="0.3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3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2.5" x14ac:dyDescent="0.25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t="12.5" x14ac:dyDescent="0.25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3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customHeight="1" x14ac:dyDescent="0.3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3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12.5" x14ac:dyDescent="0.25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t="12.5" x14ac:dyDescent="0.25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3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3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3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3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3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3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3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3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3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t="12.5" x14ac:dyDescent="0.25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t="12.5" x14ac:dyDescent="0.25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3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3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3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3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3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3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3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3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3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3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3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3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3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t="12.5" x14ac:dyDescent="0.25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t="12.5" x14ac:dyDescent="0.25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3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3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3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12.5" x14ac:dyDescent="0.25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t="12.5" x14ac:dyDescent="0.25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3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customHeight="1" x14ac:dyDescent="0.3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customHeight="1" x14ac:dyDescent="0.3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3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3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3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3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3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3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t="12.5" x14ac:dyDescent="0.25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t="12.5" x14ac:dyDescent="0.25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3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3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12.5" x14ac:dyDescent="0.25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t="12.5" x14ac:dyDescent="0.25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3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3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2.5" x14ac:dyDescent="0.25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t="12.5" x14ac:dyDescent="0.25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3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customHeight="1" x14ac:dyDescent="0.3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3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3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2.5" x14ac:dyDescent="0.25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t="12.5" x14ac:dyDescent="0.25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3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customHeight="1" x14ac:dyDescent="0.3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3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3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3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3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3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12.5" x14ac:dyDescent="0.25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t="12.5" x14ac:dyDescent="0.25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3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customHeight="1" x14ac:dyDescent="0.3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customHeight="1" x14ac:dyDescent="0.3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3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3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12.5" x14ac:dyDescent="0.25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t="12.5" x14ac:dyDescent="0.25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3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customHeight="1" x14ac:dyDescent="0.3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3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3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3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3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3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12.5" x14ac:dyDescent="0.25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t="12.5" x14ac:dyDescent="0.25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3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3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3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12.5" x14ac:dyDescent="0.25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t="12.5" x14ac:dyDescent="0.25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3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customHeight="1" x14ac:dyDescent="0.3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3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3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3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12.5" x14ac:dyDescent="0.25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t="12.5" x14ac:dyDescent="0.25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3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customHeight="1" x14ac:dyDescent="0.3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3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3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3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3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3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3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t="12.5" x14ac:dyDescent="0.25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t="12.5" x14ac:dyDescent="0.25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3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3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3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3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3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3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3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3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t="12.5" x14ac:dyDescent="0.25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t="12.5" x14ac:dyDescent="0.25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3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3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3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3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3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12.5" x14ac:dyDescent="0.25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t="12.5" x14ac:dyDescent="0.25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3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3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3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3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12.5" x14ac:dyDescent="0.25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t="12.5" x14ac:dyDescent="0.25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3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3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3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3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3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12.5" x14ac:dyDescent="0.25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t="12.5" x14ac:dyDescent="0.25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3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3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3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3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12.5" x14ac:dyDescent="0.25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t="12.5" x14ac:dyDescent="0.25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3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3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3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3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2.5" x14ac:dyDescent="0.25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t="12.5" x14ac:dyDescent="0.25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3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customHeight="1" x14ac:dyDescent="0.3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3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3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3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2.5" x14ac:dyDescent="0.25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t="12.5" x14ac:dyDescent="0.25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5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customHeight="1" x14ac:dyDescent="0.3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customHeight="1" x14ac:dyDescent="0.3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3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3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150</v>
      </c>
      <c r="Y424" s="55">
        <f t="shared" si="52"/>
        <v>150</v>
      </c>
      <c r="Z424" s="41">
        <f>IFERROR(IF(Y424=0,"",ROUNDUP(Y424/H424,0)*0.02175),"")</f>
        <v>0.21749999999999997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154.69999999999999</v>
      </c>
      <c r="BN424" s="78">
        <f t="shared" si="54"/>
        <v>154.69999999999999</v>
      </c>
      <c r="BO424" s="78">
        <f t="shared" si="55"/>
        <v>0.20833333333333331</v>
      </c>
      <c r="BP424" s="78">
        <f t="shared" si="56"/>
        <v>0.20833333333333331</v>
      </c>
    </row>
    <row r="425" spans="1:68" ht="27" customHeight="1" x14ac:dyDescent="0.3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3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150</v>
      </c>
      <c r="Y426" s="55">
        <f t="shared" si="52"/>
        <v>150</v>
      </c>
      <c r="Z426" s="41">
        <f>IFERROR(IF(Y426=0,"",ROUNDUP(Y426/H426,0)*0.02175),"")</f>
        <v>0.21749999999999997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154.69999999999999</v>
      </c>
      <c r="BN426" s="78">
        <f t="shared" si="54"/>
        <v>154.69999999999999</v>
      </c>
      <c r="BO426" s="78">
        <f t="shared" si="55"/>
        <v>0.20833333333333331</v>
      </c>
      <c r="BP426" s="78">
        <f t="shared" si="56"/>
        <v>0.20833333333333331</v>
      </c>
    </row>
    <row r="427" spans="1:68" ht="27" customHeight="1" x14ac:dyDescent="0.3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3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3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3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t="12.5" x14ac:dyDescent="0.25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20</v>
      </c>
      <c r="Y431" s="43">
        <f>IFERROR(Y423/H423,"0")+IFERROR(Y424/H424,"0")+IFERROR(Y425/H425,"0")+IFERROR(Y426/H426,"0")+IFERROR(Y427/H427,"0")+IFERROR(Y428/H428,"0")+IFERROR(Y429/H429,"0")+IFERROR(Y430/H430,"0")</f>
        <v>20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0.43499999999999994</v>
      </c>
      <c r="AA431" s="67"/>
      <c r="AB431" s="67"/>
      <c r="AC431" s="67"/>
    </row>
    <row r="432" spans="1:68" ht="12.5" x14ac:dyDescent="0.25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300</v>
      </c>
      <c r="Y432" s="43">
        <f>IFERROR(SUM(Y423:Y430),"0")</f>
        <v>300</v>
      </c>
      <c r="Z432" s="42"/>
      <c r="AA432" s="67"/>
      <c r="AB432" s="67"/>
      <c r="AC432" s="67"/>
    </row>
    <row r="433" spans="1:68" ht="14.25" customHeight="1" x14ac:dyDescent="0.3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3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3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3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2.5" x14ac:dyDescent="0.25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t="12.5" x14ac:dyDescent="0.25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3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3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3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3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2.5" x14ac:dyDescent="0.25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t="12.5" x14ac:dyDescent="0.25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3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3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3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2.5" x14ac:dyDescent="0.25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t="12.5" x14ac:dyDescent="0.25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3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customHeight="1" x14ac:dyDescent="0.3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3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3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12.5" x14ac:dyDescent="0.25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t="12.5" x14ac:dyDescent="0.25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3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customHeight="1" x14ac:dyDescent="0.3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12.5" x14ac:dyDescent="0.25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t="12.5" x14ac:dyDescent="0.25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3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3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3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3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12.5" x14ac:dyDescent="0.25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t="12.5" x14ac:dyDescent="0.25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5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customHeight="1" x14ac:dyDescent="0.3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customHeight="1" x14ac:dyDescent="0.3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3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3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3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3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3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3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t="12.5" x14ac:dyDescent="0.25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t="12.5" x14ac:dyDescent="0.25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3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3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3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12.5" x14ac:dyDescent="0.25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t="12.5" x14ac:dyDescent="0.25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3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customHeight="1" x14ac:dyDescent="0.3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3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2.5" x14ac:dyDescent="0.25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t="12.5" x14ac:dyDescent="0.25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3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3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3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3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2.5" x14ac:dyDescent="0.25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t="12.5" x14ac:dyDescent="0.25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5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customHeight="1" x14ac:dyDescent="0.3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customHeight="1" x14ac:dyDescent="0.3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3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3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3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3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3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3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3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3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3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t="12.5" x14ac:dyDescent="0.25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t="12.5" x14ac:dyDescent="0.25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3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3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3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3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2.5" x14ac:dyDescent="0.25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t="12.5" x14ac:dyDescent="0.25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3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3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3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3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3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3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3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3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t="12.5" x14ac:dyDescent="0.25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t="12.5" x14ac:dyDescent="0.25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5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customHeight="1" x14ac:dyDescent="0.3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customHeight="1" x14ac:dyDescent="0.3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3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t="12.5" x14ac:dyDescent="0.25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t="12.5" x14ac:dyDescent="0.25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3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customHeight="1" x14ac:dyDescent="0.3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t="12.5" x14ac:dyDescent="0.25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t="12.5" x14ac:dyDescent="0.25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3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3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t="12.5" x14ac:dyDescent="0.25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t="12.5" x14ac:dyDescent="0.25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3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3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t="12.5" x14ac:dyDescent="0.25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t="12.5" x14ac:dyDescent="0.25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3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3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3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12.5" x14ac:dyDescent="0.25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t="12.5" x14ac:dyDescent="0.25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3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customHeight="1" x14ac:dyDescent="0.3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customHeight="1" x14ac:dyDescent="0.3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12.5" x14ac:dyDescent="0.25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t="12.5" x14ac:dyDescent="0.25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5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300</v>
      </c>
      <c r="Z551" s="42"/>
      <c r="AA551" s="67"/>
      <c r="AB551" s="67"/>
      <c r="AC551" s="67"/>
    </row>
    <row r="552" spans="1:68" ht="12.5" x14ac:dyDescent="0.25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309.39999999999998</v>
      </c>
      <c r="Y552" s="43">
        <f>IFERROR(SUM(BN22:BN548),"0")</f>
        <v>309.39999999999998</v>
      </c>
      <c r="Z552" s="42"/>
      <c r="AA552" s="67"/>
      <c r="AB552" s="67"/>
      <c r="AC552" s="67"/>
    </row>
    <row r="553" spans="1:68" ht="12.5" x14ac:dyDescent="0.25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ht="12.5" x14ac:dyDescent="0.25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334.4</v>
      </c>
      <c r="Y554" s="43">
        <f>GrossWeightTotalR+PalletQtyTotalR*25</f>
        <v>334.4</v>
      </c>
      <c r="Z554" s="42"/>
      <c r="AA554" s="67"/>
      <c r="AB554" s="67"/>
      <c r="AC554" s="67"/>
    </row>
    <row r="555" spans="1:68" ht="12.5" x14ac:dyDescent="0.25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20</v>
      </c>
      <c r="Z555" s="42"/>
      <c r="AA555" s="67"/>
      <c r="AB555" s="67"/>
      <c r="AC555" s="67"/>
    </row>
    <row r="556" spans="1:68" ht="14.5" x14ac:dyDescent="0.25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0.43499999999999994</v>
      </c>
      <c r="AA556" s="67"/>
      <c r="AB556" s="67"/>
      <c r="AC556" s="67"/>
    </row>
    <row r="557" spans="1:68" ht="13.5" thickBot="1" x14ac:dyDescent="0.35"/>
    <row r="558" spans="1:68" ht="27" thickTop="1" thickBot="1" x14ac:dyDescent="0.3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5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thickBot="1" x14ac:dyDescent="0.3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5" thickTop="1" thickBot="1" x14ac:dyDescent="0.3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1640625" defaultRowHeight="12.5" x14ac:dyDescent="0.25"/>
  <cols>
    <col min="1" max="1" width="6.453125" customWidth="1"/>
    <col min="2" max="2" width="29.54296875" customWidth="1"/>
    <col min="3" max="3" width="34.1796875" customWidth="1"/>
    <col min="4" max="4" width="37.453125" customWidth="1"/>
  </cols>
  <sheetData>
    <row r="1" spans="2:8" x14ac:dyDescent="0.25">
      <c r="G1" t="s">
        <v>868</v>
      </c>
      <c r="H1" s="9"/>
    </row>
    <row r="3" spans="2:8" x14ac:dyDescent="0.25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5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5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5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5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Users</cp:lastModifiedBy>
  <dcterms:created xsi:type="dcterms:W3CDTF">2021-11-12T12:13:19Z</dcterms:created>
  <dcterms:modified xsi:type="dcterms:W3CDTF">2026-07-25T05:30:00Z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