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F12CE8-DB12-4288-A34A-CBBB758CDD8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P532" i="1" s="1"/>
  <c r="P532" i="1"/>
  <c r="X530" i="1"/>
  <c r="X529" i="1"/>
  <c r="BO528" i="1"/>
  <c r="BM528" i="1"/>
  <c r="Y528" i="1"/>
  <c r="P528" i="1"/>
  <c r="X526" i="1"/>
  <c r="X525" i="1"/>
  <c r="BO524" i="1"/>
  <c r="BM524" i="1"/>
  <c r="Y524" i="1"/>
  <c r="BP524" i="1" s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O508" i="1"/>
  <c r="BM508" i="1"/>
  <c r="Y508" i="1"/>
  <c r="BP508" i="1" s="1"/>
  <c r="P508" i="1"/>
  <c r="BO507" i="1"/>
  <c r="BM507" i="1"/>
  <c r="Y507" i="1"/>
  <c r="P507" i="1"/>
  <c r="BO506" i="1"/>
  <c r="BN506" i="1"/>
  <c r="BM506" i="1"/>
  <c r="Y506" i="1"/>
  <c r="BP506" i="1" s="1"/>
  <c r="P506" i="1"/>
  <c r="BO505" i="1"/>
  <c r="BM505" i="1"/>
  <c r="Y505" i="1"/>
  <c r="P505" i="1"/>
  <c r="BO504" i="1"/>
  <c r="BM504" i="1"/>
  <c r="Y504" i="1"/>
  <c r="BN504" i="1" s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M478" i="1"/>
  <c r="Z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Y475" i="1" s="1"/>
  <c r="P473" i="1"/>
  <c r="X470" i="1"/>
  <c r="X469" i="1"/>
  <c r="BO468" i="1"/>
  <c r="BM468" i="1"/>
  <c r="Y468" i="1"/>
  <c r="BP468" i="1" s="1"/>
  <c r="P468" i="1"/>
  <c r="BO467" i="1"/>
  <c r="BM467" i="1"/>
  <c r="Y467" i="1"/>
  <c r="P467" i="1"/>
  <c r="X465" i="1"/>
  <c r="X464" i="1"/>
  <c r="BO463" i="1"/>
  <c r="BM463" i="1"/>
  <c r="Y463" i="1"/>
  <c r="BP463" i="1" s="1"/>
  <c r="P463" i="1"/>
  <c r="BO462" i="1"/>
  <c r="BM462" i="1"/>
  <c r="Y462" i="1"/>
  <c r="BP462" i="1" s="1"/>
  <c r="P462" i="1"/>
  <c r="BO461" i="1"/>
  <c r="BM461" i="1"/>
  <c r="Y461" i="1"/>
  <c r="BP461" i="1" s="1"/>
  <c r="P461" i="1"/>
  <c r="BO460" i="1"/>
  <c r="BM460" i="1"/>
  <c r="Y460" i="1"/>
  <c r="BP460" i="1" s="1"/>
  <c r="P460" i="1"/>
  <c r="BO459" i="1"/>
  <c r="BM459" i="1"/>
  <c r="Y459" i="1"/>
  <c r="P459" i="1"/>
  <c r="BO458" i="1"/>
  <c r="BM458" i="1"/>
  <c r="Y458" i="1"/>
  <c r="X551" i="1" s="1"/>
  <c r="P458" i="1"/>
  <c r="X454" i="1"/>
  <c r="X453" i="1"/>
  <c r="BO452" i="1"/>
  <c r="BM452" i="1"/>
  <c r="Y452" i="1"/>
  <c r="BP452" i="1" s="1"/>
  <c r="P452" i="1"/>
  <c r="BO451" i="1"/>
  <c r="BN451" i="1"/>
  <c r="BM451" i="1"/>
  <c r="Y451" i="1"/>
  <c r="BP451" i="1" s="1"/>
  <c r="P451" i="1"/>
  <c r="BO450" i="1"/>
  <c r="BM450" i="1"/>
  <c r="Y450" i="1"/>
  <c r="P450" i="1"/>
  <c r="X448" i="1"/>
  <c r="X447" i="1"/>
  <c r="BO446" i="1"/>
  <c r="BM446" i="1"/>
  <c r="Y446" i="1"/>
  <c r="Y448" i="1" s="1"/>
  <c r="P446" i="1"/>
  <c r="X444" i="1"/>
  <c r="X443" i="1"/>
  <c r="BO442" i="1"/>
  <c r="BM442" i="1"/>
  <c r="Y442" i="1"/>
  <c r="P442" i="1"/>
  <c r="BO441" i="1"/>
  <c r="BM441" i="1"/>
  <c r="Y441" i="1"/>
  <c r="P441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Y437" i="1" s="1"/>
  <c r="P435" i="1"/>
  <c r="X433" i="1"/>
  <c r="X432" i="1"/>
  <c r="BO431" i="1"/>
  <c r="BM431" i="1"/>
  <c r="Y431" i="1"/>
  <c r="BP431" i="1" s="1"/>
  <c r="P431" i="1"/>
  <c r="BO430" i="1"/>
  <c r="BM430" i="1"/>
  <c r="Y430" i="1"/>
  <c r="BP430" i="1" s="1"/>
  <c r="P430" i="1"/>
  <c r="BO429" i="1"/>
  <c r="BM429" i="1"/>
  <c r="Y429" i="1"/>
  <c r="P429" i="1"/>
  <c r="X427" i="1"/>
  <c r="X426" i="1"/>
  <c r="BO425" i="1"/>
  <c r="BM425" i="1"/>
  <c r="Y425" i="1"/>
  <c r="BP425" i="1" s="1"/>
  <c r="P425" i="1"/>
  <c r="BO424" i="1"/>
  <c r="BN424" i="1"/>
  <c r="BM424" i="1"/>
  <c r="Y424" i="1"/>
  <c r="BP424" i="1" s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BP416" i="1" s="1"/>
  <c r="P416" i="1"/>
  <c r="BO415" i="1"/>
  <c r="BM415" i="1"/>
  <c r="Y415" i="1"/>
  <c r="Z415" i="1" s="1"/>
  <c r="P415" i="1"/>
  <c r="BO414" i="1"/>
  <c r="BM414" i="1"/>
  <c r="Y414" i="1"/>
  <c r="BP414" i="1" s="1"/>
  <c r="P414" i="1"/>
  <c r="BO413" i="1"/>
  <c r="BM413" i="1"/>
  <c r="Y413" i="1"/>
  <c r="BP413" i="1" s="1"/>
  <c r="P413" i="1"/>
  <c r="BO412" i="1"/>
  <c r="BM412" i="1"/>
  <c r="Y412" i="1"/>
  <c r="BP412" i="1" s="1"/>
  <c r="P412" i="1"/>
  <c r="X408" i="1"/>
  <c r="X407" i="1"/>
  <c r="BO406" i="1"/>
  <c r="BM406" i="1"/>
  <c r="Y406" i="1"/>
  <c r="BP406" i="1" s="1"/>
  <c r="P406" i="1"/>
  <c r="BO405" i="1"/>
  <c r="BM405" i="1"/>
  <c r="Y405" i="1"/>
  <c r="P405" i="1"/>
  <c r="BO404" i="1"/>
  <c r="BM404" i="1"/>
  <c r="Y404" i="1"/>
  <c r="P404" i="1"/>
  <c r="X401" i="1"/>
  <c r="X400" i="1"/>
  <c r="BO399" i="1"/>
  <c r="BM399" i="1"/>
  <c r="Y399" i="1"/>
  <c r="BP399" i="1" s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BP393" i="1" s="1"/>
  <c r="P393" i="1"/>
  <c r="BO392" i="1"/>
  <c r="BN392" i="1"/>
  <c r="BM392" i="1"/>
  <c r="Y392" i="1"/>
  <c r="BP392" i="1" s="1"/>
  <c r="P392" i="1"/>
  <c r="BO391" i="1"/>
  <c r="BM391" i="1"/>
  <c r="Y391" i="1"/>
  <c r="P391" i="1"/>
  <c r="X389" i="1"/>
  <c r="X388" i="1"/>
  <c r="BO387" i="1"/>
  <c r="BM387" i="1"/>
  <c r="Y387" i="1"/>
  <c r="BP387" i="1" s="1"/>
  <c r="P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BN384" i="1" s="1"/>
  <c r="P384" i="1"/>
  <c r="X382" i="1"/>
  <c r="X381" i="1"/>
  <c r="BO380" i="1"/>
  <c r="BM380" i="1"/>
  <c r="Y380" i="1"/>
  <c r="BP380" i="1" s="1"/>
  <c r="P380" i="1"/>
  <c r="BO379" i="1"/>
  <c r="BM379" i="1"/>
  <c r="Y379" i="1"/>
  <c r="Y381" i="1" s="1"/>
  <c r="P379" i="1"/>
  <c r="BO378" i="1"/>
  <c r="BN378" i="1"/>
  <c r="BM378" i="1"/>
  <c r="Y378" i="1"/>
  <c r="P378" i="1"/>
  <c r="X376" i="1"/>
  <c r="X375" i="1"/>
  <c r="BO374" i="1"/>
  <c r="BN374" i="1"/>
  <c r="BM374" i="1"/>
  <c r="Y374" i="1"/>
  <c r="BP374" i="1" s="1"/>
  <c r="P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P371" i="1"/>
  <c r="X369" i="1"/>
  <c r="X368" i="1"/>
  <c r="BO367" i="1"/>
  <c r="BM367" i="1"/>
  <c r="Y367" i="1"/>
  <c r="BP367" i="1" s="1"/>
  <c r="P367" i="1"/>
  <c r="BO366" i="1"/>
  <c r="BM366" i="1"/>
  <c r="Y366" i="1"/>
  <c r="BP366" i="1" s="1"/>
  <c r="P366" i="1"/>
  <c r="BO365" i="1"/>
  <c r="BM365" i="1"/>
  <c r="Y365" i="1"/>
  <c r="BP365" i="1" s="1"/>
  <c r="P365" i="1"/>
  <c r="BO364" i="1"/>
  <c r="BN364" i="1"/>
  <c r="BM364" i="1"/>
  <c r="Y364" i="1"/>
  <c r="BP364" i="1" s="1"/>
  <c r="P364" i="1"/>
  <c r="BO363" i="1"/>
  <c r="BM363" i="1"/>
  <c r="Y363" i="1"/>
  <c r="BP363" i="1" s="1"/>
  <c r="P363" i="1"/>
  <c r="BP362" i="1"/>
  <c r="BO362" i="1"/>
  <c r="BM362" i="1"/>
  <c r="Z362" i="1"/>
  <c r="Y362" i="1"/>
  <c r="BN362" i="1" s="1"/>
  <c r="P362" i="1"/>
  <c r="BO361" i="1"/>
  <c r="BM361" i="1"/>
  <c r="Y361" i="1"/>
  <c r="P361" i="1"/>
  <c r="X359" i="1"/>
  <c r="X358" i="1"/>
  <c r="BO357" i="1"/>
  <c r="BM357" i="1"/>
  <c r="Y357" i="1"/>
  <c r="BP357" i="1" s="1"/>
  <c r="P357" i="1"/>
  <c r="BO356" i="1"/>
  <c r="BM356" i="1"/>
  <c r="Y356" i="1"/>
  <c r="BP356" i="1" s="1"/>
  <c r="P356" i="1"/>
  <c r="BO355" i="1"/>
  <c r="BM355" i="1"/>
  <c r="Y355" i="1"/>
  <c r="BP355" i="1" s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O347" i="1"/>
  <c r="BN347" i="1"/>
  <c r="BM347" i="1"/>
  <c r="Y347" i="1"/>
  <c r="BP347" i="1" s="1"/>
  <c r="P347" i="1"/>
  <c r="BO346" i="1"/>
  <c r="BM346" i="1"/>
  <c r="Y346" i="1"/>
  <c r="P346" i="1"/>
  <c r="X343" i="1"/>
  <c r="X342" i="1"/>
  <c r="BO341" i="1"/>
  <c r="BM341" i="1"/>
  <c r="Y341" i="1"/>
  <c r="Y343" i="1" s="1"/>
  <c r="P341" i="1"/>
  <c r="BO340" i="1"/>
  <c r="BN340" i="1"/>
  <c r="BM340" i="1"/>
  <c r="Y340" i="1"/>
  <c r="P340" i="1"/>
  <c r="X338" i="1"/>
  <c r="X337" i="1"/>
  <c r="BO336" i="1"/>
  <c r="BM336" i="1"/>
  <c r="Y336" i="1"/>
  <c r="P336" i="1"/>
  <c r="BO335" i="1"/>
  <c r="BM335" i="1"/>
  <c r="Y335" i="1"/>
  <c r="BP335" i="1" s="1"/>
  <c r="P335" i="1"/>
  <c r="BO334" i="1"/>
  <c r="BM334" i="1"/>
  <c r="Y334" i="1"/>
  <c r="BP334" i="1" s="1"/>
  <c r="P334" i="1"/>
  <c r="BO333" i="1"/>
  <c r="BM333" i="1"/>
  <c r="Y333" i="1"/>
  <c r="P333" i="1"/>
  <c r="BO332" i="1"/>
  <c r="BM332" i="1"/>
  <c r="Y332" i="1"/>
  <c r="BP332" i="1" s="1"/>
  <c r="P332" i="1"/>
  <c r="X329" i="1"/>
  <c r="X328" i="1"/>
  <c r="BO327" i="1"/>
  <c r="BN327" i="1"/>
  <c r="BM327" i="1"/>
  <c r="Y327" i="1"/>
  <c r="BP327" i="1" s="1"/>
  <c r="P327" i="1"/>
  <c r="BO326" i="1"/>
  <c r="BM326" i="1"/>
  <c r="Y326" i="1"/>
  <c r="Y328" i="1" s="1"/>
  <c r="P326" i="1"/>
  <c r="BO325" i="1"/>
  <c r="BN325" i="1"/>
  <c r="BM325" i="1"/>
  <c r="Y325" i="1"/>
  <c r="BP325" i="1" s="1"/>
  <c r="P325" i="1"/>
  <c r="X322" i="1"/>
  <c r="X321" i="1"/>
  <c r="BO320" i="1"/>
  <c r="BM320" i="1"/>
  <c r="Y320" i="1"/>
  <c r="BP320" i="1" s="1"/>
  <c r="P320" i="1"/>
  <c r="BO319" i="1"/>
  <c r="BM319" i="1"/>
  <c r="Y319" i="1"/>
  <c r="BP319" i="1" s="1"/>
  <c r="P319" i="1"/>
  <c r="BO318" i="1"/>
  <c r="BN318" i="1"/>
  <c r="BM318" i="1"/>
  <c r="Y318" i="1"/>
  <c r="BP318" i="1" s="1"/>
  <c r="P318" i="1"/>
  <c r="BO317" i="1"/>
  <c r="BM317" i="1"/>
  <c r="Y317" i="1"/>
  <c r="P317" i="1"/>
  <c r="BO316" i="1"/>
  <c r="BN316" i="1"/>
  <c r="BM316" i="1"/>
  <c r="Y316" i="1"/>
  <c r="BP316" i="1" s="1"/>
  <c r="P316" i="1"/>
  <c r="X313" i="1"/>
  <c r="X312" i="1"/>
  <c r="BO311" i="1"/>
  <c r="BM311" i="1"/>
  <c r="Y311" i="1"/>
  <c r="BP311" i="1" s="1"/>
  <c r="P311" i="1"/>
  <c r="BO310" i="1"/>
  <c r="BM310" i="1"/>
  <c r="Y310" i="1"/>
  <c r="Y312" i="1" s="1"/>
  <c r="P310" i="1"/>
  <c r="BO309" i="1"/>
  <c r="BM309" i="1"/>
  <c r="Z309" i="1"/>
  <c r="Y309" i="1"/>
  <c r="BP309" i="1" s="1"/>
  <c r="P309" i="1"/>
  <c r="X307" i="1"/>
  <c r="Y306" i="1"/>
  <c r="X306" i="1"/>
  <c r="BO305" i="1"/>
  <c r="BN305" i="1"/>
  <c r="BM305" i="1"/>
  <c r="Y305" i="1"/>
  <c r="Y307" i="1" s="1"/>
  <c r="P305" i="1"/>
  <c r="X303" i="1"/>
  <c r="X302" i="1"/>
  <c r="BP301" i="1"/>
  <c r="BO301" i="1"/>
  <c r="BM301" i="1"/>
  <c r="Y301" i="1"/>
  <c r="Y303" i="1" s="1"/>
  <c r="P301" i="1"/>
  <c r="X299" i="1"/>
  <c r="X298" i="1"/>
  <c r="BO297" i="1"/>
  <c r="BN297" i="1"/>
  <c r="BM297" i="1"/>
  <c r="Y297" i="1"/>
  <c r="BP297" i="1" s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BO294" i="1"/>
  <c r="BM294" i="1"/>
  <c r="Y294" i="1"/>
  <c r="BP294" i="1" s="1"/>
  <c r="P294" i="1"/>
  <c r="BO293" i="1"/>
  <c r="BM293" i="1"/>
  <c r="Y293" i="1"/>
  <c r="BN293" i="1" s="1"/>
  <c r="P293" i="1"/>
  <c r="BO292" i="1"/>
  <c r="BM292" i="1"/>
  <c r="Y292" i="1"/>
  <c r="P292" i="1"/>
  <c r="BO291" i="1"/>
  <c r="BM291" i="1"/>
  <c r="Y291" i="1"/>
  <c r="BN291" i="1" s="1"/>
  <c r="P291" i="1"/>
  <c r="X288" i="1"/>
  <c r="X287" i="1"/>
  <c r="BO286" i="1"/>
  <c r="BM286" i="1"/>
  <c r="Z286" i="1"/>
  <c r="Y286" i="1"/>
  <c r="BN286" i="1" s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BN278" i="1" s="1"/>
  <c r="P278" i="1"/>
  <c r="BO277" i="1"/>
  <c r="BM277" i="1"/>
  <c r="Y277" i="1"/>
  <c r="BP277" i="1" s="1"/>
  <c r="P277" i="1"/>
  <c r="BO276" i="1"/>
  <c r="BM276" i="1"/>
  <c r="Y276" i="1"/>
  <c r="BN276" i="1" s="1"/>
  <c r="P276" i="1"/>
  <c r="BO275" i="1"/>
  <c r="BM275" i="1"/>
  <c r="Y275" i="1"/>
  <c r="BP275" i="1" s="1"/>
  <c r="P275" i="1"/>
  <c r="BO274" i="1"/>
  <c r="BN274" i="1"/>
  <c r="BM274" i="1"/>
  <c r="Y274" i="1"/>
  <c r="BP274" i="1" s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Z270" i="1"/>
  <c r="Y270" i="1"/>
  <c r="P270" i="1"/>
  <c r="X268" i="1"/>
  <c r="X267" i="1"/>
  <c r="BO266" i="1"/>
  <c r="BM266" i="1"/>
  <c r="Z266" i="1"/>
  <c r="Y266" i="1"/>
  <c r="BP266" i="1" s="1"/>
  <c r="P266" i="1"/>
  <c r="BO265" i="1"/>
  <c r="BM265" i="1"/>
  <c r="Y265" i="1"/>
  <c r="P265" i="1"/>
  <c r="BO264" i="1"/>
  <c r="BM264" i="1"/>
  <c r="Z264" i="1"/>
  <c r="Y264" i="1"/>
  <c r="BN264" i="1" s="1"/>
  <c r="P264" i="1"/>
  <c r="BO263" i="1"/>
  <c r="BM263" i="1"/>
  <c r="Y263" i="1"/>
  <c r="P263" i="1"/>
  <c r="BO262" i="1"/>
  <c r="BN262" i="1"/>
  <c r="BM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BN249" i="1" s="1"/>
  <c r="P249" i="1"/>
  <c r="X246" i="1"/>
  <c r="Y245" i="1"/>
  <c r="X245" i="1"/>
  <c r="BO244" i="1"/>
  <c r="BN244" i="1"/>
  <c r="BM244" i="1"/>
  <c r="Y244" i="1"/>
  <c r="Y246" i="1" s="1"/>
  <c r="P244" i="1"/>
  <c r="X242" i="1"/>
  <c r="X241" i="1"/>
  <c r="BO240" i="1"/>
  <c r="BM240" i="1"/>
  <c r="Y240" i="1"/>
  <c r="BN240" i="1" s="1"/>
  <c r="P240" i="1"/>
  <c r="BO239" i="1"/>
  <c r="BM239" i="1"/>
  <c r="Y239" i="1"/>
  <c r="BP239" i="1" s="1"/>
  <c r="P239" i="1"/>
  <c r="BO238" i="1"/>
  <c r="BM238" i="1"/>
  <c r="Y238" i="1"/>
  <c r="BN238" i="1" s="1"/>
  <c r="P238" i="1"/>
  <c r="X236" i="1"/>
  <c r="X235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X228" i="1"/>
  <c r="X227" i="1"/>
  <c r="BO226" i="1"/>
  <c r="BN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Z222" i="1"/>
  <c r="Y222" i="1"/>
  <c r="BN222" i="1" s="1"/>
  <c r="P222" i="1"/>
  <c r="BO221" i="1"/>
  <c r="BM221" i="1"/>
  <c r="Y221" i="1"/>
  <c r="BP221" i="1" s="1"/>
  <c r="P221" i="1"/>
  <c r="BO220" i="1"/>
  <c r="BM220" i="1"/>
  <c r="Y220" i="1"/>
  <c r="BN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Z216" i="1"/>
  <c r="Y216" i="1"/>
  <c r="BP216" i="1" s="1"/>
  <c r="P216" i="1"/>
  <c r="BO215" i="1"/>
  <c r="BM215" i="1"/>
  <c r="Y215" i="1"/>
  <c r="BP215" i="1" s="1"/>
  <c r="P215" i="1"/>
  <c r="BO214" i="1"/>
  <c r="BM214" i="1"/>
  <c r="Z214" i="1"/>
  <c r="Y214" i="1"/>
  <c r="BN214" i="1" s="1"/>
  <c r="P214" i="1"/>
  <c r="BO213" i="1"/>
  <c r="BM213" i="1"/>
  <c r="Y213" i="1"/>
  <c r="P213" i="1"/>
  <c r="X211" i="1"/>
  <c r="X210" i="1"/>
  <c r="BO209" i="1"/>
  <c r="BM209" i="1"/>
  <c r="Y209" i="1"/>
  <c r="P209" i="1"/>
  <c r="X206" i="1"/>
  <c r="X205" i="1"/>
  <c r="BO204" i="1"/>
  <c r="BM204" i="1"/>
  <c r="Y204" i="1"/>
  <c r="BP204" i="1" s="1"/>
  <c r="P204" i="1"/>
  <c r="BO203" i="1"/>
  <c r="BN203" i="1"/>
  <c r="BM203" i="1"/>
  <c r="Y203" i="1"/>
  <c r="P203" i="1"/>
  <c r="BO202" i="1"/>
  <c r="BM202" i="1"/>
  <c r="Y202" i="1"/>
  <c r="BP202" i="1" s="1"/>
  <c r="P202" i="1"/>
  <c r="BO201" i="1"/>
  <c r="BM201" i="1"/>
  <c r="Z201" i="1"/>
  <c r="Y201" i="1"/>
  <c r="BP201" i="1" s="1"/>
  <c r="P201" i="1"/>
  <c r="BO200" i="1"/>
  <c r="BM200" i="1"/>
  <c r="Y200" i="1"/>
  <c r="BP200" i="1" s="1"/>
  <c r="P200" i="1"/>
  <c r="BO199" i="1"/>
  <c r="BM199" i="1"/>
  <c r="Z199" i="1"/>
  <c r="Y199" i="1"/>
  <c r="BN199" i="1" s="1"/>
  <c r="P199" i="1"/>
  <c r="BO198" i="1"/>
  <c r="BM198" i="1"/>
  <c r="Y198" i="1"/>
  <c r="P198" i="1"/>
  <c r="X194" i="1"/>
  <c r="X193" i="1"/>
  <c r="BO192" i="1"/>
  <c r="BM192" i="1"/>
  <c r="Y192" i="1"/>
  <c r="Y193" i="1" s="1"/>
  <c r="P192" i="1"/>
  <c r="X190" i="1"/>
  <c r="X189" i="1"/>
  <c r="BO188" i="1"/>
  <c r="BM188" i="1"/>
  <c r="Y188" i="1"/>
  <c r="BP188" i="1" s="1"/>
  <c r="P188" i="1"/>
  <c r="BO187" i="1"/>
  <c r="BM187" i="1"/>
  <c r="Y187" i="1"/>
  <c r="P187" i="1"/>
  <c r="X185" i="1"/>
  <c r="X184" i="1"/>
  <c r="BP183" i="1"/>
  <c r="BO183" i="1"/>
  <c r="BM183" i="1"/>
  <c r="Z183" i="1"/>
  <c r="Y183" i="1"/>
  <c r="BN183" i="1" s="1"/>
  <c r="P183" i="1"/>
  <c r="BO182" i="1"/>
  <c r="BM182" i="1"/>
  <c r="Y182" i="1"/>
  <c r="BP182" i="1" s="1"/>
  <c r="P182" i="1"/>
  <c r="BO181" i="1"/>
  <c r="BM181" i="1"/>
  <c r="Y181" i="1"/>
  <c r="Z181" i="1" s="1"/>
  <c r="P181" i="1"/>
  <c r="X179" i="1"/>
  <c r="X178" i="1"/>
  <c r="BP177" i="1"/>
  <c r="BO177" i="1"/>
  <c r="BM177" i="1"/>
  <c r="Z177" i="1"/>
  <c r="Y177" i="1"/>
  <c r="BN177" i="1" s="1"/>
  <c r="P177" i="1"/>
  <c r="BO176" i="1"/>
  <c r="BM176" i="1"/>
  <c r="Y176" i="1"/>
  <c r="BP176" i="1" s="1"/>
  <c r="P176" i="1"/>
  <c r="BO175" i="1"/>
  <c r="BM175" i="1"/>
  <c r="Y175" i="1"/>
  <c r="BN175" i="1" s="1"/>
  <c r="P175" i="1"/>
  <c r="BO174" i="1"/>
  <c r="BM174" i="1"/>
  <c r="Y174" i="1"/>
  <c r="BP174" i="1" s="1"/>
  <c r="P174" i="1"/>
  <c r="BO173" i="1"/>
  <c r="BM173" i="1"/>
  <c r="Y173" i="1"/>
  <c r="BN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P169" i="1"/>
  <c r="BO169" i="1"/>
  <c r="BM169" i="1"/>
  <c r="Y169" i="1"/>
  <c r="BN169" i="1" s="1"/>
  <c r="P169" i="1"/>
  <c r="BO168" i="1"/>
  <c r="BM168" i="1"/>
  <c r="Y168" i="1"/>
  <c r="BP168" i="1" s="1"/>
  <c r="P168" i="1"/>
  <c r="BO167" i="1"/>
  <c r="BM167" i="1"/>
  <c r="Y167" i="1"/>
  <c r="BN167" i="1" s="1"/>
  <c r="P167" i="1"/>
  <c r="BO166" i="1"/>
  <c r="BM166" i="1"/>
  <c r="Y166" i="1"/>
  <c r="Y179" i="1" s="1"/>
  <c r="P166" i="1"/>
  <c r="X164" i="1"/>
  <c r="X163" i="1"/>
  <c r="BO162" i="1"/>
  <c r="BM162" i="1"/>
  <c r="Y162" i="1"/>
  <c r="Y163" i="1" s="1"/>
  <c r="P162" i="1"/>
  <c r="X160" i="1"/>
  <c r="X159" i="1"/>
  <c r="BO158" i="1"/>
  <c r="BM158" i="1"/>
  <c r="Y158" i="1"/>
  <c r="BP158" i="1" s="1"/>
  <c r="P158" i="1"/>
  <c r="BO157" i="1"/>
  <c r="BM157" i="1"/>
  <c r="Y157" i="1"/>
  <c r="BN157" i="1" s="1"/>
  <c r="P157" i="1"/>
  <c r="BO156" i="1"/>
  <c r="BM156" i="1"/>
  <c r="Y156" i="1"/>
  <c r="P156" i="1"/>
  <c r="X153" i="1"/>
  <c r="X152" i="1"/>
  <c r="BO151" i="1"/>
  <c r="BM151" i="1"/>
  <c r="Y151" i="1"/>
  <c r="BP151" i="1" s="1"/>
  <c r="P151" i="1"/>
  <c r="BO150" i="1"/>
  <c r="BM150" i="1"/>
  <c r="Z150" i="1"/>
  <c r="Y150" i="1"/>
  <c r="BN150" i="1" s="1"/>
  <c r="P150" i="1"/>
  <c r="BO149" i="1"/>
  <c r="BM149" i="1"/>
  <c r="Y149" i="1"/>
  <c r="BP149" i="1" s="1"/>
  <c r="P149" i="1"/>
  <c r="BO148" i="1"/>
  <c r="BM148" i="1"/>
  <c r="Y148" i="1"/>
  <c r="BN148" i="1" s="1"/>
  <c r="P148" i="1"/>
  <c r="X145" i="1"/>
  <c r="X144" i="1"/>
  <c r="BO143" i="1"/>
  <c r="BM143" i="1"/>
  <c r="Z143" i="1"/>
  <c r="Y143" i="1"/>
  <c r="BN143" i="1" s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P137" i="1"/>
  <c r="BO137" i="1"/>
  <c r="BM137" i="1"/>
  <c r="Y137" i="1"/>
  <c r="BN137" i="1" s="1"/>
  <c r="P137" i="1"/>
  <c r="X135" i="1"/>
  <c r="X134" i="1"/>
  <c r="BO133" i="1"/>
  <c r="BN133" i="1"/>
  <c r="BM133" i="1"/>
  <c r="Y133" i="1"/>
  <c r="P133" i="1"/>
  <c r="BO132" i="1"/>
  <c r="BM132" i="1"/>
  <c r="Y132" i="1"/>
  <c r="H551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M122" i="1"/>
  <c r="Z122" i="1"/>
  <c r="Y122" i="1"/>
  <c r="BN122" i="1" s="1"/>
  <c r="P122" i="1"/>
  <c r="BO121" i="1"/>
  <c r="BM121" i="1"/>
  <c r="Y121" i="1"/>
  <c r="BP121" i="1" s="1"/>
  <c r="P121" i="1"/>
  <c r="BO120" i="1"/>
  <c r="BM120" i="1"/>
  <c r="Y120" i="1"/>
  <c r="Z120" i="1" s="1"/>
  <c r="P120" i="1"/>
  <c r="X118" i="1"/>
  <c r="X117" i="1"/>
  <c r="BO116" i="1"/>
  <c r="BN116" i="1"/>
  <c r="BM116" i="1"/>
  <c r="Y116" i="1"/>
  <c r="BP116" i="1" s="1"/>
  <c r="P116" i="1"/>
  <c r="BO115" i="1"/>
  <c r="BM115" i="1"/>
  <c r="Y115" i="1"/>
  <c r="P115" i="1"/>
  <c r="BO114" i="1"/>
  <c r="BM114" i="1"/>
  <c r="Z114" i="1"/>
  <c r="Y114" i="1"/>
  <c r="BN114" i="1" s="1"/>
  <c r="P114" i="1"/>
  <c r="BO113" i="1"/>
  <c r="BM113" i="1"/>
  <c r="Y113" i="1"/>
  <c r="P113" i="1"/>
  <c r="BP112" i="1"/>
  <c r="BO112" i="1"/>
  <c r="BM112" i="1"/>
  <c r="Z112" i="1"/>
  <c r="Y112" i="1"/>
  <c r="P112" i="1"/>
  <c r="X110" i="1"/>
  <c r="X109" i="1"/>
  <c r="BO108" i="1"/>
  <c r="BM108" i="1"/>
  <c r="Y108" i="1"/>
  <c r="BN108" i="1" s="1"/>
  <c r="P108" i="1"/>
  <c r="BO107" i="1"/>
  <c r="BM107" i="1"/>
  <c r="Y107" i="1"/>
  <c r="P107" i="1"/>
  <c r="BO106" i="1"/>
  <c r="BM106" i="1"/>
  <c r="Y106" i="1"/>
  <c r="BN106" i="1" s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100" i="1"/>
  <c r="X99" i="1"/>
  <c r="BO98" i="1"/>
  <c r="BM98" i="1"/>
  <c r="Y98" i="1"/>
  <c r="P98" i="1"/>
  <c r="BO97" i="1"/>
  <c r="BM97" i="1"/>
  <c r="Y97" i="1"/>
  <c r="BN97" i="1" s="1"/>
  <c r="P97" i="1"/>
  <c r="BO96" i="1"/>
  <c r="BM96" i="1"/>
  <c r="Y96" i="1"/>
  <c r="Z96" i="1" s="1"/>
  <c r="P96" i="1"/>
  <c r="BO95" i="1"/>
  <c r="BN95" i="1"/>
  <c r="BM95" i="1"/>
  <c r="Y95" i="1"/>
  <c r="Z95" i="1" s="1"/>
  <c r="P95" i="1"/>
  <c r="X93" i="1"/>
  <c r="X92" i="1"/>
  <c r="BO91" i="1"/>
  <c r="BM91" i="1"/>
  <c r="Y91" i="1"/>
  <c r="BN91" i="1" s="1"/>
  <c r="P91" i="1"/>
  <c r="BO90" i="1"/>
  <c r="BM90" i="1"/>
  <c r="Y90" i="1"/>
  <c r="BP90" i="1" s="1"/>
  <c r="P90" i="1"/>
  <c r="BO89" i="1"/>
  <c r="BM89" i="1"/>
  <c r="Y89" i="1"/>
  <c r="Z89" i="1" s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P82" i="1"/>
  <c r="X80" i="1"/>
  <c r="X79" i="1"/>
  <c r="BO78" i="1"/>
  <c r="BM78" i="1"/>
  <c r="Z78" i="1"/>
  <c r="Y78" i="1"/>
  <c r="BN78" i="1" s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M72" i="1"/>
  <c r="Z72" i="1"/>
  <c r="Y72" i="1"/>
  <c r="BN72" i="1" s="1"/>
  <c r="P72" i="1"/>
  <c r="BO71" i="1"/>
  <c r="BM71" i="1"/>
  <c r="Y71" i="1"/>
  <c r="BP71" i="1" s="1"/>
  <c r="P71" i="1"/>
  <c r="BO70" i="1"/>
  <c r="BM70" i="1"/>
  <c r="Z70" i="1"/>
  <c r="Y70" i="1"/>
  <c r="Y75" i="1" s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N62" i="1" s="1"/>
  <c r="P62" i="1"/>
  <c r="BO61" i="1"/>
  <c r="BM61" i="1"/>
  <c r="Y61" i="1"/>
  <c r="BP61" i="1" s="1"/>
  <c r="P61" i="1"/>
  <c r="BP60" i="1"/>
  <c r="BO60" i="1"/>
  <c r="BM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N53" i="1" s="1"/>
  <c r="P53" i="1"/>
  <c r="BO52" i="1"/>
  <c r="BM52" i="1"/>
  <c r="Y52" i="1"/>
  <c r="P52" i="1"/>
  <c r="BO51" i="1"/>
  <c r="BM51" i="1"/>
  <c r="Y51" i="1"/>
  <c r="BP51" i="1" s="1"/>
  <c r="P51" i="1"/>
  <c r="X47" i="1"/>
  <c r="X46" i="1"/>
  <c r="BO45" i="1"/>
  <c r="BM45" i="1"/>
  <c r="Y45" i="1"/>
  <c r="BN45" i="1" s="1"/>
  <c r="P45" i="1"/>
  <c r="BO44" i="1"/>
  <c r="BM44" i="1"/>
  <c r="Y44" i="1"/>
  <c r="BP44" i="1" s="1"/>
  <c r="P44" i="1"/>
  <c r="BO43" i="1"/>
  <c r="BM43" i="1"/>
  <c r="Z43" i="1"/>
  <c r="Y43" i="1"/>
  <c r="BP43" i="1" s="1"/>
  <c r="P43" i="1"/>
  <c r="BO42" i="1"/>
  <c r="BM42" i="1"/>
  <c r="Y42" i="1"/>
  <c r="BP42" i="1" s="1"/>
  <c r="P42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N23" i="1" s="1"/>
  <c r="P23" i="1"/>
  <c r="BO22" i="1"/>
  <c r="BM22" i="1"/>
  <c r="Y22" i="1"/>
  <c r="B551" i="1" s="1"/>
  <c r="P22" i="1"/>
  <c r="H10" i="1"/>
  <c r="A9" i="1"/>
  <c r="A10" i="1" s="1"/>
  <c r="D7" i="1"/>
  <c r="Q6" i="1"/>
  <c r="P2" i="1"/>
  <c r="BN356" i="1" l="1"/>
  <c r="Z398" i="1"/>
  <c r="Z230" i="1"/>
  <c r="BP78" i="1"/>
  <c r="BP95" i="1"/>
  <c r="Z108" i="1"/>
  <c r="Z171" i="1"/>
  <c r="Z224" i="1"/>
  <c r="BN230" i="1"/>
  <c r="Z272" i="1"/>
  <c r="Y302" i="1"/>
  <c r="Z504" i="1"/>
  <c r="BN89" i="1"/>
  <c r="BN398" i="1"/>
  <c r="BN490" i="1"/>
  <c r="Z41" i="1"/>
  <c r="BN171" i="1"/>
  <c r="BN224" i="1"/>
  <c r="BN272" i="1"/>
  <c r="BN430" i="1"/>
  <c r="BN508" i="1"/>
  <c r="Z66" i="1"/>
  <c r="BP89" i="1"/>
  <c r="Y298" i="1"/>
  <c r="BN334" i="1"/>
  <c r="Y470" i="1"/>
  <c r="BP504" i="1"/>
  <c r="BN532" i="1"/>
  <c r="Y84" i="1"/>
  <c r="BN201" i="1"/>
  <c r="BN216" i="1"/>
  <c r="BN266" i="1"/>
  <c r="BN311" i="1"/>
  <c r="BN416" i="1"/>
  <c r="Z498" i="1"/>
  <c r="BP41" i="1"/>
  <c r="Z451" i="1"/>
  <c r="BP66" i="1"/>
  <c r="Y118" i="1"/>
  <c r="Z116" i="1"/>
  <c r="Y145" i="1"/>
  <c r="BN498" i="1"/>
  <c r="Y228" i="1"/>
  <c r="Z27" i="1"/>
  <c r="Z51" i="1"/>
  <c r="Z249" i="1"/>
  <c r="BN372" i="1"/>
  <c r="Z488" i="1"/>
  <c r="BN524" i="1"/>
  <c r="Z169" i="1"/>
  <c r="BN232" i="1"/>
  <c r="Z316" i="1"/>
  <c r="BN386" i="1"/>
  <c r="BN492" i="1"/>
  <c r="Z506" i="1"/>
  <c r="Z31" i="1"/>
  <c r="BN27" i="1"/>
  <c r="BP31" i="1"/>
  <c r="BN51" i="1"/>
  <c r="BN320" i="1"/>
  <c r="U551" i="1"/>
  <c r="BN413" i="1"/>
  <c r="BN488" i="1"/>
  <c r="Y525" i="1"/>
  <c r="Z64" i="1"/>
  <c r="BN43" i="1"/>
  <c r="Z60" i="1"/>
  <c r="BP70" i="1"/>
  <c r="Z137" i="1"/>
  <c r="BN218" i="1"/>
  <c r="Z301" i="1"/>
  <c r="Z302" i="1" s="1"/>
  <c r="BN309" i="1"/>
  <c r="BN332" i="1"/>
  <c r="BN366" i="1"/>
  <c r="BN380" i="1"/>
  <c r="Y32" i="1"/>
  <c r="Y56" i="1"/>
  <c r="BP199" i="1"/>
  <c r="BP64" i="1"/>
  <c r="BN260" i="1"/>
  <c r="BN301" i="1"/>
  <c r="Y189" i="1"/>
  <c r="BN187" i="1"/>
  <c r="BP187" i="1"/>
  <c r="BP293" i="1"/>
  <c r="X542" i="1"/>
  <c r="Z23" i="1"/>
  <c r="BP23" i="1"/>
  <c r="Y33" i="1"/>
  <c r="Z29" i="1"/>
  <c r="BP29" i="1"/>
  <c r="Z35" i="1"/>
  <c r="Z36" i="1" s="1"/>
  <c r="BP35" i="1"/>
  <c r="Z45" i="1"/>
  <c r="BP45" i="1"/>
  <c r="Z53" i="1"/>
  <c r="BP53" i="1"/>
  <c r="E551" i="1"/>
  <c r="Z62" i="1"/>
  <c r="BP62" i="1"/>
  <c r="Z82" i="1"/>
  <c r="BP82" i="1"/>
  <c r="F551" i="1"/>
  <c r="Z91" i="1"/>
  <c r="BP91" i="1"/>
  <c r="Z97" i="1"/>
  <c r="BP97" i="1"/>
  <c r="Y109" i="1"/>
  <c r="Z106" i="1"/>
  <c r="BP106" i="1"/>
  <c r="Y124" i="1"/>
  <c r="BN120" i="1"/>
  <c r="BP120" i="1"/>
  <c r="Z167" i="1"/>
  <c r="Z175" i="1"/>
  <c r="Z187" i="1"/>
  <c r="BP220" i="1"/>
  <c r="Z220" i="1"/>
  <c r="BP249" i="1"/>
  <c r="Y256" i="1"/>
  <c r="BP254" i="1"/>
  <c r="Z254" i="1"/>
  <c r="BP262" i="1"/>
  <c r="Z262" i="1"/>
  <c r="Y282" i="1"/>
  <c r="BN270" i="1"/>
  <c r="BP270" i="1"/>
  <c r="Z278" i="1"/>
  <c r="Z293" i="1"/>
  <c r="BN336" i="1"/>
  <c r="BP336" i="1"/>
  <c r="Z336" i="1"/>
  <c r="X543" i="1"/>
  <c r="X545" i="1"/>
  <c r="BN70" i="1"/>
  <c r="BN112" i="1"/>
  <c r="BP114" i="1"/>
  <c r="BP133" i="1"/>
  <c r="Z133" i="1"/>
  <c r="BP143" i="1"/>
  <c r="BP148" i="1"/>
  <c r="Z148" i="1"/>
  <c r="Y185" i="1"/>
  <c r="BN181" i="1"/>
  <c r="BP181" i="1"/>
  <c r="BP203" i="1"/>
  <c r="Z203" i="1"/>
  <c r="BP222" i="1"/>
  <c r="BP234" i="1"/>
  <c r="Z234" i="1"/>
  <c r="BP240" i="1"/>
  <c r="Z240" i="1"/>
  <c r="BP264" i="1"/>
  <c r="BN405" i="1"/>
  <c r="BP405" i="1"/>
  <c r="Z405" i="1"/>
  <c r="BN418" i="1"/>
  <c r="BP418" i="1"/>
  <c r="Z418" i="1"/>
  <c r="Y530" i="1"/>
  <c r="Y529" i="1"/>
  <c r="BN528" i="1"/>
  <c r="BP528" i="1"/>
  <c r="Z528" i="1"/>
  <c r="Z529" i="1" s="1"/>
  <c r="BP167" i="1"/>
  <c r="BP175" i="1"/>
  <c r="BP278" i="1"/>
  <c r="BP459" i="1"/>
  <c r="Z459" i="1"/>
  <c r="X541" i="1"/>
  <c r="BN35" i="1"/>
  <c r="Y36" i="1"/>
  <c r="BN82" i="1"/>
  <c r="Y85" i="1"/>
  <c r="BP108" i="1"/>
  <c r="BP150" i="1"/>
  <c r="J551" i="1"/>
  <c r="BP157" i="1"/>
  <c r="Z157" i="1"/>
  <c r="BP173" i="1"/>
  <c r="Z173" i="1"/>
  <c r="BP214" i="1"/>
  <c r="BP276" i="1"/>
  <c r="Z276" i="1"/>
  <c r="BP286" i="1"/>
  <c r="BP291" i="1"/>
  <c r="Z291" i="1"/>
  <c r="W551" i="1"/>
  <c r="BN441" i="1"/>
  <c r="BP441" i="1"/>
  <c r="Z441" i="1"/>
  <c r="BN486" i="1"/>
  <c r="BP486" i="1"/>
  <c r="Z486" i="1"/>
  <c r="Y337" i="1"/>
  <c r="Y342" i="1"/>
  <c r="Y389" i="1"/>
  <c r="Y427" i="1"/>
  <c r="L551" i="1"/>
  <c r="Y242" i="1"/>
  <c r="Z305" i="1"/>
  <c r="Z306" i="1" s="1"/>
  <c r="BP305" i="1"/>
  <c r="Y321" i="1"/>
  <c r="Z320" i="1"/>
  <c r="Z327" i="1"/>
  <c r="Z334" i="1"/>
  <c r="Z340" i="1"/>
  <c r="BP340" i="1"/>
  <c r="S551" i="1"/>
  <c r="Z366" i="1"/>
  <c r="Y375" i="1"/>
  <c r="Z374" i="1"/>
  <c r="Y382" i="1"/>
  <c r="Z380" i="1"/>
  <c r="Y388" i="1"/>
  <c r="Z386" i="1"/>
  <c r="Y395" i="1"/>
  <c r="Z413" i="1"/>
  <c r="Z416" i="1"/>
  <c r="Z424" i="1"/>
  <c r="Y433" i="1"/>
  <c r="Z492" i="1"/>
  <c r="Z508" i="1"/>
  <c r="Y139" i="1"/>
  <c r="K551" i="1"/>
  <c r="Z218" i="1"/>
  <c r="Z226" i="1"/>
  <c r="Y236" i="1"/>
  <c r="Z232" i="1"/>
  <c r="Z238" i="1"/>
  <c r="BP238" i="1"/>
  <c r="Z244" i="1"/>
  <c r="Z245" i="1" s="1"/>
  <c r="BP244" i="1"/>
  <c r="Z260" i="1"/>
  <c r="Z274" i="1"/>
  <c r="Z297" i="1"/>
  <c r="Y313" i="1"/>
  <c r="Z311" i="1"/>
  <c r="Z318" i="1"/>
  <c r="Z325" i="1"/>
  <c r="Z332" i="1"/>
  <c r="Z347" i="1"/>
  <c r="T551" i="1"/>
  <c r="Z356" i="1"/>
  <c r="Y369" i="1"/>
  <c r="Z364" i="1"/>
  <c r="Z372" i="1"/>
  <c r="Z378" i="1"/>
  <c r="BP378" i="1"/>
  <c r="Z384" i="1"/>
  <c r="BP384" i="1"/>
  <c r="Z392" i="1"/>
  <c r="Y401" i="1"/>
  <c r="Z430" i="1"/>
  <c r="Y444" i="1"/>
  <c r="Y454" i="1"/>
  <c r="Y481" i="1"/>
  <c r="Z490" i="1"/>
  <c r="Y511" i="1"/>
  <c r="Z524" i="1"/>
  <c r="Z532" i="1"/>
  <c r="F9" i="1"/>
  <c r="J9" i="1"/>
  <c r="F10" i="1"/>
  <c r="Z22" i="1"/>
  <c r="Z24" i="1" s="1"/>
  <c r="BN22" i="1"/>
  <c r="BP22" i="1"/>
  <c r="Y25" i="1"/>
  <c r="Z28" i="1"/>
  <c r="BN28" i="1"/>
  <c r="BP28" i="1"/>
  <c r="Z30" i="1"/>
  <c r="BN30" i="1"/>
  <c r="C551" i="1"/>
  <c r="Z42" i="1"/>
  <c r="BN42" i="1"/>
  <c r="Z44" i="1"/>
  <c r="BN44" i="1"/>
  <c r="Y47" i="1"/>
  <c r="D551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Y74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Y99" i="1"/>
  <c r="BP105" i="1"/>
  <c r="BN105" i="1"/>
  <c r="Z105" i="1"/>
  <c r="BP113" i="1"/>
  <c r="BN113" i="1"/>
  <c r="Z113" i="1"/>
  <c r="Y117" i="1"/>
  <c r="H9" i="1"/>
  <c r="Y24" i="1"/>
  <c r="Y46" i="1"/>
  <c r="Y67" i="1"/>
  <c r="Y92" i="1"/>
  <c r="BP96" i="1"/>
  <c r="BN96" i="1"/>
  <c r="BP98" i="1"/>
  <c r="BN98" i="1"/>
  <c r="Z98" i="1"/>
  <c r="Z99" i="1" s="1"/>
  <c r="Y100" i="1"/>
  <c r="G551" i="1"/>
  <c r="Y110" i="1"/>
  <c r="BP103" i="1"/>
  <c r="BN103" i="1"/>
  <c r="Z103" i="1"/>
  <c r="BP107" i="1"/>
  <c r="BN107" i="1"/>
  <c r="Z107" i="1"/>
  <c r="BP115" i="1"/>
  <c r="BN115" i="1"/>
  <c r="Z115" i="1"/>
  <c r="Y125" i="1"/>
  <c r="Y129" i="1"/>
  <c r="Y134" i="1"/>
  <c r="Y140" i="1"/>
  <c r="Y144" i="1"/>
  <c r="Y153" i="1"/>
  <c r="Y160" i="1"/>
  <c r="Y164" i="1"/>
  <c r="Y178" i="1"/>
  <c r="Y184" i="1"/>
  <c r="Y190" i="1"/>
  <c r="Y194" i="1"/>
  <c r="Y206" i="1"/>
  <c r="Y211" i="1"/>
  <c r="Y227" i="1"/>
  <c r="Y235" i="1"/>
  <c r="Y241" i="1"/>
  <c r="BP261" i="1"/>
  <c r="BN261" i="1"/>
  <c r="Z261" i="1"/>
  <c r="BP265" i="1"/>
  <c r="BN265" i="1"/>
  <c r="Z265" i="1"/>
  <c r="BP273" i="1"/>
  <c r="BN273" i="1"/>
  <c r="Z273" i="1"/>
  <c r="Z121" i="1"/>
  <c r="BN121" i="1"/>
  <c r="Z123" i="1"/>
  <c r="BN123" i="1"/>
  <c r="Z127" i="1"/>
  <c r="Z128" i="1" s="1"/>
  <c r="BN127" i="1"/>
  <c r="BP127" i="1"/>
  <c r="Z132" i="1"/>
  <c r="BN132" i="1"/>
  <c r="BP132" i="1"/>
  <c r="Y135" i="1"/>
  <c r="Z138" i="1"/>
  <c r="Z139" i="1" s="1"/>
  <c r="BN138" i="1"/>
  <c r="Z142" i="1"/>
  <c r="Z144" i="1" s="1"/>
  <c r="BN142" i="1"/>
  <c r="BP142" i="1"/>
  <c r="I551" i="1"/>
  <c r="Z149" i="1"/>
  <c r="BN149" i="1"/>
  <c r="Z151" i="1"/>
  <c r="BN151" i="1"/>
  <c r="Y152" i="1"/>
  <c r="Z156" i="1"/>
  <c r="BN156" i="1"/>
  <c r="BP156" i="1"/>
  <c r="Z158" i="1"/>
  <c r="BN158" i="1"/>
  <c r="Y159" i="1"/>
  <c r="Z162" i="1"/>
  <c r="Z163" i="1" s="1"/>
  <c r="BN162" i="1"/>
  <c r="BP162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82" i="1"/>
  <c r="Z184" i="1" s="1"/>
  <c r="BN182" i="1"/>
  <c r="Z188" i="1"/>
  <c r="Z189" i="1" s="1"/>
  <c r="BN188" i="1"/>
  <c r="Z192" i="1"/>
  <c r="Z193" i="1" s="1"/>
  <c r="BN192" i="1"/>
  <c r="BP192" i="1"/>
  <c r="Z198" i="1"/>
  <c r="BN198" i="1"/>
  <c r="BP198" i="1"/>
  <c r="Z200" i="1"/>
  <c r="BN200" i="1"/>
  <c r="Z202" i="1"/>
  <c r="BN202" i="1"/>
  <c r="Z204" i="1"/>
  <c r="BN204" i="1"/>
  <c r="Y205" i="1"/>
  <c r="Z209" i="1"/>
  <c r="Z210" i="1" s="1"/>
  <c r="BN209" i="1"/>
  <c r="BP209" i="1"/>
  <c r="Y210" i="1"/>
  <c r="Z213" i="1"/>
  <c r="BN213" i="1"/>
  <c r="BP213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Z233" i="1"/>
  <c r="BN233" i="1"/>
  <c r="Z239" i="1"/>
  <c r="Z241" i="1" s="1"/>
  <c r="BN239" i="1"/>
  <c r="M551" i="1"/>
  <c r="Y252" i="1"/>
  <c r="Z250" i="1"/>
  <c r="Z251" i="1" s="1"/>
  <c r="BN250" i="1"/>
  <c r="Y251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Y283" i="1"/>
  <c r="BP271" i="1"/>
  <c r="BN271" i="1"/>
  <c r="Z271" i="1"/>
  <c r="Z275" i="1"/>
  <c r="BN275" i="1"/>
  <c r="Z277" i="1"/>
  <c r="BN277" i="1"/>
  <c r="Z279" i="1"/>
  <c r="BN279" i="1"/>
  <c r="Z281" i="1"/>
  <c r="BN281" i="1"/>
  <c r="Z285" i="1"/>
  <c r="Z287" i="1" s="1"/>
  <c r="BN285" i="1"/>
  <c r="BP285" i="1"/>
  <c r="Y288" i="1"/>
  <c r="O551" i="1"/>
  <c r="Z292" i="1"/>
  <c r="BN292" i="1"/>
  <c r="BP292" i="1"/>
  <c r="Z294" i="1"/>
  <c r="BN294" i="1"/>
  <c r="Z296" i="1"/>
  <c r="BN296" i="1"/>
  <c r="Y299" i="1"/>
  <c r="Z310" i="1"/>
  <c r="Z312" i="1" s="1"/>
  <c r="BN310" i="1"/>
  <c r="BP310" i="1"/>
  <c r="P551" i="1"/>
  <c r="Z317" i="1"/>
  <c r="BN317" i="1"/>
  <c r="BP317" i="1"/>
  <c r="Z319" i="1"/>
  <c r="BN319" i="1"/>
  <c r="Y322" i="1"/>
  <c r="Q551" i="1"/>
  <c r="Z326" i="1"/>
  <c r="BN326" i="1"/>
  <c r="BP326" i="1"/>
  <c r="Y329" i="1"/>
  <c r="R551" i="1"/>
  <c r="Z333" i="1"/>
  <c r="BN333" i="1"/>
  <c r="BP333" i="1"/>
  <c r="Z335" i="1"/>
  <c r="BN335" i="1"/>
  <c r="Y338" i="1"/>
  <c r="Z341" i="1"/>
  <c r="Z342" i="1" s="1"/>
  <c r="BN341" i="1"/>
  <c r="BP341" i="1"/>
  <c r="Z346" i="1"/>
  <c r="BN346" i="1"/>
  <c r="BP346" i="1"/>
  <c r="Z348" i="1"/>
  <c r="BN348" i="1"/>
  <c r="Y349" i="1"/>
  <c r="Z353" i="1"/>
  <c r="BN353" i="1"/>
  <c r="BP353" i="1"/>
  <c r="Z355" i="1"/>
  <c r="BN355" i="1"/>
  <c r="Z357" i="1"/>
  <c r="BN357" i="1"/>
  <c r="Y358" i="1"/>
  <c r="Z361" i="1"/>
  <c r="BN361" i="1"/>
  <c r="BP361" i="1"/>
  <c r="Z363" i="1"/>
  <c r="BN363" i="1"/>
  <c r="Z365" i="1"/>
  <c r="BN365" i="1"/>
  <c r="Z367" i="1"/>
  <c r="BN367" i="1"/>
  <c r="Y368" i="1"/>
  <c r="Z371" i="1"/>
  <c r="BN371" i="1"/>
  <c r="BP371" i="1"/>
  <c r="Z373" i="1"/>
  <c r="BN373" i="1"/>
  <c r="Y376" i="1"/>
  <c r="Z379" i="1"/>
  <c r="Z381" i="1" s="1"/>
  <c r="BN379" i="1"/>
  <c r="BP379" i="1"/>
  <c r="Z385" i="1"/>
  <c r="BN385" i="1"/>
  <c r="BP385" i="1"/>
  <c r="Z387" i="1"/>
  <c r="BN387" i="1"/>
  <c r="Z391" i="1"/>
  <c r="BN391" i="1"/>
  <c r="BP391" i="1"/>
  <c r="Z393" i="1"/>
  <c r="BN393" i="1"/>
  <c r="Y394" i="1"/>
  <c r="Z397" i="1"/>
  <c r="BN397" i="1"/>
  <c r="BP397" i="1"/>
  <c r="Z399" i="1"/>
  <c r="BN399" i="1"/>
  <c r="Y400" i="1"/>
  <c r="Z404" i="1"/>
  <c r="BN404" i="1"/>
  <c r="BP404" i="1"/>
  <c r="Z406" i="1"/>
  <c r="BN406" i="1"/>
  <c r="Y407" i="1"/>
  <c r="Z412" i="1"/>
  <c r="BN412" i="1"/>
  <c r="Z414" i="1"/>
  <c r="BN414" i="1"/>
  <c r="BP415" i="1"/>
  <c r="BN415" i="1"/>
  <c r="BP417" i="1"/>
  <c r="BN417" i="1"/>
  <c r="Z417" i="1"/>
  <c r="Y350" i="1"/>
  <c r="Y359" i="1"/>
  <c r="Y408" i="1"/>
  <c r="V551" i="1"/>
  <c r="Y421" i="1"/>
  <c r="Y420" i="1"/>
  <c r="BP419" i="1"/>
  <c r="BN419" i="1"/>
  <c r="Z419" i="1"/>
  <c r="Z423" i="1"/>
  <c r="BN423" i="1"/>
  <c r="BP423" i="1"/>
  <c r="Z425" i="1"/>
  <c r="BN425" i="1"/>
  <c r="Y426" i="1"/>
  <c r="Z429" i="1"/>
  <c r="BN429" i="1"/>
  <c r="BP429" i="1"/>
  <c r="Z431" i="1"/>
  <c r="BN431" i="1"/>
  <c r="Y432" i="1"/>
  <c r="Z435" i="1"/>
  <c r="Z437" i="1" s="1"/>
  <c r="BN435" i="1"/>
  <c r="BP435" i="1"/>
  <c r="Y438" i="1"/>
  <c r="Z442" i="1"/>
  <c r="Z443" i="1" s="1"/>
  <c r="BN442" i="1"/>
  <c r="BP442" i="1"/>
  <c r="Y443" i="1"/>
  <c r="Z446" i="1"/>
  <c r="Z447" i="1" s="1"/>
  <c r="BN446" i="1"/>
  <c r="BP446" i="1"/>
  <c r="Y447" i="1"/>
  <c r="Z450" i="1"/>
  <c r="BN450" i="1"/>
  <c r="BP450" i="1"/>
  <c r="Z452" i="1"/>
  <c r="BN452" i="1"/>
  <c r="Y453" i="1"/>
  <c r="Z458" i="1"/>
  <c r="BN458" i="1"/>
  <c r="BP458" i="1"/>
  <c r="Z460" i="1"/>
  <c r="BN460" i="1"/>
  <c r="Z462" i="1"/>
  <c r="BN462" i="1"/>
  <c r="Y465" i="1"/>
  <c r="Z468" i="1"/>
  <c r="BN468" i="1"/>
  <c r="Y469" i="1"/>
  <c r="Z473" i="1"/>
  <c r="Z474" i="1" s="1"/>
  <c r="BN473" i="1"/>
  <c r="BP473" i="1"/>
  <c r="Y474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Y534" i="1"/>
  <c r="Y551" i="1"/>
  <c r="BN459" i="1"/>
  <c r="Z461" i="1"/>
  <c r="BN461" i="1"/>
  <c r="Z463" i="1"/>
  <c r="BN463" i="1"/>
  <c r="Y464" i="1"/>
  <c r="Z467" i="1"/>
  <c r="Z469" i="1" s="1"/>
  <c r="BN467" i="1"/>
  <c r="BP467" i="1"/>
  <c r="Y480" i="1"/>
  <c r="BP477" i="1"/>
  <c r="BN477" i="1"/>
  <c r="Z477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BP507" i="1"/>
  <c r="BN507" i="1"/>
  <c r="Z507" i="1"/>
  <c r="BP533" i="1"/>
  <c r="BN533" i="1"/>
  <c r="Z533" i="1"/>
  <c r="Y535" i="1"/>
  <c r="AB551" i="1"/>
  <c r="Y539" i="1"/>
  <c r="BP538" i="1"/>
  <c r="BN538" i="1"/>
  <c r="Z538" i="1"/>
  <c r="Z539" i="1" s="1"/>
  <c r="Y540" i="1"/>
  <c r="AA551" i="1"/>
  <c r="Z74" i="1" l="1"/>
  <c r="Z388" i="1"/>
  <c r="Z282" i="1"/>
  <c r="Z510" i="1"/>
  <c r="Z328" i="1"/>
  <c r="Z32" i="1"/>
  <c r="Z134" i="1"/>
  <c r="Z525" i="1"/>
  <c r="Z117" i="1"/>
  <c r="Z55" i="1"/>
  <c r="Z534" i="1"/>
  <c r="Z480" i="1"/>
  <c r="Z432" i="1"/>
  <c r="Z400" i="1"/>
  <c r="Z227" i="1"/>
  <c r="Z152" i="1"/>
  <c r="Z337" i="1"/>
  <c r="Z321" i="1"/>
  <c r="Z298" i="1"/>
  <c r="Z235" i="1"/>
  <c r="Z124" i="1"/>
  <c r="Z46" i="1"/>
  <c r="Z453" i="1"/>
  <c r="Z426" i="1"/>
  <c r="Z407" i="1"/>
  <c r="Z394" i="1"/>
  <c r="Z205" i="1"/>
  <c r="Z178" i="1"/>
  <c r="Z109" i="1"/>
  <c r="X544" i="1"/>
  <c r="Z494" i="1"/>
  <c r="Z464" i="1"/>
  <c r="Z420" i="1"/>
  <c r="Z375" i="1"/>
  <c r="Z368" i="1"/>
  <c r="Z358" i="1"/>
  <c r="Z349" i="1"/>
  <c r="Z267" i="1"/>
  <c r="Z159" i="1"/>
  <c r="Y545" i="1"/>
  <c r="Z92" i="1"/>
  <c r="Z67" i="1"/>
  <c r="Y543" i="1"/>
  <c r="Z500" i="1"/>
  <c r="Y541" i="1"/>
  <c r="Y542" i="1"/>
  <c r="Y544" i="1" s="1"/>
  <c r="Z546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<sst xmlns="http://schemas.openxmlformats.org/spreadsheetml/2006/main" count="2450" uniqueCount="890">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</sst>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97" sqref="AA97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58"/>
      <c r="P5" s="24" t="s">
        <v>10</v>
      </c>
      <c r="Q5" s="941">
        <v>46224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862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Вторник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5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0.41666666666666669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26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28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30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34</v>
      </c>
      <c r="B17" s="643" t="s">
        <v>35</v>
      </c>
      <c r="C17" s="763" t="s">
        <v>36</v>
      </c>
      <c r="D17" s="643" t="s">
        <v>37</v>
      </c>
      <c r="E17" s="719"/>
      <c r="F17" s="643" t="s">
        <v>38</v>
      </c>
      <c r="G17" s="643" t="s">
        <v>39</v>
      </c>
      <c r="H17" s="643" t="s">
        <v>40</v>
      </c>
      <c r="I17" s="643" t="s">
        <v>41</v>
      </c>
      <c r="J17" s="643" t="s">
        <v>42</v>
      </c>
      <c r="K17" s="643" t="s">
        <v>43</v>
      </c>
      <c r="L17" s="643" t="s">
        <v>44</v>
      </c>
      <c r="M17" s="643" t="s">
        <v>45</v>
      </c>
      <c r="N17" s="643" t="s">
        <v>46</v>
      </c>
      <c r="O17" s="643" t="s">
        <v>47</v>
      </c>
      <c r="P17" s="643" t="s">
        <v>48</v>
      </c>
      <c r="Q17" s="718"/>
      <c r="R17" s="718"/>
      <c r="S17" s="718"/>
      <c r="T17" s="719"/>
      <c r="U17" s="950" t="s">
        <v>49</v>
      </c>
      <c r="V17" s="636"/>
      <c r="W17" s="643" t="s">
        <v>50</v>
      </c>
      <c r="X17" s="643" t="s">
        <v>51</v>
      </c>
      <c r="Y17" s="965" t="s">
        <v>52</v>
      </c>
      <c r="Z17" s="977" t="s">
        <v>53</v>
      </c>
      <c r="AA17" s="842" t="s">
        <v>54</v>
      </c>
      <c r="AB17" s="842" t="s">
        <v>55</v>
      </c>
      <c r="AC17" s="842" t="s">
        <v>56</v>
      </c>
      <c r="AD17" s="842" t="s">
        <v>57</v>
      </c>
      <c r="AE17" s="924"/>
      <c r="AF17" s="925"/>
      <c r="AG17" s="66"/>
      <c r="BD17" s="65" t="s">
        <v>58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61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61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62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72</v>
      </c>
      <c r="Q24" s="632"/>
      <c r="R24" s="632"/>
      <c r="S24" s="632"/>
      <c r="T24" s="632"/>
      <c r="U24" s="632"/>
      <c r="V24" s="633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72</v>
      </c>
      <c r="Q25" s="632"/>
      <c r="R25" s="632"/>
      <c r="S25" s="632"/>
      <c r="T25" s="632"/>
      <c r="U25" s="632"/>
      <c r="V25" s="633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72</v>
      </c>
      <c r="Q32" s="632"/>
      <c r="R32" s="632"/>
      <c r="S32" s="632"/>
      <c r="T32" s="632"/>
      <c r="U32" s="632"/>
      <c r="V32" s="633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72</v>
      </c>
      <c r="Q33" s="632"/>
      <c r="R33" s="632"/>
      <c r="S33" s="632"/>
      <c r="T33" s="632"/>
      <c r="U33" s="632"/>
      <c r="V33" s="633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72</v>
      </c>
      <c r="Q36" s="632"/>
      <c r="R36" s="632"/>
      <c r="S36" s="632"/>
      <c r="T36" s="632"/>
      <c r="U36" s="632"/>
      <c r="V36" s="633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72</v>
      </c>
      <c r="Q37" s="632"/>
      <c r="R37" s="632"/>
      <c r="S37" s="632"/>
      <c r="T37" s="632"/>
      <c r="U37" s="632"/>
      <c r="V37" s="633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98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99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74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72</v>
      </c>
      <c r="Q46" s="632"/>
      <c r="R46" s="632"/>
      <c r="S46" s="632"/>
      <c r="T46" s="632"/>
      <c r="U46" s="632"/>
      <c r="V46" s="633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72</v>
      </c>
      <c r="Q47" s="632"/>
      <c r="R47" s="632"/>
      <c r="S47" s="632"/>
      <c r="T47" s="632"/>
      <c r="U47" s="632"/>
      <c r="V47" s="633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115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117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67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72</v>
      </c>
      <c r="Q55" s="632"/>
      <c r="R55" s="632"/>
      <c r="S55" s="632"/>
      <c r="T55" s="632"/>
      <c r="U55" s="632"/>
      <c r="V55" s="633"/>
      <c r="W55" s="37" t="s">
        <v>73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72</v>
      </c>
      <c r="Q56" s="632"/>
      <c r="R56" s="632"/>
      <c r="S56" s="632"/>
      <c r="T56" s="632"/>
      <c r="U56" s="632"/>
      <c r="V56" s="633"/>
      <c r="W56" s="37" t="s">
        <v>67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39" t="s">
        <v>132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117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72</v>
      </c>
      <c r="Q67" s="632"/>
      <c r="R67" s="632"/>
      <c r="S67" s="632"/>
      <c r="T67" s="632"/>
      <c r="U67" s="632"/>
      <c r="V67" s="633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hidden="1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72</v>
      </c>
      <c r="Q68" s="632"/>
      <c r="R68" s="632"/>
      <c r="S68" s="632"/>
      <c r="T68" s="632"/>
      <c r="U68" s="632"/>
      <c r="V68" s="633"/>
      <c r="W68" s="37" t="s">
        <v>67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72</v>
      </c>
      <c r="Q74" s="632"/>
      <c r="R74" s="632"/>
      <c r="S74" s="632"/>
      <c r="T74" s="632"/>
      <c r="U74" s="632"/>
      <c r="V74" s="633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72</v>
      </c>
      <c r="Q75" s="632"/>
      <c r="R75" s="632"/>
      <c r="S75" s="632"/>
      <c r="T75" s="632"/>
      <c r="U75" s="632"/>
      <c r="V75" s="633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72</v>
      </c>
      <c r="Q79" s="632"/>
      <c r="R79" s="632"/>
      <c r="S79" s="632"/>
      <c r="T79" s="632"/>
      <c r="U79" s="632"/>
      <c r="V79" s="633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72</v>
      </c>
      <c r="Q80" s="632"/>
      <c r="R80" s="632"/>
      <c r="S80" s="632"/>
      <c r="T80" s="632"/>
      <c r="U80" s="632"/>
      <c r="V80" s="633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67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72</v>
      </c>
      <c r="Q84" s="632"/>
      <c r="R84" s="632"/>
      <c r="S84" s="632"/>
      <c r="T84" s="632"/>
      <c r="U84" s="632"/>
      <c r="V84" s="633"/>
      <c r="W84" s="37" t="s">
        <v>73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72</v>
      </c>
      <c r="Q85" s="632"/>
      <c r="R85" s="632"/>
      <c r="S85" s="632"/>
      <c r="T85" s="632"/>
      <c r="U85" s="632"/>
      <c r="V85" s="633"/>
      <c r="W85" s="37" t="s">
        <v>67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39" t="s">
        <v>177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117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72</v>
      </c>
      <c r="Q92" s="632"/>
      <c r="R92" s="632"/>
      <c r="S92" s="632"/>
      <c r="T92" s="632"/>
      <c r="U92" s="632"/>
      <c r="V92" s="633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hidden="1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72</v>
      </c>
      <c r="Q93" s="632"/>
      <c r="R93" s="632"/>
      <c r="S93" s="632"/>
      <c r="T93" s="632"/>
      <c r="U93" s="632"/>
      <c r="V93" s="633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67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67</v>
      </c>
      <c r="X97" s="615">
        <v>225</v>
      </c>
      <c r="Y97" s="616">
        <f>IFERROR(IF(X97="",0,CEILING((X97/$H97),1)*$H97),"")</f>
        <v>226.8</v>
      </c>
      <c r="Z97" s="36">
        <f>IFERROR(IF(Y97=0,"",ROUNDUP(Y97/H97,0)*0.00651),"")</f>
        <v>0.54683999999999999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246</v>
      </c>
      <c r="BN97" s="64">
        <f>IFERROR(Y97*I97/H97,"0")</f>
        <v>247.96799999999999</v>
      </c>
      <c r="BO97" s="64">
        <f>IFERROR(1/J97*(X97/H97),"0")</f>
        <v>0.45787545787545786</v>
      </c>
      <c r="BP97" s="64">
        <f>IFERROR(1/J97*(Y97/H97),"0")</f>
        <v>0.46153846153846156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72</v>
      </c>
      <c r="Q99" s="632"/>
      <c r="R99" s="632"/>
      <c r="S99" s="632"/>
      <c r="T99" s="632"/>
      <c r="U99" s="632"/>
      <c r="V99" s="633"/>
      <c r="W99" s="37" t="s">
        <v>73</v>
      </c>
      <c r="X99" s="617">
        <f>IFERROR(X95/H95,"0")+IFERROR(X96/H96,"0")+IFERROR(X97/H97,"0")+IFERROR(X98/H98,"0")</f>
        <v>83.333333333333329</v>
      </c>
      <c r="Y99" s="617">
        <f>IFERROR(Y95/H95,"0")+IFERROR(Y96/H96,"0")+IFERROR(Y97/H97,"0")+IFERROR(Y98/H98,"0")</f>
        <v>84</v>
      </c>
      <c r="Z99" s="617">
        <f>IFERROR(IF(Z95="",0,Z95),"0")+IFERROR(IF(Z96="",0,Z96),"0")+IFERROR(IF(Z97="",0,Z97),"0")+IFERROR(IF(Z98="",0,Z98),"0")</f>
        <v>0.54683999999999999</v>
      </c>
      <c r="AA99" s="618"/>
      <c r="AB99" s="618"/>
      <c r="AC99" s="618"/>
    </row>
    <row r="100" spans="1:68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72</v>
      </c>
      <c r="Q100" s="632"/>
      <c r="R100" s="632"/>
      <c r="S100" s="632"/>
      <c r="T100" s="632"/>
      <c r="U100" s="632"/>
      <c r="V100" s="633"/>
      <c r="W100" s="37" t="s">
        <v>67</v>
      </c>
      <c r="X100" s="617">
        <f>IFERROR(SUM(X95:X98),"0")</f>
        <v>225</v>
      </c>
      <c r="Y100" s="617">
        <f>IFERROR(SUM(Y95:Y98),"0")</f>
        <v>226.8</v>
      </c>
      <c r="Z100" s="37"/>
      <c r="AA100" s="618"/>
      <c r="AB100" s="618"/>
      <c r="AC100" s="618"/>
    </row>
    <row r="101" spans="1:68" ht="16.5" hidden="1" customHeight="1" x14ac:dyDescent="0.25">
      <c r="A101" s="639" t="s">
        <v>198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72</v>
      </c>
      <c r="Q109" s="632"/>
      <c r="R109" s="632"/>
      <c r="S109" s="632"/>
      <c r="T109" s="632"/>
      <c r="U109" s="632"/>
      <c r="V109" s="633"/>
      <c r="W109" s="37" t="s">
        <v>73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72</v>
      </c>
      <c r="Q110" s="632"/>
      <c r="R110" s="632"/>
      <c r="S110" s="632"/>
      <c r="T110" s="632"/>
      <c r="U110" s="632"/>
      <c r="V110" s="633"/>
      <c r="W110" s="37" t="s">
        <v>67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72</v>
      </c>
      <c r="Q117" s="632"/>
      <c r="R117" s="632"/>
      <c r="S117" s="632"/>
      <c r="T117" s="632"/>
      <c r="U117" s="632"/>
      <c r="V117" s="633"/>
      <c r="W117" s="37" t="s">
        <v>73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72</v>
      </c>
      <c r="Q118" s="632"/>
      <c r="R118" s="632"/>
      <c r="S118" s="632"/>
      <c r="T118" s="632"/>
      <c r="U118" s="632"/>
      <c r="V118" s="633"/>
      <c r="W118" s="37" t="s">
        <v>67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67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67</v>
      </c>
      <c r="X122" s="615">
        <v>225</v>
      </c>
      <c r="Y122" s="616">
        <f>IFERROR(IF(X122="",0,CEILING((X122/$H122),1)*$H122),"")</f>
        <v>226.8</v>
      </c>
      <c r="Z122" s="36">
        <f>IFERROR(IF(Y122=0,"",ROUNDUP(Y122/H122,0)*0.00651),"")</f>
        <v>0.54683999999999999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246</v>
      </c>
      <c r="BN122" s="64">
        <f>IFERROR(Y122*I122/H122,"0")</f>
        <v>247.96799999999999</v>
      </c>
      <c r="BO122" s="64">
        <f>IFERROR(1/J122*(X122/H122),"0")</f>
        <v>0.45787545787545786</v>
      </c>
      <c r="BP122" s="64">
        <f>IFERROR(1/J122*(Y122/H122),"0")</f>
        <v>0.46153846153846156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72</v>
      </c>
      <c r="Q124" s="632"/>
      <c r="R124" s="632"/>
      <c r="S124" s="632"/>
      <c r="T124" s="632"/>
      <c r="U124" s="632"/>
      <c r="V124" s="633"/>
      <c r="W124" s="37" t="s">
        <v>73</v>
      </c>
      <c r="X124" s="617">
        <f>IFERROR(X120/H120,"0")+IFERROR(X121/H121,"0")+IFERROR(X122/H122,"0")+IFERROR(X123/H123,"0")</f>
        <v>83.333333333333329</v>
      </c>
      <c r="Y124" s="617">
        <f>IFERROR(Y120/H120,"0")+IFERROR(Y121/H121,"0")+IFERROR(Y122/H122,"0")+IFERROR(Y123/H123,"0")</f>
        <v>84</v>
      </c>
      <c r="Z124" s="617">
        <f>IFERROR(IF(Z120="",0,Z120),"0")+IFERROR(IF(Z121="",0,Z121),"0")+IFERROR(IF(Z122="",0,Z122),"0")+IFERROR(IF(Z123="",0,Z123),"0")</f>
        <v>0.54683999999999999</v>
      </c>
      <c r="AA124" s="618"/>
      <c r="AB124" s="618"/>
      <c r="AC124" s="618"/>
    </row>
    <row r="125" spans="1:68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72</v>
      </c>
      <c r="Q125" s="632"/>
      <c r="R125" s="632"/>
      <c r="S125" s="632"/>
      <c r="T125" s="632"/>
      <c r="U125" s="632"/>
      <c r="V125" s="633"/>
      <c r="W125" s="37" t="s">
        <v>67</v>
      </c>
      <c r="X125" s="617">
        <f>IFERROR(SUM(X120:X123),"0")</f>
        <v>225</v>
      </c>
      <c r="Y125" s="617">
        <f>IFERROR(SUM(Y120:Y123),"0")</f>
        <v>226.8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72</v>
      </c>
      <c r="Q128" s="632"/>
      <c r="R128" s="632"/>
      <c r="S128" s="632"/>
      <c r="T128" s="632"/>
      <c r="U128" s="632"/>
      <c r="V128" s="633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72</v>
      </c>
      <c r="Q129" s="632"/>
      <c r="R129" s="632"/>
      <c r="S129" s="632"/>
      <c r="T129" s="632"/>
      <c r="U129" s="632"/>
      <c r="V129" s="633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39" t="s">
        <v>237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hidden="1" customHeight="1" x14ac:dyDescent="0.25">
      <c r="A132" s="54" t="s">
        <v>238</v>
      </c>
      <c r="B132" s="54" t="s">
        <v>239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72</v>
      </c>
      <c r="Q134" s="632"/>
      <c r="R134" s="632"/>
      <c r="S134" s="632"/>
      <c r="T134" s="632"/>
      <c r="U134" s="632"/>
      <c r="V134" s="633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72</v>
      </c>
      <c r="Q135" s="632"/>
      <c r="R135" s="632"/>
      <c r="S135" s="632"/>
      <c r="T135" s="632"/>
      <c r="U135" s="632"/>
      <c r="V135" s="633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hidden="1" customHeight="1" x14ac:dyDescent="0.25">
      <c r="A137" s="54" t="s">
        <v>242</v>
      </c>
      <c r="B137" s="54" t="s">
        <v>243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72</v>
      </c>
      <c r="Q139" s="632"/>
      <c r="R139" s="632"/>
      <c r="S139" s="632"/>
      <c r="T139" s="632"/>
      <c r="U139" s="632"/>
      <c r="V139" s="633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72</v>
      </c>
      <c r="Q140" s="632"/>
      <c r="R140" s="632"/>
      <c r="S140" s="632"/>
      <c r="T140" s="632"/>
      <c r="U140" s="632"/>
      <c r="V140" s="633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hidden="1" customHeight="1" x14ac:dyDescent="0.25">
      <c r="A142" s="54" t="s">
        <v>246</v>
      </c>
      <c r="B142" s="54" t="s">
        <v>247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72</v>
      </c>
      <c r="Q144" s="632"/>
      <c r="R144" s="632"/>
      <c r="S144" s="632"/>
      <c r="T144" s="632"/>
      <c r="U144" s="632"/>
      <c r="V144" s="633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72</v>
      </c>
      <c r="Q145" s="632"/>
      <c r="R145" s="632"/>
      <c r="S145" s="632"/>
      <c r="T145" s="632"/>
      <c r="U145" s="632"/>
      <c r="V145" s="633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39" t="s">
        <v>249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72</v>
      </c>
      <c r="Q152" s="632"/>
      <c r="R152" s="632"/>
      <c r="S152" s="632"/>
      <c r="T152" s="632"/>
      <c r="U152" s="632"/>
      <c r="V152" s="633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72</v>
      </c>
      <c r="Q153" s="632"/>
      <c r="R153" s="632"/>
      <c r="S153" s="632"/>
      <c r="T153" s="632"/>
      <c r="U153" s="632"/>
      <c r="V153" s="633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115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266</v>
      </c>
      <c r="B157" s="54" t="s">
        <v>267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72</v>
      </c>
      <c r="Q159" s="632"/>
      <c r="R159" s="632"/>
      <c r="S159" s="632"/>
      <c r="T159" s="632"/>
      <c r="U159" s="632"/>
      <c r="V159" s="633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72</v>
      </c>
      <c r="Q160" s="632"/>
      <c r="R160" s="632"/>
      <c r="S160" s="632"/>
      <c r="T160" s="632"/>
      <c r="U160" s="632"/>
      <c r="V160" s="633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72</v>
      </c>
      <c r="Q163" s="632"/>
      <c r="R163" s="632"/>
      <c r="S163" s="632"/>
      <c r="T163" s="632"/>
      <c r="U163" s="632"/>
      <c r="V163" s="633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72</v>
      </c>
      <c r="Q164" s="632"/>
      <c r="R164" s="632"/>
      <c r="S164" s="632"/>
      <c r="T164" s="632"/>
      <c r="U164" s="632"/>
      <c r="V164" s="633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hidden="1" customHeight="1" x14ac:dyDescent="0.25">
      <c r="A166" s="54" t="s">
        <v>275</v>
      </c>
      <c r="B166" s="54" t="s">
        <v>276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67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287</v>
      </c>
      <c r="B170" s="54" t="s">
        <v>288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304</v>
      </c>
      <c r="B177" s="54" t="s">
        <v>305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72</v>
      </c>
      <c r="Q178" s="632"/>
      <c r="R178" s="632"/>
      <c r="S178" s="632"/>
      <c r="T178" s="632"/>
      <c r="U178" s="632"/>
      <c r="V178" s="633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72</v>
      </c>
      <c r="Q179" s="632"/>
      <c r="R179" s="632"/>
      <c r="S179" s="632"/>
      <c r="T179" s="632"/>
      <c r="U179" s="632"/>
      <c r="V179" s="633"/>
      <c r="W179" s="37" t="s">
        <v>67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72</v>
      </c>
      <c r="Q184" s="632"/>
      <c r="R184" s="632"/>
      <c r="S184" s="632"/>
      <c r="T184" s="632"/>
      <c r="U184" s="632"/>
      <c r="V184" s="633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72</v>
      </c>
      <c r="Q185" s="632"/>
      <c r="R185" s="632"/>
      <c r="S185" s="632"/>
      <c r="T185" s="632"/>
      <c r="U185" s="632"/>
      <c r="V185" s="633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72</v>
      </c>
      <c r="Q189" s="632"/>
      <c r="R189" s="632"/>
      <c r="S189" s="632"/>
      <c r="T189" s="632"/>
      <c r="U189" s="632"/>
      <c r="V189" s="633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72</v>
      </c>
      <c r="Q190" s="632"/>
      <c r="R190" s="632"/>
      <c r="S190" s="632"/>
      <c r="T190" s="632"/>
      <c r="U190" s="632"/>
      <c r="V190" s="633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72</v>
      </c>
      <c r="Q193" s="632"/>
      <c r="R193" s="632"/>
      <c r="S193" s="632"/>
      <c r="T193" s="632"/>
      <c r="U193" s="632"/>
      <c r="V193" s="633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72</v>
      </c>
      <c r="Q194" s="632"/>
      <c r="R194" s="632"/>
      <c r="S194" s="632"/>
      <c r="T194" s="632"/>
      <c r="U194" s="632"/>
      <c r="V194" s="633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327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328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72</v>
      </c>
      <c r="Q205" s="632"/>
      <c r="R205" s="632"/>
      <c r="S205" s="632"/>
      <c r="T205" s="632"/>
      <c r="U205" s="632"/>
      <c r="V205" s="633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72</v>
      </c>
      <c r="Q206" s="632"/>
      <c r="R206" s="632"/>
      <c r="S206" s="632"/>
      <c r="T206" s="632"/>
      <c r="U206" s="632"/>
      <c r="V206" s="633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349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72</v>
      </c>
      <c r="Q210" s="632"/>
      <c r="R210" s="632"/>
      <c r="S210" s="632"/>
      <c r="T210" s="632"/>
      <c r="U210" s="632"/>
      <c r="V210" s="633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72</v>
      </c>
      <c r="Q211" s="632"/>
      <c r="R211" s="632"/>
      <c r="S211" s="632"/>
      <c r="T211" s="632"/>
      <c r="U211" s="632"/>
      <c r="V211" s="633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hidden="1" customHeight="1" x14ac:dyDescent="0.25">
      <c r="A213" s="54" t="s">
        <v>353</v>
      </c>
      <c r="B213" s="54" t="s">
        <v>354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67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362</v>
      </c>
      <c r="B216" s="54" t="s">
        <v>363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384</v>
      </c>
      <c r="B224" s="54" t="s">
        <v>385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67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72</v>
      </c>
      <c r="Q227" s="632"/>
      <c r="R227" s="632"/>
      <c r="S227" s="632"/>
      <c r="T227" s="632"/>
      <c r="U227" s="632"/>
      <c r="V227" s="633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72</v>
      </c>
      <c r="Q228" s="632"/>
      <c r="R228" s="632"/>
      <c r="S228" s="632"/>
      <c r="T228" s="632"/>
      <c r="U228" s="632"/>
      <c r="V228" s="633"/>
      <c r="W228" s="37" t="s">
        <v>67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72</v>
      </c>
      <c r="Q235" s="632"/>
      <c r="R235" s="632"/>
      <c r="S235" s="632"/>
      <c r="T235" s="632"/>
      <c r="U235" s="632"/>
      <c r="V235" s="633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72</v>
      </c>
      <c r="Q236" s="632"/>
      <c r="R236" s="632"/>
      <c r="S236" s="632"/>
      <c r="T236" s="632"/>
      <c r="U236" s="632"/>
      <c r="V236" s="633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72</v>
      </c>
      <c r="Q241" s="632"/>
      <c r="R241" s="632"/>
      <c r="S241" s="632"/>
      <c r="T241" s="632"/>
      <c r="U241" s="632"/>
      <c r="V241" s="633"/>
      <c r="W241" s="37" t="s">
        <v>73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72</v>
      </c>
      <c r="Q242" s="632"/>
      <c r="R242" s="632"/>
      <c r="S242" s="632"/>
      <c r="T242" s="632"/>
      <c r="U242" s="632"/>
      <c r="V242" s="633"/>
      <c r="W242" s="37" t="s">
        <v>67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hidden="1" customHeight="1" x14ac:dyDescent="0.25">
      <c r="A244" s="54" t="s">
        <v>414</v>
      </c>
      <c r="B244" s="54" t="s">
        <v>415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72</v>
      </c>
      <c r="Q245" s="632"/>
      <c r="R245" s="632"/>
      <c r="S245" s="632"/>
      <c r="T245" s="632"/>
      <c r="U245" s="632"/>
      <c r="V245" s="633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72</v>
      </c>
      <c r="Q246" s="632"/>
      <c r="R246" s="632"/>
      <c r="S246" s="632"/>
      <c r="T246" s="632"/>
      <c r="U246" s="632"/>
      <c r="V246" s="633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39" t="s">
        <v>416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72</v>
      </c>
      <c r="Q251" s="632"/>
      <c r="R251" s="632"/>
      <c r="S251" s="632"/>
      <c r="T251" s="632"/>
      <c r="U251" s="632"/>
      <c r="V251" s="633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72</v>
      </c>
      <c r="Q252" s="632"/>
      <c r="R252" s="632"/>
      <c r="S252" s="632"/>
      <c r="T252" s="632"/>
      <c r="U252" s="632"/>
      <c r="V252" s="633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72</v>
      </c>
      <c r="Q256" s="632"/>
      <c r="R256" s="632"/>
      <c r="S256" s="632"/>
      <c r="T256" s="632"/>
      <c r="U256" s="632"/>
      <c r="V256" s="633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72</v>
      </c>
      <c r="Q257" s="632"/>
      <c r="R257" s="632"/>
      <c r="S257" s="632"/>
      <c r="T257" s="632"/>
      <c r="U257" s="632"/>
      <c r="V257" s="633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hidden="1" customHeight="1" x14ac:dyDescent="0.25">
      <c r="A259" s="54" t="s">
        <v>427</v>
      </c>
      <c r="B259" s="54" t="s">
        <v>428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67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67</v>
      </c>
      <c r="X261" s="615">
        <v>63</v>
      </c>
      <c r="Y261" s="616">
        <f t="shared" si="27"/>
        <v>64.800000000000011</v>
      </c>
      <c r="Z261" s="36">
        <f>IFERROR(IF(Y261=0,"",ROUNDUP(Y261/H261,0)*0.00902),"")</f>
        <v>0.10824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65.216666666666669</v>
      </c>
      <c r="BN261" s="64">
        <f t="shared" si="29"/>
        <v>67.08</v>
      </c>
      <c r="BO261" s="64">
        <f t="shared" si="30"/>
        <v>8.8383838383838384E-2</v>
      </c>
      <c r="BP261" s="64">
        <f t="shared" si="31"/>
        <v>9.0909090909090925E-2</v>
      </c>
    </row>
    <row r="262" spans="1:68" ht="27" hidden="1" customHeight="1" x14ac:dyDescent="0.25">
      <c r="A262" s="54" t="s">
        <v>436</v>
      </c>
      <c r="B262" s="54" t="s">
        <v>437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439</v>
      </c>
      <c r="B263" s="54" t="s">
        <v>440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67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441</v>
      </c>
      <c r="B264" s="54" t="s">
        <v>442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445</v>
      </c>
      <c r="B266" s="54" t="s">
        <v>446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72</v>
      </c>
      <c r="Q267" s="632"/>
      <c r="R267" s="632"/>
      <c r="S267" s="632"/>
      <c r="T267" s="632"/>
      <c r="U267" s="632"/>
      <c r="V267" s="633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11.666666666666666</v>
      </c>
      <c r="Y267" s="617">
        <f>IFERROR(Y259/H259,"0")+IFERROR(Y260/H260,"0")+IFERROR(Y261/H261,"0")+IFERROR(Y262/H262,"0")+IFERROR(Y263/H263,"0")+IFERROR(Y264/H264,"0")+IFERROR(Y265/H265,"0")+IFERROR(Y266/H266,"0")</f>
        <v>12.000000000000002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0.10824</v>
      </c>
      <c r="AA267" s="618"/>
      <c r="AB267" s="618"/>
      <c r="AC267" s="618"/>
    </row>
    <row r="268" spans="1:68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72</v>
      </c>
      <c r="Q268" s="632"/>
      <c r="R268" s="632"/>
      <c r="S268" s="632"/>
      <c r="T268" s="632"/>
      <c r="U268" s="632"/>
      <c r="V268" s="633"/>
      <c r="W268" s="37" t="s">
        <v>67</v>
      </c>
      <c r="X268" s="617">
        <f>IFERROR(SUM(X259:X266),"0")</f>
        <v>63</v>
      </c>
      <c r="Y268" s="617">
        <f>IFERROR(SUM(Y259:Y266),"0")</f>
        <v>64.800000000000011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hidden="1" customHeight="1" x14ac:dyDescent="0.25">
      <c r="A270" s="54" t="s">
        <v>447</v>
      </c>
      <c r="B270" s="54" t="s">
        <v>448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450</v>
      </c>
      <c r="B271" s="54" t="s">
        <v>451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453</v>
      </c>
      <c r="B272" s="54" t="s">
        <v>454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456</v>
      </c>
      <c r="B273" s="54" t="s">
        <v>457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hidden="1" customHeight="1" x14ac:dyDescent="0.25">
      <c r="A276" s="54" t="s">
        <v>463</v>
      </c>
      <c r="B276" s="54" t="s">
        <v>464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67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467</v>
      </c>
      <c r="B278" s="54" t="s">
        <v>468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67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469</v>
      </c>
      <c r="B279" s="54" t="s">
        <v>470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472</v>
      </c>
      <c r="B280" s="54" t="s">
        <v>473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67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idden="1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72</v>
      </c>
      <c r="Q282" s="632"/>
      <c r="R282" s="632"/>
      <c r="S282" s="632"/>
      <c r="T282" s="632"/>
      <c r="U282" s="632"/>
      <c r="V282" s="633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hidden="1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72</v>
      </c>
      <c r="Q283" s="632"/>
      <c r="R283" s="632"/>
      <c r="S283" s="632"/>
      <c r="T283" s="632"/>
      <c r="U283" s="632"/>
      <c r="V283" s="633"/>
      <c r="W283" s="37" t="s">
        <v>67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hidden="1" customHeight="1" x14ac:dyDescent="0.25">
      <c r="A285" s="54" t="s">
        <v>478</v>
      </c>
      <c r="B285" s="54" t="s">
        <v>479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72</v>
      </c>
      <c r="Q287" s="632"/>
      <c r="R287" s="632"/>
      <c r="S287" s="632"/>
      <c r="T287" s="632"/>
      <c r="U287" s="632"/>
      <c r="V287" s="633"/>
      <c r="W287" s="37" t="s">
        <v>73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72</v>
      </c>
      <c r="Q288" s="632"/>
      <c r="R288" s="632"/>
      <c r="S288" s="632"/>
      <c r="T288" s="632"/>
      <c r="U288" s="632"/>
      <c r="V288" s="633"/>
      <c r="W288" s="37" t="s">
        <v>67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39" t="s">
        <v>484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501</v>
      </c>
      <c r="B297" s="54" t="s">
        <v>502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72</v>
      </c>
      <c r="Q298" s="632"/>
      <c r="R298" s="632"/>
      <c r="S298" s="632"/>
      <c r="T298" s="632"/>
      <c r="U298" s="632"/>
      <c r="V298" s="633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72</v>
      </c>
      <c r="Q299" s="632"/>
      <c r="R299" s="632"/>
      <c r="S299" s="632"/>
      <c r="T299" s="632"/>
      <c r="U299" s="632"/>
      <c r="V299" s="633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72</v>
      </c>
      <c r="Q302" s="632"/>
      <c r="R302" s="632"/>
      <c r="S302" s="632"/>
      <c r="T302" s="632"/>
      <c r="U302" s="632"/>
      <c r="V302" s="633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72</v>
      </c>
      <c r="Q303" s="632"/>
      <c r="R303" s="632"/>
      <c r="S303" s="632"/>
      <c r="T303" s="632"/>
      <c r="U303" s="632"/>
      <c r="V303" s="633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hidden="1" customHeight="1" x14ac:dyDescent="0.25">
      <c r="A305" s="54" t="s">
        <v>507</v>
      </c>
      <c r="B305" s="54" t="s">
        <v>508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72</v>
      </c>
      <c r="Q306" s="632"/>
      <c r="R306" s="632"/>
      <c r="S306" s="632"/>
      <c r="T306" s="632"/>
      <c r="U306" s="632"/>
      <c r="V306" s="633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72</v>
      </c>
      <c r="Q307" s="632"/>
      <c r="R307" s="632"/>
      <c r="S307" s="632"/>
      <c r="T307" s="632"/>
      <c r="U307" s="632"/>
      <c r="V307" s="633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72</v>
      </c>
      <c r="Q312" s="632"/>
      <c r="R312" s="632"/>
      <c r="S312" s="632"/>
      <c r="T312" s="632"/>
      <c r="U312" s="632"/>
      <c r="V312" s="633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72</v>
      </c>
      <c r="Q313" s="632"/>
      <c r="R313" s="632"/>
      <c r="S313" s="632"/>
      <c r="T313" s="632"/>
      <c r="U313" s="632"/>
      <c r="V313" s="633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9" t="s">
        <v>517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72</v>
      </c>
      <c r="Q321" s="632"/>
      <c r="R321" s="632"/>
      <c r="S321" s="632"/>
      <c r="T321" s="632"/>
      <c r="U321" s="632"/>
      <c r="V321" s="633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72</v>
      </c>
      <c r="Q322" s="632"/>
      <c r="R322" s="632"/>
      <c r="S322" s="632"/>
      <c r="T322" s="632"/>
      <c r="U322" s="632"/>
      <c r="V322" s="633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533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537</v>
      </c>
      <c r="B326" s="54" t="s">
        <v>538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540</v>
      </c>
      <c r="B327" s="54" t="s">
        <v>541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67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72</v>
      </c>
      <c r="Q328" s="632"/>
      <c r="R328" s="632"/>
      <c r="S328" s="632"/>
      <c r="T328" s="632"/>
      <c r="U328" s="632"/>
      <c r="V328" s="633"/>
      <c r="W328" s="37" t="s">
        <v>73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72</v>
      </c>
      <c r="Q329" s="632"/>
      <c r="R329" s="632"/>
      <c r="S329" s="632"/>
      <c r="T329" s="632"/>
      <c r="U329" s="632"/>
      <c r="V329" s="633"/>
      <c r="W329" s="37" t="s">
        <v>67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39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72</v>
      </c>
      <c r="Q337" s="632"/>
      <c r="R337" s="632"/>
      <c r="S337" s="632"/>
      <c r="T337" s="632"/>
      <c r="U337" s="632"/>
      <c r="V337" s="633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72</v>
      </c>
      <c r="Q338" s="632"/>
      <c r="R338" s="632"/>
      <c r="S338" s="632"/>
      <c r="T338" s="632"/>
      <c r="U338" s="632"/>
      <c r="V338" s="633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72</v>
      </c>
      <c r="Q342" s="632"/>
      <c r="R342" s="632"/>
      <c r="S342" s="632"/>
      <c r="T342" s="632"/>
      <c r="U342" s="632"/>
      <c r="V342" s="633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72</v>
      </c>
      <c r="Q343" s="632"/>
      <c r="R343" s="632"/>
      <c r="S343" s="632"/>
      <c r="T343" s="632"/>
      <c r="U343" s="632"/>
      <c r="V343" s="633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563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hidden="1" customHeight="1" x14ac:dyDescent="0.25">
      <c r="A346" s="54" t="s">
        <v>564</v>
      </c>
      <c r="B346" s="54" t="s">
        <v>565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67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72</v>
      </c>
      <c r="Q349" s="632"/>
      <c r="R349" s="632"/>
      <c r="S349" s="632"/>
      <c r="T349" s="632"/>
      <c r="U349" s="632"/>
      <c r="V349" s="633"/>
      <c r="W349" s="37" t="s">
        <v>73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72</v>
      </c>
      <c r="Q350" s="632"/>
      <c r="R350" s="632"/>
      <c r="S350" s="632"/>
      <c r="T350" s="632"/>
      <c r="U350" s="632"/>
      <c r="V350" s="633"/>
      <c r="W350" s="37" t="s">
        <v>67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39" t="s">
        <v>572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72</v>
      </c>
      <c r="Q358" s="632"/>
      <c r="R358" s="632"/>
      <c r="S358" s="632"/>
      <c r="T358" s="632"/>
      <c r="U358" s="632"/>
      <c r="V358" s="633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72</v>
      </c>
      <c r="Q359" s="632"/>
      <c r="R359" s="632"/>
      <c r="S359" s="632"/>
      <c r="T359" s="632"/>
      <c r="U359" s="632"/>
      <c r="V359" s="633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72</v>
      </c>
      <c r="Q368" s="632"/>
      <c r="R368" s="632"/>
      <c r="S368" s="632"/>
      <c r="T368" s="632"/>
      <c r="U368" s="632"/>
      <c r="V368" s="633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72</v>
      </c>
      <c r="Q369" s="632"/>
      <c r="R369" s="632"/>
      <c r="S369" s="632"/>
      <c r="T369" s="632"/>
      <c r="U369" s="632"/>
      <c r="V369" s="633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72</v>
      </c>
      <c r="Q375" s="632"/>
      <c r="R375" s="632"/>
      <c r="S375" s="632"/>
      <c r="T375" s="632"/>
      <c r="U375" s="632"/>
      <c r="V375" s="633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72</v>
      </c>
      <c r="Q376" s="632"/>
      <c r="R376" s="632"/>
      <c r="S376" s="632"/>
      <c r="T376" s="632"/>
      <c r="U376" s="632"/>
      <c r="V376" s="633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hidden="1" customHeight="1" x14ac:dyDescent="0.25">
      <c r="A378" s="54" t="s">
        <v>617</v>
      </c>
      <c r="B378" s="54" t="s">
        <v>618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67</v>
      </c>
      <c r="X379" s="615">
        <v>300</v>
      </c>
      <c r="Y379" s="616">
        <f>IFERROR(IF(X379="",0,CEILING((X379/$H379),1)*$H379),"")</f>
        <v>304.2</v>
      </c>
      <c r="Z379" s="36">
        <f>IFERROR(IF(Y379=0,"",ROUNDUP(Y379/H379,0)*0.01898),"")</f>
        <v>0.74021999999999999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319.00000000000006</v>
      </c>
      <c r="BN379" s="64">
        <f>IFERROR(Y379*I379/H379,"0")</f>
        <v>323.46600000000001</v>
      </c>
      <c r="BO379" s="64">
        <f>IFERROR(1/J379*(X379/H379),"0")</f>
        <v>0.60096153846153844</v>
      </c>
      <c r="BP379" s="64">
        <f>IFERROR(1/J379*(Y379/H379),"0")</f>
        <v>0.609375</v>
      </c>
    </row>
    <row r="380" spans="1:68" ht="16.5" hidden="1" customHeight="1" x14ac:dyDescent="0.25">
      <c r="A380" s="54" t="s">
        <v>623</v>
      </c>
      <c r="B380" s="54" t="s">
        <v>624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72</v>
      </c>
      <c r="Q381" s="632"/>
      <c r="R381" s="632"/>
      <c r="S381" s="632"/>
      <c r="T381" s="632"/>
      <c r="U381" s="632"/>
      <c r="V381" s="633"/>
      <c r="W381" s="37" t="s">
        <v>73</v>
      </c>
      <c r="X381" s="617">
        <f>IFERROR(X378/H378,"0")+IFERROR(X379/H379,"0")+IFERROR(X380/H380,"0")</f>
        <v>38.46153846153846</v>
      </c>
      <c r="Y381" s="617">
        <f>IFERROR(Y378/H378,"0")+IFERROR(Y379/H379,"0")+IFERROR(Y380/H380,"0")</f>
        <v>39</v>
      </c>
      <c r="Z381" s="617">
        <f>IFERROR(IF(Z378="",0,Z378),"0")+IFERROR(IF(Z379="",0,Z379),"0")+IFERROR(IF(Z380="",0,Z380),"0")</f>
        <v>0.74021999999999999</v>
      </c>
      <c r="AA381" s="618"/>
      <c r="AB381" s="618"/>
      <c r="AC381" s="618"/>
    </row>
    <row r="382" spans="1:68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72</v>
      </c>
      <c r="Q382" s="632"/>
      <c r="R382" s="632"/>
      <c r="S382" s="632"/>
      <c r="T382" s="632"/>
      <c r="U382" s="632"/>
      <c r="V382" s="633"/>
      <c r="W382" s="37" t="s">
        <v>67</v>
      </c>
      <c r="X382" s="617">
        <f>IFERROR(SUM(X378:X380),"0")</f>
        <v>300</v>
      </c>
      <c r="Y382" s="617">
        <f>IFERROR(SUM(Y378:Y380),"0")</f>
        <v>304.2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629</v>
      </c>
      <c r="B385" s="54" t="s">
        <v>630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72</v>
      </c>
      <c r="Q388" s="632"/>
      <c r="R388" s="632"/>
      <c r="S388" s="632"/>
      <c r="T388" s="632"/>
      <c r="U388" s="632"/>
      <c r="V388" s="633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72</v>
      </c>
      <c r="Q389" s="632"/>
      <c r="R389" s="632"/>
      <c r="S389" s="632"/>
      <c r="T389" s="632"/>
      <c r="U389" s="632"/>
      <c r="V389" s="633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hidden="1" customHeight="1" x14ac:dyDescent="0.25">
      <c r="A391" s="54" t="s">
        <v>636</v>
      </c>
      <c r="B391" s="54" t="s">
        <v>637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640</v>
      </c>
      <c r="B392" s="54" t="s">
        <v>641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72</v>
      </c>
      <c r="Q394" s="632"/>
      <c r="R394" s="632"/>
      <c r="S394" s="632"/>
      <c r="T394" s="632"/>
      <c r="U394" s="632"/>
      <c r="V394" s="633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72</v>
      </c>
      <c r="Q395" s="632"/>
      <c r="R395" s="632"/>
      <c r="S395" s="632"/>
      <c r="T395" s="632"/>
      <c r="U395" s="632"/>
      <c r="V395" s="633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hidden="1" customHeight="1" x14ac:dyDescent="0.25">
      <c r="A397" s="54" t="s">
        <v>645</v>
      </c>
      <c r="B397" s="54" t="s">
        <v>646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72</v>
      </c>
      <c r="Q400" s="632"/>
      <c r="R400" s="632"/>
      <c r="S400" s="632"/>
      <c r="T400" s="632"/>
      <c r="U400" s="632"/>
      <c r="V400" s="633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72</v>
      </c>
      <c r="Q401" s="632"/>
      <c r="R401" s="632"/>
      <c r="S401" s="632"/>
      <c r="T401" s="632"/>
      <c r="U401" s="632"/>
      <c r="V401" s="633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39" t="s">
        <v>653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72</v>
      </c>
      <c r="Q407" s="632"/>
      <c r="R407" s="632"/>
      <c r="S407" s="632"/>
      <c r="T407" s="632"/>
      <c r="U407" s="632"/>
      <c r="V407" s="633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72</v>
      </c>
      <c r="Q408" s="632"/>
      <c r="R408" s="632"/>
      <c r="S408" s="632"/>
      <c r="T408" s="632"/>
      <c r="U408" s="632"/>
      <c r="V408" s="633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75" t="s">
        <v>663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664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hidden="1" customHeight="1" x14ac:dyDescent="0.25">
      <c r="A412" s="54" t="s">
        <v>665</v>
      </c>
      <c r="B412" s="54" t="s">
        <v>666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hidden="1" customHeight="1" x14ac:dyDescent="0.25">
      <c r="A413" s="54" t="s">
        <v>668</v>
      </c>
      <c r="B413" s="54" t="s">
        <v>669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67</v>
      </c>
      <c r="X413" s="615">
        <v>0</v>
      </c>
      <c r="Y413" s="616">
        <f t="shared" si="47"/>
        <v>0</v>
      </c>
      <c r="Z413" s="36" t="str">
        <f>IFERROR(IF(Y413=0,"",ROUNDUP(Y413/H413,0)*0.02175),"")</f>
        <v/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0</v>
      </c>
      <c r="BN413" s="64">
        <f t="shared" si="49"/>
        <v>0</v>
      </c>
      <c r="BO413" s="64">
        <f t="shared" si="50"/>
        <v>0</v>
      </c>
      <c r="BP413" s="64">
        <f t="shared" si="51"/>
        <v>0</v>
      </c>
    </row>
    <row r="414" spans="1:68" ht="27" hidden="1" customHeight="1" x14ac:dyDescent="0.25">
      <c r="A414" s="54" t="s">
        <v>671</v>
      </c>
      <c r="B414" s="54" t="s">
        <v>672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67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hidden="1" customHeight="1" x14ac:dyDescent="0.25">
      <c r="A415" s="54" t="s">
        <v>674</v>
      </c>
      <c r="B415" s="54" t="s">
        <v>675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67</v>
      </c>
      <c r="X415" s="615">
        <v>0</v>
      </c>
      <c r="Y415" s="616">
        <f t="shared" si="47"/>
        <v>0</v>
      </c>
      <c r="Z415" s="36" t="str">
        <f>IFERROR(IF(Y415=0,"",ROUNDUP(Y415/H415,0)*0.02175),"")</f>
        <v/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0</v>
      </c>
      <c r="BN415" s="64">
        <f t="shared" si="49"/>
        <v>0</v>
      </c>
      <c r="BO415" s="64">
        <f t="shared" si="50"/>
        <v>0</v>
      </c>
      <c r="BP415" s="64">
        <f t="shared" si="51"/>
        <v>0</v>
      </c>
    </row>
    <row r="416" spans="1:68" ht="27" hidden="1" customHeight="1" x14ac:dyDescent="0.25">
      <c r="A416" s="54" t="s">
        <v>677</v>
      </c>
      <c r="B416" s="54" t="s">
        <v>678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67</v>
      </c>
      <c r="X416" s="615">
        <v>0</v>
      </c>
      <c r="Y416" s="616">
        <f t="shared" si="47"/>
        <v>0</v>
      </c>
      <c r="Z416" s="36" t="str">
        <f>IFERROR(IF(Y416=0,"",ROUNDUP(Y416/H416,0)*0.02175),"")</f>
        <v/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0</v>
      </c>
      <c r="BN416" s="64">
        <f t="shared" si="49"/>
        <v>0</v>
      </c>
      <c r="BO416" s="64">
        <f t="shared" si="50"/>
        <v>0</v>
      </c>
      <c r="BP416" s="64">
        <f t="shared" si="51"/>
        <v>0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hidden="1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72</v>
      </c>
      <c r="Q420" s="632"/>
      <c r="R420" s="632"/>
      <c r="S420" s="632"/>
      <c r="T420" s="632"/>
      <c r="U420" s="632"/>
      <c r="V420" s="633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0</v>
      </c>
      <c r="Y420" s="617">
        <f>IFERROR(Y412/H412,"0")+IFERROR(Y413/H413,"0")+IFERROR(Y414/H414,"0")+IFERROR(Y415/H415,"0")+IFERROR(Y416/H416,"0")+IFERROR(Y417/H417,"0")+IFERROR(Y418/H418,"0")+IFERROR(Y419/H419,"0")</f>
        <v>0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618"/>
      <c r="AB420" s="618"/>
      <c r="AC420" s="618"/>
    </row>
    <row r="421" spans="1:68" hidden="1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72</v>
      </c>
      <c r="Q421" s="632"/>
      <c r="R421" s="632"/>
      <c r="S421" s="632"/>
      <c r="T421" s="632"/>
      <c r="U421" s="632"/>
      <c r="V421" s="633"/>
      <c r="W421" s="37" t="s">
        <v>67</v>
      </c>
      <c r="X421" s="617">
        <f>IFERROR(SUM(X412:X419),"0")</f>
        <v>0</v>
      </c>
      <c r="Y421" s="617">
        <f>IFERROR(SUM(Y412:Y419),"0")</f>
        <v>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67</v>
      </c>
      <c r="X423" s="615">
        <v>500</v>
      </c>
      <c r="Y423" s="616">
        <f>IFERROR(IF(X423="",0,CEILING((X423/$H423),1)*$H423),"")</f>
        <v>510</v>
      </c>
      <c r="Z423" s="36">
        <f>IFERROR(IF(Y423=0,"",ROUNDUP(Y423/H423,0)*0.02175),"")</f>
        <v>0.73949999999999994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515.66666666666663</v>
      </c>
      <c r="BN423" s="64">
        <f>IFERROR(Y423*I423/H423,"0")</f>
        <v>525.98</v>
      </c>
      <c r="BO423" s="64">
        <f>IFERROR(1/J423*(X423/H423),"0")</f>
        <v>0.69444444444444442</v>
      </c>
      <c r="BP423" s="64">
        <f>IFERROR(1/J423*(Y423/H423),"0")</f>
        <v>0.70833333333333326</v>
      </c>
    </row>
    <row r="424" spans="1:68" ht="27" hidden="1" customHeight="1" x14ac:dyDescent="0.25">
      <c r="A424" s="54" t="s">
        <v>692</v>
      </c>
      <c r="B424" s="54" t="s">
        <v>693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72</v>
      </c>
      <c r="Q426" s="632"/>
      <c r="R426" s="632"/>
      <c r="S426" s="632"/>
      <c r="T426" s="632"/>
      <c r="U426" s="632"/>
      <c r="V426" s="633"/>
      <c r="W426" s="37" t="s">
        <v>73</v>
      </c>
      <c r="X426" s="617">
        <f>IFERROR(X423/H423,"0")+IFERROR(X424/H424,"0")+IFERROR(X425/H425,"0")</f>
        <v>33.333333333333336</v>
      </c>
      <c r="Y426" s="617">
        <f>IFERROR(Y423/H423,"0")+IFERROR(Y424/H424,"0")+IFERROR(Y425/H425,"0")</f>
        <v>34</v>
      </c>
      <c r="Z426" s="617">
        <f>IFERROR(IF(Z423="",0,Z423),"0")+IFERROR(IF(Z424="",0,Z424),"0")+IFERROR(IF(Z425="",0,Z425),"0")</f>
        <v>0.73949999999999994</v>
      </c>
      <c r="AA426" s="618"/>
      <c r="AB426" s="618"/>
      <c r="AC426" s="618"/>
    </row>
    <row r="427" spans="1:68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72</v>
      </c>
      <c r="Q427" s="632"/>
      <c r="R427" s="632"/>
      <c r="S427" s="632"/>
      <c r="T427" s="632"/>
      <c r="U427" s="632"/>
      <c r="V427" s="633"/>
      <c r="W427" s="37" t="s">
        <v>67</v>
      </c>
      <c r="X427" s="617">
        <f>IFERROR(SUM(X423:X425),"0")</f>
        <v>500</v>
      </c>
      <c r="Y427" s="617">
        <f>IFERROR(SUM(Y423:Y425),"0")</f>
        <v>510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72</v>
      </c>
      <c r="Q432" s="632"/>
      <c r="R432" s="632"/>
      <c r="S432" s="632"/>
      <c r="T432" s="632"/>
      <c r="U432" s="632"/>
      <c r="V432" s="633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72</v>
      </c>
      <c r="Q433" s="632"/>
      <c r="R433" s="632"/>
      <c r="S433" s="632"/>
      <c r="T433" s="632"/>
      <c r="U433" s="632"/>
      <c r="V433" s="633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710</v>
      </c>
      <c r="B436" s="54" t="s">
        <v>711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72</v>
      </c>
      <c r="Q437" s="632"/>
      <c r="R437" s="632"/>
      <c r="S437" s="632"/>
      <c r="T437" s="632"/>
      <c r="U437" s="632"/>
      <c r="V437" s="633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72</v>
      </c>
      <c r="Q438" s="632"/>
      <c r="R438" s="632"/>
      <c r="S438" s="632"/>
      <c r="T438" s="632"/>
      <c r="U438" s="632"/>
      <c r="V438" s="633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39" t="s">
        <v>713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72</v>
      </c>
      <c r="Q443" s="632"/>
      <c r="R443" s="632"/>
      <c r="S443" s="632"/>
      <c r="T443" s="632"/>
      <c r="U443" s="632"/>
      <c r="V443" s="633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72</v>
      </c>
      <c r="Q444" s="632"/>
      <c r="R444" s="632"/>
      <c r="S444" s="632"/>
      <c r="T444" s="632"/>
      <c r="U444" s="632"/>
      <c r="V444" s="633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72</v>
      </c>
      <c r="Q447" s="632"/>
      <c r="R447" s="632"/>
      <c r="S447" s="632"/>
      <c r="T447" s="632"/>
      <c r="U447" s="632"/>
      <c r="V447" s="633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72</v>
      </c>
      <c r="Q448" s="632"/>
      <c r="R448" s="632"/>
      <c r="S448" s="632"/>
      <c r="T448" s="632"/>
      <c r="U448" s="632"/>
      <c r="V448" s="633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67</v>
      </c>
      <c r="X450" s="615">
        <v>500</v>
      </c>
      <c r="Y450" s="616">
        <f>IFERROR(IF(X450="",0,CEILING((X450/$H450),1)*$H450),"")</f>
        <v>504</v>
      </c>
      <c r="Z450" s="36">
        <f>IFERROR(IF(Y450=0,"",ROUNDUP(Y450/H450,0)*0.01898),"")</f>
        <v>1.06288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527.44444444444446</v>
      </c>
      <c r="BN450" s="64">
        <f>IFERROR(Y450*I450/H450,"0")</f>
        <v>531.66399999999999</v>
      </c>
      <c r="BO450" s="64">
        <f>IFERROR(1/J450*(X450/H450),"0")</f>
        <v>0.86805555555555558</v>
      </c>
      <c r="BP450" s="64">
        <f>IFERROR(1/J450*(Y450/H450),"0")</f>
        <v>0.875</v>
      </c>
    </row>
    <row r="451" spans="1:68" ht="27" hidden="1" customHeight="1" x14ac:dyDescent="0.25">
      <c r="A451" s="54" t="s">
        <v>725</v>
      </c>
      <c r="B451" s="54" t="s">
        <v>726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72</v>
      </c>
      <c r="Q453" s="632"/>
      <c r="R453" s="632"/>
      <c r="S453" s="632"/>
      <c r="T453" s="632"/>
      <c r="U453" s="632"/>
      <c r="V453" s="633"/>
      <c r="W453" s="37" t="s">
        <v>73</v>
      </c>
      <c r="X453" s="617">
        <f>IFERROR(X450/H450,"0")+IFERROR(X451/H451,"0")+IFERROR(X452/H452,"0")</f>
        <v>55.555555555555557</v>
      </c>
      <c r="Y453" s="617">
        <f>IFERROR(Y450/H450,"0")+IFERROR(Y451/H451,"0")+IFERROR(Y452/H452,"0")</f>
        <v>56</v>
      </c>
      <c r="Z453" s="617">
        <f>IFERROR(IF(Z450="",0,Z450),"0")+IFERROR(IF(Z451="",0,Z451),"0")+IFERROR(IF(Z452="",0,Z452),"0")</f>
        <v>1.06288</v>
      </c>
      <c r="AA453" s="618"/>
      <c r="AB453" s="618"/>
      <c r="AC453" s="618"/>
    </row>
    <row r="454" spans="1:68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72</v>
      </c>
      <c r="Q454" s="632"/>
      <c r="R454" s="632"/>
      <c r="S454" s="632"/>
      <c r="T454" s="632"/>
      <c r="U454" s="632"/>
      <c r="V454" s="633"/>
      <c r="W454" s="37" t="s">
        <v>67</v>
      </c>
      <c r="X454" s="617">
        <f>IFERROR(SUM(X450:X452),"0")</f>
        <v>500</v>
      </c>
      <c r="Y454" s="617">
        <f>IFERROR(SUM(Y450:Y452),"0")</f>
        <v>504</v>
      </c>
      <c r="Z454" s="37"/>
      <c r="AA454" s="618"/>
      <c r="AB454" s="618"/>
      <c r="AC454" s="618"/>
    </row>
    <row r="455" spans="1:68" ht="27.75" hidden="1" customHeight="1" x14ac:dyDescent="0.2">
      <c r="A455" s="775" t="s">
        <v>729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730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hidden="1" customHeight="1" x14ac:dyDescent="0.25">
      <c r="A458" s="54" t="s">
        <v>731</v>
      </c>
      <c r="B458" s="54" t="s">
        <v>732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72</v>
      </c>
      <c r="Q464" s="632"/>
      <c r="R464" s="632"/>
      <c r="S464" s="632"/>
      <c r="T464" s="632"/>
      <c r="U464" s="632"/>
      <c r="V464" s="633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72</v>
      </c>
      <c r="Q465" s="632"/>
      <c r="R465" s="632"/>
      <c r="S465" s="632"/>
      <c r="T465" s="632"/>
      <c r="U465" s="632"/>
      <c r="V465" s="633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72</v>
      </c>
      <c r="Q469" s="632"/>
      <c r="R469" s="632"/>
      <c r="S469" s="632"/>
      <c r="T469" s="632"/>
      <c r="U469" s="632"/>
      <c r="V469" s="633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72</v>
      </c>
      <c r="Q470" s="632"/>
      <c r="R470" s="632"/>
      <c r="S470" s="632"/>
      <c r="T470" s="632"/>
      <c r="U470" s="632"/>
      <c r="V470" s="633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753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72</v>
      </c>
      <c r="Q474" s="632"/>
      <c r="R474" s="632"/>
      <c r="S474" s="632"/>
      <c r="T474" s="632"/>
      <c r="U474" s="632"/>
      <c r="V474" s="633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72</v>
      </c>
      <c r="Q475" s="632"/>
      <c r="R475" s="632"/>
      <c r="S475" s="632"/>
      <c r="T475" s="632"/>
      <c r="U475" s="632"/>
      <c r="V475" s="633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hidden="1" customHeight="1" x14ac:dyDescent="0.25">
      <c r="A477" s="54" t="s">
        <v>757</v>
      </c>
      <c r="B477" s="54" t="s">
        <v>758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72</v>
      </c>
      <c r="Q480" s="632"/>
      <c r="R480" s="632"/>
      <c r="S480" s="632"/>
      <c r="T480" s="632"/>
      <c r="U480" s="632"/>
      <c r="V480" s="633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72</v>
      </c>
      <c r="Q481" s="632"/>
      <c r="R481" s="632"/>
      <c r="S481" s="632"/>
      <c r="T481" s="632"/>
      <c r="U481" s="632"/>
      <c r="V481" s="633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75" t="s">
        <v>765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hidden="1" customHeight="1" x14ac:dyDescent="0.25">
      <c r="A485" s="54" t="s">
        <v>766</v>
      </c>
      <c r="B485" s="54" t="s">
        <v>767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771</v>
      </c>
      <c r="B487" s="54" t="s">
        <v>772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774</v>
      </c>
      <c r="B488" s="54" t="s">
        <v>775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67</v>
      </c>
      <c r="X490" s="615">
        <v>900</v>
      </c>
      <c r="Y490" s="616">
        <f t="shared" si="57"/>
        <v>902.88</v>
      </c>
      <c r="Z490" s="36">
        <f t="shared" si="58"/>
        <v>2.0451600000000001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959.65909090909088</v>
      </c>
      <c r="BN490" s="64">
        <f t="shared" si="60"/>
        <v>962.7299999999999</v>
      </c>
      <c r="BO490" s="64">
        <f t="shared" si="61"/>
        <v>1.638986013986014</v>
      </c>
      <c r="BP490" s="64">
        <f t="shared" si="62"/>
        <v>1.6442307692307694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72</v>
      </c>
      <c r="Q494" s="632"/>
      <c r="R494" s="632"/>
      <c r="S494" s="632"/>
      <c r="T494" s="632"/>
      <c r="U494" s="632"/>
      <c r="V494" s="633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170.45454545454544</v>
      </c>
      <c r="Y494" s="617">
        <f>IFERROR(Y485/H485,"0")+IFERROR(Y486/H486,"0")+IFERROR(Y487/H487,"0")+IFERROR(Y488/H488,"0")+IFERROR(Y489/H489,"0")+IFERROR(Y490/H490,"0")+IFERROR(Y491/H491,"0")+IFERROR(Y492/H492,"0")+IFERROR(Y493/H493,"0")</f>
        <v>171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2.0451600000000001</v>
      </c>
      <c r="AA494" s="618"/>
      <c r="AB494" s="618"/>
      <c r="AC494" s="618"/>
    </row>
    <row r="495" spans="1:68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72</v>
      </c>
      <c r="Q495" s="632"/>
      <c r="R495" s="632"/>
      <c r="S495" s="632"/>
      <c r="T495" s="632"/>
      <c r="U495" s="632"/>
      <c r="V495" s="633"/>
      <c r="W495" s="37" t="s">
        <v>67</v>
      </c>
      <c r="X495" s="617">
        <f>IFERROR(SUM(X485:X493),"0")</f>
        <v>900</v>
      </c>
      <c r="Y495" s="617">
        <f>IFERROR(SUM(Y485:Y493),"0")</f>
        <v>902.88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67</v>
      </c>
      <c r="X497" s="615">
        <v>500</v>
      </c>
      <c r="Y497" s="616">
        <f>IFERROR(IF(X497="",0,CEILING((X497/$H497),1)*$H497),"")</f>
        <v>501.6</v>
      </c>
      <c r="Z497" s="36">
        <f>IFERROR(IF(Y497=0,"",ROUNDUP(Y497/H497,0)*0.01196),"")</f>
        <v>1.1362000000000001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533.14393939393938</v>
      </c>
      <c r="BN497" s="64">
        <f>IFERROR(Y497*I497/H497,"0")</f>
        <v>534.85</v>
      </c>
      <c r="BO497" s="64">
        <f>IFERROR(1/J497*(X497/H497),"0")</f>
        <v>0.91054778554778548</v>
      </c>
      <c r="BP497" s="64">
        <f>IFERROR(1/J497*(Y497/H497),"0")</f>
        <v>0.91346153846153855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794</v>
      </c>
      <c r="B499" s="54" t="s">
        <v>795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72</v>
      </c>
      <c r="Q500" s="632"/>
      <c r="R500" s="632"/>
      <c r="S500" s="632"/>
      <c r="T500" s="632"/>
      <c r="U500" s="632"/>
      <c r="V500" s="633"/>
      <c r="W500" s="37" t="s">
        <v>73</v>
      </c>
      <c r="X500" s="617">
        <f>IFERROR(X497/H497,"0")+IFERROR(X498/H498,"0")+IFERROR(X499/H499,"0")</f>
        <v>94.696969696969688</v>
      </c>
      <c r="Y500" s="617">
        <f>IFERROR(Y497/H497,"0")+IFERROR(Y498/H498,"0")+IFERROR(Y499/H499,"0")</f>
        <v>95</v>
      </c>
      <c r="Z500" s="617">
        <f>IFERROR(IF(Z497="",0,Z497),"0")+IFERROR(IF(Z498="",0,Z498),"0")+IFERROR(IF(Z499="",0,Z499),"0")</f>
        <v>1.1362000000000001</v>
      </c>
      <c r="AA500" s="618"/>
      <c r="AB500" s="618"/>
      <c r="AC500" s="618"/>
    </row>
    <row r="501" spans="1:68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72</v>
      </c>
      <c r="Q501" s="632"/>
      <c r="R501" s="632"/>
      <c r="S501" s="632"/>
      <c r="T501" s="632"/>
      <c r="U501" s="632"/>
      <c r="V501" s="633"/>
      <c r="W501" s="37" t="s">
        <v>67</v>
      </c>
      <c r="X501" s="617">
        <f>IFERROR(SUM(X497:X499),"0")</f>
        <v>500</v>
      </c>
      <c r="Y501" s="617">
        <f>IFERROR(SUM(Y497:Y499),"0")</f>
        <v>501.6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hidden="1" customHeight="1" x14ac:dyDescent="0.25">
      <c r="A503" s="54" t="s">
        <v>796</v>
      </c>
      <c r="B503" s="54" t="s">
        <v>797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67</v>
      </c>
      <c r="X504" s="615">
        <v>400</v>
      </c>
      <c r="Y504" s="616">
        <f t="shared" si="63"/>
        <v>401.28000000000003</v>
      </c>
      <c r="Z504" s="36">
        <f>IFERROR(IF(Y504=0,"",ROUNDUP(Y504/H504,0)*0.01196),"")</f>
        <v>0.90895999999999999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426.5151515151515</v>
      </c>
      <c r="BN504" s="64">
        <f t="shared" si="65"/>
        <v>427.88</v>
      </c>
      <c r="BO504" s="64">
        <f t="shared" si="66"/>
        <v>0.72843822843822836</v>
      </c>
      <c r="BP504" s="64">
        <f t="shared" si="67"/>
        <v>0.73076923076923084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67</v>
      </c>
      <c r="X505" s="615">
        <v>400</v>
      </c>
      <c r="Y505" s="616">
        <f t="shared" si="63"/>
        <v>401.28000000000003</v>
      </c>
      <c r="Z505" s="36">
        <f>IFERROR(IF(Y505=0,"",ROUNDUP(Y505/H505,0)*0.01196),"")</f>
        <v>0.90895999999999999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426.5151515151515</v>
      </c>
      <c r="BN505" s="64">
        <f t="shared" si="65"/>
        <v>427.88</v>
      </c>
      <c r="BO505" s="64">
        <f t="shared" si="66"/>
        <v>0.72843822843822836</v>
      </c>
      <c r="BP505" s="64">
        <f t="shared" si="67"/>
        <v>0.73076923076923084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72</v>
      </c>
      <c r="Q510" s="632"/>
      <c r="R510" s="632"/>
      <c r="S510" s="632"/>
      <c r="T510" s="632"/>
      <c r="U510" s="632"/>
      <c r="V510" s="633"/>
      <c r="W510" s="37" t="s">
        <v>73</v>
      </c>
      <c r="X510" s="617">
        <f>IFERROR(X503/H503,"0")+IFERROR(X504/H504,"0")+IFERROR(X505/H505,"0")+IFERROR(X506/H506,"0")+IFERROR(X507/H507,"0")+IFERROR(X508/H508,"0")+IFERROR(X509/H509,"0")</f>
        <v>151.5151515151515</v>
      </c>
      <c r="Y510" s="617">
        <f>IFERROR(Y503/H503,"0")+IFERROR(Y504/H504,"0")+IFERROR(Y505/H505,"0")+IFERROR(Y506/H506,"0")+IFERROR(Y507/H507,"0")+IFERROR(Y508/H508,"0")+IFERROR(Y509/H509,"0")</f>
        <v>152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1.81792</v>
      </c>
      <c r="AA510" s="618"/>
      <c r="AB510" s="618"/>
      <c r="AC510" s="618"/>
    </row>
    <row r="511" spans="1:68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72</v>
      </c>
      <c r="Q511" s="632"/>
      <c r="R511" s="632"/>
      <c r="S511" s="632"/>
      <c r="T511" s="632"/>
      <c r="U511" s="632"/>
      <c r="V511" s="633"/>
      <c r="W511" s="37" t="s">
        <v>67</v>
      </c>
      <c r="X511" s="617">
        <f>IFERROR(SUM(X503:X509),"0")</f>
        <v>800</v>
      </c>
      <c r="Y511" s="617">
        <f>IFERROR(SUM(Y503:Y509),"0")</f>
        <v>802.56000000000006</v>
      </c>
      <c r="Z511" s="37"/>
      <c r="AA511" s="618"/>
      <c r="AB511" s="618"/>
      <c r="AC511" s="618"/>
    </row>
    <row r="512" spans="1:68" ht="27.75" hidden="1" customHeight="1" x14ac:dyDescent="0.2">
      <c r="A512" s="775" t="s">
        <v>812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812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72</v>
      </c>
      <c r="Q516" s="632"/>
      <c r="R516" s="632"/>
      <c r="S516" s="632"/>
      <c r="T516" s="632"/>
      <c r="U516" s="632"/>
      <c r="V516" s="633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72</v>
      </c>
      <c r="Q517" s="632"/>
      <c r="R517" s="632"/>
      <c r="S517" s="632"/>
      <c r="T517" s="632"/>
      <c r="U517" s="632"/>
      <c r="V517" s="633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72</v>
      </c>
      <c r="Q520" s="632"/>
      <c r="R520" s="632"/>
      <c r="S520" s="632"/>
      <c r="T520" s="632"/>
      <c r="U520" s="632"/>
      <c r="V520" s="633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72</v>
      </c>
      <c r="Q521" s="632"/>
      <c r="R521" s="632"/>
      <c r="S521" s="632"/>
      <c r="T521" s="632"/>
      <c r="U521" s="632"/>
      <c r="V521" s="633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72</v>
      </c>
      <c r="Q525" s="632"/>
      <c r="R525" s="632"/>
      <c r="S525" s="632"/>
      <c r="T525" s="632"/>
      <c r="U525" s="632"/>
      <c r="V525" s="633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72</v>
      </c>
      <c r="Q526" s="632"/>
      <c r="R526" s="632"/>
      <c r="S526" s="632"/>
      <c r="T526" s="632"/>
      <c r="U526" s="632"/>
      <c r="V526" s="633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hidden="1" customHeight="1" x14ac:dyDescent="0.25">
      <c r="A528" s="54" t="s">
        <v>824</v>
      </c>
      <c r="B528" s="54" t="s">
        <v>825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72</v>
      </c>
      <c r="Q529" s="632"/>
      <c r="R529" s="632"/>
      <c r="S529" s="632"/>
      <c r="T529" s="632"/>
      <c r="U529" s="632"/>
      <c r="V529" s="633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72</v>
      </c>
      <c r="Q530" s="632"/>
      <c r="R530" s="632"/>
      <c r="S530" s="632"/>
      <c r="T530" s="632"/>
      <c r="U530" s="632"/>
      <c r="V530" s="633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72</v>
      </c>
      <c r="Q534" s="632"/>
      <c r="R534" s="632"/>
      <c r="S534" s="632"/>
      <c r="T534" s="632"/>
      <c r="U534" s="632"/>
      <c r="V534" s="633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72</v>
      </c>
      <c r="Q535" s="632"/>
      <c r="R535" s="632"/>
      <c r="S535" s="632"/>
      <c r="T535" s="632"/>
      <c r="U535" s="632"/>
      <c r="V535" s="633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833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72</v>
      </c>
      <c r="Q539" s="632"/>
      <c r="R539" s="632"/>
      <c r="S539" s="632"/>
      <c r="T539" s="632"/>
      <c r="U539" s="632"/>
      <c r="V539" s="633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72</v>
      </c>
      <c r="Q540" s="632"/>
      <c r="R540" s="632"/>
      <c r="S540" s="632"/>
      <c r="T540" s="632"/>
      <c r="U540" s="632"/>
      <c r="V540" s="633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837</v>
      </c>
      <c r="Q541" s="635"/>
      <c r="R541" s="635"/>
      <c r="S541" s="635"/>
      <c r="T541" s="635"/>
      <c r="U541" s="635"/>
      <c r="V541" s="63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4013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4043.64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838</v>
      </c>
      <c r="Q542" s="635"/>
      <c r="R542" s="635"/>
      <c r="S542" s="635"/>
      <c r="T542" s="635"/>
      <c r="U542" s="635"/>
      <c r="V542" s="636"/>
      <c r="W542" s="37" t="s">
        <v>67</v>
      </c>
      <c r="X542" s="617">
        <f>IFERROR(SUM(BM22:BM538),"0")</f>
        <v>4265.1611111111106</v>
      </c>
      <c r="Y542" s="617">
        <f>IFERROR(SUM(BN22:BN538),"0")</f>
        <v>4297.4659999999994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839</v>
      </c>
      <c r="Q543" s="635"/>
      <c r="R543" s="635"/>
      <c r="S543" s="635"/>
      <c r="T543" s="635"/>
      <c r="U543" s="635"/>
      <c r="V543" s="636"/>
      <c r="W543" s="37" t="s">
        <v>840</v>
      </c>
      <c r="X543" s="38">
        <f>ROUNDUP(SUM(BO22:BO538),0)</f>
        <v>8</v>
      </c>
      <c r="Y543" s="38">
        <f>ROUNDUP(SUM(BP22:BP538),0)</f>
        <v>8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841</v>
      </c>
      <c r="Q544" s="635"/>
      <c r="R544" s="635"/>
      <c r="S544" s="635"/>
      <c r="T544" s="635"/>
      <c r="U544" s="635"/>
      <c r="V544" s="636"/>
      <c r="W544" s="37" t="s">
        <v>67</v>
      </c>
      <c r="X544" s="617">
        <f>GrossWeightTotal+PalletQtyTotal*25</f>
        <v>4465.1611111111106</v>
      </c>
      <c r="Y544" s="617">
        <f>GrossWeightTotalR+PalletQtyTotalR*25</f>
        <v>4497.4659999999994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842</v>
      </c>
      <c r="Q545" s="635"/>
      <c r="R545" s="635"/>
      <c r="S545" s="635"/>
      <c r="T545" s="635"/>
      <c r="U545" s="635"/>
      <c r="V545" s="63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722.35042735042725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727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843</v>
      </c>
      <c r="Q546" s="635"/>
      <c r="R546" s="635"/>
      <c r="S546" s="635"/>
      <c r="T546" s="635"/>
      <c r="U546" s="635"/>
      <c r="V546" s="63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8.7438000000000002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45" t="s">
        <v>115</v>
      </c>
      <c r="E548" s="743"/>
      <c r="F548" s="743"/>
      <c r="G548" s="743"/>
      <c r="H548" s="743"/>
      <c r="I548" s="743"/>
      <c r="J548" s="701"/>
      <c r="K548" s="645" t="s">
        <v>327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663</v>
      </c>
      <c r="W548" s="701"/>
      <c r="X548" s="645" t="s">
        <v>729</v>
      </c>
      <c r="Y548" s="701"/>
      <c r="Z548" s="612" t="s">
        <v>765</v>
      </c>
      <c r="AA548" s="645" t="s">
        <v>812</v>
      </c>
      <c r="AB548" s="701"/>
      <c r="AC548" s="52"/>
      <c r="AF548" s="613"/>
    </row>
    <row r="549" spans="1:32" ht="14.25" customHeight="1" thickTop="1" x14ac:dyDescent="0.2">
      <c r="A549" s="808" t="s">
        <v>846</v>
      </c>
      <c r="B549" s="645" t="s">
        <v>61</v>
      </c>
      <c r="C549" s="645" t="s">
        <v>99</v>
      </c>
      <c r="D549" s="645" t="s">
        <v>116</v>
      </c>
      <c r="E549" s="645" t="s">
        <v>132</v>
      </c>
      <c r="F549" s="645" t="s">
        <v>177</v>
      </c>
      <c r="G549" s="645" t="s">
        <v>198</v>
      </c>
      <c r="H549" s="645" t="s">
        <v>237</v>
      </c>
      <c r="I549" s="645" t="s">
        <v>249</v>
      </c>
      <c r="J549" s="645" t="s">
        <v>115</v>
      </c>
      <c r="K549" s="645" t="s">
        <v>328</v>
      </c>
      <c r="L549" s="645" t="s">
        <v>349</v>
      </c>
      <c r="M549" s="645" t="s">
        <v>416</v>
      </c>
      <c r="N549" s="613"/>
      <c r="O549" s="645" t="s">
        <v>484</v>
      </c>
      <c r="P549" s="645" t="s">
        <v>517</v>
      </c>
      <c r="Q549" s="645" t="s">
        <v>533</v>
      </c>
      <c r="R549" s="645" t="s">
        <v>542</v>
      </c>
      <c r="S549" s="645" t="s">
        <v>563</v>
      </c>
      <c r="T549" s="645" t="s">
        <v>572</v>
      </c>
      <c r="U549" s="645" t="s">
        <v>653</v>
      </c>
      <c r="V549" s="645" t="s">
        <v>664</v>
      </c>
      <c r="W549" s="645" t="s">
        <v>713</v>
      </c>
      <c r="X549" s="645" t="s">
        <v>730</v>
      </c>
      <c r="Y549" s="645" t="s">
        <v>753</v>
      </c>
      <c r="Z549" s="645" t="s">
        <v>765</v>
      </c>
      <c r="AA549" s="645" t="s">
        <v>812</v>
      </c>
      <c r="AB549" s="645" t="s">
        <v>833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226.8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226.8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64.800000000000011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304.2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510</v>
      </c>
      <c r="W551" s="46">
        <f>IFERROR(Y441*1,"0")+IFERROR(Y442*1,"0")+IFERROR(Y446*1,"0")+IFERROR(Y450*1,"0")+IFERROR(Y451*1,"0")+IFERROR(Y452*1,"0")</f>
        <v>504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2207.04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,67"/>
        <filter val="151,52"/>
        <filter val="170,45"/>
        <filter val="225,00"/>
        <filter val="300,00"/>
        <filter val="33,33"/>
        <filter val="38,46"/>
        <filter val="4 013,00"/>
        <filter val="4 265,16"/>
        <filter val="4 465,16"/>
        <filter val="400,00"/>
        <filter val="500,00"/>
        <filter val="55,56"/>
        <filter val="63,00"/>
        <filter val="722,35"/>
        <filter val="8"/>
        <filter val="800,00"/>
        <filter val="83,33"/>
        <filter val="900,00"/>
        <filter val="94,70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2026-07-17T16:04:25Z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