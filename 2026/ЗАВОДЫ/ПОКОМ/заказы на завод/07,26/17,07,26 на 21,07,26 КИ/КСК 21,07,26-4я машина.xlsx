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27692C-3EF9-41B0-9D33-A252B028C99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N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N426" i="2"/>
  <c r="BM426" i="2"/>
  <c r="Y426" i="2"/>
  <c r="Z426" i="2" s="1"/>
  <c r="P426" i="2"/>
  <c r="BP425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Z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N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P170" i="2"/>
  <c r="BO170" i="2"/>
  <c r="BM170" i="2"/>
  <c r="Z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N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271" i="2" l="1"/>
  <c r="Y390" i="2"/>
  <c r="Z151" i="2"/>
  <c r="BN151" i="2"/>
  <c r="Z188" i="2"/>
  <c r="BN162" i="2"/>
  <c r="BN215" i="2"/>
  <c r="BN363" i="2"/>
  <c r="BN188" i="2"/>
  <c r="BN261" i="2"/>
  <c r="Z425" i="2"/>
  <c r="BN386" i="2"/>
  <c r="Z262" i="2"/>
  <c r="BN28" i="2"/>
  <c r="Z176" i="2"/>
  <c r="BN183" i="2"/>
  <c r="BN499" i="2"/>
  <c r="BN71" i="2"/>
  <c r="BN273" i="2"/>
  <c r="BN97" i="2"/>
  <c r="Y536" i="2"/>
  <c r="Y521" i="2"/>
  <c r="BN520" i="2"/>
  <c r="BP509" i="2"/>
  <c r="Z509" i="2"/>
  <c r="Z506" i="2"/>
  <c r="Z498" i="2"/>
  <c r="BN494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BN420" i="2"/>
  <c r="BP419" i="2"/>
  <c r="BN416" i="2"/>
  <c r="BN414" i="2"/>
  <c r="BP413" i="2"/>
  <c r="Z394" i="2"/>
  <c r="Y396" i="2"/>
  <c r="BP394" i="2"/>
  <c r="Z385" i="2"/>
  <c r="BN381" i="2"/>
  <c r="Y382" i="2"/>
  <c r="Z372" i="2"/>
  <c r="BN353" i="2"/>
  <c r="BN336" i="2"/>
  <c r="BN325" i="2"/>
  <c r="BN319" i="2"/>
  <c r="BN318" i="2"/>
  <c r="Z310" i="2"/>
  <c r="Y306" i="2"/>
  <c r="BN305" i="2"/>
  <c r="Z301" i="2"/>
  <c r="Z302" i="2" s="1"/>
  <c r="BP301" i="2"/>
  <c r="BN275" i="2"/>
  <c r="BP260" i="2"/>
  <c r="Z260" i="2"/>
  <c r="BN255" i="2"/>
  <c r="BN223" i="2"/>
  <c r="BN222" i="2"/>
  <c r="BN218" i="2"/>
  <c r="BN200" i="2"/>
  <c r="BN182" i="2"/>
  <c r="Z182" i="2"/>
  <c r="BN172" i="2"/>
  <c r="Y163" i="2"/>
  <c r="Z138" i="2"/>
  <c r="BP138" i="2"/>
  <c r="Z121" i="2"/>
  <c r="BN121" i="2"/>
  <c r="Z115" i="2"/>
  <c r="BN115" i="2"/>
  <c r="BP113" i="2"/>
  <c r="Z113" i="2"/>
  <c r="BN103" i="2"/>
  <c r="BN95" i="2"/>
  <c r="Y84" i="2"/>
  <c r="Z77" i="2"/>
  <c r="BN62" i="2"/>
  <c r="BN59" i="2"/>
  <c r="Z59" i="2"/>
  <c r="BP52" i="2"/>
  <c r="Z52" i="2"/>
  <c r="BN51" i="2"/>
  <c r="Y56" i="2"/>
  <c r="BP30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349" i="2" l="1"/>
  <c r="Z287" i="2"/>
  <c r="Z67" i="2"/>
  <c r="Z144" i="2"/>
  <c r="Z433" i="2"/>
  <c r="Z535" i="2"/>
  <c r="Z454" i="2"/>
  <c r="Z421" i="2"/>
  <c r="Z389" i="2"/>
  <c r="Z382" i="2"/>
  <c r="Z337" i="2"/>
  <c r="Z328" i="2"/>
  <c r="Z267" i="2"/>
  <c r="Z124" i="2"/>
  <c r="X545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<sst xmlns="http://schemas.openxmlformats.org/spreadsheetml/2006/main" count="4110" uniqueCount="873">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</sst>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67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68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46224</v>
      </c>
      <c r="R5" s="628"/>
      <c r="T5" s="629" t="s">
        <v>3</v>
      </c>
      <c r="U5" s="630"/>
      <c r="V5" s="631" t="s">
        <v>853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854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Вторник</v>
      </c>
      <c r="R6" s="634"/>
      <c r="T6" s="635" t="s">
        <v>5</v>
      </c>
      <c r="U6" s="636"/>
      <c r="V6" s="637" t="s">
        <v>70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58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0.66666666666666663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71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55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72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73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74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75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61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59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66</v>
      </c>
      <c r="L17" s="667" t="s">
        <v>64</v>
      </c>
      <c r="M17" s="667" t="s">
        <v>2</v>
      </c>
      <c r="N17" s="667" t="s">
        <v>63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56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60</v>
      </c>
      <c r="AB17" s="681" t="s">
        <v>19</v>
      </c>
      <c r="AC17" s="681" t="s">
        <v>65</v>
      </c>
      <c r="AD17" s="683" t="s">
        <v>57</v>
      </c>
      <c r="AE17" s="684"/>
      <c r="AF17" s="685"/>
      <c r="AG17" s="77"/>
      <c r="BD17" s="76" t="s">
        <v>62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76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76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77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86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104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110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86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126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127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128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143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128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450</v>
      </c>
      <c r="Y66" s="53">
        <f t="shared" si="0"/>
        <v>450</v>
      </c>
      <c r="Z66" s="39">
        <f>IFERROR(IF(Y66=0,"",ROUNDUP(Y66/H66,0)*0.00902),"")</f>
        <v>0.90200000000000002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469</v>
      </c>
      <c r="BN66" s="75">
        <f t="shared" si="2"/>
        <v>469</v>
      </c>
      <c r="BO66" s="75">
        <f t="shared" si="3"/>
        <v>0.75757575757575757</v>
      </c>
      <c r="BP66" s="75">
        <f t="shared" si="4"/>
        <v>0.75757575757575757</v>
      </c>
    </row>
    <row r="67" spans="1:68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100</v>
      </c>
      <c r="Y67" s="41">
        <f>IFERROR(Y59/H59,"0")+IFERROR(Y60/H60,"0")+IFERROR(Y61/H61,"0")+IFERROR(Y62/H62,"0")+IFERROR(Y63/H63,"0")+IFERROR(Y64/H64,"0")+IFERROR(Y65/H65,"0")+IFERROR(Y66/H66,"0")</f>
        <v>100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0.90200000000000002</v>
      </c>
      <c r="AA67" s="64"/>
      <c r="AB67" s="64"/>
      <c r="AC67" s="64"/>
    </row>
    <row r="68" spans="1:68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450</v>
      </c>
      <c r="Y68" s="41">
        <f>IFERROR(SUM(Y59:Y66),"0")</f>
        <v>450</v>
      </c>
      <c r="Z68" s="40"/>
      <c r="AA68" s="64"/>
      <c r="AB68" s="64"/>
      <c r="AC68" s="64"/>
    </row>
    <row r="69" spans="1:68" ht="14.25" hidden="1" customHeight="1" x14ac:dyDescent="0.25">
      <c r="A69" s="691" t="s">
        <v>164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165</v>
      </c>
      <c r="B70" s="60" t="s">
        <v>166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86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181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188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128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189</v>
      </c>
      <c r="B88" s="60" t="s">
        <v>190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450</v>
      </c>
      <c r="Y91" s="53">
        <f>IFERROR(IF(X91="",0,CEILING((X91/$H91),1)*$H91),"")</f>
        <v>450</v>
      </c>
      <c r="Z91" s="39">
        <f>IFERROR(IF(Y91=0,"",ROUNDUP(Y91/H91,0)*0.00902),"")</f>
        <v>0.90200000000000002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469</v>
      </c>
      <c r="BN91" s="75">
        <f>IFERROR(Y91*I91/H91,"0")</f>
        <v>469</v>
      </c>
      <c r="BO91" s="75">
        <f>IFERROR(1/J91*(X91/H91),"0")</f>
        <v>0.75757575757575757</v>
      </c>
      <c r="BP91" s="75">
        <f>IFERROR(1/J91*(Y91/H91),"0")</f>
        <v>0.75757575757575757</v>
      </c>
    </row>
    <row r="92" spans="1:68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100</v>
      </c>
      <c r="Y92" s="41">
        <f>IFERROR(Y88/H88,"0")+IFERROR(Y89/H89,"0")+IFERROR(Y90/H90,"0")+IFERROR(Y91/H91,"0")</f>
        <v>100</v>
      </c>
      <c r="Z92" s="41">
        <f>IFERROR(IF(Z88="",0,Z88),"0")+IFERROR(IF(Z89="",0,Z89),"0")+IFERROR(IF(Z90="",0,Z90),"0")+IFERROR(IF(Z91="",0,Z91),"0")</f>
        <v>0.90200000000000002</v>
      </c>
      <c r="AA92" s="64"/>
      <c r="AB92" s="64"/>
      <c r="AC92" s="64"/>
    </row>
    <row r="93" spans="1:68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450</v>
      </c>
      <c r="Y93" s="41">
        <f>IFERROR(SUM(Y88:Y91),"0")</f>
        <v>450</v>
      </c>
      <c r="Z93" s="40"/>
      <c r="AA93" s="64"/>
      <c r="AB93" s="64"/>
      <c r="AC93" s="64"/>
    </row>
    <row r="94" spans="1:68" ht="14.25" hidden="1" customHeight="1" x14ac:dyDescent="0.25">
      <c r="A94" s="691" t="s">
        <v>86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500</v>
      </c>
      <c r="Y95" s="53">
        <f>IFERROR(IF(X95="",0,CEILING((X95/$H95),1)*$H95),"")</f>
        <v>502.2</v>
      </c>
      <c r="Z95" s="39">
        <f>IFERROR(IF(Y95=0,"",ROUNDUP(Y95/H95,0)*0.01898),"")</f>
        <v>1.17676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530.49382716049388</v>
      </c>
      <c r="BN95" s="75">
        <f>IFERROR(Y95*I95/H95,"0")</f>
        <v>532.82799999999997</v>
      </c>
      <c r="BO95" s="75">
        <f>IFERROR(1/J95*(X95/H95),"0")</f>
        <v>0.96450617283950624</v>
      </c>
      <c r="BP95" s="75">
        <f>IFERROR(1/J95*(Y95/H95),"0")</f>
        <v>0.96875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450</v>
      </c>
      <c r="Y97" s="53">
        <f>IFERROR(IF(X97="",0,CEILING((X97/$H97),1)*$H97),"")</f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492</v>
      </c>
      <c r="BN97" s="75">
        <f>IFERROR(Y97*I97/H97,"0")</f>
        <v>492.98399999999998</v>
      </c>
      <c r="BO97" s="75">
        <f>IFERROR(1/J97*(X97/H97),"0")</f>
        <v>0.91575091575091572</v>
      </c>
      <c r="BP97" s="75">
        <f>IFERROR(1/J97*(Y97/H97),"0")</f>
        <v>0.91758241758241765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228.39506172839506</v>
      </c>
      <c r="Y99" s="41">
        <f>IFERROR(Y95/H95,"0")+IFERROR(Y96/H96,"0")+IFERROR(Y97/H97,"0")+IFERROR(Y98/H98,"0")</f>
        <v>229</v>
      </c>
      <c r="Z99" s="41">
        <f>IFERROR(IF(Z95="",0,Z95),"0")+IFERROR(IF(Z96="",0,Z96),"0")+IFERROR(IF(Z97="",0,Z97),"0")+IFERROR(IF(Z98="",0,Z98),"0")</f>
        <v>2.2639300000000002</v>
      </c>
      <c r="AA99" s="64"/>
      <c r="AB99" s="64"/>
      <c r="AC99" s="64"/>
    </row>
    <row r="100" spans="1:68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950</v>
      </c>
      <c r="Y100" s="41">
        <f>IFERROR(SUM(Y95:Y98),"0")</f>
        <v>953.1</v>
      </c>
      <c r="Z100" s="40"/>
      <c r="AA100" s="64"/>
      <c r="AB100" s="64"/>
      <c r="AC100" s="64"/>
    </row>
    <row r="101" spans="1:68" ht="16.5" hidden="1" customHeight="1" x14ac:dyDescent="0.25">
      <c r="A101" s="690" t="s">
        <v>209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128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450</v>
      </c>
      <c r="Y107" s="53">
        <f t="shared" si="5"/>
        <v>450</v>
      </c>
      <c r="Z107" s="39">
        <f>IFERROR(IF(Y107=0,"",ROUNDUP(Y107/H107,0)*0.00902),"")</f>
        <v>0.90200000000000002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469</v>
      </c>
      <c r="BN107" s="75">
        <f t="shared" si="7"/>
        <v>469</v>
      </c>
      <c r="BO107" s="75">
        <f t="shared" si="8"/>
        <v>0.75757575757575757</v>
      </c>
      <c r="BP107" s="75">
        <f t="shared" si="9"/>
        <v>0.75757575757575757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100</v>
      </c>
      <c r="Y109" s="41">
        <f>IFERROR(Y103/H103,"0")+IFERROR(Y104/H104,"0")+IFERROR(Y105/H105,"0")+IFERROR(Y106/H106,"0")+IFERROR(Y107/H107,"0")+IFERROR(Y108/H108,"0")</f>
        <v>100</v>
      </c>
      <c r="Z109" s="41">
        <f>IFERROR(IF(Z103="",0,Z103),"0")+IFERROR(IF(Z104="",0,Z104),"0")+IFERROR(IF(Z105="",0,Z105),"0")+IFERROR(IF(Z106="",0,Z106),"0")+IFERROR(IF(Z107="",0,Z107),"0")+IFERROR(IF(Z108="",0,Z108),"0")</f>
        <v>0.90200000000000002</v>
      </c>
      <c r="AA109" s="64"/>
      <c r="AB109" s="64"/>
      <c r="AC109" s="64"/>
    </row>
    <row r="110" spans="1:68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450</v>
      </c>
      <c r="Y110" s="41">
        <f>IFERROR(SUM(Y103:Y108),"0")</f>
        <v>450</v>
      </c>
      <c r="Z110" s="40"/>
      <c r="AA110" s="64"/>
      <c r="AB110" s="64"/>
      <c r="AC110" s="64"/>
    </row>
    <row r="111" spans="1:68" ht="14.25" hidden="1" customHeight="1" x14ac:dyDescent="0.25">
      <c r="A111" s="691" t="s">
        <v>164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86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235</v>
      </c>
      <c r="B120" s="60" t="s">
        <v>236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450</v>
      </c>
      <c r="Y122" s="53">
        <f>IFERROR(IF(X122="",0,CEILING((X122/$H122),1)*$H122),"")</f>
        <v>450.90000000000003</v>
      </c>
      <c r="Z122" s="39">
        <f>IFERROR(IF(Y122=0,"",ROUNDUP(Y122/H122,0)*0.00651),"")</f>
        <v>1.08717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492</v>
      </c>
      <c r="BN122" s="75">
        <f>IFERROR(Y122*I122/H122,"0")</f>
        <v>492.98399999999998</v>
      </c>
      <c r="BO122" s="75">
        <f>IFERROR(1/J122*(X122/H122),"0")</f>
        <v>0.91575091575091572</v>
      </c>
      <c r="BP122" s="75">
        <f>IFERROR(1/J122*(Y122/H122),"0")</f>
        <v>0.91758241758241765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166.66666666666666</v>
      </c>
      <c r="Y124" s="41">
        <f>IFERROR(Y120/H120,"0")+IFERROR(Y121/H121,"0")+IFERROR(Y122/H122,"0")+IFERROR(Y123/H123,"0")</f>
        <v>167</v>
      </c>
      <c r="Z124" s="41">
        <f>IFERROR(IF(Z120="",0,Z120),"0")+IFERROR(IF(Z121="",0,Z121),"0")+IFERROR(IF(Z122="",0,Z122),"0")+IFERROR(IF(Z123="",0,Z123),"0")</f>
        <v>1.08717</v>
      </c>
      <c r="AA124" s="64"/>
      <c r="AB124" s="64"/>
      <c r="AC124" s="64"/>
    </row>
    <row r="125" spans="1:68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450</v>
      </c>
      <c r="Y125" s="41">
        <f>IFERROR(SUM(Y120:Y123),"0")</f>
        <v>450.90000000000003</v>
      </c>
      <c r="Z125" s="40"/>
      <c r="AA125" s="64"/>
      <c r="AB125" s="64"/>
      <c r="AC125" s="64"/>
    </row>
    <row r="126" spans="1:68" ht="14.25" hidden="1" customHeight="1" x14ac:dyDescent="0.25">
      <c r="A126" s="691" t="s">
        <v>181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245</v>
      </c>
      <c r="B127" s="60" t="s">
        <v>246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248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128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109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249</v>
      </c>
      <c r="B133" s="60" t="s">
        <v>252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109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77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253</v>
      </c>
      <c r="B137" s="60" t="s">
        <v>254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109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255</v>
      </c>
      <c r="AG137" s="75"/>
      <c r="AJ137" s="79" t="s">
        <v>46</v>
      </c>
      <c r="AK137" s="79">
        <v>0</v>
      </c>
      <c r="BB137" s="200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253</v>
      </c>
      <c r="B138" s="60" t="s">
        <v>256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109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255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86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257</v>
      </c>
      <c r="B142" s="60" t="s">
        <v>258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251</v>
      </c>
      <c r="AG142" s="75"/>
      <c r="AJ142" s="79" t="s">
        <v>46</v>
      </c>
      <c r="AK142" s="79">
        <v>0</v>
      </c>
      <c r="BB142" s="204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257</v>
      </c>
      <c r="B143" s="60" t="s">
        <v>259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109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251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260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86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261</v>
      </c>
      <c r="B148" s="60" t="s">
        <v>262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263</v>
      </c>
      <c r="AG148" s="75"/>
      <c r="AJ148" s="79" t="s">
        <v>46</v>
      </c>
      <c r="AK148" s="79">
        <v>0</v>
      </c>
      <c r="BB148" s="208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264</v>
      </c>
      <c r="B149" s="60" t="s">
        <v>265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126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128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273</v>
      </c>
      <c r="B156" s="60" t="s">
        <v>274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91</v>
      </c>
      <c r="L156" s="35" t="s">
        <v>46</v>
      </c>
      <c r="M156" s="36" t="s">
        <v>90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276</v>
      </c>
      <c r="AC156" s="215" t="s">
        <v>275</v>
      </c>
      <c r="AG156" s="75"/>
      <c r="AJ156" s="79" t="s">
        <v>46</v>
      </c>
      <c r="AK156" s="79">
        <v>0</v>
      </c>
      <c r="BB156" s="216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277</v>
      </c>
      <c r="B157" s="60" t="s">
        <v>278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279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280</v>
      </c>
      <c r="B158" s="60" t="s">
        <v>281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282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164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283</v>
      </c>
      <c r="B162" s="60" t="s">
        <v>284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285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77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286</v>
      </c>
      <c r="B166" s="60" t="s">
        <v>287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288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289</v>
      </c>
      <c r="B167" s="60" t="s">
        <v>290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291</v>
      </c>
      <c r="AG167" s="75"/>
      <c r="AJ167" s="79" t="s">
        <v>46</v>
      </c>
      <c r="AK167" s="79">
        <v>0</v>
      </c>
      <c r="BB167" s="226" t="s">
        <v>67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292</v>
      </c>
      <c r="B168" s="60" t="s">
        <v>293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294</v>
      </c>
      <c r="AG168" s="75"/>
      <c r="AJ168" s="79" t="s">
        <v>46</v>
      </c>
      <c r="AK168" s="79">
        <v>0</v>
      </c>
      <c r="BB168" s="228" t="s">
        <v>67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295</v>
      </c>
      <c r="B169" s="60" t="s">
        <v>296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297</v>
      </c>
      <c r="AG169" s="75"/>
      <c r="AJ169" s="79" t="s">
        <v>46</v>
      </c>
      <c r="AK169" s="79">
        <v>0</v>
      </c>
      <c r="BB169" s="230" t="s">
        <v>67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300</v>
      </c>
      <c r="AG170" s="75"/>
      <c r="AJ170" s="79" t="s">
        <v>46</v>
      </c>
      <c r="AK170" s="79">
        <v>0</v>
      </c>
      <c r="BB170" s="232" t="s">
        <v>67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303</v>
      </c>
      <c r="AG171" s="75"/>
      <c r="AJ171" s="79" t="s">
        <v>46</v>
      </c>
      <c r="AK171" s="79">
        <v>0</v>
      </c>
      <c r="BB171" s="234" t="s">
        <v>67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306</v>
      </c>
      <c r="B173" s="60" t="s">
        <v>307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67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306</v>
      </c>
      <c r="B174" s="60" t="s">
        <v>309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297</v>
      </c>
      <c r="AG175" s="75"/>
      <c r="AJ175" s="79" t="s">
        <v>46</v>
      </c>
      <c r="AK175" s="79">
        <v>0</v>
      </c>
      <c r="BB175" s="242" t="s">
        <v>67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314</v>
      </c>
      <c r="AG176" s="75"/>
      <c r="AJ176" s="79" t="s">
        <v>46</v>
      </c>
      <c r="AK176" s="79">
        <v>0</v>
      </c>
      <c r="BB176" s="244" t="s">
        <v>67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315</v>
      </c>
      <c r="B177" s="60" t="s">
        <v>316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300</v>
      </c>
      <c r="AG177" s="75"/>
      <c r="AJ177" s="79" t="s">
        <v>46</v>
      </c>
      <c r="AK177" s="79">
        <v>0</v>
      </c>
      <c r="BB177" s="246" t="s">
        <v>67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86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317</v>
      </c>
      <c r="B181" s="60" t="s">
        <v>318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319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320</v>
      </c>
      <c r="B182" s="60" t="s">
        <v>321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322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323</v>
      </c>
      <c r="B183" s="60" t="s">
        <v>324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325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104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330</v>
      </c>
      <c r="L187" s="35" t="s">
        <v>46</v>
      </c>
      <c r="M187" s="36" t="s">
        <v>329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328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331</v>
      </c>
      <c r="B188" s="60" t="s">
        <v>332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330</v>
      </c>
      <c r="L188" s="35" t="s">
        <v>46</v>
      </c>
      <c r="M188" s="36" t="s">
        <v>329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333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334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335</v>
      </c>
      <c r="B192" s="60" t="s">
        <v>336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330</v>
      </c>
      <c r="L192" s="35" t="s">
        <v>46</v>
      </c>
      <c r="M192" s="36" t="s">
        <v>329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337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338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339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128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340</v>
      </c>
      <c r="B198" s="60" t="s">
        <v>341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342</v>
      </c>
      <c r="B199" s="60" t="s">
        <v>343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344</v>
      </c>
      <c r="AG199" s="75"/>
      <c r="AJ199" s="79" t="s">
        <v>46</v>
      </c>
      <c r="AK199" s="79">
        <v>0</v>
      </c>
      <c r="BB199" s="262" t="s">
        <v>67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345</v>
      </c>
      <c r="B200" s="60" t="s">
        <v>346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347</v>
      </c>
      <c r="AG200" s="75"/>
      <c r="AJ200" s="79" t="s">
        <v>46</v>
      </c>
      <c r="AK200" s="79">
        <v>0</v>
      </c>
      <c r="BB200" s="264" t="s">
        <v>67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350</v>
      </c>
      <c r="AG201" s="75"/>
      <c r="AJ201" s="79" t="s">
        <v>46</v>
      </c>
      <c r="AK201" s="79">
        <v>0</v>
      </c>
      <c r="BB201" s="266" t="s">
        <v>67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351</v>
      </c>
      <c r="B202" s="60" t="s">
        <v>352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133</v>
      </c>
      <c r="L202" s="35" t="s">
        <v>46</v>
      </c>
      <c r="M202" s="36" t="s">
        <v>90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353</v>
      </c>
      <c r="AG202" s="75"/>
      <c r="AJ202" s="79" t="s">
        <v>46</v>
      </c>
      <c r="AK202" s="79">
        <v>0</v>
      </c>
      <c r="BB202" s="268" t="s">
        <v>67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133</v>
      </c>
      <c r="L203" s="35" t="s">
        <v>46</v>
      </c>
      <c r="M203" s="36" t="s">
        <v>90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356</v>
      </c>
      <c r="AG203" s="75"/>
      <c r="AJ203" s="79" t="s">
        <v>46</v>
      </c>
      <c r="AK203" s="79">
        <v>0</v>
      </c>
      <c r="BB203" s="270" t="s">
        <v>67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357</v>
      </c>
      <c r="B204" s="60" t="s">
        <v>358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133</v>
      </c>
      <c r="L204" s="35" t="s">
        <v>46</v>
      </c>
      <c r="M204" s="36" t="s">
        <v>90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359</v>
      </c>
      <c r="AG204" s="75"/>
      <c r="AJ204" s="79" t="s">
        <v>46</v>
      </c>
      <c r="AK204" s="79">
        <v>0</v>
      </c>
      <c r="BB204" s="272" t="s">
        <v>67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360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164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361</v>
      </c>
      <c r="B209" s="60" t="s">
        <v>362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363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77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364</v>
      </c>
      <c r="B213" s="60" t="s">
        <v>365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140</v>
      </c>
      <c r="L213" s="35" t="s">
        <v>46</v>
      </c>
      <c r="M213" s="36" t="s">
        <v>81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140</v>
      </c>
      <c r="L214" s="35" t="s">
        <v>46</v>
      </c>
      <c r="M214" s="36" t="s">
        <v>81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369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370</v>
      </c>
      <c r="B215" s="60" t="s">
        <v>371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140</v>
      </c>
      <c r="L215" s="35" t="s">
        <v>46</v>
      </c>
      <c r="M215" s="36" t="s">
        <v>81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372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373</v>
      </c>
      <c r="B216" s="60" t="s">
        <v>374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375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366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385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388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391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137</v>
      </c>
      <c r="L223" s="35" t="s">
        <v>46</v>
      </c>
      <c r="M223" s="36" t="s">
        <v>81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394</v>
      </c>
      <c r="AG223" s="75"/>
      <c r="AJ223" s="79" t="s">
        <v>46</v>
      </c>
      <c r="AK223" s="79">
        <v>0</v>
      </c>
      <c r="BB223" s="296" t="s">
        <v>67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395</v>
      </c>
      <c r="B224" s="60" t="s">
        <v>396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399</v>
      </c>
      <c r="B226" s="60" t="s">
        <v>400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401</v>
      </c>
      <c r="AG226" s="75"/>
      <c r="AJ226" s="79" t="s">
        <v>46</v>
      </c>
      <c r="AK226" s="79">
        <v>0</v>
      </c>
      <c r="BB226" s="302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86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402</v>
      </c>
      <c r="B230" s="60" t="s">
        <v>403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276</v>
      </c>
      <c r="AC230" s="303" t="s">
        <v>404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405</v>
      </c>
      <c r="B231" s="60" t="s">
        <v>406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133</v>
      </c>
      <c r="L231" s="35" t="s">
        <v>46</v>
      </c>
      <c r="M231" s="36" t="s">
        <v>97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133</v>
      </c>
      <c r="L232" s="35" t="s">
        <v>46</v>
      </c>
      <c r="M232" s="36" t="s">
        <v>97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140</v>
      </c>
      <c r="L233" s="35" t="s">
        <v>46</v>
      </c>
      <c r="M233" s="36" t="s">
        <v>97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140</v>
      </c>
      <c r="L234" s="35" t="s">
        <v>46</v>
      </c>
      <c r="M234" s="36" t="s">
        <v>97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410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104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416</v>
      </c>
      <c r="B238" s="60" t="s">
        <v>417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330</v>
      </c>
      <c r="L238" s="35" t="s">
        <v>46</v>
      </c>
      <c r="M238" s="36" t="s">
        <v>329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418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419</v>
      </c>
      <c r="B239" s="60" t="s">
        <v>420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330</v>
      </c>
      <c r="L239" s="35" t="s">
        <v>46</v>
      </c>
      <c r="M239" s="36" t="s">
        <v>329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422</v>
      </c>
      <c r="B240" s="60" t="s">
        <v>423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330</v>
      </c>
      <c r="L240" s="35" t="s">
        <v>46</v>
      </c>
      <c r="M240" s="36" t="s">
        <v>329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421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424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425</v>
      </c>
      <c r="B244" s="60" t="s">
        <v>426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330</v>
      </c>
      <c r="L244" s="35" t="s">
        <v>46</v>
      </c>
      <c r="M244" s="36" t="s">
        <v>329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421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427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128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428</v>
      </c>
      <c r="B249" s="60" t="s">
        <v>429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133</v>
      </c>
      <c r="L249" s="35" t="s">
        <v>46</v>
      </c>
      <c r="M249" s="36" t="s">
        <v>132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430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431</v>
      </c>
      <c r="B250" s="60" t="s">
        <v>432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132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430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164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433</v>
      </c>
      <c r="B254" s="60" t="s">
        <v>434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133</v>
      </c>
      <c r="L254" s="35" t="s">
        <v>46</v>
      </c>
      <c r="M254" s="36" t="s">
        <v>132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435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436</v>
      </c>
      <c r="B255" s="60" t="s">
        <v>437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132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435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77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438</v>
      </c>
      <c r="B259" s="60" t="s">
        <v>439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140</v>
      </c>
      <c r="L259" s="35" t="s">
        <v>46</v>
      </c>
      <c r="M259" s="36" t="s">
        <v>81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440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441</v>
      </c>
      <c r="B260" s="60" t="s">
        <v>442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140</v>
      </c>
      <c r="L260" s="35" t="s">
        <v>46</v>
      </c>
      <c r="M260" s="36" t="s">
        <v>81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443</v>
      </c>
      <c r="AG260" s="75"/>
      <c r="AJ260" s="79" t="s">
        <v>46</v>
      </c>
      <c r="AK260" s="79">
        <v>0</v>
      </c>
      <c r="BB260" s="332" t="s">
        <v>67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444</v>
      </c>
      <c r="B261" s="60" t="s">
        <v>445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140</v>
      </c>
      <c r="L261" s="35" t="s">
        <v>46</v>
      </c>
      <c r="M261" s="36" t="s">
        <v>81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446</v>
      </c>
      <c r="AG261" s="75"/>
      <c r="AJ261" s="79" t="s">
        <v>46</v>
      </c>
      <c r="AK261" s="79">
        <v>0</v>
      </c>
      <c r="BB261" s="334" t="s">
        <v>67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447</v>
      </c>
      <c r="B262" s="60" t="s">
        <v>448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140</v>
      </c>
      <c r="L262" s="35" t="s">
        <v>46</v>
      </c>
      <c r="M262" s="36" t="s">
        <v>81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449</v>
      </c>
      <c r="AG262" s="75"/>
      <c r="AJ262" s="79" t="s">
        <v>46</v>
      </c>
      <c r="AK262" s="79">
        <v>0</v>
      </c>
      <c r="BB262" s="336" t="s">
        <v>67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450</v>
      </c>
      <c r="B263" s="60" t="s">
        <v>451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440</v>
      </c>
      <c r="AG263" s="75"/>
      <c r="AJ263" s="79" t="s">
        <v>46</v>
      </c>
      <c r="AK263" s="79">
        <v>0</v>
      </c>
      <c r="BB263" s="338" t="s">
        <v>67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452</v>
      </c>
      <c r="B264" s="60" t="s">
        <v>453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443</v>
      </c>
      <c r="AG264" s="75"/>
      <c r="AJ264" s="79" t="s">
        <v>46</v>
      </c>
      <c r="AK264" s="79">
        <v>0</v>
      </c>
      <c r="BB264" s="340" t="s">
        <v>67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454</v>
      </c>
      <c r="B265" s="60" t="s">
        <v>455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446</v>
      </c>
      <c r="AG265" s="75"/>
      <c r="AJ265" s="79" t="s">
        <v>46</v>
      </c>
      <c r="AK265" s="79">
        <v>0</v>
      </c>
      <c r="BB265" s="342" t="s">
        <v>67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456</v>
      </c>
      <c r="B266" s="60" t="s">
        <v>457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449</v>
      </c>
      <c r="AG266" s="75"/>
      <c r="AJ266" s="79" t="s">
        <v>46</v>
      </c>
      <c r="AK266" s="79">
        <v>0</v>
      </c>
      <c r="BB266" s="344" t="s">
        <v>67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86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458</v>
      </c>
      <c r="B270" s="60" t="s">
        <v>459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133</v>
      </c>
      <c r="L270" s="35" t="s">
        <v>46</v>
      </c>
      <c r="M270" s="36" t="s">
        <v>90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460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461</v>
      </c>
      <c r="B271" s="60" t="s">
        <v>462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133</v>
      </c>
      <c r="L271" s="35" t="s">
        <v>46</v>
      </c>
      <c r="M271" s="36" t="s">
        <v>90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463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464</v>
      </c>
      <c r="B272" s="60" t="s">
        <v>465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133</v>
      </c>
      <c r="L272" s="35" t="s">
        <v>46</v>
      </c>
      <c r="M272" s="36" t="s">
        <v>90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466</v>
      </c>
      <c r="AG272" s="75"/>
      <c r="AJ272" s="79" t="s">
        <v>46</v>
      </c>
      <c r="AK272" s="79">
        <v>0</v>
      </c>
      <c r="BB272" s="350" t="s">
        <v>67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customHeight="1" x14ac:dyDescent="0.25">
      <c r="A273" s="60" t="s">
        <v>467</v>
      </c>
      <c r="B273" s="60" t="s">
        <v>468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400</v>
      </c>
      <c r="Y273" s="53">
        <f t="shared" si="32"/>
        <v>400.8</v>
      </c>
      <c r="Z273" s="39">
        <f>IFERROR(IF(Y273=0,"",ROUNDUP(Y273/H273,0)*0.00651),"")</f>
        <v>1.08717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33"/>
        <v>445</v>
      </c>
      <c r="BN273" s="75">
        <f t="shared" si="34"/>
        <v>445.89</v>
      </c>
      <c r="BO273" s="75">
        <f t="shared" si="35"/>
        <v>0.91575091575091594</v>
      </c>
      <c r="BP273" s="75">
        <f t="shared" si="36"/>
        <v>0.91758241758241765</v>
      </c>
    </row>
    <row r="274" spans="1:68" ht="27" hidden="1" customHeight="1" x14ac:dyDescent="0.25">
      <c r="A274" s="60" t="s">
        <v>469</v>
      </c>
      <c r="B274" s="60" t="s">
        <v>470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466</v>
      </c>
      <c r="AG274" s="75"/>
      <c r="AJ274" s="79" t="s">
        <v>46</v>
      </c>
      <c r="AK274" s="79">
        <v>0</v>
      </c>
      <c r="BB274" s="354" t="s">
        <v>67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471</v>
      </c>
      <c r="B275" s="60" t="s">
        <v>472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140</v>
      </c>
      <c r="L275" s="35" t="s">
        <v>46</v>
      </c>
      <c r="M275" s="36" t="s">
        <v>90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473</v>
      </c>
      <c r="AG275" s="75"/>
      <c r="AJ275" s="79" t="s">
        <v>46</v>
      </c>
      <c r="AK275" s="79">
        <v>0</v>
      </c>
      <c r="BB275" s="356" t="s">
        <v>67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474</v>
      </c>
      <c r="B276" s="60" t="s">
        <v>475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400</v>
      </c>
      <c r="Y276" s="53">
        <f t="shared" si="32"/>
        <v>400.8</v>
      </c>
      <c r="Z276" s="39">
        <f>IFERROR(IF(Y276=0,"",ROUNDUP(Y276/H276,0)*0.00651),"")</f>
        <v>1.08717</v>
      </c>
      <c r="AA276" s="65" t="s">
        <v>46</v>
      </c>
      <c r="AB276" s="66" t="s">
        <v>46</v>
      </c>
      <c r="AC276" s="357" t="s">
        <v>466</v>
      </c>
      <c r="AG276" s="75"/>
      <c r="AJ276" s="79" t="s">
        <v>46</v>
      </c>
      <c r="AK276" s="79">
        <v>0</v>
      </c>
      <c r="BB276" s="358" t="s">
        <v>67</v>
      </c>
      <c r="BM276" s="75">
        <f t="shared" si="33"/>
        <v>442</v>
      </c>
      <c r="BN276" s="75">
        <f t="shared" si="34"/>
        <v>442.88400000000007</v>
      </c>
      <c r="BO276" s="75">
        <f t="shared" si="35"/>
        <v>0.91575091575091594</v>
      </c>
      <c r="BP276" s="75">
        <f t="shared" si="36"/>
        <v>0.91758241758241765</v>
      </c>
    </row>
    <row r="277" spans="1:68" ht="27" hidden="1" customHeight="1" x14ac:dyDescent="0.25">
      <c r="A277" s="60" t="s">
        <v>476</v>
      </c>
      <c r="B277" s="60" t="s">
        <v>477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133</v>
      </c>
      <c r="L277" s="35" t="s">
        <v>46</v>
      </c>
      <c r="M277" s="36" t="s">
        <v>90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67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478</v>
      </c>
      <c r="B278" s="60" t="s">
        <v>479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466</v>
      </c>
      <c r="AG278" s="75"/>
      <c r="AJ278" s="79" t="s">
        <v>46</v>
      </c>
      <c r="AK278" s="79">
        <v>0</v>
      </c>
      <c r="BB278" s="362" t="s">
        <v>67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480</v>
      </c>
      <c r="B279" s="60" t="s">
        <v>481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482</v>
      </c>
      <c r="AG279" s="75"/>
      <c r="AJ279" s="79" t="s">
        <v>46</v>
      </c>
      <c r="AK279" s="79">
        <v>0</v>
      </c>
      <c r="BB279" s="364" t="s">
        <v>67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customHeight="1" x14ac:dyDescent="0.25">
      <c r="A280" s="60" t="s">
        <v>483</v>
      </c>
      <c r="B280" s="60" t="s">
        <v>484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400</v>
      </c>
      <c r="Y280" s="53">
        <f t="shared" si="32"/>
        <v>400.8</v>
      </c>
      <c r="Z280" s="39">
        <f>IFERROR(IF(Y280=0,"",ROUNDUP(Y280/H280,0)*0.00651),"")</f>
        <v>1.08717</v>
      </c>
      <c r="AA280" s="65" t="s">
        <v>46</v>
      </c>
      <c r="AB280" s="66" t="s">
        <v>46</v>
      </c>
      <c r="AC280" s="365" t="s">
        <v>485</v>
      </c>
      <c r="AG280" s="75"/>
      <c r="AJ280" s="79" t="s">
        <v>46</v>
      </c>
      <c r="AK280" s="79">
        <v>0</v>
      </c>
      <c r="BB280" s="366" t="s">
        <v>67</v>
      </c>
      <c r="BM280" s="75">
        <f t="shared" si="33"/>
        <v>443.00000000000006</v>
      </c>
      <c r="BN280" s="75">
        <f t="shared" si="34"/>
        <v>443.88599999999997</v>
      </c>
      <c r="BO280" s="75">
        <f t="shared" si="35"/>
        <v>0.91575091575091594</v>
      </c>
      <c r="BP280" s="75">
        <f t="shared" si="36"/>
        <v>0.91758241758241765</v>
      </c>
    </row>
    <row r="281" spans="1:68" ht="27" hidden="1" customHeight="1" x14ac:dyDescent="0.25">
      <c r="A281" s="60" t="s">
        <v>486</v>
      </c>
      <c r="B281" s="60" t="s">
        <v>487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488</v>
      </c>
      <c r="AG281" s="75"/>
      <c r="AJ281" s="79" t="s">
        <v>46</v>
      </c>
      <c r="AK281" s="79">
        <v>0</v>
      </c>
      <c r="BB281" s="368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500.00000000000006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501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3.2615099999999999</v>
      </c>
      <c r="AA282" s="64"/>
      <c r="AB282" s="64"/>
      <c r="AC282" s="64"/>
    </row>
    <row r="283" spans="1:68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1200</v>
      </c>
      <c r="Y283" s="41">
        <f>IFERROR(SUM(Y270:Y281),"0")</f>
        <v>1202.4000000000001</v>
      </c>
      <c r="Z283" s="40"/>
      <c r="AA283" s="64"/>
      <c r="AB283" s="64"/>
      <c r="AC283" s="64"/>
    </row>
    <row r="284" spans="1:68" ht="14.25" hidden="1" customHeight="1" x14ac:dyDescent="0.25">
      <c r="A284" s="691" t="s">
        <v>181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489</v>
      </c>
      <c r="B285" s="60" t="s">
        <v>490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491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494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495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128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496</v>
      </c>
      <c r="B291" s="60" t="s">
        <v>497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133</v>
      </c>
      <c r="L291" s="35" t="s">
        <v>46</v>
      </c>
      <c r="M291" s="36" t="s">
        <v>132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498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499</v>
      </c>
      <c r="B292" s="60" t="s">
        <v>500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133</v>
      </c>
      <c r="L292" s="35" t="s">
        <v>46</v>
      </c>
      <c r="M292" s="36" t="s">
        <v>132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501</v>
      </c>
      <c r="AG292" s="75"/>
      <c r="AJ292" s="79" t="s">
        <v>46</v>
      </c>
      <c r="AK292" s="79">
        <v>0</v>
      </c>
      <c r="BB292" s="376" t="s">
        <v>67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502</v>
      </c>
      <c r="B293" s="60" t="s">
        <v>503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504</v>
      </c>
      <c r="B294" s="60" t="s">
        <v>505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140</v>
      </c>
      <c r="L294" s="35" t="s">
        <v>46</v>
      </c>
      <c r="M294" s="36" t="s">
        <v>132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498</v>
      </c>
      <c r="AG294" s="75"/>
      <c r="AJ294" s="79" t="s">
        <v>46</v>
      </c>
      <c r="AK294" s="79">
        <v>0</v>
      </c>
      <c r="BB294" s="380" t="s">
        <v>67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506</v>
      </c>
      <c r="B295" s="60" t="s">
        <v>507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140</v>
      </c>
      <c r="L295" s="35" t="s">
        <v>46</v>
      </c>
      <c r="M295" s="36" t="s">
        <v>132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508</v>
      </c>
      <c r="AG295" s="75"/>
      <c r="AJ295" s="79" t="s">
        <v>46</v>
      </c>
      <c r="AK295" s="79">
        <v>0</v>
      </c>
      <c r="BB295" s="382" t="s">
        <v>67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509</v>
      </c>
      <c r="B296" s="60" t="s">
        <v>510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132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511</v>
      </c>
      <c r="AG296" s="75"/>
      <c r="AJ296" s="79" t="s">
        <v>46</v>
      </c>
      <c r="AK296" s="79">
        <v>0</v>
      </c>
      <c r="BB296" s="384" t="s">
        <v>67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512</v>
      </c>
      <c r="B297" s="60" t="s">
        <v>513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164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514</v>
      </c>
      <c r="B301" s="60" t="s">
        <v>515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516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517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518</v>
      </c>
      <c r="B305" s="60" t="s">
        <v>519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330</v>
      </c>
      <c r="L305" s="35" t="s">
        <v>46</v>
      </c>
      <c r="M305" s="36" t="s">
        <v>329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520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334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521</v>
      </c>
      <c r="B309" s="60" t="s">
        <v>522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330</v>
      </c>
      <c r="L309" s="35" t="s">
        <v>46</v>
      </c>
      <c r="M309" s="36" t="s">
        <v>329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523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524</v>
      </c>
      <c r="B310" s="60" t="s">
        <v>525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330</v>
      </c>
      <c r="L310" s="35" t="s">
        <v>46</v>
      </c>
      <c r="M310" s="36" t="s">
        <v>329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523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526</v>
      </c>
      <c r="B311" s="60" t="s">
        <v>527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330</v>
      </c>
      <c r="L311" s="35" t="s">
        <v>46</v>
      </c>
      <c r="M311" s="36" t="s">
        <v>329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523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528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128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529</v>
      </c>
      <c r="B316" s="60" t="s">
        <v>530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133</v>
      </c>
      <c r="L316" s="35" t="s">
        <v>46</v>
      </c>
      <c r="M316" s="36" t="s">
        <v>132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532</v>
      </c>
      <c r="B317" s="60" t="s">
        <v>533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133</v>
      </c>
      <c r="L317" s="35" t="s">
        <v>46</v>
      </c>
      <c r="M317" s="36" t="s">
        <v>132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534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535</v>
      </c>
      <c r="B318" s="60" t="s">
        <v>536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133</v>
      </c>
      <c r="L318" s="35" t="s">
        <v>46</v>
      </c>
      <c r="M318" s="36" t="s">
        <v>132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537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538</v>
      </c>
      <c r="B319" s="60" t="s">
        <v>539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140</v>
      </c>
      <c r="L319" s="35" t="s">
        <v>46</v>
      </c>
      <c r="M319" s="36" t="s">
        <v>132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540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541</v>
      </c>
      <c r="B320" s="60" t="s">
        <v>542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140</v>
      </c>
      <c r="L320" s="35" t="s">
        <v>46</v>
      </c>
      <c r="M320" s="36" t="s">
        <v>132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543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544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86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545</v>
      </c>
      <c r="B325" s="60" t="s">
        <v>546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547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548</v>
      </c>
      <c r="B326" s="60" t="s">
        <v>549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550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551</v>
      </c>
      <c r="B327" s="60" t="s">
        <v>552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400</v>
      </c>
      <c r="Y327" s="53">
        <f>IFERROR(IF(X327="",0,CEILING((X327/$H327),1)*$H327),"")</f>
        <v>400.8</v>
      </c>
      <c r="Z327" s="39">
        <f>IFERROR(IF(Y327=0,"",ROUNDUP(Y327/H327,0)*0.00651),"")</f>
        <v>1.08717</v>
      </c>
      <c r="AA327" s="65" t="s">
        <v>46</v>
      </c>
      <c r="AB327" s="66" t="s">
        <v>46</v>
      </c>
      <c r="AC327" s="411" t="s">
        <v>547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430</v>
      </c>
      <c r="BN327" s="75">
        <f>IFERROR(Y327*I327/H327,"0")</f>
        <v>430.86000000000007</v>
      </c>
      <c r="BO327" s="75">
        <f>IFERROR(1/J327*(X327/H327),"0")</f>
        <v>0.91575091575091594</v>
      </c>
      <c r="BP327" s="75">
        <f>IFERROR(1/J327*(Y327/H327),"0")</f>
        <v>0.91758241758241765</v>
      </c>
    </row>
    <row r="328" spans="1:68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166.66666666666669</v>
      </c>
      <c r="Y328" s="41">
        <f>IFERROR(Y325/H325,"0")+IFERROR(Y326/H326,"0")+IFERROR(Y327/H327,"0")</f>
        <v>167</v>
      </c>
      <c r="Z328" s="41">
        <f>IFERROR(IF(Z325="",0,Z325),"0")+IFERROR(IF(Z326="",0,Z326),"0")+IFERROR(IF(Z327="",0,Z327),"0")</f>
        <v>1.08717</v>
      </c>
      <c r="AA328" s="64"/>
      <c r="AB328" s="64"/>
      <c r="AC328" s="64"/>
    </row>
    <row r="329" spans="1:68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400</v>
      </c>
      <c r="Y329" s="41">
        <f>IFERROR(SUM(Y325:Y327),"0")</f>
        <v>400.8</v>
      </c>
      <c r="Z329" s="40"/>
      <c r="AA329" s="64"/>
      <c r="AB329" s="64"/>
      <c r="AC329" s="64"/>
    </row>
    <row r="330" spans="1:68" ht="16.5" hidden="1" customHeight="1" x14ac:dyDescent="0.25">
      <c r="A330" s="690" t="s">
        <v>553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77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554</v>
      </c>
      <c r="B332" s="60" t="s">
        <v>555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388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556</v>
      </c>
      <c r="B333" s="60" t="s">
        <v>557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558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559</v>
      </c>
      <c r="B334" s="60" t="s">
        <v>560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561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562</v>
      </c>
      <c r="B335" s="60" t="s">
        <v>563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564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565</v>
      </c>
      <c r="B336" s="60" t="s">
        <v>566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567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86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568</v>
      </c>
      <c r="B340" s="60" t="s">
        <v>569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140</v>
      </c>
      <c r="L340" s="35" t="s">
        <v>46</v>
      </c>
      <c r="M340" s="36" t="s">
        <v>90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570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140</v>
      </c>
      <c r="L341" s="35" t="s">
        <v>46</v>
      </c>
      <c r="M341" s="36" t="s">
        <v>90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573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574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128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575</v>
      </c>
      <c r="B346" s="60" t="s">
        <v>576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133</v>
      </c>
      <c r="L346" s="35" t="s">
        <v>46</v>
      </c>
      <c r="M346" s="36" t="s">
        <v>90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133</v>
      </c>
      <c r="L347" s="35" t="s">
        <v>46</v>
      </c>
      <c r="M347" s="36" t="s">
        <v>90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579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582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583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128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584</v>
      </c>
      <c r="B353" s="60" t="s">
        <v>585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133</v>
      </c>
      <c r="L353" s="35" t="s">
        <v>46</v>
      </c>
      <c r="M353" s="36" t="s">
        <v>132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586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133</v>
      </c>
      <c r="L354" s="35" t="s">
        <v>46</v>
      </c>
      <c r="M354" s="36" t="s">
        <v>132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590</v>
      </c>
      <c r="B355" s="60" t="s">
        <v>591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133</v>
      </c>
      <c r="L355" s="35" t="s">
        <v>46</v>
      </c>
      <c r="M355" s="36" t="s">
        <v>132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592</v>
      </c>
      <c r="AG355" s="75"/>
      <c r="AJ355" s="79" t="s">
        <v>46</v>
      </c>
      <c r="AK355" s="79">
        <v>0</v>
      </c>
      <c r="BB355" s="438" t="s">
        <v>67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593</v>
      </c>
      <c r="B356" s="60" t="s">
        <v>594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595</v>
      </c>
      <c r="AG356" s="75"/>
      <c r="AJ356" s="79" t="s">
        <v>46</v>
      </c>
      <c r="AK356" s="79">
        <v>0</v>
      </c>
      <c r="BB356" s="440" t="s">
        <v>67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140</v>
      </c>
      <c r="L357" s="35" t="s">
        <v>46</v>
      </c>
      <c r="M357" s="36" t="s">
        <v>132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589</v>
      </c>
      <c r="AG357" s="75"/>
      <c r="AJ357" s="79" t="s">
        <v>46</v>
      </c>
      <c r="AK357" s="79">
        <v>0</v>
      </c>
      <c r="BB357" s="442" t="s">
        <v>67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598</v>
      </c>
      <c r="B358" s="60" t="s">
        <v>599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140</v>
      </c>
      <c r="L358" s="35" t="s">
        <v>46</v>
      </c>
      <c r="M358" s="36" t="s">
        <v>132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600</v>
      </c>
      <c r="AG358" s="75"/>
      <c r="AJ358" s="79" t="s">
        <v>46</v>
      </c>
      <c r="AK358" s="79">
        <v>0</v>
      </c>
      <c r="BB358" s="444" t="s">
        <v>67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77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601</v>
      </c>
      <c r="B362" s="60" t="s">
        <v>602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140</v>
      </c>
      <c r="L362" s="35" t="s">
        <v>46</v>
      </c>
      <c r="M362" s="36" t="s">
        <v>81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140</v>
      </c>
      <c r="L364" s="35" t="s">
        <v>46</v>
      </c>
      <c r="M364" s="36" t="s">
        <v>81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610</v>
      </c>
      <c r="B365" s="60" t="s">
        <v>611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606</v>
      </c>
      <c r="AG365" s="75"/>
      <c r="AJ365" s="79" t="s">
        <v>46</v>
      </c>
      <c r="AK365" s="79">
        <v>0</v>
      </c>
      <c r="BB365" s="452" t="s">
        <v>67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67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140</v>
      </c>
      <c r="L367" s="35" t="s">
        <v>46</v>
      </c>
      <c r="M367" s="36" t="s">
        <v>81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67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86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133</v>
      </c>
      <c r="L374" s="35" t="s">
        <v>46</v>
      </c>
      <c r="M374" s="36" t="s">
        <v>90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622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181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631</v>
      </c>
      <c r="B379" s="60" t="s">
        <v>632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133</v>
      </c>
      <c r="L379" s="35" t="s">
        <v>46</v>
      </c>
      <c r="M379" s="36" t="s">
        <v>90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633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634</v>
      </c>
      <c r="B380" s="60" t="s">
        <v>635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133</v>
      </c>
      <c r="L380" s="35" t="s">
        <v>46</v>
      </c>
      <c r="M380" s="36" t="s">
        <v>90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500</v>
      </c>
      <c r="Y380" s="53">
        <f>IFERROR(IF(X380="",0,CEILING((X380/$H380),1)*$H380),"")</f>
        <v>507</v>
      </c>
      <c r="Z380" s="39">
        <f>IFERROR(IF(Y380=0,"",ROUNDUP(Y380/H380,0)*0.01898),"")</f>
        <v>1.2337</v>
      </c>
      <c r="AA380" s="65" t="s">
        <v>46</v>
      </c>
      <c r="AB380" s="66" t="s">
        <v>46</v>
      </c>
      <c r="AC380" s="469" t="s">
        <v>636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531.66666666666663</v>
      </c>
      <c r="BN380" s="75">
        <f>IFERROR(Y380*I380/H380,"0")</f>
        <v>539.11</v>
      </c>
      <c r="BO380" s="75">
        <f>IFERROR(1/J380*(X380/H380),"0")</f>
        <v>1.0016025641025641</v>
      </c>
      <c r="BP380" s="75">
        <f>IFERROR(1/J380*(Y380/H380),"0")</f>
        <v>1.015625</v>
      </c>
    </row>
    <row r="381" spans="1:68" ht="16.5" hidden="1" customHeight="1" x14ac:dyDescent="0.25">
      <c r="A381" s="60" t="s">
        <v>637</v>
      </c>
      <c r="B381" s="60" t="s">
        <v>638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133</v>
      </c>
      <c r="L381" s="35" t="s">
        <v>46</v>
      </c>
      <c r="M381" s="36" t="s">
        <v>97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64.102564102564102</v>
      </c>
      <c r="Y382" s="41">
        <f>IFERROR(Y379/H379,"0")+IFERROR(Y380/H380,"0")+IFERROR(Y381/H381,"0")</f>
        <v>65</v>
      </c>
      <c r="Z382" s="41">
        <f>IFERROR(IF(Z379="",0,Z379),"0")+IFERROR(IF(Z380="",0,Z380),"0")+IFERROR(IF(Z381="",0,Z381),"0")</f>
        <v>1.2337</v>
      </c>
      <c r="AA382" s="64"/>
      <c r="AB382" s="64"/>
      <c r="AC382" s="64"/>
    </row>
    <row r="383" spans="1:68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500</v>
      </c>
      <c r="Y383" s="41">
        <f>IFERROR(SUM(Y379:Y381),"0")</f>
        <v>507</v>
      </c>
      <c r="Z383" s="40"/>
      <c r="AA383" s="64"/>
      <c r="AB383" s="64"/>
      <c r="AC383" s="64"/>
    </row>
    <row r="384" spans="1:68" ht="14.25" hidden="1" customHeight="1" x14ac:dyDescent="0.25">
      <c r="A384" s="691" t="s">
        <v>104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640</v>
      </c>
      <c r="B385" s="60" t="s">
        <v>641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140</v>
      </c>
      <c r="L385" s="35" t="s">
        <v>46</v>
      </c>
      <c r="M385" s="36" t="s">
        <v>109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642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643</v>
      </c>
      <c r="B386" s="60" t="s">
        <v>644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140</v>
      </c>
      <c r="L386" s="35" t="s">
        <v>46</v>
      </c>
      <c r="M386" s="36" t="s">
        <v>109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647</v>
      </c>
      <c r="B388" s="60" t="s">
        <v>648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649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650</v>
      </c>
      <c r="B392" s="60" t="s">
        <v>651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653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652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653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656</v>
      </c>
      <c r="B394" s="60" t="s">
        <v>657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653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658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659</v>
      </c>
      <c r="B398" s="60" t="s">
        <v>660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91</v>
      </c>
      <c r="L398" s="35" t="s">
        <v>46</v>
      </c>
      <c r="M398" s="36" t="s">
        <v>653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276</v>
      </c>
      <c r="AC398" s="487" t="s">
        <v>661</v>
      </c>
      <c r="AG398" s="75"/>
      <c r="AJ398" s="79" t="s">
        <v>46</v>
      </c>
      <c r="AK398" s="79">
        <v>0</v>
      </c>
      <c r="BB398" s="488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662</v>
      </c>
      <c r="B399" s="60" t="s">
        <v>663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140</v>
      </c>
      <c r="L399" s="35" t="s">
        <v>46</v>
      </c>
      <c r="M399" s="36" t="s">
        <v>653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276</v>
      </c>
      <c r="AC399" s="489" t="s">
        <v>664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91</v>
      </c>
      <c r="L400" s="35" t="s">
        <v>46</v>
      </c>
      <c r="M400" s="36" t="s">
        <v>653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276</v>
      </c>
      <c r="AC400" s="491" t="s">
        <v>661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667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86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668</v>
      </c>
      <c r="B405" s="60" t="s">
        <v>669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133</v>
      </c>
      <c r="L405" s="35" t="s">
        <v>46</v>
      </c>
      <c r="M405" s="36" t="s">
        <v>97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670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671</v>
      </c>
      <c r="B406" s="60" t="s">
        <v>672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91</v>
      </c>
      <c r="L406" s="35" t="s">
        <v>46</v>
      </c>
      <c r="M406" s="36" t="s">
        <v>90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3150</v>
      </c>
      <c r="Y406" s="53">
        <f>IFERROR(IF(X406="",0,CEILING((X406/$H406),1)*$H406),"")</f>
        <v>3150</v>
      </c>
      <c r="Z406" s="39">
        <f>IFERROR(IF(Y406=0,"",ROUNDUP(Y406/H406,0)*0.00651),"")</f>
        <v>9.7650000000000006</v>
      </c>
      <c r="AA406" s="65" t="s">
        <v>46</v>
      </c>
      <c r="AB406" s="66" t="s">
        <v>46</v>
      </c>
      <c r="AC406" s="495" t="s">
        <v>673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3527.9999999999995</v>
      </c>
      <c r="BN406" s="75">
        <f>IFERROR(Y406*I406/H406,"0")</f>
        <v>3527.9999999999995</v>
      </c>
      <c r="BO406" s="75">
        <f>IFERROR(1/J406*(X406/H406),"0")</f>
        <v>8.2417582417582427</v>
      </c>
      <c r="BP406" s="75">
        <f>IFERROR(1/J406*(Y406/H406),"0")</f>
        <v>8.2417582417582427</v>
      </c>
    </row>
    <row r="407" spans="1:68" ht="27" customHeight="1" x14ac:dyDescent="0.25">
      <c r="A407" s="60" t="s">
        <v>674</v>
      </c>
      <c r="B407" s="60" t="s">
        <v>675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91</v>
      </c>
      <c r="L407" s="35" t="s">
        <v>46</v>
      </c>
      <c r="M407" s="36" t="s">
        <v>97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2100</v>
      </c>
      <c r="Y407" s="53">
        <f>IFERROR(IF(X407="",0,CEILING((X407/$H407),1)*$H407),"")</f>
        <v>2100</v>
      </c>
      <c r="Z407" s="39">
        <f>IFERROR(IF(Y407=0,"",ROUNDUP(Y407/H407,0)*0.00651),"")</f>
        <v>6.51</v>
      </c>
      <c r="AA407" s="65" t="s">
        <v>46</v>
      </c>
      <c r="AB407" s="66" t="s">
        <v>46</v>
      </c>
      <c r="AC407" s="497" t="s">
        <v>676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2340</v>
      </c>
      <c r="BN407" s="75">
        <f>IFERROR(Y407*I407/H407,"0")</f>
        <v>2340</v>
      </c>
      <c r="BO407" s="75">
        <f>IFERROR(1/J407*(X407/H407),"0")</f>
        <v>5.4945054945054945</v>
      </c>
      <c r="BP407" s="75">
        <f>IFERROR(1/J407*(Y407/H407),"0")</f>
        <v>5.4945054945054945</v>
      </c>
    </row>
    <row r="408" spans="1:68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2500</v>
      </c>
      <c r="Y408" s="41">
        <f>IFERROR(Y405/H405,"0")+IFERROR(Y406/H406,"0")+IFERROR(Y407/H407,"0")</f>
        <v>2500</v>
      </c>
      <c r="Z408" s="41">
        <f>IFERROR(IF(Z405="",0,Z405),"0")+IFERROR(IF(Z406="",0,Z406),"0")+IFERROR(IF(Z407="",0,Z407),"0")</f>
        <v>16.274999999999999</v>
      </c>
      <c r="AA408" s="64"/>
      <c r="AB408" s="64"/>
      <c r="AC408" s="64"/>
    </row>
    <row r="409" spans="1:68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5250</v>
      </c>
      <c r="Y409" s="41">
        <f>IFERROR(SUM(Y405:Y407),"0")</f>
        <v>5250</v>
      </c>
      <c r="Z409" s="40"/>
      <c r="AA409" s="64"/>
      <c r="AB409" s="64"/>
      <c r="AC409" s="64"/>
    </row>
    <row r="410" spans="1:68" ht="27.75" hidden="1" customHeight="1" x14ac:dyDescent="0.2">
      <c r="A410" s="689" t="s">
        <v>677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678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128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679</v>
      </c>
      <c r="B413" s="60" t="s">
        <v>680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133</v>
      </c>
      <c r="L413" s="35" t="s">
        <v>46</v>
      </c>
      <c r="M413" s="36" t="s">
        <v>97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681</v>
      </c>
      <c r="AG413" s="75"/>
      <c r="AJ413" s="79" t="s">
        <v>46</v>
      </c>
      <c r="AK413" s="79">
        <v>0</v>
      </c>
      <c r="BB413" s="500" t="s">
        <v>67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hidden="1" customHeight="1" x14ac:dyDescent="0.25">
      <c r="A414" s="60" t="s">
        <v>682</v>
      </c>
      <c r="B414" s="60" t="s">
        <v>683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684</v>
      </c>
      <c r="AG414" s="75"/>
      <c r="AJ414" s="79" t="s">
        <v>46</v>
      </c>
      <c r="AK414" s="79">
        <v>0</v>
      </c>
      <c r="BB414" s="502" t="s">
        <v>67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customHeight="1" x14ac:dyDescent="0.25">
      <c r="A415" s="60" t="s">
        <v>685</v>
      </c>
      <c r="B415" s="60" t="s">
        <v>686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400</v>
      </c>
      <c r="Y415" s="53">
        <f t="shared" si="52"/>
        <v>405</v>
      </c>
      <c r="Z415" s="39">
        <f>IFERROR(IF(Y415=0,"",ROUNDUP(Y415/H415,0)*0.02175),"")</f>
        <v>0.58724999999999994</v>
      </c>
      <c r="AA415" s="65" t="s">
        <v>46</v>
      </c>
      <c r="AB415" s="66" t="s">
        <v>46</v>
      </c>
      <c r="AC415" s="503" t="s">
        <v>687</v>
      </c>
      <c r="AG415" s="75"/>
      <c r="AJ415" s="79" t="s">
        <v>46</v>
      </c>
      <c r="AK415" s="79">
        <v>0</v>
      </c>
      <c r="BB415" s="504" t="s">
        <v>67</v>
      </c>
      <c r="BM415" s="75">
        <f t="shared" si="53"/>
        <v>412.53333333333336</v>
      </c>
      <c r="BN415" s="75">
        <f t="shared" si="54"/>
        <v>417.69</v>
      </c>
      <c r="BO415" s="75">
        <f t="shared" si="55"/>
        <v>0.55555555555555558</v>
      </c>
      <c r="BP415" s="75">
        <f t="shared" si="56"/>
        <v>0.5625</v>
      </c>
    </row>
    <row r="416" spans="1:68" ht="27" hidden="1" customHeight="1" x14ac:dyDescent="0.25">
      <c r="A416" s="60" t="s">
        <v>688</v>
      </c>
      <c r="B416" s="60" t="s">
        <v>689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133</v>
      </c>
      <c r="L416" s="35" t="s">
        <v>46</v>
      </c>
      <c r="M416" s="36" t="s">
        <v>81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0</v>
      </c>
      <c r="Y416" s="53">
        <f t="shared" si="52"/>
        <v>0</v>
      </c>
      <c r="Z416" s="39" t="str">
        <f>IFERROR(IF(Y416=0,"",ROUNDUP(Y416/H416,0)*0.02175),"")</f>
        <v/>
      </c>
      <c r="AA416" s="65" t="s">
        <v>46</v>
      </c>
      <c r="AB416" s="66" t="s">
        <v>46</v>
      </c>
      <c r="AC416" s="505" t="s">
        <v>690</v>
      </c>
      <c r="AG416" s="75"/>
      <c r="AJ416" s="79" t="s">
        <v>46</v>
      </c>
      <c r="AK416" s="79">
        <v>0</v>
      </c>
      <c r="BB416" s="506" t="s">
        <v>67</v>
      </c>
      <c r="BM416" s="75">
        <f t="shared" si="53"/>
        <v>0</v>
      </c>
      <c r="BN416" s="75">
        <f t="shared" si="54"/>
        <v>0</v>
      </c>
      <c r="BO416" s="75">
        <f t="shared" si="55"/>
        <v>0</v>
      </c>
      <c r="BP416" s="75">
        <f t="shared" si="56"/>
        <v>0</v>
      </c>
    </row>
    <row r="417" spans="1:68" ht="27" hidden="1" customHeight="1" x14ac:dyDescent="0.25">
      <c r="A417" s="60" t="s">
        <v>691</v>
      </c>
      <c r="B417" s="60" t="s">
        <v>692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133</v>
      </c>
      <c r="L417" s="35" t="s">
        <v>46</v>
      </c>
      <c r="M417" s="36" t="s">
        <v>97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0</v>
      </c>
      <c r="Y417" s="53">
        <f t="shared" si="52"/>
        <v>0</v>
      </c>
      <c r="Z417" s="39" t="str">
        <f>IFERROR(IF(Y417=0,"",ROUNDUP(Y417/H417,0)*0.02175),"")</f>
        <v/>
      </c>
      <c r="AA417" s="65" t="s">
        <v>46</v>
      </c>
      <c r="AB417" s="66" t="s">
        <v>46</v>
      </c>
      <c r="AC417" s="507" t="s">
        <v>693</v>
      </c>
      <c r="AG417" s="75"/>
      <c r="AJ417" s="79" t="s">
        <v>46</v>
      </c>
      <c r="AK417" s="79">
        <v>0</v>
      </c>
      <c r="BB417" s="508" t="s">
        <v>67</v>
      </c>
      <c r="BM417" s="75">
        <f t="shared" si="53"/>
        <v>0</v>
      </c>
      <c r="BN417" s="75">
        <f t="shared" si="54"/>
        <v>0</v>
      </c>
      <c r="BO417" s="75">
        <f t="shared" si="55"/>
        <v>0</v>
      </c>
      <c r="BP417" s="75">
        <f t="shared" si="56"/>
        <v>0</v>
      </c>
    </row>
    <row r="418" spans="1:68" ht="27" hidden="1" customHeight="1" x14ac:dyDescent="0.25">
      <c r="A418" s="60" t="s">
        <v>694</v>
      </c>
      <c r="B418" s="60" t="s">
        <v>695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140</v>
      </c>
      <c r="L418" s="35" t="s">
        <v>46</v>
      </c>
      <c r="M418" s="36" t="s">
        <v>132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696</v>
      </c>
      <c r="AG418" s="75"/>
      <c r="AJ418" s="79" t="s">
        <v>46</v>
      </c>
      <c r="AK418" s="79">
        <v>0</v>
      </c>
      <c r="BB418" s="510" t="s">
        <v>67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697</v>
      </c>
      <c r="B419" s="60" t="s">
        <v>698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699</v>
      </c>
      <c r="AG419" s="75"/>
      <c r="AJ419" s="79" t="s">
        <v>46</v>
      </c>
      <c r="AK419" s="79">
        <v>0</v>
      </c>
      <c r="BB419" s="512" t="s">
        <v>67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700</v>
      </c>
      <c r="B420" s="60" t="s">
        <v>701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140</v>
      </c>
      <c r="L420" s="35" t="s">
        <v>46</v>
      </c>
      <c r="M420" s="36" t="s">
        <v>81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702</v>
      </c>
      <c r="AG420" s="75"/>
      <c r="AJ420" s="79" t="s">
        <v>46</v>
      </c>
      <c r="AK420" s="79">
        <v>0</v>
      </c>
      <c r="BB420" s="514" t="s">
        <v>67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26.666666666666668</v>
      </c>
      <c r="Y421" s="41">
        <f>IFERROR(Y413/H413,"0")+IFERROR(Y414/H414,"0")+IFERROR(Y415/H415,"0")+IFERROR(Y416/H416,"0")+IFERROR(Y417/H417,"0")+IFERROR(Y418/H418,"0")+IFERROR(Y419/H419,"0")+IFERROR(Y420/H420,"0")</f>
        <v>27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0.58724999999999994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400</v>
      </c>
      <c r="Y422" s="41">
        <f>IFERROR(SUM(Y413:Y420),"0")</f>
        <v>405</v>
      </c>
      <c r="Z422" s="40"/>
      <c r="AA422" s="64"/>
      <c r="AB422" s="64"/>
      <c r="AC422" s="64"/>
    </row>
    <row r="423" spans="1:68" ht="14.25" hidden="1" customHeight="1" x14ac:dyDescent="0.25">
      <c r="A423" s="691" t="s">
        <v>164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customHeight="1" x14ac:dyDescent="0.25">
      <c r="A424" s="60" t="s">
        <v>703</v>
      </c>
      <c r="B424" s="60" t="s">
        <v>704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6000</v>
      </c>
      <c r="Y424" s="53">
        <f>IFERROR(IF(X424="",0,CEILING((X424/$H424),1)*$H424),"")</f>
        <v>6000</v>
      </c>
      <c r="Z424" s="39">
        <f>IFERROR(IF(Y424=0,"",ROUNDUP(Y424/H424,0)*0.02175),"")</f>
        <v>8.6999999999999993</v>
      </c>
      <c r="AA424" s="65" t="s">
        <v>46</v>
      </c>
      <c r="AB424" s="66" t="s">
        <v>46</v>
      </c>
      <c r="AC424" s="515" t="s">
        <v>705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6188</v>
      </c>
      <c r="BN424" s="75">
        <f>IFERROR(Y424*I424/H424,"0")</f>
        <v>6188</v>
      </c>
      <c r="BO424" s="75">
        <f>IFERROR(1/J424*(X424/H424),"0")</f>
        <v>8.3333333333333321</v>
      </c>
      <c r="BP424" s="75">
        <f>IFERROR(1/J424*(Y424/H424),"0")</f>
        <v>8.3333333333333321</v>
      </c>
    </row>
    <row r="425" spans="1:68" ht="27" hidden="1" customHeight="1" x14ac:dyDescent="0.25">
      <c r="A425" s="60" t="s">
        <v>706</v>
      </c>
      <c r="B425" s="60" t="s">
        <v>707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708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709</v>
      </c>
      <c r="B426" s="60" t="s">
        <v>710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140</v>
      </c>
      <c r="L426" s="35" t="s">
        <v>46</v>
      </c>
      <c r="M426" s="36" t="s">
        <v>132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711</v>
      </c>
      <c r="AG426" s="75"/>
      <c r="AJ426" s="79" t="s">
        <v>46</v>
      </c>
      <c r="AK426" s="79">
        <v>0</v>
      </c>
      <c r="BB426" s="520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400</v>
      </c>
      <c r="Y427" s="41">
        <f>IFERROR(Y424/H424,"0")+IFERROR(Y425/H425,"0")+IFERROR(Y426/H426,"0")</f>
        <v>400</v>
      </c>
      <c r="Z427" s="41">
        <f>IFERROR(IF(Z424="",0,Z424),"0")+IFERROR(IF(Z425="",0,Z425),"0")+IFERROR(IF(Z426="",0,Z426),"0")</f>
        <v>8.6999999999999993</v>
      </c>
      <c r="AA427" s="64"/>
      <c r="AB427" s="64"/>
      <c r="AC427" s="64"/>
    </row>
    <row r="428" spans="1:68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6000</v>
      </c>
      <c r="Y428" s="41">
        <f>IFERROR(SUM(Y424:Y426),"0")</f>
        <v>6000</v>
      </c>
      <c r="Z428" s="40"/>
      <c r="AA428" s="64"/>
      <c r="AB428" s="64"/>
      <c r="AC428" s="64"/>
    </row>
    <row r="429" spans="1:68" ht="14.25" hidden="1" customHeight="1" x14ac:dyDescent="0.25">
      <c r="A429" s="691" t="s">
        <v>86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712</v>
      </c>
      <c r="B430" s="60" t="s">
        <v>713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133</v>
      </c>
      <c r="L430" s="35" t="s">
        <v>46</v>
      </c>
      <c r="M430" s="36" t="s">
        <v>90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276</v>
      </c>
      <c r="AC430" s="521" t="s">
        <v>714</v>
      </c>
      <c r="AG430" s="75"/>
      <c r="AJ430" s="79" t="s">
        <v>46</v>
      </c>
      <c r="AK430" s="79">
        <v>0</v>
      </c>
      <c r="BB430" s="522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715</v>
      </c>
      <c r="B431" s="60" t="s">
        <v>716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133</v>
      </c>
      <c r="L431" s="35" t="s">
        <v>46</v>
      </c>
      <c r="M431" s="36" t="s">
        <v>90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717</v>
      </c>
      <c r="AG431" s="75"/>
      <c r="AJ431" s="79" t="s">
        <v>46</v>
      </c>
      <c r="AK431" s="79">
        <v>0</v>
      </c>
      <c r="BB431" s="524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718</v>
      </c>
      <c r="B432" s="60" t="s">
        <v>719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133</v>
      </c>
      <c r="L432" s="35" t="s">
        <v>46</v>
      </c>
      <c r="M432" s="36" t="s">
        <v>90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720</v>
      </c>
      <c r="AG432" s="75"/>
      <c r="AJ432" s="79" t="s">
        <v>46</v>
      </c>
      <c r="AK432" s="79">
        <v>0</v>
      </c>
      <c r="BB432" s="526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181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721</v>
      </c>
      <c r="B436" s="60" t="s">
        <v>722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133</v>
      </c>
      <c r="L436" s="35" t="s">
        <v>46</v>
      </c>
      <c r="M436" s="36" t="s">
        <v>90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276</v>
      </c>
      <c r="AC436" s="527" t="s">
        <v>723</v>
      </c>
      <c r="AG436" s="75"/>
      <c r="AJ436" s="79" t="s">
        <v>46</v>
      </c>
      <c r="AK436" s="79">
        <v>0</v>
      </c>
      <c r="BB436" s="528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724</v>
      </c>
      <c r="B437" s="60" t="s">
        <v>725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133</v>
      </c>
      <c r="L437" s="35" t="s">
        <v>46</v>
      </c>
      <c r="M437" s="36" t="s">
        <v>90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726</v>
      </c>
      <c r="AG437" s="75"/>
      <c r="AJ437" s="79" t="s">
        <v>46</v>
      </c>
      <c r="AK437" s="79">
        <v>0</v>
      </c>
      <c r="BB437" s="53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727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128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728</v>
      </c>
      <c r="B442" s="60" t="s">
        <v>729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133</v>
      </c>
      <c r="L442" s="35" t="s">
        <v>46</v>
      </c>
      <c r="M442" s="36" t="s">
        <v>81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730</v>
      </c>
      <c r="AG442" s="75"/>
      <c r="AJ442" s="79" t="s">
        <v>46</v>
      </c>
      <c r="AK442" s="79">
        <v>0</v>
      </c>
      <c r="BB442" s="532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731</v>
      </c>
      <c r="B443" s="60" t="s">
        <v>732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77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733</v>
      </c>
      <c r="B447" s="60" t="s">
        <v>734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735</v>
      </c>
      <c r="AG447" s="75"/>
      <c r="AJ447" s="79" t="s">
        <v>46</v>
      </c>
      <c r="AK447" s="79">
        <v>0</v>
      </c>
      <c r="BB447" s="53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86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736</v>
      </c>
      <c r="B451" s="60" t="s">
        <v>737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133</v>
      </c>
      <c r="L451" s="35" t="s">
        <v>46</v>
      </c>
      <c r="M451" s="36" t="s">
        <v>90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738</v>
      </c>
      <c r="AG451" s="75"/>
      <c r="AJ451" s="79" t="s">
        <v>46</v>
      </c>
      <c r="AK451" s="79">
        <v>0</v>
      </c>
      <c r="BB451" s="538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91</v>
      </c>
      <c r="L452" s="35" t="s">
        <v>46</v>
      </c>
      <c r="M452" s="36" t="s">
        <v>90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738</v>
      </c>
      <c r="AG452" s="75"/>
      <c r="AJ452" s="79" t="s">
        <v>46</v>
      </c>
      <c r="AK452" s="79">
        <v>0</v>
      </c>
      <c r="BB452" s="54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739</v>
      </c>
      <c r="B453" s="60" t="s">
        <v>741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742</v>
      </c>
      <c r="AG453" s="75"/>
      <c r="AJ453" s="79" t="s">
        <v>46</v>
      </c>
      <c r="AK453" s="79">
        <v>0</v>
      </c>
      <c r="BB453" s="54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743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744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77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745</v>
      </c>
      <c r="B459" s="60" t="s">
        <v>746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140</v>
      </c>
      <c r="L459" s="35" t="s">
        <v>46</v>
      </c>
      <c r="M459" s="36" t="s">
        <v>81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747</v>
      </c>
      <c r="AG459" s="75"/>
      <c r="AJ459" s="79" t="s">
        <v>46</v>
      </c>
      <c r="AK459" s="79">
        <v>0</v>
      </c>
      <c r="BB459" s="544" t="s">
        <v>67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748</v>
      </c>
      <c r="B460" s="60" t="s">
        <v>749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140</v>
      </c>
      <c r="L460" s="35" t="s">
        <v>46</v>
      </c>
      <c r="M460" s="36" t="s">
        <v>81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750</v>
      </c>
      <c r="AG460" s="75"/>
      <c r="AJ460" s="79" t="s">
        <v>46</v>
      </c>
      <c r="AK460" s="79">
        <v>0</v>
      </c>
      <c r="BB460" s="546" t="s">
        <v>67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751</v>
      </c>
      <c r="B461" s="60" t="s">
        <v>752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82</v>
      </c>
      <c r="L461" s="35" t="s">
        <v>46</v>
      </c>
      <c r="M461" s="36" t="s">
        <v>81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747</v>
      </c>
      <c r="AG461" s="75"/>
      <c r="AJ461" s="79" t="s">
        <v>46</v>
      </c>
      <c r="AK461" s="79">
        <v>0</v>
      </c>
      <c r="BB461" s="548" t="s">
        <v>67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753</v>
      </c>
      <c r="B462" s="60" t="s">
        <v>754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82</v>
      </c>
      <c r="L462" s="35" t="s">
        <v>46</v>
      </c>
      <c r="M462" s="36" t="s">
        <v>81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755</v>
      </c>
      <c r="AG462" s="75"/>
      <c r="AJ462" s="79" t="s">
        <v>46</v>
      </c>
      <c r="AK462" s="79">
        <v>0</v>
      </c>
      <c r="BB462" s="550" t="s">
        <v>67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758</v>
      </c>
      <c r="AG463" s="75"/>
      <c r="AJ463" s="79" t="s">
        <v>46</v>
      </c>
      <c r="AK463" s="79">
        <v>0</v>
      </c>
      <c r="BB463" s="552" t="s">
        <v>67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759</v>
      </c>
      <c r="B464" s="60" t="s">
        <v>760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755</v>
      </c>
      <c r="AG464" s="75"/>
      <c r="AJ464" s="79" t="s">
        <v>46</v>
      </c>
      <c r="AK464" s="79">
        <v>0</v>
      </c>
      <c r="BB464" s="554" t="s">
        <v>67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86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140</v>
      </c>
      <c r="L468" s="35" t="s">
        <v>46</v>
      </c>
      <c r="M468" s="36" t="s">
        <v>90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767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164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768</v>
      </c>
      <c r="B474" s="60" t="s">
        <v>769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91</v>
      </c>
      <c r="L474" s="35" t="s">
        <v>46</v>
      </c>
      <c r="M474" s="36" t="s">
        <v>81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770</v>
      </c>
      <c r="AG474" s="75"/>
      <c r="AJ474" s="79" t="s">
        <v>46</v>
      </c>
      <c r="AK474" s="79">
        <v>0</v>
      </c>
      <c r="BB474" s="560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77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771</v>
      </c>
      <c r="B478" s="60" t="s">
        <v>772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773</v>
      </c>
      <c r="AG478" s="75"/>
      <c r="AJ478" s="79" t="s">
        <v>46</v>
      </c>
      <c r="AK478" s="79">
        <v>0</v>
      </c>
      <c r="BB478" s="562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776</v>
      </c>
      <c r="AG479" s="75"/>
      <c r="AJ479" s="79" t="s">
        <v>46</v>
      </c>
      <c r="AK479" s="79">
        <v>0</v>
      </c>
      <c r="BB479" s="564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777</v>
      </c>
      <c r="B480" s="60" t="s">
        <v>778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776</v>
      </c>
      <c r="AG480" s="75"/>
      <c r="AJ480" s="79" t="s">
        <v>46</v>
      </c>
      <c r="AK480" s="79">
        <v>0</v>
      </c>
      <c r="BB480" s="566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779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779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128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780</v>
      </c>
      <c r="B486" s="60" t="s">
        <v>781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131</v>
      </c>
      <c r="AG486" s="75"/>
      <c r="AJ486" s="79" t="s">
        <v>46</v>
      </c>
      <c r="AK486" s="79">
        <v>0</v>
      </c>
      <c r="BB486" s="568" t="s">
        <v>67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782</v>
      </c>
      <c r="B487" s="60" t="s">
        <v>783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133</v>
      </c>
      <c r="L487" s="35" t="s">
        <v>46</v>
      </c>
      <c r="M487" s="36" t="s">
        <v>132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784</v>
      </c>
      <c r="AG487" s="75"/>
      <c r="AJ487" s="79" t="s">
        <v>46</v>
      </c>
      <c r="AK487" s="79">
        <v>0</v>
      </c>
      <c r="BB487" s="570" t="s">
        <v>67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785</v>
      </c>
      <c r="B488" s="60" t="s">
        <v>786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787</v>
      </c>
      <c r="AG488" s="75"/>
      <c r="AJ488" s="79" t="s">
        <v>46</v>
      </c>
      <c r="AK488" s="79">
        <v>0</v>
      </c>
      <c r="BB488" s="572" t="s">
        <v>67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788</v>
      </c>
      <c r="B489" s="60" t="s">
        <v>789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790</v>
      </c>
      <c r="AG489" s="75"/>
      <c r="AJ489" s="79" t="s">
        <v>46</v>
      </c>
      <c r="AK489" s="79">
        <v>0</v>
      </c>
      <c r="BB489" s="574" t="s">
        <v>67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791</v>
      </c>
      <c r="B490" s="60" t="s">
        <v>792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90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793</v>
      </c>
      <c r="AG490" s="75"/>
      <c r="AJ490" s="79" t="s">
        <v>46</v>
      </c>
      <c r="AK490" s="79">
        <v>0</v>
      </c>
      <c r="BB490" s="576" t="s">
        <v>67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794</v>
      </c>
      <c r="B491" s="60" t="s">
        <v>795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132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796</v>
      </c>
      <c r="AG491" s="75"/>
      <c r="AJ491" s="79" t="s">
        <v>46</v>
      </c>
      <c r="AK491" s="79">
        <v>0</v>
      </c>
      <c r="BB491" s="578" t="s">
        <v>67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131</v>
      </c>
      <c r="AG492" s="75"/>
      <c r="AJ492" s="79" t="s">
        <v>46</v>
      </c>
      <c r="AK492" s="79">
        <v>0</v>
      </c>
      <c r="BB492" s="580" t="s">
        <v>67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140</v>
      </c>
      <c r="L493" s="35" t="s">
        <v>46</v>
      </c>
      <c r="M493" s="36" t="s">
        <v>90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131</v>
      </c>
      <c r="AG493" s="75"/>
      <c r="AJ493" s="79" t="s">
        <v>46</v>
      </c>
      <c r="AK493" s="79">
        <v>0</v>
      </c>
      <c r="BB493" s="582" t="s">
        <v>67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801</v>
      </c>
      <c r="B494" s="60" t="s">
        <v>802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140</v>
      </c>
      <c r="L494" s="35" t="s">
        <v>46</v>
      </c>
      <c r="M494" s="36" t="s">
        <v>132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796</v>
      </c>
      <c r="AG494" s="75"/>
      <c r="AJ494" s="79" t="s">
        <v>46</v>
      </c>
      <c r="AK494" s="79">
        <v>0</v>
      </c>
      <c r="BB494" s="584" t="s">
        <v>67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164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803</v>
      </c>
      <c r="B498" s="60" t="s">
        <v>804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90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805</v>
      </c>
      <c r="AG498" s="75"/>
      <c r="AJ498" s="79" t="s">
        <v>46</v>
      </c>
      <c r="AK498" s="79">
        <v>0</v>
      </c>
      <c r="BB498" s="586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806</v>
      </c>
      <c r="B499" s="60" t="s">
        <v>807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91</v>
      </c>
      <c r="L499" s="35" t="s">
        <v>46</v>
      </c>
      <c r="M499" s="36" t="s">
        <v>132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805</v>
      </c>
      <c r="AG499" s="75"/>
      <c r="AJ499" s="79" t="s">
        <v>46</v>
      </c>
      <c r="AK499" s="79">
        <v>0</v>
      </c>
      <c r="BB499" s="588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808</v>
      </c>
      <c r="B500" s="60" t="s">
        <v>809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140</v>
      </c>
      <c r="L500" s="35" t="s">
        <v>46</v>
      </c>
      <c r="M500" s="36" t="s">
        <v>132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805</v>
      </c>
      <c r="AG500" s="75"/>
      <c r="AJ500" s="79" t="s">
        <v>46</v>
      </c>
      <c r="AK500" s="79">
        <v>0</v>
      </c>
      <c r="BB500" s="59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77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810</v>
      </c>
      <c r="B504" s="60" t="s">
        <v>811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133</v>
      </c>
      <c r="L504" s="35" t="s">
        <v>46</v>
      </c>
      <c r="M504" s="36" t="s">
        <v>132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812</v>
      </c>
      <c r="AG504" s="75"/>
      <c r="AJ504" s="79" t="s">
        <v>46</v>
      </c>
      <c r="AK504" s="79">
        <v>0</v>
      </c>
      <c r="BB504" s="592" t="s">
        <v>67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813</v>
      </c>
      <c r="B505" s="60" t="s">
        <v>814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133</v>
      </c>
      <c r="L505" s="35" t="s">
        <v>46</v>
      </c>
      <c r="M505" s="36" t="s">
        <v>81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815</v>
      </c>
      <c r="AG505" s="75"/>
      <c r="AJ505" s="79" t="s">
        <v>46</v>
      </c>
      <c r="AK505" s="79">
        <v>0</v>
      </c>
      <c r="BB505" s="594" t="s">
        <v>67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816</v>
      </c>
      <c r="B506" s="60" t="s">
        <v>817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133</v>
      </c>
      <c r="L506" s="35" t="s">
        <v>46</v>
      </c>
      <c r="M506" s="36" t="s">
        <v>81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818</v>
      </c>
      <c r="AG506" s="75"/>
      <c r="AJ506" s="79" t="s">
        <v>46</v>
      </c>
      <c r="AK506" s="79">
        <v>0</v>
      </c>
      <c r="BB506" s="596" t="s">
        <v>67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819</v>
      </c>
      <c r="B507" s="60" t="s">
        <v>820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140</v>
      </c>
      <c r="L507" s="35" t="s">
        <v>46</v>
      </c>
      <c r="M507" s="36" t="s">
        <v>132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812</v>
      </c>
      <c r="AG507" s="75"/>
      <c r="AJ507" s="79" t="s">
        <v>46</v>
      </c>
      <c r="AK507" s="79">
        <v>0</v>
      </c>
      <c r="BB507" s="598" t="s">
        <v>67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821</v>
      </c>
      <c r="B508" s="60" t="s">
        <v>822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815</v>
      </c>
      <c r="AG508" s="75"/>
      <c r="AJ508" s="79" t="s">
        <v>46</v>
      </c>
      <c r="AK508" s="79">
        <v>0</v>
      </c>
      <c r="BB508" s="600" t="s">
        <v>67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821</v>
      </c>
      <c r="B509" s="60" t="s">
        <v>823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815</v>
      </c>
      <c r="AG509" s="75"/>
      <c r="AJ509" s="79" t="s">
        <v>46</v>
      </c>
      <c r="AK509" s="79">
        <v>0</v>
      </c>
      <c r="BB509" s="602" t="s">
        <v>67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824</v>
      </c>
      <c r="B510" s="60" t="s">
        <v>825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818</v>
      </c>
      <c r="AG510" s="75"/>
      <c r="AJ510" s="79" t="s">
        <v>46</v>
      </c>
      <c r="AK510" s="79">
        <v>0</v>
      </c>
      <c r="BB510" s="604" t="s">
        <v>67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826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826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128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827</v>
      </c>
      <c r="B516" s="60" t="s">
        <v>828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133</v>
      </c>
      <c r="L516" s="35" t="s">
        <v>46</v>
      </c>
      <c r="M516" s="36" t="s">
        <v>132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829</v>
      </c>
      <c r="AG516" s="75"/>
      <c r="AJ516" s="79" t="s">
        <v>46</v>
      </c>
      <c r="AK516" s="79">
        <v>0</v>
      </c>
      <c r="BB516" s="606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164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133</v>
      </c>
      <c r="L520" s="35" t="s">
        <v>46</v>
      </c>
      <c r="M520" s="36" t="s">
        <v>132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832</v>
      </c>
      <c r="AG520" s="75"/>
      <c r="AJ520" s="79" t="s">
        <v>46</v>
      </c>
      <c r="AK520" s="79">
        <v>0</v>
      </c>
      <c r="BB520" s="608" t="s">
        <v>67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77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833</v>
      </c>
      <c r="B524" s="60" t="s">
        <v>834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140</v>
      </c>
      <c r="L524" s="35" t="s">
        <v>46</v>
      </c>
      <c r="M524" s="36" t="s">
        <v>81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835</v>
      </c>
      <c r="AG524" s="75"/>
      <c r="AJ524" s="79" t="s">
        <v>46</v>
      </c>
      <c r="AK524" s="79">
        <v>0</v>
      </c>
      <c r="BB524" s="610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833</v>
      </c>
      <c r="B525" s="60" t="s">
        <v>836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140</v>
      </c>
      <c r="L525" s="35" t="s">
        <v>46</v>
      </c>
      <c r="M525" s="36" t="s">
        <v>81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837</v>
      </c>
      <c r="AG525" s="75"/>
      <c r="AJ525" s="79" t="s">
        <v>46</v>
      </c>
      <c r="AK525" s="79">
        <v>0</v>
      </c>
      <c r="BB525" s="612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86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133</v>
      </c>
      <c r="L529" s="35" t="s">
        <v>46</v>
      </c>
      <c r="M529" s="36" t="s">
        <v>90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1000</v>
      </c>
      <c r="Y529" s="53">
        <f>IFERROR(IF(X529="",0,CEILING((X529/$H529),1)*$H529),"")</f>
        <v>1008</v>
      </c>
      <c r="Z529" s="39">
        <f>IFERROR(IF(Y529=0,"",ROUNDUP(Y529/H529,0)*0.01898),"")</f>
        <v>2.1257600000000001</v>
      </c>
      <c r="AA529" s="65" t="s">
        <v>46</v>
      </c>
      <c r="AB529" s="66" t="s">
        <v>46</v>
      </c>
      <c r="AC529" s="613" t="s">
        <v>840</v>
      </c>
      <c r="AG529" s="75"/>
      <c r="AJ529" s="79" t="s">
        <v>46</v>
      </c>
      <c r="AK529" s="79">
        <v>0</v>
      </c>
      <c r="BB529" s="614" t="s">
        <v>67</v>
      </c>
      <c r="BM529" s="75">
        <f>IFERROR(X529*I529/H529,"0")</f>
        <v>1054.8888888888889</v>
      </c>
      <c r="BN529" s="75">
        <f>IFERROR(Y529*I529/H529,"0")</f>
        <v>1063.328</v>
      </c>
      <c r="BO529" s="75">
        <f>IFERROR(1/J529*(X529/H529),"0")</f>
        <v>1.7361111111111112</v>
      </c>
      <c r="BP529" s="75">
        <f>IFERROR(1/J529*(Y529/H529),"0")</f>
        <v>1.75</v>
      </c>
    </row>
    <row r="530" spans="1:68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111.11111111111111</v>
      </c>
      <c r="Y530" s="41">
        <f>IFERROR(Y529/H529,"0")</f>
        <v>112</v>
      </c>
      <c r="Z530" s="41">
        <f>IFERROR(IF(Z529="",0,Z529),"0")</f>
        <v>2.1257600000000001</v>
      </c>
      <c r="AA530" s="64"/>
      <c r="AB530" s="64"/>
      <c r="AC530" s="64"/>
    </row>
    <row r="531" spans="1:68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1000</v>
      </c>
      <c r="Y531" s="41">
        <f>IFERROR(SUM(Y529:Y529),"0")</f>
        <v>1008</v>
      </c>
      <c r="Z531" s="40"/>
      <c r="AA531" s="64"/>
      <c r="AB531" s="64"/>
      <c r="AC531" s="64"/>
    </row>
    <row r="532" spans="1:68" ht="14.25" hidden="1" customHeight="1" x14ac:dyDescent="0.25">
      <c r="A532" s="691" t="s">
        <v>181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841</v>
      </c>
      <c r="B533" s="60" t="s">
        <v>842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133</v>
      </c>
      <c r="L533" s="35" t="s">
        <v>46</v>
      </c>
      <c r="M533" s="36" t="s">
        <v>90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843</v>
      </c>
      <c r="AG533" s="75"/>
      <c r="AJ533" s="79" t="s">
        <v>46</v>
      </c>
      <c r="AK533" s="79">
        <v>0</v>
      </c>
      <c r="BB533" s="616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844</v>
      </c>
      <c r="B534" s="60" t="s">
        <v>845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133</v>
      </c>
      <c r="L534" s="35" t="s">
        <v>46</v>
      </c>
      <c r="M534" s="36" t="s">
        <v>90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846</v>
      </c>
      <c r="AG534" s="75"/>
      <c r="AJ534" s="79" t="s">
        <v>46</v>
      </c>
      <c r="AK534" s="79">
        <v>0</v>
      </c>
      <c r="BB534" s="61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847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164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848</v>
      </c>
      <c r="B539" s="60" t="s">
        <v>849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133</v>
      </c>
      <c r="L539" s="35" t="s">
        <v>46</v>
      </c>
      <c r="M539" s="36" t="s">
        <v>132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850</v>
      </c>
      <c r="AG539" s="75"/>
      <c r="AJ539" s="79" t="s">
        <v>46</v>
      </c>
      <c r="AK539" s="79">
        <v>0</v>
      </c>
      <c r="BB539" s="620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17500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17527.2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18736.582716049386</v>
      </c>
      <c r="Y543" s="41">
        <f>IFERROR(SUM(BN22:BN539),"0")</f>
        <v>18765.444000000003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35</v>
      </c>
      <c r="Y544" s="42">
        <f>ROUNDUP(SUM(BP22:BP539),0)</f>
        <v>35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19611.582716049386</v>
      </c>
      <c r="Y545" s="41">
        <f>GrossWeightTotalR+PalletQtyTotalR*25</f>
        <v>19640.444000000003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4463.6087369420711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4468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39.327489999999997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76</v>
      </c>
      <c r="C549" s="80" t="s">
        <v>45</v>
      </c>
      <c r="D549" s="976" t="s">
        <v>126</v>
      </c>
      <c r="E549" s="976" t="s">
        <v>126</v>
      </c>
      <c r="F549" s="976" t="s">
        <v>126</v>
      </c>
      <c r="G549" s="976" t="s">
        <v>126</v>
      </c>
      <c r="H549" s="976" t="s">
        <v>126</v>
      </c>
      <c r="I549" s="976" t="s">
        <v>126</v>
      </c>
      <c r="J549" s="976" t="s">
        <v>126</v>
      </c>
      <c r="K549" s="976" t="s">
        <v>338</v>
      </c>
      <c r="L549" s="976" t="s">
        <v>338</v>
      </c>
      <c r="M549" s="976" t="s">
        <v>338</v>
      </c>
      <c r="N549" s="977"/>
      <c r="O549" s="976" t="s">
        <v>338</v>
      </c>
      <c r="P549" s="976" t="s">
        <v>338</v>
      </c>
      <c r="Q549" s="976" t="s">
        <v>338</v>
      </c>
      <c r="R549" s="976" t="s">
        <v>338</v>
      </c>
      <c r="S549" s="976" t="s">
        <v>338</v>
      </c>
      <c r="T549" s="976" t="s">
        <v>338</v>
      </c>
      <c r="U549" s="976" t="s">
        <v>338</v>
      </c>
      <c r="V549" s="976" t="s">
        <v>677</v>
      </c>
      <c r="W549" s="976" t="s">
        <v>677</v>
      </c>
      <c r="X549" s="976" t="s">
        <v>743</v>
      </c>
      <c r="Y549" s="976" t="s">
        <v>743</v>
      </c>
      <c r="Z549" s="80" t="s">
        <v>779</v>
      </c>
      <c r="AA549" s="976" t="s">
        <v>826</v>
      </c>
      <c r="AB549" s="976" t="s">
        <v>826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76</v>
      </c>
      <c r="C550" s="976" t="s">
        <v>110</v>
      </c>
      <c r="D550" s="976" t="s">
        <v>127</v>
      </c>
      <c r="E550" s="976" t="s">
        <v>143</v>
      </c>
      <c r="F550" s="976" t="s">
        <v>188</v>
      </c>
      <c r="G550" s="976" t="s">
        <v>209</v>
      </c>
      <c r="H550" s="976" t="s">
        <v>248</v>
      </c>
      <c r="I550" s="976" t="s">
        <v>260</v>
      </c>
      <c r="J550" s="976" t="s">
        <v>126</v>
      </c>
      <c r="K550" s="976" t="s">
        <v>339</v>
      </c>
      <c r="L550" s="976" t="s">
        <v>360</v>
      </c>
      <c r="M550" s="976" t="s">
        <v>427</v>
      </c>
      <c r="N550" s="1"/>
      <c r="O550" s="976" t="s">
        <v>495</v>
      </c>
      <c r="P550" s="976" t="s">
        <v>528</v>
      </c>
      <c r="Q550" s="976" t="s">
        <v>544</v>
      </c>
      <c r="R550" s="976" t="s">
        <v>553</v>
      </c>
      <c r="S550" s="976" t="s">
        <v>574</v>
      </c>
      <c r="T550" s="976" t="s">
        <v>583</v>
      </c>
      <c r="U550" s="976" t="s">
        <v>667</v>
      </c>
      <c r="V550" s="976" t="s">
        <v>678</v>
      </c>
      <c r="W550" s="976" t="s">
        <v>727</v>
      </c>
      <c r="X550" s="976" t="s">
        <v>744</v>
      </c>
      <c r="Y550" s="976" t="s">
        <v>767</v>
      </c>
      <c r="Z550" s="976" t="s">
        <v>779</v>
      </c>
      <c r="AA550" s="976" t="s">
        <v>826</v>
      </c>
      <c r="AB550" s="976" t="s">
        <v>847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450</v>
      </c>
      <c r="F552" s="50">
        <f>IFERROR(Y88*1,"0")+IFERROR(Y89*1,"0")+IFERROR(Y90*1,"0")+IFERROR(Y91*1,"0")+IFERROR(Y95*1,"0")+IFERROR(Y96*1,"0")+IFERROR(Y97*1,"0")+IFERROR(Y98*1,"0")</f>
        <v>1403.1000000000001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900.90000000000009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1202.4000000000001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400.8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507</v>
      </c>
      <c r="U552" s="50">
        <f>IFERROR(Y405*1,"0")+IFERROR(Y406*1,"0")+IFERROR(Y407*1,"0")</f>
        <v>5250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6405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1008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00,00"/>
        <filter val="111,11"/>
        <filter val="166,67"/>
        <filter val="17 500,00"/>
        <filter val="18 736,58"/>
        <filter val="19 611,58"/>
        <filter val="2 100,00"/>
        <filter val="2 500,00"/>
        <filter val="228,40"/>
        <filter val="26,67"/>
        <filter val="3 150,00"/>
        <filter val="35"/>
        <filter val="4 463,61"/>
        <filter val="400,00"/>
        <filter val="450,00"/>
        <filter val="5 250,00"/>
        <filter val="500,00"/>
        <filter val="6 000,00"/>
        <filter val="64,10"/>
        <filter val="950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1" t="s">
        <v>852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854</v>
      </c>
      <c r="C6" s="51" t="s">
        <v>855</v>
      </c>
      <c r="D6" s="51" t="s">
        <v>856</v>
      </c>
      <c r="E6" s="51" t="s">
        <v>46</v>
      </c>
    </row>
    <row r="7" spans="2:8" x14ac:dyDescent="0.2">
      <c r="B7" s="51" t="s">
        <v>857</v>
      </c>
      <c r="C7" s="51" t="s">
        <v>858</v>
      </c>
      <c r="D7" s="51" t="s">
        <v>859</v>
      </c>
      <c r="E7" s="51" t="s">
        <v>46</v>
      </c>
    </row>
    <row r="9" spans="2:8" x14ac:dyDescent="0.2">
      <c r="B9" s="51" t="s">
        <v>860</v>
      </c>
      <c r="C9" s="51" t="s">
        <v>855</v>
      </c>
      <c r="D9" s="51" t="s">
        <v>46</v>
      </c>
      <c r="E9" s="51" t="s">
        <v>46</v>
      </c>
    </row>
    <row r="11" spans="2:8" x14ac:dyDescent="0.2">
      <c r="B11" s="51" t="s">
        <v>860</v>
      </c>
      <c r="C11" s="51" t="s">
        <v>858</v>
      </c>
      <c r="D11" s="51" t="s">
        <v>46</v>
      </c>
      <c r="E11" s="51" t="s">
        <v>46</v>
      </c>
    </row>
    <row r="13" spans="2:8" x14ac:dyDescent="0.2">
      <c r="B13" s="51" t="s">
        <v>861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