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1F96DC-77A6-431C-A701-5737EC3860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61" i="2" l="1"/>
  <c r="BN284" i="2"/>
  <c r="BN364" i="2"/>
  <c r="BN115" i="2"/>
  <c r="BN259" i="2"/>
  <c r="BN290" i="2"/>
  <c r="BN389" i="2"/>
  <c r="Z428" i="2"/>
  <c r="BN457" i="2"/>
  <c r="BN28" i="2"/>
  <c r="BN82" i="2"/>
  <c r="Z134" i="2"/>
  <c r="BP264" i="2"/>
  <c r="BN515" i="2"/>
  <c r="Z90" i="2"/>
  <c r="Y262" i="2"/>
  <c r="Z328" i="2"/>
  <c r="Z182" i="2"/>
  <c r="Z280" i="2"/>
  <c r="BN155" i="2"/>
  <c r="Z373" i="2"/>
  <c r="Y55" i="2"/>
  <c r="BN186" i="2"/>
  <c r="Z264" i="2"/>
  <c r="Z266" i="2" s="1"/>
  <c r="BN214" i="2"/>
  <c r="BN304" i="2"/>
  <c r="BN231" i="2"/>
  <c r="BN402" i="2"/>
  <c r="BP127" i="2"/>
  <c r="Z173" i="2"/>
  <c r="Z320" i="2"/>
  <c r="BN373" i="2"/>
  <c r="BN396" i="2"/>
  <c r="BN416" i="2"/>
  <c r="BN463" i="2"/>
  <c r="Y151" i="2"/>
  <c r="Z167" i="2"/>
  <c r="BN498" i="2"/>
  <c r="BN30" i="2"/>
  <c r="Z192" i="2"/>
  <c r="BP202" i="2"/>
  <c r="BN288" i="2"/>
  <c r="BN446" i="2"/>
  <c r="BN472" i="2"/>
  <c r="Z35" i="2"/>
  <c r="Z36" i="2" s="1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24" i="2" s="1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59" i="2"/>
  <c r="Z338" i="2"/>
  <c r="Z32" i="2"/>
  <c r="Z150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<sst xmlns="http://schemas.openxmlformats.org/spreadsheetml/2006/main" count="4194" uniqueCount="891">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</sst>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46231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0.58333333333333337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100</v>
      </c>
      <c r="Y424" s="55">
        <f t="shared" si="52"/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103.13333333333334</v>
      </c>
      <c r="BN424" s="78">
        <f t="shared" si="54"/>
        <v>108.29</v>
      </c>
      <c r="BO424" s="78">
        <f t="shared" si="55"/>
        <v>0.1388888888888889</v>
      </c>
      <c r="BP424" s="78">
        <f t="shared" si="56"/>
        <v>0.14583333333333331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100</v>
      </c>
      <c r="Y426" s="55">
        <f t="shared" si="52"/>
        <v>105</v>
      </c>
      <c r="Z426" s="41">
        <f>IFERROR(IF(Y426=0,"",ROUNDUP(Y426/H426,0)*0.02175),"")</f>
        <v>0.15225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103.13333333333334</v>
      </c>
      <c r="BN426" s="78">
        <f t="shared" si="54"/>
        <v>108.29</v>
      </c>
      <c r="BO426" s="78">
        <f t="shared" si="55"/>
        <v>0.1388888888888889</v>
      </c>
      <c r="BP426" s="78">
        <f t="shared" si="56"/>
        <v>0.14583333333333331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13.333333333333334</v>
      </c>
      <c r="Y431" s="43">
        <f>IFERROR(Y423/H423,"0")+IFERROR(Y424/H424,"0")+IFERROR(Y425/H425,"0")+IFERROR(Y426/H426,"0")+IFERROR(Y427/H427,"0")+IFERROR(Y428/H428,"0")+IFERROR(Y429/H429,"0")+IFERROR(Y430/H430,"0")</f>
        <v>14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0.30449999999999999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200</v>
      </c>
      <c r="Y432" s="43">
        <f>IFERROR(SUM(Y423:Y430),"0")</f>
        <v>210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206.26666666666668</v>
      </c>
      <c r="Y552" s="43">
        <f>IFERROR(SUM(BN22:BN548),"0")</f>
        <v>216.58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231.26666666666668</v>
      </c>
      <c r="Y554" s="43">
        <f>GrossWeightTotalR+PalletQtyTotalR*25</f>
        <v>241.58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13.333333333333334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0.30449999999999999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13,33"/>
        <filter val="200,00"/>
        <filter val="206,27"/>
        <filter val="231,27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2026-07-29T05:51:27Z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