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AE3FC7A-131F-4F0C-BBB2-6CB3259C1F5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Z526" i="2"/>
  <c r="Z527" i="2" s="1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Z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Z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P202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P187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Z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Y137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BN284" i="2" l="1"/>
  <c r="BN389" i="2"/>
  <c r="BN463" i="2"/>
  <c r="BN515" i="2"/>
  <c r="BN30" i="2"/>
  <c r="Z31" i="2"/>
  <c r="Y79" i="2"/>
  <c r="BN82" i="2"/>
  <c r="BN148" i="2"/>
  <c r="Z156" i="2"/>
  <c r="Z173" i="2"/>
  <c r="Z185" i="2"/>
  <c r="Z231" i="2"/>
  <c r="BN231" i="2"/>
  <c r="Y262" i="2"/>
  <c r="BN264" i="2"/>
  <c r="Z270" i="2"/>
  <c r="BN288" i="2"/>
  <c r="Z302" i="2"/>
  <c r="Z363" i="2"/>
  <c r="BN364" i="2"/>
  <c r="BN416" i="2"/>
  <c r="Z428" i="2"/>
  <c r="BN446" i="2"/>
  <c r="BN457" i="2"/>
  <c r="Y532" i="2"/>
  <c r="BN517" i="2"/>
  <c r="Z504" i="2"/>
  <c r="BN498" i="2"/>
  <c r="BN473" i="2"/>
  <c r="BN472" i="2"/>
  <c r="Z472" i="2"/>
  <c r="BN470" i="2"/>
  <c r="Z457" i="2"/>
  <c r="Z458" i="2" s="1"/>
  <c r="Y458" i="2"/>
  <c r="BN441" i="2"/>
  <c r="BN429" i="2"/>
  <c r="BP428" i="2"/>
  <c r="Z425" i="2"/>
  <c r="BN424" i="2"/>
  <c r="Y412" i="2"/>
  <c r="Z402" i="2"/>
  <c r="BN402" i="2"/>
  <c r="BN396" i="2"/>
  <c r="BN383" i="2"/>
  <c r="BN374" i="2"/>
  <c r="BN373" i="2"/>
  <c r="Z373" i="2"/>
  <c r="BN368" i="2"/>
  <c r="Z364" i="2"/>
  <c r="BP363" i="2"/>
  <c r="Y360" i="2"/>
  <c r="BN358" i="2"/>
  <c r="BN351" i="2"/>
  <c r="Z346" i="2"/>
  <c r="Z336" i="2"/>
  <c r="Z328" i="2"/>
  <c r="Y323" i="2"/>
  <c r="Z320" i="2"/>
  <c r="Z304" i="2"/>
  <c r="BP304" i="2"/>
  <c r="Z290" i="2"/>
  <c r="BN290" i="2"/>
  <c r="BP283" i="2"/>
  <c r="Z280" i="2"/>
  <c r="BN274" i="2"/>
  <c r="BP273" i="2"/>
  <c r="Z273" i="2"/>
  <c r="Z264" i="2"/>
  <c r="BN259" i="2"/>
  <c r="Z250" i="2"/>
  <c r="Z244" i="2"/>
  <c r="BN235" i="2"/>
  <c r="Z230" i="2"/>
  <c r="BN226" i="2"/>
  <c r="BN214" i="2"/>
  <c r="BN209" i="2"/>
  <c r="Z192" i="2"/>
  <c r="BN186" i="2"/>
  <c r="BP185" i="2"/>
  <c r="Z167" i="2"/>
  <c r="Z157" i="2"/>
  <c r="Y158" i="2"/>
  <c r="BN155" i="2"/>
  <c r="Y151" i="2"/>
  <c r="Z134" i="2"/>
  <c r="Z132" i="2"/>
  <c r="BN132" i="2"/>
  <c r="Y128" i="2"/>
  <c r="BP127" i="2"/>
  <c r="Z122" i="2"/>
  <c r="BN120" i="2"/>
  <c r="BN115" i="2"/>
  <c r="Z113" i="2"/>
  <c r="BN106" i="2"/>
  <c r="F561" i="2"/>
  <c r="Z90" i="2"/>
  <c r="BN77" i="2"/>
  <c r="BN72" i="2"/>
  <c r="BN61" i="2"/>
  <c r="Z59" i="2"/>
  <c r="Y55" i="2"/>
  <c r="Z43" i="2"/>
  <c r="X555" i="2"/>
  <c r="Y37" i="2"/>
  <c r="BP35" i="2"/>
  <c r="Z35" i="2"/>
  <c r="Z36" i="2" s="1"/>
  <c r="BN28" i="2"/>
  <c r="Y25" i="2"/>
  <c r="Z22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Z292" i="2" s="1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338" i="2"/>
  <c r="Z277" i="2"/>
  <c r="Z464" i="2"/>
  <c r="Z150" i="2"/>
  <c r="Z117" i="2"/>
  <c r="Z24" i="2"/>
  <c r="Z480" i="2"/>
  <c r="Z411" i="2"/>
  <c r="Z245" i="2"/>
  <c r="Z158" i="2"/>
  <c r="Z475" i="2"/>
  <c r="Z418" i="2"/>
  <c r="Z386" i="2"/>
  <c r="Z215" i="2"/>
  <c r="X554" i="2"/>
  <c r="Z32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<sst xmlns="http://schemas.openxmlformats.org/spreadsheetml/2006/main" count="4194" uniqueCount="891">
  <si>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</si>
  <si>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</si>
  <si>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</si>
  <si>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</si>
  <si>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</si>
  <si>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</si>
  <si>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</si>
  <si>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</si>
  <si>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</si>
  <si>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</si>
  <si>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</si>
  <si>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</si>
  <si>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</si>
  <si>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</si>
  <si>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</si>
  <si>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</si>
  <si>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</si>
  <si>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</si>
  <si>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</si>
  <si>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</si>
  <si>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</si>
  <si>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</si>
  <si>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</si>
  <si>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</si>
  <si>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</si>
  <si>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</si>
  <si>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</si>
  <si>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</si>
  <si>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</si>
  <si>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</si>
  <si>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</si>
  <si>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</si>
  <si>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</si>
  <si>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</si>
  <si>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</si>
  <si>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</si>
  <si>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</si>
  <si>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</si>
  <si>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</si>
  <si>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</si>
  <si>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</si>
  <si>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</si>
  <si>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</si>
  <si>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</si>
  <si>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</si>
  <si>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</si>
  <si>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</si>
  <si>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</si>
  <si>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</si>
  <si>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</si>
  <si>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</si>
  <si>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</si>
  <si>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</si>
  <si>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</si>
  <si>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</si>
  <si>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</si>
  <si>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</si>
  <si>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</si>
  <si>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</si>
  <si>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</si>
  <si>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</si>
  <si>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</si>
  <si>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</si>
  <si>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</si>
  <si>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</si>
  <si>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</si>
  <si>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</si>
  <si>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</si>
  <si>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</si>
  <si>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</si>
  <si>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</si>
  <si>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</si>
  <si>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</si>
  <si>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</si>
  <si>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</si>
  <si>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</si>
  <si>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</si>
  <si>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</si>
  <si>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</si>
  <si>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</si>
  <si>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</si>
  <si>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</si>
  <si>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</si>
  <si>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</si>
  <si>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</si>
  <si>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</si>
  <si>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</si>
  <si>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</si>
  <si>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</si>
  <si>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</si>
  <si>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</si>
  <si>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</si>
  <si>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</si>
  <si>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</si>
  <si>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</si>
  <si>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</si>
  <si>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</si>
  <si>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</si>
  <si>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</si>
  <si>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</si>
  <si>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</si>
  <si>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</si>
  <si>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</si>
  <si>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</si>
  <si>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</si>
  <si>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</si>
  <si>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</si>
  <si>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</si>
  <si>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</si>
  <si>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</si>
  <si>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</si>
  <si>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</si>
  <si>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</si>
  <si>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</si>
  <si>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</si>
  <si>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</si>
  <si>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</si>
  <si>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</si>
  <si>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</si>
  <si>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</si>
  <si>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</si>
  <si>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</si>
  <si>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</si>
  <si>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</si>
  <si>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</si>
  <si>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</si>
  <si>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</si>
  <si>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</si>
  <si>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</si>
  <si>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</si>
  <si>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</si>
  <si>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</si>
  <si>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</si>
  <si>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</si>
  <si>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</si>
  <si>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</si>
  <si>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</si>
  <si>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</si>
  <si>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</si>
  <si>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</si>
  <si>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</si>
  <si>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</si>
  <si>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</si>
  <si>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</si>
  <si>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</si>
  <si>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</si>
  <si>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</si>
  <si>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</si>
  <si>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</si>
  <si>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</si>
  <si>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</si>
  <si>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</si>
  <si>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</si>
  <si>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</si>
  <si>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</si>
  <si>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</si>
  <si>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</si>
  <si>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</si>
  <si>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</si>
  <si>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</si>
  <si>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</si>
  <si>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</si>
  <si>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</si>
  <si>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</si>
  <si>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</si>
  <si>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</si>
  <si>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</si>
  <si>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</si>
  <si>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</si>
  <si>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</si>
  <si>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</si>
  <si>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</si>
  <si>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</si>
  <si>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</si>
  <si>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</si>
  <si>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</si>
  <si>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</si>
  <si>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</si>
  <si>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</si>
  <si>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</si>
  <si>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</si>
  <si>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</si>
  <si>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</si>
  <si>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</si>
  <si>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</si>
  <si>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</si>
  <si>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</si>
  <si>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</si>
  <si>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</si>
  <si>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</si>
  <si>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</si>
  <si>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</si>
  <si>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</si>
  <si>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</si>
  <si>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</si>
  <si>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</si>
  <si>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</si>
  <si>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</si>
  <si>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</si>
  <si>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</si>
  <si>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</si>
  <si>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</si>
  <si>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</si>
  <si>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</si>
  <si>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</si>
  <si>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</si>
  <si>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</si>
  <si>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</si>
  <si>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</si>
  <si>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</si>
  <si>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</si>
  <si>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</si>
  <si>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</si>
  <si>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</si>
  <si>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</si>
  <si>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</si>
  <si>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</si>
  <si>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</si>
  <si>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</si>
  <si>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</si>
  <si>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</si>
  <si>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</si>
  <si>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</si>
  <si>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</si>
  <si>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</si>
  <si>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</si>
  <si>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</si>
  <si>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</si>
  <si>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</si>
  <si>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</si>
  <si>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</si>
  <si>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</si>
  <si>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</si>
  <si>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</si>
  <si>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</si>
  <si>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</si>
  <si>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</si>
  <si>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</si>
  <si>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</si>
  <si>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</si>
  <si>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</si>
  <si>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</si>
  <si>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</si>
  <si>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</si>
  <si>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</si>
  <si>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</si>
  <si>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</si>
  <si>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</si>
  <si>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</si>
  <si>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</si>
  <si>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</si>
  <si>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</si>
  <si>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</si>
  <si>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</si>
  <si>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</si>
  <si>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</si>
  <si>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</si>
  <si>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</si>
  <si>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</si>
  <si>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</si>
  <si>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</si>
  <si>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</si>
  <si>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</si>
  <si>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</si>
  <si>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</si>
  <si>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</si>
  <si>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</si>
  <si>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</si>
  <si>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</si>
  <si>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</si>
  <si>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</si>
  <si>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</si>
  <si>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</si>
  <si>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</si>
  <si>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</si>
  <si>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</si>
  <si>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</si>
  <si>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</si>
  <si>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</si>
  <si>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</si>
  <si>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</si>
  <si>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</si>
  <si>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</si>
  <si>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</si>
  <si>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</si>
  <si>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</si>
  <si>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</si>
  <si>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</si>
  <si>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</si>
  <si>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</si>
  <si>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</si>
  <si>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</si>
  <si>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</si>
  <si>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</si>
  <si>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</si>
  <si>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</si>
  <si>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</si>
  <si>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</si>
  <si>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</si>
  <si>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</si>
  <si>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</si>
  <si>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</si>
  <si>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</si>
  <si>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</si>
  <si>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</si>
  <si>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</si>
  <si>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</si>
  <si>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</si>
  <si>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</si>
  <si>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</si>
  <si>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</si>
  <si>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</si>
  <si>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</si>
  <si>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</si>
  <si>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</si>
  <si>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</si>
  <si>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</si>
  <si>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</si>
  <si>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</si>
  <si>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</si>
  <si>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</si>
  <si>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</si>
  <si>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</si>
  <si>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</si>
  <si>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</si>
  <si>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</si>
  <si>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</si>
  <si>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</si>
  <si>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</si>
  <si>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</si>
  <si>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</si>
  <si>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</si>
  <si>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</si>
  <si>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</si>
  <si>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</si>
  <si>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</si>
  <si>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</si>
  <si>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</si>
  <si>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</si>
  <si>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</si>
  <si>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</si>
  <si>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</si>
  <si>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</si>
  <si>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</si>
  <si>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</si>
  <si>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</si>
  <si>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</si>
  <si>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</si>
  <si>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</si>
  <si>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</si>
  <si>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</si>
  <si>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</si>
  <si>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</si>
  <si>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</si>
  <si>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</si>
  <si>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</si>
  <si>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</si>
  <si>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</si>
  <si>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</si>
  <si>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</si>
  <si>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</si>
  <si>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</si>
  <si>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</si>
  <si>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</si>
  <si>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</si>
  <si>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</si>
  <si>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</si>
  <si>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</si>
  <si>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</si>
  <si>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</si>
  <si>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</si>
  <si>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</si>
  <si>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</si>
  <si>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</si>
  <si>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</si>
  <si>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</si>
  <si>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</si>
  <si>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</si>
  <si>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</si>
  <si>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</si>
  <si>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</si>
  <si>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</si>
  <si>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</si>
  <si>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</si>
  <si>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</si>
  <si>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</si>
  <si>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</si>
  <si>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</si>
  <si>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</si>
  <si>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</si>
  <si>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</si>
  <si>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</si>
  <si>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</si>
  <si>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</si>
  <si>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</si>
  <si>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</si>
  <si>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</si>
  <si>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</si>
  <si>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</si>
  <si>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</si>
  <si>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</si>
  <si>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</si>
  <si>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</si>
  <si>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</si>
  <si>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</si>
  <si>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</si>
  <si>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</si>
  <si>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</si>
  <si>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</si>
  <si>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</si>
  <si>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</si>
  <si>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</si>
  <si>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</si>
  <si>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</si>
  <si>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</si>
  <si>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</si>
  <si>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</si>
  <si>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</si>
  <si>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</si>
  <si>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</si>
  <si>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</si>
  <si>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</si>
  <si>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</si>
  <si>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</si>
  <si>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</si>
  <si>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</si>
  <si>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</si>
  <si>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</si>
  <si>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</si>
  <si>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</si>
  <si>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</si>
  <si>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</si>
  <si>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</si>
  <si>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</si>
  <si>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</si>
  <si>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</si>
  <si>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</si>
  <si>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</si>
  <si>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</si>
  <si>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</si>
  <si>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</si>
  <si>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</si>
  <si>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</si>
  <si>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</si>
  <si>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</si>
  <si>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</si>
  <si>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</si>
  <si>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</si>
  <si>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</si>
  <si>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</si>
  <si>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</si>
  <si>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</si>
  <si>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</si>
  <si>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</si>
  <si>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</si>
  <si>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</si>
  <si>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</si>
  <si>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</si>
  <si>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</si>
  <si>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</si>
  <si>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</si>
  <si>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</si>
  <si>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</si>
  <si>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</si>
  <si>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</si>
  <si>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</si>
  <si>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</si>
  <si>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</si>
  <si>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</si>
  <si>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</si>
  <si>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</si>
  <si>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</si>
  <si>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</si>
  <si>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</si>
  <si>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</si>
  <si>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</si>
  <si>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</si>
  <si>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</si>
  <si>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</si>
  <si>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</si>
  <si>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</si>
  <si>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</si>
  <si>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</si>
  <si>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</si>
  <si>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</si>
  <si>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</si>
  <si>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</si>
  <si>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</si>
  <si>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</si>
  <si>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</si>
  <si>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</si>
  <si>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</si>
  <si>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</si>
  <si>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</si>
  <si>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</si>
  <si>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</si>
  <si>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</si>
  <si>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</si>
  <si>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</si>
  <si>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</si>
  <si>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</si>
  <si>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</si>
  <si>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</si>
  <si>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</si>
  <si>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</si>
  <si>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</si>
  <si>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</si>
  <si>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</si>
  <si>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</si>
  <si>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</si>
  <si>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</si>
  <si>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</si>
  <si>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</si>
  <si>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</si>
  <si>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</si>
  <si>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</si>
  <si>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</si>
  <si>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</si>
  <si>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</si>
  <si>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</si>
  <si>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</si>
  <si>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</si>
  <si>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</si>
  <si>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</si>
  <si>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</si>
  <si>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</si>
  <si>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</si>
  <si>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</si>
  <si>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</si>
  <si>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</si>
  <si>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</si>
  <si>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</si>
  <si>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</si>
  <si>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</si>
  <si>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</si>
  <si>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</si>
  <si>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</si>
  <si>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</si>
  <si>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</si>
  <si>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</si>
  <si>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</si>
  <si>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</si>
  <si>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</si>
  <si>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</si>
  <si>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</si>
  <si>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</si>
  <si>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</si>
  <si>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</si>
  <si>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</si>
  <si>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</si>
  <si>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</si>
  <si>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</si>
  <si>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</si>
  <si>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</si>
  <si>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</si>
  <si>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</si>
  <si>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</si>
  <si>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</si>
  <si>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</si>
  <si>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</si>
  <si>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</si>
  <si>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</si>
  <si>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</si>
  <si>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</si>
  <si>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</si>
  <si>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</si>
  <si>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</si>
  <si>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</si>
  <si>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</si>
  <si>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</si>
  <si>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</si>
  <si>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</si>
  <si>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</si>
  <si>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</si>
  <si>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</si>
  <si>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</si>
  <si>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</si>
  <si>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</si>
  <si>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</si>
  <si>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</si>
  <si>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</si>
  <si>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</si>
  <si>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</si>
  <si>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</si>
  <si>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</si>
  <si>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</si>
  <si>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</si>
  <si>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</si>
  <si>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</si>
  <si>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</si>
  <si>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</si>
  <si>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</si>
  <si>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</si>
  <si>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</si>
  <si>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</si>
  <si>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</si>
  <si>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</si>
  <si>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</si>
  <si>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</si>
  <si>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</si>
  <si>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</si>
  <si>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</si>
  <si>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</si>
  <si>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</si>
  <si>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</si>
  <si>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</si>
  <si>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</si>
  <si>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</si>
  <si>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</si>
  <si>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</si>
  <si>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</si>
  <si>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</si>
  <si>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</si>
  <si>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</si>
  <si>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</si>
  <si>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</si>
  <si>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</si>
  <si>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</si>
  <si>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</si>
  <si>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</si>
  <si>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</si>
  <si>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</si>
  <si>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</si>
  <si>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</si>
  <si>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</si>
  <si>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</si>
  <si>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</si>
  <si>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</si>
  <si>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</si>
  <si>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</si>
  <si>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</si>
  <si>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</si>
  <si>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</si>
  <si>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</si>
  <si>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</si>
  <si>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</si>
  <si>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</si>
  <si>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</si>
  <si>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</si>
  <si>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</si>
  <si>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</si>
  <si>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</si>
  <si>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</si>
  <si>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</si>
  <si>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</si>
  <si>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</si>
  <si>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</si>
  <si>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</si>
  <si>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</si>
  <si>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</si>
  <si>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</si>
  <si>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</si>
  <si>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</si>
  <si>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</si>
  <si>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</si>
  <si>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</si>
  <si>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</si>
  <si>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</si>
  <si>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</si>
  <si>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</si>
  <si>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</si>
  <si>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</si>
  <si>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</si>
  <si>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</si>
  <si>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</si>
  <si>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</si>
  <si>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</si>
  <si>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</si>
  <si>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</si>
  <si>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</si>
  <si>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</si>
  <si>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</si>
  <si>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</si>
  <si>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</si>
  <si>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</si>
  <si>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</si>
  <si>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</si>
  <si>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</si>
  <si>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</si>
  <si>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</si>
  <si>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</si>
  <si>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</si>
  <si>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</si>
  <si>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</si>
  <si>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</si>
  <si>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</si>
  <si>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</si>
  <si>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</si>
  <si>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</si>
  <si>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</si>
  <si>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</si>
  <si>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</si>
  <si>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</si>
  <si>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</si>
  <si>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</si>
  <si>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</si>
  <si>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</si>
  <si>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</si>
  <si>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</si>
  <si>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</si>
  <si>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</si>
  <si>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</si>
  <si>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</si>
  <si>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</si>
  <si>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</si>
  <si>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</si>
  <si>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</si>
  <si>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</si>
  <si>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</si>
  <si>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</si>
  <si>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</si>
  <si>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</si>
  <si>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</si>
  <si>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</si>
  <si>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</si>
  <si>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</si>
  <si>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</si>
  <si>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</si>
  <si>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</si>
  <si>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</si>
  <si>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</si>
  <si>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</si>
  <si>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</si>
  <si>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</si>
  <si>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</si>
  <si>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</si>
  <si>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</si>
  <si>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</si>
  <si>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</si>
  <si>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</si>
  <si>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</si>
  <si>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</si>
  <si>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</si>
  <si>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</si>
  <si>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</si>
  <si>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</si>
  <si>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</si>
  <si>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</si>
  <si>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</si>
  <si>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</si>
  <si>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</si>
  <si>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</si>
  <si>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</si>
  <si>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</si>
  <si>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</si>
  <si>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</si>
  <si>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</si>
  <si>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</si>
  <si>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</si>
  <si>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</si>
  <si>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</si>
  <si>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</si>
  <si>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</si>
  <si>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</si>
  <si>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</si>
  <si>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</si>
  <si>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</si>
  <si>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</si>
  <si>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</si>
  <si>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</si>
  <si>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</si>
  <si>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</si>
  <si>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</si>
  <si>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</si>
  <si>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</si>
  <si>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</si>
  <si>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</si>
  <si>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</si>
  <si>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</si>
  <si>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</si>
  <si>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</si>
  <si>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</si>
  <si>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</si>
  <si>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</si>
  <si>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</si>
  <si>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</si>
  <si>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</si>
  <si>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</si>
  <si>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</si>
  <si>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</si>
  <si>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</si>
  <si>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</si>
  <si>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</si>
  <si>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</si>
  <si>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</si>
  <si>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</si>
  <si>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</si>
  <si>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</si>
  <si>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</si>
  <si>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</si>
  <si>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</si>
  <si>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</si>
  <si>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</si>
  <si>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</si>
  <si>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</si>
  <si>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</si>
  <si>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</si>
  <si>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</si>
  <si>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</si>
  <si>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</si>
  <si>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</si>
  <si>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</si>
  <si>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</si>
  <si>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</si>
  <si>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</si>
  <si>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</si>
  <si>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</si>
  <si>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</si>
  <si>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</si>
  <si>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</si>
  <si>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</si>
  <si>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</si>
  <si>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</si>
  <si>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</si>
  <si>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</si>
  <si>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</si>
  <si>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</si>
  <si>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</si>
  <si>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</si>
  <si>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</si>
  <si>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</si>
  <si>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</si>
  <si>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</si>
  <si>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</si>
  <si>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</si>
  <si>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</si>
  <si>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</si>
  <si>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</si>
  <si>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</si>
  <si>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</si>
  <si>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</si>
  <si>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</si>
  <si>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</si>
  <si>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</si>
  <si>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</si>
  <si>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</si>
  <si>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</si>
  <si>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</si>
  <si>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</si>
  <si>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</si>
  <si>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</si>
  <si>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</si>
  <si>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</si>
  <si>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</si>
  <si>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</si>
  <si>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</si>
  <si>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</si>
  <si>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</si>
  <si>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</si>
  <si>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</si>
  <si>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</si>
  <si>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</si>
  <si>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</si>
  <si>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</si>
  <si>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</si>
  <si>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</si>
  <si>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</si>
  <si>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</si>
  <si>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</si>
  <si>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</si>
  <si>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</si>
  <si>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</si>
  <si>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</si>
  <si>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</si>
  <si>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</si>
  <si>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</si>
  <si>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</si>
  <si>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</si>
  <si>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</si>
  <si>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</si>
  <si>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</si>
  <si>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</si>
  <si>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</si>
  <si>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</si>
  <si>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</si>
  <si>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</si>
  <si>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</si>
  <si>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</si>
  <si>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</si>
  <si>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</si>
  <si>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</si>
  <si>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</si>
  <si>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</si>
  <si>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</si>
  <si>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</si>
  <si>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</si>
  <si>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</si>
  <si>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</si>
  <si>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</si>
  <si>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</si>
  <si>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просьба Бегебы по Халялю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</si>
</sst>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132" sqref="AA13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46231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872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Вторник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0.58333333333333337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400</v>
      </c>
      <c r="Y132" s="55">
        <f>IFERROR(IF(X132="",0,CEILING((X132/$H132),1)*$H132),"")</f>
        <v>402</v>
      </c>
      <c r="Z132" s="41">
        <f>IFERROR(IF(Y132=0,"",ROUNDUP(Y132/H132,0)*0.01196),"")</f>
        <v>0.80132000000000003</v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425.33333333333331</v>
      </c>
      <c r="BN132" s="78">
        <f>IFERROR(Y132*I132/H132,"0")</f>
        <v>427.46</v>
      </c>
      <c r="BO132" s="78">
        <f>IFERROR(1/J132*(X132/H132),"0")</f>
        <v>0.64102564102564108</v>
      </c>
      <c r="BP132" s="78">
        <f>IFERROR(1/J132*(Y132/H132),"0")</f>
        <v>0.64423076923076927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400</v>
      </c>
      <c r="Y133" s="55">
        <f>IFERROR(IF(X133="",0,CEILING((X133/$H133),1)*$H133),"")</f>
        <v>400</v>
      </c>
      <c r="Z133" s="41">
        <f>IFERROR(IF(Y133=0,"",ROUNDUP(Y133/H133,0)*0.00902),"")</f>
        <v>1.1274999999999999</v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428.75</v>
      </c>
      <c r="BN133" s="78">
        <f>IFERROR(Y133*I133/H133,"0")</f>
        <v>428.75</v>
      </c>
      <c r="BO133" s="78">
        <f>IFERROR(1/J133*(X133/H133),"0")</f>
        <v>0.94696969696969702</v>
      </c>
      <c r="BP133" s="78">
        <f>IFERROR(1/J133*(Y133/H133),"0")</f>
        <v>0.94696969696969702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191.66666666666669</v>
      </c>
      <c r="Y136" s="43">
        <f>IFERROR(Y132/H132,"0")+IFERROR(Y133/H133,"0")+IFERROR(Y134/H134,"0")+IFERROR(Y135/H135,"0")</f>
        <v>192</v>
      </c>
      <c r="Z136" s="43">
        <f>IFERROR(IF(Z132="",0,Z132),"0")+IFERROR(IF(Z133="",0,Z133),"0")+IFERROR(IF(Z134="",0,Z134),"0")+IFERROR(IF(Z135="",0,Z135),"0")</f>
        <v>1.92882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800</v>
      </c>
      <c r="Y137" s="43">
        <f>IFERROR(SUM(Y132:Y135),"0")</f>
        <v>802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400</v>
      </c>
      <c r="Y139" s="55">
        <f>IFERROR(IF(X139="",0,CEILING((X139/$H139),1)*$H139),"")</f>
        <v>403.20000000000005</v>
      </c>
      <c r="Z139" s="41">
        <f>IFERROR(IF(Y139=0,"",ROUNDUP(Y139/H139,0)*0.01196),"")</f>
        <v>1.1481600000000001</v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436.19047619047615</v>
      </c>
      <c r="BN139" s="78">
        <f>IFERROR(Y139*I139/H139,"0")</f>
        <v>439.68</v>
      </c>
      <c r="BO139" s="78">
        <f>IFERROR(1/J139*(X139/H139),"0")</f>
        <v>0.91575091575091583</v>
      </c>
      <c r="BP139" s="78">
        <f>IFERROR(1/J139*(Y139/H139),"0")</f>
        <v>0.92307692307692313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95.238095238095241</v>
      </c>
      <c r="Y143" s="43">
        <f>IFERROR(Y139/H139,"0")+IFERROR(Y140/H140,"0")+IFERROR(Y141/H141,"0")+IFERROR(Y142/H142,"0")</f>
        <v>96</v>
      </c>
      <c r="Z143" s="43">
        <f>IFERROR(IF(Z139="",0,Z139),"0")+IFERROR(IF(Z140="",0,Z140),"0")+IFERROR(IF(Z141="",0,Z141),"0")+IFERROR(IF(Z142="",0,Z142),"0")</f>
        <v>1.1481600000000001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400</v>
      </c>
      <c r="Y144" s="43">
        <f>IFERROR(SUM(Y139:Y142),"0")</f>
        <v>403.20000000000005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1200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1205.2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1290.2738095238094</v>
      </c>
      <c r="Y552" s="43">
        <f>IFERROR(SUM(BN22:BN548),"0")</f>
        <v>1295.8900000000001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</v>
      </c>
      <c r="Y553" s="44">
        <f>ROUNDUP(SUM(BP22:BP548),0)</f>
        <v>3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1365.2738095238094</v>
      </c>
      <c r="Y554" s="43">
        <f>GrossWeightTotalR+PalletQtyTotalR*25</f>
        <v>1370.89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286.90476190476193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288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3.0769799999999998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1205.2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90,27"/>
        <filter val="1 365,27"/>
        <filter val="191,67"/>
        <filter val="286,90"/>
        <filter val="3"/>
        <filter val="400,00"/>
        <filter val="800,00"/>
        <filter val="95,24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2026-07-27T09:30:35Z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