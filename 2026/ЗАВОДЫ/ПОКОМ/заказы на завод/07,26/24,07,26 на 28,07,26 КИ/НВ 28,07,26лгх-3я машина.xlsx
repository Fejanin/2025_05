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C0819E-2BE0-4AC6-B11C-55F97006D29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Y534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Y527" i="1" s="1"/>
  <c r="P525" i="1"/>
  <c r="X521" i="1"/>
  <c r="X520" i="1"/>
  <c r="BO519" i="1"/>
  <c r="BN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N509" i="1"/>
  <c r="BM509" i="1"/>
  <c r="Z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M503" i="1"/>
  <c r="Z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N497" i="1"/>
  <c r="BM497" i="1"/>
  <c r="Y497" i="1"/>
  <c r="BP497" i="1" s="1"/>
  <c r="P497" i="1"/>
  <c r="BO496" i="1"/>
  <c r="BM496" i="1"/>
  <c r="Y496" i="1"/>
  <c r="P496" i="1"/>
  <c r="BP495" i="1"/>
  <c r="BO495" i="1"/>
  <c r="BM495" i="1"/>
  <c r="Z495" i="1"/>
  <c r="Y495" i="1"/>
  <c r="BN495" i="1" s="1"/>
  <c r="P495" i="1"/>
  <c r="X491" i="1"/>
  <c r="Y490" i="1"/>
  <c r="X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BN487" i="1" s="1"/>
  <c r="P487" i="1"/>
  <c r="X485" i="1"/>
  <c r="X484" i="1"/>
  <c r="BO483" i="1"/>
  <c r="BM483" i="1"/>
  <c r="Y483" i="1"/>
  <c r="P483" i="1"/>
  <c r="X480" i="1"/>
  <c r="X479" i="1"/>
  <c r="BP478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M460" i="1"/>
  <c r="Z460" i="1"/>
  <c r="Y460" i="1"/>
  <c r="Y464" i="1" s="1"/>
  <c r="P460" i="1"/>
  <c r="X458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BN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Y442" i="1" s="1"/>
  <c r="P440" i="1"/>
  <c r="BO439" i="1"/>
  <c r="BN439" i="1"/>
  <c r="BM439" i="1"/>
  <c r="Y439" i="1"/>
  <c r="P439" i="1"/>
  <c r="X437" i="1"/>
  <c r="X436" i="1"/>
  <c r="BO435" i="1"/>
  <c r="BN435" i="1"/>
  <c r="BM435" i="1"/>
  <c r="Y435" i="1"/>
  <c r="BP435" i="1" s="1"/>
  <c r="P435" i="1"/>
  <c r="BO434" i="1"/>
  <c r="BM434" i="1"/>
  <c r="Y434" i="1"/>
  <c r="P434" i="1"/>
  <c r="BO433" i="1"/>
  <c r="BN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M415" i="1"/>
  <c r="Y415" i="1"/>
  <c r="BN415" i="1" s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N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BN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N383" i="1"/>
  <c r="BM383" i="1"/>
  <c r="Y383" i="1"/>
  <c r="BP383" i="1" s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O375" i="1"/>
  <c r="BN375" i="1"/>
  <c r="BM375" i="1"/>
  <c r="Z375" i="1"/>
  <c r="Y375" i="1"/>
  <c r="BP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M345" i="1"/>
  <c r="Y345" i="1"/>
  <c r="BN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M336" i="1"/>
  <c r="Z336" i="1"/>
  <c r="Y336" i="1"/>
  <c r="BN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N329" i="1"/>
  <c r="BM329" i="1"/>
  <c r="Z329" i="1"/>
  <c r="Y329" i="1"/>
  <c r="BP329" i="1" s="1"/>
  <c r="P329" i="1"/>
  <c r="BO328" i="1"/>
  <c r="BM328" i="1"/>
  <c r="Y328" i="1"/>
  <c r="P328" i="1"/>
  <c r="BO327" i="1"/>
  <c r="BM327" i="1"/>
  <c r="Y327" i="1"/>
  <c r="BN327" i="1" s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M302" i="1"/>
  <c r="Z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N295" i="1"/>
  <c r="BM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M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N265" i="1"/>
  <c r="BM265" i="1"/>
  <c r="Y265" i="1"/>
  <c r="Z265" i="1" s="1"/>
  <c r="P265" i="1"/>
  <c r="BO264" i="1"/>
  <c r="BM264" i="1"/>
  <c r="Y264" i="1"/>
  <c r="Y266" i="1" s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N249" i="1" s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M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M235" i="1"/>
  <c r="Z235" i="1"/>
  <c r="Y235" i="1"/>
  <c r="BN235" i="1" s="1"/>
  <c r="P235" i="1"/>
  <c r="BO234" i="1"/>
  <c r="BM234" i="1"/>
  <c r="Y234" i="1"/>
  <c r="P234" i="1"/>
  <c r="BP233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N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N225" i="1" s="1"/>
  <c r="P225" i="1"/>
  <c r="BO224" i="1"/>
  <c r="BM224" i="1"/>
  <c r="Y224" i="1"/>
  <c r="P224" i="1"/>
  <c r="BO223" i="1"/>
  <c r="BM223" i="1"/>
  <c r="Y223" i="1"/>
  <c r="P223" i="1"/>
  <c r="X221" i="1"/>
  <c r="Y220" i="1"/>
  <c r="X220" i="1"/>
  <c r="BO219" i="1"/>
  <c r="BN219" i="1"/>
  <c r="BM219" i="1"/>
  <c r="Z219" i="1"/>
  <c r="Z220" i="1" s="1"/>
  <c r="Y219" i="1"/>
  <c r="BP219" i="1" s="1"/>
  <c r="P219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M212" i="1"/>
  <c r="Z212" i="1"/>
  <c r="Y212" i="1"/>
  <c r="BN212" i="1" s="1"/>
  <c r="P212" i="1"/>
  <c r="BO211" i="1"/>
  <c r="BM211" i="1"/>
  <c r="Y211" i="1"/>
  <c r="P211" i="1"/>
  <c r="BO210" i="1"/>
  <c r="BM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Y203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O192" i="1"/>
  <c r="BM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P178" i="1"/>
  <c r="BO178" i="1"/>
  <c r="BM178" i="1"/>
  <c r="Y178" i="1"/>
  <c r="BN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X170" i="1"/>
  <c r="X169" i="1"/>
  <c r="BO168" i="1"/>
  <c r="BM168" i="1"/>
  <c r="Y168" i="1"/>
  <c r="P168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M154" i="1"/>
  <c r="Z154" i="1"/>
  <c r="Y154" i="1"/>
  <c r="BN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Z147" i="1"/>
  <c r="Y147" i="1"/>
  <c r="BN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N141" i="1"/>
  <c r="BM141" i="1"/>
  <c r="Y141" i="1"/>
  <c r="BP141" i="1" s="1"/>
  <c r="P141" i="1"/>
  <c r="BO140" i="1"/>
  <c r="BM140" i="1"/>
  <c r="Y140" i="1"/>
  <c r="P140" i="1"/>
  <c r="BP139" i="1"/>
  <c r="BO139" i="1"/>
  <c r="BM139" i="1"/>
  <c r="Z139" i="1"/>
  <c r="Y139" i="1"/>
  <c r="BN139" i="1" s="1"/>
  <c r="P139" i="1"/>
  <c r="X137" i="1"/>
  <c r="X136" i="1"/>
  <c r="BO135" i="1"/>
  <c r="BM135" i="1"/>
  <c r="Y135" i="1"/>
  <c r="BP135" i="1" s="1"/>
  <c r="P135" i="1"/>
  <c r="BO134" i="1"/>
  <c r="BN134" i="1"/>
  <c r="BM134" i="1"/>
  <c r="Y134" i="1"/>
  <c r="BP134" i="1" s="1"/>
  <c r="P134" i="1"/>
  <c r="BO133" i="1"/>
  <c r="BM133" i="1"/>
  <c r="Y133" i="1"/>
  <c r="BP133" i="1" s="1"/>
  <c r="P133" i="1"/>
  <c r="BO132" i="1"/>
  <c r="BM132" i="1"/>
  <c r="Y132" i="1"/>
  <c r="BN132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N121" i="1"/>
  <c r="BM121" i="1"/>
  <c r="Y121" i="1"/>
  <c r="P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BP114" i="1" s="1"/>
  <c r="P114" i="1"/>
  <c r="BO113" i="1"/>
  <c r="BM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O98" i="1"/>
  <c r="BN98" i="1"/>
  <c r="BM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O83" i="1"/>
  <c r="BN83" i="1"/>
  <c r="BM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Z77" i="1" s="1"/>
  <c r="P77" i="1"/>
  <c r="X75" i="1"/>
  <c r="X74" i="1"/>
  <c r="BO73" i="1"/>
  <c r="BM73" i="1"/>
  <c r="Z73" i="1"/>
  <c r="Y73" i="1"/>
  <c r="BN73" i="1" s="1"/>
  <c r="P73" i="1"/>
  <c r="BO72" i="1"/>
  <c r="BM72" i="1"/>
  <c r="Y72" i="1"/>
  <c r="BP72" i="1" s="1"/>
  <c r="P72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O44" i="1"/>
  <c r="BM44" i="1"/>
  <c r="Z44" i="1"/>
  <c r="Y44" i="1"/>
  <c r="BN44" i="1" s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M28" i="1"/>
  <c r="Z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P22" i="1"/>
  <c r="BO22" i="1"/>
  <c r="BM22" i="1"/>
  <c r="Z22" i="1"/>
  <c r="Y22" i="1"/>
  <c r="BN22" i="1" s="1"/>
  <c r="P22" i="1"/>
  <c r="H10" i="1"/>
  <c r="A9" i="1"/>
  <c r="A10" i="1" s="1"/>
  <c r="D7" i="1"/>
  <c r="Q6" i="1"/>
  <c r="P2" i="1"/>
  <c r="C560" i="1" l="1"/>
  <c r="BN127" i="1"/>
  <c r="BP287" i="1"/>
  <c r="BP389" i="1"/>
  <c r="Y526" i="1"/>
  <c r="Z63" i="1"/>
  <c r="Y75" i="1"/>
  <c r="Z227" i="1"/>
  <c r="BP265" i="1"/>
  <c r="BN283" i="1"/>
  <c r="BN365" i="1"/>
  <c r="Z415" i="1"/>
  <c r="BN517" i="1"/>
  <c r="Z149" i="1"/>
  <c r="BN227" i="1"/>
  <c r="Z249" i="1"/>
  <c r="Z327" i="1"/>
  <c r="X554" i="1"/>
  <c r="Z88" i="1"/>
  <c r="BN149" i="1"/>
  <c r="Z192" i="1"/>
  <c r="Z210" i="1"/>
  <c r="Z260" i="1"/>
  <c r="Z273" i="1"/>
  <c r="Z425" i="1"/>
  <c r="Z445" i="1"/>
  <c r="BN541" i="1"/>
  <c r="BP249" i="1"/>
  <c r="BP327" i="1"/>
  <c r="BN429" i="1"/>
  <c r="BN88" i="1"/>
  <c r="Z132" i="1"/>
  <c r="Z202" i="1"/>
  <c r="Z203" i="1" s="1"/>
  <c r="BN214" i="1"/>
  <c r="BN260" i="1"/>
  <c r="BN273" i="1"/>
  <c r="BN408" i="1"/>
  <c r="BN425" i="1"/>
  <c r="BN462" i="1"/>
  <c r="BP192" i="1"/>
  <c r="BP210" i="1"/>
  <c r="BN289" i="1"/>
  <c r="BP445" i="1"/>
  <c r="BN456" i="1"/>
  <c r="Z115" i="1"/>
  <c r="Z178" i="1"/>
  <c r="Z182" i="1"/>
  <c r="BN202" i="1"/>
  <c r="Z233" i="1"/>
  <c r="Z515" i="1"/>
  <c r="BP132" i="1"/>
  <c r="Y463" i="1"/>
  <c r="BP202" i="1"/>
  <c r="Z225" i="1"/>
  <c r="Y457" i="1"/>
  <c r="BN533" i="1"/>
  <c r="BN281" i="1"/>
  <c r="BN363" i="1"/>
  <c r="BP225" i="1"/>
  <c r="Z345" i="1"/>
  <c r="BN472" i="1"/>
  <c r="BP44" i="1"/>
  <c r="BP147" i="1"/>
  <c r="Z241" i="1"/>
  <c r="BN371" i="1"/>
  <c r="Z389" i="1"/>
  <c r="Y117" i="1"/>
  <c r="Z54" i="1"/>
  <c r="BN275" i="1"/>
  <c r="Z287" i="1"/>
  <c r="BN291" i="1"/>
  <c r="BP345" i="1"/>
  <c r="BN427" i="1"/>
  <c r="BN460" i="1"/>
  <c r="BN525" i="1"/>
  <c r="BP73" i="1"/>
  <c r="BP271" i="1"/>
  <c r="BN441" i="1"/>
  <c r="F9" i="1"/>
  <c r="J9" i="1"/>
  <c r="Z42" i="1"/>
  <c r="BP42" i="1"/>
  <c r="Z52" i="1"/>
  <c r="BP52" i="1"/>
  <c r="BP63" i="1"/>
  <c r="Y79" i="1"/>
  <c r="BN77" i="1"/>
  <c r="BP77" i="1"/>
  <c r="BP83" i="1"/>
  <c r="Z83" i="1"/>
  <c r="BP98" i="1"/>
  <c r="Z98" i="1"/>
  <c r="Z107" i="1"/>
  <c r="BP115" i="1"/>
  <c r="Y125" i="1"/>
  <c r="BP121" i="1"/>
  <c r="Z121" i="1"/>
  <c r="BP182" i="1"/>
  <c r="BN373" i="1"/>
  <c r="BP373" i="1"/>
  <c r="Z373" i="1"/>
  <c r="Y485" i="1"/>
  <c r="Y484" i="1"/>
  <c r="BN483" i="1"/>
  <c r="BP483" i="1"/>
  <c r="Z483" i="1"/>
  <c r="Z484" i="1" s="1"/>
  <c r="BN507" i="1"/>
  <c r="BP507" i="1"/>
  <c r="Z507" i="1"/>
  <c r="Y531" i="1"/>
  <c r="Y530" i="1"/>
  <c r="BN529" i="1"/>
  <c r="BP529" i="1"/>
  <c r="Z529" i="1"/>
  <c r="Z530" i="1" s="1"/>
  <c r="F10" i="1"/>
  <c r="Y32" i="1"/>
  <c r="BN54" i="1"/>
  <c r="BP123" i="1"/>
  <c r="Y129" i="1"/>
  <c r="BP127" i="1"/>
  <c r="Z127" i="1"/>
  <c r="Z128" i="1" s="1"/>
  <c r="Y174" i="1"/>
  <c r="BP172" i="1"/>
  <c r="Z172" i="1"/>
  <c r="BN198" i="1"/>
  <c r="BP198" i="1"/>
  <c r="Z198" i="1"/>
  <c r="BN208" i="1"/>
  <c r="BP208" i="1"/>
  <c r="Z208" i="1"/>
  <c r="BN231" i="1"/>
  <c r="BP231" i="1"/>
  <c r="Z231" i="1"/>
  <c r="BN285" i="1"/>
  <c r="BP285" i="1"/>
  <c r="Z285" i="1"/>
  <c r="BN358" i="1"/>
  <c r="BP358" i="1"/>
  <c r="Z358" i="1"/>
  <c r="BN367" i="1"/>
  <c r="BP367" i="1"/>
  <c r="Z367" i="1"/>
  <c r="BN395" i="1"/>
  <c r="BP395" i="1"/>
  <c r="Z395" i="1"/>
  <c r="BN423" i="1"/>
  <c r="BP423" i="1"/>
  <c r="Z423" i="1"/>
  <c r="BN452" i="1"/>
  <c r="BP452" i="1"/>
  <c r="Z452" i="1"/>
  <c r="Y521" i="1"/>
  <c r="BN513" i="1"/>
  <c r="BP513" i="1"/>
  <c r="Z513" i="1"/>
  <c r="BP71" i="1"/>
  <c r="BP90" i="1"/>
  <c r="Z90" i="1"/>
  <c r="BP105" i="1"/>
  <c r="Z105" i="1"/>
  <c r="Z123" i="1"/>
  <c r="BN343" i="1"/>
  <c r="BP343" i="1"/>
  <c r="Z343" i="1"/>
  <c r="BN351" i="1"/>
  <c r="BP351" i="1"/>
  <c r="Z351" i="1"/>
  <c r="BN468" i="1"/>
  <c r="BP468" i="1"/>
  <c r="Z468" i="1"/>
  <c r="Y539" i="1"/>
  <c r="Y538" i="1"/>
  <c r="BN537" i="1"/>
  <c r="BP537" i="1"/>
  <c r="Z537" i="1"/>
  <c r="Z538" i="1" s="1"/>
  <c r="BP61" i="1"/>
  <c r="Z61" i="1"/>
  <c r="BP107" i="1"/>
  <c r="BP113" i="1"/>
  <c r="Z113" i="1"/>
  <c r="BP167" i="1"/>
  <c r="Z167" i="1"/>
  <c r="BN172" i="1"/>
  <c r="BP180" i="1"/>
  <c r="Z180" i="1"/>
  <c r="Y237" i="1"/>
  <c r="BN223" i="1"/>
  <c r="BP223" i="1"/>
  <c r="Z223" i="1"/>
  <c r="BN269" i="1"/>
  <c r="BP269" i="1"/>
  <c r="Z269" i="1"/>
  <c r="BN501" i="1"/>
  <c r="BP501" i="1"/>
  <c r="Z501" i="1"/>
  <c r="S560" i="1"/>
  <c r="Y92" i="1"/>
  <c r="Y100" i="1"/>
  <c r="Z214" i="1"/>
  <c r="Z229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Z59" i="1"/>
  <c r="Z134" i="1"/>
  <c r="Z141" i="1"/>
  <c r="Z281" i="1"/>
  <c r="Z289" i="1"/>
  <c r="Z295" i="1"/>
  <c r="BP295" i="1"/>
  <c r="Y359" i="1"/>
  <c r="Z363" i="1"/>
  <c r="Z377" i="1"/>
  <c r="Y385" i="1"/>
  <c r="Z383" i="1"/>
  <c r="Z408" i="1"/>
  <c r="Z427" i="1"/>
  <c r="Z433" i="1"/>
  <c r="Z439" i="1"/>
  <c r="BP439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194" i="1" l="1"/>
  <c r="Z520" i="1"/>
  <c r="Z359" i="1"/>
  <c r="X553" i="1"/>
  <c r="Z143" i="1"/>
  <c r="Z109" i="1"/>
  <c r="Z490" i="1"/>
  <c r="Z46" i="1"/>
  <c r="Z463" i="1"/>
  <c r="Z368" i="1"/>
  <c r="Z404" i="1"/>
  <c r="Z474" i="1"/>
  <c r="Z436" i="1"/>
  <c r="Z277" i="1"/>
  <c r="Z237" i="1"/>
  <c r="Z67" i="1"/>
  <c r="Y551" i="1"/>
  <c r="Y553" i="1" s="1"/>
  <c r="Z352" i="1"/>
  <c r="Z215" i="1"/>
  <c r="Z410" i="1"/>
  <c r="Z150" i="1"/>
  <c r="Z124" i="1"/>
  <c r="Z99" i="1"/>
  <c r="Z92" i="1"/>
  <c r="Z32" i="1"/>
  <c r="Z169" i="1"/>
  <c r="Y552" i="1"/>
  <c r="Z504" i="1"/>
  <c r="Z331" i="1"/>
  <c r="Z453" i="1"/>
  <c r="Z378" i="1"/>
  <c r="Z430" i="1"/>
  <c r="Z398" i="1"/>
  <c r="Z292" i="1"/>
  <c r="Z188" i="1"/>
  <c r="Y554" i="1"/>
  <c r="Z347" i="1"/>
  <c r="Z338" i="1"/>
  <c r="Z308" i="1"/>
  <c r="Z251" i="1"/>
  <c r="Z245" i="1"/>
  <c r="Z117" i="1"/>
  <c r="Z391" i="1"/>
  <c r="Z322" i="1"/>
  <c r="Y550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<sst xmlns="http://schemas.openxmlformats.org/spreadsheetml/2006/main" count="2502" uniqueCount="908">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</sst>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46231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Вторник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63</v>
      </c>
      <c r="Y29" s="628">
        <f>IFERROR(IF(X29="",0,CEILING((X29/$H29),1)*$H29),"")</f>
        <v>63</v>
      </c>
      <c r="Z29" s="36">
        <f>IFERROR(IF(Y29=0,"",ROUNDUP(Y29/H29,0)*0.00651),"")</f>
        <v>0.22785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111.3</v>
      </c>
      <c r="BN29" s="64">
        <f>IFERROR(Y29*I29/H29,"0")</f>
        <v>111.3</v>
      </c>
      <c r="BO29" s="64">
        <f>IFERROR(1/J29*(X29/H29),"0")</f>
        <v>0.19230769230769232</v>
      </c>
      <c r="BP29" s="64">
        <f>IFERROR(1/J29*(Y29/H29),"0")</f>
        <v>0.19230769230769232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61</v>
      </c>
      <c r="Y30" s="628">
        <f>IFERROR(IF(X30="",0,CEILING((X30/$H30),1)*$H30),"")</f>
        <v>61.2</v>
      </c>
      <c r="Z30" s="36">
        <f>IFERROR(IF(Y30=0,"",ROUNDUP(Y30/H30,0)*0.00651),"")</f>
        <v>0.22134000000000001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107.76666666666668</v>
      </c>
      <c r="BN30" s="64">
        <f>IFERROR(Y30*I30/H30,"0")</f>
        <v>108.12</v>
      </c>
      <c r="BO30" s="64">
        <f>IFERROR(1/J30*(X30/H30),"0")</f>
        <v>0.18620268620268621</v>
      </c>
      <c r="BP30" s="64">
        <f>IFERROR(1/J30*(Y30/H30),"0")</f>
        <v>0.18681318681318682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68.888888888888886</v>
      </c>
      <c r="Y32" s="629">
        <f>IFERROR(Y27/H27,"0")+IFERROR(Y28/H28,"0")+IFERROR(Y29/H29,"0")+IFERROR(Y30/H30,"0")+IFERROR(Y31/H31,"0")</f>
        <v>69</v>
      </c>
      <c r="Z32" s="629">
        <f>IFERROR(IF(Z27="",0,Z27),"0")+IFERROR(IF(Z28="",0,Z28),"0")+IFERROR(IF(Z29="",0,Z29),"0")+IFERROR(IF(Z30="",0,Z30),"0")+IFERROR(IF(Z31="",0,Z31),"0")</f>
        <v>0.44918999999999998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124</v>
      </c>
      <c r="Y33" s="629">
        <f>IFERROR(SUM(Y27:Y31),"0")</f>
        <v>124.2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1090</v>
      </c>
      <c r="Y51" s="628">
        <f>IFERROR(IF(X51="",0,CEILING((X51/$H51),1)*$H51),"")</f>
        <v>1090.8000000000002</v>
      </c>
      <c r="Z51" s="36">
        <f>IFERROR(IF(Y51=0,"",ROUNDUP(Y51/H51,0)*0.01898),"")</f>
        <v>1.9169800000000001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1131.3796296296298</v>
      </c>
      <c r="BN51" s="64">
        <f>IFERROR(Y51*I51/H51,"0")</f>
        <v>1132.21</v>
      </c>
      <c r="BO51" s="64">
        <f>IFERROR(1/J51*(X51/H51),"0")</f>
        <v>1.5769675925925926</v>
      </c>
      <c r="BP51" s="64">
        <f>IFERROR(1/J51*(Y51/H51),"0")</f>
        <v>1.5781250000000002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85</v>
      </c>
      <c r="Y54" s="628">
        <f>IFERROR(IF(X54="",0,CEILING((X54/$H54),1)*$H54),"")</f>
        <v>85.100000000000009</v>
      </c>
      <c r="Z54" s="36">
        <f>IFERROR(IF(Y54=0,"",ROUNDUP(Y54/H54,0)*0.00902),"")</f>
        <v>0.20746000000000001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89.36486486486487</v>
      </c>
      <c r="BN54" s="64">
        <f>IFERROR(Y54*I54/H54,"0")</f>
        <v>89.470000000000013</v>
      </c>
      <c r="BO54" s="64">
        <f>IFERROR(1/J54*(X54/H54),"0")</f>
        <v>0.17403767403767403</v>
      </c>
      <c r="BP54" s="64">
        <f>IFERROR(1/J54*(Y54/H54),"0")</f>
        <v>0.17424242424242425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123.89889889889889</v>
      </c>
      <c r="Y55" s="629">
        <f>IFERROR(Y51/H51,"0")+IFERROR(Y52/H52,"0")+IFERROR(Y53/H53,"0")+IFERROR(Y54/H54,"0")</f>
        <v>124.00000000000001</v>
      </c>
      <c r="Z55" s="629">
        <f>IFERROR(IF(Z51="",0,Z51),"0")+IFERROR(IF(Z52="",0,Z52),"0")+IFERROR(IF(Z53="",0,Z53),"0")+IFERROR(IF(Z54="",0,Z54),"0")</f>
        <v>2.1244400000000003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1175</v>
      </c>
      <c r="Y56" s="629">
        <f>IFERROR(SUM(Y51:Y54),"0")</f>
        <v>1175.9000000000001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193</v>
      </c>
      <c r="Y59" s="628">
        <f t="shared" ref="Y59:Y66" si="0">IFERROR(IF(X59="",0,CEILING((X59/$H59),1)*$H59),"")</f>
        <v>201.6</v>
      </c>
      <c r="Z59" s="36">
        <f>IFERROR(IF(Y59=0,"",ROUNDUP(Y59/H59,0)*0.01898),"")</f>
        <v>0.34164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200.06517857142859</v>
      </c>
      <c r="BN59" s="64">
        <f t="shared" ref="BN59:BN66" si="2">IFERROR(Y59*I59/H59,"0")</f>
        <v>208.98000000000002</v>
      </c>
      <c r="BO59" s="64">
        <f t="shared" ref="BO59:BO66" si="3">IFERROR(1/J59*(X59/H59),"0")</f>
        <v>0.26925223214285715</v>
      </c>
      <c r="BP59" s="64">
        <f t="shared" ref="BP59:BP66" si="4">IFERROR(1/J59*(Y59/H59),"0")</f>
        <v>0.28125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17.232142857142858</v>
      </c>
      <c r="Y67" s="629">
        <f>IFERROR(Y59/H59,"0")+IFERROR(Y60/H60,"0")+IFERROR(Y61/H61,"0")+IFERROR(Y62/H62,"0")+IFERROR(Y63/H63,"0")+IFERROR(Y64/H64,"0")+IFERROR(Y65/H65,"0")+IFERROR(Y66/H66,"0")</f>
        <v>18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0.34164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193</v>
      </c>
      <c r="Y68" s="629">
        <f>IFERROR(SUM(Y59:Y66),"0")</f>
        <v>201.6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154</v>
      </c>
      <c r="Y91" s="628">
        <f>IFERROR(IF(X91="",0,CEILING((X91/$H91),1)*$H91),"")</f>
        <v>157.5</v>
      </c>
      <c r="Z91" s="36">
        <f>IFERROR(IF(Y91=0,"",ROUNDUP(Y91/H91,0)*0.00902),"")</f>
        <v>0.31569999999999998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160.50222222222226</v>
      </c>
      <c r="BN91" s="64">
        <f>IFERROR(Y91*I91/H91,"0")</f>
        <v>164.15</v>
      </c>
      <c r="BO91" s="64">
        <f>IFERROR(1/J91*(X91/H91),"0")</f>
        <v>0.25925925925925924</v>
      </c>
      <c r="BP91" s="64">
        <f>IFERROR(1/J91*(Y91/H91),"0")</f>
        <v>0.26515151515151514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34.222222222222221</v>
      </c>
      <c r="Y92" s="629">
        <f>IFERROR(Y88/H88,"0")+IFERROR(Y89/H89,"0")+IFERROR(Y90/H90,"0")+IFERROR(Y91/H91,"0")</f>
        <v>35</v>
      </c>
      <c r="Z92" s="629">
        <f>IFERROR(IF(Z88="",0,Z88),"0")+IFERROR(IF(Z89="",0,Z89),"0")+IFERROR(IF(Z90="",0,Z90),"0")+IFERROR(IF(Z91="",0,Z91),"0")</f>
        <v>0.31569999999999998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154</v>
      </c>
      <c r="Y93" s="629">
        <f>IFERROR(SUM(Y88:Y91),"0")</f>
        <v>157.5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608</v>
      </c>
      <c r="Y95" s="628">
        <f>IFERROR(IF(X95="",0,CEILING((X95/$H95),1)*$H95),"")</f>
        <v>615.6</v>
      </c>
      <c r="Z95" s="36">
        <f>IFERROR(IF(Y95=0,"",ROUNDUP(Y95/H95,0)*0.01898),"")</f>
        <v>1.44248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645.08049382716058</v>
      </c>
      <c r="BN95" s="64">
        <f>IFERROR(Y95*I95/H95,"0")</f>
        <v>653.14400000000001</v>
      </c>
      <c r="BO95" s="64">
        <f>IFERROR(1/J95*(X95/H95),"0")</f>
        <v>1.1728395061728396</v>
      </c>
      <c r="BP95" s="64">
        <f>IFERROR(1/J95*(Y95/H95),"0")</f>
        <v>1.1875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209</v>
      </c>
      <c r="Y97" s="628">
        <f>IFERROR(IF(X97="",0,CEILING((X97/$H97),1)*$H97),"")</f>
        <v>210.60000000000002</v>
      </c>
      <c r="Z97" s="36">
        <f>IFERROR(IF(Y97=0,"",ROUNDUP(Y97/H97,0)*0.00651),"")</f>
        <v>0.50778000000000001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228.50666666666663</v>
      </c>
      <c r="BN97" s="64">
        <f>IFERROR(Y97*I97/H97,"0")</f>
        <v>230.25600000000003</v>
      </c>
      <c r="BO97" s="64">
        <f>IFERROR(1/J97*(X97/H97),"0")</f>
        <v>0.42531542531542532</v>
      </c>
      <c r="BP97" s="64">
        <f>IFERROR(1/J97*(Y97/H97),"0")</f>
        <v>0.4285714285714286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152.46913580246914</v>
      </c>
      <c r="Y99" s="629">
        <f>IFERROR(Y95/H95,"0")+IFERROR(Y96/H96,"0")+IFERROR(Y97/H97,"0")+IFERROR(Y98/H98,"0")</f>
        <v>154</v>
      </c>
      <c r="Z99" s="629">
        <f>IFERROR(IF(Z95="",0,Z95),"0")+IFERROR(IF(Z96="",0,Z96),"0")+IFERROR(IF(Z97="",0,Z97),"0")+IFERROR(IF(Z98="",0,Z98),"0")</f>
        <v>1.9502600000000001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817</v>
      </c>
      <c r="Y100" s="629">
        <f>IFERROR(SUM(Y95:Y98),"0")</f>
        <v>826.2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457</v>
      </c>
      <c r="Y103" s="628">
        <f t="shared" ref="Y103:Y108" si="5">IFERROR(IF(X103="",0,CEILING((X103/$H103),1)*$H103),"")</f>
        <v>464.40000000000003</v>
      </c>
      <c r="Z103" s="36">
        <f>IFERROR(IF(Y103=0,"",ROUNDUP(Y103/H103,0)*0.01898),"")</f>
        <v>0.81613999999999998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474.34907407407405</v>
      </c>
      <c r="BN103" s="64">
        <f t="shared" ref="BN103:BN108" si="7">IFERROR(Y103*I103/H103,"0")</f>
        <v>482.03000000000003</v>
      </c>
      <c r="BO103" s="64">
        <f t="shared" ref="BO103:BO108" si="8">IFERROR(1/J103*(X103/H103),"0")</f>
        <v>0.6611689814814814</v>
      </c>
      <c r="BP103" s="64">
        <f t="shared" ref="BP103:BP108" si="9">IFERROR(1/J103*(Y103/H103),"0")</f>
        <v>0.671875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153</v>
      </c>
      <c r="Y107" s="628">
        <f t="shared" si="5"/>
        <v>153</v>
      </c>
      <c r="Z107" s="36">
        <f>IFERROR(IF(Y107=0,"",ROUNDUP(Y107/H107,0)*0.00902),"")</f>
        <v>0.30668000000000001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159.46</v>
      </c>
      <c r="BN107" s="64">
        <f t="shared" si="7"/>
        <v>159.46</v>
      </c>
      <c r="BO107" s="64">
        <f t="shared" si="8"/>
        <v>0.25757575757575757</v>
      </c>
      <c r="BP107" s="64">
        <f t="shared" si="9"/>
        <v>0.25757575757575757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76.31481481481481</v>
      </c>
      <c r="Y109" s="629">
        <f>IFERROR(Y103/H103,"0")+IFERROR(Y104/H104,"0")+IFERROR(Y105/H105,"0")+IFERROR(Y106/H106,"0")+IFERROR(Y107/H107,"0")+IFERROR(Y108/H108,"0")</f>
        <v>77</v>
      </c>
      <c r="Z109" s="629">
        <f>IFERROR(IF(Z103="",0,Z103),"0")+IFERROR(IF(Z104="",0,Z104),"0")+IFERROR(IF(Z105="",0,Z105),"0")+IFERROR(IF(Z106="",0,Z106),"0")+IFERROR(IF(Z107="",0,Z107),"0")+IFERROR(IF(Z108="",0,Z108),"0")</f>
        <v>1.1228199999999999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610</v>
      </c>
      <c r="Y110" s="629">
        <f>IFERROR(SUM(Y103:Y108),"0")</f>
        <v>617.40000000000009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94</v>
      </c>
      <c r="Y116" s="628">
        <f>IFERROR(IF(X116="",0,CEILING((X116/$H116),1)*$H116),"")</f>
        <v>96</v>
      </c>
      <c r="Z116" s="36">
        <f>IFERROR(IF(Y116=0,"",ROUNDUP(Y116/H116,0)*0.00651),"")</f>
        <v>0.26040000000000002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101.05000000000001</v>
      </c>
      <c r="BN116" s="64">
        <f>IFERROR(Y116*I116/H116,"0")</f>
        <v>103.2</v>
      </c>
      <c r="BO116" s="64">
        <f>IFERROR(1/J116*(X116/H116),"0")</f>
        <v>0.21520146520146524</v>
      </c>
      <c r="BP116" s="64">
        <f>IFERROR(1/J116*(Y116/H116),"0")</f>
        <v>0.2197802197802198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39.166666666666671</v>
      </c>
      <c r="Y117" s="629">
        <f>IFERROR(Y112/H112,"0")+IFERROR(Y113/H113,"0")+IFERROR(Y114/H114,"0")+IFERROR(Y115/H115,"0")+IFERROR(Y116/H116,"0")</f>
        <v>40</v>
      </c>
      <c r="Z117" s="629">
        <f>IFERROR(IF(Z112="",0,Z112),"0")+IFERROR(IF(Z113="",0,Z113),"0")+IFERROR(IF(Z114="",0,Z114),"0")+IFERROR(IF(Z115="",0,Z115),"0")+IFERROR(IF(Z116="",0,Z116),"0")</f>
        <v>0.26040000000000002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94</v>
      </c>
      <c r="Y118" s="629">
        <f>IFERROR(SUM(Y112:Y116),"0")</f>
        <v>96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452</v>
      </c>
      <c r="Y120" s="628">
        <f>IFERROR(IF(X120="",0,CEILING((X120/$H120),1)*$H120),"")</f>
        <v>453.59999999999997</v>
      </c>
      <c r="Z120" s="36">
        <f>IFERROR(IF(Y120=0,"",ROUNDUP(Y120/H120,0)*0.01898),"")</f>
        <v>1.06288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479.23160493827163</v>
      </c>
      <c r="BN120" s="64">
        <f>IFERROR(Y120*I120/H120,"0")</f>
        <v>480.92799999999994</v>
      </c>
      <c r="BO120" s="64">
        <f>IFERROR(1/J120*(X120/H120),"0")</f>
        <v>0.87191358024691357</v>
      </c>
      <c r="BP120" s="64">
        <f>IFERROR(1/J120*(Y120/H120),"0")</f>
        <v>0.875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350</v>
      </c>
      <c r="Y122" s="628">
        <f>IFERROR(IF(X122="",0,CEILING((X122/$H122),1)*$H122),"")</f>
        <v>351</v>
      </c>
      <c r="Z122" s="36">
        <f>IFERROR(IF(Y122=0,"",ROUNDUP(Y122/H122,0)*0.00651),"")</f>
        <v>0.84630000000000005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382.66666666666669</v>
      </c>
      <c r="BN122" s="64">
        <f>IFERROR(Y122*I122/H122,"0")</f>
        <v>383.76</v>
      </c>
      <c r="BO122" s="64">
        <f>IFERROR(1/J122*(X122/H122),"0")</f>
        <v>0.71225071225071224</v>
      </c>
      <c r="BP122" s="64">
        <f>IFERROR(1/J122*(Y122/H122),"0")</f>
        <v>0.7142857142857143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185.4320987654321</v>
      </c>
      <c r="Y124" s="629">
        <f>IFERROR(Y120/H120,"0")+IFERROR(Y121/H121,"0")+IFERROR(Y122/H122,"0")+IFERROR(Y123/H123,"0")</f>
        <v>186</v>
      </c>
      <c r="Z124" s="629">
        <f>IFERROR(IF(Z120="",0,Z120),"0")+IFERROR(IF(Z121="",0,Z121),"0")+IFERROR(IF(Z122="",0,Z122),"0")+IFERROR(IF(Z123="",0,Z123),"0")</f>
        <v>1.9091800000000001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802</v>
      </c>
      <c r="Y125" s="629">
        <f>IFERROR(SUM(Y120:Y123),"0")</f>
        <v>804.59999999999991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hidden="1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hidden="1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70</v>
      </c>
      <c r="Y182" s="628">
        <f t="shared" si="10"/>
        <v>70.56</v>
      </c>
      <c r="Z182" s="36">
        <f>IFERROR(IF(Y182=0,"",ROUNDUP(Y182/H182,0)*0.00502),"")</f>
        <v>0.21084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74.166666666666671</v>
      </c>
      <c r="BN182" s="64">
        <f t="shared" si="12"/>
        <v>74.760000000000005</v>
      </c>
      <c r="BO182" s="64">
        <f t="shared" si="13"/>
        <v>0.17806267806267811</v>
      </c>
      <c r="BP182" s="64">
        <f t="shared" si="14"/>
        <v>0.17948717948717952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65</v>
      </c>
      <c r="Y187" s="628">
        <f t="shared" si="10"/>
        <v>65.52</v>
      </c>
      <c r="Z187" s="36">
        <f>IFERROR(IF(Y187=0,"",ROUNDUP(Y187/H187,0)*0.00502),"")</f>
        <v>0.19578000000000001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68.86904761904762</v>
      </c>
      <c r="BN187" s="64">
        <f t="shared" si="12"/>
        <v>69.42</v>
      </c>
      <c r="BO187" s="64">
        <f t="shared" si="13"/>
        <v>0.16534391534391535</v>
      </c>
      <c r="BP187" s="64">
        <f t="shared" si="14"/>
        <v>0.16666666666666669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80.357142857142861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81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0.40661999999999998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135</v>
      </c>
      <c r="Y189" s="629">
        <f>IFERROR(SUM(Y177:Y187),"0")</f>
        <v>136.07999999999998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hidden="1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hidden="1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161</v>
      </c>
      <c r="Y234" s="628">
        <f t="shared" si="21"/>
        <v>161.70000000000002</v>
      </c>
      <c r="Z234" s="36">
        <f>IFERROR(IF(Y234=0,"",ROUNDUP(Y234/H234,0)*0.00502),"")</f>
        <v>0.38653999999999999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168.66666666666669</v>
      </c>
      <c r="BN234" s="64">
        <f t="shared" si="23"/>
        <v>169.40000000000003</v>
      </c>
      <c r="BO234" s="64">
        <f t="shared" si="24"/>
        <v>0.32763532763532766</v>
      </c>
      <c r="BP234" s="64">
        <f t="shared" si="25"/>
        <v>0.32905982905982911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76.666666666666657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77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0.38653999999999999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161</v>
      </c>
      <c r="Y238" s="629">
        <f>IFERROR(SUM(Y223:Y236),"0")</f>
        <v>161.70000000000002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hidden="1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292</v>
      </c>
      <c r="Y271" s="628">
        <f t="shared" si="27"/>
        <v>297</v>
      </c>
      <c r="Z271" s="36">
        <f>IFERROR(IF(Y271=0,"",ROUNDUP(Y271/H271,0)*0.00902),"")</f>
        <v>0.49609999999999999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302.27407407407406</v>
      </c>
      <c r="BN271" s="64">
        <f t="shared" si="29"/>
        <v>307.45</v>
      </c>
      <c r="BO271" s="64">
        <f t="shared" si="30"/>
        <v>0.40965207631874295</v>
      </c>
      <c r="BP271" s="64">
        <f t="shared" si="31"/>
        <v>0.41666666666666663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96</v>
      </c>
      <c r="Y273" s="628">
        <f t="shared" si="27"/>
        <v>97.2</v>
      </c>
      <c r="Z273" s="36">
        <f>IFERROR(IF(Y273=0,"",ROUNDUP(Y273/H273,0)*0.00502),"")</f>
        <v>0.27107999999999999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102.93333333333334</v>
      </c>
      <c r="BN273" s="64">
        <f t="shared" si="29"/>
        <v>104.22</v>
      </c>
      <c r="BO273" s="64">
        <f t="shared" si="30"/>
        <v>0.22792022792022792</v>
      </c>
      <c r="BP273" s="64">
        <f t="shared" si="31"/>
        <v>0.23076923076923078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83</v>
      </c>
      <c r="Y274" s="628">
        <f t="shared" si="27"/>
        <v>84.600000000000009</v>
      </c>
      <c r="Z274" s="36">
        <f>IFERROR(IF(Y274=0,"",ROUNDUP(Y274/H274,0)*0.00502),"")</f>
        <v>0.23594000000000001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87.6111111111111</v>
      </c>
      <c r="BN274" s="64">
        <f t="shared" si="29"/>
        <v>89.3</v>
      </c>
      <c r="BO274" s="64">
        <f t="shared" si="30"/>
        <v>0.19705603038936373</v>
      </c>
      <c r="BP274" s="64">
        <f t="shared" si="31"/>
        <v>0.20085470085470092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92</v>
      </c>
      <c r="Y276" s="628">
        <f t="shared" si="27"/>
        <v>93.600000000000009</v>
      </c>
      <c r="Z276" s="36">
        <f>IFERROR(IF(Y276=0,"",ROUNDUP(Y276/H276,0)*0.00502),"")</f>
        <v>0.26103999999999999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97.1111111111111</v>
      </c>
      <c r="BN276" s="64">
        <f t="shared" si="29"/>
        <v>98.8</v>
      </c>
      <c r="BO276" s="64">
        <f t="shared" si="30"/>
        <v>0.2184235517568851</v>
      </c>
      <c r="BP276" s="64">
        <f t="shared" si="31"/>
        <v>0.22222222222222224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204.62962962962962</v>
      </c>
      <c r="Y277" s="629">
        <f>IFERROR(Y269/H269,"0")+IFERROR(Y270/H270,"0")+IFERROR(Y271/H271,"0")+IFERROR(Y272/H272,"0")+IFERROR(Y273/H273,"0")+IFERROR(Y274/H274,"0")+IFERROR(Y275/H275,"0")+IFERROR(Y276/H276,"0")</f>
        <v>208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1.26416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563</v>
      </c>
      <c r="Y278" s="629">
        <f>IFERROR(SUM(Y269:Y276),"0")</f>
        <v>572.4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hidden="1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300</v>
      </c>
      <c r="Y283" s="628">
        <f t="shared" si="32"/>
        <v>300</v>
      </c>
      <c r="Z283" s="36">
        <f>IFERROR(IF(Y283=0,"",ROUNDUP(Y283/H283,0)*0.00651),"")</f>
        <v>0.81374999999999997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333.75</v>
      </c>
      <c r="BN283" s="64">
        <f t="shared" si="34"/>
        <v>333.75</v>
      </c>
      <c r="BO283" s="64">
        <f t="shared" si="35"/>
        <v>0.68681318681318682</v>
      </c>
      <c r="BP283" s="64">
        <f t="shared" si="36"/>
        <v>0.68681318681318682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1396</v>
      </c>
      <c r="Y286" s="628">
        <f t="shared" si="32"/>
        <v>1396.8</v>
      </c>
      <c r="Z286" s="36">
        <f>IFERROR(IF(Y286=0,"",ROUNDUP(Y286/H286,0)*0.00651),"")</f>
        <v>3.7888200000000003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1542.5800000000002</v>
      </c>
      <c r="BN286" s="64">
        <f t="shared" si="34"/>
        <v>1543.4639999999999</v>
      </c>
      <c r="BO286" s="64">
        <f t="shared" si="35"/>
        <v>3.1959706959706966</v>
      </c>
      <c r="BP286" s="64">
        <f t="shared" si="36"/>
        <v>3.197802197802198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407</v>
      </c>
      <c r="Y288" s="628">
        <f t="shared" si="32"/>
        <v>408</v>
      </c>
      <c r="Z288" s="36">
        <f>IFERROR(IF(Y288=0,"",ROUNDUP(Y288/H288,0)*0.00651),"")</f>
        <v>1.1067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449.73500000000001</v>
      </c>
      <c r="BN288" s="64">
        <f t="shared" si="34"/>
        <v>450.84000000000003</v>
      </c>
      <c r="BO288" s="64">
        <f t="shared" si="35"/>
        <v>0.93177655677655691</v>
      </c>
      <c r="BP288" s="64">
        <f t="shared" si="36"/>
        <v>0.93406593406593419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257</v>
      </c>
      <c r="Y289" s="628">
        <f t="shared" si="32"/>
        <v>259.2</v>
      </c>
      <c r="Z289" s="36">
        <f>IFERROR(IF(Y289=0,"",ROUNDUP(Y289/H289,0)*0.00651),"")</f>
        <v>0.70308000000000004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283.98500000000007</v>
      </c>
      <c r="BN289" s="64">
        <f t="shared" si="34"/>
        <v>286.41600000000005</v>
      </c>
      <c r="BO289" s="64">
        <f t="shared" si="35"/>
        <v>0.5883699633699635</v>
      </c>
      <c r="BP289" s="64">
        <f t="shared" si="36"/>
        <v>0.59340659340659341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251</v>
      </c>
      <c r="Y290" s="628">
        <f t="shared" si="32"/>
        <v>252</v>
      </c>
      <c r="Z290" s="36">
        <f>IFERROR(IF(Y290=0,"",ROUNDUP(Y290/H290,0)*0.00651),"")</f>
        <v>0.68354999999999999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277.98250000000002</v>
      </c>
      <c r="BN290" s="64">
        <f t="shared" si="34"/>
        <v>279.09000000000003</v>
      </c>
      <c r="BO290" s="64">
        <f t="shared" si="35"/>
        <v>0.5746336996336997</v>
      </c>
      <c r="BP290" s="64">
        <f t="shared" si="36"/>
        <v>0.57692307692307698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1087.9166666666667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1090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7.0959000000000003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2611</v>
      </c>
      <c r="Y293" s="629">
        <f>IFERROR(SUM(Y280:Y291),"0")</f>
        <v>2616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hidden="1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hidden="1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199</v>
      </c>
      <c r="Y357" s="628">
        <f>IFERROR(IF(X357="",0,CEILING((X357/$H357),1)*$H357),"")</f>
        <v>202.79999999999998</v>
      </c>
      <c r="Z357" s="36">
        <f>IFERROR(IF(Y357=0,"",ROUNDUP(Y357/H357,0)*0.01898),"")</f>
        <v>0.49348000000000003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209.46025641025645</v>
      </c>
      <c r="BN357" s="64">
        <f>IFERROR(Y357*I357/H357,"0")</f>
        <v>213.46</v>
      </c>
      <c r="BO357" s="64">
        <f>IFERROR(1/J357*(X357/H357),"0")</f>
        <v>0.39863782051282054</v>
      </c>
      <c r="BP357" s="64">
        <f>IFERROR(1/J357*(Y357/H357),"0")</f>
        <v>0.40625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25.512820512820515</v>
      </c>
      <c r="Y359" s="629">
        <f>IFERROR(Y356/H356,"0")+IFERROR(Y357/H357,"0")+IFERROR(Y358/H358,"0")</f>
        <v>26</v>
      </c>
      <c r="Z359" s="629">
        <f>IFERROR(IF(Z356="",0,Z356),"0")+IFERROR(IF(Z357="",0,Z357),"0")+IFERROR(IF(Z358="",0,Z358),"0")</f>
        <v>0.49348000000000003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199</v>
      </c>
      <c r="Y360" s="629">
        <f>IFERROR(SUM(Y356:Y358),"0")</f>
        <v>202.79999999999998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hidden="1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hidden="1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hidden="1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2036</v>
      </c>
      <c r="Y389" s="628">
        <f>IFERROR(IF(X389="",0,CEILING((X389/$H389),1)*$H389),"")</f>
        <v>2043.6</v>
      </c>
      <c r="Z389" s="36">
        <f>IFERROR(IF(Y389=0,"",ROUNDUP(Y389/H389,0)*0.01898),"")</f>
        <v>4.9727600000000001</v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2164.9466666666672</v>
      </c>
      <c r="BN389" s="64">
        <f>IFERROR(Y389*I389/H389,"0")</f>
        <v>2173.0279999999998</v>
      </c>
      <c r="BO389" s="64">
        <f>IFERROR(1/J389*(X389/H389),"0")</f>
        <v>4.0785256410256414</v>
      </c>
      <c r="BP389" s="64">
        <f>IFERROR(1/J389*(Y389/H389),"0")</f>
        <v>4.09375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261.02564102564105</v>
      </c>
      <c r="Y391" s="629">
        <f>IFERROR(Y388/H388,"0")+IFERROR(Y389/H389,"0")+IFERROR(Y390/H390,"0")</f>
        <v>262</v>
      </c>
      <c r="Z391" s="629">
        <f>IFERROR(IF(Z388="",0,Z388),"0")+IFERROR(IF(Z389="",0,Z389),"0")+IFERROR(IF(Z390="",0,Z390),"0")</f>
        <v>4.9727600000000001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2036</v>
      </c>
      <c r="Y392" s="629">
        <f>IFERROR(SUM(Y388:Y390),"0")</f>
        <v>2043.6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hidden="1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hidden="1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hidden="1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hidden="1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1045</v>
      </c>
      <c r="Y424" s="628">
        <f t="shared" si="47"/>
        <v>1050</v>
      </c>
      <c r="Z424" s="36">
        <f>IFERROR(IF(Y424=0,"",ROUNDUP(Y424/H424,0)*0.02175),"")</f>
        <v>1.5225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1077.7433333333333</v>
      </c>
      <c r="BN424" s="64">
        <f t="shared" si="49"/>
        <v>1082.9000000000001</v>
      </c>
      <c r="BO424" s="64">
        <f t="shared" si="50"/>
        <v>1.4513888888888888</v>
      </c>
      <c r="BP424" s="64">
        <f t="shared" si="51"/>
        <v>1.4583333333333333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69.666666666666671</v>
      </c>
      <c r="Y430" s="629">
        <f>IFERROR(Y422/H422,"0")+IFERROR(Y423/H423,"0")+IFERROR(Y424/H424,"0")+IFERROR(Y425/H425,"0")+IFERROR(Y426/H426,"0")+IFERROR(Y427/H427,"0")+IFERROR(Y428/H428,"0")+IFERROR(Y429/H429,"0")</f>
        <v>70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1.5225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1045</v>
      </c>
      <c r="Y431" s="629">
        <f>IFERROR(SUM(Y422:Y429),"0")</f>
        <v>1050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2018</v>
      </c>
      <c r="Y433" s="628">
        <f>IFERROR(IF(X433="",0,CEILING((X433/$H433),1)*$H433),"")</f>
        <v>2025</v>
      </c>
      <c r="Z433" s="36">
        <f>IFERROR(IF(Y433=0,"",ROUNDUP(Y433/H433,0)*0.02175),"")</f>
        <v>2.9362499999999998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2081.2306666666668</v>
      </c>
      <c r="BN433" s="64">
        <f>IFERROR(Y433*I433/H433,"0")</f>
        <v>2088.4499999999998</v>
      </c>
      <c r="BO433" s="64">
        <f>IFERROR(1/J433*(X433/H433),"0")</f>
        <v>2.8027777777777776</v>
      </c>
      <c r="BP433" s="64">
        <f>IFERROR(1/J433*(Y433/H433),"0")</f>
        <v>2.8125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134.53333333333333</v>
      </c>
      <c r="Y436" s="629">
        <f>IFERROR(Y433/H433,"0")+IFERROR(Y434/H434,"0")+IFERROR(Y435/H435,"0")</f>
        <v>135</v>
      </c>
      <c r="Z436" s="629">
        <f>IFERROR(IF(Z433="",0,Z433),"0")+IFERROR(IF(Z434="",0,Z434),"0")+IFERROR(IF(Z435="",0,Z435),"0")</f>
        <v>2.9362499999999998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2018</v>
      </c>
      <c r="Y437" s="629">
        <f>IFERROR(SUM(Y433:Y435),"0")</f>
        <v>2025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2340</v>
      </c>
      <c r="Y460" s="628">
        <f>IFERROR(IF(X460="",0,CEILING((X460/$H460),1)*$H460),"")</f>
        <v>2340</v>
      </c>
      <c r="Z460" s="36">
        <f>IFERROR(IF(Y460=0,"",ROUNDUP(Y460/H460,0)*0.01898),"")</f>
        <v>4.9348000000000001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2468.44</v>
      </c>
      <c r="BN460" s="64">
        <f>IFERROR(Y460*I460/H460,"0")</f>
        <v>2468.44</v>
      </c>
      <c r="BO460" s="64">
        <f>IFERROR(1/J460*(X460/H460),"0")</f>
        <v>4.0625</v>
      </c>
      <c r="BP460" s="64">
        <f>IFERROR(1/J460*(Y460/H460),"0")</f>
        <v>4.0625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260</v>
      </c>
      <c r="Y463" s="629">
        <f>IFERROR(Y460/H460,"0")+IFERROR(Y461/H461,"0")+IFERROR(Y462/H462,"0")</f>
        <v>260</v>
      </c>
      <c r="Z463" s="629">
        <f>IFERROR(IF(Z460="",0,Z460),"0")+IFERROR(IF(Z461="",0,Z461),"0")+IFERROR(IF(Z462="",0,Z462),"0")</f>
        <v>4.9348000000000001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2340</v>
      </c>
      <c r="Y464" s="629">
        <f>IFERROR(SUM(Y460:Y462),"0")</f>
        <v>2340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527</v>
      </c>
      <c r="Y498" s="628">
        <f t="shared" si="57"/>
        <v>528</v>
      </c>
      <c r="Z498" s="36">
        <f t="shared" si="58"/>
        <v>1.196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561.93371212121201</v>
      </c>
      <c r="BN498" s="64">
        <f t="shared" si="60"/>
        <v>563</v>
      </c>
      <c r="BO498" s="64">
        <f t="shared" si="61"/>
        <v>0.95971736596736601</v>
      </c>
      <c r="BP498" s="64">
        <f t="shared" si="62"/>
        <v>0.96153846153846156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764</v>
      </c>
      <c r="Y500" s="628">
        <f t="shared" si="57"/>
        <v>765.6</v>
      </c>
      <c r="Z500" s="36">
        <f t="shared" si="58"/>
        <v>1.7342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814.64393939393926</v>
      </c>
      <c r="BN500" s="64">
        <f t="shared" si="60"/>
        <v>816.35</v>
      </c>
      <c r="BO500" s="64">
        <f t="shared" si="61"/>
        <v>1.3913170163170163</v>
      </c>
      <c r="BP500" s="64">
        <f t="shared" si="62"/>
        <v>1.3942307692307694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244.50757575757575</v>
      </c>
      <c r="Y504" s="629">
        <f>IFERROR(Y495/H495,"0")+IFERROR(Y496/H496,"0")+IFERROR(Y497/H497,"0")+IFERROR(Y498/H498,"0")+IFERROR(Y499/H499,"0")+IFERROR(Y500/H500,"0")+IFERROR(Y501/H501,"0")+IFERROR(Y502/H502,"0")+IFERROR(Y503/H503,"0")</f>
        <v>245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2.9302000000000001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1291</v>
      </c>
      <c r="Y505" s="629">
        <f>IFERROR(SUM(Y495:Y503),"0")</f>
        <v>1293.5999999999999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609</v>
      </c>
      <c r="Y507" s="628">
        <f>IFERROR(IF(X507="",0,CEILING((X507/$H507),1)*$H507),"")</f>
        <v>612.48</v>
      </c>
      <c r="Z507" s="36">
        <f>IFERROR(IF(Y507=0,"",ROUNDUP(Y507/H507,0)*0.01196),"")</f>
        <v>1.3873599999999999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649.36931818181813</v>
      </c>
      <c r="BN507" s="64">
        <f>IFERROR(Y507*I507/H507,"0")</f>
        <v>653.07999999999993</v>
      </c>
      <c r="BO507" s="64">
        <f>IFERROR(1/J507*(X507/H507),"0")</f>
        <v>1.1090472027972027</v>
      </c>
      <c r="BP507" s="64">
        <f>IFERROR(1/J507*(Y507/H507),"0")</f>
        <v>1.1153846153846154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115.34090909090908</v>
      </c>
      <c r="Y510" s="629">
        <f>IFERROR(Y507/H507,"0")+IFERROR(Y508/H508,"0")+IFERROR(Y509/H509,"0")</f>
        <v>116</v>
      </c>
      <c r="Z510" s="629">
        <f>IFERROR(IF(Z507="",0,Z507),"0")+IFERROR(IF(Z508="",0,Z508),"0")+IFERROR(IF(Z509="",0,Z509),"0")</f>
        <v>1.3873599999999999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609</v>
      </c>
      <c r="Y511" s="629">
        <f>IFERROR(SUM(Y507:Y509),"0")</f>
        <v>612.48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209</v>
      </c>
      <c r="Y514" s="628">
        <f t="shared" si="63"/>
        <v>211.20000000000002</v>
      </c>
      <c r="Z514" s="36">
        <f>IFERROR(IF(Y514=0,"",ROUNDUP(Y514/H514,0)*0.01196),"")</f>
        <v>0.47839999999999999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222.85416666666666</v>
      </c>
      <c r="BN514" s="64">
        <f t="shared" si="65"/>
        <v>225.2</v>
      </c>
      <c r="BO514" s="64">
        <f t="shared" si="66"/>
        <v>0.38060897435897434</v>
      </c>
      <c r="BP514" s="64">
        <f t="shared" si="67"/>
        <v>0.38461538461538464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313</v>
      </c>
      <c r="Y515" s="628">
        <f t="shared" si="63"/>
        <v>316.8</v>
      </c>
      <c r="Z515" s="36">
        <f>IFERROR(IF(Y515=0,"",ROUNDUP(Y515/H515,0)*0.01196),"")</f>
        <v>0.71760000000000002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333.74810606060606</v>
      </c>
      <c r="BN515" s="64">
        <f t="shared" si="65"/>
        <v>337.8</v>
      </c>
      <c r="BO515" s="64">
        <f t="shared" si="66"/>
        <v>0.57000291375291368</v>
      </c>
      <c r="BP515" s="64">
        <f t="shared" si="67"/>
        <v>0.57692307692307698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98.863636363636346</v>
      </c>
      <c r="Y520" s="629">
        <f>IFERROR(Y513/H513,"0")+IFERROR(Y514/H514,"0")+IFERROR(Y515/H515,"0")+IFERROR(Y516/H516,"0")+IFERROR(Y517/H517,"0")+IFERROR(Y518/H518,"0")+IFERROR(Y519/H519,"0")</f>
        <v>100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1.196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522</v>
      </c>
      <c r="Y521" s="629">
        <f>IFERROR(SUM(Y513:Y519),"0")</f>
        <v>528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17499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17585.059999999998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18644.757744210834</v>
      </c>
      <c r="Y551" s="629">
        <f>IFERROR(SUM(BN22:BN547),"0")</f>
        <v>18735.626000000004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32</v>
      </c>
      <c r="Y552" s="38">
        <f>ROUNDUP(SUM(BP22:BP547),0)</f>
        <v>33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19444.757744210834</v>
      </c>
      <c r="Y553" s="629">
        <f>GrossWeightTotalR+PalletQtyTotalR*25</f>
        <v>19560.626000000004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3356.6455574872239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3373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38.000200000000007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124.2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1175.9000000000001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201.6</v>
      </c>
      <c r="F560" s="46">
        <f>IFERROR(Y88*1,"0")+IFERROR(Y89*1,"0")+IFERROR(Y90*1,"0")+IFERROR(Y91*1,"0")+IFERROR(Y95*1,"0")+IFERROR(Y96*1,"0")+IFERROR(Y97*1,"0")+IFERROR(Y98*1,"0")</f>
        <v>983.7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1518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136.07999999999998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161.70000000000002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3188.3999999999996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202.79999999999998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2043.6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3075</v>
      </c>
      <c r="W560" s="46">
        <f>IFERROR(Y451*1,"0")+IFERROR(Y452*1,"0")+IFERROR(Y456*1,"0")+IFERROR(Y460*1,"0")+IFERROR(Y461*1,"0")+IFERROR(Y462*1,"0")</f>
        <v>2340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2434.08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5,00"/>
        <filter val="1 087,92"/>
        <filter val="1 090,00"/>
        <filter val="1 175,00"/>
        <filter val="1 291,00"/>
        <filter val="1 396,00"/>
        <filter val="115,34"/>
        <filter val="123,90"/>
        <filter val="124,00"/>
        <filter val="134,53"/>
        <filter val="135,00"/>
        <filter val="152,47"/>
        <filter val="153,00"/>
        <filter val="154,00"/>
        <filter val="161,00"/>
        <filter val="17 499,00"/>
        <filter val="17,23"/>
        <filter val="18 644,76"/>
        <filter val="185,43"/>
        <filter val="19 444,76"/>
        <filter val="193,00"/>
        <filter val="199,00"/>
        <filter val="2 018,00"/>
        <filter val="2 036,00"/>
        <filter val="2 340,00"/>
        <filter val="2 611,00"/>
        <filter val="204,63"/>
        <filter val="209,00"/>
        <filter val="244,51"/>
        <filter val="25,51"/>
        <filter val="251,00"/>
        <filter val="257,00"/>
        <filter val="260,00"/>
        <filter val="261,03"/>
        <filter val="292,00"/>
        <filter val="3 356,65"/>
        <filter val="300,00"/>
        <filter val="313,00"/>
        <filter val="32"/>
        <filter val="34,22"/>
        <filter val="350,00"/>
        <filter val="39,17"/>
        <filter val="407,00"/>
        <filter val="452,00"/>
        <filter val="457,00"/>
        <filter val="522,00"/>
        <filter val="527,00"/>
        <filter val="563,00"/>
        <filter val="608,00"/>
        <filter val="609,00"/>
        <filter val="61,00"/>
        <filter val="610,00"/>
        <filter val="63,00"/>
        <filter val="65,00"/>
        <filter val="68,89"/>
        <filter val="69,67"/>
        <filter val="70,00"/>
        <filter val="76,31"/>
        <filter val="76,67"/>
        <filter val="764,00"/>
        <filter val="80,36"/>
        <filter val="802,00"/>
        <filter val="817,00"/>
        <filter val="83,00"/>
        <filter val="85,00"/>
        <filter val="92,00"/>
        <filter val="94,00"/>
        <filter val="96,00"/>
        <filter val="98,86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