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FDC0A15-E433-48B6-BFCE-C7E01734CE9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N264" i="2" s="1"/>
  <c r="P264" i="2"/>
  <c r="X262" i="2"/>
  <c r="X261" i="2"/>
  <c r="BO260" i="2"/>
  <c r="BM260" i="2"/>
  <c r="Y260" i="2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Y204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Y151" i="2" s="1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BN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J9" i="2" s="1"/>
  <c r="D7" i="2"/>
  <c r="Q6" i="2"/>
  <c r="P2" i="2"/>
  <c r="Y262" i="2" l="1"/>
  <c r="BN284" i="2"/>
  <c r="Z328" i="2"/>
  <c r="BN364" i="2"/>
  <c r="Z428" i="2"/>
  <c r="BN28" i="2"/>
  <c r="BN290" i="2"/>
  <c r="BN155" i="2"/>
  <c r="BN186" i="2"/>
  <c r="BN260" i="2"/>
  <c r="BP264" i="2"/>
  <c r="Y412" i="2"/>
  <c r="BN463" i="2"/>
  <c r="BN61" i="2"/>
  <c r="BN214" i="2"/>
  <c r="Z320" i="2"/>
  <c r="BN457" i="2"/>
  <c r="BN498" i="2"/>
  <c r="Z264" i="2"/>
  <c r="Z266" i="2" s="1"/>
  <c r="BN115" i="2"/>
  <c r="BN259" i="2"/>
  <c r="Y55" i="2"/>
  <c r="Z280" i="2"/>
  <c r="BN389" i="2"/>
  <c r="BN515" i="2"/>
  <c r="Z167" i="2"/>
  <c r="Z90" i="2"/>
  <c r="Z134" i="2"/>
  <c r="BN304" i="2"/>
  <c r="Z373" i="2"/>
  <c r="BN82" i="2"/>
  <c r="BN231" i="2"/>
  <c r="BN402" i="2"/>
  <c r="BP127" i="2"/>
  <c r="Z173" i="2"/>
  <c r="BN373" i="2"/>
  <c r="BN396" i="2"/>
  <c r="BN416" i="2"/>
  <c r="BN30" i="2"/>
  <c r="Z182" i="2"/>
  <c r="Z192" i="2"/>
  <c r="BP202" i="2"/>
  <c r="BN288" i="2"/>
  <c r="BN446" i="2"/>
  <c r="BN472" i="2"/>
  <c r="Z35" i="2"/>
  <c r="Z36" i="2" s="1"/>
  <c r="BP283" i="2"/>
  <c r="BP363" i="2"/>
  <c r="Z185" i="2"/>
  <c r="Z270" i="2"/>
  <c r="Z283" i="2"/>
  <c r="Z302" i="2"/>
  <c r="Z356" i="2"/>
  <c r="Y360" i="2"/>
  <c r="Z363" i="2"/>
  <c r="Z504" i="2"/>
  <c r="Z31" i="2"/>
  <c r="Z43" i="2"/>
  <c r="Y79" i="2"/>
  <c r="Y137" i="2"/>
  <c r="Z156" i="2"/>
  <c r="Y37" i="2"/>
  <c r="Z59" i="2"/>
  <c r="BN77" i="2"/>
  <c r="F561" i="2"/>
  <c r="Z113" i="2"/>
  <c r="Y128" i="2"/>
  <c r="Z132" i="2"/>
  <c r="BN148" i="2"/>
  <c r="Z157" i="2"/>
  <c r="BP187" i="2"/>
  <c r="BN226" i="2"/>
  <c r="Z230" i="2"/>
  <c r="Z244" i="2"/>
  <c r="Z250" i="2"/>
  <c r="BP273" i="2"/>
  <c r="BN274" i="2"/>
  <c r="Z290" i="2"/>
  <c r="Z304" i="2"/>
  <c r="BN368" i="2"/>
  <c r="BN383" i="2"/>
  <c r="Z402" i="2"/>
  <c r="BN441" i="2"/>
  <c r="Z457" i="2"/>
  <c r="Z458" i="2" s="1"/>
  <c r="BN473" i="2"/>
  <c r="BN517" i="2"/>
  <c r="BP185" i="2"/>
  <c r="Y25" i="2"/>
  <c r="BP35" i="2"/>
  <c r="BN72" i="2"/>
  <c r="BN106" i="2"/>
  <c r="BN120" i="2"/>
  <c r="Z122" i="2"/>
  <c r="Y158" i="2"/>
  <c r="BN209" i="2"/>
  <c r="Z231" i="2"/>
  <c r="BN235" i="2"/>
  <c r="Z273" i="2"/>
  <c r="Y323" i="2"/>
  <c r="Z336" i="2"/>
  <c r="Z346" i="2"/>
  <c r="BN351" i="2"/>
  <c r="BN358" i="2"/>
  <c r="Z364" i="2"/>
  <c r="BN374" i="2"/>
  <c r="Z425" i="2"/>
  <c r="BP428" i="2"/>
  <c r="BN429" i="2"/>
  <c r="Y458" i="2"/>
  <c r="BN470" i="2"/>
  <c r="Z472" i="2"/>
  <c r="Y532" i="2"/>
  <c r="X555" i="2"/>
  <c r="BN424" i="2"/>
  <c r="BP44" i="2"/>
  <c r="BP121" i="2"/>
  <c r="Y125" i="2"/>
  <c r="BP133" i="2"/>
  <c r="Y170" i="2"/>
  <c r="Y169" i="2"/>
  <c r="Z166" i="2"/>
  <c r="BN172" i="2"/>
  <c r="Z172" i="2"/>
  <c r="Z174" i="2" s="1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Z79" i="2" s="1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BP77" i="2"/>
  <c r="Z82" i="2"/>
  <c r="BP90" i="2"/>
  <c r="Y99" i="2"/>
  <c r="Z103" i="2"/>
  <c r="Y109" i="2"/>
  <c r="Z112" i="2"/>
  <c r="BN113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Z261" i="2" s="1"/>
  <c r="BP302" i="2"/>
  <c r="BP327" i="2"/>
  <c r="Z327" i="2"/>
  <c r="BP357" i="2"/>
  <c r="Y380" i="2"/>
  <c r="BP377" i="2"/>
  <c r="Z377" i="2"/>
  <c r="BP447" i="2"/>
  <c r="BN447" i="2"/>
  <c r="Z447" i="2"/>
  <c r="Z448" i="2" s="1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BP446" i="2"/>
  <c r="Z452" i="2"/>
  <c r="Z454" i="2" s="1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Z84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Z32" i="2" s="1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Y256" i="2"/>
  <c r="Z276" i="2"/>
  <c r="Z286" i="2"/>
  <c r="Z296" i="2"/>
  <c r="Z297" i="2" s="1"/>
  <c r="Z307" i="2"/>
  <c r="Y312" i="2"/>
  <c r="Z319" i="2"/>
  <c r="Z330" i="2"/>
  <c r="BN344" i="2"/>
  <c r="Y347" i="2"/>
  <c r="Z366" i="2"/>
  <c r="Z376" i="2"/>
  <c r="BN398" i="2"/>
  <c r="Z408" i="2"/>
  <c r="BN423" i="2"/>
  <c r="Z478" i="2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BP139" i="2"/>
  <c r="Z147" i="2"/>
  <c r="BP223" i="2"/>
  <c r="Y252" i="2"/>
  <c r="Y277" i="2"/>
  <c r="Y297" i="2"/>
  <c r="Y308" i="2"/>
  <c r="Z315" i="2"/>
  <c r="Z316" i="2" s="1"/>
  <c r="Y331" i="2"/>
  <c r="Z350" i="2"/>
  <c r="Z352" i="2" s="1"/>
  <c r="Z404" i="2"/>
  <c r="Z462" i="2"/>
  <c r="Z464" i="2" s="1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51" i="2" s="1"/>
  <c r="Z272" i="2"/>
  <c r="Z282" i="2"/>
  <c r="Y293" i="2"/>
  <c r="Z303" i="2"/>
  <c r="BN315" i="2"/>
  <c r="Z326" i="2"/>
  <c r="Z337" i="2"/>
  <c r="BN350" i="2"/>
  <c r="Z372" i="2"/>
  <c r="Z382" i="2"/>
  <c r="Z386" i="2" s="1"/>
  <c r="BN404" i="2"/>
  <c r="Z415" i="2"/>
  <c r="Z418" i="2" s="1"/>
  <c r="Z427" i="2"/>
  <c r="BN462" i="2"/>
  <c r="BN474" i="2"/>
  <c r="BN499" i="2"/>
  <c r="BN509" i="2"/>
  <c r="BN519" i="2"/>
  <c r="Z543" i="2"/>
  <c r="Z544" i="2" s="1"/>
  <c r="Y549" i="2"/>
  <c r="X561" i="2"/>
  <c r="Z42" i="2"/>
  <c r="Z65" i="2"/>
  <c r="BN42" i="2"/>
  <c r="BN88" i="2"/>
  <c r="Z45" i="2"/>
  <c r="Z135" i="2"/>
  <c r="Z136" i="2" s="1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124" i="2" l="1"/>
  <c r="Z405" i="2"/>
  <c r="Z369" i="2"/>
  <c r="Z245" i="2"/>
  <c r="Z480" i="2"/>
  <c r="Z322" i="2"/>
  <c r="Z338" i="2"/>
  <c r="Z411" i="2"/>
  <c r="Z359" i="2"/>
  <c r="Z150" i="2"/>
  <c r="Z292" i="2"/>
  <c r="Z475" i="2"/>
  <c r="Z277" i="2"/>
  <c r="Z215" i="2"/>
  <c r="Z117" i="2"/>
  <c r="Z158" i="2"/>
  <c r="X554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<sst xmlns="http://schemas.openxmlformats.org/spreadsheetml/2006/main" count="4194" uniqueCount="891">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</sst>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426" sqref="AA42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8" t="s">
        <v>26</v>
      </c>
      <c r="E1" s="638"/>
      <c r="F1" s="638"/>
      <c r="G1" s="14" t="s">
        <v>66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67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2" t="s">
        <v>8</v>
      </c>
      <c r="B5" s="642"/>
      <c r="C5" s="642"/>
      <c r="D5" s="643"/>
      <c r="E5" s="643"/>
      <c r="F5" s="644" t="s">
        <v>14</v>
      </c>
      <c r="G5" s="644"/>
      <c r="H5" s="643" t="s">
        <v>890</v>
      </c>
      <c r="I5" s="643"/>
      <c r="J5" s="643"/>
      <c r="K5" s="643"/>
      <c r="L5" s="643"/>
      <c r="M5" s="643"/>
      <c r="N5" s="72"/>
      <c r="P5" s="27" t="s">
        <v>4</v>
      </c>
      <c r="Q5" s="645">
        <v>46231</v>
      </c>
      <c r="R5" s="645"/>
      <c r="T5" s="646" t="s">
        <v>3</v>
      </c>
      <c r="U5" s="647"/>
      <c r="V5" s="648" t="s">
        <v>870</v>
      </c>
      <c r="W5" s="649"/>
      <c r="AB5" s="59"/>
      <c r="AC5" s="59"/>
      <c r="AD5" s="59"/>
      <c r="AE5" s="59"/>
    </row>
    <row r="6" spans="1:32" s="17" customFormat="1" ht="24" customHeight="1" x14ac:dyDescent="0.2">
      <c r="A6" s="642" t="s">
        <v>1</v>
      </c>
      <c r="B6" s="642"/>
      <c r="C6" s="642"/>
      <c r="D6" s="650" t="s">
        <v>871</v>
      </c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Вторник</v>
      </c>
      <c r="R6" s="651"/>
      <c r="T6" s="652" t="s">
        <v>5</v>
      </c>
      <c r="U6" s="653"/>
      <c r="V6" s="654" t="s">
        <v>69</v>
      </c>
      <c r="W6" s="6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0" t="str">
        <f>IFERROR(VLOOKUP(DeliveryAddress,Table,3,0),1)</f>
        <v>1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">
      <c r="A8" s="663" t="s">
        <v>57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0.375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39.950000000000003" customHeight="1" x14ac:dyDescent="0.2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70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889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7" t="s">
        <v>71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">
      <c r="A13" s="677" t="s">
        <v>72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7" t="s">
        <v>73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9" t="s">
        <v>74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60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4" t="s">
        <v>58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65</v>
      </c>
      <c r="L17" s="684" t="s">
        <v>63</v>
      </c>
      <c r="M17" s="684" t="s">
        <v>2</v>
      </c>
      <c r="N17" s="684" t="s">
        <v>62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55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59</v>
      </c>
      <c r="AB17" s="698" t="s">
        <v>19</v>
      </c>
      <c r="AC17" s="698" t="s">
        <v>64</v>
      </c>
      <c r="AD17" s="700" t="s">
        <v>56</v>
      </c>
      <c r="AE17" s="701"/>
      <c r="AF17" s="702"/>
      <c r="AG17" s="82"/>
      <c r="BD17" s="81" t="s">
        <v>61</v>
      </c>
    </row>
    <row r="18" spans="1:68" ht="14.25" customHeight="1" x14ac:dyDescent="0.2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hidden="1" customHeight="1" x14ac:dyDescent="0.2">
      <c r="A19" s="706" t="s">
        <v>75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hidden="1" customHeight="1" x14ac:dyDescent="0.25">
      <c r="A20" s="707" t="s">
        <v>75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hidden="1" customHeight="1" x14ac:dyDescent="0.25">
      <c r="A21" s="708" t="s">
        <v>76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08" t="s">
        <v>85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708" t="s">
        <v>103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66"/>
      <c r="AB34" s="66"/>
      <c r="AC34" s="80"/>
    </row>
    <row r="35" spans="1:68" ht="27" hidden="1" customHeight="1" x14ac:dyDescent="0.25">
      <c r="A35" s="63" t="s">
        <v>104</v>
      </c>
      <c r="B35" s="63" t="s">
        <v>105</v>
      </c>
      <c r="C35" s="36">
        <v>4301032013</v>
      </c>
      <c r="D35" s="709">
        <v>4607091388503</v>
      </c>
      <c r="E35" s="70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90</v>
      </c>
      <c r="L35" s="37" t="s">
        <v>46</v>
      </c>
      <c r="M35" s="38" t="s">
        <v>108</v>
      </c>
      <c r="N35" s="38"/>
      <c r="O35" s="37">
        <v>120</v>
      </c>
      <c r="P35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11"/>
      <c r="R35" s="711"/>
      <c r="S35" s="711"/>
      <c r="T35" s="71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106</v>
      </c>
      <c r="AG35" s="78"/>
      <c r="AJ35" s="84" t="s">
        <v>46</v>
      </c>
      <c r="AK35" s="84">
        <v>0</v>
      </c>
      <c r="BB35" s="101" t="s">
        <v>107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17"/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8"/>
      <c r="P36" s="714" t="s">
        <v>40</v>
      </c>
      <c r="Q36" s="715"/>
      <c r="R36" s="715"/>
      <c r="S36" s="715"/>
      <c r="T36" s="715"/>
      <c r="U36" s="715"/>
      <c r="V36" s="716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717"/>
      <c r="B37" s="717"/>
      <c r="C37" s="717"/>
      <c r="D37" s="717"/>
      <c r="E37" s="717"/>
      <c r="F37" s="717"/>
      <c r="G37" s="717"/>
      <c r="H37" s="717"/>
      <c r="I37" s="717"/>
      <c r="J37" s="717"/>
      <c r="K37" s="717"/>
      <c r="L37" s="717"/>
      <c r="M37" s="717"/>
      <c r="N37" s="717"/>
      <c r="O37" s="718"/>
      <c r="P37" s="714" t="s">
        <v>40</v>
      </c>
      <c r="Q37" s="715"/>
      <c r="R37" s="715"/>
      <c r="S37" s="715"/>
      <c r="T37" s="715"/>
      <c r="U37" s="715"/>
      <c r="V37" s="716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706" t="s">
        <v>45</v>
      </c>
      <c r="B38" s="706"/>
      <c r="C38" s="706"/>
      <c r="D38" s="706"/>
      <c r="E38" s="706"/>
      <c r="F38" s="706"/>
      <c r="G38" s="706"/>
      <c r="H38" s="706"/>
      <c r="I38" s="706"/>
      <c r="J38" s="706"/>
      <c r="K38" s="706"/>
      <c r="L38" s="706"/>
      <c r="M38" s="706"/>
      <c r="N38" s="706"/>
      <c r="O38" s="706"/>
      <c r="P38" s="706"/>
      <c r="Q38" s="706"/>
      <c r="R38" s="706"/>
      <c r="S38" s="706"/>
      <c r="T38" s="706"/>
      <c r="U38" s="706"/>
      <c r="V38" s="706"/>
      <c r="W38" s="706"/>
      <c r="X38" s="706"/>
      <c r="Y38" s="706"/>
      <c r="Z38" s="706"/>
      <c r="AA38" s="54"/>
      <c r="AB38" s="54"/>
      <c r="AC38" s="54"/>
    </row>
    <row r="39" spans="1:68" ht="16.5" hidden="1" customHeight="1" x14ac:dyDescent="0.25">
      <c r="A39" s="707" t="s">
        <v>109</v>
      </c>
      <c r="B39" s="707"/>
      <c r="C39" s="707"/>
      <c r="D39" s="707"/>
      <c r="E39" s="707"/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07"/>
      <c r="T39" s="707"/>
      <c r="U39" s="707"/>
      <c r="V39" s="707"/>
      <c r="W39" s="707"/>
      <c r="X39" s="707"/>
      <c r="Y39" s="707"/>
      <c r="Z39" s="707"/>
      <c r="AA39" s="65"/>
      <c r="AB39" s="65"/>
      <c r="AC39" s="79"/>
    </row>
    <row r="40" spans="1:68" ht="14.25" hidden="1" customHeight="1" x14ac:dyDescent="0.25">
      <c r="A40" s="708" t="s">
        <v>85</v>
      </c>
      <c r="B40" s="708"/>
      <c r="C40" s="708"/>
      <c r="D40" s="708"/>
      <c r="E40" s="708"/>
      <c r="F40" s="708"/>
      <c r="G40" s="708"/>
      <c r="H40" s="708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Y40" s="708"/>
      <c r="Z40" s="708"/>
      <c r="AA40" s="66"/>
      <c r="AB40" s="66"/>
      <c r="AC40" s="80"/>
    </row>
    <row r="41" spans="1:68" ht="27" hidden="1" customHeight="1" x14ac:dyDescent="0.25">
      <c r="A41" s="63" t="s">
        <v>110</v>
      </c>
      <c r="B41" s="63" t="s">
        <v>111</v>
      </c>
      <c r="C41" s="36">
        <v>4301052187</v>
      </c>
      <c r="D41" s="709">
        <v>4680115889354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96</v>
      </c>
      <c r="N41" s="38"/>
      <c r="O41" s="37">
        <v>40</v>
      </c>
      <c r="P41" s="72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112</v>
      </c>
      <c r="AG41" s="78"/>
      <c r="AJ41" s="84" t="s">
        <v>46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113</v>
      </c>
      <c r="B42" s="63" t="s">
        <v>114</v>
      </c>
      <c r="C42" s="36">
        <v>4301052198</v>
      </c>
      <c r="D42" s="709">
        <v>4680115888463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72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115</v>
      </c>
      <c r="AG42" s="78"/>
      <c r="AJ42" s="84" t="s">
        <v>46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116</v>
      </c>
      <c r="B43" s="63" t="s">
        <v>117</v>
      </c>
      <c r="C43" s="36">
        <v>4301052202</v>
      </c>
      <c r="D43" s="709">
        <v>4680115888494</v>
      </c>
      <c r="E43" s="70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90</v>
      </c>
      <c r="L43" s="37" t="s">
        <v>46</v>
      </c>
      <c r="M43" s="38" t="s">
        <v>89</v>
      </c>
      <c r="N43" s="38"/>
      <c r="O43" s="37">
        <v>40</v>
      </c>
      <c r="P43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11"/>
      <c r="R43" s="711"/>
      <c r="S43" s="711"/>
      <c r="T43" s="71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118</v>
      </c>
      <c r="AG43" s="78"/>
      <c r="AJ43" s="84" t="s">
        <v>46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119</v>
      </c>
      <c r="B44" s="63" t="s">
        <v>120</v>
      </c>
      <c r="C44" s="36">
        <v>4301052184</v>
      </c>
      <c r="D44" s="709">
        <v>4680115888272</v>
      </c>
      <c r="E44" s="70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90</v>
      </c>
      <c r="L44" s="37" t="s">
        <v>46</v>
      </c>
      <c r="M44" s="38" t="s">
        <v>89</v>
      </c>
      <c r="N44" s="38"/>
      <c r="O44" s="37">
        <v>40</v>
      </c>
      <c r="P44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1"/>
      <c r="R44" s="711"/>
      <c r="S44" s="711"/>
      <c r="T44" s="71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121</v>
      </c>
      <c r="AG44" s="78"/>
      <c r="AJ44" s="84" t="s">
        <v>46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122</v>
      </c>
      <c r="B45" s="63" t="s">
        <v>123</v>
      </c>
      <c r="C45" s="36">
        <v>4301052188</v>
      </c>
      <c r="D45" s="709">
        <v>4680115888364</v>
      </c>
      <c r="E45" s="70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90</v>
      </c>
      <c r="L45" s="37" t="s">
        <v>46</v>
      </c>
      <c r="M45" s="38" t="s">
        <v>89</v>
      </c>
      <c r="N45" s="38"/>
      <c r="O45" s="37">
        <v>40</v>
      </c>
      <c r="P45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1"/>
      <c r="R45" s="711"/>
      <c r="S45" s="711"/>
      <c r="T45" s="71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124</v>
      </c>
      <c r="AG45" s="78"/>
      <c r="AJ45" s="84" t="s">
        <v>46</v>
      </c>
      <c r="AK45" s="84">
        <v>0</v>
      </c>
      <c r="BB45" s="111" t="s">
        <v>66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17"/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8"/>
      <c r="P46" s="714" t="s">
        <v>40</v>
      </c>
      <c r="Q46" s="715"/>
      <c r="R46" s="715"/>
      <c r="S46" s="715"/>
      <c r="T46" s="715"/>
      <c r="U46" s="715"/>
      <c r="V46" s="716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17"/>
      <c r="B47" s="717"/>
      <c r="C47" s="717"/>
      <c r="D47" s="717"/>
      <c r="E47" s="717"/>
      <c r="F47" s="717"/>
      <c r="G47" s="717"/>
      <c r="H47" s="717"/>
      <c r="I47" s="717"/>
      <c r="J47" s="717"/>
      <c r="K47" s="717"/>
      <c r="L47" s="717"/>
      <c r="M47" s="717"/>
      <c r="N47" s="717"/>
      <c r="O47" s="718"/>
      <c r="P47" s="714" t="s">
        <v>40</v>
      </c>
      <c r="Q47" s="715"/>
      <c r="R47" s="715"/>
      <c r="S47" s="715"/>
      <c r="T47" s="715"/>
      <c r="U47" s="715"/>
      <c r="V47" s="716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06" t="s">
        <v>125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6"/>
      <c r="Q48" s="706"/>
      <c r="R48" s="706"/>
      <c r="S48" s="706"/>
      <c r="T48" s="706"/>
      <c r="U48" s="706"/>
      <c r="V48" s="706"/>
      <c r="W48" s="706"/>
      <c r="X48" s="706"/>
      <c r="Y48" s="706"/>
      <c r="Z48" s="706"/>
      <c r="AA48" s="54"/>
      <c r="AB48" s="54"/>
      <c r="AC48" s="54"/>
    </row>
    <row r="49" spans="1:68" ht="16.5" hidden="1" customHeight="1" x14ac:dyDescent="0.25">
      <c r="A49" s="707" t="s">
        <v>126</v>
      </c>
      <c r="B49" s="707"/>
      <c r="C49" s="707"/>
      <c r="D49" s="707"/>
      <c r="E49" s="707"/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07"/>
      <c r="T49" s="707"/>
      <c r="U49" s="707"/>
      <c r="V49" s="707"/>
      <c r="W49" s="707"/>
      <c r="X49" s="707"/>
      <c r="Y49" s="707"/>
      <c r="Z49" s="707"/>
      <c r="AA49" s="65"/>
      <c r="AB49" s="65"/>
      <c r="AC49" s="79"/>
    </row>
    <row r="50" spans="1:68" ht="14.25" hidden="1" customHeight="1" x14ac:dyDescent="0.25">
      <c r="A50" s="708" t="s">
        <v>127</v>
      </c>
      <c r="B50" s="708"/>
      <c r="C50" s="708"/>
      <c r="D50" s="708"/>
      <c r="E50" s="708"/>
      <c r="F50" s="708"/>
      <c r="G50" s="708"/>
      <c r="H50" s="708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Y50" s="708"/>
      <c r="Z50" s="708"/>
      <c r="AA50" s="66"/>
      <c r="AB50" s="66"/>
      <c r="AC50" s="80"/>
    </row>
    <row r="51" spans="1:68" ht="16.5" hidden="1" customHeight="1" x14ac:dyDescent="0.25">
      <c r="A51" s="63" t="s">
        <v>128</v>
      </c>
      <c r="B51" s="63" t="s">
        <v>129</v>
      </c>
      <c r="C51" s="36">
        <v>4301011380</v>
      </c>
      <c r="D51" s="709">
        <v>4607091385670</v>
      </c>
      <c r="E51" s="70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132</v>
      </c>
      <c r="L51" s="37" t="s">
        <v>46</v>
      </c>
      <c r="M51" s="38" t="s">
        <v>131</v>
      </c>
      <c r="N51" s="38"/>
      <c r="O51" s="37">
        <v>50</v>
      </c>
      <c r="P51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130</v>
      </c>
      <c r="AG51" s="78"/>
      <c r="AJ51" s="84" t="s">
        <v>46</v>
      </c>
      <c r="AK51" s="84">
        <v>0</v>
      </c>
      <c r="BB51" s="113" t="s">
        <v>66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133</v>
      </c>
      <c r="B52" s="63" t="s">
        <v>134</v>
      </c>
      <c r="C52" s="36">
        <v>4301012053</v>
      </c>
      <c r="D52" s="709">
        <v>4680115887725</v>
      </c>
      <c r="E52" s="70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136</v>
      </c>
      <c r="L52" s="37" t="s">
        <v>46</v>
      </c>
      <c r="M52" s="38" t="s">
        <v>80</v>
      </c>
      <c r="N52" s="38"/>
      <c r="O52" s="37">
        <v>30</v>
      </c>
      <c r="P52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1"/>
      <c r="R52" s="711"/>
      <c r="S52" s="711"/>
      <c r="T52" s="71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66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137</v>
      </c>
      <c r="B53" s="63" t="s">
        <v>138</v>
      </c>
      <c r="C53" s="36">
        <v>4301011382</v>
      </c>
      <c r="D53" s="709">
        <v>4607091385687</v>
      </c>
      <c r="E53" s="70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139</v>
      </c>
      <c r="L53" s="37" t="s">
        <v>46</v>
      </c>
      <c r="M53" s="38" t="s">
        <v>89</v>
      </c>
      <c r="N53" s="38"/>
      <c r="O53" s="37">
        <v>50</v>
      </c>
      <c r="P53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1"/>
      <c r="R53" s="711"/>
      <c r="S53" s="711"/>
      <c r="T53" s="712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130</v>
      </c>
      <c r="AG53" s="78"/>
      <c r="AJ53" s="84" t="s">
        <v>46</v>
      </c>
      <c r="AK53" s="84">
        <v>0</v>
      </c>
      <c r="BB53" s="117" t="s">
        <v>66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140</v>
      </c>
      <c r="B54" s="63" t="s">
        <v>141</v>
      </c>
      <c r="C54" s="36">
        <v>4301011565</v>
      </c>
      <c r="D54" s="709">
        <v>4680115882539</v>
      </c>
      <c r="E54" s="70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139</v>
      </c>
      <c r="L54" s="37" t="s">
        <v>46</v>
      </c>
      <c r="M54" s="38" t="s">
        <v>89</v>
      </c>
      <c r="N54" s="38"/>
      <c r="O54" s="37">
        <v>50</v>
      </c>
      <c r="P54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1"/>
      <c r="R54" s="711"/>
      <c r="S54" s="711"/>
      <c r="T54" s="71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130</v>
      </c>
      <c r="AG54" s="78"/>
      <c r="AJ54" s="84" t="s">
        <v>46</v>
      </c>
      <c r="AK54" s="84">
        <v>0</v>
      </c>
      <c r="BB54" s="119" t="s">
        <v>66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717"/>
      <c r="B55" s="717"/>
      <c r="C55" s="717"/>
      <c r="D55" s="717"/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8"/>
      <c r="P55" s="714" t="s">
        <v>40</v>
      </c>
      <c r="Q55" s="715"/>
      <c r="R55" s="715"/>
      <c r="S55" s="715"/>
      <c r="T55" s="715"/>
      <c r="U55" s="715"/>
      <c r="V55" s="716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717"/>
      <c r="B56" s="717"/>
      <c r="C56" s="717"/>
      <c r="D56" s="717"/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8"/>
      <c r="P56" s="714" t="s">
        <v>40</v>
      </c>
      <c r="Q56" s="715"/>
      <c r="R56" s="715"/>
      <c r="S56" s="715"/>
      <c r="T56" s="715"/>
      <c r="U56" s="715"/>
      <c r="V56" s="716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707" t="s">
        <v>142</v>
      </c>
      <c r="B57" s="707"/>
      <c r="C57" s="707"/>
      <c r="D57" s="707"/>
      <c r="E57" s="707"/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07"/>
      <c r="T57" s="707"/>
      <c r="U57" s="707"/>
      <c r="V57" s="707"/>
      <c r="W57" s="707"/>
      <c r="X57" s="707"/>
      <c r="Y57" s="707"/>
      <c r="Z57" s="707"/>
      <c r="AA57" s="65"/>
      <c r="AB57" s="65"/>
      <c r="AC57" s="79"/>
    </row>
    <row r="58" spans="1:68" ht="14.25" hidden="1" customHeight="1" x14ac:dyDescent="0.25">
      <c r="A58" s="708" t="s">
        <v>127</v>
      </c>
      <c r="B58" s="708"/>
      <c r="C58" s="708"/>
      <c r="D58" s="708"/>
      <c r="E58" s="708"/>
      <c r="F58" s="708"/>
      <c r="G58" s="708"/>
      <c r="H58" s="708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708"/>
      <c r="AA58" s="66"/>
      <c r="AB58" s="66"/>
      <c r="AC58" s="80"/>
    </row>
    <row r="59" spans="1:68" ht="27" hidden="1" customHeight="1" x14ac:dyDescent="0.25">
      <c r="A59" s="63" t="s">
        <v>143</v>
      </c>
      <c r="B59" s="63" t="s">
        <v>144</v>
      </c>
      <c r="C59" s="36">
        <v>4301012030</v>
      </c>
      <c r="D59" s="709">
        <v>4680115885882</v>
      </c>
      <c r="E59" s="70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132</v>
      </c>
      <c r="L59" s="37" t="s">
        <v>46</v>
      </c>
      <c r="M59" s="38" t="s">
        <v>89</v>
      </c>
      <c r="N59" s="38"/>
      <c r="O59" s="37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145</v>
      </c>
      <c r="AG59" s="78"/>
      <c r="AJ59" s="84" t="s">
        <v>46</v>
      </c>
      <c r="AK59" s="84">
        <v>0</v>
      </c>
      <c r="BB59" s="121" t="s">
        <v>66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143</v>
      </c>
      <c r="B60" s="63" t="s">
        <v>146</v>
      </c>
      <c r="C60" s="36">
        <v>4301012161</v>
      </c>
      <c r="D60" s="709">
        <v>4680115885882</v>
      </c>
      <c r="E60" s="70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132</v>
      </c>
      <c r="L60" s="37" t="s">
        <v>46</v>
      </c>
      <c r="M60" s="38" t="s">
        <v>131</v>
      </c>
      <c r="N60" s="38"/>
      <c r="O60" s="37">
        <v>50</v>
      </c>
      <c r="P60" s="7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147</v>
      </c>
      <c r="AG60" s="78"/>
      <c r="AJ60" s="84" t="s">
        <v>46</v>
      </c>
      <c r="AK60" s="84">
        <v>0</v>
      </c>
      <c r="BB60" s="123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148</v>
      </c>
      <c r="B61" s="63" t="s">
        <v>149</v>
      </c>
      <c r="C61" s="36">
        <v>4301011816</v>
      </c>
      <c r="D61" s="709">
        <v>4680115881426</v>
      </c>
      <c r="E61" s="70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132</v>
      </c>
      <c r="L61" s="37" t="s">
        <v>46</v>
      </c>
      <c r="M61" s="38" t="s">
        <v>131</v>
      </c>
      <c r="N61" s="38"/>
      <c r="O61" s="37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150</v>
      </c>
      <c r="AG61" s="78"/>
      <c r="AJ61" s="84" t="s">
        <v>46</v>
      </c>
      <c r="AK61" s="84">
        <v>0</v>
      </c>
      <c r="BB61" s="125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151</v>
      </c>
      <c r="B62" s="63" t="s">
        <v>152</v>
      </c>
      <c r="C62" s="36">
        <v>4301011386</v>
      </c>
      <c r="D62" s="709">
        <v>4680115880283</v>
      </c>
      <c r="E62" s="70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139</v>
      </c>
      <c r="L62" s="37" t="s">
        <v>46</v>
      </c>
      <c r="M62" s="38" t="s">
        <v>131</v>
      </c>
      <c r="N62" s="38"/>
      <c r="O62" s="37">
        <v>45</v>
      </c>
      <c r="P62" s="7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11"/>
      <c r="R62" s="711"/>
      <c r="S62" s="711"/>
      <c r="T62" s="71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153</v>
      </c>
      <c r="AG62" s="78"/>
      <c r="AJ62" s="84" t="s">
        <v>46</v>
      </c>
      <c r="AK62" s="84">
        <v>0</v>
      </c>
      <c r="BB62" s="127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151</v>
      </c>
      <c r="B63" s="63" t="s">
        <v>154</v>
      </c>
      <c r="C63" s="36">
        <v>4301012259</v>
      </c>
      <c r="D63" s="709">
        <v>4680115880283</v>
      </c>
      <c r="E63" s="70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139</v>
      </c>
      <c r="L63" s="37" t="s">
        <v>46</v>
      </c>
      <c r="M63" s="38" t="s">
        <v>131</v>
      </c>
      <c r="N63" s="38"/>
      <c r="O63" s="37">
        <v>45</v>
      </c>
      <c r="P63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11"/>
      <c r="R63" s="711"/>
      <c r="S63" s="711"/>
      <c r="T63" s="71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153</v>
      </c>
      <c r="AG63" s="78"/>
      <c r="AJ63" s="84" t="s">
        <v>46</v>
      </c>
      <c r="AK63" s="84">
        <v>0</v>
      </c>
      <c r="BB63" s="129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155</v>
      </c>
      <c r="B64" s="63" t="s">
        <v>156</v>
      </c>
      <c r="C64" s="36">
        <v>4301011806</v>
      </c>
      <c r="D64" s="709">
        <v>4680115881525</v>
      </c>
      <c r="E64" s="70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139</v>
      </c>
      <c r="L64" s="37" t="s">
        <v>46</v>
      </c>
      <c r="M64" s="38" t="s">
        <v>131</v>
      </c>
      <c r="N64" s="38"/>
      <c r="O64" s="37">
        <v>50</v>
      </c>
      <c r="P64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11"/>
      <c r="R64" s="711"/>
      <c r="S64" s="711"/>
      <c r="T64" s="71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158</v>
      </c>
      <c r="B65" s="63" t="s">
        <v>159</v>
      </c>
      <c r="C65" s="36">
        <v>4301012165</v>
      </c>
      <c r="D65" s="709">
        <v>4680115885899</v>
      </c>
      <c r="E65" s="70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90</v>
      </c>
      <c r="L65" s="37" t="s">
        <v>46</v>
      </c>
      <c r="M65" s="38" t="s">
        <v>131</v>
      </c>
      <c r="N65" s="38"/>
      <c r="O65" s="37">
        <v>50</v>
      </c>
      <c r="P65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147</v>
      </c>
      <c r="AG65" s="78"/>
      <c r="AJ65" s="84" t="s">
        <v>46</v>
      </c>
      <c r="AK65" s="84">
        <v>0</v>
      </c>
      <c r="BB65" s="133" t="s">
        <v>66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160</v>
      </c>
      <c r="B66" s="63" t="s">
        <v>161</v>
      </c>
      <c r="C66" s="36">
        <v>4301011801</v>
      </c>
      <c r="D66" s="709">
        <v>4680115881419</v>
      </c>
      <c r="E66" s="70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139</v>
      </c>
      <c r="L66" s="37" t="s">
        <v>46</v>
      </c>
      <c r="M66" s="38" t="s">
        <v>131</v>
      </c>
      <c r="N66" s="38"/>
      <c r="O66" s="37">
        <v>50</v>
      </c>
      <c r="P66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717"/>
      <c r="B67" s="717"/>
      <c r="C67" s="717"/>
      <c r="D67" s="717"/>
      <c r="E67" s="717"/>
      <c r="F67" s="717"/>
      <c r="G67" s="717"/>
      <c r="H67" s="717"/>
      <c r="I67" s="717"/>
      <c r="J67" s="717"/>
      <c r="K67" s="717"/>
      <c r="L67" s="717"/>
      <c r="M67" s="717"/>
      <c r="N67" s="717"/>
      <c r="O67" s="718"/>
      <c r="P67" s="714" t="s">
        <v>40</v>
      </c>
      <c r="Q67" s="715"/>
      <c r="R67" s="715"/>
      <c r="S67" s="715"/>
      <c r="T67" s="715"/>
      <c r="U67" s="715"/>
      <c r="V67" s="716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717"/>
      <c r="B68" s="717"/>
      <c r="C68" s="717"/>
      <c r="D68" s="717"/>
      <c r="E68" s="717"/>
      <c r="F68" s="717"/>
      <c r="G68" s="717"/>
      <c r="H68" s="717"/>
      <c r="I68" s="717"/>
      <c r="J68" s="717"/>
      <c r="K68" s="717"/>
      <c r="L68" s="717"/>
      <c r="M68" s="717"/>
      <c r="N68" s="717"/>
      <c r="O68" s="718"/>
      <c r="P68" s="714" t="s">
        <v>40</v>
      </c>
      <c r="Q68" s="715"/>
      <c r="R68" s="715"/>
      <c r="S68" s="715"/>
      <c r="T68" s="715"/>
      <c r="U68" s="715"/>
      <c r="V68" s="716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708" t="s">
        <v>163</v>
      </c>
      <c r="B69" s="708"/>
      <c r="C69" s="708"/>
      <c r="D69" s="708"/>
      <c r="E69" s="708"/>
      <c r="F69" s="708"/>
      <c r="G69" s="708"/>
      <c r="H69" s="708"/>
      <c r="I69" s="708"/>
      <c r="J69" s="708"/>
      <c r="K69" s="708"/>
      <c r="L69" s="708"/>
      <c r="M69" s="708"/>
      <c r="N69" s="708"/>
      <c r="O69" s="708"/>
      <c r="P69" s="708"/>
      <c r="Q69" s="708"/>
      <c r="R69" s="708"/>
      <c r="S69" s="708"/>
      <c r="T69" s="708"/>
      <c r="U69" s="708"/>
      <c r="V69" s="708"/>
      <c r="W69" s="708"/>
      <c r="X69" s="708"/>
      <c r="Y69" s="708"/>
      <c r="Z69" s="708"/>
      <c r="AA69" s="66"/>
      <c r="AB69" s="66"/>
      <c r="AC69" s="80"/>
    </row>
    <row r="70" spans="1:68" ht="16.5" hidden="1" customHeight="1" x14ac:dyDescent="0.25">
      <c r="A70" s="63" t="s">
        <v>164</v>
      </c>
      <c r="B70" s="63" t="s">
        <v>165</v>
      </c>
      <c r="C70" s="36">
        <v>4301020298</v>
      </c>
      <c r="D70" s="709">
        <v>4680115881440</v>
      </c>
      <c r="E70" s="70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132</v>
      </c>
      <c r="L70" s="37" t="s">
        <v>46</v>
      </c>
      <c r="M70" s="38" t="s">
        <v>131</v>
      </c>
      <c r="N70" s="38"/>
      <c r="O70" s="37">
        <v>50</v>
      </c>
      <c r="P70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11"/>
      <c r="R70" s="711"/>
      <c r="S70" s="711"/>
      <c r="T70" s="712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166</v>
      </c>
      <c r="AG70" s="78"/>
      <c r="AJ70" s="84" t="s">
        <v>46</v>
      </c>
      <c r="AK70" s="84">
        <v>0</v>
      </c>
      <c r="BB70" s="137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167</v>
      </c>
      <c r="B71" s="63" t="s">
        <v>168</v>
      </c>
      <c r="C71" s="36">
        <v>4301020358</v>
      </c>
      <c r="D71" s="709">
        <v>4680115885950</v>
      </c>
      <c r="E71" s="70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50</v>
      </c>
      <c r="P71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1"/>
      <c r="R71" s="711"/>
      <c r="S71" s="711"/>
      <c r="T71" s="71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166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169</v>
      </c>
      <c r="B72" s="63" t="s">
        <v>170</v>
      </c>
      <c r="C72" s="36">
        <v>4301020371</v>
      </c>
      <c r="D72" s="709">
        <v>4680115887688</v>
      </c>
      <c r="E72" s="70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136</v>
      </c>
      <c r="L72" s="37" t="s">
        <v>46</v>
      </c>
      <c r="M72" s="38" t="s">
        <v>80</v>
      </c>
      <c r="N72" s="38"/>
      <c r="O72" s="37">
        <v>30</v>
      </c>
      <c r="P72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172</v>
      </c>
      <c r="B73" s="63" t="s">
        <v>173</v>
      </c>
      <c r="C73" s="36">
        <v>4301020296</v>
      </c>
      <c r="D73" s="709">
        <v>4680115881433</v>
      </c>
      <c r="E73" s="70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90</v>
      </c>
      <c r="L73" s="37" t="s">
        <v>46</v>
      </c>
      <c r="M73" s="38" t="s">
        <v>131</v>
      </c>
      <c r="N73" s="38"/>
      <c r="O73" s="37">
        <v>50</v>
      </c>
      <c r="P73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166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708" t="s">
        <v>85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16.5" hidden="1" customHeight="1" x14ac:dyDescent="0.25">
      <c r="A77" s="63" t="s">
        <v>174</v>
      </c>
      <c r="B77" s="63" t="s">
        <v>175</v>
      </c>
      <c r="C77" s="36">
        <v>4301051837</v>
      </c>
      <c r="D77" s="709">
        <v>4680115884311</v>
      </c>
      <c r="E77" s="70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90</v>
      </c>
      <c r="L77" s="37" t="s">
        <v>46</v>
      </c>
      <c r="M77" s="38" t="s">
        <v>89</v>
      </c>
      <c r="N77" s="38"/>
      <c r="O77" s="37">
        <v>40</v>
      </c>
      <c r="P77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4301051929</v>
      </c>
      <c r="D78" s="709">
        <v>4680115884403</v>
      </c>
      <c r="E78" s="70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90</v>
      </c>
      <c r="L78" s="37" t="s">
        <v>46</v>
      </c>
      <c r="M78" s="38" t="s">
        <v>89</v>
      </c>
      <c r="N78" s="38"/>
      <c r="O78" s="37">
        <v>40</v>
      </c>
      <c r="P78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08" t="s">
        <v>180</v>
      </c>
      <c r="B81" s="708"/>
      <c r="C81" s="708"/>
      <c r="D81" s="708"/>
      <c r="E81" s="708"/>
      <c r="F81" s="708"/>
      <c r="G81" s="708"/>
      <c r="H81" s="708"/>
      <c r="I81" s="708"/>
      <c r="J81" s="708"/>
      <c r="K81" s="708"/>
      <c r="L81" s="708"/>
      <c r="M81" s="708"/>
      <c r="N81" s="708"/>
      <c r="O81" s="708"/>
      <c r="P81" s="708"/>
      <c r="Q81" s="708"/>
      <c r="R81" s="708"/>
      <c r="S81" s="708"/>
      <c r="T81" s="708"/>
      <c r="U81" s="708"/>
      <c r="V81" s="708"/>
      <c r="W81" s="708"/>
      <c r="X81" s="708"/>
      <c r="Y81" s="708"/>
      <c r="Z81" s="708"/>
      <c r="AA81" s="66"/>
      <c r="AB81" s="66"/>
      <c r="AC81" s="80"/>
    </row>
    <row r="82" spans="1:68" ht="27" hidden="1" customHeight="1" x14ac:dyDescent="0.25">
      <c r="A82" s="63" t="s">
        <v>181</v>
      </c>
      <c r="B82" s="63" t="s">
        <v>182</v>
      </c>
      <c r="C82" s="36">
        <v>4301060455</v>
      </c>
      <c r="D82" s="709">
        <v>4680115881532</v>
      </c>
      <c r="E82" s="70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132</v>
      </c>
      <c r="L82" s="37" t="s">
        <v>46</v>
      </c>
      <c r="M82" s="38" t="s">
        <v>96</v>
      </c>
      <c r="N82" s="38"/>
      <c r="O82" s="37">
        <v>30</v>
      </c>
      <c r="P82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1"/>
      <c r="R82" s="711"/>
      <c r="S82" s="711"/>
      <c r="T82" s="71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183</v>
      </c>
      <c r="AG82" s="78"/>
      <c r="AJ82" s="84" t="s">
        <v>46</v>
      </c>
      <c r="AK82" s="84">
        <v>0</v>
      </c>
      <c r="BB82" s="149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185</v>
      </c>
      <c r="C83" s="36">
        <v>4301060351</v>
      </c>
      <c r="D83" s="709">
        <v>4680115881464</v>
      </c>
      <c r="E83" s="70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139</v>
      </c>
      <c r="L83" s="37" t="s">
        <v>46</v>
      </c>
      <c r="M83" s="38" t="s">
        <v>89</v>
      </c>
      <c r="N83" s="38"/>
      <c r="O83" s="37">
        <v>30</v>
      </c>
      <c r="P83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717"/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8"/>
      <c r="P84" s="714" t="s">
        <v>40</v>
      </c>
      <c r="Q84" s="715"/>
      <c r="R84" s="715"/>
      <c r="S84" s="715"/>
      <c r="T84" s="715"/>
      <c r="U84" s="715"/>
      <c r="V84" s="716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717"/>
      <c r="B85" s="717"/>
      <c r="C85" s="717"/>
      <c r="D85" s="717"/>
      <c r="E85" s="717"/>
      <c r="F85" s="717"/>
      <c r="G85" s="717"/>
      <c r="H85" s="717"/>
      <c r="I85" s="717"/>
      <c r="J85" s="717"/>
      <c r="K85" s="717"/>
      <c r="L85" s="717"/>
      <c r="M85" s="717"/>
      <c r="N85" s="717"/>
      <c r="O85" s="718"/>
      <c r="P85" s="714" t="s">
        <v>40</v>
      </c>
      <c r="Q85" s="715"/>
      <c r="R85" s="715"/>
      <c r="S85" s="715"/>
      <c r="T85" s="715"/>
      <c r="U85" s="715"/>
      <c r="V85" s="716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707" t="s">
        <v>187</v>
      </c>
      <c r="B86" s="707"/>
      <c r="C86" s="707"/>
      <c r="D86" s="707"/>
      <c r="E86" s="707"/>
      <c r="F86" s="707"/>
      <c r="G86" s="707"/>
      <c r="H86" s="707"/>
      <c r="I86" s="707"/>
      <c r="J86" s="707"/>
      <c r="K86" s="707"/>
      <c r="L86" s="707"/>
      <c r="M86" s="707"/>
      <c r="N86" s="707"/>
      <c r="O86" s="707"/>
      <c r="P86" s="707"/>
      <c r="Q86" s="707"/>
      <c r="R86" s="707"/>
      <c r="S86" s="707"/>
      <c r="T86" s="707"/>
      <c r="U86" s="707"/>
      <c r="V86" s="707"/>
      <c r="W86" s="707"/>
      <c r="X86" s="707"/>
      <c r="Y86" s="707"/>
      <c r="Z86" s="707"/>
      <c r="AA86" s="65"/>
      <c r="AB86" s="65"/>
      <c r="AC86" s="79"/>
    </row>
    <row r="87" spans="1:68" ht="14.25" hidden="1" customHeight="1" x14ac:dyDescent="0.25">
      <c r="A87" s="708" t="s">
        <v>127</v>
      </c>
      <c r="B87" s="708"/>
      <c r="C87" s="708"/>
      <c r="D87" s="708"/>
      <c r="E87" s="708"/>
      <c r="F87" s="708"/>
      <c r="G87" s="708"/>
      <c r="H87" s="708"/>
      <c r="I87" s="708"/>
      <c r="J87" s="708"/>
      <c r="K87" s="708"/>
      <c r="L87" s="708"/>
      <c r="M87" s="708"/>
      <c r="N87" s="708"/>
      <c r="O87" s="708"/>
      <c r="P87" s="708"/>
      <c r="Q87" s="708"/>
      <c r="R87" s="708"/>
      <c r="S87" s="708"/>
      <c r="T87" s="708"/>
      <c r="U87" s="708"/>
      <c r="V87" s="708"/>
      <c r="W87" s="708"/>
      <c r="X87" s="708"/>
      <c r="Y87" s="708"/>
      <c r="Z87" s="708"/>
      <c r="AA87" s="66"/>
      <c r="AB87" s="66"/>
      <c r="AC87" s="80"/>
    </row>
    <row r="88" spans="1:68" ht="27" hidden="1" customHeight="1" x14ac:dyDescent="0.25">
      <c r="A88" s="63" t="s">
        <v>188</v>
      </c>
      <c r="B88" s="63" t="s">
        <v>189</v>
      </c>
      <c r="C88" s="36">
        <v>4301011468</v>
      </c>
      <c r="D88" s="709">
        <v>4680115881327</v>
      </c>
      <c r="E88" s="70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132</v>
      </c>
      <c r="L88" s="37" t="s">
        <v>46</v>
      </c>
      <c r="M88" s="38" t="s">
        <v>96</v>
      </c>
      <c r="N88" s="38"/>
      <c r="O88" s="37">
        <v>50</v>
      </c>
      <c r="P88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11"/>
      <c r="R88" s="711"/>
      <c r="S88" s="711"/>
      <c r="T88" s="71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190</v>
      </c>
      <c r="AG88" s="78"/>
      <c r="AJ88" s="84" t="s">
        <v>46</v>
      </c>
      <c r="AK88" s="84">
        <v>0</v>
      </c>
      <c r="BB88" s="153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4301011261</v>
      </c>
      <c r="D89" s="709">
        <v>4680115887732</v>
      </c>
      <c r="E89" s="70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136</v>
      </c>
      <c r="L89" s="37" t="s">
        <v>46</v>
      </c>
      <c r="M89" s="38" t="s">
        <v>80</v>
      </c>
      <c r="N89" s="38"/>
      <c r="O89" s="37">
        <v>30</v>
      </c>
      <c r="P89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11"/>
      <c r="R89" s="711"/>
      <c r="S89" s="711"/>
      <c r="T89" s="71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193</v>
      </c>
      <c r="AG89" s="78"/>
      <c r="AJ89" s="84" t="s">
        <v>46</v>
      </c>
      <c r="AK89" s="84">
        <v>0</v>
      </c>
      <c r="BB89" s="155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709">
        <v>4680115881518</v>
      </c>
      <c r="E90" s="70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139</v>
      </c>
      <c r="L90" s="37" t="s">
        <v>46</v>
      </c>
      <c r="M90" s="38" t="s">
        <v>89</v>
      </c>
      <c r="N90" s="38"/>
      <c r="O90" s="37">
        <v>50</v>
      </c>
      <c r="P90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190</v>
      </c>
      <c r="AG90" s="78"/>
      <c r="AJ90" s="84" t="s">
        <v>46</v>
      </c>
      <c r="AK90" s="84">
        <v>0</v>
      </c>
      <c r="BB90" s="157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4301011443</v>
      </c>
      <c r="D91" s="709">
        <v>4680115881303</v>
      </c>
      <c r="E91" s="70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139</v>
      </c>
      <c r="L91" s="37" t="s">
        <v>46</v>
      </c>
      <c r="M91" s="38" t="s">
        <v>96</v>
      </c>
      <c r="N91" s="38"/>
      <c r="O91" s="37">
        <v>50</v>
      </c>
      <c r="P91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190</v>
      </c>
      <c r="AG91" s="78"/>
      <c r="AJ91" s="84" t="s">
        <v>46</v>
      </c>
      <c r="AK91" s="84">
        <v>0</v>
      </c>
      <c r="BB91" s="159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717"/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8"/>
      <c r="P92" s="714" t="s">
        <v>40</v>
      </c>
      <c r="Q92" s="715"/>
      <c r="R92" s="715"/>
      <c r="S92" s="715"/>
      <c r="T92" s="715"/>
      <c r="U92" s="715"/>
      <c r="V92" s="716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717"/>
      <c r="B93" s="717"/>
      <c r="C93" s="717"/>
      <c r="D93" s="717"/>
      <c r="E93" s="717"/>
      <c r="F93" s="717"/>
      <c r="G93" s="717"/>
      <c r="H93" s="717"/>
      <c r="I93" s="717"/>
      <c r="J93" s="717"/>
      <c r="K93" s="717"/>
      <c r="L93" s="717"/>
      <c r="M93" s="717"/>
      <c r="N93" s="717"/>
      <c r="O93" s="718"/>
      <c r="P93" s="714" t="s">
        <v>40</v>
      </c>
      <c r="Q93" s="715"/>
      <c r="R93" s="715"/>
      <c r="S93" s="715"/>
      <c r="T93" s="715"/>
      <c r="U93" s="715"/>
      <c r="V93" s="716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708" t="s">
        <v>85</v>
      </c>
      <c r="B94" s="708"/>
      <c r="C94" s="708"/>
      <c r="D94" s="708"/>
      <c r="E94" s="708"/>
      <c r="F94" s="708"/>
      <c r="G94" s="708"/>
      <c r="H94" s="708"/>
      <c r="I94" s="708"/>
      <c r="J94" s="708"/>
      <c r="K94" s="708"/>
      <c r="L94" s="708"/>
      <c r="M94" s="708"/>
      <c r="N94" s="708"/>
      <c r="O94" s="708"/>
      <c r="P94" s="708"/>
      <c r="Q94" s="708"/>
      <c r="R94" s="708"/>
      <c r="S94" s="708"/>
      <c r="T94" s="708"/>
      <c r="U94" s="708"/>
      <c r="V94" s="708"/>
      <c r="W94" s="708"/>
      <c r="X94" s="708"/>
      <c r="Y94" s="708"/>
      <c r="Z94" s="708"/>
      <c r="AA94" s="66"/>
      <c r="AB94" s="66"/>
      <c r="AC94" s="80"/>
    </row>
    <row r="95" spans="1:68" ht="27" hidden="1" customHeight="1" x14ac:dyDescent="0.25">
      <c r="A95" s="63" t="s">
        <v>198</v>
      </c>
      <c r="B95" s="63" t="s">
        <v>199</v>
      </c>
      <c r="C95" s="36">
        <v>4301051712</v>
      </c>
      <c r="D95" s="709">
        <v>4607091386967</v>
      </c>
      <c r="E95" s="70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132</v>
      </c>
      <c r="L95" s="37" t="s">
        <v>46</v>
      </c>
      <c r="M95" s="38" t="s">
        <v>96</v>
      </c>
      <c r="N95" s="38"/>
      <c r="O95" s="37">
        <v>45</v>
      </c>
      <c r="P95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11"/>
      <c r="R95" s="711"/>
      <c r="S95" s="711"/>
      <c r="T95" s="71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200</v>
      </c>
      <c r="AG95" s="78"/>
      <c r="AJ95" s="84" t="s">
        <v>46</v>
      </c>
      <c r="AK95" s="84">
        <v>0</v>
      </c>
      <c r="BB95" s="161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4301051788</v>
      </c>
      <c r="D96" s="709">
        <v>4680115884953</v>
      </c>
      <c r="E96" s="70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90</v>
      </c>
      <c r="L96" s="37" t="s">
        <v>46</v>
      </c>
      <c r="M96" s="38" t="s">
        <v>89</v>
      </c>
      <c r="N96" s="38"/>
      <c r="O96" s="37">
        <v>45</v>
      </c>
      <c r="P96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11"/>
      <c r="R96" s="711"/>
      <c r="S96" s="711"/>
      <c r="T96" s="71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200</v>
      </c>
      <c r="AG96" s="78"/>
      <c r="AJ96" s="84" t="s">
        <v>46</v>
      </c>
      <c r="AK96" s="84">
        <v>0</v>
      </c>
      <c r="BB96" s="163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203</v>
      </c>
      <c r="B97" s="63" t="s">
        <v>204</v>
      </c>
      <c r="C97" s="36">
        <v>4301051718</v>
      </c>
      <c r="D97" s="709">
        <v>4607091385731</v>
      </c>
      <c r="E97" s="70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11"/>
      <c r="R97" s="711"/>
      <c r="S97" s="711"/>
      <c r="T97" s="71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200</v>
      </c>
      <c r="AG97" s="78"/>
      <c r="AJ97" s="84" t="s">
        <v>46</v>
      </c>
      <c r="AK97" s="84">
        <v>0</v>
      </c>
      <c r="BB97" s="165" t="s">
        <v>66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709">
        <v>4680115880894</v>
      </c>
      <c r="E98" s="70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717"/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8"/>
      <c r="P99" s="714" t="s">
        <v>40</v>
      </c>
      <c r="Q99" s="715"/>
      <c r="R99" s="715"/>
      <c r="S99" s="715"/>
      <c r="T99" s="715"/>
      <c r="U99" s="715"/>
      <c r="V99" s="716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17"/>
      <c r="B100" s="717"/>
      <c r="C100" s="717"/>
      <c r="D100" s="717"/>
      <c r="E100" s="717"/>
      <c r="F100" s="717"/>
      <c r="G100" s="717"/>
      <c r="H100" s="717"/>
      <c r="I100" s="717"/>
      <c r="J100" s="717"/>
      <c r="K100" s="717"/>
      <c r="L100" s="717"/>
      <c r="M100" s="717"/>
      <c r="N100" s="717"/>
      <c r="O100" s="718"/>
      <c r="P100" s="714" t="s">
        <v>40</v>
      </c>
      <c r="Q100" s="715"/>
      <c r="R100" s="715"/>
      <c r="S100" s="715"/>
      <c r="T100" s="715"/>
      <c r="U100" s="715"/>
      <c r="V100" s="716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707" t="s">
        <v>208</v>
      </c>
      <c r="B101" s="707"/>
      <c r="C101" s="707"/>
      <c r="D101" s="707"/>
      <c r="E101" s="707"/>
      <c r="F101" s="707"/>
      <c r="G101" s="707"/>
      <c r="H101" s="707"/>
      <c r="I101" s="707"/>
      <c r="J101" s="707"/>
      <c r="K101" s="707"/>
      <c r="L101" s="707"/>
      <c r="M101" s="707"/>
      <c r="N101" s="707"/>
      <c r="O101" s="707"/>
      <c r="P101" s="707"/>
      <c r="Q101" s="707"/>
      <c r="R101" s="707"/>
      <c r="S101" s="707"/>
      <c r="T101" s="707"/>
      <c r="U101" s="707"/>
      <c r="V101" s="707"/>
      <c r="W101" s="707"/>
      <c r="X101" s="707"/>
      <c r="Y101" s="707"/>
      <c r="Z101" s="707"/>
      <c r="AA101" s="65"/>
      <c r="AB101" s="65"/>
      <c r="AC101" s="79"/>
    </row>
    <row r="102" spans="1:68" ht="14.25" hidden="1" customHeight="1" x14ac:dyDescent="0.25">
      <c r="A102" s="708" t="s">
        <v>127</v>
      </c>
      <c r="B102" s="708"/>
      <c r="C102" s="708"/>
      <c r="D102" s="708"/>
      <c r="E102" s="708"/>
      <c r="F102" s="708"/>
      <c r="G102" s="708"/>
      <c r="H102" s="708"/>
      <c r="I102" s="708"/>
      <c r="J102" s="708"/>
      <c r="K102" s="708"/>
      <c r="L102" s="708"/>
      <c r="M102" s="708"/>
      <c r="N102" s="708"/>
      <c r="O102" s="708"/>
      <c r="P102" s="708"/>
      <c r="Q102" s="708"/>
      <c r="R102" s="708"/>
      <c r="S102" s="708"/>
      <c r="T102" s="708"/>
      <c r="U102" s="708"/>
      <c r="V102" s="708"/>
      <c r="W102" s="708"/>
      <c r="X102" s="708"/>
      <c r="Y102" s="708"/>
      <c r="Z102" s="708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709">
        <v>4680115882133</v>
      </c>
      <c r="E103" s="70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132</v>
      </c>
      <c r="L103" s="37" t="s">
        <v>46</v>
      </c>
      <c r="M103" s="38" t="s">
        <v>131</v>
      </c>
      <c r="N103" s="38"/>
      <c r="O103" s="37">
        <v>50</v>
      </c>
      <c r="P103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211</v>
      </c>
      <c r="AG103" s="78"/>
      <c r="AJ103" s="84" t="s">
        <v>46</v>
      </c>
      <c r="AK103" s="84">
        <v>0</v>
      </c>
      <c r="BB103" s="169" t="s">
        <v>66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709">
        <v>4680115887718</v>
      </c>
      <c r="E104" s="70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136</v>
      </c>
      <c r="L104" s="37" t="s">
        <v>46</v>
      </c>
      <c r="M104" s="38" t="s">
        <v>80</v>
      </c>
      <c r="N104" s="38"/>
      <c r="O104" s="37">
        <v>30</v>
      </c>
      <c r="P104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214</v>
      </c>
      <c r="AG104" s="78"/>
      <c r="AJ104" s="84" t="s">
        <v>46</v>
      </c>
      <c r="AK104" s="84">
        <v>0</v>
      </c>
      <c r="BB104" s="171" t="s">
        <v>66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709">
        <v>4680115887718</v>
      </c>
      <c r="E105" s="70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136</v>
      </c>
      <c r="L105" s="37" t="s">
        <v>46</v>
      </c>
      <c r="M105" s="38" t="s">
        <v>80</v>
      </c>
      <c r="N105" s="38"/>
      <c r="O105" s="37">
        <v>30</v>
      </c>
      <c r="P105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11"/>
      <c r="R105" s="711"/>
      <c r="S105" s="711"/>
      <c r="T105" s="71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214</v>
      </c>
      <c r="AG105" s="78"/>
      <c r="AJ105" s="84" t="s">
        <v>46</v>
      </c>
      <c r="AK105" s="84">
        <v>0</v>
      </c>
      <c r="BB105" s="173" t="s">
        <v>66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216</v>
      </c>
      <c r="B106" s="63" t="s">
        <v>217</v>
      </c>
      <c r="C106" s="36">
        <v>4301011417</v>
      </c>
      <c r="D106" s="709">
        <v>4680115880269</v>
      </c>
      <c r="E106" s="70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139</v>
      </c>
      <c r="L106" s="37" t="s">
        <v>46</v>
      </c>
      <c r="M106" s="38" t="s">
        <v>89</v>
      </c>
      <c r="N106" s="38"/>
      <c r="O106" s="37">
        <v>50</v>
      </c>
      <c r="P106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11"/>
      <c r="R106" s="711"/>
      <c r="S106" s="711"/>
      <c r="T106" s="71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211</v>
      </c>
      <c r="AG106" s="78"/>
      <c r="AJ106" s="84" t="s">
        <v>46</v>
      </c>
      <c r="AK106" s="84">
        <v>0</v>
      </c>
      <c r="BB106" s="175" t="s">
        <v>66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4301011415</v>
      </c>
      <c r="D107" s="709">
        <v>4680115880429</v>
      </c>
      <c r="E107" s="70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139</v>
      </c>
      <c r="L107" s="37" t="s">
        <v>46</v>
      </c>
      <c r="M107" s="38" t="s">
        <v>89</v>
      </c>
      <c r="N107" s="38"/>
      <c r="O107" s="37">
        <v>50</v>
      </c>
      <c r="P107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11"/>
      <c r="R107" s="711"/>
      <c r="S107" s="711"/>
      <c r="T107" s="71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211</v>
      </c>
      <c r="AG107" s="78"/>
      <c r="AJ107" s="84" t="s">
        <v>46</v>
      </c>
      <c r="AK107" s="84">
        <v>0</v>
      </c>
      <c r="BB107" s="177" t="s">
        <v>66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4301011462</v>
      </c>
      <c r="D108" s="709">
        <v>4680115881457</v>
      </c>
      <c r="E108" s="70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139</v>
      </c>
      <c r="L108" s="37" t="s">
        <v>46</v>
      </c>
      <c r="M108" s="38" t="s">
        <v>89</v>
      </c>
      <c r="N108" s="38"/>
      <c r="O108" s="37">
        <v>50</v>
      </c>
      <c r="P108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211</v>
      </c>
      <c r="AG108" s="78"/>
      <c r="AJ108" s="84" t="s">
        <v>46</v>
      </c>
      <c r="AK108" s="84">
        <v>0</v>
      </c>
      <c r="BB108" s="179" t="s">
        <v>66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717"/>
      <c r="B109" s="717"/>
      <c r="C109" s="717"/>
      <c r="D109" s="717"/>
      <c r="E109" s="717"/>
      <c r="F109" s="717"/>
      <c r="G109" s="717"/>
      <c r="H109" s="717"/>
      <c r="I109" s="717"/>
      <c r="J109" s="717"/>
      <c r="K109" s="717"/>
      <c r="L109" s="717"/>
      <c r="M109" s="717"/>
      <c r="N109" s="717"/>
      <c r="O109" s="718"/>
      <c r="P109" s="714" t="s">
        <v>40</v>
      </c>
      <c r="Q109" s="715"/>
      <c r="R109" s="715"/>
      <c r="S109" s="715"/>
      <c r="T109" s="715"/>
      <c r="U109" s="715"/>
      <c r="V109" s="716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717"/>
      <c r="B110" s="717"/>
      <c r="C110" s="717"/>
      <c r="D110" s="717"/>
      <c r="E110" s="717"/>
      <c r="F110" s="717"/>
      <c r="G110" s="717"/>
      <c r="H110" s="717"/>
      <c r="I110" s="717"/>
      <c r="J110" s="717"/>
      <c r="K110" s="717"/>
      <c r="L110" s="717"/>
      <c r="M110" s="717"/>
      <c r="N110" s="717"/>
      <c r="O110" s="718"/>
      <c r="P110" s="714" t="s">
        <v>40</v>
      </c>
      <c r="Q110" s="715"/>
      <c r="R110" s="715"/>
      <c r="S110" s="715"/>
      <c r="T110" s="715"/>
      <c r="U110" s="715"/>
      <c r="V110" s="716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708" t="s">
        <v>163</v>
      </c>
      <c r="B111" s="708"/>
      <c r="C111" s="708"/>
      <c r="D111" s="708"/>
      <c r="E111" s="708"/>
      <c r="F111" s="708"/>
      <c r="G111" s="708"/>
      <c r="H111" s="708"/>
      <c r="I111" s="708"/>
      <c r="J111" s="708"/>
      <c r="K111" s="708"/>
      <c r="L111" s="708"/>
      <c r="M111" s="708"/>
      <c r="N111" s="708"/>
      <c r="O111" s="708"/>
      <c r="P111" s="708"/>
      <c r="Q111" s="708"/>
      <c r="R111" s="708"/>
      <c r="S111" s="708"/>
      <c r="T111" s="708"/>
      <c r="U111" s="708"/>
      <c r="V111" s="708"/>
      <c r="W111" s="708"/>
      <c r="X111" s="708"/>
      <c r="Y111" s="708"/>
      <c r="Z111" s="708"/>
      <c r="AA111" s="66"/>
      <c r="AB111" s="66"/>
      <c r="AC111" s="80"/>
    </row>
    <row r="112" spans="1:68" ht="27" hidden="1" customHeight="1" x14ac:dyDescent="0.25">
      <c r="A112" s="63" t="s">
        <v>222</v>
      </c>
      <c r="B112" s="63" t="s">
        <v>223</v>
      </c>
      <c r="C112" s="36">
        <v>4301020391</v>
      </c>
      <c r="D112" s="709">
        <v>4680115881488</v>
      </c>
      <c r="E112" s="70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132</v>
      </c>
      <c r="L112" s="37" t="s">
        <v>46</v>
      </c>
      <c r="M112" s="38" t="s">
        <v>131</v>
      </c>
      <c r="N112" s="38"/>
      <c r="O112" s="37">
        <v>55</v>
      </c>
      <c r="P112" s="76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224</v>
      </c>
      <c r="AG112" s="78"/>
      <c r="AJ112" s="84" t="s">
        <v>46</v>
      </c>
      <c r="AK112" s="84">
        <v>0</v>
      </c>
      <c r="BB112" s="181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226</v>
      </c>
      <c r="C113" s="36">
        <v>4301020186</v>
      </c>
      <c r="D113" s="709">
        <v>4680115887664</v>
      </c>
      <c r="E113" s="70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228</v>
      </c>
      <c r="L113" s="37" t="s">
        <v>46</v>
      </c>
      <c r="M113" s="38" t="s">
        <v>80</v>
      </c>
      <c r="N113" s="38"/>
      <c r="O113" s="37">
        <v>30</v>
      </c>
      <c r="P113" s="76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1"/>
      <c r="R113" s="711"/>
      <c r="S113" s="711"/>
      <c r="T113" s="71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227</v>
      </c>
      <c r="AG113" s="78"/>
      <c r="AJ113" s="84" t="s">
        <v>46</v>
      </c>
      <c r="AK113" s="84">
        <v>0</v>
      </c>
      <c r="BB113" s="183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225</v>
      </c>
      <c r="B114" s="63" t="s">
        <v>229</v>
      </c>
      <c r="C114" s="36">
        <v>4301020430</v>
      </c>
      <c r="D114" s="709">
        <v>4680115887664</v>
      </c>
      <c r="E114" s="70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228</v>
      </c>
      <c r="L114" s="37" t="s">
        <v>46</v>
      </c>
      <c r="M114" s="38" t="s">
        <v>80</v>
      </c>
      <c r="N114" s="38"/>
      <c r="O114" s="37">
        <v>30</v>
      </c>
      <c r="P114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1"/>
      <c r="R114" s="711"/>
      <c r="S114" s="711"/>
      <c r="T114" s="71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227</v>
      </c>
      <c r="AG114" s="78"/>
      <c r="AJ114" s="84" t="s">
        <v>46</v>
      </c>
      <c r="AK114" s="84">
        <v>0</v>
      </c>
      <c r="BB114" s="185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4301020393</v>
      </c>
      <c r="D115" s="709">
        <v>4680115882775</v>
      </c>
      <c r="E115" s="70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81</v>
      </c>
      <c r="L115" s="37" t="s">
        <v>46</v>
      </c>
      <c r="M115" s="38" t="s">
        <v>131</v>
      </c>
      <c r="N115" s="38"/>
      <c r="O115" s="37">
        <v>55</v>
      </c>
      <c r="P115" s="76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1"/>
      <c r="R115" s="711"/>
      <c r="S115" s="711"/>
      <c r="T115" s="71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224</v>
      </c>
      <c r="AG115" s="78"/>
      <c r="AJ115" s="84" t="s">
        <v>46</v>
      </c>
      <c r="AK115" s="84">
        <v>0</v>
      </c>
      <c r="BB115" s="187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4301020392</v>
      </c>
      <c r="D116" s="709">
        <v>4680115880658</v>
      </c>
      <c r="E116" s="70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90</v>
      </c>
      <c r="L116" s="37" t="s">
        <v>46</v>
      </c>
      <c r="M116" s="38" t="s">
        <v>131</v>
      </c>
      <c r="N116" s="38"/>
      <c r="O116" s="37">
        <v>55</v>
      </c>
      <c r="P116" s="76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224</v>
      </c>
      <c r="AG116" s="78"/>
      <c r="AJ116" s="84" t="s">
        <v>46</v>
      </c>
      <c r="AK116" s="84">
        <v>0</v>
      </c>
      <c r="BB116" s="189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17"/>
      <c r="B117" s="717"/>
      <c r="C117" s="717"/>
      <c r="D117" s="717"/>
      <c r="E117" s="717"/>
      <c r="F117" s="717"/>
      <c r="G117" s="717"/>
      <c r="H117" s="717"/>
      <c r="I117" s="717"/>
      <c r="J117" s="717"/>
      <c r="K117" s="717"/>
      <c r="L117" s="717"/>
      <c r="M117" s="717"/>
      <c r="N117" s="717"/>
      <c r="O117" s="718"/>
      <c r="P117" s="714" t="s">
        <v>40</v>
      </c>
      <c r="Q117" s="715"/>
      <c r="R117" s="715"/>
      <c r="S117" s="715"/>
      <c r="T117" s="715"/>
      <c r="U117" s="715"/>
      <c r="V117" s="71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17"/>
      <c r="B118" s="717"/>
      <c r="C118" s="717"/>
      <c r="D118" s="717"/>
      <c r="E118" s="717"/>
      <c r="F118" s="717"/>
      <c r="G118" s="717"/>
      <c r="H118" s="717"/>
      <c r="I118" s="717"/>
      <c r="J118" s="717"/>
      <c r="K118" s="717"/>
      <c r="L118" s="717"/>
      <c r="M118" s="717"/>
      <c r="N118" s="717"/>
      <c r="O118" s="718"/>
      <c r="P118" s="714" t="s">
        <v>40</v>
      </c>
      <c r="Q118" s="715"/>
      <c r="R118" s="715"/>
      <c r="S118" s="715"/>
      <c r="T118" s="715"/>
      <c r="U118" s="715"/>
      <c r="V118" s="71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708" t="s">
        <v>85</v>
      </c>
      <c r="B119" s="708"/>
      <c r="C119" s="708"/>
      <c r="D119" s="708"/>
      <c r="E119" s="708"/>
      <c r="F119" s="708"/>
      <c r="G119" s="708"/>
      <c r="H119" s="708"/>
      <c r="I119" s="708"/>
      <c r="J119" s="708"/>
      <c r="K119" s="708"/>
      <c r="L119" s="708"/>
      <c r="M119" s="708"/>
      <c r="N119" s="708"/>
      <c r="O119" s="708"/>
      <c r="P119" s="708"/>
      <c r="Q119" s="708"/>
      <c r="R119" s="708"/>
      <c r="S119" s="708"/>
      <c r="T119" s="708"/>
      <c r="U119" s="708"/>
      <c r="V119" s="708"/>
      <c r="W119" s="708"/>
      <c r="X119" s="708"/>
      <c r="Y119" s="708"/>
      <c r="Z119" s="708"/>
      <c r="AA119" s="66"/>
      <c r="AB119" s="66"/>
      <c r="AC119" s="80"/>
    </row>
    <row r="120" spans="1:68" ht="27" hidden="1" customHeight="1" x14ac:dyDescent="0.25">
      <c r="A120" s="63" t="s">
        <v>234</v>
      </c>
      <c r="B120" s="63" t="s">
        <v>235</v>
      </c>
      <c r="C120" s="36">
        <v>4301051724</v>
      </c>
      <c r="D120" s="709">
        <v>4607091385168</v>
      </c>
      <c r="E120" s="70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132</v>
      </c>
      <c r="L120" s="37" t="s">
        <v>46</v>
      </c>
      <c r="M120" s="38" t="s">
        <v>96</v>
      </c>
      <c r="N120" s="38"/>
      <c r="O120" s="37">
        <v>45</v>
      </c>
      <c r="P120" s="7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11"/>
      <c r="R120" s="711"/>
      <c r="S120" s="711"/>
      <c r="T120" s="71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236</v>
      </c>
      <c r="AG120" s="78"/>
      <c r="AJ120" s="84" t="s">
        <v>46</v>
      </c>
      <c r="AK120" s="84">
        <v>0</v>
      </c>
      <c r="BB120" s="191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237</v>
      </c>
      <c r="B121" s="63" t="s">
        <v>238</v>
      </c>
      <c r="C121" s="36">
        <v>4301051730</v>
      </c>
      <c r="D121" s="709">
        <v>4607091383256</v>
      </c>
      <c r="E121" s="70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90</v>
      </c>
      <c r="L121" s="37" t="s">
        <v>46</v>
      </c>
      <c r="M121" s="38" t="s">
        <v>96</v>
      </c>
      <c r="N121" s="38"/>
      <c r="O121" s="37">
        <v>45</v>
      </c>
      <c r="P121" s="7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11"/>
      <c r="R121" s="711"/>
      <c r="S121" s="711"/>
      <c r="T121" s="71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236</v>
      </c>
      <c r="AG121" s="78"/>
      <c r="AJ121" s="84" t="s">
        <v>46</v>
      </c>
      <c r="AK121" s="84">
        <v>0</v>
      </c>
      <c r="BB121" s="193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239</v>
      </c>
      <c r="B122" s="63" t="s">
        <v>240</v>
      </c>
      <c r="C122" s="36">
        <v>4301051721</v>
      </c>
      <c r="D122" s="709">
        <v>4607091385748</v>
      </c>
      <c r="E122" s="70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90</v>
      </c>
      <c r="L122" s="37" t="s">
        <v>46</v>
      </c>
      <c r="M122" s="38" t="s">
        <v>96</v>
      </c>
      <c r="N122" s="38"/>
      <c r="O122" s="37">
        <v>45</v>
      </c>
      <c r="P122" s="7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11"/>
      <c r="R122" s="711"/>
      <c r="S122" s="711"/>
      <c r="T122" s="71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236</v>
      </c>
      <c r="AG122" s="78"/>
      <c r="AJ122" s="84" t="s">
        <v>46</v>
      </c>
      <c r="AK122" s="84">
        <v>0</v>
      </c>
      <c r="BB122" s="195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241</v>
      </c>
      <c r="B123" s="63" t="s">
        <v>242</v>
      </c>
      <c r="C123" s="36">
        <v>4301051740</v>
      </c>
      <c r="D123" s="709">
        <v>4680115884533</v>
      </c>
      <c r="E123" s="70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45</v>
      </c>
      <c r="P123" s="7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243</v>
      </c>
      <c r="AG123" s="78"/>
      <c r="AJ123" s="84" t="s">
        <v>46</v>
      </c>
      <c r="AK123" s="84">
        <v>0</v>
      </c>
      <c r="BB123" s="197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708" t="s">
        <v>180</v>
      </c>
      <c r="B126" s="708"/>
      <c r="C126" s="708"/>
      <c r="D126" s="708"/>
      <c r="E126" s="708"/>
      <c r="F126" s="708"/>
      <c r="G126" s="708"/>
      <c r="H126" s="708"/>
      <c r="I126" s="708"/>
      <c r="J126" s="708"/>
      <c r="K126" s="708"/>
      <c r="L126" s="708"/>
      <c r="M126" s="708"/>
      <c r="N126" s="708"/>
      <c r="O126" s="708"/>
      <c r="P126" s="708"/>
      <c r="Q126" s="708"/>
      <c r="R126" s="708"/>
      <c r="S126" s="708"/>
      <c r="T126" s="708"/>
      <c r="U126" s="708"/>
      <c r="V126" s="708"/>
      <c r="W126" s="708"/>
      <c r="X126" s="708"/>
      <c r="Y126" s="708"/>
      <c r="Z126" s="708"/>
      <c r="AA126" s="66"/>
      <c r="AB126" s="66"/>
      <c r="AC126" s="80"/>
    </row>
    <row r="127" spans="1:68" ht="16.5" hidden="1" customHeight="1" x14ac:dyDescent="0.25">
      <c r="A127" s="63" t="s">
        <v>244</v>
      </c>
      <c r="B127" s="63" t="s">
        <v>245</v>
      </c>
      <c r="C127" s="36">
        <v>4301060317</v>
      </c>
      <c r="D127" s="709">
        <v>4680115880238</v>
      </c>
      <c r="E127" s="70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40</v>
      </c>
      <c r="P127" s="7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11"/>
      <c r="R127" s="711"/>
      <c r="S127" s="711"/>
      <c r="T127" s="71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246</v>
      </c>
      <c r="AG127" s="78"/>
      <c r="AJ127" s="84" t="s">
        <v>46</v>
      </c>
      <c r="AK127" s="84">
        <v>0</v>
      </c>
      <c r="BB127" s="19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17"/>
      <c r="B128" s="717"/>
      <c r="C128" s="717"/>
      <c r="D128" s="717"/>
      <c r="E128" s="717"/>
      <c r="F128" s="717"/>
      <c r="G128" s="717"/>
      <c r="H128" s="717"/>
      <c r="I128" s="717"/>
      <c r="J128" s="717"/>
      <c r="K128" s="717"/>
      <c r="L128" s="717"/>
      <c r="M128" s="717"/>
      <c r="N128" s="717"/>
      <c r="O128" s="718"/>
      <c r="P128" s="714" t="s">
        <v>40</v>
      </c>
      <c r="Q128" s="715"/>
      <c r="R128" s="715"/>
      <c r="S128" s="715"/>
      <c r="T128" s="715"/>
      <c r="U128" s="715"/>
      <c r="V128" s="71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17"/>
      <c r="B129" s="717"/>
      <c r="C129" s="717"/>
      <c r="D129" s="717"/>
      <c r="E129" s="717"/>
      <c r="F129" s="717"/>
      <c r="G129" s="717"/>
      <c r="H129" s="717"/>
      <c r="I129" s="717"/>
      <c r="J129" s="717"/>
      <c r="K129" s="717"/>
      <c r="L129" s="717"/>
      <c r="M129" s="717"/>
      <c r="N129" s="717"/>
      <c r="O129" s="718"/>
      <c r="P129" s="714" t="s">
        <v>40</v>
      </c>
      <c r="Q129" s="715"/>
      <c r="R129" s="715"/>
      <c r="S129" s="715"/>
      <c r="T129" s="715"/>
      <c r="U129" s="715"/>
      <c r="V129" s="71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707" t="s">
        <v>247</v>
      </c>
      <c r="B130" s="707"/>
      <c r="C130" s="707"/>
      <c r="D130" s="707"/>
      <c r="E130" s="707"/>
      <c r="F130" s="707"/>
      <c r="G130" s="707"/>
      <c r="H130" s="707"/>
      <c r="I130" s="707"/>
      <c r="J130" s="707"/>
      <c r="K130" s="707"/>
      <c r="L130" s="707"/>
      <c r="M130" s="707"/>
      <c r="N130" s="707"/>
      <c r="O130" s="707"/>
      <c r="P130" s="707"/>
      <c r="Q130" s="707"/>
      <c r="R130" s="707"/>
      <c r="S130" s="707"/>
      <c r="T130" s="707"/>
      <c r="U130" s="707"/>
      <c r="V130" s="707"/>
      <c r="W130" s="707"/>
      <c r="X130" s="707"/>
      <c r="Y130" s="707"/>
      <c r="Z130" s="707"/>
      <c r="AA130" s="65"/>
      <c r="AB130" s="65"/>
      <c r="AC130" s="79"/>
    </row>
    <row r="131" spans="1:68" ht="14.25" hidden="1" customHeight="1" x14ac:dyDescent="0.25">
      <c r="A131" s="708" t="s">
        <v>127</v>
      </c>
      <c r="B131" s="708"/>
      <c r="C131" s="708"/>
      <c r="D131" s="708"/>
      <c r="E131" s="708"/>
      <c r="F131" s="708"/>
      <c r="G131" s="708"/>
      <c r="H131" s="708"/>
      <c r="I131" s="708"/>
      <c r="J131" s="708"/>
      <c r="K131" s="708"/>
      <c r="L131" s="708"/>
      <c r="M131" s="708"/>
      <c r="N131" s="708"/>
      <c r="O131" s="708"/>
      <c r="P131" s="708"/>
      <c r="Q131" s="708"/>
      <c r="R131" s="708"/>
      <c r="S131" s="708"/>
      <c r="T131" s="708"/>
      <c r="U131" s="708"/>
      <c r="V131" s="708"/>
      <c r="W131" s="708"/>
      <c r="X131" s="708"/>
      <c r="Y131" s="708"/>
      <c r="Z131" s="708"/>
      <c r="AA131" s="66"/>
      <c r="AB131" s="66"/>
      <c r="AC131" s="80"/>
    </row>
    <row r="132" spans="1:68" ht="27" hidden="1" customHeight="1" x14ac:dyDescent="0.25">
      <c r="A132" s="63" t="s">
        <v>248</v>
      </c>
      <c r="B132" s="63" t="s">
        <v>249</v>
      </c>
      <c r="C132" s="36">
        <v>4301012347</v>
      </c>
      <c r="D132" s="709">
        <v>4680115888784</v>
      </c>
      <c r="E132" s="70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132</v>
      </c>
      <c r="L132" s="37" t="s">
        <v>46</v>
      </c>
      <c r="M132" s="38" t="s">
        <v>252</v>
      </c>
      <c r="N132" s="38"/>
      <c r="O132" s="37">
        <v>90</v>
      </c>
      <c r="P132" s="77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11"/>
      <c r="R132" s="711"/>
      <c r="S132" s="711"/>
      <c r="T132" s="71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251</v>
      </c>
      <c r="AC132" s="200" t="s">
        <v>250</v>
      </c>
      <c r="AG132" s="78"/>
      <c r="AJ132" s="84" t="s">
        <v>46</v>
      </c>
      <c r="AK132" s="84">
        <v>0</v>
      </c>
      <c r="BB132" s="201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253</v>
      </c>
      <c r="B133" s="63" t="s">
        <v>254</v>
      </c>
      <c r="C133" s="36">
        <v>4301012350</v>
      </c>
      <c r="D133" s="709">
        <v>4680115888845</v>
      </c>
      <c r="E133" s="70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139</v>
      </c>
      <c r="L133" s="37" t="s">
        <v>46</v>
      </c>
      <c r="M133" s="38" t="s">
        <v>252</v>
      </c>
      <c r="N133" s="38"/>
      <c r="O133" s="37">
        <v>90</v>
      </c>
      <c r="P133" s="77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11"/>
      <c r="R133" s="711"/>
      <c r="S133" s="711"/>
      <c r="T133" s="71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251</v>
      </c>
      <c r="AC133" s="202" t="s">
        <v>250</v>
      </c>
      <c r="AG133" s="78"/>
      <c r="AJ133" s="84" t="s">
        <v>46</v>
      </c>
      <c r="AK133" s="84">
        <v>0</v>
      </c>
      <c r="BB133" s="203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255</v>
      </c>
      <c r="B134" s="63" t="s">
        <v>256</v>
      </c>
      <c r="C134" s="36">
        <v>4301011562</v>
      </c>
      <c r="D134" s="709">
        <v>4680115882577</v>
      </c>
      <c r="E134" s="70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90</v>
      </c>
      <c r="L134" s="37" t="s">
        <v>46</v>
      </c>
      <c r="M134" s="38" t="s">
        <v>108</v>
      </c>
      <c r="N134" s="38"/>
      <c r="O134" s="37">
        <v>90</v>
      </c>
      <c r="P134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257</v>
      </c>
      <c r="AG134" s="78"/>
      <c r="AJ134" s="84" t="s">
        <v>46</v>
      </c>
      <c r="AK134" s="84">
        <v>0</v>
      </c>
      <c r="BB134" s="205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255</v>
      </c>
      <c r="B135" s="63" t="s">
        <v>258</v>
      </c>
      <c r="C135" s="36">
        <v>4301011564</v>
      </c>
      <c r="D135" s="709">
        <v>4680115882577</v>
      </c>
      <c r="E135" s="70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90</v>
      </c>
      <c r="L135" s="37" t="s">
        <v>46</v>
      </c>
      <c r="M135" s="38" t="s">
        <v>108</v>
      </c>
      <c r="N135" s="38"/>
      <c r="O135" s="37">
        <v>90</v>
      </c>
      <c r="P135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257</v>
      </c>
      <c r="AG135" s="78"/>
      <c r="AJ135" s="84" t="s">
        <v>46</v>
      </c>
      <c r="AK135" s="84">
        <v>0</v>
      </c>
      <c r="BB135" s="207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17"/>
      <c r="B136" s="717"/>
      <c r="C136" s="717"/>
      <c r="D136" s="717"/>
      <c r="E136" s="717"/>
      <c r="F136" s="717"/>
      <c r="G136" s="717"/>
      <c r="H136" s="717"/>
      <c r="I136" s="717"/>
      <c r="J136" s="717"/>
      <c r="K136" s="717"/>
      <c r="L136" s="717"/>
      <c r="M136" s="717"/>
      <c r="N136" s="717"/>
      <c r="O136" s="718"/>
      <c r="P136" s="714" t="s">
        <v>40</v>
      </c>
      <c r="Q136" s="715"/>
      <c r="R136" s="715"/>
      <c r="S136" s="715"/>
      <c r="T136" s="715"/>
      <c r="U136" s="715"/>
      <c r="V136" s="716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717"/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8"/>
      <c r="P137" s="714" t="s">
        <v>40</v>
      </c>
      <c r="Q137" s="715"/>
      <c r="R137" s="715"/>
      <c r="S137" s="715"/>
      <c r="T137" s="715"/>
      <c r="U137" s="715"/>
      <c r="V137" s="716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708" t="s">
        <v>76</v>
      </c>
      <c r="B138" s="708"/>
      <c r="C138" s="708"/>
      <c r="D138" s="708"/>
      <c r="E138" s="708"/>
      <c r="F138" s="708"/>
      <c r="G138" s="708"/>
      <c r="H138" s="708"/>
      <c r="I138" s="708"/>
      <c r="J138" s="708"/>
      <c r="K138" s="708"/>
      <c r="L138" s="708"/>
      <c r="M138" s="708"/>
      <c r="N138" s="708"/>
      <c r="O138" s="708"/>
      <c r="P138" s="708"/>
      <c r="Q138" s="708"/>
      <c r="R138" s="708"/>
      <c r="S138" s="708"/>
      <c r="T138" s="708"/>
      <c r="U138" s="708"/>
      <c r="V138" s="708"/>
      <c r="W138" s="708"/>
      <c r="X138" s="708"/>
      <c r="Y138" s="708"/>
      <c r="Z138" s="708"/>
      <c r="AA138" s="66"/>
      <c r="AB138" s="66"/>
      <c r="AC138" s="80"/>
    </row>
    <row r="139" spans="1:68" ht="16.5" hidden="1" customHeight="1" x14ac:dyDescent="0.25">
      <c r="A139" s="63" t="s">
        <v>259</v>
      </c>
      <c r="B139" s="63" t="s">
        <v>260</v>
      </c>
      <c r="C139" s="36">
        <v>4301031506</v>
      </c>
      <c r="D139" s="709">
        <v>4680115888913</v>
      </c>
      <c r="E139" s="70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132</v>
      </c>
      <c r="L139" s="37" t="s">
        <v>46</v>
      </c>
      <c r="M139" s="38" t="s">
        <v>252</v>
      </c>
      <c r="N139" s="38"/>
      <c r="O139" s="37">
        <v>90</v>
      </c>
      <c r="P139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11"/>
      <c r="R139" s="711"/>
      <c r="S139" s="711"/>
      <c r="T139" s="71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251</v>
      </c>
      <c r="AC139" s="208" t="s">
        <v>261</v>
      </c>
      <c r="AG139" s="78"/>
      <c r="AJ139" s="84" t="s">
        <v>46</v>
      </c>
      <c r="AK139" s="84">
        <v>0</v>
      </c>
      <c r="BB139" s="209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262</v>
      </c>
      <c r="B140" s="63" t="s">
        <v>263</v>
      </c>
      <c r="C140" s="36">
        <v>4301031504</v>
      </c>
      <c r="D140" s="709">
        <v>4680115888920</v>
      </c>
      <c r="E140" s="70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81</v>
      </c>
      <c r="L140" s="37" t="s">
        <v>46</v>
      </c>
      <c r="M140" s="38" t="s">
        <v>252</v>
      </c>
      <c r="N140" s="38"/>
      <c r="O140" s="37">
        <v>90</v>
      </c>
      <c r="P140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11"/>
      <c r="R140" s="711"/>
      <c r="S140" s="711"/>
      <c r="T140" s="71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251</v>
      </c>
      <c r="AC140" s="210" t="s">
        <v>261</v>
      </c>
      <c r="AG140" s="78"/>
      <c r="AJ140" s="84" t="s">
        <v>46</v>
      </c>
      <c r="AK140" s="84">
        <v>0</v>
      </c>
      <c r="BB140" s="211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264</v>
      </c>
      <c r="B141" s="63" t="s">
        <v>265</v>
      </c>
      <c r="C141" s="36">
        <v>4301031234</v>
      </c>
      <c r="D141" s="709">
        <v>4680115883444</v>
      </c>
      <c r="E141" s="70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90</v>
      </c>
      <c r="L141" s="37" t="s">
        <v>46</v>
      </c>
      <c r="M141" s="38" t="s">
        <v>108</v>
      </c>
      <c r="N141" s="38"/>
      <c r="O141" s="37">
        <v>90</v>
      </c>
      <c r="P141" s="7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266</v>
      </c>
      <c r="AG141" s="78"/>
      <c r="AJ141" s="84" t="s">
        <v>46</v>
      </c>
      <c r="AK141" s="84">
        <v>0</v>
      </c>
      <c r="BB141" s="213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264</v>
      </c>
      <c r="B142" s="63" t="s">
        <v>267</v>
      </c>
      <c r="C142" s="36">
        <v>4301031235</v>
      </c>
      <c r="D142" s="709">
        <v>4680115883444</v>
      </c>
      <c r="E142" s="70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90</v>
      </c>
      <c r="L142" s="37" t="s">
        <v>46</v>
      </c>
      <c r="M142" s="38" t="s">
        <v>108</v>
      </c>
      <c r="N142" s="38"/>
      <c r="O142" s="37">
        <v>90</v>
      </c>
      <c r="P142" s="7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266</v>
      </c>
      <c r="AG142" s="78"/>
      <c r="AJ142" s="84" t="s">
        <v>46</v>
      </c>
      <c r="AK142" s="84">
        <v>0</v>
      </c>
      <c r="BB142" s="215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17"/>
      <c r="B143" s="717"/>
      <c r="C143" s="717"/>
      <c r="D143" s="717"/>
      <c r="E143" s="717"/>
      <c r="F143" s="717"/>
      <c r="G143" s="717"/>
      <c r="H143" s="717"/>
      <c r="I143" s="717"/>
      <c r="J143" s="717"/>
      <c r="K143" s="717"/>
      <c r="L143" s="717"/>
      <c r="M143" s="717"/>
      <c r="N143" s="717"/>
      <c r="O143" s="718"/>
      <c r="P143" s="714" t="s">
        <v>40</v>
      </c>
      <c r="Q143" s="715"/>
      <c r="R143" s="715"/>
      <c r="S143" s="715"/>
      <c r="T143" s="715"/>
      <c r="U143" s="715"/>
      <c r="V143" s="716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708" t="s">
        <v>85</v>
      </c>
      <c r="B145" s="708"/>
      <c r="C145" s="708"/>
      <c r="D145" s="708"/>
      <c r="E145" s="708"/>
      <c r="F145" s="708"/>
      <c r="G145" s="708"/>
      <c r="H145" s="708"/>
      <c r="I145" s="708"/>
      <c r="J145" s="708"/>
      <c r="K145" s="708"/>
      <c r="L145" s="708"/>
      <c r="M145" s="708"/>
      <c r="N145" s="708"/>
      <c r="O145" s="708"/>
      <c r="P145" s="708"/>
      <c r="Q145" s="708"/>
      <c r="R145" s="708"/>
      <c r="S145" s="708"/>
      <c r="T145" s="708"/>
      <c r="U145" s="708"/>
      <c r="V145" s="708"/>
      <c r="W145" s="708"/>
      <c r="X145" s="708"/>
      <c r="Y145" s="708"/>
      <c r="Z145" s="708"/>
      <c r="AA145" s="66"/>
      <c r="AB145" s="66"/>
      <c r="AC145" s="80"/>
    </row>
    <row r="146" spans="1:68" ht="16.5" hidden="1" customHeight="1" x14ac:dyDescent="0.25">
      <c r="A146" s="63" t="s">
        <v>268</v>
      </c>
      <c r="B146" s="63" t="s">
        <v>269</v>
      </c>
      <c r="C146" s="36">
        <v>4301052218</v>
      </c>
      <c r="D146" s="709">
        <v>4680115888937</v>
      </c>
      <c r="E146" s="70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132</v>
      </c>
      <c r="L146" s="37" t="s">
        <v>46</v>
      </c>
      <c r="M146" s="38" t="s">
        <v>252</v>
      </c>
      <c r="N146" s="38"/>
      <c r="O146" s="37">
        <v>90</v>
      </c>
      <c r="P146" s="78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11"/>
      <c r="R146" s="711"/>
      <c r="S146" s="711"/>
      <c r="T146" s="71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251</v>
      </c>
      <c r="AC146" s="216" t="s">
        <v>250</v>
      </c>
      <c r="AG146" s="78"/>
      <c r="AJ146" s="84" t="s">
        <v>46</v>
      </c>
      <c r="AK146" s="84">
        <v>0</v>
      </c>
      <c r="BB146" s="217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270</v>
      </c>
      <c r="B147" s="63" t="s">
        <v>271</v>
      </c>
      <c r="C147" s="36">
        <v>4301052219</v>
      </c>
      <c r="D147" s="709">
        <v>4680115888944</v>
      </c>
      <c r="E147" s="70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90</v>
      </c>
      <c r="L147" s="37" t="s">
        <v>46</v>
      </c>
      <c r="M147" s="38" t="s">
        <v>252</v>
      </c>
      <c r="N147" s="38"/>
      <c r="O147" s="37">
        <v>90</v>
      </c>
      <c r="P147" s="78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11"/>
      <c r="R147" s="711"/>
      <c r="S147" s="711"/>
      <c r="T147" s="71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251</v>
      </c>
      <c r="AC147" s="218" t="s">
        <v>250</v>
      </c>
      <c r="AG147" s="78"/>
      <c r="AJ147" s="84" t="s">
        <v>46</v>
      </c>
      <c r="AK147" s="84">
        <v>0</v>
      </c>
      <c r="BB147" s="219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272</v>
      </c>
      <c r="B148" s="63" t="s">
        <v>273</v>
      </c>
      <c r="C148" s="36">
        <v>4301051476</v>
      </c>
      <c r="D148" s="709">
        <v>4680115882584</v>
      </c>
      <c r="E148" s="70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108</v>
      </c>
      <c r="N148" s="38"/>
      <c r="O148" s="37">
        <v>60</v>
      </c>
      <c r="P148" s="7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257</v>
      </c>
      <c r="AG148" s="78"/>
      <c r="AJ148" s="84" t="s">
        <v>46</v>
      </c>
      <c r="AK148" s="84">
        <v>0</v>
      </c>
      <c r="BB148" s="221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272</v>
      </c>
      <c r="B149" s="63" t="s">
        <v>274</v>
      </c>
      <c r="C149" s="36">
        <v>4301051477</v>
      </c>
      <c r="D149" s="709">
        <v>4680115882584</v>
      </c>
      <c r="E149" s="70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108</v>
      </c>
      <c r="N149" s="38"/>
      <c r="O149" s="37">
        <v>60</v>
      </c>
      <c r="P149" s="7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257</v>
      </c>
      <c r="AG149" s="78"/>
      <c r="AJ149" s="84" t="s">
        <v>46</v>
      </c>
      <c r="AK149" s="84">
        <v>0</v>
      </c>
      <c r="BB149" s="223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17"/>
      <c r="B150" s="717"/>
      <c r="C150" s="717"/>
      <c r="D150" s="717"/>
      <c r="E150" s="717"/>
      <c r="F150" s="717"/>
      <c r="G150" s="717"/>
      <c r="H150" s="717"/>
      <c r="I150" s="717"/>
      <c r="J150" s="717"/>
      <c r="K150" s="717"/>
      <c r="L150" s="717"/>
      <c r="M150" s="717"/>
      <c r="N150" s="717"/>
      <c r="O150" s="718"/>
      <c r="P150" s="714" t="s">
        <v>40</v>
      </c>
      <c r="Q150" s="715"/>
      <c r="R150" s="715"/>
      <c r="S150" s="715"/>
      <c r="T150" s="715"/>
      <c r="U150" s="715"/>
      <c r="V150" s="716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717"/>
      <c r="B151" s="717"/>
      <c r="C151" s="717"/>
      <c r="D151" s="717"/>
      <c r="E151" s="717"/>
      <c r="F151" s="717"/>
      <c r="G151" s="717"/>
      <c r="H151" s="717"/>
      <c r="I151" s="717"/>
      <c r="J151" s="717"/>
      <c r="K151" s="717"/>
      <c r="L151" s="717"/>
      <c r="M151" s="717"/>
      <c r="N151" s="717"/>
      <c r="O151" s="718"/>
      <c r="P151" s="714" t="s">
        <v>40</v>
      </c>
      <c r="Q151" s="715"/>
      <c r="R151" s="715"/>
      <c r="S151" s="715"/>
      <c r="T151" s="715"/>
      <c r="U151" s="715"/>
      <c r="V151" s="716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07" t="s">
        <v>275</v>
      </c>
      <c r="B152" s="707"/>
      <c r="C152" s="707"/>
      <c r="D152" s="707"/>
      <c r="E152" s="707"/>
      <c r="F152" s="707"/>
      <c r="G152" s="707"/>
      <c r="H152" s="707"/>
      <c r="I152" s="707"/>
      <c r="J152" s="707"/>
      <c r="K152" s="707"/>
      <c r="L152" s="707"/>
      <c r="M152" s="707"/>
      <c r="N152" s="707"/>
      <c r="O152" s="707"/>
      <c r="P152" s="707"/>
      <c r="Q152" s="707"/>
      <c r="R152" s="707"/>
      <c r="S152" s="707"/>
      <c r="T152" s="707"/>
      <c r="U152" s="707"/>
      <c r="V152" s="707"/>
      <c r="W152" s="707"/>
      <c r="X152" s="707"/>
      <c r="Y152" s="707"/>
      <c r="Z152" s="707"/>
      <c r="AA152" s="65"/>
      <c r="AB152" s="65"/>
      <c r="AC152" s="79"/>
    </row>
    <row r="153" spans="1:68" ht="14.25" hidden="1" customHeight="1" x14ac:dyDescent="0.25">
      <c r="A153" s="708" t="s">
        <v>85</v>
      </c>
      <c r="B153" s="708"/>
      <c r="C153" s="708"/>
      <c r="D153" s="708"/>
      <c r="E153" s="708"/>
      <c r="F153" s="708"/>
      <c r="G153" s="708"/>
      <c r="H153" s="708"/>
      <c r="I153" s="708"/>
      <c r="J153" s="708"/>
      <c r="K153" s="708"/>
      <c r="L153" s="708"/>
      <c r="M153" s="708"/>
      <c r="N153" s="708"/>
      <c r="O153" s="708"/>
      <c r="P153" s="708"/>
      <c r="Q153" s="708"/>
      <c r="R153" s="708"/>
      <c r="S153" s="708"/>
      <c r="T153" s="708"/>
      <c r="U153" s="708"/>
      <c r="V153" s="708"/>
      <c r="W153" s="708"/>
      <c r="X153" s="708"/>
      <c r="Y153" s="708"/>
      <c r="Z153" s="708"/>
      <c r="AA153" s="66"/>
      <c r="AB153" s="66"/>
      <c r="AC153" s="80"/>
    </row>
    <row r="154" spans="1:68" ht="27" hidden="1" customHeight="1" x14ac:dyDescent="0.25">
      <c r="A154" s="63" t="s">
        <v>276</v>
      </c>
      <c r="B154" s="63" t="s">
        <v>277</v>
      </c>
      <c r="C154" s="36">
        <v>4301052254</v>
      </c>
      <c r="D154" s="709">
        <v>4680115888203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7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278</v>
      </c>
      <c r="AG154" s="78"/>
      <c r="AJ154" s="84" t="s">
        <v>46</v>
      </c>
      <c r="AK154" s="84">
        <v>0</v>
      </c>
      <c r="BB154" s="225" t="s">
        <v>66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279</v>
      </c>
      <c r="B155" s="63" t="s">
        <v>280</v>
      </c>
      <c r="C155" s="36">
        <v>4301052172</v>
      </c>
      <c r="D155" s="709">
        <v>4680115888180</v>
      </c>
      <c r="E155" s="70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78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11"/>
      <c r="R155" s="711"/>
      <c r="S155" s="711"/>
      <c r="T155" s="71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281</v>
      </c>
      <c r="AG155" s="78"/>
      <c r="AJ155" s="84" t="s">
        <v>46</v>
      </c>
      <c r="AK155" s="84">
        <v>0</v>
      </c>
      <c r="BB155" s="227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282</v>
      </c>
      <c r="B156" s="63" t="s">
        <v>283</v>
      </c>
      <c r="C156" s="36">
        <v>4301052173</v>
      </c>
      <c r="D156" s="709">
        <v>4680115888197</v>
      </c>
      <c r="E156" s="70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11"/>
      <c r="R156" s="711"/>
      <c r="S156" s="711"/>
      <c r="T156" s="71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284</v>
      </c>
      <c r="AG156" s="78"/>
      <c r="AJ156" s="84" t="s">
        <v>46</v>
      </c>
      <c r="AK156" s="84">
        <v>0</v>
      </c>
      <c r="BB156" s="229" t="s">
        <v>66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285</v>
      </c>
      <c r="B157" s="63" t="s">
        <v>286</v>
      </c>
      <c r="C157" s="36">
        <v>4301052175</v>
      </c>
      <c r="D157" s="709">
        <v>4680115888210</v>
      </c>
      <c r="E157" s="70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78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11"/>
      <c r="R157" s="711"/>
      <c r="S157" s="711"/>
      <c r="T157" s="71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287</v>
      </c>
      <c r="AG157" s="78"/>
      <c r="AJ157" s="84" t="s">
        <v>46</v>
      </c>
      <c r="AK157" s="84">
        <v>0</v>
      </c>
      <c r="BB157" s="231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717"/>
      <c r="B158" s="717"/>
      <c r="C158" s="717"/>
      <c r="D158" s="717"/>
      <c r="E158" s="717"/>
      <c r="F158" s="717"/>
      <c r="G158" s="717"/>
      <c r="H158" s="717"/>
      <c r="I158" s="717"/>
      <c r="J158" s="717"/>
      <c r="K158" s="717"/>
      <c r="L158" s="717"/>
      <c r="M158" s="717"/>
      <c r="N158" s="717"/>
      <c r="O158" s="718"/>
      <c r="P158" s="714" t="s">
        <v>40</v>
      </c>
      <c r="Q158" s="715"/>
      <c r="R158" s="715"/>
      <c r="S158" s="715"/>
      <c r="T158" s="715"/>
      <c r="U158" s="715"/>
      <c r="V158" s="716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708" t="s">
        <v>103</v>
      </c>
      <c r="B160" s="708"/>
      <c r="C160" s="708"/>
      <c r="D160" s="708"/>
      <c r="E160" s="708"/>
      <c r="F160" s="708"/>
      <c r="G160" s="708"/>
      <c r="H160" s="708"/>
      <c r="I160" s="708"/>
      <c r="J160" s="708"/>
      <c r="K160" s="708"/>
      <c r="L160" s="708"/>
      <c r="M160" s="708"/>
      <c r="N160" s="708"/>
      <c r="O160" s="708"/>
      <c r="P160" s="708"/>
      <c r="Q160" s="708"/>
      <c r="R160" s="708"/>
      <c r="S160" s="708"/>
      <c r="T160" s="708"/>
      <c r="U160" s="708"/>
      <c r="V160" s="708"/>
      <c r="W160" s="708"/>
      <c r="X160" s="708"/>
      <c r="Y160" s="708"/>
      <c r="Z160" s="708"/>
      <c r="AA160" s="66"/>
      <c r="AB160" s="66"/>
      <c r="AC160" s="80"/>
    </row>
    <row r="161" spans="1:68" ht="27" hidden="1" customHeight="1" x14ac:dyDescent="0.25">
      <c r="A161" s="63" t="s">
        <v>288</v>
      </c>
      <c r="B161" s="63" t="s">
        <v>289</v>
      </c>
      <c r="C161" s="36">
        <v>4301032067</v>
      </c>
      <c r="D161" s="709">
        <v>4680115889132</v>
      </c>
      <c r="E161" s="70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292</v>
      </c>
      <c r="L161" s="37" t="s">
        <v>46</v>
      </c>
      <c r="M161" s="38" t="s">
        <v>291</v>
      </c>
      <c r="N161" s="38"/>
      <c r="O161" s="37">
        <v>120</v>
      </c>
      <c r="P161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11"/>
      <c r="R161" s="711"/>
      <c r="S161" s="711"/>
      <c r="T161" s="71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290</v>
      </c>
      <c r="AG161" s="78"/>
      <c r="AJ161" s="84" t="s">
        <v>46</v>
      </c>
      <c r="AK161" s="84">
        <v>0</v>
      </c>
      <c r="BB161" s="233" t="s">
        <v>107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717"/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8"/>
      <c r="P162" s="714" t="s">
        <v>40</v>
      </c>
      <c r="Q162" s="715"/>
      <c r="R162" s="715"/>
      <c r="S162" s="715"/>
      <c r="T162" s="715"/>
      <c r="U162" s="715"/>
      <c r="V162" s="716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717"/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8"/>
      <c r="P163" s="714" t="s">
        <v>40</v>
      </c>
      <c r="Q163" s="715"/>
      <c r="R163" s="715"/>
      <c r="S163" s="715"/>
      <c r="T163" s="715"/>
      <c r="U163" s="715"/>
      <c r="V163" s="716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707" t="s">
        <v>125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L164" s="707"/>
      <c r="M164" s="707"/>
      <c r="N164" s="707"/>
      <c r="O164" s="707"/>
      <c r="P164" s="707"/>
      <c r="Q164" s="707"/>
      <c r="R164" s="707"/>
      <c r="S164" s="707"/>
      <c r="T164" s="707"/>
      <c r="U164" s="707"/>
      <c r="V164" s="707"/>
      <c r="W164" s="707"/>
      <c r="X164" s="707"/>
      <c r="Y164" s="707"/>
      <c r="Z164" s="707"/>
      <c r="AA164" s="65"/>
      <c r="AB164" s="65"/>
      <c r="AC164" s="79"/>
    </row>
    <row r="165" spans="1:68" ht="14.25" hidden="1" customHeight="1" x14ac:dyDescent="0.25">
      <c r="A165" s="708" t="s">
        <v>127</v>
      </c>
      <c r="B165" s="708"/>
      <c r="C165" s="708"/>
      <c r="D165" s="708"/>
      <c r="E165" s="708"/>
      <c r="F165" s="708"/>
      <c r="G165" s="708"/>
      <c r="H165" s="708"/>
      <c r="I165" s="708"/>
      <c r="J165" s="708"/>
      <c r="K165" s="708"/>
      <c r="L165" s="708"/>
      <c r="M165" s="708"/>
      <c r="N165" s="708"/>
      <c r="O165" s="708"/>
      <c r="P165" s="708"/>
      <c r="Q165" s="708"/>
      <c r="R165" s="708"/>
      <c r="S165" s="708"/>
      <c r="T165" s="708"/>
      <c r="U165" s="708"/>
      <c r="V165" s="708"/>
      <c r="W165" s="708"/>
      <c r="X165" s="708"/>
      <c r="Y165" s="708"/>
      <c r="Z165" s="708"/>
      <c r="AA165" s="66"/>
      <c r="AB165" s="66"/>
      <c r="AC165" s="80"/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709">
        <v>4680115888876</v>
      </c>
      <c r="E166" s="70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90</v>
      </c>
      <c r="L166" s="37" t="s">
        <v>46</v>
      </c>
      <c r="M166" s="38" t="s">
        <v>89</v>
      </c>
      <c r="N166" s="38"/>
      <c r="O166" s="37">
        <v>55</v>
      </c>
      <c r="P166" s="79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1"/>
      <c r="R166" s="711"/>
      <c r="S166" s="711"/>
      <c r="T166" s="71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251</v>
      </c>
      <c r="AC166" s="234" t="s">
        <v>295</v>
      </c>
      <c r="AG166" s="78"/>
      <c r="AJ166" s="84" t="s">
        <v>46</v>
      </c>
      <c r="AK166" s="84">
        <v>0</v>
      </c>
      <c r="BB166" s="235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296</v>
      </c>
      <c r="B167" s="63" t="s">
        <v>297</v>
      </c>
      <c r="C167" s="36">
        <v>4301012244</v>
      </c>
      <c r="D167" s="709">
        <v>4680115887374</v>
      </c>
      <c r="E167" s="70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132</v>
      </c>
      <c r="L167" s="37" t="s">
        <v>46</v>
      </c>
      <c r="M167" s="38" t="s">
        <v>131</v>
      </c>
      <c r="N167" s="38"/>
      <c r="O167" s="37">
        <v>55</v>
      </c>
      <c r="P167" s="7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11"/>
      <c r="R167" s="711"/>
      <c r="S167" s="711"/>
      <c r="T167" s="71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298</v>
      </c>
      <c r="AG167" s="78"/>
      <c r="AJ167" s="84" t="s">
        <v>46</v>
      </c>
      <c r="AK167" s="84">
        <v>0</v>
      </c>
      <c r="BB167" s="237" t="s">
        <v>66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299</v>
      </c>
      <c r="B168" s="63" t="s">
        <v>300</v>
      </c>
      <c r="C168" s="36">
        <v>4301011705</v>
      </c>
      <c r="D168" s="709">
        <v>4607091384604</v>
      </c>
      <c r="E168" s="70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139</v>
      </c>
      <c r="L168" s="37" t="s">
        <v>46</v>
      </c>
      <c r="M168" s="38" t="s">
        <v>131</v>
      </c>
      <c r="N168" s="38"/>
      <c r="O168" s="37">
        <v>50</v>
      </c>
      <c r="P168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11"/>
      <c r="R168" s="711"/>
      <c r="S168" s="711"/>
      <c r="T168" s="71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301</v>
      </c>
      <c r="AG168" s="78"/>
      <c r="AJ168" s="84" t="s">
        <v>46</v>
      </c>
      <c r="AK168" s="84">
        <v>0</v>
      </c>
      <c r="BB168" s="239" t="s">
        <v>66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717"/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8"/>
      <c r="P169" s="714" t="s">
        <v>40</v>
      </c>
      <c r="Q169" s="715"/>
      <c r="R169" s="715"/>
      <c r="S169" s="715"/>
      <c r="T169" s="715"/>
      <c r="U169" s="715"/>
      <c r="V169" s="716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717"/>
      <c r="B170" s="717"/>
      <c r="C170" s="717"/>
      <c r="D170" s="717"/>
      <c r="E170" s="717"/>
      <c r="F170" s="717"/>
      <c r="G170" s="717"/>
      <c r="H170" s="717"/>
      <c r="I170" s="717"/>
      <c r="J170" s="717"/>
      <c r="K170" s="717"/>
      <c r="L170" s="717"/>
      <c r="M170" s="717"/>
      <c r="N170" s="717"/>
      <c r="O170" s="718"/>
      <c r="P170" s="714" t="s">
        <v>40</v>
      </c>
      <c r="Q170" s="715"/>
      <c r="R170" s="715"/>
      <c r="S170" s="715"/>
      <c r="T170" s="715"/>
      <c r="U170" s="715"/>
      <c r="V170" s="716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708" t="s">
        <v>163</v>
      </c>
      <c r="B171" s="708"/>
      <c r="C171" s="708"/>
      <c r="D171" s="708"/>
      <c r="E171" s="708"/>
      <c r="F171" s="708"/>
      <c r="G171" s="708"/>
      <c r="H171" s="708"/>
      <c r="I171" s="708"/>
      <c r="J171" s="708"/>
      <c r="K171" s="708"/>
      <c r="L171" s="708"/>
      <c r="M171" s="708"/>
      <c r="N171" s="708"/>
      <c r="O171" s="708"/>
      <c r="P171" s="708"/>
      <c r="Q171" s="708"/>
      <c r="R171" s="708"/>
      <c r="S171" s="708"/>
      <c r="T171" s="708"/>
      <c r="U171" s="708"/>
      <c r="V171" s="708"/>
      <c r="W171" s="708"/>
      <c r="X171" s="708"/>
      <c r="Y171" s="708"/>
      <c r="Z171" s="708"/>
      <c r="AA171" s="66"/>
      <c r="AB171" s="66"/>
      <c r="AC171" s="80"/>
    </row>
    <row r="172" spans="1:68" ht="16.5" hidden="1" customHeight="1" x14ac:dyDescent="0.25">
      <c r="A172" s="63" t="s">
        <v>302</v>
      </c>
      <c r="B172" s="63" t="s">
        <v>303</v>
      </c>
      <c r="C172" s="36">
        <v>4301020439</v>
      </c>
      <c r="D172" s="709">
        <v>4680115889491</v>
      </c>
      <c r="E172" s="70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81</v>
      </c>
      <c r="L172" s="37" t="s">
        <v>46</v>
      </c>
      <c r="M172" s="38" t="s">
        <v>131</v>
      </c>
      <c r="N172" s="38"/>
      <c r="O172" s="37">
        <v>55</v>
      </c>
      <c r="P172" s="794" t="s">
        <v>304</v>
      </c>
      <c r="Q172" s="711"/>
      <c r="R172" s="711"/>
      <c r="S172" s="711"/>
      <c r="T172" s="71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251</v>
      </c>
      <c r="AC172" s="240" t="s">
        <v>305</v>
      </c>
      <c r="AG172" s="78"/>
      <c r="AJ172" s="84" t="s">
        <v>46</v>
      </c>
      <c r="AK172" s="84">
        <v>0</v>
      </c>
      <c r="BB172" s="241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306</v>
      </c>
      <c r="B173" s="63" t="s">
        <v>307</v>
      </c>
      <c r="C173" s="36">
        <v>4301020410</v>
      </c>
      <c r="D173" s="709">
        <v>4680115887695</v>
      </c>
      <c r="E173" s="70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81</v>
      </c>
      <c r="L173" s="37" t="s">
        <v>46</v>
      </c>
      <c r="M173" s="38" t="s">
        <v>80</v>
      </c>
      <c r="N173" s="38"/>
      <c r="O173" s="37">
        <v>30</v>
      </c>
      <c r="P173" s="79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11"/>
      <c r="R173" s="711"/>
      <c r="S173" s="711"/>
      <c r="T173" s="71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66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17"/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8"/>
      <c r="P174" s="714" t="s">
        <v>40</v>
      </c>
      <c r="Q174" s="715"/>
      <c r="R174" s="715"/>
      <c r="S174" s="715"/>
      <c r="T174" s="715"/>
      <c r="U174" s="715"/>
      <c r="V174" s="716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717"/>
      <c r="B175" s="717"/>
      <c r="C175" s="717"/>
      <c r="D175" s="717"/>
      <c r="E175" s="717"/>
      <c r="F175" s="717"/>
      <c r="G175" s="717"/>
      <c r="H175" s="717"/>
      <c r="I175" s="717"/>
      <c r="J175" s="717"/>
      <c r="K175" s="717"/>
      <c r="L175" s="717"/>
      <c r="M175" s="717"/>
      <c r="N175" s="717"/>
      <c r="O175" s="718"/>
      <c r="P175" s="714" t="s">
        <v>40</v>
      </c>
      <c r="Q175" s="715"/>
      <c r="R175" s="715"/>
      <c r="S175" s="715"/>
      <c r="T175" s="715"/>
      <c r="U175" s="715"/>
      <c r="V175" s="716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08" t="s">
        <v>76</v>
      </c>
      <c r="B176" s="708"/>
      <c r="C176" s="708"/>
      <c r="D176" s="708"/>
      <c r="E176" s="708"/>
      <c r="F176" s="708"/>
      <c r="G176" s="708"/>
      <c r="H176" s="708"/>
      <c r="I176" s="708"/>
      <c r="J176" s="708"/>
      <c r="K176" s="708"/>
      <c r="L176" s="708"/>
      <c r="M176" s="708"/>
      <c r="N176" s="708"/>
      <c r="O176" s="708"/>
      <c r="P176" s="708"/>
      <c r="Q176" s="708"/>
      <c r="R176" s="708"/>
      <c r="S176" s="708"/>
      <c r="T176" s="708"/>
      <c r="U176" s="708"/>
      <c r="V176" s="708"/>
      <c r="W176" s="708"/>
      <c r="X176" s="708"/>
      <c r="Y176" s="708"/>
      <c r="Z176" s="708"/>
      <c r="AA176" s="66"/>
      <c r="AB176" s="66"/>
      <c r="AC176" s="80"/>
    </row>
    <row r="177" spans="1:68" ht="27" hidden="1" customHeight="1" x14ac:dyDescent="0.25">
      <c r="A177" s="63" t="s">
        <v>309</v>
      </c>
      <c r="B177" s="63" t="s">
        <v>310</v>
      </c>
      <c r="C177" s="36">
        <v>4301031496</v>
      </c>
      <c r="D177" s="709">
        <v>4680115887428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139</v>
      </c>
      <c r="L177" s="37" t="s">
        <v>46</v>
      </c>
      <c r="M177" s="38" t="s">
        <v>80</v>
      </c>
      <c r="N177" s="38"/>
      <c r="O177" s="37">
        <v>40</v>
      </c>
      <c r="P177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311</v>
      </c>
      <c r="AG177" s="78"/>
      <c r="AJ177" s="84" t="s">
        <v>46</v>
      </c>
      <c r="AK177" s="84">
        <v>0</v>
      </c>
      <c r="BB177" s="245" t="s">
        <v>66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hidden="1" customHeight="1" x14ac:dyDescent="0.25">
      <c r="A178" s="63" t="s">
        <v>312</v>
      </c>
      <c r="B178" s="63" t="s">
        <v>313</v>
      </c>
      <c r="C178" s="36">
        <v>4301031509</v>
      </c>
      <c r="D178" s="709">
        <v>4680115889170</v>
      </c>
      <c r="E178" s="70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139</v>
      </c>
      <c r="L178" s="37" t="s">
        <v>46</v>
      </c>
      <c r="M178" s="38" t="s">
        <v>80</v>
      </c>
      <c r="N178" s="38"/>
      <c r="O178" s="37">
        <v>45</v>
      </c>
      <c r="P178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314</v>
      </c>
      <c r="AG178" s="78"/>
      <c r="AJ178" s="84" t="s">
        <v>46</v>
      </c>
      <c r="AK178" s="84">
        <v>0</v>
      </c>
      <c r="BB178" s="247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315</v>
      </c>
      <c r="B179" s="63" t="s">
        <v>316</v>
      </c>
      <c r="C179" s="36">
        <v>4301031498</v>
      </c>
      <c r="D179" s="709">
        <v>4680115887398</v>
      </c>
      <c r="E179" s="70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139</v>
      </c>
      <c r="L179" s="37" t="s">
        <v>46</v>
      </c>
      <c r="M179" s="38" t="s">
        <v>80</v>
      </c>
      <c r="N179" s="38"/>
      <c r="O179" s="37">
        <v>40</v>
      </c>
      <c r="P179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317</v>
      </c>
      <c r="AG179" s="78"/>
      <c r="AJ179" s="84" t="s">
        <v>46</v>
      </c>
      <c r="AK179" s="84">
        <v>0</v>
      </c>
      <c r="BB179" s="249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4301031497</v>
      </c>
      <c r="D180" s="709">
        <v>4680115887336</v>
      </c>
      <c r="E180" s="70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139</v>
      </c>
      <c r="L180" s="37" t="s">
        <v>46</v>
      </c>
      <c r="M180" s="38" t="s">
        <v>80</v>
      </c>
      <c r="N180" s="38"/>
      <c r="O180" s="37">
        <v>40</v>
      </c>
      <c r="P180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320</v>
      </c>
      <c r="AG180" s="78"/>
      <c r="AJ180" s="84" t="s">
        <v>46</v>
      </c>
      <c r="AK180" s="84">
        <v>0</v>
      </c>
      <c r="BB180" s="251" t="s">
        <v>66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hidden="1" customHeight="1" x14ac:dyDescent="0.25">
      <c r="A181" s="63" t="s">
        <v>321</v>
      </c>
      <c r="B181" s="63" t="s">
        <v>322</v>
      </c>
      <c r="C181" s="36">
        <v>4301032049</v>
      </c>
      <c r="D181" s="709">
        <v>4680115887787</v>
      </c>
      <c r="E181" s="70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136</v>
      </c>
      <c r="L181" s="37" t="s">
        <v>46</v>
      </c>
      <c r="M181" s="38" t="s">
        <v>80</v>
      </c>
      <c r="N181" s="38"/>
      <c r="O181" s="37">
        <v>45</v>
      </c>
      <c r="P181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323</v>
      </c>
      <c r="AG181" s="78"/>
      <c r="AJ181" s="84" t="s">
        <v>46</v>
      </c>
      <c r="AK181" s="84">
        <v>0</v>
      </c>
      <c r="BB181" s="253" t="s">
        <v>66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4301031448</v>
      </c>
      <c r="D182" s="709">
        <v>4680115887503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311</v>
      </c>
      <c r="AG182" s="78"/>
      <c r="AJ182" s="84" t="s">
        <v>46</v>
      </c>
      <c r="AK182" s="84">
        <v>0</v>
      </c>
      <c r="BB182" s="255" t="s">
        <v>66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4301031389</v>
      </c>
      <c r="D183" s="709">
        <v>4680115887763</v>
      </c>
      <c r="E183" s="70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136</v>
      </c>
      <c r="L183" s="37" t="s">
        <v>46</v>
      </c>
      <c r="M183" s="38" t="s">
        <v>80</v>
      </c>
      <c r="N183" s="38"/>
      <c r="O183" s="37">
        <v>45</v>
      </c>
      <c r="P183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328</v>
      </c>
      <c r="AG183" s="78"/>
      <c r="AJ183" s="84" t="s">
        <v>46</v>
      </c>
      <c r="AK183" s="84">
        <v>0</v>
      </c>
      <c r="BB183" s="257" t="s">
        <v>66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326</v>
      </c>
      <c r="B184" s="63" t="s">
        <v>329</v>
      </c>
      <c r="C184" s="36">
        <v>4301031510</v>
      </c>
      <c r="D184" s="709">
        <v>4680115887763</v>
      </c>
      <c r="E184" s="70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136</v>
      </c>
      <c r="L184" s="37" t="s">
        <v>46</v>
      </c>
      <c r="M184" s="38" t="s">
        <v>80</v>
      </c>
      <c r="N184" s="38"/>
      <c r="O184" s="37">
        <v>45</v>
      </c>
      <c r="P184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328</v>
      </c>
      <c r="AG184" s="78"/>
      <c r="AJ184" s="84" t="s">
        <v>46</v>
      </c>
      <c r="AK184" s="84">
        <v>0</v>
      </c>
      <c r="BB184" s="259" t="s">
        <v>66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330</v>
      </c>
      <c r="B185" s="63" t="s">
        <v>331</v>
      </c>
      <c r="C185" s="36">
        <v>4301031454</v>
      </c>
      <c r="D185" s="709">
        <v>4680115887480</v>
      </c>
      <c r="E185" s="70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81</v>
      </c>
      <c r="L185" s="37" t="s">
        <v>46</v>
      </c>
      <c r="M185" s="38" t="s">
        <v>80</v>
      </c>
      <c r="N185" s="38"/>
      <c r="O185" s="37">
        <v>40</v>
      </c>
      <c r="P185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11"/>
      <c r="R185" s="711"/>
      <c r="S185" s="711"/>
      <c r="T185" s="712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317</v>
      </c>
      <c r="AG185" s="78"/>
      <c r="AJ185" s="84" t="s">
        <v>46</v>
      </c>
      <c r="AK185" s="84">
        <v>0</v>
      </c>
      <c r="BB185" s="261" t="s">
        <v>66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332</v>
      </c>
      <c r="B186" s="63" t="s">
        <v>333</v>
      </c>
      <c r="C186" s="36">
        <v>4301031434</v>
      </c>
      <c r="D186" s="709">
        <v>4680115888067</v>
      </c>
      <c r="E186" s="70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136</v>
      </c>
      <c r="L186" s="37" t="s">
        <v>46</v>
      </c>
      <c r="M186" s="38" t="s">
        <v>80</v>
      </c>
      <c r="N186" s="38"/>
      <c r="O186" s="37">
        <v>45</v>
      </c>
      <c r="P186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11"/>
      <c r="R186" s="711"/>
      <c r="S186" s="711"/>
      <c r="T186" s="71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334</v>
      </c>
      <c r="AG186" s="78"/>
      <c r="AJ186" s="84" t="s">
        <v>46</v>
      </c>
      <c r="AK186" s="84">
        <v>0</v>
      </c>
      <c r="BB186" s="263" t="s">
        <v>66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335</v>
      </c>
      <c r="B187" s="63" t="s">
        <v>336</v>
      </c>
      <c r="C187" s="36">
        <v>4301031451</v>
      </c>
      <c r="D187" s="709">
        <v>4680115887435</v>
      </c>
      <c r="E187" s="70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0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11"/>
      <c r="R187" s="711"/>
      <c r="S187" s="711"/>
      <c r="T187" s="712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320</v>
      </c>
      <c r="AG187" s="78"/>
      <c r="AJ187" s="84" t="s">
        <v>46</v>
      </c>
      <c r="AK187" s="84">
        <v>0</v>
      </c>
      <c r="BB187" s="265" t="s">
        <v>66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hidden="1" x14ac:dyDescent="0.2">
      <c r="A188" s="717"/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8"/>
      <c r="P188" s="714" t="s">
        <v>40</v>
      </c>
      <c r="Q188" s="715"/>
      <c r="R188" s="715"/>
      <c r="S188" s="715"/>
      <c r="T188" s="715"/>
      <c r="U188" s="715"/>
      <c r="V188" s="716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717"/>
      <c r="B189" s="717"/>
      <c r="C189" s="717"/>
      <c r="D189" s="717"/>
      <c r="E189" s="717"/>
      <c r="F189" s="717"/>
      <c r="G189" s="717"/>
      <c r="H189" s="717"/>
      <c r="I189" s="717"/>
      <c r="J189" s="717"/>
      <c r="K189" s="717"/>
      <c r="L189" s="717"/>
      <c r="M189" s="717"/>
      <c r="N189" s="717"/>
      <c r="O189" s="718"/>
      <c r="P189" s="714" t="s">
        <v>40</v>
      </c>
      <c r="Q189" s="715"/>
      <c r="R189" s="715"/>
      <c r="S189" s="715"/>
      <c r="T189" s="715"/>
      <c r="U189" s="715"/>
      <c r="V189" s="716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708" t="s">
        <v>85</v>
      </c>
      <c r="B190" s="708"/>
      <c r="C190" s="708"/>
      <c r="D190" s="708"/>
      <c r="E190" s="708"/>
      <c r="F190" s="708"/>
      <c r="G190" s="708"/>
      <c r="H190" s="708"/>
      <c r="I190" s="708"/>
      <c r="J190" s="708"/>
      <c r="K190" s="708"/>
      <c r="L190" s="708"/>
      <c r="M190" s="708"/>
      <c r="N190" s="708"/>
      <c r="O190" s="708"/>
      <c r="P190" s="708"/>
      <c r="Q190" s="708"/>
      <c r="R190" s="708"/>
      <c r="S190" s="708"/>
      <c r="T190" s="708"/>
      <c r="U190" s="708"/>
      <c r="V190" s="708"/>
      <c r="W190" s="708"/>
      <c r="X190" s="708"/>
      <c r="Y190" s="708"/>
      <c r="Z190" s="708"/>
      <c r="AA190" s="66"/>
      <c r="AB190" s="66"/>
      <c r="AC190" s="80"/>
    </row>
    <row r="191" spans="1:68" ht="16.5" hidden="1" customHeight="1" x14ac:dyDescent="0.25">
      <c r="A191" s="63" t="s">
        <v>337</v>
      </c>
      <c r="B191" s="63" t="s">
        <v>338</v>
      </c>
      <c r="C191" s="36">
        <v>4301052193</v>
      </c>
      <c r="D191" s="709">
        <v>4680115888395</v>
      </c>
      <c r="E191" s="70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90</v>
      </c>
      <c r="L191" s="37" t="s">
        <v>46</v>
      </c>
      <c r="M191" s="38" t="s">
        <v>96</v>
      </c>
      <c r="N191" s="38"/>
      <c r="O191" s="37">
        <v>40</v>
      </c>
      <c r="P191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11"/>
      <c r="R191" s="711"/>
      <c r="S191" s="711"/>
      <c r="T191" s="712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340</v>
      </c>
      <c r="B192" s="63" t="s">
        <v>341</v>
      </c>
      <c r="C192" s="36">
        <v>4301052191</v>
      </c>
      <c r="D192" s="709">
        <v>4680115888371</v>
      </c>
      <c r="E192" s="70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90</v>
      </c>
      <c r="L192" s="37" t="s">
        <v>46</v>
      </c>
      <c r="M192" s="38" t="s">
        <v>96</v>
      </c>
      <c r="N192" s="38"/>
      <c r="O192" s="37">
        <v>40</v>
      </c>
      <c r="P192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11"/>
      <c r="R192" s="711"/>
      <c r="S192" s="711"/>
      <c r="T192" s="71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342</v>
      </c>
      <c r="AG192" s="78"/>
      <c r="AJ192" s="84" t="s">
        <v>46</v>
      </c>
      <c r="AK192" s="84">
        <v>0</v>
      </c>
      <c r="BB192" s="269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343</v>
      </c>
      <c r="B193" s="63" t="s">
        <v>344</v>
      </c>
      <c r="C193" s="36">
        <v>4301052064</v>
      </c>
      <c r="D193" s="709">
        <v>4680115887459</v>
      </c>
      <c r="E193" s="70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90</v>
      </c>
      <c r="L193" s="37" t="s">
        <v>46</v>
      </c>
      <c r="M193" s="38" t="s">
        <v>89</v>
      </c>
      <c r="N193" s="38"/>
      <c r="O193" s="37">
        <v>45</v>
      </c>
      <c r="P193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11"/>
      <c r="R193" s="711"/>
      <c r="S193" s="711"/>
      <c r="T193" s="71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345</v>
      </c>
      <c r="AG193" s="78"/>
      <c r="AJ193" s="84" t="s">
        <v>46</v>
      </c>
      <c r="AK193" s="84">
        <v>0</v>
      </c>
      <c r="BB193" s="271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17"/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8"/>
      <c r="P194" s="714" t="s">
        <v>40</v>
      </c>
      <c r="Q194" s="715"/>
      <c r="R194" s="715"/>
      <c r="S194" s="715"/>
      <c r="T194" s="715"/>
      <c r="U194" s="715"/>
      <c r="V194" s="716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08" t="s">
        <v>103</v>
      </c>
      <c r="B196" s="708"/>
      <c r="C196" s="708"/>
      <c r="D196" s="708"/>
      <c r="E196" s="708"/>
      <c r="F196" s="708"/>
      <c r="G196" s="708"/>
      <c r="H196" s="708"/>
      <c r="I196" s="708"/>
      <c r="J196" s="708"/>
      <c r="K196" s="708"/>
      <c r="L196" s="708"/>
      <c r="M196" s="708"/>
      <c r="N196" s="708"/>
      <c r="O196" s="708"/>
      <c r="P196" s="708"/>
      <c r="Q196" s="708"/>
      <c r="R196" s="708"/>
      <c r="S196" s="708"/>
      <c r="T196" s="708"/>
      <c r="U196" s="708"/>
      <c r="V196" s="708"/>
      <c r="W196" s="708"/>
      <c r="X196" s="708"/>
      <c r="Y196" s="708"/>
      <c r="Z196" s="708"/>
      <c r="AA196" s="66"/>
      <c r="AB196" s="66"/>
      <c r="AC196" s="80"/>
    </row>
    <row r="197" spans="1:68" ht="16.5" hidden="1" customHeight="1" x14ac:dyDescent="0.25">
      <c r="A197" s="63" t="s">
        <v>346</v>
      </c>
      <c r="B197" s="63" t="s">
        <v>347</v>
      </c>
      <c r="C197" s="36">
        <v>4301032058</v>
      </c>
      <c r="D197" s="709">
        <v>4680115889026</v>
      </c>
      <c r="E197" s="70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349</v>
      </c>
      <c r="L197" s="37" t="s">
        <v>46</v>
      </c>
      <c r="M197" s="38" t="s">
        <v>291</v>
      </c>
      <c r="N197" s="38"/>
      <c r="O197" s="37">
        <v>60</v>
      </c>
      <c r="P197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11"/>
      <c r="R197" s="711"/>
      <c r="S197" s="711"/>
      <c r="T197" s="71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348</v>
      </c>
      <c r="AG197" s="78"/>
      <c r="AJ197" s="84" t="s">
        <v>46</v>
      </c>
      <c r="AK197" s="84">
        <v>0</v>
      </c>
      <c r="BB197" s="273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350</v>
      </c>
      <c r="B198" s="63" t="s">
        <v>351</v>
      </c>
      <c r="C198" s="36">
        <v>4301032057</v>
      </c>
      <c r="D198" s="709">
        <v>4680115889088</v>
      </c>
      <c r="E198" s="70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349</v>
      </c>
      <c r="L198" s="37" t="s">
        <v>46</v>
      </c>
      <c r="M198" s="38" t="s">
        <v>291</v>
      </c>
      <c r="N198" s="38"/>
      <c r="O198" s="37">
        <v>45</v>
      </c>
      <c r="P19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352</v>
      </c>
      <c r="AG198" s="78"/>
      <c r="AJ198" s="84" t="s">
        <v>46</v>
      </c>
      <c r="AK198" s="84">
        <v>0</v>
      </c>
      <c r="BB198" s="275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708" t="s">
        <v>353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66"/>
      <c r="AB201" s="66"/>
      <c r="AC201" s="80"/>
    </row>
    <row r="202" spans="1:68" ht="27" hidden="1" customHeight="1" x14ac:dyDescent="0.25">
      <c r="A202" s="63" t="s">
        <v>354</v>
      </c>
      <c r="B202" s="63" t="s">
        <v>355</v>
      </c>
      <c r="C202" s="36">
        <v>4301041009</v>
      </c>
      <c r="D202" s="709">
        <v>4680115889033</v>
      </c>
      <c r="E202" s="70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349</v>
      </c>
      <c r="L202" s="37" t="s">
        <v>46</v>
      </c>
      <c r="M202" s="38" t="s">
        <v>291</v>
      </c>
      <c r="N202" s="38"/>
      <c r="O202" s="37">
        <v>60</v>
      </c>
      <c r="P20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11"/>
      <c r="R202" s="711"/>
      <c r="S202" s="711"/>
      <c r="T202" s="71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356</v>
      </c>
      <c r="AG202" s="78"/>
      <c r="AJ202" s="84" t="s">
        <v>46</v>
      </c>
      <c r="AK202" s="84">
        <v>0</v>
      </c>
      <c r="BB202" s="277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717"/>
      <c r="B203" s="717"/>
      <c r="C203" s="717"/>
      <c r="D203" s="717"/>
      <c r="E203" s="717"/>
      <c r="F203" s="717"/>
      <c r="G203" s="717"/>
      <c r="H203" s="717"/>
      <c r="I203" s="717"/>
      <c r="J203" s="717"/>
      <c r="K203" s="717"/>
      <c r="L203" s="717"/>
      <c r="M203" s="717"/>
      <c r="N203" s="717"/>
      <c r="O203" s="718"/>
      <c r="P203" s="714" t="s">
        <v>40</v>
      </c>
      <c r="Q203" s="715"/>
      <c r="R203" s="715"/>
      <c r="S203" s="715"/>
      <c r="T203" s="715"/>
      <c r="U203" s="715"/>
      <c r="V203" s="716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717"/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8"/>
      <c r="P204" s="714" t="s">
        <v>40</v>
      </c>
      <c r="Q204" s="715"/>
      <c r="R204" s="715"/>
      <c r="S204" s="715"/>
      <c r="T204" s="715"/>
      <c r="U204" s="715"/>
      <c r="V204" s="716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706" t="s">
        <v>357</v>
      </c>
      <c r="B205" s="706"/>
      <c r="C205" s="706"/>
      <c r="D205" s="706"/>
      <c r="E205" s="706"/>
      <c r="F205" s="706"/>
      <c r="G205" s="706"/>
      <c r="H205" s="706"/>
      <c r="I205" s="706"/>
      <c r="J205" s="706"/>
      <c r="K205" s="706"/>
      <c r="L205" s="706"/>
      <c r="M205" s="706"/>
      <c r="N205" s="706"/>
      <c r="O205" s="706"/>
      <c r="P205" s="706"/>
      <c r="Q205" s="706"/>
      <c r="R205" s="706"/>
      <c r="S205" s="706"/>
      <c r="T205" s="706"/>
      <c r="U205" s="706"/>
      <c r="V205" s="706"/>
      <c r="W205" s="706"/>
      <c r="X205" s="706"/>
      <c r="Y205" s="706"/>
      <c r="Z205" s="706"/>
      <c r="AA205" s="54"/>
      <c r="AB205" s="54"/>
      <c r="AC205" s="54"/>
    </row>
    <row r="206" spans="1:68" ht="16.5" hidden="1" customHeight="1" x14ac:dyDescent="0.25">
      <c r="A206" s="707" t="s">
        <v>358</v>
      </c>
      <c r="B206" s="707"/>
      <c r="C206" s="707"/>
      <c r="D206" s="707"/>
      <c r="E206" s="707"/>
      <c r="F206" s="707"/>
      <c r="G206" s="707"/>
      <c r="H206" s="707"/>
      <c r="I206" s="707"/>
      <c r="J206" s="707"/>
      <c r="K206" s="707"/>
      <c r="L206" s="707"/>
      <c r="M206" s="707"/>
      <c r="N206" s="707"/>
      <c r="O206" s="707"/>
      <c r="P206" s="707"/>
      <c r="Q206" s="707"/>
      <c r="R206" s="707"/>
      <c r="S206" s="707"/>
      <c r="T206" s="707"/>
      <c r="U206" s="707"/>
      <c r="V206" s="707"/>
      <c r="W206" s="707"/>
      <c r="X206" s="707"/>
      <c r="Y206" s="707"/>
      <c r="Z206" s="707"/>
      <c r="AA206" s="65"/>
      <c r="AB206" s="65"/>
      <c r="AC206" s="79"/>
    </row>
    <row r="207" spans="1:68" ht="14.25" hidden="1" customHeight="1" x14ac:dyDescent="0.25">
      <c r="A207" s="708" t="s">
        <v>127</v>
      </c>
      <c r="B207" s="708"/>
      <c r="C207" s="708"/>
      <c r="D207" s="708"/>
      <c r="E207" s="708"/>
      <c r="F207" s="708"/>
      <c r="G207" s="708"/>
      <c r="H207" s="708"/>
      <c r="I207" s="708"/>
      <c r="J207" s="708"/>
      <c r="K207" s="708"/>
      <c r="L207" s="708"/>
      <c r="M207" s="708"/>
      <c r="N207" s="708"/>
      <c r="O207" s="708"/>
      <c r="P207" s="708"/>
      <c r="Q207" s="708"/>
      <c r="R207" s="708"/>
      <c r="S207" s="708"/>
      <c r="T207" s="708"/>
      <c r="U207" s="708"/>
      <c r="V207" s="708"/>
      <c r="W207" s="708"/>
      <c r="X207" s="708"/>
      <c r="Y207" s="708"/>
      <c r="Z207" s="708"/>
      <c r="AA207" s="66"/>
      <c r="AB207" s="66"/>
      <c r="AC207" s="80"/>
    </row>
    <row r="208" spans="1:68" ht="27" hidden="1" customHeight="1" x14ac:dyDescent="0.25">
      <c r="A208" s="63" t="s">
        <v>359</v>
      </c>
      <c r="B208" s="63" t="s">
        <v>360</v>
      </c>
      <c r="C208" s="36">
        <v>4301011223</v>
      </c>
      <c r="D208" s="709">
        <v>4607091383423</v>
      </c>
      <c r="E208" s="70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132</v>
      </c>
      <c r="L208" s="37" t="s">
        <v>46</v>
      </c>
      <c r="M208" s="38" t="s">
        <v>89</v>
      </c>
      <c r="N208" s="38"/>
      <c r="O208" s="37">
        <v>35</v>
      </c>
      <c r="P208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130</v>
      </c>
      <c r="AG208" s="78"/>
      <c r="AJ208" s="84" t="s">
        <v>46</v>
      </c>
      <c r="AK208" s="84">
        <v>0</v>
      </c>
      <c r="BB208" s="279" t="s">
        <v>66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361</v>
      </c>
      <c r="B209" s="63" t="s">
        <v>362</v>
      </c>
      <c r="C209" s="36">
        <v>4301012340</v>
      </c>
      <c r="D209" s="709">
        <v>4680115888760</v>
      </c>
      <c r="E209" s="70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132</v>
      </c>
      <c r="L209" s="37" t="s">
        <v>46</v>
      </c>
      <c r="M209" s="38" t="s">
        <v>89</v>
      </c>
      <c r="N209" s="38"/>
      <c r="O209" s="37">
        <v>35</v>
      </c>
      <c r="P209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364</v>
      </c>
      <c r="B210" s="63" t="s">
        <v>365</v>
      </c>
      <c r="C210" s="36">
        <v>4301012341</v>
      </c>
      <c r="D210" s="709">
        <v>4680115888807</v>
      </c>
      <c r="E210" s="70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132</v>
      </c>
      <c r="L210" s="37" t="s">
        <v>46</v>
      </c>
      <c r="M210" s="38" t="s">
        <v>89</v>
      </c>
      <c r="N210" s="38"/>
      <c r="O210" s="37">
        <v>35</v>
      </c>
      <c r="P210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367</v>
      </c>
      <c r="B211" s="63" t="s">
        <v>368</v>
      </c>
      <c r="C211" s="36">
        <v>4301012342</v>
      </c>
      <c r="D211" s="709">
        <v>4680115888852</v>
      </c>
      <c r="E211" s="70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132</v>
      </c>
      <c r="L211" s="37" t="s">
        <v>46</v>
      </c>
      <c r="M211" s="38" t="s">
        <v>89</v>
      </c>
      <c r="N211" s="38"/>
      <c r="O211" s="37">
        <v>35</v>
      </c>
      <c r="P211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11"/>
      <c r="R211" s="711"/>
      <c r="S211" s="711"/>
      <c r="T211" s="71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370</v>
      </c>
      <c r="B212" s="63" t="s">
        <v>371</v>
      </c>
      <c r="C212" s="36">
        <v>4301012370</v>
      </c>
      <c r="D212" s="709">
        <v>4680115886957</v>
      </c>
      <c r="E212" s="70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132</v>
      </c>
      <c r="L212" s="37" t="s">
        <v>46</v>
      </c>
      <c r="M212" s="38" t="s">
        <v>89</v>
      </c>
      <c r="N212" s="38"/>
      <c r="O212" s="37">
        <v>35</v>
      </c>
      <c r="P212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11"/>
      <c r="R212" s="711"/>
      <c r="S212" s="711"/>
      <c r="T212" s="71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372</v>
      </c>
      <c r="AG212" s="78"/>
      <c r="AJ212" s="84" t="s">
        <v>46</v>
      </c>
      <c r="AK212" s="84">
        <v>0</v>
      </c>
      <c r="BB212" s="287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373</v>
      </c>
      <c r="B213" s="63" t="s">
        <v>374</v>
      </c>
      <c r="C213" s="36">
        <v>4301012098</v>
      </c>
      <c r="D213" s="709">
        <v>4680115885660</v>
      </c>
      <c r="E213" s="70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132</v>
      </c>
      <c r="L213" s="37" t="s">
        <v>46</v>
      </c>
      <c r="M213" s="38" t="s">
        <v>89</v>
      </c>
      <c r="N213" s="38"/>
      <c r="O213" s="37">
        <v>35</v>
      </c>
      <c r="P213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11"/>
      <c r="R213" s="711"/>
      <c r="S213" s="711"/>
      <c r="T213" s="71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375</v>
      </c>
      <c r="AG213" s="78"/>
      <c r="AJ213" s="84" t="s">
        <v>46</v>
      </c>
      <c r="AK213" s="84">
        <v>0</v>
      </c>
      <c r="BB213" s="289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376</v>
      </c>
      <c r="B214" s="63" t="s">
        <v>377</v>
      </c>
      <c r="C214" s="36">
        <v>4301012369</v>
      </c>
      <c r="D214" s="709">
        <v>4680115886773</v>
      </c>
      <c r="E214" s="70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132</v>
      </c>
      <c r="L214" s="37" t="s">
        <v>46</v>
      </c>
      <c r="M214" s="38" t="s">
        <v>89</v>
      </c>
      <c r="N214" s="38"/>
      <c r="O214" s="37">
        <v>35</v>
      </c>
      <c r="P21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11"/>
      <c r="R214" s="711"/>
      <c r="S214" s="711"/>
      <c r="T214" s="71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378</v>
      </c>
      <c r="AG214" s="78"/>
      <c r="AJ214" s="84" t="s">
        <v>46</v>
      </c>
      <c r="AK214" s="84">
        <v>0</v>
      </c>
      <c r="BB214" s="291" t="s">
        <v>66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717"/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8"/>
      <c r="P215" s="714" t="s">
        <v>40</v>
      </c>
      <c r="Q215" s="715"/>
      <c r="R215" s="715"/>
      <c r="S215" s="715"/>
      <c r="T215" s="715"/>
      <c r="U215" s="715"/>
      <c r="V215" s="716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707" t="s">
        <v>379</v>
      </c>
      <c r="B217" s="707"/>
      <c r="C217" s="707"/>
      <c r="D217" s="707"/>
      <c r="E217" s="707"/>
      <c r="F217" s="707"/>
      <c r="G217" s="707"/>
      <c r="H217" s="707"/>
      <c r="I217" s="707"/>
      <c r="J217" s="707"/>
      <c r="K217" s="707"/>
      <c r="L217" s="707"/>
      <c r="M217" s="707"/>
      <c r="N217" s="707"/>
      <c r="O217" s="707"/>
      <c r="P217" s="707"/>
      <c r="Q217" s="707"/>
      <c r="R217" s="707"/>
      <c r="S217" s="707"/>
      <c r="T217" s="707"/>
      <c r="U217" s="707"/>
      <c r="V217" s="707"/>
      <c r="W217" s="707"/>
      <c r="X217" s="707"/>
      <c r="Y217" s="707"/>
      <c r="Z217" s="707"/>
      <c r="AA217" s="65"/>
      <c r="AB217" s="65"/>
      <c r="AC217" s="79"/>
    </row>
    <row r="218" spans="1:68" ht="14.25" hidden="1" customHeight="1" x14ac:dyDescent="0.25">
      <c r="A218" s="708" t="s">
        <v>163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hidden="1" customHeight="1" x14ac:dyDescent="0.25">
      <c r="A219" s="63" t="s">
        <v>380</v>
      </c>
      <c r="B219" s="63" t="s">
        <v>381</v>
      </c>
      <c r="C219" s="36">
        <v>4301020323</v>
      </c>
      <c r="D219" s="709">
        <v>4680115886223</v>
      </c>
      <c r="E219" s="70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81</v>
      </c>
      <c r="L219" s="37" t="s">
        <v>46</v>
      </c>
      <c r="M219" s="38" t="s">
        <v>80</v>
      </c>
      <c r="N219" s="38"/>
      <c r="O219" s="37">
        <v>40</v>
      </c>
      <c r="P219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382</v>
      </c>
      <c r="AG219" s="78"/>
      <c r="AJ219" s="84" t="s">
        <v>46</v>
      </c>
      <c r="AK219" s="84">
        <v>0</v>
      </c>
      <c r="BB219" s="293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717"/>
      <c r="B220" s="717"/>
      <c r="C220" s="717"/>
      <c r="D220" s="717"/>
      <c r="E220" s="717"/>
      <c r="F220" s="717"/>
      <c r="G220" s="717"/>
      <c r="H220" s="717"/>
      <c r="I220" s="717"/>
      <c r="J220" s="717"/>
      <c r="K220" s="717"/>
      <c r="L220" s="717"/>
      <c r="M220" s="717"/>
      <c r="N220" s="717"/>
      <c r="O220" s="718"/>
      <c r="P220" s="714" t="s">
        <v>40</v>
      </c>
      <c r="Q220" s="715"/>
      <c r="R220" s="715"/>
      <c r="S220" s="715"/>
      <c r="T220" s="715"/>
      <c r="U220" s="715"/>
      <c r="V220" s="716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717"/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8"/>
      <c r="P221" s="714" t="s">
        <v>40</v>
      </c>
      <c r="Q221" s="715"/>
      <c r="R221" s="715"/>
      <c r="S221" s="715"/>
      <c r="T221" s="715"/>
      <c r="U221" s="715"/>
      <c r="V221" s="716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708" t="s">
        <v>76</v>
      </c>
      <c r="B222" s="708"/>
      <c r="C222" s="708"/>
      <c r="D222" s="708"/>
      <c r="E222" s="708"/>
      <c r="F222" s="708"/>
      <c r="G222" s="708"/>
      <c r="H222" s="708"/>
      <c r="I222" s="708"/>
      <c r="J222" s="708"/>
      <c r="K222" s="708"/>
      <c r="L222" s="708"/>
      <c r="M222" s="708"/>
      <c r="N222" s="708"/>
      <c r="O222" s="708"/>
      <c r="P222" s="708"/>
      <c r="Q222" s="708"/>
      <c r="R222" s="708"/>
      <c r="S222" s="708"/>
      <c r="T222" s="708"/>
      <c r="U222" s="708"/>
      <c r="V222" s="708"/>
      <c r="W222" s="708"/>
      <c r="X222" s="708"/>
      <c r="Y222" s="708"/>
      <c r="Z222" s="708"/>
      <c r="AA222" s="66"/>
      <c r="AB222" s="66"/>
      <c r="AC222" s="80"/>
    </row>
    <row r="223" spans="1:68" ht="27" hidden="1" customHeight="1" x14ac:dyDescent="0.25">
      <c r="A223" s="63" t="s">
        <v>383</v>
      </c>
      <c r="B223" s="63" t="s">
        <v>384</v>
      </c>
      <c r="C223" s="36">
        <v>4301031191</v>
      </c>
      <c r="D223" s="709">
        <v>4680115880993</v>
      </c>
      <c r="E223" s="70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139</v>
      </c>
      <c r="L223" s="37" t="s">
        <v>46</v>
      </c>
      <c r="M223" s="38" t="s">
        <v>80</v>
      </c>
      <c r="N223" s="38"/>
      <c r="O223" s="37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66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386</v>
      </c>
      <c r="B224" s="63" t="s">
        <v>387</v>
      </c>
      <c r="C224" s="36">
        <v>4301031204</v>
      </c>
      <c r="D224" s="709">
        <v>4680115881761</v>
      </c>
      <c r="E224" s="70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139</v>
      </c>
      <c r="L224" s="37" t="s">
        <v>46</v>
      </c>
      <c r="M224" s="38" t="s">
        <v>80</v>
      </c>
      <c r="N224" s="38"/>
      <c r="O224" s="37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388</v>
      </c>
      <c r="AG224" s="78"/>
      <c r="AJ224" s="84" t="s">
        <v>46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389</v>
      </c>
      <c r="B225" s="63" t="s">
        <v>390</v>
      </c>
      <c r="C225" s="36">
        <v>4301031201</v>
      </c>
      <c r="D225" s="709">
        <v>4680115881563</v>
      </c>
      <c r="E225" s="70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139</v>
      </c>
      <c r="L225" s="37" t="s">
        <v>46</v>
      </c>
      <c r="M225" s="38" t="s">
        <v>80</v>
      </c>
      <c r="N225" s="38"/>
      <c r="O225" s="37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391</v>
      </c>
      <c r="AG225" s="78"/>
      <c r="AJ225" s="84" t="s">
        <v>46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hidden="1" customHeight="1" x14ac:dyDescent="0.25">
      <c r="A226" s="63" t="s">
        <v>392</v>
      </c>
      <c r="B226" s="63" t="s">
        <v>393</v>
      </c>
      <c r="C226" s="36">
        <v>4301031447</v>
      </c>
      <c r="D226" s="709">
        <v>4680115887565</v>
      </c>
      <c r="E226" s="70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394</v>
      </c>
      <c r="AG226" s="78"/>
      <c r="AJ226" s="84" t="s">
        <v>46</v>
      </c>
      <c r="AK226" s="84">
        <v>0</v>
      </c>
      <c r="BB226" s="301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4301031199</v>
      </c>
      <c r="D227" s="709">
        <v>4680115880986</v>
      </c>
      <c r="E227" s="70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40</v>
      </c>
      <c r="P227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385</v>
      </c>
      <c r="AG227" s="78"/>
      <c r="AJ227" s="84" t="s">
        <v>46</v>
      </c>
      <c r="AK227" s="84">
        <v>0</v>
      </c>
      <c r="BB227" s="303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397</v>
      </c>
      <c r="B228" s="63" t="s">
        <v>398</v>
      </c>
      <c r="C228" s="36">
        <v>4301031443</v>
      </c>
      <c r="D228" s="709">
        <v>4680115887213</v>
      </c>
      <c r="E228" s="70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45</v>
      </c>
      <c r="P228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399</v>
      </c>
      <c r="AG228" s="78"/>
      <c r="AJ228" s="84" t="s">
        <v>46</v>
      </c>
      <c r="AK228" s="84">
        <v>0</v>
      </c>
      <c r="BB228" s="305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400</v>
      </c>
      <c r="B229" s="63" t="s">
        <v>401</v>
      </c>
      <c r="C229" s="36">
        <v>4301031205</v>
      </c>
      <c r="D229" s="709">
        <v>4680115881785</v>
      </c>
      <c r="E229" s="70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40</v>
      </c>
      <c r="P229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388</v>
      </c>
      <c r="AG229" s="78"/>
      <c r="AJ229" s="84" t="s">
        <v>46</v>
      </c>
      <c r="AK229" s="84">
        <v>0</v>
      </c>
      <c r="BB229" s="307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402</v>
      </c>
      <c r="B230" s="63" t="s">
        <v>403</v>
      </c>
      <c r="C230" s="36">
        <v>4301031499</v>
      </c>
      <c r="D230" s="709">
        <v>4680115888432</v>
      </c>
      <c r="E230" s="70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45</v>
      </c>
      <c r="P230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404</v>
      </c>
      <c r="AG230" s="78"/>
      <c r="AJ230" s="84" t="s">
        <v>46</v>
      </c>
      <c r="AK230" s="84">
        <v>0</v>
      </c>
      <c r="BB230" s="309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405</v>
      </c>
      <c r="B231" s="63" t="s">
        <v>406</v>
      </c>
      <c r="C231" s="36">
        <v>4301031427</v>
      </c>
      <c r="D231" s="709">
        <v>4680115888104</v>
      </c>
      <c r="E231" s="70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408</v>
      </c>
      <c r="B232" s="63" t="s">
        <v>409</v>
      </c>
      <c r="C232" s="36">
        <v>4301031399</v>
      </c>
      <c r="D232" s="709">
        <v>4680115886537</v>
      </c>
      <c r="E232" s="70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411</v>
      </c>
      <c r="B233" s="63" t="s">
        <v>412</v>
      </c>
      <c r="C233" s="36">
        <v>4301031279</v>
      </c>
      <c r="D233" s="709">
        <v>4680115887596</v>
      </c>
      <c r="E233" s="70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136</v>
      </c>
      <c r="L233" s="37" t="s">
        <v>46</v>
      </c>
      <c r="M233" s="38" t="s">
        <v>80</v>
      </c>
      <c r="N233" s="38"/>
      <c r="O233" s="37">
        <v>45</v>
      </c>
      <c r="P233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11"/>
      <c r="R233" s="711"/>
      <c r="S233" s="711"/>
      <c r="T233" s="71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414</v>
      </c>
      <c r="B234" s="63" t="s">
        <v>415</v>
      </c>
      <c r="C234" s="36">
        <v>4301031202</v>
      </c>
      <c r="D234" s="709">
        <v>4680115881679</v>
      </c>
      <c r="E234" s="70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40</v>
      </c>
      <c r="P234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11"/>
      <c r="R234" s="711"/>
      <c r="S234" s="711"/>
      <c r="T234" s="71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391</v>
      </c>
      <c r="AG234" s="78"/>
      <c r="AJ234" s="84" t="s">
        <v>46</v>
      </c>
      <c r="AK234" s="84">
        <v>0</v>
      </c>
      <c r="BB234" s="317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416</v>
      </c>
      <c r="B235" s="63" t="s">
        <v>417</v>
      </c>
      <c r="C235" s="36">
        <v>4301031158</v>
      </c>
      <c r="D235" s="709">
        <v>4680115880191</v>
      </c>
      <c r="E235" s="70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90</v>
      </c>
      <c r="L235" s="37" t="s">
        <v>46</v>
      </c>
      <c r="M235" s="38" t="s">
        <v>80</v>
      </c>
      <c r="N235" s="38"/>
      <c r="O235" s="37">
        <v>40</v>
      </c>
      <c r="P235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11"/>
      <c r="R235" s="711"/>
      <c r="S235" s="711"/>
      <c r="T235" s="71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391</v>
      </c>
      <c r="AG235" s="78"/>
      <c r="AJ235" s="84" t="s">
        <v>46</v>
      </c>
      <c r="AK235" s="84">
        <v>0</v>
      </c>
      <c r="BB235" s="319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418</v>
      </c>
      <c r="B236" s="63" t="s">
        <v>419</v>
      </c>
      <c r="C236" s="36">
        <v>4301031245</v>
      </c>
      <c r="D236" s="709">
        <v>4680115883963</v>
      </c>
      <c r="E236" s="70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81</v>
      </c>
      <c r="L236" s="37" t="s">
        <v>46</v>
      </c>
      <c r="M236" s="38" t="s">
        <v>80</v>
      </c>
      <c r="N236" s="38"/>
      <c r="O236" s="37">
        <v>40</v>
      </c>
      <c r="P236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420</v>
      </c>
      <c r="AG236" s="78"/>
      <c r="AJ236" s="84" t="s">
        <v>46</v>
      </c>
      <c r="AK236" s="84">
        <v>0</v>
      </c>
      <c r="BB236" s="321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idden="1" x14ac:dyDescent="0.2">
      <c r="A237" s="717"/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8"/>
      <c r="P237" s="714" t="s">
        <v>40</v>
      </c>
      <c r="Q237" s="715"/>
      <c r="R237" s="715"/>
      <c r="S237" s="715"/>
      <c r="T237" s="715"/>
      <c r="U237" s="715"/>
      <c r="V237" s="716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717"/>
      <c r="B238" s="717"/>
      <c r="C238" s="717"/>
      <c r="D238" s="717"/>
      <c r="E238" s="717"/>
      <c r="F238" s="717"/>
      <c r="G238" s="717"/>
      <c r="H238" s="717"/>
      <c r="I238" s="717"/>
      <c r="J238" s="717"/>
      <c r="K238" s="717"/>
      <c r="L238" s="717"/>
      <c r="M238" s="717"/>
      <c r="N238" s="717"/>
      <c r="O238" s="718"/>
      <c r="P238" s="714" t="s">
        <v>40</v>
      </c>
      <c r="Q238" s="715"/>
      <c r="R238" s="715"/>
      <c r="S238" s="715"/>
      <c r="T238" s="715"/>
      <c r="U238" s="715"/>
      <c r="V238" s="716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708" t="s">
        <v>85</v>
      </c>
      <c r="B239" s="708"/>
      <c r="C239" s="708"/>
      <c r="D239" s="708"/>
      <c r="E239" s="708"/>
      <c r="F239" s="708"/>
      <c r="G239" s="708"/>
      <c r="H239" s="708"/>
      <c r="I239" s="708"/>
      <c r="J239" s="708"/>
      <c r="K239" s="708"/>
      <c r="L239" s="708"/>
      <c r="M239" s="708"/>
      <c r="N239" s="708"/>
      <c r="O239" s="708"/>
      <c r="P239" s="708"/>
      <c r="Q239" s="708"/>
      <c r="R239" s="708"/>
      <c r="S239" s="708"/>
      <c r="T239" s="708"/>
      <c r="U239" s="708"/>
      <c r="V239" s="708"/>
      <c r="W239" s="708"/>
      <c r="X239" s="708"/>
      <c r="Y239" s="708"/>
      <c r="Z239" s="708"/>
      <c r="AA239" s="66"/>
      <c r="AB239" s="66"/>
      <c r="AC239" s="80"/>
    </row>
    <row r="240" spans="1:68" ht="16.5" hidden="1" customHeight="1" x14ac:dyDescent="0.25">
      <c r="A240" s="63" t="s">
        <v>421</v>
      </c>
      <c r="B240" s="63" t="s">
        <v>422</v>
      </c>
      <c r="C240" s="36">
        <v>4301052209</v>
      </c>
      <c r="D240" s="709">
        <v>4680115888692</v>
      </c>
      <c r="E240" s="70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132</v>
      </c>
      <c r="L240" s="37" t="s">
        <v>46</v>
      </c>
      <c r="M240" s="38" t="s">
        <v>96</v>
      </c>
      <c r="N240" s="38"/>
      <c r="O240" s="37">
        <v>35</v>
      </c>
      <c r="P240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423</v>
      </c>
      <c r="AG240" s="78"/>
      <c r="AJ240" s="84" t="s">
        <v>46</v>
      </c>
      <c r="AK240" s="84">
        <v>0</v>
      </c>
      <c r="BB240" s="323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424</v>
      </c>
      <c r="B241" s="63" t="s">
        <v>425</v>
      </c>
      <c r="C241" s="36">
        <v>4301052213</v>
      </c>
      <c r="D241" s="709">
        <v>4680115888722</v>
      </c>
      <c r="E241" s="70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132</v>
      </c>
      <c r="L241" s="37" t="s">
        <v>46</v>
      </c>
      <c r="M241" s="38" t="s">
        <v>96</v>
      </c>
      <c r="N241" s="38"/>
      <c r="O241" s="37">
        <v>35</v>
      </c>
      <c r="P241" s="8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11"/>
      <c r="R241" s="711"/>
      <c r="S241" s="711"/>
      <c r="T241" s="71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426</v>
      </c>
      <c r="AG241" s="78"/>
      <c r="AJ241" s="84" t="s">
        <v>46</v>
      </c>
      <c r="AK241" s="84">
        <v>0</v>
      </c>
      <c r="BB241" s="32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427</v>
      </c>
      <c r="B242" s="63" t="s">
        <v>428</v>
      </c>
      <c r="C242" s="36">
        <v>4301052177</v>
      </c>
      <c r="D242" s="709">
        <v>4680115888951</v>
      </c>
      <c r="E242" s="70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139</v>
      </c>
      <c r="L242" s="37" t="s">
        <v>46</v>
      </c>
      <c r="M242" s="38" t="s">
        <v>96</v>
      </c>
      <c r="N242" s="38"/>
      <c r="O242" s="37">
        <v>35</v>
      </c>
      <c r="P242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11"/>
      <c r="R242" s="711"/>
      <c r="S242" s="711"/>
      <c r="T242" s="712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429</v>
      </c>
      <c r="AG242" s="78"/>
      <c r="AJ242" s="84" t="s">
        <v>46</v>
      </c>
      <c r="AK242" s="84">
        <v>0</v>
      </c>
      <c r="BB242" s="32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430</v>
      </c>
      <c r="B243" s="63" t="s">
        <v>431</v>
      </c>
      <c r="C243" s="36">
        <v>4301052178</v>
      </c>
      <c r="D243" s="709">
        <v>4680115888975</v>
      </c>
      <c r="E243" s="70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139</v>
      </c>
      <c r="L243" s="37" t="s">
        <v>46</v>
      </c>
      <c r="M243" s="38" t="s">
        <v>96</v>
      </c>
      <c r="N243" s="38"/>
      <c r="O243" s="37">
        <v>35</v>
      </c>
      <c r="P243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11"/>
      <c r="R243" s="711"/>
      <c r="S243" s="711"/>
      <c r="T243" s="712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432</v>
      </c>
      <c r="AG243" s="78"/>
      <c r="AJ243" s="84" t="s">
        <v>46</v>
      </c>
      <c r="AK243" s="84">
        <v>0</v>
      </c>
      <c r="BB243" s="329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433</v>
      </c>
      <c r="B244" s="63" t="s">
        <v>434</v>
      </c>
      <c r="C244" s="36">
        <v>4301052176</v>
      </c>
      <c r="D244" s="709">
        <v>4680115888982</v>
      </c>
      <c r="E244" s="70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139</v>
      </c>
      <c r="L244" s="37" t="s">
        <v>46</v>
      </c>
      <c r="M244" s="38" t="s">
        <v>96</v>
      </c>
      <c r="N244" s="38"/>
      <c r="O244" s="37">
        <v>35</v>
      </c>
      <c r="P244" s="83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426</v>
      </c>
      <c r="AG244" s="78"/>
      <c r="AJ244" s="84" t="s">
        <v>46</v>
      </c>
      <c r="AK244" s="84">
        <v>0</v>
      </c>
      <c r="BB244" s="331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17"/>
      <c r="B245" s="717"/>
      <c r="C245" s="717"/>
      <c r="D245" s="717"/>
      <c r="E245" s="717"/>
      <c r="F245" s="717"/>
      <c r="G245" s="717"/>
      <c r="H245" s="717"/>
      <c r="I245" s="717"/>
      <c r="J245" s="717"/>
      <c r="K245" s="717"/>
      <c r="L245" s="717"/>
      <c r="M245" s="717"/>
      <c r="N245" s="717"/>
      <c r="O245" s="718"/>
      <c r="P245" s="714" t="s">
        <v>40</v>
      </c>
      <c r="Q245" s="715"/>
      <c r="R245" s="715"/>
      <c r="S245" s="715"/>
      <c r="T245" s="715"/>
      <c r="U245" s="715"/>
      <c r="V245" s="716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717"/>
      <c r="B246" s="717"/>
      <c r="C246" s="717"/>
      <c r="D246" s="717"/>
      <c r="E246" s="717"/>
      <c r="F246" s="717"/>
      <c r="G246" s="717"/>
      <c r="H246" s="717"/>
      <c r="I246" s="717"/>
      <c r="J246" s="717"/>
      <c r="K246" s="717"/>
      <c r="L246" s="717"/>
      <c r="M246" s="717"/>
      <c r="N246" s="717"/>
      <c r="O246" s="718"/>
      <c r="P246" s="714" t="s">
        <v>40</v>
      </c>
      <c r="Q246" s="715"/>
      <c r="R246" s="715"/>
      <c r="S246" s="715"/>
      <c r="T246" s="715"/>
      <c r="U246" s="715"/>
      <c r="V246" s="716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708" t="s">
        <v>103</v>
      </c>
      <c r="B247" s="708"/>
      <c r="C247" s="708"/>
      <c r="D247" s="708"/>
      <c r="E247" s="708"/>
      <c r="F247" s="708"/>
      <c r="G247" s="708"/>
      <c r="H247" s="708"/>
      <c r="I247" s="708"/>
      <c r="J247" s="708"/>
      <c r="K247" s="708"/>
      <c r="L247" s="708"/>
      <c r="M247" s="708"/>
      <c r="N247" s="708"/>
      <c r="O247" s="708"/>
      <c r="P247" s="708"/>
      <c r="Q247" s="708"/>
      <c r="R247" s="708"/>
      <c r="S247" s="708"/>
      <c r="T247" s="708"/>
      <c r="U247" s="708"/>
      <c r="V247" s="708"/>
      <c r="W247" s="708"/>
      <c r="X247" s="708"/>
      <c r="Y247" s="708"/>
      <c r="Z247" s="708"/>
      <c r="AA247" s="66"/>
      <c r="AB247" s="66"/>
      <c r="AC247" s="80"/>
    </row>
    <row r="248" spans="1:68" ht="27" hidden="1" customHeight="1" x14ac:dyDescent="0.25">
      <c r="A248" s="63" t="s">
        <v>435</v>
      </c>
      <c r="B248" s="63" t="s">
        <v>436</v>
      </c>
      <c r="C248" s="36">
        <v>4301032053</v>
      </c>
      <c r="D248" s="709">
        <v>4680115886780</v>
      </c>
      <c r="E248" s="70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349</v>
      </c>
      <c r="L248" s="37" t="s">
        <v>46</v>
      </c>
      <c r="M248" s="38" t="s">
        <v>291</v>
      </c>
      <c r="N248" s="38"/>
      <c r="O248" s="37">
        <v>60</v>
      </c>
      <c r="P248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1"/>
      <c r="R248" s="711"/>
      <c r="S248" s="711"/>
      <c r="T248" s="71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437</v>
      </c>
      <c r="AG248" s="78"/>
      <c r="AJ248" s="84" t="s">
        <v>46</v>
      </c>
      <c r="AK248" s="84">
        <v>0</v>
      </c>
      <c r="BB248" s="33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438</v>
      </c>
      <c r="B249" s="63" t="s">
        <v>439</v>
      </c>
      <c r="C249" s="36">
        <v>4301032051</v>
      </c>
      <c r="D249" s="709">
        <v>4680115886742</v>
      </c>
      <c r="E249" s="70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349</v>
      </c>
      <c r="L249" s="37" t="s">
        <v>46</v>
      </c>
      <c r="M249" s="38" t="s">
        <v>291</v>
      </c>
      <c r="N249" s="38"/>
      <c r="O249" s="37">
        <v>90</v>
      </c>
      <c r="P249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1"/>
      <c r="R249" s="711"/>
      <c r="S249" s="711"/>
      <c r="T249" s="71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440</v>
      </c>
      <c r="AG249" s="78"/>
      <c r="AJ249" s="84" t="s">
        <v>46</v>
      </c>
      <c r="AK249" s="84">
        <v>0</v>
      </c>
      <c r="BB249" s="33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441</v>
      </c>
      <c r="B250" s="63" t="s">
        <v>442</v>
      </c>
      <c r="C250" s="36">
        <v>4301032052</v>
      </c>
      <c r="D250" s="709">
        <v>4680115886766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349</v>
      </c>
      <c r="L250" s="37" t="s">
        <v>46</v>
      </c>
      <c r="M250" s="38" t="s">
        <v>291</v>
      </c>
      <c r="N250" s="38"/>
      <c r="O250" s="37">
        <v>90</v>
      </c>
      <c r="P250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440</v>
      </c>
      <c r="AG250" s="78"/>
      <c r="AJ250" s="84" t="s">
        <v>46</v>
      </c>
      <c r="AK250" s="84">
        <v>0</v>
      </c>
      <c r="BB250" s="33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708" t="s">
        <v>443</v>
      </c>
      <c r="B253" s="708"/>
      <c r="C253" s="708"/>
      <c r="D253" s="708"/>
      <c r="E253" s="708"/>
      <c r="F253" s="708"/>
      <c r="G253" s="708"/>
      <c r="H253" s="708"/>
      <c r="I253" s="708"/>
      <c r="J253" s="708"/>
      <c r="K253" s="708"/>
      <c r="L253" s="708"/>
      <c r="M253" s="708"/>
      <c r="N253" s="708"/>
      <c r="O253" s="708"/>
      <c r="P253" s="708"/>
      <c r="Q253" s="708"/>
      <c r="R253" s="708"/>
      <c r="S253" s="708"/>
      <c r="T253" s="708"/>
      <c r="U253" s="708"/>
      <c r="V253" s="708"/>
      <c r="W253" s="708"/>
      <c r="X253" s="708"/>
      <c r="Y253" s="708"/>
      <c r="Z253" s="708"/>
      <c r="AA253" s="66"/>
      <c r="AB253" s="66"/>
      <c r="AC253" s="80"/>
    </row>
    <row r="254" spans="1:68" ht="27" hidden="1" customHeight="1" x14ac:dyDescent="0.25">
      <c r="A254" s="63" t="s">
        <v>444</v>
      </c>
      <c r="B254" s="63" t="s">
        <v>445</v>
      </c>
      <c r="C254" s="36">
        <v>4301170013</v>
      </c>
      <c r="D254" s="709">
        <v>4680115886797</v>
      </c>
      <c r="E254" s="70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349</v>
      </c>
      <c r="L254" s="37" t="s">
        <v>46</v>
      </c>
      <c r="M254" s="38" t="s">
        <v>291</v>
      </c>
      <c r="N254" s="38"/>
      <c r="O254" s="37">
        <v>90</v>
      </c>
      <c r="P254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1"/>
      <c r="R254" s="711"/>
      <c r="S254" s="711"/>
      <c r="T254" s="71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440</v>
      </c>
      <c r="AG254" s="78"/>
      <c r="AJ254" s="84" t="s">
        <v>46</v>
      </c>
      <c r="AK254" s="84">
        <v>0</v>
      </c>
      <c r="BB254" s="339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17"/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8"/>
      <c r="P255" s="714" t="s">
        <v>40</v>
      </c>
      <c r="Q255" s="715"/>
      <c r="R255" s="715"/>
      <c r="S255" s="715"/>
      <c r="T255" s="715"/>
      <c r="U255" s="715"/>
      <c r="V255" s="716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717"/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8"/>
      <c r="P256" s="714" t="s">
        <v>40</v>
      </c>
      <c r="Q256" s="715"/>
      <c r="R256" s="715"/>
      <c r="S256" s="715"/>
      <c r="T256" s="715"/>
      <c r="U256" s="715"/>
      <c r="V256" s="716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707" t="s">
        <v>446</v>
      </c>
      <c r="B257" s="707"/>
      <c r="C257" s="707"/>
      <c r="D257" s="707"/>
      <c r="E257" s="707"/>
      <c r="F257" s="707"/>
      <c r="G257" s="707"/>
      <c r="H257" s="707"/>
      <c r="I257" s="707"/>
      <c r="J257" s="707"/>
      <c r="K257" s="707"/>
      <c r="L257" s="707"/>
      <c r="M257" s="707"/>
      <c r="N257" s="707"/>
      <c r="O257" s="707"/>
      <c r="P257" s="707"/>
      <c r="Q257" s="707"/>
      <c r="R257" s="707"/>
      <c r="S257" s="707"/>
      <c r="T257" s="707"/>
      <c r="U257" s="707"/>
      <c r="V257" s="707"/>
      <c r="W257" s="707"/>
      <c r="X257" s="707"/>
      <c r="Y257" s="707"/>
      <c r="Z257" s="707"/>
      <c r="AA257" s="65"/>
      <c r="AB257" s="65"/>
      <c r="AC257" s="79"/>
    </row>
    <row r="258" spans="1:68" ht="14.25" hidden="1" customHeight="1" x14ac:dyDescent="0.25">
      <c r="A258" s="708" t="s">
        <v>127</v>
      </c>
      <c r="B258" s="708"/>
      <c r="C258" s="708"/>
      <c r="D258" s="708"/>
      <c r="E258" s="708"/>
      <c r="F258" s="708"/>
      <c r="G258" s="708"/>
      <c r="H258" s="708"/>
      <c r="I258" s="708"/>
      <c r="J258" s="708"/>
      <c r="K258" s="708"/>
      <c r="L258" s="708"/>
      <c r="M258" s="708"/>
      <c r="N258" s="708"/>
      <c r="O258" s="708"/>
      <c r="P258" s="708"/>
      <c r="Q258" s="708"/>
      <c r="R258" s="708"/>
      <c r="S258" s="708"/>
      <c r="T258" s="708"/>
      <c r="U258" s="708"/>
      <c r="V258" s="708"/>
      <c r="W258" s="708"/>
      <c r="X258" s="708"/>
      <c r="Y258" s="708"/>
      <c r="Z258" s="708"/>
      <c r="AA258" s="66"/>
      <c r="AB258" s="66"/>
      <c r="AC258" s="80"/>
    </row>
    <row r="259" spans="1:68" ht="27" hidden="1" customHeight="1" x14ac:dyDescent="0.25">
      <c r="A259" s="63" t="s">
        <v>447</v>
      </c>
      <c r="B259" s="63" t="s">
        <v>448</v>
      </c>
      <c r="C259" s="36">
        <v>4301011450</v>
      </c>
      <c r="D259" s="709">
        <v>4680115881402</v>
      </c>
      <c r="E259" s="70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132</v>
      </c>
      <c r="L259" s="37" t="s">
        <v>46</v>
      </c>
      <c r="M259" s="38" t="s">
        <v>131</v>
      </c>
      <c r="N259" s="38"/>
      <c r="O259" s="37">
        <v>55</v>
      </c>
      <c r="P259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1"/>
      <c r="R259" s="711"/>
      <c r="S259" s="711"/>
      <c r="T259" s="71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449</v>
      </c>
      <c r="AG259" s="78"/>
      <c r="AJ259" s="84" t="s">
        <v>46</v>
      </c>
      <c r="AK259" s="84">
        <v>0</v>
      </c>
      <c r="BB259" s="341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450</v>
      </c>
      <c r="B260" s="63" t="s">
        <v>451</v>
      </c>
      <c r="C260" s="36">
        <v>4301011768</v>
      </c>
      <c r="D260" s="709">
        <v>4680115881396</v>
      </c>
      <c r="E260" s="70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90</v>
      </c>
      <c r="L260" s="37" t="s">
        <v>46</v>
      </c>
      <c r="M260" s="38" t="s">
        <v>131</v>
      </c>
      <c r="N260" s="38"/>
      <c r="O260" s="37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449</v>
      </c>
      <c r="AG260" s="78"/>
      <c r="AJ260" s="84" t="s">
        <v>46</v>
      </c>
      <c r="AK260" s="84">
        <v>0</v>
      </c>
      <c r="BB260" s="343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17"/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8"/>
      <c r="P261" s="714" t="s">
        <v>40</v>
      </c>
      <c r="Q261" s="715"/>
      <c r="R261" s="715"/>
      <c r="S261" s="715"/>
      <c r="T261" s="715"/>
      <c r="U261" s="715"/>
      <c r="V261" s="716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08" t="s">
        <v>163</v>
      </c>
      <c r="B263" s="708"/>
      <c r="C263" s="708"/>
      <c r="D263" s="708"/>
      <c r="E263" s="708"/>
      <c r="F263" s="708"/>
      <c r="G263" s="708"/>
      <c r="H263" s="708"/>
      <c r="I263" s="708"/>
      <c r="J263" s="708"/>
      <c r="K263" s="708"/>
      <c r="L263" s="708"/>
      <c r="M263" s="708"/>
      <c r="N263" s="708"/>
      <c r="O263" s="708"/>
      <c r="P263" s="708"/>
      <c r="Q263" s="708"/>
      <c r="R263" s="708"/>
      <c r="S263" s="708"/>
      <c r="T263" s="708"/>
      <c r="U263" s="708"/>
      <c r="V263" s="708"/>
      <c r="W263" s="708"/>
      <c r="X263" s="708"/>
      <c r="Y263" s="708"/>
      <c r="Z263" s="708"/>
      <c r="AA263" s="66"/>
      <c r="AB263" s="66"/>
      <c r="AC263" s="80"/>
    </row>
    <row r="264" spans="1:68" ht="16.5" hidden="1" customHeight="1" x14ac:dyDescent="0.25">
      <c r="A264" s="63" t="s">
        <v>452</v>
      </c>
      <c r="B264" s="63" t="s">
        <v>453</v>
      </c>
      <c r="C264" s="36">
        <v>4301020261</v>
      </c>
      <c r="D264" s="709">
        <v>4680115882935</v>
      </c>
      <c r="E264" s="70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132</v>
      </c>
      <c r="L264" s="37" t="s">
        <v>46</v>
      </c>
      <c r="M264" s="38" t="s">
        <v>131</v>
      </c>
      <c r="N264" s="38"/>
      <c r="O264" s="37">
        <v>50</v>
      </c>
      <c r="P264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1"/>
      <c r="R264" s="711"/>
      <c r="S264" s="711"/>
      <c r="T264" s="71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454</v>
      </c>
      <c r="AG264" s="78"/>
      <c r="AJ264" s="84" t="s">
        <v>46</v>
      </c>
      <c r="AK264" s="84">
        <v>0</v>
      </c>
      <c r="BB264" s="345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455</v>
      </c>
      <c r="B265" s="63" t="s">
        <v>456</v>
      </c>
      <c r="C265" s="36">
        <v>4301020220</v>
      </c>
      <c r="D265" s="709">
        <v>4680115880764</v>
      </c>
      <c r="E265" s="70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90</v>
      </c>
      <c r="L265" s="37" t="s">
        <v>46</v>
      </c>
      <c r="M265" s="38" t="s">
        <v>131</v>
      </c>
      <c r="N265" s="38"/>
      <c r="O265" s="37">
        <v>50</v>
      </c>
      <c r="P265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454</v>
      </c>
      <c r="AG265" s="78"/>
      <c r="AJ265" s="84" t="s">
        <v>46</v>
      </c>
      <c r="AK265" s="84">
        <v>0</v>
      </c>
      <c r="BB265" s="347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717"/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8"/>
      <c r="P266" s="714" t="s">
        <v>40</v>
      </c>
      <c r="Q266" s="715"/>
      <c r="R266" s="715"/>
      <c r="S266" s="715"/>
      <c r="T266" s="715"/>
      <c r="U266" s="715"/>
      <c r="V266" s="716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717"/>
      <c r="B267" s="717"/>
      <c r="C267" s="717"/>
      <c r="D267" s="717"/>
      <c r="E267" s="717"/>
      <c r="F267" s="717"/>
      <c r="G267" s="717"/>
      <c r="H267" s="717"/>
      <c r="I267" s="717"/>
      <c r="J267" s="717"/>
      <c r="K267" s="717"/>
      <c r="L267" s="717"/>
      <c r="M267" s="717"/>
      <c r="N267" s="717"/>
      <c r="O267" s="718"/>
      <c r="P267" s="714" t="s">
        <v>40</v>
      </c>
      <c r="Q267" s="715"/>
      <c r="R267" s="715"/>
      <c r="S267" s="715"/>
      <c r="T267" s="715"/>
      <c r="U267" s="715"/>
      <c r="V267" s="716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708" t="s">
        <v>76</v>
      </c>
      <c r="B268" s="708"/>
      <c r="C268" s="708"/>
      <c r="D268" s="708"/>
      <c r="E268" s="708"/>
      <c r="F268" s="708"/>
      <c r="G268" s="708"/>
      <c r="H268" s="708"/>
      <c r="I268" s="708"/>
      <c r="J268" s="708"/>
      <c r="K268" s="708"/>
      <c r="L268" s="708"/>
      <c r="M268" s="708"/>
      <c r="N268" s="708"/>
      <c r="O268" s="708"/>
      <c r="P268" s="708"/>
      <c r="Q268" s="708"/>
      <c r="R268" s="708"/>
      <c r="S268" s="708"/>
      <c r="T268" s="708"/>
      <c r="U268" s="708"/>
      <c r="V268" s="708"/>
      <c r="W268" s="708"/>
      <c r="X268" s="708"/>
      <c r="Y268" s="708"/>
      <c r="Z268" s="708"/>
      <c r="AA268" s="66"/>
      <c r="AB268" s="66"/>
      <c r="AC268" s="80"/>
    </row>
    <row r="269" spans="1:68" ht="27" hidden="1" customHeight="1" x14ac:dyDescent="0.25">
      <c r="A269" s="63" t="s">
        <v>457</v>
      </c>
      <c r="B269" s="63" t="s">
        <v>458</v>
      </c>
      <c r="C269" s="36">
        <v>4301031224</v>
      </c>
      <c r="D269" s="709">
        <v>4680115882683</v>
      </c>
      <c r="E269" s="70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139</v>
      </c>
      <c r="L269" s="37" t="s">
        <v>46</v>
      </c>
      <c r="M269" s="38" t="s">
        <v>80</v>
      </c>
      <c r="N269" s="38"/>
      <c r="O269" s="37">
        <v>40</v>
      </c>
      <c r="P269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459</v>
      </c>
      <c r="AG269" s="78"/>
      <c r="AJ269" s="84" t="s">
        <v>46</v>
      </c>
      <c r="AK269" s="84">
        <v>0</v>
      </c>
      <c r="BB269" s="349" t="s">
        <v>66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hidden="1" customHeight="1" x14ac:dyDescent="0.25">
      <c r="A270" s="63" t="s">
        <v>460</v>
      </c>
      <c r="B270" s="63" t="s">
        <v>461</v>
      </c>
      <c r="C270" s="36">
        <v>4301031230</v>
      </c>
      <c r="D270" s="709">
        <v>4680115882690</v>
      </c>
      <c r="E270" s="70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139</v>
      </c>
      <c r="L270" s="37" t="s">
        <v>46</v>
      </c>
      <c r="M270" s="38" t="s">
        <v>80</v>
      </c>
      <c r="N270" s="38"/>
      <c r="O270" s="37">
        <v>40</v>
      </c>
      <c r="P270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462</v>
      </c>
      <c r="AG270" s="78"/>
      <c r="AJ270" s="84" t="s">
        <v>46</v>
      </c>
      <c r="AK270" s="84">
        <v>0</v>
      </c>
      <c r="BB270" s="351" t="s">
        <v>66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hidden="1" customHeight="1" x14ac:dyDescent="0.25">
      <c r="A271" s="63" t="s">
        <v>463</v>
      </c>
      <c r="B271" s="63" t="s">
        <v>464</v>
      </c>
      <c r="C271" s="36">
        <v>4301031220</v>
      </c>
      <c r="D271" s="709">
        <v>4680115882669</v>
      </c>
      <c r="E271" s="70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139</v>
      </c>
      <c r="L271" s="37" t="s">
        <v>46</v>
      </c>
      <c r="M271" s="38" t="s">
        <v>80</v>
      </c>
      <c r="N271" s="38"/>
      <c r="O271" s="37">
        <v>40</v>
      </c>
      <c r="P271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465</v>
      </c>
      <c r="AG271" s="78"/>
      <c r="AJ271" s="84" t="s">
        <v>46</v>
      </c>
      <c r="AK271" s="84">
        <v>0</v>
      </c>
      <c r="BB271" s="353" t="s">
        <v>66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hidden="1" customHeight="1" x14ac:dyDescent="0.25">
      <c r="A272" s="63" t="s">
        <v>466</v>
      </c>
      <c r="B272" s="63" t="s">
        <v>467</v>
      </c>
      <c r="C272" s="36">
        <v>4301031221</v>
      </c>
      <c r="D272" s="709">
        <v>4680115882676</v>
      </c>
      <c r="E272" s="70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139</v>
      </c>
      <c r="L272" s="37" t="s">
        <v>46</v>
      </c>
      <c r="M272" s="38" t="s">
        <v>80</v>
      </c>
      <c r="N272" s="38"/>
      <c r="O272" s="37">
        <v>40</v>
      </c>
      <c r="P272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468</v>
      </c>
      <c r="AG272" s="78"/>
      <c r="AJ272" s="84" t="s">
        <v>46</v>
      </c>
      <c r="AK272" s="84">
        <v>0</v>
      </c>
      <c r="BB272" s="355" t="s">
        <v>66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4301031223</v>
      </c>
      <c r="D273" s="709">
        <v>4680115884014</v>
      </c>
      <c r="E273" s="70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81</v>
      </c>
      <c r="L273" s="37" t="s">
        <v>46</v>
      </c>
      <c r="M273" s="38" t="s">
        <v>80</v>
      </c>
      <c r="N273" s="38"/>
      <c r="O273" s="37">
        <v>40</v>
      </c>
      <c r="P273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1"/>
      <c r="R273" s="711"/>
      <c r="S273" s="711"/>
      <c r="T273" s="71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459</v>
      </c>
      <c r="AG273" s="78"/>
      <c r="AJ273" s="84" t="s">
        <v>46</v>
      </c>
      <c r="AK273" s="84">
        <v>0</v>
      </c>
      <c r="BB273" s="357" t="s">
        <v>66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4301031222</v>
      </c>
      <c r="D274" s="709">
        <v>4680115884007</v>
      </c>
      <c r="E274" s="70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81</v>
      </c>
      <c r="L274" s="37" t="s">
        <v>46</v>
      </c>
      <c r="M274" s="38" t="s">
        <v>80</v>
      </c>
      <c r="N274" s="38"/>
      <c r="O274" s="37">
        <v>40</v>
      </c>
      <c r="P274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1"/>
      <c r="R274" s="711"/>
      <c r="S274" s="711"/>
      <c r="T274" s="71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66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473</v>
      </c>
      <c r="B275" s="63" t="s">
        <v>474</v>
      </c>
      <c r="C275" s="36">
        <v>4301031229</v>
      </c>
      <c r="D275" s="709">
        <v>4680115884038</v>
      </c>
      <c r="E275" s="70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81</v>
      </c>
      <c r="L275" s="37" t="s">
        <v>46</v>
      </c>
      <c r="M275" s="38" t="s">
        <v>80</v>
      </c>
      <c r="N275" s="38"/>
      <c r="O275" s="37">
        <v>40</v>
      </c>
      <c r="P275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1"/>
      <c r="R275" s="711"/>
      <c r="S275" s="711"/>
      <c r="T275" s="71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465</v>
      </c>
      <c r="AG275" s="78"/>
      <c r="AJ275" s="84" t="s">
        <v>46</v>
      </c>
      <c r="AK275" s="84">
        <v>0</v>
      </c>
      <c r="BB275" s="361" t="s">
        <v>66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475</v>
      </c>
      <c r="B276" s="63" t="s">
        <v>476</v>
      </c>
      <c r="C276" s="36">
        <v>4301031225</v>
      </c>
      <c r="D276" s="709">
        <v>4680115884021</v>
      </c>
      <c r="E276" s="70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468</v>
      </c>
      <c r="AG276" s="78"/>
      <c r="AJ276" s="84" t="s">
        <v>46</v>
      </c>
      <c r="AK276" s="84">
        <v>0</v>
      </c>
      <c r="BB276" s="363" t="s">
        <v>66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hidden="1" x14ac:dyDescent="0.2">
      <c r="A277" s="717"/>
      <c r="B277" s="717"/>
      <c r="C277" s="717"/>
      <c r="D277" s="717"/>
      <c r="E277" s="717"/>
      <c r="F277" s="717"/>
      <c r="G277" s="717"/>
      <c r="H277" s="717"/>
      <c r="I277" s="717"/>
      <c r="J277" s="717"/>
      <c r="K277" s="717"/>
      <c r="L277" s="717"/>
      <c r="M277" s="717"/>
      <c r="N277" s="717"/>
      <c r="O277" s="718"/>
      <c r="P277" s="714" t="s">
        <v>40</v>
      </c>
      <c r="Q277" s="715"/>
      <c r="R277" s="715"/>
      <c r="S277" s="715"/>
      <c r="T277" s="715"/>
      <c r="U277" s="715"/>
      <c r="V277" s="716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717"/>
      <c r="B278" s="717"/>
      <c r="C278" s="717"/>
      <c r="D278" s="717"/>
      <c r="E278" s="717"/>
      <c r="F278" s="717"/>
      <c r="G278" s="717"/>
      <c r="H278" s="717"/>
      <c r="I278" s="717"/>
      <c r="J278" s="717"/>
      <c r="K278" s="717"/>
      <c r="L278" s="717"/>
      <c r="M278" s="717"/>
      <c r="N278" s="717"/>
      <c r="O278" s="718"/>
      <c r="P278" s="714" t="s">
        <v>40</v>
      </c>
      <c r="Q278" s="715"/>
      <c r="R278" s="715"/>
      <c r="S278" s="715"/>
      <c r="T278" s="715"/>
      <c r="U278" s="715"/>
      <c r="V278" s="716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708" t="s">
        <v>85</v>
      </c>
      <c r="B279" s="708"/>
      <c r="C279" s="708"/>
      <c r="D279" s="708"/>
      <c r="E279" s="708"/>
      <c r="F279" s="708"/>
      <c r="G279" s="708"/>
      <c r="H279" s="708"/>
      <c r="I279" s="708"/>
      <c r="J279" s="708"/>
      <c r="K279" s="708"/>
      <c r="L279" s="708"/>
      <c r="M279" s="708"/>
      <c r="N279" s="708"/>
      <c r="O279" s="708"/>
      <c r="P279" s="708"/>
      <c r="Q279" s="708"/>
      <c r="R279" s="708"/>
      <c r="S279" s="708"/>
      <c r="T279" s="708"/>
      <c r="U279" s="708"/>
      <c r="V279" s="708"/>
      <c r="W279" s="708"/>
      <c r="X279" s="708"/>
      <c r="Y279" s="708"/>
      <c r="Z279" s="708"/>
      <c r="AA279" s="66"/>
      <c r="AB279" s="66"/>
      <c r="AC279" s="80"/>
    </row>
    <row r="280" spans="1:68" ht="27" hidden="1" customHeight="1" x14ac:dyDescent="0.25">
      <c r="A280" s="63" t="s">
        <v>477</v>
      </c>
      <c r="B280" s="63" t="s">
        <v>478</v>
      </c>
      <c r="C280" s="36">
        <v>4301051408</v>
      </c>
      <c r="D280" s="709">
        <v>4680115881594</v>
      </c>
      <c r="E280" s="70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132</v>
      </c>
      <c r="L280" s="37" t="s">
        <v>46</v>
      </c>
      <c r="M280" s="38" t="s">
        <v>89</v>
      </c>
      <c r="N280" s="38"/>
      <c r="O280" s="37">
        <v>40</v>
      </c>
      <c r="P280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479</v>
      </c>
      <c r="AG280" s="78"/>
      <c r="AJ280" s="84" t="s">
        <v>46</v>
      </c>
      <c r="AK280" s="84">
        <v>0</v>
      </c>
      <c r="BB280" s="365" t="s">
        <v>66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480</v>
      </c>
      <c r="B281" s="63" t="s">
        <v>481</v>
      </c>
      <c r="C281" s="36">
        <v>4301051411</v>
      </c>
      <c r="D281" s="709">
        <v>4680115881617</v>
      </c>
      <c r="E281" s="70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132</v>
      </c>
      <c r="L281" s="37" t="s">
        <v>46</v>
      </c>
      <c r="M281" s="38" t="s">
        <v>89</v>
      </c>
      <c r="N281" s="38"/>
      <c r="O281" s="37">
        <v>40</v>
      </c>
      <c r="P281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482</v>
      </c>
      <c r="AG281" s="78"/>
      <c r="AJ281" s="84" t="s">
        <v>46</v>
      </c>
      <c r="AK281" s="84">
        <v>0</v>
      </c>
      <c r="BB281" s="367" t="s">
        <v>66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hidden="1" customHeight="1" x14ac:dyDescent="0.25">
      <c r="A282" s="63" t="s">
        <v>483</v>
      </c>
      <c r="B282" s="63" t="s">
        <v>484</v>
      </c>
      <c r="C282" s="36">
        <v>4301051656</v>
      </c>
      <c r="D282" s="709">
        <v>4680115880573</v>
      </c>
      <c r="E282" s="70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132</v>
      </c>
      <c r="L282" s="37" t="s">
        <v>46</v>
      </c>
      <c r="M282" s="38" t="s">
        <v>89</v>
      </c>
      <c r="N282" s="38"/>
      <c r="O282" s="37">
        <v>45</v>
      </c>
      <c r="P282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485</v>
      </c>
      <c r="AG282" s="78"/>
      <c r="AJ282" s="84" t="s">
        <v>46</v>
      </c>
      <c r="AK282" s="84">
        <v>0</v>
      </c>
      <c r="BB282" s="369" t="s">
        <v>66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4301051407</v>
      </c>
      <c r="D283" s="709">
        <v>4680115882195</v>
      </c>
      <c r="E283" s="70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90</v>
      </c>
      <c r="L283" s="37" t="s">
        <v>46</v>
      </c>
      <c r="M283" s="38" t="s">
        <v>89</v>
      </c>
      <c r="N283" s="38"/>
      <c r="O283" s="37">
        <v>40</v>
      </c>
      <c r="P283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479</v>
      </c>
      <c r="AG283" s="78"/>
      <c r="AJ283" s="84" t="s">
        <v>46</v>
      </c>
      <c r="AK283" s="84">
        <v>0</v>
      </c>
      <c r="BB283" s="371" t="s">
        <v>66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hidden="1" customHeight="1" x14ac:dyDescent="0.25">
      <c r="A284" s="63" t="s">
        <v>488</v>
      </c>
      <c r="B284" s="63" t="s">
        <v>489</v>
      </c>
      <c r="C284" s="36">
        <v>4301051752</v>
      </c>
      <c r="D284" s="709">
        <v>4680115882607</v>
      </c>
      <c r="E284" s="70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90</v>
      </c>
      <c r="L284" s="37" t="s">
        <v>46</v>
      </c>
      <c r="M284" s="38" t="s">
        <v>96</v>
      </c>
      <c r="N284" s="38"/>
      <c r="O284" s="37">
        <v>45</v>
      </c>
      <c r="P284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66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490</v>
      </c>
      <c r="B285" s="63" t="s">
        <v>491</v>
      </c>
      <c r="C285" s="36">
        <v>4301052143</v>
      </c>
      <c r="D285" s="709">
        <v>4680115882607</v>
      </c>
      <c r="E285" s="70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139</v>
      </c>
      <c r="L285" s="37" t="s">
        <v>46</v>
      </c>
      <c r="M285" s="38" t="s">
        <v>89</v>
      </c>
      <c r="N285" s="38"/>
      <c r="O285" s="37">
        <v>45</v>
      </c>
      <c r="P285" s="8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492</v>
      </c>
      <c r="AG285" s="78"/>
      <c r="AJ285" s="84" t="s">
        <v>46</v>
      </c>
      <c r="AK285" s="84">
        <v>0</v>
      </c>
      <c r="BB285" s="375" t="s">
        <v>66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4301051666</v>
      </c>
      <c r="D286" s="709">
        <v>4680115880092</v>
      </c>
      <c r="E286" s="70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45</v>
      </c>
      <c r="P286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485</v>
      </c>
      <c r="AG286" s="78"/>
      <c r="AJ286" s="84" t="s">
        <v>46</v>
      </c>
      <c r="AK286" s="84">
        <v>0</v>
      </c>
      <c r="BB286" s="377" t="s">
        <v>66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4301052214</v>
      </c>
      <c r="D287" s="709">
        <v>4680115889064</v>
      </c>
      <c r="E287" s="70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132</v>
      </c>
      <c r="L287" s="37" t="s">
        <v>46</v>
      </c>
      <c r="M287" s="38" t="s">
        <v>89</v>
      </c>
      <c r="N287" s="38"/>
      <c r="O287" s="37">
        <v>45</v>
      </c>
      <c r="P287" s="8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492</v>
      </c>
      <c r="AG287" s="78"/>
      <c r="AJ287" s="84" t="s">
        <v>46</v>
      </c>
      <c r="AK287" s="84">
        <v>0</v>
      </c>
      <c r="BB287" s="379" t="s">
        <v>66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497</v>
      </c>
      <c r="B288" s="63" t="s">
        <v>498</v>
      </c>
      <c r="C288" s="36">
        <v>4301051668</v>
      </c>
      <c r="D288" s="709">
        <v>4680115880221</v>
      </c>
      <c r="E288" s="70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90</v>
      </c>
      <c r="L288" s="37" t="s">
        <v>46</v>
      </c>
      <c r="M288" s="38" t="s">
        <v>89</v>
      </c>
      <c r="N288" s="38"/>
      <c r="O288" s="37">
        <v>45</v>
      </c>
      <c r="P288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1"/>
      <c r="R288" s="711"/>
      <c r="S288" s="711"/>
      <c r="T288" s="71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485</v>
      </c>
      <c r="AG288" s="78"/>
      <c r="AJ288" s="84" t="s">
        <v>46</v>
      </c>
      <c r="AK288" s="84">
        <v>0</v>
      </c>
      <c r="BB288" s="381" t="s">
        <v>66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hidden="1" customHeight="1" x14ac:dyDescent="0.25">
      <c r="A289" s="63" t="s">
        <v>499</v>
      </c>
      <c r="B289" s="63" t="s">
        <v>500</v>
      </c>
      <c r="C289" s="36">
        <v>4301051945</v>
      </c>
      <c r="D289" s="709">
        <v>4680115880504</v>
      </c>
      <c r="E289" s="70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96</v>
      </c>
      <c r="N289" s="38"/>
      <c r="O289" s="37">
        <v>40</v>
      </c>
      <c r="P289" s="8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1"/>
      <c r="R289" s="711"/>
      <c r="S289" s="711"/>
      <c r="T289" s="71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501</v>
      </c>
      <c r="AG289" s="78"/>
      <c r="AJ289" s="84" t="s">
        <v>46</v>
      </c>
      <c r="AK289" s="84">
        <v>0</v>
      </c>
      <c r="BB289" s="383" t="s">
        <v>66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hidden="1" customHeight="1" x14ac:dyDescent="0.25">
      <c r="A290" s="63" t="s">
        <v>502</v>
      </c>
      <c r="B290" s="63" t="s">
        <v>503</v>
      </c>
      <c r="C290" s="36">
        <v>4301051410</v>
      </c>
      <c r="D290" s="709">
        <v>4680115882164</v>
      </c>
      <c r="E290" s="70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90</v>
      </c>
      <c r="L290" s="37" t="s">
        <v>46</v>
      </c>
      <c r="M290" s="38" t="s">
        <v>89</v>
      </c>
      <c r="N290" s="38"/>
      <c r="O290" s="37">
        <v>40</v>
      </c>
      <c r="P290" s="8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1"/>
      <c r="R290" s="711"/>
      <c r="S290" s="711"/>
      <c r="T290" s="712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504</v>
      </c>
      <c r="AG290" s="78"/>
      <c r="AJ290" s="84" t="s">
        <v>46</v>
      </c>
      <c r="AK290" s="84">
        <v>0</v>
      </c>
      <c r="BB290" s="385" t="s">
        <v>66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hidden="1" customHeight="1" x14ac:dyDescent="0.25">
      <c r="A291" s="63" t="s">
        <v>505</v>
      </c>
      <c r="B291" s="63" t="s">
        <v>506</v>
      </c>
      <c r="C291" s="36">
        <v>4301052180</v>
      </c>
      <c r="D291" s="709">
        <v>4680115888340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507</v>
      </c>
      <c r="AG291" s="78"/>
      <c r="AJ291" s="84" t="s">
        <v>46</v>
      </c>
      <c r="AK291" s="84">
        <v>0</v>
      </c>
      <c r="BB291" s="387" t="s">
        <v>66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hidden="1" x14ac:dyDescent="0.2">
      <c r="A292" s="717"/>
      <c r="B292" s="717"/>
      <c r="C292" s="717"/>
      <c r="D292" s="717"/>
      <c r="E292" s="717"/>
      <c r="F292" s="717"/>
      <c r="G292" s="717"/>
      <c r="H292" s="717"/>
      <c r="I292" s="717"/>
      <c r="J292" s="717"/>
      <c r="K292" s="717"/>
      <c r="L292" s="717"/>
      <c r="M292" s="717"/>
      <c r="N292" s="717"/>
      <c r="O292" s="718"/>
      <c r="P292" s="714" t="s">
        <v>40</v>
      </c>
      <c r="Q292" s="715"/>
      <c r="R292" s="715"/>
      <c r="S292" s="715"/>
      <c r="T292" s="715"/>
      <c r="U292" s="715"/>
      <c r="V292" s="716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idden="1" x14ac:dyDescent="0.2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hidden="1" customHeight="1" x14ac:dyDescent="0.25">
      <c r="A294" s="708" t="s">
        <v>180</v>
      </c>
      <c r="B294" s="708"/>
      <c r="C294" s="708"/>
      <c r="D294" s="708"/>
      <c r="E294" s="708"/>
      <c r="F294" s="708"/>
      <c r="G294" s="708"/>
      <c r="H294" s="708"/>
      <c r="I294" s="708"/>
      <c r="J294" s="708"/>
      <c r="K294" s="708"/>
      <c r="L294" s="708"/>
      <c r="M294" s="708"/>
      <c r="N294" s="708"/>
      <c r="O294" s="708"/>
      <c r="P294" s="708"/>
      <c r="Q294" s="708"/>
      <c r="R294" s="708"/>
      <c r="S294" s="708"/>
      <c r="T294" s="708"/>
      <c r="U294" s="708"/>
      <c r="V294" s="708"/>
      <c r="W294" s="708"/>
      <c r="X294" s="708"/>
      <c r="Y294" s="708"/>
      <c r="Z294" s="708"/>
      <c r="AA294" s="66"/>
      <c r="AB294" s="66"/>
      <c r="AC294" s="80"/>
    </row>
    <row r="295" spans="1:68" ht="27" hidden="1" customHeight="1" x14ac:dyDescent="0.25">
      <c r="A295" s="63" t="s">
        <v>508</v>
      </c>
      <c r="B295" s="63" t="s">
        <v>509</v>
      </c>
      <c r="C295" s="36">
        <v>4301060463</v>
      </c>
      <c r="D295" s="709">
        <v>4680115880818</v>
      </c>
      <c r="E295" s="70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90</v>
      </c>
      <c r="L295" s="37" t="s">
        <v>46</v>
      </c>
      <c r="M295" s="38" t="s">
        <v>96</v>
      </c>
      <c r="N295" s="38"/>
      <c r="O295" s="37">
        <v>40</v>
      </c>
      <c r="P295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1"/>
      <c r="R295" s="711"/>
      <c r="S295" s="711"/>
      <c r="T295" s="712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510</v>
      </c>
      <c r="AG295" s="78"/>
      <c r="AJ295" s="84" t="s">
        <v>46</v>
      </c>
      <c r="AK295" s="84">
        <v>0</v>
      </c>
      <c r="BB295" s="389" t="s">
        <v>66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511</v>
      </c>
      <c r="B296" s="63" t="s">
        <v>512</v>
      </c>
      <c r="C296" s="36">
        <v>4301060389</v>
      </c>
      <c r="D296" s="709">
        <v>4680115880801</v>
      </c>
      <c r="E296" s="70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90</v>
      </c>
      <c r="L296" s="37" t="s">
        <v>46</v>
      </c>
      <c r="M296" s="38" t="s">
        <v>89</v>
      </c>
      <c r="N296" s="38"/>
      <c r="O296" s="37">
        <v>40</v>
      </c>
      <c r="P296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1"/>
      <c r="R296" s="711"/>
      <c r="S296" s="711"/>
      <c r="T296" s="71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513</v>
      </c>
      <c r="AG296" s="78"/>
      <c r="AJ296" s="84" t="s">
        <v>46</v>
      </c>
      <c r="AK296" s="84">
        <v>0</v>
      </c>
      <c r="BB296" s="391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717"/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8"/>
      <c r="P297" s="714" t="s">
        <v>40</v>
      </c>
      <c r="Q297" s="715"/>
      <c r="R297" s="715"/>
      <c r="S297" s="715"/>
      <c r="T297" s="715"/>
      <c r="U297" s="715"/>
      <c r="V297" s="716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717"/>
      <c r="B298" s="717"/>
      <c r="C298" s="717"/>
      <c r="D298" s="717"/>
      <c r="E298" s="717"/>
      <c r="F298" s="717"/>
      <c r="G298" s="717"/>
      <c r="H298" s="717"/>
      <c r="I298" s="717"/>
      <c r="J298" s="717"/>
      <c r="K298" s="717"/>
      <c r="L298" s="717"/>
      <c r="M298" s="717"/>
      <c r="N298" s="717"/>
      <c r="O298" s="718"/>
      <c r="P298" s="714" t="s">
        <v>40</v>
      </c>
      <c r="Q298" s="715"/>
      <c r="R298" s="715"/>
      <c r="S298" s="715"/>
      <c r="T298" s="715"/>
      <c r="U298" s="715"/>
      <c r="V298" s="716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707" t="s">
        <v>514</v>
      </c>
      <c r="B299" s="707"/>
      <c r="C299" s="707"/>
      <c r="D299" s="707"/>
      <c r="E299" s="707"/>
      <c r="F299" s="707"/>
      <c r="G299" s="707"/>
      <c r="H299" s="707"/>
      <c r="I299" s="707"/>
      <c r="J299" s="707"/>
      <c r="K299" s="707"/>
      <c r="L299" s="707"/>
      <c r="M299" s="707"/>
      <c r="N299" s="707"/>
      <c r="O299" s="707"/>
      <c r="P299" s="707"/>
      <c r="Q299" s="707"/>
      <c r="R299" s="707"/>
      <c r="S299" s="707"/>
      <c r="T299" s="707"/>
      <c r="U299" s="707"/>
      <c r="V299" s="707"/>
      <c r="W299" s="707"/>
      <c r="X299" s="707"/>
      <c r="Y299" s="707"/>
      <c r="Z299" s="707"/>
      <c r="AA299" s="65"/>
      <c r="AB299" s="65"/>
      <c r="AC299" s="79"/>
    </row>
    <row r="300" spans="1:68" ht="14.25" hidden="1" customHeight="1" x14ac:dyDescent="0.25">
      <c r="A300" s="708" t="s">
        <v>127</v>
      </c>
      <c r="B300" s="708"/>
      <c r="C300" s="708"/>
      <c r="D300" s="708"/>
      <c r="E300" s="708"/>
      <c r="F300" s="708"/>
      <c r="G300" s="708"/>
      <c r="H300" s="708"/>
      <c r="I300" s="708"/>
      <c r="J300" s="708"/>
      <c r="K300" s="708"/>
      <c r="L300" s="708"/>
      <c r="M300" s="708"/>
      <c r="N300" s="708"/>
      <c r="O300" s="708"/>
      <c r="P300" s="708"/>
      <c r="Q300" s="708"/>
      <c r="R300" s="708"/>
      <c r="S300" s="708"/>
      <c r="T300" s="708"/>
      <c r="U300" s="708"/>
      <c r="V300" s="708"/>
      <c r="W300" s="708"/>
      <c r="X300" s="708"/>
      <c r="Y300" s="708"/>
      <c r="Z300" s="708"/>
      <c r="AA300" s="66"/>
      <c r="AB300" s="66"/>
      <c r="AC300" s="80"/>
    </row>
    <row r="301" spans="1:68" ht="27" hidden="1" customHeight="1" x14ac:dyDescent="0.25">
      <c r="A301" s="63" t="s">
        <v>515</v>
      </c>
      <c r="B301" s="63" t="s">
        <v>516</v>
      </c>
      <c r="C301" s="36">
        <v>4301011826</v>
      </c>
      <c r="D301" s="709">
        <v>4680115884137</v>
      </c>
      <c r="E301" s="70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132</v>
      </c>
      <c r="L301" s="37" t="s">
        <v>46</v>
      </c>
      <c r="M301" s="38" t="s">
        <v>131</v>
      </c>
      <c r="N301" s="38"/>
      <c r="O301" s="37">
        <v>55</v>
      </c>
      <c r="P301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517</v>
      </c>
      <c r="AG301" s="78"/>
      <c r="AJ301" s="84" t="s">
        <v>46</v>
      </c>
      <c r="AK301" s="84">
        <v>0</v>
      </c>
      <c r="BB301" s="393" t="s">
        <v>66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518</v>
      </c>
      <c r="B302" s="63" t="s">
        <v>519</v>
      </c>
      <c r="C302" s="36">
        <v>4301011724</v>
      </c>
      <c r="D302" s="709">
        <v>4680115884236</v>
      </c>
      <c r="E302" s="70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132</v>
      </c>
      <c r="L302" s="37" t="s">
        <v>46</v>
      </c>
      <c r="M302" s="38" t="s">
        <v>131</v>
      </c>
      <c r="N302" s="38"/>
      <c r="O302" s="37">
        <v>55</v>
      </c>
      <c r="P302" s="8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520</v>
      </c>
      <c r="AG302" s="78"/>
      <c r="AJ302" s="84" t="s">
        <v>46</v>
      </c>
      <c r="AK302" s="84">
        <v>0</v>
      </c>
      <c r="BB302" s="395" t="s">
        <v>66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4301011721</v>
      </c>
      <c r="D303" s="709">
        <v>4680115884175</v>
      </c>
      <c r="E303" s="70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132</v>
      </c>
      <c r="L303" s="37" t="s">
        <v>46</v>
      </c>
      <c r="M303" s="38" t="s">
        <v>131</v>
      </c>
      <c r="N303" s="38"/>
      <c r="O303" s="37">
        <v>55</v>
      </c>
      <c r="P303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375</v>
      </c>
      <c r="AG303" s="78"/>
      <c r="AJ303" s="84" t="s">
        <v>46</v>
      </c>
      <c r="AK303" s="84">
        <v>0</v>
      </c>
      <c r="BB303" s="397" t="s">
        <v>66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523</v>
      </c>
      <c r="B304" s="63" t="s">
        <v>524</v>
      </c>
      <c r="C304" s="36">
        <v>4301011824</v>
      </c>
      <c r="D304" s="709">
        <v>4680115884144</v>
      </c>
      <c r="E304" s="70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139</v>
      </c>
      <c r="L304" s="37" t="s">
        <v>46</v>
      </c>
      <c r="M304" s="38" t="s">
        <v>131</v>
      </c>
      <c r="N304" s="38"/>
      <c r="O304" s="37">
        <v>55</v>
      </c>
      <c r="P304" s="8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1"/>
      <c r="R304" s="711"/>
      <c r="S304" s="711"/>
      <c r="T304" s="71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517</v>
      </c>
      <c r="AG304" s="78"/>
      <c r="AJ304" s="84" t="s">
        <v>46</v>
      </c>
      <c r="AK304" s="84">
        <v>0</v>
      </c>
      <c r="BB304" s="399" t="s">
        <v>66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525</v>
      </c>
      <c r="B305" s="63" t="s">
        <v>526</v>
      </c>
      <c r="C305" s="36">
        <v>4301012149</v>
      </c>
      <c r="D305" s="709">
        <v>4680115886551</v>
      </c>
      <c r="E305" s="70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139</v>
      </c>
      <c r="L305" s="37" t="s">
        <v>46</v>
      </c>
      <c r="M305" s="38" t="s">
        <v>131</v>
      </c>
      <c r="N305" s="38"/>
      <c r="O305" s="37">
        <v>55</v>
      </c>
      <c r="P305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1"/>
      <c r="R305" s="711"/>
      <c r="S305" s="711"/>
      <c r="T305" s="71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527</v>
      </c>
      <c r="AG305" s="78"/>
      <c r="AJ305" s="84" t="s">
        <v>46</v>
      </c>
      <c r="AK305" s="84">
        <v>0</v>
      </c>
      <c r="BB305" s="401" t="s">
        <v>66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528</v>
      </c>
      <c r="B306" s="63" t="s">
        <v>529</v>
      </c>
      <c r="C306" s="36">
        <v>4301012228</v>
      </c>
      <c r="D306" s="709">
        <v>4680115887282</v>
      </c>
      <c r="E306" s="70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90</v>
      </c>
      <c r="L306" s="37" t="s">
        <v>46</v>
      </c>
      <c r="M306" s="38" t="s">
        <v>131</v>
      </c>
      <c r="N306" s="38"/>
      <c r="O306" s="37">
        <v>55</v>
      </c>
      <c r="P306" s="8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1"/>
      <c r="R306" s="711"/>
      <c r="S306" s="711"/>
      <c r="T306" s="71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530</v>
      </c>
      <c r="AG306" s="78"/>
      <c r="AJ306" s="84" t="s">
        <v>46</v>
      </c>
      <c r="AK306" s="84">
        <v>0</v>
      </c>
      <c r="BB306" s="403" t="s">
        <v>66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531</v>
      </c>
      <c r="B307" s="63" t="s">
        <v>532</v>
      </c>
      <c r="C307" s="36">
        <v>4301011722</v>
      </c>
      <c r="D307" s="709">
        <v>4680115884205</v>
      </c>
      <c r="E307" s="70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139</v>
      </c>
      <c r="L307" s="37" t="s">
        <v>46</v>
      </c>
      <c r="M307" s="38" t="s">
        <v>131</v>
      </c>
      <c r="N307" s="38"/>
      <c r="O307" s="37">
        <v>55</v>
      </c>
      <c r="P307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375</v>
      </c>
      <c r="AG307" s="78"/>
      <c r="AJ307" s="84" t="s">
        <v>46</v>
      </c>
      <c r="AK307" s="84">
        <v>0</v>
      </c>
      <c r="BB307" s="405" t="s">
        <v>66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08" t="s">
        <v>163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hidden="1" customHeight="1" x14ac:dyDescent="0.25">
      <c r="A311" s="63" t="s">
        <v>533</v>
      </c>
      <c r="B311" s="63" t="s">
        <v>534</v>
      </c>
      <c r="C311" s="36">
        <v>4301020377</v>
      </c>
      <c r="D311" s="709">
        <v>4680115885981</v>
      </c>
      <c r="E311" s="70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81</v>
      </c>
      <c r="L311" s="37" t="s">
        <v>46</v>
      </c>
      <c r="M311" s="38" t="s">
        <v>89</v>
      </c>
      <c r="N311" s="38"/>
      <c r="O311" s="37">
        <v>50</v>
      </c>
      <c r="P311" s="8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535</v>
      </c>
      <c r="AG311" s="78"/>
      <c r="AJ311" s="84" t="s">
        <v>46</v>
      </c>
      <c r="AK311" s="84">
        <v>0</v>
      </c>
      <c r="BB311" s="407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08" t="s">
        <v>536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hidden="1" customHeight="1" x14ac:dyDescent="0.25">
      <c r="A315" s="63" t="s">
        <v>537</v>
      </c>
      <c r="B315" s="63" t="s">
        <v>538</v>
      </c>
      <c r="C315" s="36">
        <v>4301040362</v>
      </c>
      <c r="D315" s="709">
        <v>4680115886803</v>
      </c>
      <c r="E315" s="70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349</v>
      </c>
      <c r="L315" s="37" t="s">
        <v>46</v>
      </c>
      <c r="M315" s="38" t="s">
        <v>291</v>
      </c>
      <c r="N315" s="38"/>
      <c r="O315" s="37">
        <v>45</v>
      </c>
      <c r="P315" s="8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539</v>
      </c>
      <c r="AG315" s="78"/>
      <c r="AJ315" s="84" t="s">
        <v>46</v>
      </c>
      <c r="AK315" s="84">
        <v>0</v>
      </c>
      <c r="BB315" s="40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17"/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8"/>
      <c r="P316" s="714" t="s">
        <v>40</v>
      </c>
      <c r="Q316" s="715"/>
      <c r="R316" s="715"/>
      <c r="S316" s="715"/>
      <c r="T316" s="715"/>
      <c r="U316" s="715"/>
      <c r="V316" s="716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17"/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8"/>
      <c r="P317" s="714" t="s">
        <v>40</v>
      </c>
      <c r="Q317" s="715"/>
      <c r="R317" s="715"/>
      <c r="S317" s="715"/>
      <c r="T317" s="715"/>
      <c r="U317" s="715"/>
      <c r="V317" s="716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08" t="s">
        <v>353</v>
      </c>
      <c r="B318" s="708"/>
      <c r="C318" s="708"/>
      <c r="D318" s="708"/>
      <c r="E318" s="708"/>
      <c r="F318" s="708"/>
      <c r="G318" s="708"/>
      <c r="H318" s="708"/>
      <c r="I318" s="708"/>
      <c r="J318" s="708"/>
      <c r="K318" s="708"/>
      <c r="L318" s="708"/>
      <c r="M318" s="708"/>
      <c r="N318" s="708"/>
      <c r="O318" s="708"/>
      <c r="P318" s="708"/>
      <c r="Q318" s="708"/>
      <c r="R318" s="708"/>
      <c r="S318" s="708"/>
      <c r="T318" s="708"/>
      <c r="U318" s="708"/>
      <c r="V318" s="708"/>
      <c r="W318" s="708"/>
      <c r="X318" s="708"/>
      <c r="Y318" s="708"/>
      <c r="Z318" s="708"/>
      <c r="AA318" s="66"/>
      <c r="AB318" s="66"/>
      <c r="AC318" s="80"/>
    </row>
    <row r="319" spans="1:68" ht="27" hidden="1" customHeight="1" x14ac:dyDescent="0.25">
      <c r="A319" s="63" t="s">
        <v>540</v>
      </c>
      <c r="B319" s="63" t="s">
        <v>541</v>
      </c>
      <c r="C319" s="36">
        <v>4301041004</v>
      </c>
      <c r="D319" s="709">
        <v>4680115886704</v>
      </c>
      <c r="E319" s="70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349</v>
      </c>
      <c r="L319" s="37" t="s">
        <v>46</v>
      </c>
      <c r="M319" s="38" t="s">
        <v>291</v>
      </c>
      <c r="N319" s="38"/>
      <c r="O319" s="37">
        <v>90</v>
      </c>
      <c r="P319" s="87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1"/>
      <c r="R319" s="711"/>
      <c r="S319" s="711"/>
      <c r="T319" s="71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542</v>
      </c>
      <c r="AG319" s="78"/>
      <c r="AJ319" s="84" t="s">
        <v>46</v>
      </c>
      <c r="AK319" s="84">
        <v>0</v>
      </c>
      <c r="BB319" s="411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543</v>
      </c>
      <c r="B320" s="63" t="s">
        <v>544</v>
      </c>
      <c r="C320" s="36">
        <v>4301041008</v>
      </c>
      <c r="D320" s="709">
        <v>4680115886681</v>
      </c>
      <c r="E320" s="70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349</v>
      </c>
      <c r="L320" s="37" t="s">
        <v>46</v>
      </c>
      <c r="M320" s="38" t="s">
        <v>291</v>
      </c>
      <c r="N320" s="38"/>
      <c r="O320" s="37">
        <v>90</v>
      </c>
      <c r="P320" s="8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1"/>
      <c r="R320" s="711"/>
      <c r="S320" s="711"/>
      <c r="T320" s="71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542</v>
      </c>
      <c r="AG320" s="78"/>
      <c r="AJ320" s="84" t="s">
        <v>46</v>
      </c>
      <c r="AK320" s="84">
        <v>0</v>
      </c>
      <c r="BB320" s="41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545</v>
      </c>
      <c r="B321" s="63" t="s">
        <v>546</v>
      </c>
      <c r="C321" s="36">
        <v>4301041007</v>
      </c>
      <c r="D321" s="709">
        <v>4680115886735</v>
      </c>
      <c r="E321" s="70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349</v>
      </c>
      <c r="L321" s="37" t="s">
        <v>46</v>
      </c>
      <c r="M321" s="38" t="s">
        <v>291</v>
      </c>
      <c r="N321" s="38"/>
      <c r="O321" s="37">
        <v>90</v>
      </c>
      <c r="P321" s="8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1"/>
      <c r="R321" s="711"/>
      <c r="S321" s="711"/>
      <c r="T321" s="71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542</v>
      </c>
      <c r="AG321" s="78"/>
      <c r="AJ321" s="84" t="s">
        <v>46</v>
      </c>
      <c r="AK321" s="84">
        <v>0</v>
      </c>
      <c r="BB321" s="41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717"/>
      <c r="B322" s="717"/>
      <c r="C322" s="717"/>
      <c r="D322" s="717"/>
      <c r="E322" s="717"/>
      <c r="F322" s="717"/>
      <c r="G322" s="717"/>
      <c r="H322" s="717"/>
      <c r="I322" s="717"/>
      <c r="J322" s="717"/>
      <c r="K322" s="717"/>
      <c r="L322" s="717"/>
      <c r="M322" s="717"/>
      <c r="N322" s="717"/>
      <c r="O322" s="718"/>
      <c r="P322" s="714" t="s">
        <v>40</v>
      </c>
      <c r="Q322" s="715"/>
      <c r="R322" s="715"/>
      <c r="S322" s="715"/>
      <c r="T322" s="715"/>
      <c r="U322" s="715"/>
      <c r="V322" s="716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717"/>
      <c r="B323" s="717"/>
      <c r="C323" s="717"/>
      <c r="D323" s="717"/>
      <c r="E323" s="717"/>
      <c r="F323" s="717"/>
      <c r="G323" s="717"/>
      <c r="H323" s="717"/>
      <c r="I323" s="717"/>
      <c r="J323" s="717"/>
      <c r="K323" s="717"/>
      <c r="L323" s="717"/>
      <c r="M323" s="717"/>
      <c r="N323" s="717"/>
      <c r="O323" s="718"/>
      <c r="P323" s="714" t="s">
        <v>40</v>
      </c>
      <c r="Q323" s="715"/>
      <c r="R323" s="715"/>
      <c r="S323" s="715"/>
      <c r="T323" s="715"/>
      <c r="U323" s="715"/>
      <c r="V323" s="716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707" t="s">
        <v>547</v>
      </c>
      <c r="B324" s="707"/>
      <c r="C324" s="707"/>
      <c r="D324" s="707"/>
      <c r="E324" s="707"/>
      <c r="F324" s="707"/>
      <c r="G324" s="707"/>
      <c r="H324" s="707"/>
      <c r="I324" s="707"/>
      <c r="J324" s="707"/>
      <c r="K324" s="707"/>
      <c r="L324" s="707"/>
      <c r="M324" s="707"/>
      <c r="N324" s="707"/>
      <c r="O324" s="707"/>
      <c r="P324" s="707"/>
      <c r="Q324" s="707"/>
      <c r="R324" s="707"/>
      <c r="S324" s="707"/>
      <c r="T324" s="707"/>
      <c r="U324" s="707"/>
      <c r="V324" s="707"/>
      <c r="W324" s="707"/>
      <c r="X324" s="707"/>
      <c r="Y324" s="707"/>
      <c r="Z324" s="707"/>
      <c r="AA324" s="65"/>
      <c r="AB324" s="65"/>
      <c r="AC324" s="79"/>
    </row>
    <row r="325" spans="1:68" ht="14.25" hidden="1" customHeight="1" x14ac:dyDescent="0.25">
      <c r="A325" s="708" t="s">
        <v>127</v>
      </c>
      <c r="B325" s="708"/>
      <c r="C325" s="708"/>
      <c r="D325" s="708"/>
      <c r="E325" s="708"/>
      <c r="F325" s="708"/>
      <c r="G325" s="708"/>
      <c r="H325" s="708"/>
      <c r="I325" s="708"/>
      <c r="J325" s="708"/>
      <c r="K325" s="708"/>
      <c r="L325" s="708"/>
      <c r="M325" s="708"/>
      <c r="N325" s="708"/>
      <c r="O325" s="708"/>
      <c r="P325" s="708"/>
      <c r="Q325" s="708"/>
      <c r="R325" s="708"/>
      <c r="S325" s="708"/>
      <c r="T325" s="708"/>
      <c r="U325" s="708"/>
      <c r="V325" s="708"/>
      <c r="W325" s="708"/>
      <c r="X325" s="708"/>
      <c r="Y325" s="708"/>
      <c r="Z325" s="708"/>
      <c r="AA325" s="66"/>
      <c r="AB325" s="66"/>
      <c r="AC325" s="80"/>
    </row>
    <row r="326" spans="1:68" ht="27" hidden="1" customHeight="1" x14ac:dyDescent="0.25">
      <c r="A326" s="63" t="s">
        <v>548</v>
      </c>
      <c r="B326" s="63" t="s">
        <v>549</v>
      </c>
      <c r="C326" s="36">
        <v>4301011855</v>
      </c>
      <c r="D326" s="709">
        <v>4680115885837</v>
      </c>
      <c r="E326" s="70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132</v>
      </c>
      <c r="L326" s="37" t="s">
        <v>46</v>
      </c>
      <c r="M326" s="38" t="s">
        <v>131</v>
      </c>
      <c r="N326" s="38"/>
      <c r="O326" s="37">
        <v>55</v>
      </c>
      <c r="P326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550</v>
      </c>
      <c r="AG326" s="78"/>
      <c r="AJ326" s="84" t="s">
        <v>46</v>
      </c>
      <c r="AK326" s="84">
        <v>0</v>
      </c>
      <c r="BB326" s="417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551</v>
      </c>
      <c r="B327" s="63" t="s">
        <v>552</v>
      </c>
      <c r="C327" s="36">
        <v>4301012234</v>
      </c>
      <c r="D327" s="709">
        <v>4680115887237</v>
      </c>
      <c r="E327" s="70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132</v>
      </c>
      <c r="L327" s="37" t="s">
        <v>46</v>
      </c>
      <c r="M327" s="38" t="s">
        <v>131</v>
      </c>
      <c r="N327" s="38"/>
      <c r="O327" s="37">
        <v>55</v>
      </c>
      <c r="P327" s="8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1"/>
      <c r="R327" s="711"/>
      <c r="S327" s="711"/>
      <c r="T327" s="71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553</v>
      </c>
      <c r="AG327" s="78"/>
      <c r="AJ327" s="84" t="s">
        <v>46</v>
      </c>
      <c r="AK327" s="84">
        <v>0</v>
      </c>
      <c r="BB327" s="419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554</v>
      </c>
      <c r="B328" s="63" t="s">
        <v>555</v>
      </c>
      <c r="C328" s="36">
        <v>4301011850</v>
      </c>
      <c r="D328" s="709">
        <v>4680115885806</v>
      </c>
      <c r="E328" s="70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132</v>
      </c>
      <c r="L328" s="37" t="s">
        <v>46</v>
      </c>
      <c r="M328" s="38" t="s">
        <v>131</v>
      </c>
      <c r="N328" s="38"/>
      <c r="O328" s="37">
        <v>55</v>
      </c>
      <c r="P328" s="8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1"/>
      <c r="R328" s="711"/>
      <c r="S328" s="711"/>
      <c r="T328" s="712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556</v>
      </c>
      <c r="AG328" s="78"/>
      <c r="AJ328" s="84" t="s">
        <v>46</v>
      </c>
      <c r="AK328" s="84">
        <v>0</v>
      </c>
      <c r="BB328" s="421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557</v>
      </c>
      <c r="B329" s="63" t="s">
        <v>558</v>
      </c>
      <c r="C329" s="36">
        <v>4301011852</v>
      </c>
      <c r="D329" s="709">
        <v>4680115885844</v>
      </c>
      <c r="E329" s="70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139</v>
      </c>
      <c r="L329" s="37" t="s">
        <v>46</v>
      </c>
      <c r="M329" s="38" t="s">
        <v>131</v>
      </c>
      <c r="N329" s="38"/>
      <c r="O329" s="37">
        <v>55</v>
      </c>
      <c r="P329" s="88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1"/>
      <c r="R329" s="711"/>
      <c r="S329" s="711"/>
      <c r="T329" s="71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559</v>
      </c>
      <c r="AG329" s="78"/>
      <c r="AJ329" s="84" t="s">
        <v>46</v>
      </c>
      <c r="AK329" s="84">
        <v>0</v>
      </c>
      <c r="BB329" s="423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560</v>
      </c>
      <c r="B330" s="63" t="s">
        <v>561</v>
      </c>
      <c r="C330" s="36">
        <v>4301011851</v>
      </c>
      <c r="D330" s="709">
        <v>4680115885820</v>
      </c>
      <c r="E330" s="70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139</v>
      </c>
      <c r="L330" s="37" t="s">
        <v>46</v>
      </c>
      <c r="M330" s="38" t="s">
        <v>131</v>
      </c>
      <c r="N330" s="38"/>
      <c r="O330" s="37">
        <v>55</v>
      </c>
      <c r="P330" s="8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1"/>
      <c r="R330" s="711"/>
      <c r="S330" s="711"/>
      <c r="T330" s="71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562</v>
      </c>
      <c r="AG330" s="78"/>
      <c r="AJ330" s="84" t="s">
        <v>46</v>
      </c>
      <c r="AK330" s="84">
        <v>0</v>
      </c>
      <c r="BB330" s="425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717"/>
      <c r="B331" s="717"/>
      <c r="C331" s="717"/>
      <c r="D331" s="717"/>
      <c r="E331" s="717"/>
      <c r="F331" s="717"/>
      <c r="G331" s="717"/>
      <c r="H331" s="717"/>
      <c r="I331" s="717"/>
      <c r="J331" s="717"/>
      <c r="K331" s="717"/>
      <c r="L331" s="717"/>
      <c r="M331" s="717"/>
      <c r="N331" s="717"/>
      <c r="O331" s="718"/>
      <c r="P331" s="714" t="s">
        <v>40</v>
      </c>
      <c r="Q331" s="715"/>
      <c r="R331" s="715"/>
      <c r="S331" s="715"/>
      <c r="T331" s="715"/>
      <c r="U331" s="715"/>
      <c r="V331" s="716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717"/>
      <c r="B332" s="717"/>
      <c r="C332" s="717"/>
      <c r="D332" s="717"/>
      <c r="E332" s="717"/>
      <c r="F332" s="717"/>
      <c r="G332" s="717"/>
      <c r="H332" s="717"/>
      <c r="I332" s="717"/>
      <c r="J332" s="717"/>
      <c r="K332" s="717"/>
      <c r="L332" s="717"/>
      <c r="M332" s="717"/>
      <c r="N332" s="717"/>
      <c r="O332" s="718"/>
      <c r="P332" s="714" t="s">
        <v>40</v>
      </c>
      <c r="Q332" s="715"/>
      <c r="R332" s="715"/>
      <c r="S332" s="715"/>
      <c r="T332" s="715"/>
      <c r="U332" s="715"/>
      <c r="V332" s="716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707" t="s">
        <v>563</v>
      </c>
      <c r="B333" s="707"/>
      <c r="C333" s="707"/>
      <c r="D333" s="707"/>
      <c r="E333" s="707"/>
      <c r="F333" s="707"/>
      <c r="G333" s="707"/>
      <c r="H333" s="707"/>
      <c r="I333" s="707"/>
      <c r="J333" s="707"/>
      <c r="K333" s="707"/>
      <c r="L333" s="707"/>
      <c r="M333" s="707"/>
      <c r="N333" s="707"/>
      <c r="O333" s="707"/>
      <c r="P333" s="707"/>
      <c r="Q333" s="707"/>
      <c r="R333" s="707"/>
      <c r="S333" s="707"/>
      <c r="T333" s="707"/>
      <c r="U333" s="707"/>
      <c r="V333" s="707"/>
      <c r="W333" s="707"/>
      <c r="X333" s="707"/>
      <c r="Y333" s="707"/>
      <c r="Z333" s="707"/>
      <c r="AA333" s="65"/>
      <c r="AB333" s="65"/>
      <c r="AC333" s="79"/>
    </row>
    <row r="334" spans="1:68" ht="14.25" hidden="1" customHeight="1" x14ac:dyDescent="0.25">
      <c r="A334" s="708" t="s">
        <v>85</v>
      </c>
      <c r="B334" s="708"/>
      <c r="C334" s="708"/>
      <c r="D334" s="708"/>
      <c r="E334" s="708"/>
      <c r="F334" s="708"/>
      <c r="G334" s="708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08"/>
      <c r="Y334" s="708"/>
      <c r="Z334" s="708"/>
      <c r="AA334" s="66"/>
      <c r="AB334" s="66"/>
      <c r="AC334" s="80"/>
    </row>
    <row r="335" spans="1:68" ht="27" hidden="1" customHeight="1" x14ac:dyDescent="0.25">
      <c r="A335" s="63" t="s">
        <v>564</v>
      </c>
      <c r="B335" s="63" t="s">
        <v>565</v>
      </c>
      <c r="C335" s="36">
        <v>4301051893</v>
      </c>
      <c r="D335" s="709">
        <v>4680115886186</v>
      </c>
      <c r="E335" s="70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90</v>
      </c>
      <c r="L335" s="37" t="s">
        <v>46</v>
      </c>
      <c r="M335" s="38" t="s">
        <v>89</v>
      </c>
      <c r="N335" s="38"/>
      <c r="O335" s="37">
        <v>45</v>
      </c>
      <c r="P335" s="8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1"/>
      <c r="R335" s="711"/>
      <c r="S335" s="711"/>
      <c r="T335" s="71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566</v>
      </c>
      <c r="AG335" s="78"/>
      <c r="AJ335" s="84" t="s">
        <v>46</v>
      </c>
      <c r="AK335" s="84">
        <v>0</v>
      </c>
      <c r="BB335" s="427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567</v>
      </c>
      <c r="B336" s="63" t="s">
        <v>568</v>
      </c>
      <c r="C336" s="36">
        <v>4301051795</v>
      </c>
      <c r="D336" s="709">
        <v>4680115881228</v>
      </c>
      <c r="E336" s="70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90</v>
      </c>
      <c r="L336" s="37" t="s">
        <v>46</v>
      </c>
      <c r="M336" s="38" t="s">
        <v>96</v>
      </c>
      <c r="N336" s="38"/>
      <c r="O336" s="37">
        <v>40</v>
      </c>
      <c r="P336" s="8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1"/>
      <c r="R336" s="711"/>
      <c r="S336" s="711"/>
      <c r="T336" s="712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569</v>
      </c>
      <c r="AG336" s="78"/>
      <c r="AJ336" s="84" t="s">
        <v>46</v>
      </c>
      <c r="AK336" s="84">
        <v>0</v>
      </c>
      <c r="BB336" s="429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570</v>
      </c>
      <c r="B337" s="63" t="s">
        <v>571</v>
      </c>
      <c r="C337" s="36">
        <v>4301051388</v>
      </c>
      <c r="D337" s="709">
        <v>4680115881211</v>
      </c>
      <c r="E337" s="70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90</v>
      </c>
      <c r="L337" s="37" t="s">
        <v>46</v>
      </c>
      <c r="M337" s="38" t="s">
        <v>89</v>
      </c>
      <c r="N337" s="38"/>
      <c r="O337" s="37">
        <v>45</v>
      </c>
      <c r="P337" s="8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1"/>
      <c r="R337" s="711"/>
      <c r="S337" s="711"/>
      <c r="T337" s="71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566</v>
      </c>
      <c r="AG337" s="78"/>
      <c r="AJ337" s="84" t="s">
        <v>46</v>
      </c>
      <c r="AK337" s="84">
        <v>0</v>
      </c>
      <c r="BB337" s="431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17"/>
      <c r="B338" s="717"/>
      <c r="C338" s="717"/>
      <c r="D338" s="717"/>
      <c r="E338" s="717"/>
      <c r="F338" s="717"/>
      <c r="G338" s="717"/>
      <c r="H338" s="717"/>
      <c r="I338" s="717"/>
      <c r="J338" s="717"/>
      <c r="K338" s="717"/>
      <c r="L338" s="717"/>
      <c r="M338" s="717"/>
      <c r="N338" s="717"/>
      <c r="O338" s="718"/>
      <c r="P338" s="714" t="s">
        <v>40</v>
      </c>
      <c r="Q338" s="715"/>
      <c r="R338" s="715"/>
      <c r="S338" s="715"/>
      <c r="T338" s="715"/>
      <c r="U338" s="715"/>
      <c r="V338" s="716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17"/>
      <c r="B339" s="717"/>
      <c r="C339" s="717"/>
      <c r="D339" s="717"/>
      <c r="E339" s="717"/>
      <c r="F339" s="717"/>
      <c r="G339" s="717"/>
      <c r="H339" s="717"/>
      <c r="I339" s="717"/>
      <c r="J339" s="717"/>
      <c r="K339" s="717"/>
      <c r="L339" s="717"/>
      <c r="M339" s="717"/>
      <c r="N339" s="717"/>
      <c r="O339" s="718"/>
      <c r="P339" s="714" t="s">
        <v>40</v>
      </c>
      <c r="Q339" s="715"/>
      <c r="R339" s="715"/>
      <c r="S339" s="715"/>
      <c r="T339" s="715"/>
      <c r="U339" s="715"/>
      <c r="V339" s="716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07" t="s">
        <v>572</v>
      </c>
      <c r="B340" s="707"/>
      <c r="C340" s="707"/>
      <c r="D340" s="707"/>
      <c r="E340" s="707"/>
      <c r="F340" s="707"/>
      <c r="G340" s="707"/>
      <c r="H340" s="707"/>
      <c r="I340" s="707"/>
      <c r="J340" s="707"/>
      <c r="K340" s="707"/>
      <c r="L340" s="707"/>
      <c r="M340" s="707"/>
      <c r="N340" s="707"/>
      <c r="O340" s="707"/>
      <c r="P340" s="707"/>
      <c r="Q340" s="707"/>
      <c r="R340" s="707"/>
      <c r="S340" s="707"/>
      <c r="T340" s="707"/>
      <c r="U340" s="707"/>
      <c r="V340" s="707"/>
      <c r="W340" s="707"/>
      <c r="X340" s="707"/>
      <c r="Y340" s="707"/>
      <c r="Z340" s="707"/>
      <c r="AA340" s="65"/>
      <c r="AB340" s="65"/>
      <c r="AC340" s="79"/>
    </row>
    <row r="341" spans="1:68" ht="14.25" hidden="1" customHeight="1" x14ac:dyDescent="0.25">
      <c r="A341" s="708" t="s">
        <v>76</v>
      </c>
      <c r="B341" s="708"/>
      <c r="C341" s="708"/>
      <c r="D341" s="708"/>
      <c r="E341" s="708"/>
      <c r="F341" s="708"/>
      <c r="G341" s="708"/>
      <c r="H341" s="708"/>
      <c r="I341" s="708"/>
      <c r="J341" s="708"/>
      <c r="K341" s="708"/>
      <c r="L341" s="708"/>
      <c r="M341" s="708"/>
      <c r="N341" s="708"/>
      <c r="O341" s="708"/>
      <c r="P341" s="708"/>
      <c r="Q341" s="708"/>
      <c r="R341" s="708"/>
      <c r="S341" s="708"/>
      <c r="T341" s="708"/>
      <c r="U341" s="708"/>
      <c r="V341" s="708"/>
      <c r="W341" s="708"/>
      <c r="X341" s="708"/>
      <c r="Y341" s="708"/>
      <c r="Z341" s="708"/>
      <c r="AA341" s="66"/>
      <c r="AB341" s="66"/>
      <c r="AC341" s="80"/>
    </row>
    <row r="342" spans="1:68" ht="27" hidden="1" customHeight="1" x14ac:dyDescent="0.25">
      <c r="A342" s="63" t="s">
        <v>573</v>
      </c>
      <c r="B342" s="63" t="s">
        <v>574</v>
      </c>
      <c r="C342" s="36">
        <v>4301031445</v>
      </c>
      <c r="D342" s="709">
        <v>4680115888319</v>
      </c>
      <c r="E342" s="70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45</v>
      </c>
      <c r="P342" s="89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407</v>
      </c>
      <c r="AG342" s="78"/>
      <c r="AJ342" s="84" t="s">
        <v>46</v>
      </c>
      <c r="AK342" s="84">
        <v>0</v>
      </c>
      <c r="BB342" s="433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575</v>
      </c>
      <c r="B343" s="63" t="s">
        <v>576</v>
      </c>
      <c r="C343" s="36">
        <v>4301031502</v>
      </c>
      <c r="D343" s="709">
        <v>4680115884700</v>
      </c>
      <c r="E343" s="70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81</v>
      </c>
      <c r="L343" s="37" t="s">
        <v>46</v>
      </c>
      <c r="M343" s="38" t="s">
        <v>80</v>
      </c>
      <c r="N343" s="38"/>
      <c r="O343" s="37">
        <v>40</v>
      </c>
      <c r="P343" s="89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1"/>
      <c r="R343" s="711"/>
      <c r="S343" s="711"/>
      <c r="T343" s="71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578</v>
      </c>
      <c r="B344" s="63" t="s">
        <v>579</v>
      </c>
      <c r="C344" s="36">
        <v>4301031307</v>
      </c>
      <c r="D344" s="709">
        <v>4680115880344</v>
      </c>
      <c r="E344" s="70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81</v>
      </c>
      <c r="L344" s="37" t="s">
        <v>46</v>
      </c>
      <c r="M344" s="38" t="s">
        <v>80</v>
      </c>
      <c r="N344" s="38"/>
      <c r="O344" s="37">
        <v>40</v>
      </c>
      <c r="P344" s="8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1"/>
      <c r="R344" s="711"/>
      <c r="S344" s="711"/>
      <c r="T344" s="71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581</v>
      </c>
      <c r="B345" s="63" t="s">
        <v>582</v>
      </c>
      <c r="C345" s="36">
        <v>4301031501</v>
      </c>
      <c r="D345" s="709">
        <v>4680115886919</v>
      </c>
      <c r="E345" s="70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90</v>
      </c>
      <c r="L345" s="37" t="s">
        <v>46</v>
      </c>
      <c r="M345" s="38" t="s">
        <v>80</v>
      </c>
      <c r="N345" s="38"/>
      <c r="O345" s="37">
        <v>40</v>
      </c>
      <c r="P345" s="89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1"/>
      <c r="R345" s="711"/>
      <c r="S345" s="711"/>
      <c r="T345" s="71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583</v>
      </c>
      <c r="AG345" s="78"/>
      <c r="AJ345" s="84" t="s">
        <v>46</v>
      </c>
      <c r="AK345" s="84">
        <v>0</v>
      </c>
      <c r="BB345" s="439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584</v>
      </c>
      <c r="B346" s="63" t="s">
        <v>585</v>
      </c>
      <c r="C346" s="36">
        <v>4301031246</v>
      </c>
      <c r="D346" s="709">
        <v>4680115883970</v>
      </c>
      <c r="E346" s="70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586</v>
      </c>
      <c r="AG346" s="78"/>
      <c r="AJ346" s="84" t="s">
        <v>46</v>
      </c>
      <c r="AK346" s="84">
        <v>0</v>
      </c>
      <c r="BB346" s="441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717"/>
      <c r="B347" s="717"/>
      <c r="C347" s="717"/>
      <c r="D347" s="717"/>
      <c r="E347" s="717"/>
      <c r="F347" s="717"/>
      <c r="G347" s="717"/>
      <c r="H347" s="717"/>
      <c r="I347" s="717"/>
      <c r="J347" s="717"/>
      <c r="K347" s="717"/>
      <c r="L347" s="717"/>
      <c r="M347" s="717"/>
      <c r="N347" s="717"/>
      <c r="O347" s="718"/>
      <c r="P347" s="714" t="s">
        <v>40</v>
      </c>
      <c r="Q347" s="715"/>
      <c r="R347" s="715"/>
      <c r="S347" s="715"/>
      <c r="T347" s="715"/>
      <c r="U347" s="715"/>
      <c r="V347" s="716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708" t="s">
        <v>85</v>
      </c>
      <c r="B349" s="708"/>
      <c r="C349" s="708"/>
      <c r="D349" s="708"/>
      <c r="E349" s="708"/>
      <c r="F349" s="708"/>
      <c r="G349" s="708"/>
      <c r="H349" s="708"/>
      <c r="I349" s="708"/>
      <c r="J349" s="708"/>
      <c r="K349" s="708"/>
      <c r="L349" s="708"/>
      <c r="M349" s="708"/>
      <c r="N349" s="708"/>
      <c r="O349" s="708"/>
      <c r="P349" s="708"/>
      <c r="Q349" s="708"/>
      <c r="R349" s="708"/>
      <c r="S349" s="708"/>
      <c r="T349" s="708"/>
      <c r="U349" s="708"/>
      <c r="V349" s="708"/>
      <c r="W349" s="708"/>
      <c r="X349" s="708"/>
      <c r="Y349" s="708"/>
      <c r="Z349" s="708"/>
      <c r="AA349" s="66"/>
      <c r="AB349" s="66"/>
      <c r="AC349" s="80"/>
    </row>
    <row r="350" spans="1:68" ht="27" hidden="1" customHeight="1" x14ac:dyDescent="0.25">
      <c r="A350" s="63" t="s">
        <v>587</v>
      </c>
      <c r="B350" s="63" t="s">
        <v>588</v>
      </c>
      <c r="C350" s="36">
        <v>4301051782</v>
      </c>
      <c r="D350" s="709">
        <v>4680115884618</v>
      </c>
      <c r="E350" s="70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139</v>
      </c>
      <c r="L350" s="37" t="s">
        <v>46</v>
      </c>
      <c r="M350" s="38" t="s">
        <v>89</v>
      </c>
      <c r="N350" s="38"/>
      <c r="O350" s="37">
        <v>45</v>
      </c>
      <c r="P350" s="8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1"/>
      <c r="R350" s="711"/>
      <c r="S350" s="711"/>
      <c r="T350" s="71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66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590</v>
      </c>
      <c r="B351" s="63" t="s">
        <v>591</v>
      </c>
      <c r="C351" s="36">
        <v>4301052057</v>
      </c>
      <c r="D351" s="709">
        <v>4680115887114</v>
      </c>
      <c r="E351" s="70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139</v>
      </c>
      <c r="L351" s="37" t="s">
        <v>46</v>
      </c>
      <c r="M351" s="38" t="s">
        <v>89</v>
      </c>
      <c r="N351" s="38"/>
      <c r="O351" s="37">
        <v>45</v>
      </c>
      <c r="P351" s="8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1"/>
      <c r="R351" s="711"/>
      <c r="S351" s="711"/>
      <c r="T351" s="71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592</v>
      </c>
      <c r="AG351" s="78"/>
      <c r="AJ351" s="84" t="s">
        <v>46</v>
      </c>
      <c r="AK351" s="84">
        <v>0</v>
      </c>
      <c r="BB351" s="445" t="s">
        <v>66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717"/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8"/>
      <c r="P352" s="714" t="s">
        <v>40</v>
      </c>
      <c r="Q352" s="715"/>
      <c r="R352" s="715"/>
      <c r="S352" s="715"/>
      <c r="T352" s="715"/>
      <c r="U352" s="715"/>
      <c r="V352" s="716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717"/>
      <c r="B353" s="717"/>
      <c r="C353" s="717"/>
      <c r="D353" s="717"/>
      <c r="E353" s="717"/>
      <c r="F353" s="717"/>
      <c r="G353" s="717"/>
      <c r="H353" s="717"/>
      <c r="I353" s="717"/>
      <c r="J353" s="717"/>
      <c r="K353" s="717"/>
      <c r="L353" s="717"/>
      <c r="M353" s="717"/>
      <c r="N353" s="717"/>
      <c r="O353" s="718"/>
      <c r="P353" s="714" t="s">
        <v>40</v>
      </c>
      <c r="Q353" s="715"/>
      <c r="R353" s="715"/>
      <c r="S353" s="715"/>
      <c r="T353" s="715"/>
      <c r="U353" s="715"/>
      <c r="V353" s="716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707" t="s">
        <v>593</v>
      </c>
      <c r="B354" s="707"/>
      <c r="C354" s="707"/>
      <c r="D354" s="707"/>
      <c r="E354" s="707"/>
      <c r="F354" s="707"/>
      <c r="G354" s="707"/>
      <c r="H354" s="707"/>
      <c r="I354" s="707"/>
      <c r="J354" s="707"/>
      <c r="K354" s="707"/>
      <c r="L354" s="707"/>
      <c r="M354" s="707"/>
      <c r="N354" s="707"/>
      <c r="O354" s="707"/>
      <c r="P354" s="707"/>
      <c r="Q354" s="707"/>
      <c r="R354" s="707"/>
      <c r="S354" s="707"/>
      <c r="T354" s="707"/>
      <c r="U354" s="707"/>
      <c r="V354" s="707"/>
      <c r="W354" s="707"/>
      <c r="X354" s="707"/>
      <c r="Y354" s="707"/>
      <c r="Z354" s="707"/>
      <c r="AA354" s="65"/>
      <c r="AB354" s="65"/>
      <c r="AC354" s="79"/>
    </row>
    <row r="355" spans="1:68" ht="14.25" hidden="1" customHeight="1" x14ac:dyDescent="0.25">
      <c r="A355" s="708" t="s">
        <v>127</v>
      </c>
      <c r="B355" s="708"/>
      <c r="C355" s="708"/>
      <c r="D355" s="708"/>
      <c r="E355" s="708"/>
      <c r="F355" s="708"/>
      <c r="G355" s="708"/>
      <c r="H355" s="708"/>
      <c r="I355" s="708"/>
      <c r="J355" s="708"/>
      <c r="K355" s="708"/>
      <c r="L355" s="708"/>
      <c r="M355" s="708"/>
      <c r="N355" s="708"/>
      <c r="O355" s="708"/>
      <c r="P355" s="708"/>
      <c r="Q355" s="708"/>
      <c r="R355" s="708"/>
      <c r="S355" s="708"/>
      <c r="T355" s="708"/>
      <c r="U355" s="708"/>
      <c r="V355" s="708"/>
      <c r="W355" s="708"/>
      <c r="X355" s="708"/>
      <c r="Y355" s="708"/>
      <c r="Z355" s="708"/>
      <c r="AA355" s="66"/>
      <c r="AB355" s="66"/>
      <c r="AC355" s="80"/>
    </row>
    <row r="356" spans="1:68" ht="27" hidden="1" customHeight="1" x14ac:dyDescent="0.25">
      <c r="A356" s="63" t="s">
        <v>594</v>
      </c>
      <c r="B356" s="63" t="s">
        <v>595</v>
      </c>
      <c r="C356" s="36">
        <v>4301012324</v>
      </c>
      <c r="D356" s="709">
        <v>4680115887947</v>
      </c>
      <c r="E356" s="70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132</v>
      </c>
      <c r="L356" s="37" t="s">
        <v>46</v>
      </c>
      <c r="M356" s="38" t="s">
        <v>89</v>
      </c>
      <c r="N356" s="38"/>
      <c r="O356" s="37">
        <v>60</v>
      </c>
      <c r="P356" s="8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1"/>
      <c r="R356" s="711"/>
      <c r="S356" s="711"/>
      <c r="T356" s="712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366</v>
      </c>
      <c r="AG356" s="78"/>
      <c r="AJ356" s="84" t="s">
        <v>46</v>
      </c>
      <c r="AK356" s="84">
        <v>0</v>
      </c>
      <c r="BB356" s="447" t="s">
        <v>66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596</v>
      </c>
      <c r="B357" s="63" t="s">
        <v>597</v>
      </c>
      <c r="C357" s="36">
        <v>4301012325</v>
      </c>
      <c r="D357" s="709">
        <v>4680115887978</v>
      </c>
      <c r="E357" s="70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132</v>
      </c>
      <c r="L357" s="37" t="s">
        <v>46</v>
      </c>
      <c r="M357" s="38" t="s">
        <v>89</v>
      </c>
      <c r="N357" s="38"/>
      <c r="O357" s="37">
        <v>60</v>
      </c>
      <c r="P35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1"/>
      <c r="R357" s="711"/>
      <c r="S357" s="711"/>
      <c r="T357" s="712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598</v>
      </c>
      <c r="AG357" s="78"/>
      <c r="AJ357" s="84" t="s">
        <v>46</v>
      </c>
      <c r="AK357" s="84">
        <v>0</v>
      </c>
      <c r="BB357" s="449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599</v>
      </c>
      <c r="B358" s="63" t="s">
        <v>600</v>
      </c>
      <c r="C358" s="36">
        <v>4301012327</v>
      </c>
      <c r="D358" s="709">
        <v>4680115887992</v>
      </c>
      <c r="E358" s="70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132</v>
      </c>
      <c r="L358" s="37" t="s">
        <v>46</v>
      </c>
      <c r="M358" s="38" t="s">
        <v>89</v>
      </c>
      <c r="N358" s="38"/>
      <c r="O358" s="37">
        <v>60</v>
      </c>
      <c r="P358" s="89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1"/>
      <c r="R358" s="711"/>
      <c r="S358" s="711"/>
      <c r="T358" s="712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601</v>
      </c>
      <c r="AG358" s="78"/>
      <c r="AJ358" s="84" t="s">
        <v>46</v>
      </c>
      <c r="AK358" s="84">
        <v>0</v>
      </c>
      <c r="BB358" s="451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17"/>
      <c r="B359" s="717"/>
      <c r="C359" s="717"/>
      <c r="D359" s="717"/>
      <c r="E359" s="717"/>
      <c r="F359" s="717"/>
      <c r="G359" s="717"/>
      <c r="H359" s="717"/>
      <c r="I359" s="717"/>
      <c r="J359" s="717"/>
      <c r="K359" s="717"/>
      <c r="L359" s="717"/>
      <c r="M359" s="717"/>
      <c r="N359" s="717"/>
      <c r="O359" s="718"/>
      <c r="P359" s="714" t="s">
        <v>40</v>
      </c>
      <c r="Q359" s="715"/>
      <c r="R359" s="715"/>
      <c r="S359" s="715"/>
      <c r="T359" s="715"/>
      <c r="U359" s="715"/>
      <c r="V359" s="716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717"/>
      <c r="B360" s="717"/>
      <c r="C360" s="717"/>
      <c r="D360" s="717"/>
      <c r="E360" s="717"/>
      <c r="F360" s="717"/>
      <c r="G360" s="717"/>
      <c r="H360" s="717"/>
      <c r="I360" s="717"/>
      <c r="J360" s="717"/>
      <c r="K360" s="717"/>
      <c r="L360" s="717"/>
      <c r="M360" s="717"/>
      <c r="N360" s="717"/>
      <c r="O360" s="718"/>
      <c r="P360" s="714" t="s">
        <v>40</v>
      </c>
      <c r="Q360" s="715"/>
      <c r="R360" s="715"/>
      <c r="S360" s="715"/>
      <c r="T360" s="715"/>
      <c r="U360" s="715"/>
      <c r="V360" s="716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07" t="s">
        <v>602</v>
      </c>
      <c r="B361" s="707"/>
      <c r="C361" s="707"/>
      <c r="D361" s="707"/>
      <c r="E361" s="707"/>
      <c r="F361" s="707"/>
      <c r="G361" s="707"/>
      <c r="H361" s="707"/>
      <c r="I361" s="707"/>
      <c r="J361" s="707"/>
      <c r="K361" s="707"/>
      <c r="L361" s="707"/>
      <c r="M361" s="707"/>
      <c r="N361" s="707"/>
      <c r="O361" s="707"/>
      <c r="P361" s="707"/>
      <c r="Q361" s="707"/>
      <c r="R361" s="707"/>
      <c r="S361" s="707"/>
      <c r="T361" s="707"/>
      <c r="U361" s="707"/>
      <c r="V361" s="707"/>
      <c r="W361" s="707"/>
      <c r="X361" s="707"/>
      <c r="Y361" s="707"/>
      <c r="Z361" s="707"/>
      <c r="AA361" s="65"/>
      <c r="AB361" s="65"/>
      <c r="AC361" s="79"/>
    </row>
    <row r="362" spans="1:68" ht="14.25" hidden="1" customHeight="1" x14ac:dyDescent="0.25">
      <c r="A362" s="708" t="s">
        <v>127</v>
      </c>
      <c r="B362" s="708"/>
      <c r="C362" s="708"/>
      <c r="D362" s="708"/>
      <c r="E362" s="708"/>
      <c r="F362" s="708"/>
      <c r="G362" s="708"/>
      <c r="H362" s="708"/>
      <c r="I362" s="708"/>
      <c r="J362" s="708"/>
      <c r="K362" s="708"/>
      <c r="L362" s="708"/>
      <c r="M362" s="708"/>
      <c r="N362" s="708"/>
      <c r="O362" s="708"/>
      <c r="P362" s="708"/>
      <c r="Q362" s="708"/>
      <c r="R362" s="708"/>
      <c r="S362" s="708"/>
      <c r="T362" s="708"/>
      <c r="U362" s="708"/>
      <c r="V362" s="708"/>
      <c r="W362" s="708"/>
      <c r="X362" s="708"/>
      <c r="Y362" s="708"/>
      <c r="Z362" s="708"/>
      <c r="AA362" s="66"/>
      <c r="AB362" s="66"/>
      <c r="AC362" s="80"/>
    </row>
    <row r="363" spans="1:68" ht="27" hidden="1" customHeight="1" x14ac:dyDescent="0.25">
      <c r="A363" s="63" t="s">
        <v>603</v>
      </c>
      <c r="B363" s="63" t="s">
        <v>604</v>
      </c>
      <c r="C363" s="36">
        <v>4301012126</v>
      </c>
      <c r="D363" s="709">
        <v>4607091386004</v>
      </c>
      <c r="E363" s="70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132</v>
      </c>
      <c r="L363" s="37" t="s">
        <v>46</v>
      </c>
      <c r="M363" s="38" t="s">
        <v>131</v>
      </c>
      <c r="N363" s="38"/>
      <c r="O363" s="37">
        <v>55</v>
      </c>
      <c r="P363" s="90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605</v>
      </c>
      <c r="AG363" s="78"/>
      <c r="AJ363" s="84" t="s">
        <v>46</v>
      </c>
      <c r="AK363" s="84">
        <v>0</v>
      </c>
      <c r="BB363" s="453" t="s">
        <v>66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hidden="1" customHeight="1" x14ac:dyDescent="0.25">
      <c r="A364" s="63" t="s">
        <v>606</v>
      </c>
      <c r="B364" s="63" t="s">
        <v>607</v>
      </c>
      <c r="C364" s="36">
        <v>4301012235</v>
      </c>
      <c r="D364" s="709">
        <v>4680115887190</v>
      </c>
      <c r="E364" s="70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132</v>
      </c>
      <c r="L364" s="37" t="s">
        <v>46</v>
      </c>
      <c r="M364" s="38" t="s">
        <v>131</v>
      </c>
      <c r="N364" s="38"/>
      <c r="O364" s="37">
        <v>55</v>
      </c>
      <c r="P364" s="90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1"/>
      <c r="R364" s="711"/>
      <c r="S364" s="711"/>
      <c r="T364" s="71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608</v>
      </c>
      <c r="AG364" s="78"/>
      <c r="AJ364" s="84" t="s">
        <v>46</v>
      </c>
      <c r="AK364" s="84">
        <v>0</v>
      </c>
      <c r="BB364" s="455" t="s">
        <v>66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hidden="1" customHeight="1" x14ac:dyDescent="0.25">
      <c r="A365" s="63" t="s">
        <v>609</v>
      </c>
      <c r="B365" s="63" t="s">
        <v>610</v>
      </c>
      <c r="C365" s="36">
        <v>4301012233</v>
      </c>
      <c r="D365" s="709">
        <v>4680115887138</v>
      </c>
      <c r="E365" s="70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132</v>
      </c>
      <c r="L365" s="37" t="s">
        <v>46</v>
      </c>
      <c r="M365" s="38" t="s">
        <v>131</v>
      </c>
      <c r="N365" s="38"/>
      <c r="O365" s="37">
        <v>55</v>
      </c>
      <c r="P365" s="9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1"/>
      <c r="R365" s="711"/>
      <c r="S365" s="711"/>
      <c r="T365" s="71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611</v>
      </c>
      <c r="AG365" s="78"/>
      <c r="AJ365" s="84" t="s">
        <v>46</v>
      </c>
      <c r="AK365" s="84">
        <v>0</v>
      </c>
      <c r="BB365" s="457" t="s">
        <v>66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hidden="1" customHeight="1" x14ac:dyDescent="0.25">
      <c r="A366" s="63" t="s">
        <v>612</v>
      </c>
      <c r="B366" s="63" t="s">
        <v>613</v>
      </c>
      <c r="C366" s="36">
        <v>4301012016</v>
      </c>
      <c r="D366" s="709">
        <v>4680115885554</v>
      </c>
      <c r="E366" s="709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132</v>
      </c>
      <c r="L366" s="37" t="s">
        <v>46</v>
      </c>
      <c r="M366" s="38" t="s">
        <v>89</v>
      </c>
      <c r="N366" s="38"/>
      <c r="O366" s="37">
        <v>55</v>
      </c>
      <c r="P366" s="9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1"/>
      <c r="R366" s="711"/>
      <c r="S366" s="711"/>
      <c r="T366" s="712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614</v>
      </c>
      <c r="AG366" s="78"/>
      <c r="AJ366" s="84" t="s">
        <v>46</v>
      </c>
      <c r="AK366" s="84">
        <v>0</v>
      </c>
      <c r="BB366" s="459" t="s">
        <v>66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hidden="1" customHeight="1" x14ac:dyDescent="0.25">
      <c r="A367" s="63" t="s">
        <v>615</v>
      </c>
      <c r="B367" s="63" t="s">
        <v>616</v>
      </c>
      <c r="C367" s="36">
        <v>4301012236</v>
      </c>
      <c r="D367" s="709">
        <v>4680115887220</v>
      </c>
      <c r="E367" s="70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139</v>
      </c>
      <c r="L367" s="37" t="s">
        <v>46</v>
      </c>
      <c r="M367" s="38" t="s">
        <v>131</v>
      </c>
      <c r="N367" s="38"/>
      <c r="O367" s="37">
        <v>55</v>
      </c>
      <c r="P367" s="90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608</v>
      </c>
      <c r="AG367" s="78"/>
      <c r="AJ367" s="84" t="s">
        <v>46</v>
      </c>
      <c r="AK367" s="84">
        <v>0</v>
      </c>
      <c r="BB367" s="461" t="s">
        <v>66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hidden="1" customHeight="1" x14ac:dyDescent="0.25">
      <c r="A368" s="63" t="s">
        <v>617</v>
      </c>
      <c r="B368" s="63" t="s">
        <v>618</v>
      </c>
      <c r="C368" s="36">
        <v>4301011859</v>
      </c>
      <c r="D368" s="709">
        <v>4680115885608</v>
      </c>
      <c r="E368" s="70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139</v>
      </c>
      <c r="L368" s="37" t="s">
        <v>46</v>
      </c>
      <c r="M368" s="38" t="s">
        <v>131</v>
      </c>
      <c r="N368" s="38"/>
      <c r="O368" s="37">
        <v>55</v>
      </c>
      <c r="P368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619</v>
      </c>
      <c r="AG368" s="78"/>
      <c r="AJ368" s="84" t="s">
        <v>46</v>
      </c>
      <c r="AK368" s="84">
        <v>0</v>
      </c>
      <c r="BB368" s="463" t="s">
        <v>66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hidden="1" x14ac:dyDescent="0.2">
      <c r="A369" s="717"/>
      <c r="B369" s="717"/>
      <c r="C369" s="717"/>
      <c r="D369" s="717"/>
      <c r="E369" s="717"/>
      <c r="F369" s="717"/>
      <c r="G369" s="717"/>
      <c r="H369" s="717"/>
      <c r="I369" s="717"/>
      <c r="J369" s="717"/>
      <c r="K369" s="717"/>
      <c r="L369" s="717"/>
      <c r="M369" s="717"/>
      <c r="N369" s="717"/>
      <c r="O369" s="718"/>
      <c r="P369" s="714" t="s">
        <v>40</v>
      </c>
      <c r="Q369" s="715"/>
      <c r="R369" s="715"/>
      <c r="S369" s="715"/>
      <c r="T369" s="715"/>
      <c r="U369" s="715"/>
      <c r="V369" s="716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717"/>
      <c r="B370" s="717"/>
      <c r="C370" s="717"/>
      <c r="D370" s="717"/>
      <c r="E370" s="717"/>
      <c r="F370" s="717"/>
      <c r="G370" s="717"/>
      <c r="H370" s="717"/>
      <c r="I370" s="717"/>
      <c r="J370" s="717"/>
      <c r="K370" s="717"/>
      <c r="L370" s="717"/>
      <c r="M370" s="717"/>
      <c r="N370" s="717"/>
      <c r="O370" s="718"/>
      <c r="P370" s="714" t="s">
        <v>40</v>
      </c>
      <c r="Q370" s="715"/>
      <c r="R370" s="715"/>
      <c r="S370" s="715"/>
      <c r="T370" s="715"/>
      <c r="U370" s="715"/>
      <c r="V370" s="716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708" t="s">
        <v>76</v>
      </c>
      <c r="B371" s="708"/>
      <c r="C371" s="708"/>
      <c r="D371" s="708"/>
      <c r="E371" s="708"/>
      <c r="F371" s="708"/>
      <c r="G371" s="708"/>
      <c r="H371" s="708"/>
      <c r="I371" s="708"/>
      <c r="J371" s="708"/>
      <c r="K371" s="708"/>
      <c r="L371" s="708"/>
      <c r="M371" s="708"/>
      <c r="N371" s="708"/>
      <c r="O371" s="708"/>
      <c r="P371" s="708"/>
      <c r="Q371" s="708"/>
      <c r="R371" s="708"/>
      <c r="S371" s="708"/>
      <c r="T371" s="708"/>
      <c r="U371" s="708"/>
      <c r="V371" s="708"/>
      <c r="W371" s="708"/>
      <c r="X371" s="708"/>
      <c r="Y371" s="708"/>
      <c r="Z371" s="708"/>
      <c r="AA371" s="66"/>
      <c r="AB371" s="66"/>
      <c r="AC371" s="80"/>
    </row>
    <row r="372" spans="1:68" ht="27" hidden="1" customHeight="1" x14ac:dyDescent="0.25">
      <c r="A372" s="63" t="s">
        <v>620</v>
      </c>
      <c r="B372" s="63" t="s">
        <v>621</v>
      </c>
      <c r="C372" s="36">
        <v>4301030878</v>
      </c>
      <c r="D372" s="709">
        <v>4607091387193</v>
      </c>
      <c r="E372" s="70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139</v>
      </c>
      <c r="L372" s="37" t="s">
        <v>46</v>
      </c>
      <c r="M372" s="38" t="s">
        <v>80</v>
      </c>
      <c r="N372" s="38"/>
      <c r="O372" s="37">
        <v>35</v>
      </c>
      <c r="P372" s="9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66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hidden="1" customHeight="1" x14ac:dyDescent="0.25">
      <c r="A373" s="63" t="s">
        <v>623</v>
      </c>
      <c r="B373" s="63" t="s">
        <v>624</v>
      </c>
      <c r="C373" s="36">
        <v>4301031153</v>
      </c>
      <c r="D373" s="709">
        <v>4607091387230</v>
      </c>
      <c r="E373" s="70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139</v>
      </c>
      <c r="L373" s="37" t="s">
        <v>46</v>
      </c>
      <c r="M373" s="38" t="s">
        <v>80</v>
      </c>
      <c r="N373" s="38"/>
      <c r="O373" s="37">
        <v>40</v>
      </c>
      <c r="P373" s="9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66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4301031154</v>
      </c>
      <c r="D374" s="709">
        <v>4607091387292</v>
      </c>
      <c r="E374" s="70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139</v>
      </c>
      <c r="L374" s="37" t="s">
        <v>46</v>
      </c>
      <c r="M374" s="38" t="s">
        <v>80</v>
      </c>
      <c r="N374" s="38"/>
      <c r="O374" s="37">
        <v>45</v>
      </c>
      <c r="P374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1"/>
      <c r="R374" s="711"/>
      <c r="S374" s="711"/>
      <c r="T374" s="71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628</v>
      </c>
      <c r="AG374" s="78"/>
      <c r="AJ374" s="84" t="s">
        <v>46</v>
      </c>
      <c r="AK374" s="84">
        <v>0</v>
      </c>
      <c r="BB374" s="469" t="s">
        <v>66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hidden="1" customHeight="1" x14ac:dyDescent="0.25">
      <c r="A375" s="63" t="s">
        <v>629</v>
      </c>
      <c r="B375" s="63" t="s">
        <v>630</v>
      </c>
      <c r="C375" s="36">
        <v>4301031152</v>
      </c>
      <c r="D375" s="709">
        <v>4607091387285</v>
      </c>
      <c r="E375" s="709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81</v>
      </c>
      <c r="L375" s="37" t="s">
        <v>46</v>
      </c>
      <c r="M375" s="38" t="s">
        <v>80</v>
      </c>
      <c r="N375" s="38"/>
      <c r="O375" s="37">
        <v>40</v>
      </c>
      <c r="P375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1"/>
      <c r="R375" s="711"/>
      <c r="S375" s="711"/>
      <c r="T375" s="71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625</v>
      </c>
      <c r="AG375" s="78"/>
      <c r="AJ375" s="84" t="s">
        <v>46</v>
      </c>
      <c r="AK375" s="84">
        <v>0</v>
      </c>
      <c r="BB375" s="471" t="s">
        <v>66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hidden="1" customHeight="1" x14ac:dyDescent="0.25">
      <c r="A376" s="63" t="s">
        <v>631</v>
      </c>
      <c r="B376" s="63" t="s">
        <v>632</v>
      </c>
      <c r="C376" s="36">
        <v>4301031305</v>
      </c>
      <c r="D376" s="709">
        <v>4607091389845</v>
      </c>
      <c r="E376" s="709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81</v>
      </c>
      <c r="L376" s="37" t="s">
        <v>46</v>
      </c>
      <c r="M376" s="38" t="s">
        <v>80</v>
      </c>
      <c r="N376" s="38"/>
      <c r="O376" s="37">
        <v>40</v>
      </c>
      <c r="P376" s="9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1"/>
      <c r="R376" s="711"/>
      <c r="S376" s="711"/>
      <c r="T376" s="712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633</v>
      </c>
      <c r="AG376" s="78"/>
      <c r="AJ376" s="84" t="s">
        <v>46</v>
      </c>
      <c r="AK376" s="84">
        <v>0</v>
      </c>
      <c r="BB376" s="473" t="s">
        <v>66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hidden="1" customHeight="1" x14ac:dyDescent="0.25">
      <c r="A377" s="63" t="s">
        <v>634</v>
      </c>
      <c r="B377" s="63" t="s">
        <v>635</v>
      </c>
      <c r="C377" s="36">
        <v>4301031460</v>
      </c>
      <c r="D377" s="709">
        <v>4680115887442</v>
      </c>
      <c r="E377" s="709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139</v>
      </c>
      <c r="L377" s="37" t="s">
        <v>46</v>
      </c>
      <c r="M377" s="38" t="s">
        <v>80</v>
      </c>
      <c r="N377" s="38"/>
      <c r="O377" s="37">
        <v>45</v>
      </c>
      <c r="P377" s="9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628</v>
      </c>
      <c r="AG377" s="78"/>
      <c r="AJ377" s="84" t="s">
        <v>46</v>
      </c>
      <c r="AK377" s="84">
        <v>0</v>
      </c>
      <c r="BB377" s="475" t="s">
        <v>66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636</v>
      </c>
      <c r="B378" s="63" t="s">
        <v>637</v>
      </c>
      <c r="C378" s="36">
        <v>4301031066</v>
      </c>
      <c r="D378" s="709">
        <v>4607091383836</v>
      </c>
      <c r="E378" s="709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90</v>
      </c>
      <c r="L378" s="37" t="s">
        <v>46</v>
      </c>
      <c r="M378" s="38" t="s">
        <v>80</v>
      </c>
      <c r="N378" s="38"/>
      <c r="O378" s="37">
        <v>40</v>
      </c>
      <c r="P378" s="9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638</v>
      </c>
      <c r="AG378" s="78"/>
      <c r="AJ378" s="84" t="s">
        <v>46</v>
      </c>
      <c r="AK378" s="84">
        <v>0</v>
      </c>
      <c r="BB378" s="477" t="s">
        <v>66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hidden="1" x14ac:dyDescent="0.2">
      <c r="A379" s="717"/>
      <c r="B379" s="717"/>
      <c r="C379" s="717"/>
      <c r="D379" s="717"/>
      <c r="E379" s="717"/>
      <c r="F379" s="717"/>
      <c r="G379" s="717"/>
      <c r="H379" s="717"/>
      <c r="I379" s="717"/>
      <c r="J379" s="717"/>
      <c r="K379" s="717"/>
      <c r="L379" s="717"/>
      <c r="M379" s="717"/>
      <c r="N379" s="717"/>
      <c r="O379" s="718"/>
      <c r="P379" s="714" t="s">
        <v>40</v>
      </c>
      <c r="Q379" s="715"/>
      <c r="R379" s="715"/>
      <c r="S379" s="715"/>
      <c r="T379" s="715"/>
      <c r="U379" s="715"/>
      <c r="V379" s="716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hidden="1" x14ac:dyDescent="0.2">
      <c r="A380" s="717"/>
      <c r="B380" s="717"/>
      <c r="C380" s="717"/>
      <c r="D380" s="717"/>
      <c r="E380" s="717"/>
      <c r="F380" s="717"/>
      <c r="G380" s="717"/>
      <c r="H380" s="717"/>
      <c r="I380" s="717"/>
      <c r="J380" s="717"/>
      <c r="K380" s="717"/>
      <c r="L380" s="717"/>
      <c r="M380" s="717"/>
      <c r="N380" s="717"/>
      <c r="O380" s="718"/>
      <c r="P380" s="714" t="s">
        <v>40</v>
      </c>
      <c r="Q380" s="715"/>
      <c r="R380" s="715"/>
      <c r="S380" s="715"/>
      <c r="T380" s="715"/>
      <c r="U380" s="715"/>
      <c r="V380" s="716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hidden="1" customHeight="1" x14ac:dyDescent="0.25">
      <c r="A381" s="708" t="s">
        <v>85</v>
      </c>
      <c r="B381" s="708"/>
      <c r="C381" s="708"/>
      <c r="D381" s="708"/>
      <c r="E381" s="708"/>
      <c r="F381" s="708"/>
      <c r="G381" s="708"/>
      <c r="H381" s="708"/>
      <c r="I381" s="708"/>
      <c r="J381" s="708"/>
      <c r="K381" s="708"/>
      <c r="L381" s="708"/>
      <c r="M381" s="708"/>
      <c r="N381" s="708"/>
      <c r="O381" s="708"/>
      <c r="P381" s="708"/>
      <c r="Q381" s="708"/>
      <c r="R381" s="708"/>
      <c r="S381" s="708"/>
      <c r="T381" s="708"/>
      <c r="U381" s="708"/>
      <c r="V381" s="708"/>
      <c r="W381" s="708"/>
      <c r="X381" s="708"/>
      <c r="Y381" s="708"/>
      <c r="Z381" s="708"/>
      <c r="AA381" s="66"/>
      <c r="AB381" s="66"/>
      <c r="AC381" s="80"/>
    </row>
    <row r="382" spans="1:68" ht="27" hidden="1" customHeight="1" x14ac:dyDescent="0.25">
      <c r="A382" s="63" t="s">
        <v>639</v>
      </c>
      <c r="B382" s="63" t="s">
        <v>640</v>
      </c>
      <c r="C382" s="36">
        <v>4301051100</v>
      </c>
      <c r="D382" s="709">
        <v>4607091387766</v>
      </c>
      <c r="E382" s="709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132</v>
      </c>
      <c r="L382" s="37" t="s">
        <v>46</v>
      </c>
      <c r="M382" s="38" t="s">
        <v>89</v>
      </c>
      <c r="N382" s="38"/>
      <c r="O382" s="37">
        <v>40</v>
      </c>
      <c r="P382" s="9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1"/>
      <c r="R382" s="711"/>
      <c r="S382" s="711"/>
      <c r="T382" s="71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641</v>
      </c>
      <c r="AG382" s="78"/>
      <c r="AJ382" s="84" t="s">
        <v>46</v>
      </c>
      <c r="AK382" s="84">
        <v>0</v>
      </c>
      <c r="BB382" s="479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642</v>
      </c>
      <c r="B383" s="63" t="s">
        <v>643</v>
      </c>
      <c r="C383" s="36">
        <v>4301051818</v>
      </c>
      <c r="D383" s="709">
        <v>4607091387957</v>
      </c>
      <c r="E383" s="709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132</v>
      </c>
      <c r="L383" s="37" t="s">
        <v>46</v>
      </c>
      <c r="M383" s="38" t="s">
        <v>89</v>
      </c>
      <c r="N383" s="38"/>
      <c r="O383" s="37">
        <v>40</v>
      </c>
      <c r="P383" s="9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1"/>
      <c r="R383" s="711"/>
      <c r="S383" s="711"/>
      <c r="T383" s="71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644</v>
      </c>
      <c r="AG383" s="78"/>
      <c r="AJ383" s="84" t="s">
        <v>46</v>
      </c>
      <c r="AK383" s="84">
        <v>0</v>
      </c>
      <c r="BB383" s="48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645</v>
      </c>
      <c r="B384" s="63" t="s">
        <v>646</v>
      </c>
      <c r="C384" s="36">
        <v>4301051819</v>
      </c>
      <c r="D384" s="709">
        <v>4607091387964</v>
      </c>
      <c r="E384" s="709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132</v>
      </c>
      <c r="L384" s="37" t="s">
        <v>46</v>
      </c>
      <c r="M384" s="38" t="s">
        <v>89</v>
      </c>
      <c r="N384" s="38"/>
      <c r="O384" s="37">
        <v>40</v>
      </c>
      <c r="P384" s="9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647</v>
      </c>
      <c r="AG384" s="78"/>
      <c r="AJ384" s="84" t="s">
        <v>46</v>
      </c>
      <c r="AK384" s="84">
        <v>0</v>
      </c>
      <c r="BB384" s="48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648</v>
      </c>
      <c r="B385" s="63" t="s">
        <v>649</v>
      </c>
      <c r="C385" s="36">
        <v>4301051734</v>
      </c>
      <c r="D385" s="709">
        <v>4680115884588</v>
      </c>
      <c r="E385" s="709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90</v>
      </c>
      <c r="L385" s="37" t="s">
        <v>46</v>
      </c>
      <c r="M385" s="38" t="s">
        <v>89</v>
      </c>
      <c r="N385" s="38"/>
      <c r="O385" s="37">
        <v>40</v>
      </c>
      <c r="P385" s="9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641</v>
      </c>
      <c r="AG385" s="78"/>
      <c r="AJ385" s="84" t="s">
        <v>46</v>
      </c>
      <c r="AK385" s="84">
        <v>0</v>
      </c>
      <c r="BB385" s="48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717"/>
      <c r="B386" s="717"/>
      <c r="C386" s="717"/>
      <c r="D386" s="717"/>
      <c r="E386" s="717"/>
      <c r="F386" s="717"/>
      <c r="G386" s="717"/>
      <c r="H386" s="717"/>
      <c r="I386" s="717"/>
      <c r="J386" s="717"/>
      <c r="K386" s="717"/>
      <c r="L386" s="717"/>
      <c r="M386" s="717"/>
      <c r="N386" s="717"/>
      <c r="O386" s="718"/>
      <c r="P386" s="714" t="s">
        <v>40</v>
      </c>
      <c r="Q386" s="715"/>
      <c r="R386" s="715"/>
      <c r="S386" s="715"/>
      <c r="T386" s="715"/>
      <c r="U386" s="715"/>
      <c r="V386" s="716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708" t="s">
        <v>180</v>
      </c>
      <c r="B388" s="708"/>
      <c r="C388" s="708"/>
      <c r="D388" s="708"/>
      <c r="E388" s="708"/>
      <c r="F388" s="708"/>
      <c r="G388" s="708"/>
      <c r="H388" s="708"/>
      <c r="I388" s="708"/>
      <c r="J388" s="708"/>
      <c r="K388" s="708"/>
      <c r="L388" s="708"/>
      <c r="M388" s="708"/>
      <c r="N388" s="708"/>
      <c r="O388" s="708"/>
      <c r="P388" s="708"/>
      <c r="Q388" s="708"/>
      <c r="R388" s="708"/>
      <c r="S388" s="708"/>
      <c r="T388" s="708"/>
      <c r="U388" s="708"/>
      <c r="V388" s="708"/>
      <c r="W388" s="708"/>
      <c r="X388" s="708"/>
      <c r="Y388" s="708"/>
      <c r="Z388" s="708"/>
      <c r="AA388" s="66"/>
      <c r="AB388" s="66"/>
      <c r="AC388" s="80"/>
    </row>
    <row r="389" spans="1:68" ht="27" hidden="1" customHeight="1" x14ac:dyDescent="0.25">
      <c r="A389" s="63" t="s">
        <v>650</v>
      </c>
      <c r="B389" s="63" t="s">
        <v>651</v>
      </c>
      <c r="C389" s="36">
        <v>4301060387</v>
      </c>
      <c r="D389" s="709">
        <v>4607091380880</v>
      </c>
      <c r="E389" s="709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132</v>
      </c>
      <c r="L389" s="37" t="s">
        <v>46</v>
      </c>
      <c r="M389" s="38" t="s">
        <v>89</v>
      </c>
      <c r="N389" s="38"/>
      <c r="O389" s="37">
        <v>30</v>
      </c>
      <c r="P389" s="9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1"/>
      <c r="R389" s="711"/>
      <c r="S389" s="711"/>
      <c r="T389" s="71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652</v>
      </c>
      <c r="AG389" s="78"/>
      <c r="AJ389" s="84" t="s">
        <v>46</v>
      </c>
      <c r="AK389" s="84">
        <v>0</v>
      </c>
      <c r="BB389" s="487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653</v>
      </c>
      <c r="B390" s="63" t="s">
        <v>654</v>
      </c>
      <c r="C390" s="36">
        <v>4301060406</v>
      </c>
      <c r="D390" s="709">
        <v>4607091384482</v>
      </c>
      <c r="E390" s="709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132</v>
      </c>
      <c r="L390" s="37" t="s">
        <v>46</v>
      </c>
      <c r="M390" s="38" t="s">
        <v>89</v>
      </c>
      <c r="N390" s="38"/>
      <c r="O390" s="37">
        <v>30</v>
      </c>
      <c r="P390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655</v>
      </c>
      <c r="AG390" s="78"/>
      <c r="AJ390" s="84" t="s">
        <v>46</v>
      </c>
      <c r="AK390" s="84">
        <v>0</v>
      </c>
      <c r="BB390" s="489" t="s">
        <v>66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16.5" hidden="1" customHeight="1" x14ac:dyDescent="0.25">
      <c r="A391" s="63" t="s">
        <v>656</v>
      </c>
      <c r="B391" s="63" t="s">
        <v>657</v>
      </c>
      <c r="C391" s="36">
        <v>4301060484</v>
      </c>
      <c r="D391" s="709">
        <v>4607091380897</v>
      </c>
      <c r="E391" s="709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132</v>
      </c>
      <c r="L391" s="37" t="s">
        <v>46</v>
      </c>
      <c r="M391" s="38" t="s">
        <v>96</v>
      </c>
      <c r="N391" s="38"/>
      <c r="O391" s="37">
        <v>30</v>
      </c>
      <c r="P391" s="9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658</v>
      </c>
      <c r="AG391" s="78"/>
      <c r="AJ391" s="84" t="s">
        <v>46</v>
      </c>
      <c r="AK391" s="84">
        <v>0</v>
      </c>
      <c r="BB391" s="491" t="s">
        <v>66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idden="1" x14ac:dyDescent="0.2">
      <c r="A392" s="717"/>
      <c r="B392" s="717"/>
      <c r="C392" s="717"/>
      <c r="D392" s="717"/>
      <c r="E392" s="717"/>
      <c r="F392" s="717"/>
      <c r="G392" s="717"/>
      <c r="H392" s="717"/>
      <c r="I392" s="717"/>
      <c r="J392" s="717"/>
      <c r="K392" s="717"/>
      <c r="L392" s="717"/>
      <c r="M392" s="717"/>
      <c r="N392" s="717"/>
      <c r="O392" s="718"/>
      <c r="P392" s="714" t="s">
        <v>40</v>
      </c>
      <c r="Q392" s="715"/>
      <c r="R392" s="715"/>
      <c r="S392" s="715"/>
      <c r="T392" s="715"/>
      <c r="U392" s="715"/>
      <c r="V392" s="716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hidden="1" x14ac:dyDescent="0.2">
      <c r="A393" s="717"/>
      <c r="B393" s="717"/>
      <c r="C393" s="717"/>
      <c r="D393" s="717"/>
      <c r="E393" s="717"/>
      <c r="F393" s="717"/>
      <c r="G393" s="717"/>
      <c r="H393" s="717"/>
      <c r="I393" s="717"/>
      <c r="J393" s="717"/>
      <c r="K393" s="717"/>
      <c r="L393" s="717"/>
      <c r="M393" s="717"/>
      <c r="N393" s="717"/>
      <c r="O393" s="718"/>
      <c r="P393" s="714" t="s">
        <v>40</v>
      </c>
      <c r="Q393" s="715"/>
      <c r="R393" s="715"/>
      <c r="S393" s="715"/>
      <c r="T393" s="715"/>
      <c r="U393" s="715"/>
      <c r="V393" s="716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hidden="1" customHeight="1" x14ac:dyDescent="0.25">
      <c r="A394" s="708" t="s">
        <v>103</v>
      </c>
      <c r="B394" s="708"/>
      <c r="C394" s="708"/>
      <c r="D394" s="708"/>
      <c r="E394" s="708"/>
      <c r="F394" s="708"/>
      <c r="G394" s="708"/>
      <c r="H394" s="708"/>
      <c r="I394" s="708"/>
      <c r="J394" s="708"/>
      <c r="K394" s="708"/>
      <c r="L394" s="708"/>
      <c r="M394" s="708"/>
      <c r="N394" s="708"/>
      <c r="O394" s="708"/>
      <c r="P394" s="708"/>
      <c r="Q394" s="708"/>
      <c r="R394" s="708"/>
      <c r="S394" s="708"/>
      <c r="T394" s="708"/>
      <c r="U394" s="708"/>
      <c r="V394" s="708"/>
      <c r="W394" s="708"/>
      <c r="X394" s="708"/>
      <c r="Y394" s="708"/>
      <c r="Z394" s="708"/>
      <c r="AA394" s="66"/>
      <c r="AB394" s="66"/>
      <c r="AC394" s="80"/>
    </row>
    <row r="395" spans="1:68" ht="27" hidden="1" customHeight="1" x14ac:dyDescent="0.25">
      <c r="A395" s="63" t="s">
        <v>659</v>
      </c>
      <c r="B395" s="63" t="s">
        <v>660</v>
      </c>
      <c r="C395" s="36">
        <v>4301030235</v>
      </c>
      <c r="D395" s="709">
        <v>4607091388381</v>
      </c>
      <c r="E395" s="709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139</v>
      </c>
      <c r="L395" s="37" t="s">
        <v>46</v>
      </c>
      <c r="M395" s="38" t="s">
        <v>108</v>
      </c>
      <c r="N395" s="38"/>
      <c r="O395" s="37">
        <v>180</v>
      </c>
      <c r="P395" s="9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1"/>
      <c r="R395" s="711"/>
      <c r="S395" s="711"/>
      <c r="T395" s="71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661</v>
      </c>
      <c r="AG395" s="78"/>
      <c r="AJ395" s="84" t="s">
        <v>46</v>
      </c>
      <c r="AK395" s="84">
        <v>0</v>
      </c>
      <c r="BB395" s="493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4301030232</v>
      </c>
      <c r="D396" s="709">
        <v>4607091388374</v>
      </c>
      <c r="E396" s="709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139</v>
      </c>
      <c r="L396" s="37" t="s">
        <v>46</v>
      </c>
      <c r="M396" s="38" t="s">
        <v>108</v>
      </c>
      <c r="N396" s="38"/>
      <c r="O396" s="37">
        <v>180</v>
      </c>
      <c r="P396" s="9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1"/>
      <c r="R396" s="711"/>
      <c r="S396" s="711"/>
      <c r="T396" s="71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661</v>
      </c>
      <c r="AG396" s="78"/>
      <c r="AJ396" s="84" t="s">
        <v>46</v>
      </c>
      <c r="AK396" s="84">
        <v>0</v>
      </c>
      <c r="BB396" s="495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664</v>
      </c>
      <c r="B397" s="63" t="s">
        <v>665</v>
      </c>
      <c r="C397" s="36">
        <v>4301032015</v>
      </c>
      <c r="D397" s="709">
        <v>4607091383102</v>
      </c>
      <c r="E397" s="709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90</v>
      </c>
      <c r="L397" s="37" t="s">
        <v>46</v>
      </c>
      <c r="M397" s="38" t="s">
        <v>108</v>
      </c>
      <c r="N397" s="38"/>
      <c r="O397" s="37">
        <v>180</v>
      </c>
      <c r="P397" s="9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661</v>
      </c>
      <c r="AG397" s="78"/>
      <c r="AJ397" s="84" t="s">
        <v>46</v>
      </c>
      <c r="AK397" s="84">
        <v>0</v>
      </c>
      <c r="BB397" s="497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666</v>
      </c>
      <c r="B398" s="63" t="s">
        <v>667</v>
      </c>
      <c r="C398" s="36">
        <v>4301030233</v>
      </c>
      <c r="D398" s="709">
        <v>4607091388404</v>
      </c>
      <c r="E398" s="709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90</v>
      </c>
      <c r="L398" s="37" t="s">
        <v>46</v>
      </c>
      <c r="M398" s="38" t="s">
        <v>108</v>
      </c>
      <c r="N398" s="38"/>
      <c r="O398" s="37">
        <v>180</v>
      </c>
      <c r="P398" s="9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661</v>
      </c>
      <c r="AG398" s="78"/>
      <c r="AJ398" s="84" t="s">
        <v>46</v>
      </c>
      <c r="AK398" s="84">
        <v>0</v>
      </c>
      <c r="BB398" s="499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717"/>
      <c r="B399" s="717"/>
      <c r="C399" s="717"/>
      <c r="D399" s="717"/>
      <c r="E399" s="717"/>
      <c r="F399" s="717"/>
      <c r="G399" s="717"/>
      <c r="H399" s="717"/>
      <c r="I399" s="717"/>
      <c r="J399" s="717"/>
      <c r="K399" s="717"/>
      <c r="L399" s="717"/>
      <c r="M399" s="717"/>
      <c r="N399" s="717"/>
      <c r="O399" s="718"/>
      <c r="P399" s="714" t="s">
        <v>40</v>
      </c>
      <c r="Q399" s="715"/>
      <c r="R399" s="715"/>
      <c r="S399" s="715"/>
      <c r="T399" s="715"/>
      <c r="U399" s="715"/>
      <c r="V399" s="716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708" t="s">
        <v>668</v>
      </c>
      <c r="B401" s="708"/>
      <c r="C401" s="708"/>
      <c r="D401" s="708"/>
      <c r="E401" s="708"/>
      <c r="F401" s="708"/>
      <c r="G401" s="708"/>
      <c r="H401" s="708"/>
      <c r="I401" s="708"/>
      <c r="J401" s="708"/>
      <c r="K401" s="708"/>
      <c r="L401" s="708"/>
      <c r="M401" s="708"/>
      <c r="N401" s="708"/>
      <c r="O401" s="708"/>
      <c r="P401" s="708"/>
      <c r="Q401" s="708"/>
      <c r="R401" s="708"/>
      <c r="S401" s="708"/>
      <c r="T401" s="708"/>
      <c r="U401" s="708"/>
      <c r="V401" s="708"/>
      <c r="W401" s="708"/>
      <c r="X401" s="708"/>
      <c r="Y401" s="708"/>
      <c r="Z401" s="708"/>
      <c r="AA401" s="66"/>
      <c r="AB401" s="66"/>
      <c r="AC401" s="80"/>
    </row>
    <row r="402" spans="1:68" ht="16.5" hidden="1" customHeight="1" x14ac:dyDescent="0.25">
      <c r="A402" s="63" t="s">
        <v>669</v>
      </c>
      <c r="B402" s="63" t="s">
        <v>670</v>
      </c>
      <c r="C402" s="36">
        <v>4301180007</v>
      </c>
      <c r="D402" s="709">
        <v>4680115881808</v>
      </c>
      <c r="E402" s="70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90</v>
      </c>
      <c r="L402" s="37" t="s">
        <v>46</v>
      </c>
      <c r="M402" s="38" t="s">
        <v>672</v>
      </c>
      <c r="N402" s="38"/>
      <c r="O402" s="37">
        <v>731</v>
      </c>
      <c r="P402" s="9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1"/>
      <c r="R402" s="711"/>
      <c r="S402" s="711"/>
      <c r="T402" s="71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671</v>
      </c>
      <c r="AG402" s="78"/>
      <c r="AJ402" s="84" t="s">
        <v>46</v>
      </c>
      <c r="AK402" s="84">
        <v>0</v>
      </c>
      <c r="BB402" s="501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673</v>
      </c>
      <c r="B403" s="63" t="s">
        <v>674</v>
      </c>
      <c r="C403" s="36">
        <v>4301180006</v>
      </c>
      <c r="D403" s="709">
        <v>4680115881822</v>
      </c>
      <c r="E403" s="70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90</v>
      </c>
      <c r="L403" s="37" t="s">
        <v>46</v>
      </c>
      <c r="M403" s="38" t="s">
        <v>672</v>
      </c>
      <c r="N403" s="38"/>
      <c r="O403" s="37">
        <v>731</v>
      </c>
      <c r="P403" s="9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671</v>
      </c>
      <c r="AG403" s="78"/>
      <c r="AJ403" s="84" t="s">
        <v>46</v>
      </c>
      <c r="AK403" s="84">
        <v>0</v>
      </c>
      <c r="BB403" s="503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675</v>
      </c>
      <c r="B404" s="63" t="s">
        <v>676</v>
      </c>
      <c r="C404" s="36">
        <v>4301180001</v>
      </c>
      <c r="D404" s="709">
        <v>4680115880016</v>
      </c>
      <c r="E404" s="709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90</v>
      </c>
      <c r="L404" s="37" t="s">
        <v>46</v>
      </c>
      <c r="M404" s="38" t="s">
        <v>672</v>
      </c>
      <c r="N404" s="38"/>
      <c r="O404" s="37">
        <v>731</v>
      </c>
      <c r="P404" s="9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671</v>
      </c>
      <c r="AG404" s="78"/>
      <c r="AJ404" s="84" t="s">
        <v>46</v>
      </c>
      <c r="AK404" s="84">
        <v>0</v>
      </c>
      <c r="BB404" s="505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717"/>
      <c r="B405" s="717"/>
      <c r="C405" s="717"/>
      <c r="D405" s="717"/>
      <c r="E405" s="717"/>
      <c r="F405" s="717"/>
      <c r="G405" s="717"/>
      <c r="H405" s="717"/>
      <c r="I405" s="717"/>
      <c r="J405" s="717"/>
      <c r="K405" s="717"/>
      <c r="L405" s="717"/>
      <c r="M405" s="717"/>
      <c r="N405" s="717"/>
      <c r="O405" s="718"/>
      <c r="P405" s="714" t="s">
        <v>40</v>
      </c>
      <c r="Q405" s="715"/>
      <c r="R405" s="715"/>
      <c r="S405" s="715"/>
      <c r="T405" s="715"/>
      <c r="U405" s="715"/>
      <c r="V405" s="716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708" t="s">
        <v>677</v>
      </c>
      <c r="B407" s="708"/>
      <c r="C407" s="708"/>
      <c r="D407" s="708"/>
      <c r="E407" s="708"/>
      <c r="F407" s="708"/>
      <c r="G407" s="708"/>
      <c r="H407" s="708"/>
      <c r="I407" s="708"/>
      <c r="J407" s="708"/>
      <c r="K407" s="708"/>
      <c r="L407" s="708"/>
      <c r="M407" s="708"/>
      <c r="N407" s="708"/>
      <c r="O407" s="708"/>
      <c r="P407" s="708"/>
      <c r="Q407" s="708"/>
      <c r="R407" s="708"/>
      <c r="S407" s="708"/>
      <c r="T407" s="708"/>
      <c r="U407" s="708"/>
      <c r="V407" s="708"/>
      <c r="W407" s="708"/>
      <c r="X407" s="708"/>
      <c r="Y407" s="708"/>
      <c r="Z407" s="708"/>
      <c r="AA407" s="66"/>
      <c r="AB407" s="66"/>
      <c r="AC407" s="80"/>
    </row>
    <row r="408" spans="1:68" ht="27" hidden="1" customHeight="1" x14ac:dyDescent="0.25">
      <c r="A408" s="63" t="s">
        <v>678</v>
      </c>
      <c r="B408" s="63" t="s">
        <v>679</v>
      </c>
      <c r="C408" s="36">
        <v>4301220003</v>
      </c>
      <c r="D408" s="709">
        <v>4680115888678</v>
      </c>
      <c r="E408" s="709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90</v>
      </c>
      <c r="L408" s="37" t="s">
        <v>46</v>
      </c>
      <c r="M408" s="38" t="s">
        <v>672</v>
      </c>
      <c r="N408" s="38"/>
      <c r="O408" s="37">
        <v>1096</v>
      </c>
      <c r="P408" s="92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1"/>
      <c r="R408" s="711"/>
      <c r="S408" s="711"/>
      <c r="T408" s="71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251</v>
      </c>
      <c r="AC408" s="506" t="s">
        <v>680</v>
      </c>
      <c r="AG408" s="78"/>
      <c r="AJ408" s="84" t="s">
        <v>46</v>
      </c>
      <c r="AK408" s="84">
        <v>0</v>
      </c>
      <c r="BB408" s="507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681</v>
      </c>
      <c r="B409" s="63" t="s">
        <v>682</v>
      </c>
      <c r="C409" s="36">
        <v>4301220001</v>
      </c>
      <c r="D409" s="709">
        <v>4680115888654</v>
      </c>
      <c r="E409" s="709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139</v>
      </c>
      <c r="L409" s="37" t="s">
        <v>46</v>
      </c>
      <c r="M409" s="38" t="s">
        <v>672</v>
      </c>
      <c r="N409" s="38"/>
      <c r="O409" s="37">
        <v>1096</v>
      </c>
      <c r="P409" s="92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1"/>
      <c r="R409" s="711"/>
      <c r="S409" s="711"/>
      <c r="T409" s="71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251</v>
      </c>
      <c r="AC409" s="508" t="s">
        <v>683</v>
      </c>
      <c r="AG409" s="78"/>
      <c r="AJ409" s="84" t="s">
        <v>46</v>
      </c>
      <c r="AK409" s="84">
        <v>0</v>
      </c>
      <c r="BB409" s="509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684</v>
      </c>
      <c r="B410" s="63" t="s">
        <v>685</v>
      </c>
      <c r="C410" s="36">
        <v>4301220002</v>
      </c>
      <c r="D410" s="709">
        <v>4680115888753</v>
      </c>
      <c r="E410" s="709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90</v>
      </c>
      <c r="L410" s="37" t="s">
        <v>46</v>
      </c>
      <c r="M410" s="38" t="s">
        <v>672</v>
      </c>
      <c r="N410" s="38"/>
      <c r="O410" s="37">
        <v>1096</v>
      </c>
      <c r="P410" s="9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251</v>
      </c>
      <c r="AC410" s="510" t="s">
        <v>680</v>
      </c>
      <c r="AG410" s="78"/>
      <c r="AJ410" s="84" t="s">
        <v>46</v>
      </c>
      <c r="AK410" s="84">
        <v>0</v>
      </c>
      <c r="BB410" s="51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717"/>
      <c r="B411" s="717"/>
      <c r="C411" s="717"/>
      <c r="D411" s="717"/>
      <c r="E411" s="717"/>
      <c r="F411" s="717"/>
      <c r="G411" s="717"/>
      <c r="H411" s="717"/>
      <c r="I411" s="717"/>
      <c r="J411" s="717"/>
      <c r="K411" s="717"/>
      <c r="L411" s="717"/>
      <c r="M411" s="717"/>
      <c r="N411" s="717"/>
      <c r="O411" s="718"/>
      <c r="P411" s="714" t="s">
        <v>40</v>
      </c>
      <c r="Q411" s="715"/>
      <c r="R411" s="715"/>
      <c r="S411" s="715"/>
      <c r="T411" s="715"/>
      <c r="U411" s="715"/>
      <c r="V411" s="71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707" t="s">
        <v>686</v>
      </c>
      <c r="B413" s="707"/>
      <c r="C413" s="707"/>
      <c r="D413" s="707"/>
      <c r="E413" s="707"/>
      <c r="F413" s="707"/>
      <c r="G413" s="707"/>
      <c r="H413" s="707"/>
      <c r="I413" s="707"/>
      <c r="J413" s="707"/>
      <c r="K413" s="707"/>
      <c r="L413" s="707"/>
      <c r="M413" s="707"/>
      <c r="N413" s="707"/>
      <c r="O413" s="707"/>
      <c r="P413" s="707"/>
      <c r="Q413" s="707"/>
      <c r="R413" s="707"/>
      <c r="S413" s="707"/>
      <c r="T413" s="707"/>
      <c r="U413" s="707"/>
      <c r="V413" s="707"/>
      <c r="W413" s="707"/>
      <c r="X413" s="707"/>
      <c r="Y413" s="707"/>
      <c r="Z413" s="707"/>
      <c r="AA413" s="65"/>
      <c r="AB413" s="65"/>
      <c r="AC413" s="79"/>
    </row>
    <row r="414" spans="1:68" ht="14.25" hidden="1" customHeight="1" x14ac:dyDescent="0.25">
      <c r="A414" s="708" t="s">
        <v>85</v>
      </c>
      <c r="B414" s="708"/>
      <c r="C414" s="708"/>
      <c r="D414" s="708"/>
      <c r="E414" s="708"/>
      <c r="F414" s="708"/>
      <c r="G414" s="708"/>
      <c r="H414" s="708"/>
      <c r="I414" s="708"/>
      <c r="J414" s="708"/>
      <c r="K414" s="708"/>
      <c r="L414" s="708"/>
      <c r="M414" s="708"/>
      <c r="N414" s="708"/>
      <c r="O414" s="708"/>
      <c r="P414" s="708"/>
      <c r="Q414" s="708"/>
      <c r="R414" s="708"/>
      <c r="S414" s="708"/>
      <c r="T414" s="708"/>
      <c r="U414" s="708"/>
      <c r="V414" s="708"/>
      <c r="W414" s="708"/>
      <c r="X414" s="708"/>
      <c r="Y414" s="708"/>
      <c r="Z414" s="708"/>
      <c r="AA414" s="66"/>
      <c r="AB414" s="66"/>
      <c r="AC414" s="80"/>
    </row>
    <row r="415" spans="1:68" ht="27" hidden="1" customHeight="1" x14ac:dyDescent="0.25">
      <c r="A415" s="63" t="s">
        <v>687</v>
      </c>
      <c r="B415" s="63" t="s">
        <v>688</v>
      </c>
      <c r="C415" s="36">
        <v>4301051489</v>
      </c>
      <c r="D415" s="709">
        <v>4607091387919</v>
      </c>
      <c r="E415" s="709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132</v>
      </c>
      <c r="L415" s="37" t="s">
        <v>46</v>
      </c>
      <c r="M415" s="38" t="s">
        <v>96</v>
      </c>
      <c r="N415" s="38"/>
      <c r="O415" s="37">
        <v>45</v>
      </c>
      <c r="P415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11"/>
      <c r="R415" s="711"/>
      <c r="S415" s="711"/>
      <c r="T415" s="71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689</v>
      </c>
      <c r="AG415" s="78"/>
      <c r="AJ415" s="84" t="s">
        <v>46</v>
      </c>
      <c r="AK415" s="84">
        <v>0</v>
      </c>
      <c r="BB415" s="513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690</v>
      </c>
      <c r="B416" s="63" t="s">
        <v>691</v>
      </c>
      <c r="C416" s="36">
        <v>4301051461</v>
      </c>
      <c r="D416" s="709">
        <v>4680115883604</v>
      </c>
      <c r="E416" s="709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90</v>
      </c>
      <c r="L416" s="37" t="s">
        <v>46</v>
      </c>
      <c r="M416" s="38" t="s">
        <v>89</v>
      </c>
      <c r="N416" s="38"/>
      <c r="O416" s="37">
        <v>45</v>
      </c>
      <c r="P416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692</v>
      </c>
      <c r="AG416" s="78"/>
      <c r="AJ416" s="84" t="s">
        <v>46</v>
      </c>
      <c r="AK416" s="84">
        <v>0</v>
      </c>
      <c r="BB416" s="515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693</v>
      </c>
      <c r="B417" s="63" t="s">
        <v>694</v>
      </c>
      <c r="C417" s="36">
        <v>4301051864</v>
      </c>
      <c r="D417" s="709">
        <v>4680115883567</v>
      </c>
      <c r="E417" s="709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90</v>
      </c>
      <c r="L417" s="37" t="s">
        <v>46</v>
      </c>
      <c r="M417" s="38" t="s">
        <v>96</v>
      </c>
      <c r="N417" s="38"/>
      <c r="O417" s="37">
        <v>40</v>
      </c>
      <c r="P417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6" t="s">
        <v>695</v>
      </c>
      <c r="AG417" s="78"/>
      <c r="AJ417" s="84" t="s">
        <v>46</v>
      </c>
      <c r="AK417" s="84">
        <v>0</v>
      </c>
      <c r="BB417" s="517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717"/>
      <c r="B418" s="717"/>
      <c r="C418" s="717"/>
      <c r="D418" s="717"/>
      <c r="E418" s="717"/>
      <c r="F418" s="717"/>
      <c r="G418" s="717"/>
      <c r="H418" s="717"/>
      <c r="I418" s="717"/>
      <c r="J418" s="717"/>
      <c r="K418" s="717"/>
      <c r="L418" s="717"/>
      <c r="M418" s="717"/>
      <c r="N418" s="717"/>
      <c r="O418" s="718"/>
      <c r="P418" s="714" t="s">
        <v>40</v>
      </c>
      <c r="Q418" s="715"/>
      <c r="R418" s="715"/>
      <c r="S418" s="715"/>
      <c r="T418" s="715"/>
      <c r="U418" s="715"/>
      <c r="V418" s="716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27.75" hidden="1" customHeight="1" x14ac:dyDescent="0.2">
      <c r="A420" s="706" t="s">
        <v>696</v>
      </c>
      <c r="B420" s="706"/>
      <c r="C420" s="706"/>
      <c r="D420" s="706"/>
      <c r="E420" s="706"/>
      <c r="F420" s="706"/>
      <c r="G420" s="706"/>
      <c r="H420" s="706"/>
      <c r="I420" s="706"/>
      <c r="J420" s="706"/>
      <c r="K420" s="706"/>
      <c r="L420" s="706"/>
      <c r="M420" s="706"/>
      <c r="N420" s="706"/>
      <c r="O420" s="706"/>
      <c r="P420" s="706"/>
      <c r="Q420" s="706"/>
      <c r="R420" s="706"/>
      <c r="S420" s="706"/>
      <c r="T420" s="706"/>
      <c r="U420" s="706"/>
      <c r="V420" s="706"/>
      <c r="W420" s="706"/>
      <c r="X420" s="706"/>
      <c r="Y420" s="706"/>
      <c r="Z420" s="706"/>
      <c r="AA420" s="54"/>
      <c r="AB420" s="54"/>
      <c r="AC420" s="54"/>
    </row>
    <row r="421" spans="1:68" ht="16.5" hidden="1" customHeight="1" x14ac:dyDescent="0.25">
      <c r="A421" s="707" t="s">
        <v>697</v>
      </c>
      <c r="B421" s="707"/>
      <c r="C421" s="707"/>
      <c r="D421" s="707"/>
      <c r="E421" s="707"/>
      <c r="F421" s="707"/>
      <c r="G421" s="707"/>
      <c r="H421" s="707"/>
      <c r="I421" s="707"/>
      <c r="J421" s="707"/>
      <c r="K421" s="707"/>
      <c r="L421" s="707"/>
      <c r="M421" s="707"/>
      <c r="N421" s="707"/>
      <c r="O421" s="707"/>
      <c r="P421" s="707"/>
      <c r="Q421" s="707"/>
      <c r="R421" s="707"/>
      <c r="S421" s="707"/>
      <c r="T421" s="707"/>
      <c r="U421" s="707"/>
      <c r="V421" s="707"/>
      <c r="W421" s="707"/>
      <c r="X421" s="707"/>
      <c r="Y421" s="707"/>
      <c r="Z421" s="707"/>
      <c r="AA421" s="65"/>
      <c r="AB421" s="65"/>
      <c r="AC421" s="79"/>
    </row>
    <row r="422" spans="1:68" ht="14.25" hidden="1" customHeight="1" x14ac:dyDescent="0.25">
      <c r="A422" s="708" t="s">
        <v>127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66"/>
      <c r="AB422" s="66"/>
      <c r="AC422" s="80"/>
    </row>
    <row r="423" spans="1:68" ht="27" hidden="1" customHeight="1" x14ac:dyDescent="0.25">
      <c r="A423" s="63" t="s">
        <v>698</v>
      </c>
      <c r="B423" s="63" t="s">
        <v>699</v>
      </c>
      <c r="C423" s="36">
        <v>4301012332</v>
      </c>
      <c r="D423" s="709">
        <v>4680115888401</v>
      </c>
      <c r="E423" s="70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132</v>
      </c>
      <c r="L423" s="37" t="s">
        <v>46</v>
      </c>
      <c r="M423" s="38" t="s">
        <v>96</v>
      </c>
      <c r="N423" s="38"/>
      <c r="O423" s="37">
        <v>60</v>
      </c>
      <c r="P423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11"/>
      <c r="R423" s="711"/>
      <c r="S423" s="711"/>
      <c r="T423" s="712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700</v>
      </c>
      <c r="AG423" s="78"/>
      <c r="AJ423" s="84" t="s">
        <v>46</v>
      </c>
      <c r="AK423" s="84">
        <v>0</v>
      </c>
      <c r="BB423" s="519" t="s">
        <v>66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hidden="1" customHeight="1" x14ac:dyDescent="0.25">
      <c r="A424" s="63" t="s">
        <v>701</v>
      </c>
      <c r="B424" s="63" t="s">
        <v>702</v>
      </c>
      <c r="C424" s="36">
        <v>4301011869</v>
      </c>
      <c r="D424" s="709">
        <v>4680115884847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132</v>
      </c>
      <c r="L424" s="37" t="s">
        <v>46</v>
      </c>
      <c r="M424" s="38" t="s">
        <v>80</v>
      </c>
      <c r="N424" s="38"/>
      <c r="O424" s="37">
        <v>60</v>
      </c>
      <c r="P424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/>
      <c r="Y424" s="55">
        <f t="shared" si="52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66</v>
      </c>
      <c r="BM424" s="78">
        <f t="shared" si="53"/>
        <v>0</v>
      </c>
      <c r="BN424" s="78">
        <f t="shared" si="54"/>
        <v>0</v>
      </c>
      <c r="BO424" s="78">
        <f t="shared" si="55"/>
        <v>0</v>
      </c>
      <c r="BP424" s="78">
        <f t="shared" si="56"/>
        <v>0</v>
      </c>
    </row>
    <row r="425" spans="1:68" ht="27" hidden="1" customHeight="1" x14ac:dyDescent="0.25">
      <c r="A425" s="63" t="s">
        <v>704</v>
      </c>
      <c r="B425" s="63" t="s">
        <v>705</v>
      </c>
      <c r="C425" s="36">
        <v>4301012083</v>
      </c>
      <c r="D425" s="709">
        <v>4680115884854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132</v>
      </c>
      <c r="L425" s="37" t="s">
        <v>46</v>
      </c>
      <c r="M425" s="38" t="s">
        <v>131</v>
      </c>
      <c r="N425" s="38"/>
      <c r="O425" s="37">
        <v>60</v>
      </c>
      <c r="P425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52"/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66</v>
      </c>
      <c r="BM425" s="78">
        <f t="shared" si="53"/>
        <v>0</v>
      </c>
      <c r="BN425" s="78">
        <f t="shared" si="54"/>
        <v>0</v>
      </c>
      <c r="BO425" s="78">
        <f t="shared" si="55"/>
        <v>0</v>
      </c>
      <c r="BP425" s="78">
        <f t="shared" si="56"/>
        <v>0</v>
      </c>
    </row>
    <row r="426" spans="1:68" ht="27" customHeight="1" x14ac:dyDescent="0.25">
      <c r="A426" s="63" t="s">
        <v>707</v>
      </c>
      <c r="B426" s="63" t="s">
        <v>708</v>
      </c>
      <c r="C426" s="36">
        <v>4301011867</v>
      </c>
      <c r="D426" s="709">
        <v>4680115884830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132</v>
      </c>
      <c r="L426" s="37" t="s">
        <v>46</v>
      </c>
      <c r="M426" s="38" t="s">
        <v>80</v>
      </c>
      <c r="N426" s="38"/>
      <c r="O426" s="37">
        <v>60</v>
      </c>
      <c r="P426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150</v>
      </c>
      <c r="Y426" s="55">
        <f t="shared" si="52"/>
        <v>150</v>
      </c>
      <c r="Z426" s="41">
        <f>IFERROR(IF(Y426=0,"",ROUNDUP(Y426/H426,0)*0.02175),"")</f>
        <v>0.21749999999999997</v>
      </c>
      <c r="AA426" s="68" t="s">
        <v>46</v>
      </c>
      <c r="AB426" s="69" t="s">
        <v>46</v>
      </c>
      <c r="AC426" s="524" t="s">
        <v>709</v>
      </c>
      <c r="AG426" s="78"/>
      <c r="AJ426" s="84" t="s">
        <v>46</v>
      </c>
      <c r="AK426" s="84">
        <v>0</v>
      </c>
      <c r="BB426" s="525" t="s">
        <v>66</v>
      </c>
      <c r="BM426" s="78">
        <f t="shared" si="53"/>
        <v>154.69999999999999</v>
      </c>
      <c r="BN426" s="78">
        <f t="shared" si="54"/>
        <v>154.69999999999999</v>
      </c>
      <c r="BO426" s="78">
        <f t="shared" si="55"/>
        <v>0.20833333333333331</v>
      </c>
      <c r="BP426" s="78">
        <f t="shared" si="56"/>
        <v>0.20833333333333331</v>
      </c>
    </row>
    <row r="427" spans="1:68" ht="27" hidden="1" customHeight="1" x14ac:dyDescent="0.25">
      <c r="A427" s="63" t="s">
        <v>710</v>
      </c>
      <c r="B427" s="63" t="s">
        <v>711</v>
      </c>
      <c r="C427" s="36">
        <v>4301012356</v>
      </c>
      <c r="D427" s="709">
        <v>4680115889231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132</v>
      </c>
      <c r="L427" s="37" t="s">
        <v>46</v>
      </c>
      <c r="M427" s="38" t="s">
        <v>96</v>
      </c>
      <c r="N427" s="38"/>
      <c r="O427" s="37">
        <v>60</v>
      </c>
      <c r="P427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2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6" t="s">
        <v>712</v>
      </c>
      <c r="AG427" s="78"/>
      <c r="AJ427" s="84" t="s">
        <v>46</v>
      </c>
      <c r="AK427" s="84">
        <v>0</v>
      </c>
      <c r="BB427" s="527" t="s">
        <v>66</v>
      </c>
      <c r="BM427" s="78">
        <f t="shared" si="53"/>
        <v>0</v>
      </c>
      <c r="BN427" s="78">
        <f t="shared" si="54"/>
        <v>0</v>
      </c>
      <c r="BO427" s="78">
        <f t="shared" si="55"/>
        <v>0</v>
      </c>
      <c r="BP427" s="78">
        <f t="shared" si="56"/>
        <v>0</v>
      </c>
    </row>
    <row r="428" spans="1:68" ht="27" hidden="1" customHeight="1" x14ac:dyDescent="0.25">
      <c r="A428" s="63" t="s">
        <v>713</v>
      </c>
      <c r="B428" s="63" t="s">
        <v>714</v>
      </c>
      <c r="C428" s="36">
        <v>4301011433</v>
      </c>
      <c r="D428" s="709">
        <v>4680115882638</v>
      </c>
      <c r="E428" s="709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139</v>
      </c>
      <c r="L428" s="37" t="s">
        <v>46</v>
      </c>
      <c r="M428" s="38" t="s">
        <v>131</v>
      </c>
      <c r="N428" s="38"/>
      <c r="O428" s="37">
        <v>90</v>
      </c>
      <c r="P428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715</v>
      </c>
      <c r="AG428" s="78"/>
      <c r="AJ428" s="84" t="s">
        <v>46</v>
      </c>
      <c r="AK428" s="84">
        <v>0</v>
      </c>
      <c r="BB428" s="529" t="s">
        <v>66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716</v>
      </c>
      <c r="B429" s="63" t="s">
        <v>717</v>
      </c>
      <c r="C429" s="36">
        <v>4301011952</v>
      </c>
      <c r="D429" s="709">
        <v>4680115884922</v>
      </c>
      <c r="E429" s="70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139</v>
      </c>
      <c r="L429" s="37" t="s">
        <v>46</v>
      </c>
      <c r="M429" s="38" t="s">
        <v>80</v>
      </c>
      <c r="N429" s="38"/>
      <c r="O429" s="37">
        <v>60</v>
      </c>
      <c r="P429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718</v>
      </c>
      <c r="AG429" s="78"/>
      <c r="AJ429" s="84" t="s">
        <v>46</v>
      </c>
      <c r="AK429" s="84">
        <v>0</v>
      </c>
      <c r="BB429" s="531" t="s">
        <v>66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hidden="1" customHeight="1" x14ac:dyDescent="0.25">
      <c r="A430" s="63" t="s">
        <v>719</v>
      </c>
      <c r="B430" s="63" t="s">
        <v>720</v>
      </c>
      <c r="C430" s="36">
        <v>4301011868</v>
      </c>
      <c r="D430" s="709">
        <v>4680115884861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139</v>
      </c>
      <c r="L430" s="37" t="s">
        <v>46</v>
      </c>
      <c r="M430" s="38" t="s">
        <v>80</v>
      </c>
      <c r="N430" s="38"/>
      <c r="O430" s="37">
        <v>60</v>
      </c>
      <c r="P43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721</v>
      </c>
      <c r="AG430" s="78"/>
      <c r="AJ430" s="84" t="s">
        <v>46</v>
      </c>
      <c r="AK430" s="84">
        <v>0</v>
      </c>
      <c r="BB430" s="533" t="s">
        <v>66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717"/>
      <c r="B431" s="717"/>
      <c r="C431" s="717"/>
      <c r="D431" s="717"/>
      <c r="E431" s="717"/>
      <c r="F431" s="717"/>
      <c r="G431" s="717"/>
      <c r="H431" s="717"/>
      <c r="I431" s="717"/>
      <c r="J431" s="717"/>
      <c r="K431" s="717"/>
      <c r="L431" s="717"/>
      <c r="M431" s="717"/>
      <c r="N431" s="717"/>
      <c r="O431" s="718"/>
      <c r="P431" s="714" t="s">
        <v>40</v>
      </c>
      <c r="Q431" s="715"/>
      <c r="R431" s="715"/>
      <c r="S431" s="715"/>
      <c r="T431" s="715"/>
      <c r="U431" s="715"/>
      <c r="V431" s="716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10</v>
      </c>
      <c r="Y431" s="43">
        <f>IFERROR(Y423/H423,"0")+IFERROR(Y424/H424,"0")+IFERROR(Y425/H425,"0")+IFERROR(Y426/H426,"0")+IFERROR(Y427/H427,"0")+IFERROR(Y428/H428,"0")+IFERROR(Y429/H429,"0")+IFERROR(Y430/H430,"0")</f>
        <v>10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0.21749999999999997</v>
      </c>
      <c r="AA431" s="67"/>
      <c r="AB431" s="67"/>
      <c r="AC431" s="67"/>
    </row>
    <row r="432" spans="1:68" x14ac:dyDescent="0.2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0</v>
      </c>
      <c r="X432" s="43">
        <f>IFERROR(SUM(X423:X430),"0")</f>
        <v>150</v>
      </c>
      <c r="Y432" s="43">
        <f>IFERROR(SUM(Y423:Y430),"0")</f>
        <v>150</v>
      </c>
      <c r="Z432" s="42"/>
      <c r="AA432" s="67"/>
      <c r="AB432" s="67"/>
      <c r="AC432" s="67"/>
    </row>
    <row r="433" spans="1:68" ht="14.25" hidden="1" customHeight="1" x14ac:dyDescent="0.25">
      <c r="A433" s="708" t="s">
        <v>163</v>
      </c>
      <c r="B433" s="708"/>
      <c r="C433" s="708"/>
      <c r="D433" s="708"/>
      <c r="E433" s="708"/>
      <c r="F433" s="708"/>
      <c r="G433" s="708"/>
      <c r="H433" s="708"/>
      <c r="I433" s="708"/>
      <c r="J433" s="708"/>
      <c r="K433" s="708"/>
      <c r="L433" s="708"/>
      <c r="M433" s="708"/>
      <c r="N433" s="708"/>
      <c r="O433" s="708"/>
      <c r="P433" s="708"/>
      <c r="Q433" s="708"/>
      <c r="R433" s="708"/>
      <c r="S433" s="708"/>
      <c r="T433" s="708"/>
      <c r="U433" s="708"/>
      <c r="V433" s="708"/>
      <c r="W433" s="708"/>
      <c r="X433" s="708"/>
      <c r="Y433" s="708"/>
      <c r="Z433" s="708"/>
      <c r="AA433" s="66"/>
      <c r="AB433" s="66"/>
      <c r="AC433" s="80"/>
    </row>
    <row r="434" spans="1:68" ht="27" hidden="1" customHeight="1" x14ac:dyDescent="0.25">
      <c r="A434" s="63" t="s">
        <v>722</v>
      </c>
      <c r="B434" s="63" t="s">
        <v>723</v>
      </c>
      <c r="C434" s="36">
        <v>4301020178</v>
      </c>
      <c r="D434" s="709">
        <v>4607091383980</v>
      </c>
      <c r="E434" s="70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132</v>
      </c>
      <c r="L434" s="37" t="s">
        <v>46</v>
      </c>
      <c r="M434" s="38" t="s">
        <v>131</v>
      </c>
      <c r="N434" s="38"/>
      <c r="O434" s="37">
        <v>50</v>
      </c>
      <c r="P434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11"/>
      <c r="R434" s="711"/>
      <c r="S434" s="711"/>
      <c r="T434" s="712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724</v>
      </c>
      <c r="AG434" s="78"/>
      <c r="AJ434" s="84" t="s">
        <v>46</v>
      </c>
      <c r="AK434" s="84">
        <v>0</v>
      </c>
      <c r="BB434" s="535" t="s">
        <v>66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hidden="1" customHeight="1" x14ac:dyDescent="0.25">
      <c r="A435" s="63" t="s">
        <v>725</v>
      </c>
      <c r="B435" s="63" t="s">
        <v>726</v>
      </c>
      <c r="C435" s="36">
        <v>4301020355</v>
      </c>
      <c r="D435" s="709">
        <v>4680115888425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132</v>
      </c>
      <c r="L435" s="37" t="s">
        <v>46</v>
      </c>
      <c r="M435" s="38" t="s">
        <v>131</v>
      </c>
      <c r="N435" s="38"/>
      <c r="O435" s="37">
        <v>50</v>
      </c>
      <c r="P435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727</v>
      </c>
      <c r="AG435" s="78"/>
      <c r="AJ435" s="84" t="s">
        <v>46</v>
      </c>
      <c r="AK435" s="84">
        <v>0</v>
      </c>
      <c r="BB435" s="537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728</v>
      </c>
      <c r="B436" s="63" t="s">
        <v>729</v>
      </c>
      <c r="C436" s="36">
        <v>4301020179</v>
      </c>
      <c r="D436" s="709">
        <v>4607091384178</v>
      </c>
      <c r="E436" s="709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139</v>
      </c>
      <c r="L436" s="37" t="s">
        <v>46</v>
      </c>
      <c r="M436" s="38" t="s">
        <v>131</v>
      </c>
      <c r="N436" s="38"/>
      <c r="O436" s="37">
        <v>50</v>
      </c>
      <c r="P436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730</v>
      </c>
      <c r="AG436" s="78"/>
      <c r="AJ436" s="84" t="s">
        <v>46</v>
      </c>
      <c r="AK436" s="84">
        <v>0</v>
      </c>
      <c r="BB436" s="539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idden="1" x14ac:dyDescent="0.2">
      <c r="A437" s="717"/>
      <c r="B437" s="717"/>
      <c r="C437" s="717"/>
      <c r="D437" s="717"/>
      <c r="E437" s="717"/>
      <c r="F437" s="717"/>
      <c r="G437" s="717"/>
      <c r="H437" s="717"/>
      <c r="I437" s="717"/>
      <c r="J437" s="717"/>
      <c r="K437" s="717"/>
      <c r="L437" s="717"/>
      <c r="M437" s="717"/>
      <c r="N437" s="717"/>
      <c r="O437" s="718"/>
      <c r="P437" s="714" t="s">
        <v>40</v>
      </c>
      <c r="Q437" s="715"/>
      <c r="R437" s="715"/>
      <c r="S437" s="715"/>
      <c r="T437" s="715"/>
      <c r="U437" s="715"/>
      <c r="V437" s="716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hidden="1" x14ac:dyDescent="0.2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hidden="1" customHeight="1" x14ac:dyDescent="0.25">
      <c r="A439" s="708" t="s">
        <v>85</v>
      </c>
      <c r="B439" s="708"/>
      <c r="C439" s="708"/>
      <c r="D439" s="708"/>
      <c r="E439" s="708"/>
      <c r="F439" s="708"/>
      <c r="G439" s="708"/>
      <c r="H439" s="708"/>
      <c r="I439" s="708"/>
      <c r="J439" s="708"/>
      <c r="K439" s="708"/>
      <c r="L439" s="708"/>
      <c r="M439" s="708"/>
      <c r="N439" s="708"/>
      <c r="O439" s="708"/>
      <c r="P439" s="708"/>
      <c r="Q439" s="708"/>
      <c r="R439" s="708"/>
      <c r="S439" s="708"/>
      <c r="T439" s="708"/>
      <c r="U439" s="708"/>
      <c r="V439" s="708"/>
      <c r="W439" s="708"/>
      <c r="X439" s="708"/>
      <c r="Y439" s="708"/>
      <c r="Z439" s="708"/>
      <c r="AA439" s="66"/>
      <c r="AB439" s="66"/>
      <c r="AC439" s="80"/>
    </row>
    <row r="440" spans="1:68" ht="27" hidden="1" customHeight="1" x14ac:dyDescent="0.25">
      <c r="A440" s="63" t="s">
        <v>731</v>
      </c>
      <c r="B440" s="63" t="s">
        <v>732</v>
      </c>
      <c r="C440" s="36">
        <v>4301051903</v>
      </c>
      <c r="D440" s="709">
        <v>4607091383928</v>
      </c>
      <c r="E440" s="709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132</v>
      </c>
      <c r="L440" s="37" t="s">
        <v>46</v>
      </c>
      <c r="M440" s="38" t="s">
        <v>89</v>
      </c>
      <c r="N440" s="38"/>
      <c r="O440" s="37">
        <v>40</v>
      </c>
      <c r="P440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11"/>
      <c r="R440" s="711"/>
      <c r="S440" s="711"/>
      <c r="T440" s="71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733</v>
      </c>
      <c r="AG440" s="78"/>
      <c r="AJ440" s="84" t="s">
        <v>46</v>
      </c>
      <c r="AK440" s="84">
        <v>0</v>
      </c>
      <c r="BB440" s="541" t="s">
        <v>66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734</v>
      </c>
      <c r="B441" s="63" t="s">
        <v>735</v>
      </c>
      <c r="C441" s="36">
        <v>4301051897</v>
      </c>
      <c r="D441" s="709">
        <v>4607091384260</v>
      </c>
      <c r="E441" s="709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132</v>
      </c>
      <c r="L441" s="37" t="s">
        <v>46</v>
      </c>
      <c r="M441" s="38" t="s">
        <v>89</v>
      </c>
      <c r="N441" s="38"/>
      <c r="O441" s="37">
        <v>40</v>
      </c>
      <c r="P441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736</v>
      </c>
      <c r="AG441" s="78"/>
      <c r="AJ441" s="84" t="s">
        <v>46</v>
      </c>
      <c r="AK441" s="84">
        <v>0</v>
      </c>
      <c r="BB441" s="543" t="s">
        <v>66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hidden="1" customHeight="1" x14ac:dyDescent="0.25">
      <c r="A442" s="63" t="s">
        <v>737</v>
      </c>
      <c r="B442" s="63" t="s">
        <v>738</v>
      </c>
      <c r="C442" s="36">
        <v>4301052220</v>
      </c>
      <c r="D442" s="709">
        <v>4680115889538</v>
      </c>
      <c r="E442" s="709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132</v>
      </c>
      <c r="L442" s="37" t="s">
        <v>46</v>
      </c>
      <c r="M442" s="38" t="s">
        <v>89</v>
      </c>
      <c r="N442" s="38"/>
      <c r="O442" s="37">
        <v>45</v>
      </c>
      <c r="P442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739</v>
      </c>
      <c r="AG442" s="78"/>
      <c r="AJ442" s="84" t="s">
        <v>46</v>
      </c>
      <c r="AK442" s="84">
        <v>0</v>
      </c>
      <c r="BB442" s="54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idden="1" x14ac:dyDescent="0.2">
      <c r="A443" s="717"/>
      <c r="B443" s="717"/>
      <c r="C443" s="717"/>
      <c r="D443" s="717"/>
      <c r="E443" s="717"/>
      <c r="F443" s="717"/>
      <c r="G443" s="717"/>
      <c r="H443" s="717"/>
      <c r="I443" s="717"/>
      <c r="J443" s="717"/>
      <c r="K443" s="717"/>
      <c r="L443" s="717"/>
      <c r="M443" s="717"/>
      <c r="N443" s="717"/>
      <c r="O443" s="718"/>
      <c r="P443" s="714" t="s">
        <v>40</v>
      </c>
      <c r="Q443" s="715"/>
      <c r="R443" s="715"/>
      <c r="S443" s="715"/>
      <c r="T443" s="715"/>
      <c r="U443" s="715"/>
      <c r="V443" s="716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hidden="1" x14ac:dyDescent="0.2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hidden="1" customHeight="1" x14ac:dyDescent="0.25">
      <c r="A445" s="708" t="s">
        <v>180</v>
      </c>
      <c r="B445" s="708"/>
      <c r="C445" s="708"/>
      <c r="D445" s="708"/>
      <c r="E445" s="708"/>
      <c r="F445" s="708"/>
      <c r="G445" s="708"/>
      <c r="H445" s="708"/>
      <c r="I445" s="708"/>
      <c r="J445" s="708"/>
      <c r="K445" s="708"/>
      <c r="L445" s="708"/>
      <c r="M445" s="708"/>
      <c r="N445" s="708"/>
      <c r="O445" s="708"/>
      <c r="P445" s="708"/>
      <c r="Q445" s="708"/>
      <c r="R445" s="708"/>
      <c r="S445" s="708"/>
      <c r="T445" s="708"/>
      <c r="U445" s="708"/>
      <c r="V445" s="708"/>
      <c r="W445" s="708"/>
      <c r="X445" s="708"/>
      <c r="Y445" s="708"/>
      <c r="Z445" s="708"/>
      <c r="AA445" s="66"/>
      <c r="AB445" s="66"/>
      <c r="AC445" s="80"/>
    </row>
    <row r="446" spans="1:68" ht="27" hidden="1" customHeight="1" x14ac:dyDescent="0.25">
      <c r="A446" s="63" t="s">
        <v>740</v>
      </c>
      <c r="B446" s="63" t="s">
        <v>741</v>
      </c>
      <c r="C446" s="36">
        <v>4301060537</v>
      </c>
      <c r="D446" s="709">
        <v>4680115889545</v>
      </c>
      <c r="E446" s="709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132</v>
      </c>
      <c r="L446" s="37" t="s">
        <v>46</v>
      </c>
      <c r="M446" s="38" t="s">
        <v>89</v>
      </c>
      <c r="N446" s="38"/>
      <c r="O446" s="37">
        <v>30</v>
      </c>
      <c r="P446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11"/>
      <c r="R446" s="711"/>
      <c r="S446" s="711"/>
      <c r="T446" s="712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742</v>
      </c>
      <c r="AG446" s="78"/>
      <c r="AJ446" s="84" t="s">
        <v>46</v>
      </c>
      <c r="AK446" s="84">
        <v>0</v>
      </c>
      <c r="BB446" s="547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hidden="1" customHeight="1" x14ac:dyDescent="0.25">
      <c r="A447" s="63" t="s">
        <v>743</v>
      </c>
      <c r="B447" s="63" t="s">
        <v>744</v>
      </c>
      <c r="C447" s="36">
        <v>4301060524</v>
      </c>
      <c r="D447" s="709">
        <v>4607091384673</v>
      </c>
      <c r="E447" s="709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132</v>
      </c>
      <c r="L447" s="37" t="s">
        <v>46</v>
      </c>
      <c r="M447" s="38" t="s">
        <v>89</v>
      </c>
      <c r="N447" s="38"/>
      <c r="O447" s="37">
        <v>40</v>
      </c>
      <c r="P447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745</v>
      </c>
      <c r="AG447" s="78"/>
      <c r="AJ447" s="84" t="s">
        <v>46</v>
      </c>
      <c r="AK447" s="84">
        <v>0</v>
      </c>
      <c r="BB447" s="549" t="s">
        <v>66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717"/>
      <c r="B448" s="717"/>
      <c r="C448" s="717"/>
      <c r="D448" s="717"/>
      <c r="E448" s="717"/>
      <c r="F448" s="717"/>
      <c r="G448" s="717"/>
      <c r="H448" s="717"/>
      <c r="I448" s="717"/>
      <c r="J448" s="717"/>
      <c r="K448" s="717"/>
      <c r="L448" s="717"/>
      <c r="M448" s="717"/>
      <c r="N448" s="717"/>
      <c r="O448" s="718"/>
      <c r="P448" s="714" t="s">
        <v>40</v>
      </c>
      <c r="Q448" s="715"/>
      <c r="R448" s="715"/>
      <c r="S448" s="715"/>
      <c r="T448" s="715"/>
      <c r="U448" s="715"/>
      <c r="V448" s="716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hidden="1" x14ac:dyDescent="0.2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hidden="1" customHeight="1" x14ac:dyDescent="0.25">
      <c r="A450" s="707" t="s">
        <v>746</v>
      </c>
      <c r="B450" s="707"/>
      <c r="C450" s="707"/>
      <c r="D450" s="707"/>
      <c r="E450" s="707"/>
      <c r="F450" s="707"/>
      <c r="G450" s="707"/>
      <c r="H450" s="707"/>
      <c r="I450" s="707"/>
      <c r="J450" s="707"/>
      <c r="K450" s="707"/>
      <c r="L450" s="707"/>
      <c r="M450" s="707"/>
      <c r="N450" s="707"/>
      <c r="O450" s="707"/>
      <c r="P450" s="707"/>
      <c r="Q450" s="707"/>
      <c r="R450" s="707"/>
      <c r="S450" s="707"/>
      <c r="T450" s="707"/>
      <c r="U450" s="707"/>
      <c r="V450" s="707"/>
      <c r="W450" s="707"/>
      <c r="X450" s="707"/>
      <c r="Y450" s="707"/>
      <c r="Z450" s="707"/>
      <c r="AA450" s="65"/>
      <c r="AB450" s="65"/>
      <c r="AC450" s="79"/>
    </row>
    <row r="451" spans="1:68" ht="14.25" hidden="1" customHeight="1" x14ac:dyDescent="0.25">
      <c r="A451" s="708" t="s">
        <v>127</v>
      </c>
      <c r="B451" s="708"/>
      <c r="C451" s="708"/>
      <c r="D451" s="708"/>
      <c r="E451" s="708"/>
      <c r="F451" s="708"/>
      <c r="G451" s="708"/>
      <c r="H451" s="708"/>
      <c r="I451" s="708"/>
      <c r="J451" s="708"/>
      <c r="K451" s="708"/>
      <c r="L451" s="708"/>
      <c r="M451" s="708"/>
      <c r="N451" s="708"/>
      <c r="O451" s="708"/>
      <c r="P451" s="708"/>
      <c r="Q451" s="708"/>
      <c r="R451" s="708"/>
      <c r="S451" s="708"/>
      <c r="T451" s="708"/>
      <c r="U451" s="708"/>
      <c r="V451" s="708"/>
      <c r="W451" s="708"/>
      <c r="X451" s="708"/>
      <c r="Y451" s="708"/>
      <c r="Z451" s="708"/>
      <c r="AA451" s="66"/>
      <c r="AB451" s="66"/>
      <c r="AC451" s="80"/>
    </row>
    <row r="452" spans="1:68" ht="27" hidden="1" customHeight="1" x14ac:dyDescent="0.25">
      <c r="A452" s="63" t="s">
        <v>747</v>
      </c>
      <c r="B452" s="63" t="s">
        <v>748</v>
      </c>
      <c r="C452" s="36">
        <v>4301011875</v>
      </c>
      <c r="D452" s="709">
        <v>4680115884885</v>
      </c>
      <c r="E452" s="709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132</v>
      </c>
      <c r="L452" s="37" t="s">
        <v>46</v>
      </c>
      <c r="M452" s="38" t="s">
        <v>80</v>
      </c>
      <c r="N452" s="38"/>
      <c r="O452" s="37">
        <v>60</v>
      </c>
      <c r="P452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11"/>
      <c r="R452" s="711"/>
      <c r="S452" s="711"/>
      <c r="T452" s="712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749</v>
      </c>
      <c r="AG452" s="78"/>
      <c r="AJ452" s="84" t="s">
        <v>46</v>
      </c>
      <c r="AK452" s="84">
        <v>0</v>
      </c>
      <c r="BB452" s="551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750</v>
      </c>
      <c r="B453" s="63" t="s">
        <v>751</v>
      </c>
      <c r="C453" s="36">
        <v>4301011871</v>
      </c>
      <c r="D453" s="709">
        <v>4680115884908</v>
      </c>
      <c r="E453" s="709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139</v>
      </c>
      <c r="L453" s="37" t="s">
        <v>46</v>
      </c>
      <c r="M453" s="38" t="s">
        <v>80</v>
      </c>
      <c r="N453" s="38"/>
      <c r="O453" s="37">
        <v>60</v>
      </c>
      <c r="P453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749</v>
      </c>
      <c r="AG453" s="78"/>
      <c r="AJ453" s="84" t="s">
        <v>46</v>
      </c>
      <c r="AK453" s="84">
        <v>0</v>
      </c>
      <c r="BB453" s="553" t="s">
        <v>66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717"/>
      <c r="B454" s="717"/>
      <c r="C454" s="717"/>
      <c r="D454" s="717"/>
      <c r="E454" s="717"/>
      <c r="F454" s="717"/>
      <c r="G454" s="717"/>
      <c r="H454" s="717"/>
      <c r="I454" s="717"/>
      <c r="J454" s="717"/>
      <c r="K454" s="717"/>
      <c r="L454" s="717"/>
      <c r="M454" s="717"/>
      <c r="N454" s="717"/>
      <c r="O454" s="718"/>
      <c r="P454" s="714" t="s">
        <v>40</v>
      </c>
      <c r="Q454" s="715"/>
      <c r="R454" s="715"/>
      <c r="S454" s="715"/>
      <c r="T454" s="715"/>
      <c r="U454" s="715"/>
      <c r="V454" s="716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708" t="s">
        <v>76</v>
      </c>
      <c r="B456" s="708"/>
      <c r="C456" s="708"/>
      <c r="D456" s="708"/>
      <c r="E456" s="708"/>
      <c r="F456" s="708"/>
      <c r="G456" s="708"/>
      <c r="H456" s="708"/>
      <c r="I456" s="708"/>
      <c r="J456" s="708"/>
      <c r="K456" s="708"/>
      <c r="L456" s="708"/>
      <c r="M456" s="708"/>
      <c r="N456" s="708"/>
      <c r="O456" s="708"/>
      <c r="P456" s="708"/>
      <c r="Q456" s="708"/>
      <c r="R456" s="708"/>
      <c r="S456" s="708"/>
      <c r="T456" s="708"/>
      <c r="U456" s="708"/>
      <c r="V456" s="708"/>
      <c r="W456" s="708"/>
      <c r="X456" s="708"/>
      <c r="Y456" s="708"/>
      <c r="Z456" s="708"/>
      <c r="AA456" s="66"/>
      <c r="AB456" s="66"/>
      <c r="AC456" s="80"/>
    </row>
    <row r="457" spans="1:68" ht="27" hidden="1" customHeight="1" x14ac:dyDescent="0.25">
      <c r="A457" s="63" t="s">
        <v>752</v>
      </c>
      <c r="B457" s="63" t="s">
        <v>753</v>
      </c>
      <c r="C457" s="36">
        <v>4301031457</v>
      </c>
      <c r="D457" s="709">
        <v>4607091384802</v>
      </c>
      <c r="E457" s="709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139</v>
      </c>
      <c r="L457" s="37" t="s">
        <v>46</v>
      </c>
      <c r="M457" s="38" t="s">
        <v>80</v>
      </c>
      <c r="N457" s="38"/>
      <c r="O457" s="37">
        <v>50</v>
      </c>
      <c r="P457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11"/>
      <c r="R457" s="711"/>
      <c r="S457" s="711"/>
      <c r="T457" s="71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754</v>
      </c>
      <c r="AG457" s="78"/>
      <c r="AJ457" s="84" t="s">
        <v>46</v>
      </c>
      <c r="AK457" s="84">
        <v>0</v>
      </c>
      <c r="BB457" s="555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17"/>
      <c r="B458" s="717"/>
      <c r="C458" s="717"/>
      <c r="D458" s="717"/>
      <c r="E458" s="717"/>
      <c r="F458" s="717"/>
      <c r="G458" s="717"/>
      <c r="H458" s="717"/>
      <c r="I458" s="717"/>
      <c r="J458" s="717"/>
      <c r="K458" s="717"/>
      <c r="L458" s="717"/>
      <c r="M458" s="717"/>
      <c r="N458" s="717"/>
      <c r="O458" s="718"/>
      <c r="P458" s="714" t="s">
        <v>40</v>
      </c>
      <c r="Q458" s="715"/>
      <c r="R458" s="715"/>
      <c r="S458" s="715"/>
      <c r="T458" s="715"/>
      <c r="U458" s="715"/>
      <c r="V458" s="716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08" t="s">
        <v>85</v>
      </c>
      <c r="B460" s="708"/>
      <c r="C460" s="708"/>
      <c r="D460" s="708"/>
      <c r="E460" s="708"/>
      <c r="F460" s="708"/>
      <c r="G460" s="708"/>
      <c r="H460" s="708"/>
      <c r="I460" s="708"/>
      <c r="J460" s="708"/>
      <c r="K460" s="708"/>
      <c r="L460" s="708"/>
      <c r="M460" s="708"/>
      <c r="N460" s="708"/>
      <c r="O460" s="708"/>
      <c r="P460" s="708"/>
      <c r="Q460" s="708"/>
      <c r="R460" s="708"/>
      <c r="S460" s="708"/>
      <c r="T460" s="708"/>
      <c r="U460" s="708"/>
      <c r="V460" s="708"/>
      <c r="W460" s="708"/>
      <c r="X460" s="708"/>
      <c r="Y460" s="708"/>
      <c r="Z460" s="708"/>
      <c r="AA460" s="66"/>
      <c r="AB460" s="66"/>
      <c r="AC460" s="80"/>
    </row>
    <row r="461" spans="1:68" ht="27" hidden="1" customHeight="1" x14ac:dyDescent="0.25">
      <c r="A461" s="63" t="s">
        <v>755</v>
      </c>
      <c r="B461" s="63" t="s">
        <v>756</v>
      </c>
      <c r="C461" s="36">
        <v>4301051899</v>
      </c>
      <c r="D461" s="709">
        <v>4607091384246</v>
      </c>
      <c r="E461" s="709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132</v>
      </c>
      <c r="L461" s="37" t="s">
        <v>46</v>
      </c>
      <c r="M461" s="38" t="s">
        <v>89</v>
      </c>
      <c r="N461" s="38"/>
      <c r="O461" s="37">
        <v>40</v>
      </c>
      <c r="P461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11"/>
      <c r="R461" s="711"/>
      <c r="S461" s="711"/>
      <c r="T461" s="712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757</v>
      </c>
      <c r="AG461" s="78"/>
      <c r="AJ461" s="84" t="s">
        <v>46</v>
      </c>
      <c r="AK461" s="84">
        <v>0</v>
      </c>
      <c r="BB461" s="55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758</v>
      </c>
      <c r="B462" s="63" t="s">
        <v>759</v>
      </c>
      <c r="C462" s="36">
        <v>4301051660</v>
      </c>
      <c r="D462" s="709">
        <v>4607091384253</v>
      </c>
      <c r="E462" s="70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90</v>
      </c>
      <c r="L462" s="37" t="s">
        <v>46</v>
      </c>
      <c r="M462" s="38" t="s">
        <v>89</v>
      </c>
      <c r="N462" s="38"/>
      <c r="O462" s="37">
        <v>40</v>
      </c>
      <c r="P462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757</v>
      </c>
      <c r="AG462" s="78"/>
      <c r="AJ462" s="84" t="s">
        <v>46</v>
      </c>
      <c r="AK462" s="84">
        <v>0</v>
      </c>
      <c r="BB462" s="55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758</v>
      </c>
      <c r="B463" s="63" t="s">
        <v>760</v>
      </c>
      <c r="C463" s="36">
        <v>4301052069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90</v>
      </c>
      <c r="L463" s="37" t="s">
        <v>46</v>
      </c>
      <c r="M463" s="38" t="s">
        <v>89</v>
      </c>
      <c r="N463" s="38"/>
      <c r="O463" s="37">
        <v>40</v>
      </c>
      <c r="P463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761</v>
      </c>
      <c r="AG463" s="78"/>
      <c r="AJ463" s="84" t="s">
        <v>46</v>
      </c>
      <c r="AK463" s="84">
        <v>0</v>
      </c>
      <c r="BB463" s="56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17"/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8"/>
      <c r="P464" s="714" t="s">
        <v>40</v>
      </c>
      <c r="Q464" s="715"/>
      <c r="R464" s="715"/>
      <c r="S464" s="715"/>
      <c r="T464" s="715"/>
      <c r="U464" s="715"/>
      <c r="V464" s="716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hidden="1" customHeight="1" x14ac:dyDescent="0.2">
      <c r="A466" s="706" t="s">
        <v>762</v>
      </c>
      <c r="B466" s="706"/>
      <c r="C466" s="706"/>
      <c r="D466" s="706"/>
      <c r="E466" s="706"/>
      <c r="F466" s="706"/>
      <c r="G466" s="706"/>
      <c r="H466" s="706"/>
      <c r="I466" s="706"/>
      <c r="J466" s="706"/>
      <c r="K466" s="706"/>
      <c r="L466" s="706"/>
      <c r="M466" s="706"/>
      <c r="N466" s="706"/>
      <c r="O466" s="706"/>
      <c r="P466" s="706"/>
      <c r="Q466" s="706"/>
      <c r="R466" s="706"/>
      <c r="S466" s="706"/>
      <c r="T466" s="706"/>
      <c r="U466" s="706"/>
      <c r="V466" s="706"/>
      <c r="W466" s="706"/>
      <c r="X466" s="706"/>
      <c r="Y466" s="706"/>
      <c r="Z466" s="706"/>
      <c r="AA466" s="54"/>
      <c r="AB466" s="54"/>
      <c r="AC466" s="54"/>
    </row>
    <row r="467" spans="1:68" ht="16.5" hidden="1" customHeight="1" x14ac:dyDescent="0.25">
      <c r="A467" s="707" t="s">
        <v>763</v>
      </c>
      <c r="B467" s="707"/>
      <c r="C467" s="707"/>
      <c r="D467" s="707"/>
      <c r="E467" s="707"/>
      <c r="F467" s="707"/>
      <c r="G467" s="707"/>
      <c r="H467" s="707"/>
      <c r="I467" s="707"/>
      <c r="J467" s="707"/>
      <c r="K467" s="707"/>
      <c r="L467" s="707"/>
      <c r="M467" s="707"/>
      <c r="N467" s="707"/>
      <c r="O467" s="707"/>
      <c r="P467" s="707"/>
      <c r="Q467" s="707"/>
      <c r="R467" s="707"/>
      <c r="S467" s="707"/>
      <c r="T467" s="707"/>
      <c r="U467" s="707"/>
      <c r="V467" s="707"/>
      <c r="W467" s="707"/>
      <c r="X467" s="707"/>
      <c r="Y467" s="707"/>
      <c r="Z467" s="707"/>
      <c r="AA467" s="65"/>
      <c r="AB467" s="65"/>
      <c r="AC467" s="79"/>
    </row>
    <row r="468" spans="1:68" ht="14.25" hidden="1" customHeight="1" x14ac:dyDescent="0.25">
      <c r="A468" s="708" t="s">
        <v>76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66"/>
      <c r="AB468" s="66"/>
      <c r="AC468" s="80"/>
    </row>
    <row r="469" spans="1:68" ht="27" hidden="1" customHeight="1" x14ac:dyDescent="0.25">
      <c r="A469" s="63" t="s">
        <v>764</v>
      </c>
      <c r="B469" s="63" t="s">
        <v>765</v>
      </c>
      <c r="C469" s="36">
        <v>4301031405</v>
      </c>
      <c r="D469" s="709">
        <v>4680115886100</v>
      </c>
      <c r="E469" s="70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139</v>
      </c>
      <c r="L469" s="37" t="s">
        <v>46</v>
      </c>
      <c r="M469" s="38" t="s">
        <v>80</v>
      </c>
      <c r="N469" s="38"/>
      <c r="O469" s="37">
        <v>50</v>
      </c>
      <c r="P469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11"/>
      <c r="R469" s="711"/>
      <c r="S469" s="711"/>
      <c r="T469" s="71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66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hidden="1" customHeight="1" x14ac:dyDescent="0.25">
      <c r="A470" s="63" t="s">
        <v>767</v>
      </c>
      <c r="B470" s="63" t="s">
        <v>768</v>
      </c>
      <c r="C470" s="36">
        <v>4301031402</v>
      </c>
      <c r="D470" s="709">
        <v>4680115886124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139</v>
      </c>
      <c r="L470" s="37" t="s">
        <v>46</v>
      </c>
      <c r="M470" s="38" t="s">
        <v>80</v>
      </c>
      <c r="N470" s="38"/>
      <c r="O470" s="37">
        <v>50</v>
      </c>
      <c r="P470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769</v>
      </c>
      <c r="AG470" s="78"/>
      <c r="AJ470" s="84" t="s">
        <v>46</v>
      </c>
      <c r="AK470" s="84">
        <v>0</v>
      </c>
      <c r="BB470" s="565" t="s">
        <v>66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hidden="1" customHeight="1" x14ac:dyDescent="0.25">
      <c r="A471" s="63" t="s">
        <v>770</v>
      </c>
      <c r="B471" s="63" t="s">
        <v>771</v>
      </c>
      <c r="C471" s="36">
        <v>4301031362</v>
      </c>
      <c r="D471" s="709">
        <v>4607091384338</v>
      </c>
      <c r="E471" s="70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81</v>
      </c>
      <c r="L471" s="37" t="s">
        <v>46</v>
      </c>
      <c r="M471" s="38" t="s">
        <v>80</v>
      </c>
      <c r="N471" s="38"/>
      <c r="O471" s="37">
        <v>50</v>
      </c>
      <c r="P471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766</v>
      </c>
      <c r="AG471" s="78"/>
      <c r="AJ471" s="84" t="s">
        <v>46</v>
      </c>
      <c r="AK471" s="84">
        <v>0</v>
      </c>
      <c r="BB471" s="567" t="s">
        <v>66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772</v>
      </c>
      <c r="B472" s="63" t="s">
        <v>773</v>
      </c>
      <c r="C472" s="36">
        <v>4301031364</v>
      </c>
      <c r="D472" s="709">
        <v>4680115883161</v>
      </c>
      <c r="E472" s="709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81</v>
      </c>
      <c r="L472" s="37" t="s">
        <v>46</v>
      </c>
      <c r="M472" s="38" t="s">
        <v>80</v>
      </c>
      <c r="N472" s="38"/>
      <c r="O472" s="37">
        <v>50</v>
      </c>
      <c r="P472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774</v>
      </c>
      <c r="AG472" s="78"/>
      <c r="AJ472" s="84" t="s">
        <v>46</v>
      </c>
      <c r="AK472" s="84">
        <v>0</v>
      </c>
      <c r="BB472" s="569" t="s">
        <v>66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775</v>
      </c>
      <c r="B473" s="63" t="s">
        <v>776</v>
      </c>
      <c r="C473" s="36">
        <v>4301031358</v>
      </c>
      <c r="D473" s="709">
        <v>4607091389531</v>
      </c>
      <c r="E473" s="70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777</v>
      </c>
      <c r="AG473" s="78"/>
      <c r="AJ473" s="84" t="s">
        <v>46</v>
      </c>
      <c r="AK473" s="84">
        <v>0</v>
      </c>
      <c r="BB473" s="571" t="s">
        <v>66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778</v>
      </c>
      <c r="B474" s="63" t="s">
        <v>779</v>
      </c>
      <c r="C474" s="36">
        <v>4301031360</v>
      </c>
      <c r="D474" s="709">
        <v>4607091384345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774</v>
      </c>
      <c r="AG474" s="78"/>
      <c r="AJ474" s="84" t="s">
        <v>46</v>
      </c>
      <c r="AK474" s="84">
        <v>0</v>
      </c>
      <c r="BB474" s="573" t="s">
        <v>66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hidden="1" x14ac:dyDescent="0.2">
      <c r="A475" s="717"/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8"/>
      <c r="P475" s="714" t="s">
        <v>40</v>
      </c>
      <c r="Q475" s="715"/>
      <c r="R475" s="715"/>
      <c r="S475" s="715"/>
      <c r="T475" s="715"/>
      <c r="U475" s="715"/>
      <c r="V475" s="716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hidden="1" x14ac:dyDescent="0.2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708" t="s">
        <v>85</v>
      </c>
      <c r="B477" s="708"/>
      <c r="C477" s="708"/>
      <c r="D477" s="708"/>
      <c r="E477" s="708"/>
      <c r="F477" s="708"/>
      <c r="G477" s="708"/>
      <c r="H477" s="708"/>
      <c r="I477" s="708"/>
      <c r="J477" s="708"/>
      <c r="K477" s="708"/>
      <c r="L477" s="708"/>
      <c r="M477" s="708"/>
      <c r="N477" s="708"/>
      <c r="O477" s="708"/>
      <c r="P477" s="708"/>
      <c r="Q477" s="708"/>
      <c r="R477" s="708"/>
      <c r="S477" s="708"/>
      <c r="T477" s="708"/>
      <c r="U477" s="708"/>
      <c r="V477" s="708"/>
      <c r="W477" s="708"/>
      <c r="X477" s="708"/>
      <c r="Y477" s="708"/>
      <c r="Z477" s="708"/>
      <c r="AA477" s="66"/>
      <c r="AB477" s="66"/>
      <c r="AC477" s="80"/>
    </row>
    <row r="478" spans="1:68" ht="27" hidden="1" customHeight="1" x14ac:dyDescent="0.25">
      <c r="A478" s="63" t="s">
        <v>780</v>
      </c>
      <c r="B478" s="63" t="s">
        <v>781</v>
      </c>
      <c r="C478" s="36">
        <v>4301051284</v>
      </c>
      <c r="D478" s="709">
        <v>4607091384352</v>
      </c>
      <c r="E478" s="709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139</v>
      </c>
      <c r="L478" s="37" t="s">
        <v>46</v>
      </c>
      <c r="M478" s="38" t="s">
        <v>89</v>
      </c>
      <c r="N478" s="38"/>
      <c r="O478" s="37">
        <v>45</v>
      </c>
      <c r="P478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11"/>
      <c r="R478" s="711"/>
      <c r="S478" s="711"/>
      <c r="T478" s="712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782</v>
      </c>
      <c r="AG478" s="78"/>
      <c r="AJ478" s="84" t="s">
        <v>46</v>
      </c>
      <c r="AK478" s="84">
        <v>0</v>
      </c>
      <c r="BB478" s="575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783</v>
      </c>
      <c r="B479" s="63" t="s">
        <v>784</v>
      </c>
      <c r="C479" s="36">
        <v>4301051431</v>
      </c>
      <c r="D479" s="709">
        <v>4607091389654</v>
      </c>
      <c r="E479" s="709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90</v>
      </c>
      <c r="L479" s="37" t="s">
        <v>46</v>
      </c>
      <c r="M479" s="38" t="s">
        <v>89</v>
      </c>
      <c r="N479" s="38"/>
      <c r="O479" s="37">
        <v>45</v>
      </c>
      <c r="P479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785</v>
      </c>
      <c r="AG479" s="78"/>
      <c r="AJ479" s="84" t="s">
        <v>46</v>
      </c>
      <c r="AK479" s="84">
        <v>0</v>
      </c>
      <c r="BB479" s="577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717"/>
      <c r="B480" s="717"/>
      <c r="C480" s="717"/>
      <c r="D480" s="717"/>
      <c r="E480" s="717"/>
      <c r="F480" s="717"/>
      <c r="G480" s="717"/>
      <c r="H480" s="717"/>
      <c r="I480" s="717"/>
      <c r="J480" s="717"/>
      <c r="K480" s="717"/>
      <c r="L480" s="717"/>
      <c r="M480" s="717"/>
      <c r="N480" s="717"/>
      <c r="O480" s="718"/>
      <c r="P480" s="714" t="s">
        <v>40</v>
      </c>
      <c r="Q480" s="715"/>
      <c r="R480" s="715"/>
      <c r="S480" s="715"/>
      <c r="T480" s="715"/>
      <c r="U480" s="715"/>
      <c r="V480" s="716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707" t="s">
        <v>786</v>
      </c>
      <c r="B482" s="707"/>
      <c r="C482" s="707"/>
      <c r="D482" s="707"/>
      <c r="E482" s="707"/>
      <c r="F482" s="707"/>
      <c r="G482" s="707"/>
      <c r="H482" s="707"/>
      <c r="I482" s="707"/>
      <c r="J482" s="707"/>
      <c r="K482" s="707"/>
      <c r="L482" s="707"/>
      <c r="M482" s="707"/>
      <c r="N482" s="707"/>
      <c r="O482" s="707"/>
      <c r="P482" s="707"/>
      <c r="Q482" s="707"/>
      <c r="R482" s="707"/>
      <c r="S482" s="707"/>
      <c r="T482" s="707"/>
      <c r="U482" s="707"/>
      <c r="V482" s="707"/>
      <c r="W482" s="707"/>
      <c r="X482" s="707"/>
      <c r="Y482" s="707"/>
      <c r="Z482" s="707"/>
      <c r="AA482" s="65"/>
      <c r="AB482" s="65"/>
      <c r="AC482" s="79"/>
    </row>
    <row r="483" spans="1:68" ht="14.25" hidden="1" customHeight="1" x14ac:dyDescent="0.25">
      <c r="A483" s="708" t="s">
        <v>163</v>
      </c>
      <c r="B483" s="708"/>
      <c r="C483" s="708"/>
      <c r="D483" s="708"/>
      <c r="E483" s="708"/>
      <c r="F483" s="708"/>
      <c r="G483" s="708"/>
      <c r="H483" s="708"/>
      <c r="I483" s="708"/>
      <c r="J483" s="708"/>
      <c r="K483" s="708"/>
      <c r="L483" s="708"/>
      <c r="M483" s="708"/>
      <c r="N483" s="708"/>
      <c r="O483" s="708"/>
      <c r="P483" s="708"/>
      <c r="Q483" s="708"/>
      <c r="R483" s="708"/>
      <c r="S483" s="708"/>
      <c r="T483" s="708"/>
      <c r="U483" s="708"/>
      <c r="V483" s="708"/>
      <c r="W483" s="708"/>
      <c r="X483" s="708"/>
      <c r="Y483" s="708"/>
      <c r="Z483" s="708"/>
      <c r="AA483" s="66"/>
      <c r="AB483" s="66"/>
      <c r="AC483" s="80"/>
    </row>
    <row r="484" spans="1:68" ht="27" hidden="1" customHeight="1" x14ac:dyDescent="0.25">
      <c r="A484" s="63" t="s">
        <v>787</v>
      </c>
      <c r="B484" s="63" t="s">
        <v>788</v>
      </c>
      <c r="C484" s="36">
        <v>4301020416</v>
      </c>
      <c r="D484" s="709">
        <v>4680115885240</v>
      </c>
      <c r="E484" s="709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90</v>
      </c>
      <c r="L484" s="37" t="s">
        <v>46</v>
      </c>
      <c r="M484" s="38" t="s">
        <v>80</v>
      </c>
      <c r="N484" s="38"/>
      <c r="O484" s="37">
        <v>40</v>
      </c>
      <c r="P484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11"/>
      <c r="R484" s="711"/>
      <c r="S484" s="711"/>
      <c r="T484" s="712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789</v>
      </c>
      <c r="AG484" s="78"/>
      <c r="AJ484" s="84" t="s">
        <v>46</v>
      </c>
      <c r="AK484" s="84">
        <v>0</v>
      </c>
      <c r="BB484" s="579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717"/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8"/>
      <c r="P485" s="714" t="s">
        <v>40</v>
      </c>
      <c r="Q485" s="715"/>
      <c r="R485" s="715"/>
      <c r="S485" s="715"/>
      <c r="T485" s="715"/>
      <c r="U485" s="715"/>
      <c r="V485" s="716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708" t="s">
        <v>76</v>
      </c>
      <c r="B487" s="708"/>
      <c r="C487" s="708"/>
      <c r="D487" s="708"/>
      <c r="E487" s="708"/>
      <c r="F487" s="708"/>
      <c r="G487" s="708"/>
      <c r="H487" s="708"/>
      <c r="I487" s="708"/>
      <c r="J487" s="708"/>
      <c r="K487" s="708"/>
      <c r="L487" s="708"/>
      <c r="M487" s="708"/>
      <c r="N487" s="708"/>
      <c r="O487" s="708"/>
      <c r="P487" s="708"/>
      <c r="Q487" s="708"/>
      <c r="R487" s="708"/>
      <c r="S487" s="708"/>
      <c r="T487" s="708"/>
      <c r="U487" s="708"/>
      <c r="V487" s="708"/>
      <c r="W487" s="708"/>
      <c r="X487" s="708"/>
      <c r="Y487" s="708"/>
      <c r="Z487" s="708"/>
      <c r="AA487" s="66"/>
      <c r="AB487" s="66"/>
      <c r="AC487" s="80"/>
    </row>
    <row r="488" spans="1:68" ht="27" hidden="1" customHeight="1" x14ac:dyDescent="0.25">
      <c r="A488" s="63" t="s">
        <v>790</v>
      </c>
      <c r="B488" s="63" t="s">
        <v>791</v>
      </c>
      <c r="C488" s="36">
        <v>4301031407</v>
      </c>
      <c r="D488" s="709">
        <v>4680115886094</v>
      </c>
      <c r="E488" s="709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139</v>
      </c>
      <c r="L488" s="37" t="s">
        <v>46</v>
      </c>
      <c r="M488" s="38" t="s">
        <v>80</v>
      </c>
      <c r="N488" s="38"/>
      <c r="O488" s="37">
        <v>50</v>
      </c>
      <c r="P488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11"/>
      <c r="R488" s="711"/>
      <c r="S488" s="711"/>
      <c r="T488" s="712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792</v>
      </c>
      <c r="AG488" s="78"/>
      <c r="AJ488" s="84" t="s">
        <v>46</v>
      </c>
      <c r="AK488" s="84">
        <v>0</v>
      </c>
      <c r="BB488" s="581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793</v>
      </c>
      <c r="B489" s="63" t="s">
        <v>794</v>
      </c>
      <c r="C489" s="36">
        <v>4301031373</v>
      </c>
      <c r="D489" s="709">
        <v>4680115880771</v>
      </c>
      <c r="E489" s="709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81</v>
      </c>
      <c r="L489" s="37" t="s">
        <v>46</v>
      </c>
      <c r="M489" s="38" t="s">
        <v>80</v>
      </c>
      <c r="N489" s="38"/>
      <c r="O489" s="37">
        <v>50</v>
      </c>
      <c r="P489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795</v>
      </c>
      <c r="AG489" s="78"/>
      <c r="AJ489" s="84" t="s">
        <v>46</v>
      </c>
      <c r="AK489" s="84">
        <v>0</v>
      </c>
      <c r="BB489" s="583" t="s">
        <v>66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796</v>
      </c>
      <c r="B490" s="63" t="s">
        <v>797</v>
      </c>
      <c r="C490" s="36">
        <v>4301031359</v>
      </c>
      <c r="D490" s="709">
        <v>4607091389500</v>
      </c>
      <c r="E490" s="709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81</v>
      </c>
      <c r="L490" s="37" t="s">
        <v>46</v>
      </c>
      <c r="M490" s="38" t="s">
        <v>80</v>
      </c>
      <c r="N490" s="38"/>
      <c r="O490" s="37">
        <v>50</v>
      </c>
      <c r="P490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795</v>
      </c>
      <c r="AG490" s="78"/>
      <c r="AJ490" s="84" t="s">
        <v>46</v>
      </c>
      <c r="AK490" s="84">
        <v>0</v>
      </c>
      <c r="BB490" s="585" t="s">
        <v>66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717"/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8"/>
      <c r="P491" s="714" t="s">
        <v>40</v>
      </c>
      <c r="Q491" s="715"/>
      <c r="R491" s="715"/>
      <c r="S491" s="715"/>
      <c r="T491" s="715"/>
      <c r="U491" s="715"/>
      <c r="V491" s="716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hidden="1" customHeight="1" x14ac:dyDescent="0.2">
      <c r="A493" s="706" t="s">
        <v>798</v>
      </c>
      <c r="B493" s="706"/>
      <c r="C493" s="706"/>
      <c r="D493" s="706"/>
      <c r="E493" s="706"/>
      <c r="F493" s="706"/>
      <c r="G493" s="706"/>
      <c r="H493" s="706"/>
      <c r="I493" s="706"/>
      <c r="J493" s="706"/>
      <c r="K493" s="706"/>
      <c r="L493" s="706"/>
      <c r="M493" s="706"/>
      <c r="N493" s="706"/>
      <c r="O493" s="706"/>
      <c r="P493" s="706"/>
      <c r="Q493" s="706"/>
      <c r="R493" s="706"/>
      <c r="S493" s="706"/>
      <c r="T493" s="706"/>
      <c r="U493" s="706"/>
      <c r="V493" s="706"/>
      <c r="W493" s="706"/>
      <c r="X493" s="706"/>
      <c r="Y493" s="706"/>
      <c r="Z493" s="706"/>
      <c r="AA493" s="54"/>
      <c r="AB493" s="54"/>
      <c r="AC493" s="54"/>
    </row>
    <row r="494" spans="1:68" ht="16.5" hidden="1" customHeight="1" x14ac:dyDescent="0.25">
      <c r="A494" s="707" t="s">
        <v>798</v>
      </c>
      <c r="B494" s="707"/>
      <c r="C494" s="707"/>
      <c r="D494" s="707"/>
      <c r="E494" s="707"/>
      <c r="F494" s="707"/>
      <c r="G494" s="707"/>
      <c r="H494" s="707"/>
      <c r="I494" s="707"/>
      <c r="J494" s="707"/>
      <c r="K494" s="707"/>
      <c r="L494" s="707"/>
      <c r="M494" s="707"/>
      <c r="N494" s="707"/>
      <c r="O494" s="707"/>
      <c r="P494" s="707"/>
      <c r="Q494" s="707"/>
      <c r="R494" s="707"/>
      <c r="S494" s="707"/>
      <c r="T494" s="707"/>
      <c r="U494" s="707"/>
      <c r="V494" s="707"/>
      <c r="W494" s="707"/>
      <c r="X494" s="707"/>
      <c r="Y494" s="707"/>
      <c r="Z494" s="707"/>
      <c r="AA494" s="65"/>
      <c r="AB494" s="65"/>
      <c r="AC494" s="79"/>
    </row>
    <row r="495" spans="1:68" ht="14.25" hidden="1" customHeight="1" x14ac:dyDescent="0.25">
      <c r="A495" s="708" t="s">
        <v>127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66"/>
      <c r="AB495" s="66"/>
      <c r="AC495" s="80"/>
    </row>
    <row r="496" spans="1:68" ht="27" hidden="1" customHeight="1" x14ac:dyDescent="0.25">
      <c r="A496" s="63" t="s">
        <v>799</v>
      </c>
      <c r="B496" s="63" t="s">
        <v>800</v>
      </c>
      <c r="C496" s="36">
        <v>4301011769</v>
      </c>
      <c r="D496" s="709">
        <v>4607091389067</v>
      </c>
      <c r="E496" s="70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132</v>
      </c>
      <c r="L496" s="37" t="s">
        <v>46</v>
      </c>
      <c r="M496" s="38" t="s">
        <v>89</v>
      </c>
      <c r="N496" s="38"/>
      <c r="O496" s="37">
        <v>60</v>
      </c>
      <c r="P496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11"/>
      <c r="R496" s="711"/>
      <c r="S496" s="711"/>
      <c r="T496" s="71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130</v>
      </c>
      <c r="AG496" s="78"/>
      <c r="AJ496" s="84" t="s">
        <v>46</v>
      </c>
      <c r="AK496" s="84">
        <v>0</v>
      </c>
      <c r="BB496" s="587" t="s">
        <v>66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hidden="1" customHeight="1" x14ac:dyDescent="0.25">
      <c r="A497" s="63" t="s">
        <v>801</v>
      </c>
      <c r="B497" s="63" t="s">
        <v>802</v>
      </c>
      <c r="C497" s="36">
        <v>4301012380</v>
      </c>
      <c r="D497" s="709">
        <v>4680115889576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132</v>
      </c>
      <c r="L497" s="37" t="s">
        <v>46</v>
      </c>
      <c r="M497" s="38" t="s">
        <v>131</v>
      </c>
      <c r="N497" s="38"/>
      <c r="O497" s="37">
        <v>60</v>
      </c>
      <c r="P497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803</v>
      </c>
      <c r="AG497" s="78"/>
      <c r="AJ497" s="84" t="s">
        <v>46</v>
      </c>
      <c r="AK497" s="84">
        <v>0</v>
      </c>
      <c r="BB497" s="589" t="s">
        <v>66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hidden="1" customHeight="1" x14ac:dyDescent="0.25">
      <c r="A498" s="63" t="s">
        <v>804</v>
      </c>
      <c r="B498" s="63" t="s">
        <v>805</v>
      </c>
      <c r="C498" s="36">
        <v>4301011961</v>
      </c>
      <c r="D498" s="709">
        <v>4680115885271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132</v>
      </c>
      <c r="L498" s="37" t="s">
        <v>46</v>
      </c>
      <c r="M498" s="38" t="s">
        <v>131</v>
      </c>
      <c r="N498" s="38"/>
      <c r="O498" s="37">
        <v>60</v>
      </c>
      <c r="P498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806</v>
      </c>
      <c r="AG498" s="78"/>
      <c r="AJ498" s="84" t="s">
        <v>46</v>
      </c>
      <c r="AK498" s="84">
        <v>0</v>
      </c>
      <c r="BB498" s="591" t="s">
        <v>66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hidden="1" customHeight="1" x14ac:dyDescent="0.25">
      <c r="A499" s="63" t="s">
        <v>807</v>
      </c>
      <c r="B499" s="63" t="s">
        <v>808</v>
      </c>
      <c r="C499" s="36">
        <v>4301011369</v>
      </c>
      <c r="D499" s="709">
        <v>4680115885226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132</v>
      </c>
      <c r="L499" s="37" t="s">
        <v>46</v>
      </c>
      <c r="M499" s="38" t="s">
        <v>131</v>
      </c>
      <c r="N499" s="38"/>
      <c r="O499" s="37">
        <v>60</v>
      </c>
      <c r="P499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809</v>
      </c>
      <c r="AG499" s="78"/>
      <c r="AJ499" s="84" t="s">
        <v>46</v>
      </c>
      <c r="AK499" s="84">
        <v>0</v>
      </c>
      <c r="BB499" s="593" t="s">
        <v>66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hidden="1" customHeight="1" x14ac:dyDescent="0.25">
      <c r="A500" s="63" t="s">
        <v>810</v>
      </c>
      <c r="B500" s="63" t="s">
        <v>811</v>
      </c>
      <c r="C500" s="36">
        <v>4301011797</v>
      </c>
      <c r="D500" s="709">
        <v>4680115884502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132</v>
      </c>
      <c r="L500" s="37" t="s">
        <v>46</v>
      </c>
      <c r="M500" s="38" t="s">
        <v>89</v>
      </c>
      <c r="N500" s="38"/>
      <c r="O500" s="37">
        <v>60</v>
      </c>
      <c r="P500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812</v>
      </c>
      <c r="AG500" s="78"/>
      <c r="AJ500" s="84" t="s">
        <v>46</v>
      </c>
      <c r="AK500" s="84">
        <v>0</v>
      </c>
      <c r="BB500" s="595" t="s">
        <v>66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hidden="1" customHeight="1" x14ac:dyDescent="0.25">
      <c r="A501" s="63" t="s">
        <v>813</v>
      </c>
      <c r="B501" s="63" t="s">
        <v>814</v>
      </c>
      <c r="C501" s="36">
        <v>4301011771</v>
      </c>
      <c r="D501" s="709">
        <v>4607091389104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132</v>
      </c>
      <c r="L501" s="37" t="s">
        <v>46</v>
      </c>
      <c r="M501" s="38" t="s">
        <v>131</v>
      </c>
      <c r="N501" s="38"/>
      <c r="O501" s="37">
        <v>60</v>
      </c>
      <c r="P501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815</v>
      </c>
      <c r="AG501" s="78"/>
      <c r="AJ501" s="84" t="s">
        <v>46</v>
      </c>
      <c r="AK501" s="84">
        <v>0</v>
      </c>
      <c r="BB501" s="597" t="s">
        <v>66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hidden="1" customHeight="1" x14ac:dyDescent="0.25">
      <c r="A502" s="63" t="s">
        <v>816</v>
      </c>
      <c r="B502" s="63" t="s">
        <v>817</v>
      </c>
      <c r="C502" s="36">
        <v>4301012125</v>
      </c>
      <c r="D502" s="709">
        <v>4680115886391</v>
      </c>
      <c r="E502" s="709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90</v>
      </c>
      <c r="L502" s="37" t="s">
        <v>46</v>
      </c>
      <c r="M502" s="38" t="s">
        <v>89</v>
      </c>
      <c r="N502" s="38"/>
      <c r="O502" s="37">
        <v>60</v>
      </c>
      <c r="P502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130</v>
      </c>
      <c r="AG502" s="78"/>
      <c r="AJ502" s="84" t="s">
        <v>46</v>
      </c>
      <c r="AK502" s="84">
        <v>0</v>
      </c>
      <c r="BB502" s="599" t="s">
        <v>66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818</v>
      </c>
      <c r="B503" s="63" t="s">
        <v>819</v>
      </c>
      <c r="C503" s="36">
        <v>4301012048</v>
      </c>
      <c r="D503" s="709">
        <v>4680115880603</v>
      </c>
      <c r="E503" s="70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139</v>
      </c>
      <c r="L503" s="37" t="s">
        <v>46</v>
      </c>
      <c r="M503" s="38" t="s">
        <v>89</v>
      </c>
      <c r="N503" s="38"/>
      <c r="O503" s="37">
        <v>60</v>
      </c>
      <c r="P503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130</v>
      </c>
      <c r="AG503" s="78"/>
      <c r="AJ503" s="84" t="s">
        <v>46</v>
      </c>
      <c r="AK503" s="84">
        <v>0</v>
      </c>
      <c r="BB503" s="601" t="s">
        <v>66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820</v>
      </c>
      <c r="B504" s="63" t="s">
        <v>821</v>
      </c>
      <c r="C504" s="36">
        <v>4301012034</v>
      </c>
      <c r="D504" s="709">
        <v>4607091389982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139</v>
      </c>
      <c r="L504" s="37" t="s">
        <v>46</v>
      </c>
      <c r="M504" s="38" t="s">
        <v>131</v>
      </c>
      <c r="N504" s="38"/>
      <c r="O504" s="37">
        <v>60</v>
      </c>
      <c r="P504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815</v>
      </c>
      <c r="AG504" s="78"/>
      <c r="AJ504" s="84" t="s">
        <v>46</v>
      </c>
      <c r="AK504" s="84">
        <v>0</v>
      </c>
      <c r="BB504" s="603" t="s">
        <v>66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hidden="1" x14ac:dyDescent="0.2">
      <c r="A505" s="717"/>
      <c r="B505" s="717"/>
      <c r="C505" s="717"/>
      <c r="D505" s="717"/>
      <c r="E505" s="717"/>
      <c r="F505" s="717"/>
      <c r="G505" s="717"/>
      <c r="H505" s="717"/>
      <c r="I505" s="717"/>
      <c r="J505" s="717"/>
      <c r="K505" s="717"/>
      <c r="L505" s="717"/>
      <c r="M505" s="717"/>
      <c r="N505" s="717"/>
      <c r="O505" s="718"/>
      <c r="P505" s="714" t="s">
        <v>40</v>
      </c>
      <c r="Q505" s="715"/>
      <c r="R505" s="715"/>
      <c r="S505" s="715"/>
      <c r="T505" s="715"/>
      <c r="U505" s="715"/>
      <c r="V505" s="716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0</v>
      </c>
      <c r="Y505" s="43">
        <f>IFERROR(Y496/H496,"0")+IFERROR(Y497/H497,"0")+IFERROR(Y498/H498,"0")+IFERROR(Y499/H499,"0")+IFERROR(Y500/H500,"0")+IFERROR(Y501/H501,"0")+IFERROR(Y502/H502,"0")+IFERROR(Y503/H503,"0")+IFERROR(Y504/H504,"0")</f>
        <v>0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7"/>
      <c r="AB505" s="67"/>
      <c r="AC505" s="67"/>
    </row>
    <row r="506" spans="1:68" hidden="1" x14ac:dyDescent="0.2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0</v>
      </c>
      <c r="X506" s="43">
        <f>IFERROR(SUM(X496:X504),"0")</f>
        <v>0</v>
      </c>
      <c r="Y506" s="43">
        <f>IFERROR(SUM(Y496:Y504),"0")</f>
        <v>0</v>
      </c>
      <c r="Z506" s="42"/>
      <c r="AA506" s="67"/>
      <c r="AB506" s="67"/>
      <c r="AC506" s="67"/>
    </row>
    <row r="507" spans="1:68" ht="14.25" hidden="1" customHeight="1" x14ac:dyDescent="0.25">
      <c r="A507" s="708" t="s">
        <v>163</v>
      </c>
      <c r="B507" s="708"/>
      <c r="C507" s="708"/>
      <c r="D507" s="708"/>
      <c r="E507" s="708"/>
      <c r="F507" s="708"/>
      <c r="G507" s="708"/>
      <c r="H507" s="708"/>
      <c r="I507" s="708"/>
      <c r="J507" s="708"/>
      <c r="K507" s="708"/>
      <c r="L507" s="708"/>
      <c r="M507" s="708"/>
      <c r="N507" s="708"/>
      <c r="O507" s="708"/>
      <c r="P507" s="708"/>
      <c r="Q507" s="708"/>
      <c r="R507" s="708"/>
      <c r="S507" s="708"/>
      <c r="T507" s="708"/>
      <c r="U507" s="708"/>
      <c r="V507" s="708"/>
      <c r="W507" s="708"/>
      <c r="X507" s="708"/>
      <c r="Y507" s="708"/>
      <c r="Z507" s="708"/>
      <c r="AA507" s="66"/>
      <c r="AB507" s="66"/>
      <c r="AC507" s="80"/>
    </row>
    <row r="508" spans="1:68" ht="16.5" hidden="1" customHeight="1" x14ac:dyDescent="0.25">
      <c r="A508" s="63" t="s">
        <v>822</v>
      </c>
      <c r="B508" s="63" t="s">
        <v>823</v>
      </c>
      <c r="C508" s="36">
        <v>4301020334</v>
      </c>
      <c r="D508" s="709">
        <v>4607091388930</v>
      </c>
      <c r="E508" s="70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132</v>
      </c>
      <c r="L508" s="37" t="s">
        <v>46</v>
      </c>
      <c r="M508" s="38" t="s">
        <v>89</v>
      </c>
      <c r="N508" s="38"/>
      <c r="O508" s="37">
        <v>70</v>
      </c>
      <c r="P508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11"/>
      <c r="R508" s="711"/>
      <c r="S508" s="711"/>
      <c r="T508" s="712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604" t="s">
        <v>824</v>
      </c>
      <c r="AG508" s="78"/>
      <c r="AJ508" s="84" t="s">
        <v>46</v>
      </c>
      <c r="AK508" s="84">
        <v>0</v>
      </c>
      <c r="BB508" s="605" t="s">
        <v>66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hidden="1" customHeight="1" x14ac:dyDescent="0.25">
      <c r="A509" s="63" t="s">
        <v>825</v>
      </c>
      <c r="B509" s="63" t="s">
        <v>826</v>
      </c>
      <c r="C509" s="36">
        <v>4301020374</v>
      </c>
      <c r="D509" s="709">
        <v>4680115886407</v>
      </c>
      <c r="E509" s="709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90</v>
      </c>
      <c r="L509" s="37" t="s">
        <v>46</v>
      </c>
      <c r="M509" s="38" t="s">
        <v>131</v>
      </c>
      <c r="N509" s="38"/>
      <c r="O509" s="37">
        <v>70</v>
      </c>
      <c r="P509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824</v>
      </c>
      <c r="AG509" s="78"/>
      <c r="AJ509" s="84" t="s">
        <v>46</v>
      </c>
      <c r="AK509" s="84">
        <v>0</v>
      </c>
      <c r="BB509" s="607" t="s">
        <v>66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827</v>
      </c>
      <c r="B510" s="63" t="s">
        <v>828</v>
      </c>
      <c r="C510" s="36">
        <v>4301020385</v>
      </c>
      <c r="D510" s="709">
        <v>4680115880054</v>
      </c>
      <c r="E510" s="709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139</v>
      </c>
      <c r="L510" s="37" t="s">
        <v>46</v>
      </c>
      <c r="M510" s="38" t="s">
        <v>131</v>
      </c>
      <c r="N510" s="38"/>
      <c r="O510" s="37">
        <v>70</v>
      </c>
      <c r="P510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824</v>
      </c>
      <c r="AG510" s="78"/>
      <c r="AJ510" s="84" t="s">
        <v>46</v>
      </c>
      <c r="AK510" s="84">
        <v>0</v>
      </c>
      <c r="BB510" s="609" t="s">
        <v>66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idden="1" x14ac:dyDescent="0.2">
      <c r="A511" s="717"/>
      <c r="B511" s="717"/>
      <c r="C511" s="717"/>
      <c r="D511" s="717"/>
      <c r="E511" s="717"/>
      <c r="F511" s="717"/>
      <c r="G511" s="717"/>
      <c r="H511" s="717"/>
      <c r="I511" s="717"/>
      <c r="J511" s="717"/>
      <c r="K511" s="717"/>
      <c r="L511" s="717"/>
      <c r="M511" s="717"/>
      <c r="N511" s="717"/>
      <c r="O511" s="718"/>
      <c r="P511" s="714" t="s">
        <v>40</v>
      </c>
      <c r="Q511" s="715"/>
      <c r="R511" s="715"/>
      <c r="S511" s="715"/>
      <c r="T511" s="715"/>
      <c r="U511" s="715"/>
      <c r="V511" s="716"/>
      <c r="W511" s="42" t="s">
        <v>39</v>
      </c>
      <c r="X511" s="43">
        <f>IFERROR(X508/H508,"0")+IFERROR(X509/H509,"0")+IFERROR(X510/H510,"0")</f>
        <v>0</v>
      </c>
      <c r="Y511" s="43">
        <f>IFERROR(Y508/H508,"0")+IFERROR(Y509/H509,"0")+IFERROR(Y510/H510,"0")</f>
        <v>0</v>
      </c>
      <c r="Z511" s="43">
        <f>IFERROR(IF(Z508="",0,Z508),"0")+IFERROR(IF(Z509="",0,Z509),"0")+IFERROR(IF(Z510="",0,Z510),"0")</f>
        <v>0</v>
      </c>
      <c r="AA511" s="67"/>
      <c r="AB511" s="67"/>
      <c r="AC511" s="67"/>
    </row>
    <row r="512" spans="1:68" hidden="1" x14ac:dyDescent="0.2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0</v>
      </c>
      <c r="X512" s="43">
        <f>IFERROR(SUM(X508:X510),"0")</f>
        <v>0</v>
      </c>
      <c r="Y512" s="43">
        <f>IFERROR(SUM(Y508:Y510),"0")</f>
        <v>0</v>
      </c>
      <c r="Z512" s="42"/>
      <c r="AA512" s="67"/>
      <c r="AB512" s="67"/>
      <c r="AC512" s="67"/>
    </row>
    <row r="513" spans="1:68" ht="14.25" hidden="1" customHeight="1" x14ac:dyDescent="0.25">
      <c r="A513" s="708" t="s">
        <v>76</v>
      </c>
      <c r="B513" s="708"/>
      <c r="C513" s="708"/>
      <c r="D513" s="708"/>
      <c r="E513" s="708"/>
      <c r="F513" s="708"/>
      <c r="G513" s="708"/>
      <c r="H513" s="708"/>
      <c r="I513" s="708"/>
      <c r="J513" s="708"/>
      <c r="K513" s="708"/>
      <c r="L513" s="708"/>
      <c r="M513" s="708"/>
      <c r="N513" s="708"/>
      <c r="O513" s="708"/>
      <c r="P513" s="708"/>
      <c r="Q513" s="708"/>
      <c r="R513" s="708"/>
      <c r="S513" s="708"/>
      <c r="T513" s="708"/>
      <c r="U513" s="708"/>
      <c r="V513" s="708"/>
      <c r="W513" s="708"/>
      <c r="X513" s="708"/>
      <c r="Y513" s="708"/>
      <c r="Z513" s="708"/>
      <c r="AA513" s="66"/>
      <c r="AB513" s="66"/>
      <c r="AC513" s="80"/>
    </row>
    <row r="514" spans="1:68" ht="27" hidden="1" customHeight="1" x14ac:dyDescent="0.25">
      <c r="A514" s="63" t="s">
        <v>829</v>
      </c>
      <c r="B514" s="63" t="s">
        <v>830</v>
      </c>
      <c r="C514" s="36">
        <v>4301031349</v>
      </c>
      <c r="D514" s="709">
        <v>4680115883116</v>
      </c>
      <c r="E514" s="70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132</v>
      </c>
      <c r="L514" s="37" t="s">
        <v>46</v>
      </c>
      <c r="M514" s="38" t="s">
        <v>131</v>
      </c>
      <c r="N514" s="38"/>
      <c r="O514" s="37">
        <v>70</v>
      </c>
      <c r="P514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11"/>
      <c r="R514" s="711"/>
      <c r="S514" s="711"/>
      <c r="T514" s="71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831</v>
      </c>
      <c r="AG514" s="78"/>
      <c r="AJ514" s="84" t="s">
        <v>46</v>
      </c>
      <c r="AK514" s="84">
        <v>0</v>
      </c>
      <c r="BB514" s="611" t="s">
        <v>66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hidden="1" customHeight="1" x14ac:dyDescent="0.25">
      <c r="A515" s="63" t="s">
        <v>832</v>
      </c>
      <c r="B515" s="63" t="s">
        <v>833</v>
      </c>
      <c r="C515" s="36">
        <v>4301031350</v>
      </c>
      <c r="D515" s="709">
        <v>4680115883093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132</v>
      </c>
      <c r="L515" s="37" t="s">
        <v>46</v>
      </c>
      <c r="M515" s="38" t="s">
        <v>80</v>
      </c>
      <c r="N515" s="38"/>
      <c r="O515" s="37">
        <v>70</v>
      </c>
      <c r="P515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8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834</v>
      </c>
      <c r="AG515" s="78"/>
      <c r="AJ515" s="84" t="s">
        <v>46</v>
      </c>
      <c r="AK515" s="84">
        <v>0</v>
      </c>
      <c r="BB515" s="613" t="s">
        <v>66</v>
      </c>
      <c r="BM515" s="78">
        <f t="shared" si="69"/>
        <v>0</v>
      </c>
      <c r="BN515" s="78">
        <f t="shared" si="70"/>
        <v>0</v>
      </c>
      <c r="BO515" s="78">
        <f t="shared" si="71"/>
        <v>0</v>
      </c>
      <c r="BP515" s="78">
        <f t="shared" si="72"/>
        <v>0</v>
      </c>
    </row>
    <row r="516" spans="1:68" ht="27" hidden="1" customHeight="1" x14ac:dyDescent="0.25">
      <c r="A516" s="63" t="s">
        <v>835</v>
      </c>
      <c r="B516" s="63" t="s">
        <v>836</v>
      </c>
      <c r="C516" s="36">
        <v>4301031353</v>
      </c>
      <c r="D516" s="709">
        <v>4680115883109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132</v>
      </c>
      <c r="L516" s="37" t="s">
        <v>46</v>
      </c>
      <c r="M516" s="38" t="s">
        <v>80</v>
      </c>
      <c r="N516" s="38"/>
      <c r="O516" s="37">
        <v>70</v>
      </c>
      <c r="P516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8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4" t="s">
        <v>837</v>
      </c>
      <c r="AG516" s="78"/>
      <c r="AJ516" s="84" t="s">
        <v>46</v>
      </c>
      <c r="AK516" s="84">
        <v>0</v>
      </c>
      <c r="BB516" s="615" t="s">
        <v>66</v>
      </c>
      <c r="BM516" s="78">
        <f t="shared" si="69"/>
        <v>0</v>
      </c>
      <c r="BN516" s="78">
        <f t="shared" si="70"/>
        <v>0</v>
      </c>
      <c r="BO516" s="78">
        <f t="shared" si="71"/>
        <v>0</v>
      </c>
      <c r="BP516" s="78">
        <f t="shared" si="72"/>
        <v>0</v>
      </c>
    </row>
    <row r="517" spans="1:68" ht="27" hidden="1" customHeight="1" x14ac:dyDescent="0.25">
      <c r="A517" s="63" t="s">
        <v>838</v>
      </c>
      <c r="B517" s="63" t="s">
        <v>839</v>
      </c>
      <c r="C517" s="36">
        <v>4301031419</v>
      </c>
      <c r="D517" s="709">
        <v>4680115882072</v>
      </c>
      <c r="E517" s="709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139</v>
      </c>
      <c r="L517" s="37" t="s">
        <v>46</v>
      </c>
      <c r="M517" s="38" t="s">
        <v>131</v>
      </c>
      <c r="N517" s="38"/>
      <c r="O517" s="37">
        <v>70</v>
      </c>
      <c r="P517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831</v>
      </c>
      <c r="AG517" s="78"/>
      <c r="AJ517" s="84" t="s">
        <v>46</v>
      </c>
      <c r="AK517" s="84">
        <v>0</v>
      </c>
      <c r="BB517" s="617" t="s">
        <v>66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840</v>
      </c>
      <c r="B518" s="63" t="s">
        <v>841</v>
      </c>
      <c r="C518" s="36">
        <v>4301031352</v>
      </c>
      <c r="D518" s="709">
        <v>4680115882102</v>
      </c>
      <c r="E518" s="709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139</v>
      </c>
      <c r="L518" s="37" t="s">
        <v>46</v>
      </c>
      <c r="M518" s="38" t="s">
        <v>80</v>
      </c>
      <c r="N518" s="38"/>
      <c r="O518" s="37">
        <v>70</v>
      </c>
      <c r="P518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834</v>
      </c>
      <c r="AG518" s="78"/>
      <c r="AJ518" s="84" t="s">
        <v>46</v>
      </c>
      <c r="AK518" s="84">
        <v>0</v>
      </c>
      <c r="BB518" s="619" t="s">
        <v>66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840</v>
      </c>
      <c r="B519" s="63" t="s">
        <v>842</v>
      </c>
      <c r="C519" s="36">
        <v>4301031418</v>
      </c>
      <c r="D519" s="709">
        <v>4680115882102</v>
      </c>
      <c r="E519" s="70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139</v>
      </c>
      <c r="L519" s="37" t="s">
        <v>46</v>
      </c>
      <c r="M519" s="38" t="s">
        <v>80</v>
      </c>
      <c r="N519" s="38"/>
      <c r="O519" s="37">
        <v>70</v>
      </c>
      <c r="P519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834</v>
      </c>
      <c r="AG519" s="78"/>
      <c r="AJ519" s="84" t="s">
        <v>46</v>
      </c>
      <c r="AK519" s="84">
        <v>0</v>
      </c>
      <c r="BB519" s="621" t="s">
        <v>66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843</v>
      </c>
      <c r="B520" s="63" t="s">
        <v>844</v>
      </c>
      <c r="C520" s="36">
        <v>4301031417</v>
      </c>
      <c r="D520" s="709">
        <v>4680115882096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139</v>
      </c>
      <c r="L520" s="37" t="s">
        <v>46</v>
      </c>
      <c r="M520" s="38" t="s">
        <v>80</v>
      </c>
      <c r="N520" s="38"/>
      <c r="O520" s="37">
        <v>70</v>
      </c>
      <c r="P520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837</v>
      </c>
      <c r="AG520" s="78"/>
      <c r="AJ520" s="84" t="s">
        <v>46</v>
      </c>
      <c r="AK520" s="84">
        <v>0</v>
      </c>
      <c r="BB520" s="623" t="s">
        <v>66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hidden="1" x14ac:dyDescent="0.2">
      <c r="A521" s="717"/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8"/>
      <c r="P521" s="714" t="s">
        <v>40</v>
      </c>
      <c r="Q521" s="715"/>
      <c r="R521" s="715"/>
      <c r="S521" s="715"/>
      <c r="T521" s="715"/>
      <c r="U521" s="715"/>
      <c r="V521" s="716"/>
      <c r="W521" s="42" t="s">
        <v>39</v>
      </c>
      <c r="X521" s="43">
        <f>IFERROR(X514/H514,"0")+IFERROR(X515/H515,"0")+IFERROR(X516/H516,"0")+IFERROR(X517/H517,"0")+IFERROR(X518/H518,"0")+IFERROR(X519/H519,"0")+IFERROR(X520/H520,"0")</f>
        <v>0</v>
      </c>
      <c r="Y521" s="43">
        <f>IFERROR(Y514/H514,"0")+IFERROR(Y515/H515,"0")+IFERROR(Y516/H516,"0")+IFERROR(Y517/H517,"0")+IFERROR(Y518/H518,"0")+IFERROR(Y519/H519,"0")+IFERROR(Y520/H520,"0")</f>
        <v>0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7"/>
      <c r="AB521" s="67"/>
      <c r="AC521" s="67"/>
    </row>
    <row r="522" spans="1:68" hidden="1" x14ac:dyDescent="0.2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0</v>
      </c>
      <c r="X522" s="43">
        <f>IFERROR(SUM(X514:X520),"0")</f>
        <v>0</v>
      </c>
      <c r="Y522" s="43">
        <f>IFERROR(SUM(Y514:Y520),"0")</f>
        <v>0</v>
      </c>
      <c r="Z522" s="42"/>
      <c r="AA522" s="67"/>
      <c r="AB522" s="67"/>
      <c r="AC522" s="67"/>
    </row>
    <row r="523" spans="1:68" ht="27.75" hidden="1" customHeight="1" x14ac:dyDescent="0.2">
      <c r="A523" s="706" t="s">
        <v>845</v>
      </c>
      <c r="B523" s="706"/>
      <c r="C523" s="706"/>
      <c r="D523" s="706"/>
      <c r="E523" s="706"/>
      <c r="F523" s="706"/>
      <c r="G523" s="706"/>
      <c r="H523" s="706"/>
      <c r="I523" s="706"/>
      <c r="J523" s="706"/>
      <c r="K523" s="706"/>
      <c r="L523" s="706"/>
      <c r="M523" s="706"/>
      <c r="N523" s="706"/>
      <c r="O523" s="706"/>
      <c r="P523" s="706"/>
      <c r="Q523" s="706"/>
      <c r="R523" s="706"/>
      <c r="S523" s="706"/>
      <c r="T523" s="706"/>
      <c r="U523" s="706"/>
      <c r="V523" s="706"/>
      <c r="W523" s="706"/>
      <c r="X523" s="706"/>
      <c r="Y523" s="706"/>
      <c r="Z523" s="706"/>
      <c r="AA523" s="54"/>
      <c r="AB523" s="54"/>
      <c r="AC523" s="54"/>
    </row>
    <row r="524" spans="1:68" ht="16.5" hidden="1" customHeight="1" x14ac:dyDescent="0.25">
      <c r="A524" s="707" t="s">
        <v>845</v>
      </c>
      <c r="B524" s="707"/>
      <c r="C524" s="707"/>
      <c r="D524" s="707"/>
      <c r="E524" s="707"/>
      <c r="F524" s="707"/>
      <c r="G524" s="707"/>
      <c r="H524" s="707"/>
      <c r="I524" s="707"/>
      <c r="J524" s="707"/>
      <c r="K524" s="707"/>
      <c r="L524" s="707"/>
      <c r="M524" s="707"/>
      <c r="N524" s="707"/>
      <c r="O524" s="707"/>
      <c r="P524" s="707"/>
      <c r="Q524" s="707"/>
      <c r="R524" s="707"/>
      <c r="S524" s="707"/>
      <c r="T524" s="707"/>
      <c r="U524" s="707"/>
      <c r="V524" s="707"/>
      <c r="W524" s="707"/>
      <c r="X524" s="707"/>
      <c r="Y524" s="707"/>
      <c r="Z524" s="707"/>
      <c r="AA524" s="65"/>
      <c r="AB524" s="65"/>
      <c r="AC524" s="79"/>
    </row>
    <row r="525" spans="1:68" ht="14.25" hidden="1" customHeight="1" x14ac:dyDescent="0.25">
      <c r="A525" s="708" t="s">
        <v>127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66"/>
      <c r="AB525" s="66"/>
      <c r="AC525" s="80"/>
    </row>
    <row r="526" spans="1:68" ht="27" hidden="1" customHeight="1" x14ac:dyDescent="0.25">
      <c r="A526" s="63" t="s">
        <v>846</v>
      </c>
      <c r="B526" s="63" t="s">
        <v>847</v>
      </c>
      <c r="C526" s="36">
        <v>4301011584</v>
      </c>
      <c r="D526" s="709">
        <v>4640242180564</v>
      </c>
      <c r="E526" s="709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132</v>
      </c>
      <c r="L526" s="37" t="s">
        <v>46</v>
      </c>
      <c r="M526" s="38" t="s">
        <v>131</v>
      </c>
      <c r="N526" s="38"/>
      <c r="O526" s="37">
        <v>50</v>
      </c>
      <c r="P526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11"/>
      <c r="R526" s="711"/>
      <c r="S526" s="711"/>
      <c r="T526" s="712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848</v>
      </c>
      <c r="AG526" s="78"/>
      <c r="AJ526" s="84" t="s">
        <v>46</v>
      </c>
      <c r="AK526" s="84">
        <v>0</v>
      </c>
      <c r="BB526" s="625" t="s">
        <v>66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717"/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8"/>
      <c r="P527" s="714" t="s">
        <v>40</v>
      </c>
      <c r="Q527" s="715"/>
      <c r="R527" s="715"/>
      <c r="S527" s="715"/>
      <c r="T527" s="715"/>
      <c r="U527" s="715"/>
      <c r="V527" s="716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hidden="1" x14ac:dyDescent="0.2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hidden="1" customHeight="1" x14ac:dyDescent="0.25">
      <c r="A529" s="708" t="s">
        <v>163</v>
      </c>
      <c r="B529" s="708"/>
      <c r="C529" s="708"/>
      <c r="D529" s="708"/>
      <c r="E529" s="708"/>
      <c r="F529" s="708"/>
      <c r="G529" s="708"/>
      <c r="H529" s="708"/>
      <c r="I529" s="708"/>
      <c r="J529" s="708"/>
      <c r="K529" s="708"/>
      <c r="L529" s="708"/>
      <c r="M529" s="708"/>
      <c r="N529" s="708"/>
      <c r="O529" s="708"/>
      <c r="P529" s="708"/>
      <c r="Q529" s="708"/>
      <c r="R529" s="708"/>
      <c r="S529" s="708"/>
      <c r="T529" s="708"/>
      <c r="U529" s="708"/>
      <c r="V529" s="708"/>
      <c r="W529" s="708"/>
      <c r="X529" s="708"/>
      <c r="Y529" s="708"/>
      <c r="Z529" s="708"/>
      <c r="AA529" s="66"/>
      <c r="AB529" s="66"/>
      <c r="AC529" s="80"/>
    </row>
    <row r="530" spans="1:68" ht="27" hidden="1" customHeight="1" x14ac:dyDescent="0.25">
      <c r="A530" s="63" t="s">
        <v>849</v>
      </c>
      <c r="B530" s="63" t="s">
        <v>850</v>
      </c>
      <c r="C530" s="36">
        <v>4301020400</v>
      </c>
      <c r="D530" s="709">
        <v>4640242180519</v>
      </c>
      <c r="E530" s="709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132</v>
      </c>
      <c r="L530" s="37" t="s">
        <v>46</v>
      </c>
      <c r="M530" s="38" t="s">
        <v>131</v>
      </c>
      <c r="N530" s="38"/>
      <c r="O530" s="37">
        <v>50</v>
      </c>
      <c r="P530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11"/>
      <c r="R530" s="711"/>
      <c r="S530" s="711"/>
      <c r="T530" s="712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851</v>
      </c>
      <c r="AG530" s="78"/>
      <c r="AJ530" s="84" t="s">
        <v>46</v>
      </c>
      <c r="AK530" s="84">
        <v>0</v>
      </c>
      <c r="BB530" s="627" t="s">
        <v>66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717"/>
      <c r="B531" s="717"/>
      <c r="C531" s="717"/>
      <c r="D531" s="717"/>
      <c r="E531" s="717"/>
      <c r="F531" s="717"/>
      <c r="G531" s="717"/>
      <c r="H531" s="717"/>
      <c r="I531" s="717"/>
      <c r="J531" s="717"/>
      <c r="K531" s="717"/>
      <c r="L531" s="717"/>
      <c r="M531" s="717"/>
      <c r="N531" s="717"/>
      <c r="O531" s="718"/>
      <c r="P531" s="714" t="s">
        <v>40</v>
      </c>
      <c r="Q531" s="715"/>
      <c r="R531" s="715"/>
      <c r="S531" s="715"/>
      <c r="T531" s="715"/>
      <c r="U531" s="715"/>
      <c r="V531" s="716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708" t="s">
        <v>76</v>
      </c>
      <c r="B533" s="708"/>
      <c r="C533" s="708"/>
      <c r="D533" s="708"/>
      <c r="E533" s="708"/>
      <c r="F533" s="708"/>
      <c r="G533" s="708"/>
      <c r="H533" s="708"/>
      <c r="I533" s="708"/>
      <c r="J533" s="708"/>
      <c r="K533" s="708"/>
      <c r="L533" s="708"/>
      <c r="M533" s="708"/>
      <c r="N533" s="708"/>
      <c r="O533" s="708"/>
      <c r="P533" s="708"/>
      <c r="Q533" s="708"/>
      <c r="R533" s="708"/>
      <c r="S533" s="708"/>
      <c r="T533" s="708"/>
      <c r="U533" s="708"/>
      <c r="V533" s="708"/>
      <c r="W533" s="708"/>
      <c r="X533" s="708"/>
      <c r="Y533" s="708"/>
      <c r="Z533" s="708"/>
      <c r="AA533" s="66"/>
      <c r="AB533" s="66"/>
      <c r="AC533" s="80"/>
    </row>
    <row r="534" spans="1:68" ht="27" hidden="1" customHeight="1" x14ac:dyDescent="0.25">
      <c r="A534" s="63" t="s">
        <v>852</v>
      </c>
      <c r="B534" s="63" t="s">
        <v>853</v>
      </c>
      <c r="C534" s="36">
        <v>4301031500</v>
      </c>
      <c r="D534" s="709">
        <v>4640242180595</v>
      </c>
      <c r="E534" s="709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139</v>
      </c>
      <c r="L534" s="37" t="s">
        <v>46</v>
      </c>
      <c r="M534" s="38" t="s">
        <v>80</v>
      </c>
      <c r="N534" s="38"/>
      <c r="O534" s="37">
        <v>40</v>
      </c>
      <c r="P534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11"/>
      <c r="R534" s="711"/>
      <c r="S534" s="711"/>
      <c r="T534" s="712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854</v>
      </c>
      <c r="AG534" s="78"/>
      <c r="AJ534" s="84" t="s">
        <v>46</v>
      </c>
      <c r="AK534" s="84">
        <v>0</v>
      </c>
      <c r="BB534" s="629" t="s">
        <v>66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17"/>
      <c r="B535" s="717"/>
      <c r="C535" s="717"/>
      <c r="D535" s="717"/>
      <c r="E535" s="717"/>
      <c r="F535" s="717"/>
      <c r="G535" s="717"/>
      <c r="H535" s="717"/>
      <c r="I535" s="717"/>
      <c r="J535" s="717"/>
      <c r="K535" s="717"/>
      <c r="L535" s="717"/>
      <c r="M535" s="717"/>
      <c r="N535" s="717"/>
      <c r="O535" s="718"/>
      <c r="P535" s="714" t="s">
        <v>40</v>
      </c>
      <c r="Q535" s="715"/>
      <c r="R535" s="715"/>
      <c r="S535" s="715"/>
      <c r="T535" s="715"/>
      <c r="U535" s="715"/>
      <c r="V535" s="716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708" t="s">
        <v>85</v>
      </c>
      <c r="B537" s="708"/>
      <c r="C537" s="708"/>
      <c r="D537" s="708"/>
      <c r="E537" s="708"/>
      <c r="F537" s="708"/>
      <c r="G537" s="708"/>
      <c r="H537" s="708"/>
      <c r="I537" s="708"/>
      <c r="J537" s="708"/>
      <c r="K537" s="708"/>
      <c r="L537" s="708"/>
      <c r="M537" s="708"/>
      <c r="N537" s="708"/>
      <c r="O537" s="708"/>
      <c r="P537" s="708"/>
      <c r="Q537" s="708"/>
      <c r="R537" s="708"/>
      <c r="S537" s="708"/>
      <c r="T537" s="708"/>
      <c r="U537" s="708"/>
      <c r="V537" s="708"/>
      <c r="W537" s="708"/>
      <c r="X537" s="708"/>
      <c r="Y537" s="708"/>
      <c r="Z537" s="708"/>
      <c r="AA537" s="66"/>
      <c r="AB537" s="66"/>
      <c r="AC537" s="80"/>
    </row>
    <row r="538" spans="1:68" ht="27" hidden="1" customHeight="1" x14ac:dyDescent="0.25">
      <c r="A538" s="63" t="s">
        <v>855</v>
      </c>
      <c r="B538" s="63" t="s">
        <v>856</v>
      </c>
      <c r="C538" s="36">
        <v>4301052043</v>
      </c>
      <c r="D538" s="709">
        <v>4640242180533</v>
      </c>
      <c r="E538" s="709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132</v>
      </c>
      <c r="L538" s="37" t="s">
        <v>46</v>
      </c>
      <c r="M538" s="38" t="s">
        <v>89</v>
      </c>
      <c r="N538" s="38"/>
      <c r="O538" s="37">
        <v>45</v>
      </c>
      <c r="P538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11"/>
      <c r="R538" s="711"/>
      <c r="S538" s="711"/>
      <c r="T538" s="712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857</v>
      </c>
      <c r="AG538" s="78"/>
      <c r="AJ538" s="84" t="s">
        <v>46</v>
      </c>
      <c r="AK538" s="84">
        <v>0</v>
      </c>
      <c r="BB538" s="631" t="s">
        <v>66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17"/>
      <c r="B539" s="717"/>
      <c r="C539" s="717"/>
      <c r="D539" s="717"/>
      <c r="E539" s="717"/>
      <c r="F539" s="717"/>
      <c r="G539" s="717"/>
      <c r="H539" s="717"/>
      <c r="I539" s="717"/>
      <c r="J539" s="717"/>
      <c r="K539" s="717"/>
      <c r="L539" s="717"/>
      <c r="M539" s="717"/>
      <c r="N539" s="717"/>
      <c r="O539" s="718"/>
      <c r="P539" s="714" t="s">
        <v>40</v>
      </c>
      <c r="Q539" s="715"/>
      <c r="R539" s="715"/>
      <c r="S539" s="715"/>
      <c r="T539" s="715"/>
      <c r="U539" s="715"/>
      <c r="V539" s="716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08" t="s">
        <v>180</v>
      </c>
      <c r="B541" s="708"/>
      <c r="C541" s="708"/>
      <c r="D541" s="708"/>
      <c r="E541" s="708"/>
      <c r="F541" s="708"/>
      <c r="G541" s="708"/>
      <c r="H541" s="708"/>
      <c r="I541" s="708"/>
      <c r="J541" s="708"/>
      <c r="K541" s="708"/>
      <c r="L541" s="708"/>
      <c r="M541" s="708"/>
      <c r="N541" s="708"/>
      <c r="O541" s="708"/>
      <c r="P541" s="708"/>
      <c r="Q541" s="708"/>
      <c r="R541" s="708"/>
      <c r="S541" s="708"/>
      <c r="T541" s="708"/>
      <c r="U541" s="708"/>
      <c r="V541" s="708"/>
      <c r="W541" s="708"/>
      <c r="X541" s="708"/>
      <c r="Y541" s="708"/>
      <c r="Z541" s="708"/>
      <c r="AA541" s="66"/>
      <c r="AB541" s="66"/>
      <c r="AC541" s="80"/>
    </row>
    <row r="542" spans="1:68" ht="27" hidden="1" customHeight="1" x14ac:dyDescent="0.25">
      <c r="A542" s="63" t="s">
        <v>858</v>
      </c>
      <c r="B542" s="63" t="s">
        <v>859</v>
      </c>
      <c r="C542" s="36">
        <v>4301060535</v>
      </c>
      <c r="D542" s="709">
        <v>4640242180120</v>
      </c>
      <c r="E542" s="70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132</v>
      </c>
      <c r="L542" s="37" t="s">
        <v>46</v>
      </c>
      <c r="M542" s="38" t="s">
        <v>89</v>
      </c>
      <c r="N542" s="38"/>
      <c r="O542" s="37">
        <v>40</v>
      </c>
      <c r="P542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11"/>
      <c r="R542" s="711"/>
      <c r="S542" s="711"/>
      <c r="T542" s="712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860</v>
      </c>
      <c r="AG542" s="78"/>
      <c r="AJ542" s="84" t="s">
        <v>46</v>
      </c>
      <c r="AK542" s="84">
        <v>0</v>
      </c>
      <c r="BB542" s="633" t="s">
        <v>66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861</v>
      </c>
      <c r="B543" s="63" t="s">
        <v>862</v>
      </c>
      <c r="C543" s="36">
        <v>4301060536</v>
      </c>
      <c r="D543" s="709">
        <v>4640242180137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132</v>
      </c>
      <c r="L543" s="37" t="s">
        <v>46</v>
      </c>
      <c r="M543" s="38" t="s">
        <v>89</v>
      </c>
      <c r="N543" s="38"/>
      <c r="O543" s="37">
        <v>40</v>
      </c>
      <c r="P543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863</v>
      </c>
      <c r="AG543" s="78"/>
      <c r="AJ543" s="84" t="s">
        <v>46</v>
      </c>
      <c r="AK543" s="84">
        <v>0</v>
      </c>
      <c r="BB543" s="63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17"/>
      <c r="B544" s="717"/>
      <c r="C544" s="717"/>
      <c r="D544" s="717"/>
      <c r="E544" s="717"/>
      <c r="F544" s="717"/>
      <c r="G544" s="717"/>
      <c r="H544" s="717"/>
      <c r="I544" s="717"/>
      <c r="J544" s="717"/>
      <c r="K544" s="717"/>
      <c r="L544" s="717"/>
      <c r="M544" s="717"/>
      <c r="N544" s="717"/>
      <c r="O544" s="718"/>
      <c r="P544" s="714" t="s">
        <v>40</v>
      </c>
      <c r="Q544" s="715"/>
      <c r="R544" s="715"/>
      <c r="S544" s="715"/>
      <c r="T544" s="715"/>
      <c r="U544" s="715"/>
      <c r="V544" s="716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707" t="s">
        <v>864</v>
      </c>
      <c r="B546" s="707"/>
      <c r="C546" s="707"/>
      <c r="D546" s="707"/>
      <c r="E546" s="707"/>
      <c r="F546" s="707"/>
      <c r="G546" s="707"/>
      <c r="H546" s="707"/>
      <c r="I546" s="707"/>
      <c r="J546" s="707"/>
      <c r="K546" s="707"/>
      <c r="L546" s="707"/>
      <c r="M546" s="707"/>
      <c r="N546" s="707"/>
      <c r="O546" s="707"/>
      <c r="P546" s="707"/>
      <c r="Q546" s="707"/>
      <c r="R546" s="707"/>
      <c r="S546" s="707"/>
      <c r="T546" s="707"/>
      <c r="U546" s="707"/>
      <c r="V546" s="707"/>
      <c r="W546" s="707"/>
      <c r="X546" s="707"/>
      <c r="Y546" s="707"/>
      <c r="Z546" s="707"/>
      <c r="AA546" s="65"/>
      <c r="AB546" s="65"/>
      <c r="AC546" s="79"/>
    </row>
    <row r="547" spans="1:68" ht="14.25" hidden="1" customHeight="1" x14ac:dyDescent="0.25">
      <c r="A547" s="708" t="s">
        <v>163</v>
      </c>
      <c r="B547" s="708"/>
      <c r="C547" s="708"/>
      <c r="D547" s="708"/>
      <c r="E547" s="708"/>
      <c r="F547" s="708"/>
      <c r="G547" s="708"/>
      <c r="H547" s="708"/>
      <c r="I547" s="708"/>
      <c r="J547" s="708"/>
      <c r="K547" s="708"/>
      <c r="L547" s="708"/>
      <c r="M547" s="708"/>
      <c r="N547" s="708"/>
      <c r="O547" s="708"/>
      <c r="P547" s="708"/>
      <c r="Q547" s="708"/>
      <c r="R547" s="708"/>
      <c r="S547" s="708"/>
      <c r="T547" s="708"/>
      <c r="U547" s="708"/>
      <c r="V547" s="708"/>
      <c r="W547" s="708"/>
      <c r="X547" s="708"/>
      <c r="Y547" s="708"/>
      <c r="Z547" s="708"/>
      <c r="AA547" s="66"/>
      <c r="AB547" s="66"/>
      <c r="AC547" s="80"/>
    </row>
    <row r="548" spans="1:68" ht="27" hidden="1" customHeight="1" x14ac:dyDescent="0.25">
      <c r="A548" s="63" t="s">
        <v>865</v>
      </c>
      <c r="B548" s="63" t="s">
        <v>866</v>
      </c>
      <c r="C548" s="36">
        <v>4301020428</v>
      </c>
      <c r="D548" s="709">
        <v>4640242180090</v>
      </c>
      <c r="E548" s="709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132</v>
      </c>
      <c r="L548" s="37" t="s">
        <v>46</v>
      </c>
      <c r="M548" s="38" t="s">
        <v>131</v>
      </c>
      <c r="N548" s="38"/>
      <c r="O548" s="37">
        <v>50</v>
      </c>
      <c r="P548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11"/>
      <c r="R548" s="711"/>
      <c r="S548" s="711"/>
      <c r="T548" s="712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867</v>
      </c>
      <c r="AG548" s="78"/>
      <c r="AJ548" s="84" t="s">
        <v>46</v>
      </c>
      <c r="AK548" s="84">
        <v>0</v>
      </c>
      <c r="BB548" s="637" t="s">
        <v>66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17"/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8"/>
      <c r="P549" s="714" t="s">
        <v>40</v>
      </c>
      <c r="Q549" s="715"/>
      <c r="R549" s="715"/>
      <c r="S549" s="715"/>
      <c r="T549" s="715"/>
      <c r="U549" s="715"/>
      <c r="V549" s="716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996"/>
      <c r="P551" s="993" t="s">
        <v>33</v>
      </c>
      <c r="Q551" s="994"/>
      <c r="R551" s="994"/>
      <c r="S551" s="994"/>
      <c r="T551" s="994"/>
      <c r="U551" s="994"/>
      <c r="V551" s="995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150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150</v>
      </c>
      <c r="Z551" s="42"/>
      <c r="AA551" s="67"/>
      <c r="AB551" s="67"/>
      <c r="AC551" s="67"/>
    </row>
    <row r="552" spans="1:68" x14ac:dyDescent="0.2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34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IFERROR(SUM(BM22:BM548),"0")</f>
        <v>154.69999999999999</v>
      </c>
      <c r="Y552" s="43">
        <f>IFERROR(SUM(BN22:BN548),"0")</f>
        <v>154.69999999999999</v>
      </c>
      <c r="Z552" s="42"/>
      <c r="AA552" s="67"/>
      <c r="AB552" s="67"/>
      <c r="AC552" s="67"/>
    </row>
    <row r="553" spans="1:68" x14ac:dyDescent="0.2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35</v>
      </c>
      <c r="Q553" s="994"/>
      <c r="R553" s="994"/>
      <c r="S553" s="994"/>
      <c r="T553" s="994"/>
      <c r="U553" s="994"/>
      <c r="V553" s="995"/>
      <c r="W553" s="42" t="s">
        <v>20</v>
      </c>
      <c r="X553" s="44">
        <f>ROUNDUP(SUM(BO22:BO548),0)</f>
        <v>1</v>
      </c>
      <c r="Y553" s="44">
        <f>ROUNDUP(SUM(BP22:BP548),0)</f>
        <v>1</v>
      </c>
      <c r="Z553" s="42"/>
      <c r="AA553" s="67"/>
      <c r="AB553" s="67"/>
      <c r="AC553" s="67"/>
    </row>
    <row r="554" spans="1:68" x14ac:dyDescent="0.2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36</v>
      </c>
      <c r="Q554" s="994"/>
      <c r="R554" s="994"/>
      <c r="S554" s="994"/>
      <c r="T554" s="994"/>
      <c r="U554" s="994"/>
      <c r="V554" s="995"/>
      <c r="W554" s="42" t="s">
        <v>0</v>
      </c>
      <c r="X554" s="43">
        <f>GrossWeightTotal+PalletQtyTotal*25</f>
        <v>179.7</v>
      </c>
      <c r="Y554" s="43">
        <f>GrossWeightTotalR+PalletQtyTotalR*25</f>
        <v>179.7</v>
      </c>
      <c r="Z554" s="42"/>
      <c r="AA554" s="67"/>
      <c r="AB554" s="67"/>
      <c r="AC554" s="67"/>
    </row>
    <row r="555" spans="1:68" x14ac:dyDescent="0.2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37</v>
      </c>
      <c r="Q555" s="994"/>
      <c r="R555" s="994"/>
      <c r="S555" s="994"/>
      <c r="T555" s="994"/>
      <c r="U555" s="994"/>
      <c r="V555" s="995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10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10</v>
      </c>
      <c r="Z555" s="42"/>
      <c r="AA555" s="67"/>
      <c r="AB555" s="67"/>
      <c r="AC555" s="67"/>
    </row>
    <row r="556" spans="1:68" ht="14.25" hidden="1" x14ac:dyDescent="0.2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38</v>
      </c>
      <c r="Q556" s="994"/>
      <c r="R556" s="994"/>
      <c r="S556" s="994"/>
      <c r="T556" s="994"/>
      <c r="U556" s="994"/>
      <c r="V556" s="995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0.21749999999999997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75</v>
      </c>
      <c r="C558" s="85" t="s">
        <v>45</v>
      </c>
      <c r="D558" s="999" t="s">
        <v>125</v>
      </c>
      <c r="E558" s="999" t="s">
        <v>125</v>
      </c>
      <c r="F558" s="999" t="s">
        <v>125</v>
      </c>
      <c r="G558" s="999" t="s">
        <v>125</v>
      </c>
      <c r="H558" s="999" t="s">
        <v>125</v>
      </c>
      <c r="I558" s="999" t="s">
        <v>125</v>
      </c>
      <c r="J558" s="999" t="s">
        <v>125</v>
      </c>
      <c r="K558" s="999" t="s">
        <v>357</v>
      </c>
      <c r="L558" s="999" t="s">
        <v>357</v>
      </c>
      <c r="M558" s="999" t="s">
        <v>357</v>
      </c>
      <c r="N558" s="1000"/>
      <c r="O558" s="999" t="s">
        <v>357</v>
      </c>
      <c r="P558" s="999" t="s">
        <v>357</v>
      </c>
      <c r="Q558" s="999" t="s">
        <v>357</v>
      </c>
      <c r="R558" s="999" t="s">
        <v>357</v>
      </c>
      <c r="S558" s="999" t="s">
        <v>357</v>
      </c>
      <c r="T558" s="999" t="s">
        <v>357</v>
      </c>
      <c r="U558" s="999" t="s">
        <v>357</v>
      </c>
      <c r="V558" s="999" t="s">
        <v>696</v>
      </c>
      <c r="W558" s="999" t="s">
        <v>696</v>
      </c>
      <c r="X558" s="999" t="s">
        <v>762</v>
      </c>
      <c r="Y558" s="999" t="s">
        <v>762</v>
      </c>
      <c r="Z558" s="85" t="s">
        <v>798</v>
      </c>
      <c r="AA558" s="999" t="s">
        <v>845</v>
      </c>
      <c r="AB558" s="999" t="s">
        <v>845</v>
      </c>
      <c r="AC558" s="60"/>
      <c r="AF558" s="1"/>
    </row>
    <row r="559" spans="1:68" ht="14.25" customHeight="1" thickTop="1" x14ac:dyDescent="0.2">
      <c r="A559" s="997" t="s">
        <v>10</v>
      </c>
      <c r="B559" s="999" t="s">
        <v>75</v>
      </c>
      <c r="C559" s="999" t="s">
        <v>109</v>
      </c>
      <c r="D559" s="999" t="s">
        <v>126</v>
      </c>
      <c r="E559" s="999" t="s">
        <v>142</v>
      </c>
      <c r="F559" s="999" t="s">
        <v>187</v>
      </c>
      <c r="G559" s="999" t="s">
        <v>208</v>
      </c>
      <c r="H559" s="999" t="s">
        <v>247</v>
      </c>
      <c r="I559" s="999" t="s">
        <v>275</v>
      </c>
      <c r="J559" s="999" t="s">
        <v>125</v>
      </c>
      <c r="K559" s="999" t="s">
        <v>358</v>
      </c>
      <c r="L559" s="999" t="s">
        <v>379</v>
      </c>
      <c r="M559" s="999" t="s">
        <v>446</v>
      </c>
      <c r="N559" s="1"/>
      <c r="O559" s="999" t="s">
        <v>514</v>
      </c>
      <c r="P559" s="999" t="s">
        <v>547</v>
      </c>
      <c r="Q559" s="999" t="s">
        <v>563</v>
      </c>
      <c r="R559" s="999" t="s">
        <v>572</v>
      </c>
      <c r="S559" s="999" t="s">
        <v>593</v>
      </c>
      <c r="T559" s="999" t="s">
        <v>602</v>
      </c>
      <c r="U559" s="999" t="s">
        <v>686</v>
      </c>
      <c r="V559" s="999" t="s">
        <v>697</v>
      </c>
      <c r="W559" s="999" t="s">
        <v>746</v>
      </c>
      <c r="X559" s="999" t="s">
        <v>763</v>
      </c>
      <c r="Y559" s="999" t="s">
        <v>786</v>
      </c>
      <c r="Z559" s="999" t="s">
        <v>798</v>
      </c>
      <c r="AA559" s="999" t="s">
        <v>845</v>
      </c>
      <c r="AB559" s="999" t="s">
        <v>864</v>
      </c>
      <c r="AC559" s="60"/>
      <c r="AF559" s="1"/>
    </row>
    <row r="560" spans="1:68" ht="13.5" thickBot="1" x14ac:dyDescent="0.25">
      <c r="A560" s="998"/>
      <c r="B560" s="999"/>
      <c r="C560" s="999"/>
      <c r="D560" s="999"/>
      <c r="E560" s="999"/>
      <c r="F560" s="999"/>
      <c r="G560" s="999"/>
      <c r="H560" s="999"/>
      <c r="I560" s="999"/>
      <c r="J560" s="999"/>
      <c r="K560" s="999"/>
      <c r="L560" s="999"/>
      <c r="M560" s="999"/>
      <c r="N560" s="1"/>
      <c r="O560" s="999"/>
      <c r="P560" s="999"/>
      <c r="Q560" s="999"/>
      <c r="R560" s="999"/>
      <c r="S560" s="999"/>
      <c r="T560" s="999"/>
      <c r="U560" s="999"/>
      <c r="V560" s="999"/>
      <c r="W560" s="999"/>
      <c r="X560" s="999"/>
      <c r="Y560" s="999"/>
      <c r="Z560" s="999"/>
      <c r="AA560" s="999"/>
      <c r="AB560" s="999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2">
        <f>IFERROR(Y88*1,"0")+IFERROR(Y89*1,"0")+IFERROR(Y90*1,"0")+IFERROR(Y91*1,"0")+IFERROR(Y95*1,"0")+IFERROR(Y96*1,"0")+IFERROR(Y97*1,"0")+IFERROR(Y98*1,"0")</f>
        <v>0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1" s="52">
        <f>IFERROR(Y415*1,"0")+IFERROR(Y416*1,"0")+IFERROR(Y417*1,"0")</f>
        <v>0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150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2">
        <f>IFERROR(Y526*1,"0")+IFERROR(Y530*1,"0")+IFERROR(Y534*1,"0")+IFERROR(Y538*1,"0")+IFERROR(Y542*1,"0")+IFERROR(Y543*1,"0")</f>
        <v>0</v>
      </c>
      <c r="AB561" s="52">
        <f>IFERROR(Y548*1,"0")</f>
        <v>0</v>
      </c>
      <c r="AC561" s="60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10,00"/>
        <filter val="150,00"/>
        <filter val="154,70"/>
        <filter val="179,70"/>
      </filters>
    </filterColumn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868</v>
      </c>
      <c r="H1" s="9"/>
    </row>
    <row r="3" spans="2:8" x14ac:dyDescent="0.2">
      <c r="B3" s="53" t="s">
        <v>869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871</v>
      </c>
      <c r="C6" s="53" t="s">
        <v>872</v>
      </c>
      <c r="D6" s="53" t="s">
        <v>873</v>
      </c>
      <c r="E6" s="53" t="s">
        <v>46</v>
      </c>
    </row>
    <row r="7" spans="2:8" x14ac:dyDescent="0.2">
      <c r="B7" s="53" t="s">
        <v>874</v>
      </c>
      <c r="C7" s="53" t="s">
        <v>875</v>
      </c>
      <c r="D7" s="53" t="s">
        <v>876</v>
      </c>
      <c r="E7" s="53" t="s">
        <v>46</v>
      </c>
    </row>
    <row r="9" spans="2:8" x14ac:dyDescent="0.2">
      <c r="B9" s="53" t="s">
        <v>877</v>
      </c>
      <c r="C9" s="53" t="s">
        <v>872</v>
      </c>
      <c r="D9" s="53" t="s">
        <v>46</v>
      </c>
      <c r="E9" s="53" t="s">
        <v>46</v>
      </c>
    </row>
    <row r="11" spans="2:8" x14ac:dyDescent="0.2">
      <c r="B11" s="53" t="s">
        <v>877</v>
      </c>
      <c r="C11" s="53" t="s">
        <v>875</v>
      </c>
      <c r="D11" s="53" t="s">
        <v>46</v>
      </c>
      <c r="E11" s="53" t="s">
        <v>46</v>
      </c>
    </row>
    <row r="13" spans="2:8" x14ac:dyDescent="0.2">
      <c r="B13" s="53" t="s">
        <v>878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879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888</v>
      </c>
      <c r="C23" s="53" t="s">
        <v>46</v>
      </c>
      <c r="D23" s="53" t="s">
        <v>46</v>
      </c>
      <c r="E23" s="53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schemas.microsoft.com/office/2006/metadata/properties"/>
    <ds:schemaRef ds:uri="http://schemas.microsoft.com/office/2006/documentManagement/types"/>
    <ds:schemaRef ds:uri="bb0b2827-4eb3-461f-8866-28597c48f473"/>
    <ds:schemaRef ds:uri="http://purl.org/dc/dcmitype/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2026-07-29T05:48:16Z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