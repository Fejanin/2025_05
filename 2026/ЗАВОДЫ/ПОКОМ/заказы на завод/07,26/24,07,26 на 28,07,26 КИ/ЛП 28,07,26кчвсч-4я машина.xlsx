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F6A733B-B9AC-46F5-B1D7-B629AAC503E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P508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P385" i="2"/>
  <c r="BO384" i="2"/>
  <c r="BM384" i="2"/>
  <c r="Y384" i="2"/>
  <c r="Z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BP365" i="2" s="1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P249" i="2"/>
  <c r="BO248" i="2"/>
  <c r="BM248" i="2"/>
  <c r="Y248" i="2"/>
  <c r="BP248" i="2" s="1"/>
  <c r="P248" i="2"/>
  <c r="X246" i="2"/>
  <c r="X245" i="2"/>
  <c r="BO244" i="2"/>
  <c r="BM244" i="2"/>
  <c r="Y244" i="2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Y150" i="2" l="1"/>
  <c r="Y200" i="2"/>
  <c r="Y465" i="2"/>
  <c r="D561" i="2"/>
  <c r="Y331" i="2"/>
  <c r="W561" i="2"/>
  <c r="Y512" i="2"/>
  <c r="Y175" i="2"/>
  <c r="Y405" i="2"/>
  <c r="Z91" i="2"/>
  <c r="Z232" i="2"/>
  <c r="Z427" i="2"/>
  <c r="Z141" i="2"/>
  <c r="Z191" i="2"/>
  <c r="Z272" i="2"/>
  <c r="Z330" i="2"/>
  <c r="Z469" i="2"/>
  <c r="Z62" i="2"/>
  <c r="Z116" i="2"/>
  <c r="Z149" i="2"/>
  <c r="Z184" i="2"/>
  <c r="Z282" i="2"/>
  <c r="Z319" i="2"/>
  <c r="Z344" i="2"/>
  <c r="BN344" i="2"/>
  <c r="Z377" i="2"/>
  <c r="Z416" i="2"/>
  <c r="Z434" i="2"/>
  <c r="BP484" i="2"/>
  <c r="Y163" i="2"/>
  <c r="Y203" i="2"/>
  <c r="Y204" i="2"/>
  <c r="X555" i="2"/>
  <c r="Z28" i="2"/>
  <c r="Z88" i="2"/>
  <c r="BN88" i="2"/>
  <c r="Y93" i="2"/>
  <c r="Z98" i="2"/>
  <c r="Z139" i="2"/>
  <c r="Z142" i="2"/>
  <c r="BN142" i="2"/>
  <c r="Z161" i="2"/>
  <c r="Z162" i="2" s="1"/>
  <c r="Z187" i="2"/>
  <c r="Z230" i="2"/>
  <c r="BN230" i="2"/>
  <c r="Z242" i="2"/>
  <c r="Z265" i="2"/>
  <c r="Z266" i="2" s="1"/>
  <c r="Z275" i="2"/>
  <c r="Z306" i="2"/>
  <c r="Z329" i="2"/>
  <c r="Z337" i="2"/>
  <c r="Z372" i="2"/>
  <c r="BP391" i="2"/>
  <c r="Z409" i="2"/>
  <c r="Z425" i="2"/>
  <c r="Z457" i="2"/>
  <c r="Z458" i="2" s="1"/>
  <c r="Z478" i="2"/>
  <c r="BN478" i="2"/>
  <c r="BN29" i="2"/>
  <c r="Y47" i="2"/>
  <c r="Y55" i="2"/>
  <c r="BP83" i="2"/>
  <c r="BN120" i="2"/>
  <c r="H561" i="2"/>
  <c r="Z132" i="2"/>
  <c r="BN140" i="2"/>
  <c r="BP166" i="2"/>
  <c r="BN166" i="2"/>
  <c r="Z166" i="2"/>
  <c r="BP185" i="2"/>
  <c r="BN185" i="2"/>
  <c r="Z185" i="2"/>
  <c r="BN198" i="2"/>
  <c r="Z198" i="2"/>
  <c r="BN208" i="2"/>
  <c r="Z208" i="2"/>
  <c r="BN226" i="2"/>
  <c r="Z226" i="2"/>
  <c r="BN231" i="2"/>
  <c r="BN234" i="2"/>
  <c r="BP234" i="2"/>
  <c r="BN240" i="2"/>
  <c r="Z240" i="2"/>
  <c r="BN249" i="2"/>
  <c r="Z249" i="2"/>
  <c r="BN264" i="2"/>
  <c r="BP269" i="2"/>
  <c r="BN269" i="2"/>
  <c r="Z269" i="2"/>
  <c r="BN284" i="2"/>
  <c r="BN304" i="2"/>
  <c r="Z304" i="2"/>
  <c r="BN327" i="2"/>
  <c r="Z327" i="2"/>
  <c r="BP346" i="2"/>
  <c r="Z346" i="2"/>
  <c r="BN366" i="2"/>
  <c r="Z366" i="2"/>
  <c r="BN375" i="2"/>
  <c r="BP383" i="2"/>
  <c r="BN383" i="2"/>
  <c r="Z383" i="2"/>
  <c r="Y387" i="2"/>
  <c r="Z385" i="2"/>
  <c r="BP415" i="2"/>
  <c r="Z415" i="2"/>
  <c r="BN426" i="2"/>
  <c r="BP426" i="2"/>
  <c r="BN429" i="2"/>
  <c r="BN441" i="2"/>
  <c r="Z441" i="2"/>
  <c r="BN470" i="2"/>
  <c r="BN479" i="2"/>
  <c r="BN489" i="2"/>
  <c r="BP503" i="2"/>
  <c r="BN503" i="2"/>
  <c r="Z503" i="2"/>
  <c r="BN515" i="2"/>
  <c r="BN30" i="2"/>
  <c r="Z41" i="2"/>
  <c r="BN41" i="2"/>
  <c r="BN42" i="2"/>
  <c r="Z51" i="2"/>
  <c r="BN52" i="2"/>
  <c r="Z53" i="2"/>
  <c r="BN53" i="2"/>
  <c r="BN54" i="2"/>
  <c r="Z64" i="2"/>
  <c r="BN64" i="2"/>
  <c r="BN65" i="2"/>
  <c r="Z72" i="2"/>
  <c r="BN77" i="2"/>
  <c r="Z83" i="2"/>
  <c r="Z84" i="2" s="1"/>
  <c r="Y85" i="2"/>
  <c r="BP90" i="2"/>
  <c r="Z95" i="2"/>
  <c r="BP98" i="2"/>
  <c r="BN121" i="2"/>
  <c r="BP132" i="2"/>
  <c r="BN135" i="2"/>
  <c r="Z135" i="2"/>
  <c r="Y143" i="2"/>
  <c r="BN156" i="2"/>
  <c r="BN178" i="2"/>
  <c r="Z178" i="2"/>
  <c r="BN181" i="2"/>
  <c r="Z181" i="2"/>
  <c r="BP211" i="2"/>
  <c r="BN211" i="2"/>
  <c r="Z211" i="2"/>
  <c r="BN225" i="2"/>
  <c r="Z225" i="2"/>
  <c r="BP226" i="2"/>
  <c r="BP240" i="2"/>
  <c r="BN241" i="2"/>
  <c r="BN244" i="2"/>
  <c r="BP244" i="2"/>
  <c r="BP273" i="2"/>
  <c r="BN273" i="2"/>
  <c r="Z273" i="2"/>
  <c r="BN283" i="2"/>
  <c r="Z283" i="2"/>
  <c r="BP295" i="2"/>
  <c r="BN295" i="2"/>
  <c r="Z295" i="2"/>
  <c r="Y298" i="2"/>
  <c r="BP304" i="2"/>
  <c r="BN305" i="2"/>
  <c r="BP307" i="2"/>
  <c r="BN307" i="2"/>
  <c r="Z307" i="2"/>
  <c r="Y313" i="2"/>
  <c r="Z311" i="2"/>
  <c r="Z312" i="2" s="1"/>
  <c r="BP327" i="2"/>
  <c r="BN328" i="2"/>
  <c r="BP342" i="2"/>
  <c r="BN342" i="2"/>
  <c r="Z342" i="2"/>
  <c r="Y369" i="2"/>
  <c r="Z365" i="2"/>
  <c r="BP366" i="2"/>
  <c r="BP367" i="2"/>
  <c r="Z367" i="2"/>
  <c r="BP385" i="2"/>
  <c r="BN396" i="2"/>
  <c r="Z411" i="2"/>
  <c r="BP423" i="2"/>
  <c r="BN423" i="2"/>
  <c r="Z423" i="2"/>
  <c r="BN428" i="2"/>
  <c r="Z428" i="2"/>
  <c r="BP441" i="2"/>
  <c r="BN453" i="2"/>
  <c r="BN501" i="2"/>
  <c r="Z501" i="2"/>
  <c r="BP538" i="2"/>
  <c r="Z538" i="2"/>
  <c r="Z539" i="2" s="1"/>
  <c r="BP141" i="2"/>
  <c r="BP161" i="2"/>
  <c r="Y170" i="2"/>
  <c r="BP187" i="2"/>
  <c r="BN202" i="2"/>
  <c r="BN235" i="2"/>
  <c r="BN260" i="2"/>
  <c r="BN290" i="2"/>
  <c r="BP329" i="2"/>
  <c r="Y370" i="2"/>
  <c r="BP363" i="2"/>
  <c r="BN364" i="2"/>
  <c r="BN384" i="2"/>
  <c r="Y412" i="2"/>
  <c r="BP408" i="2"/>
  <c r="BP416" i="2"/>
  <c r="BN417" i="2"/>
  <c r="BP434" i="2"/>
  <c r="Y437" i="2"/>
  <c r="BP457" i="2"/>
  <c r="BN504" i="2"/>
  <c r="Y531" i="2"/>
  <c r="Y37" i="2"/>
  <c r="BP209" i="2"/>
  <c r="Z209" i="2"/>
  <c r="BN250" i="2"/>
  <c r="BP250" i="2"/>
  <c r="Z250" i="2"/>
  <c r="B561" i="2"/>
  <c r="X551" i="2"/>
  <c r="Y32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480" i="2" l="1"/>
  <c r="Z338" i="2"/>
  <c r="Z251" i="2"/>
  <c r="Z297" i="2"/>
  <c r="Z386" i="2"/>
  <c r="Z347" i="2"/>
  <c r="Z143" i="2"/>
  <c r="Z418" i="2"/>
  <c r="Z55" i="2"/>
  <c r="Z322" i="2"/>
  <c r="Z454" i="2"/>
  <c r="Z437" i="2"/>
  <c r="Z369" i="2"/>
  <c r="X554" i="2"/>
  <c r="Z292" i="2"/>
  <c r="Z431" i="2"/>
  <c r="Z277" i="2"/>
  <c r="Z136" i="2"/>
  <c r="Z199" i="2"/>
  <c r="Z379" i="2"/>
  <c r="Z331" i="2"/>
  <c r="Z99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Y554" i="2" l="1"/>
  <c r="Z556" i="2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<sst xmlns="http://schemas.openxmlformats.org/spreadsheetml/2006/main" count="4202" uniqueCount="896">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</sst>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67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68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895</v>
      </c>
      <c r="I5" s="638"/>
      <c r="J5" s="638"/>
      <c r="K5" s="638"/>
      <c r="L5" s="638"/>
      <c r="M5" s="638"/>
      <c r="N5" s="69"/>
      <c r="P5" s="26" t="s">
        <v>4</v>
      </c>
      <c r="Q5" s="640">
        <v>46231</v>
      </c>
      <c r="R5" s="640"/>
      <c r="T5" s="641" t="s">
        <v>3</v>
      </c>
      <c r="U5" s="642"/>
      <c r="V5" s="643" t="s">
        <v>871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878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Вторник</v>
      </c>
      <c r="R6" s="646"/>
      <c r="T6" s="647" t="s">
        <v>5</v>
      </c>
      <c r="U6" s="648"/>
      <c r="V6" s="649" t="s">
        <v>70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3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58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0.5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71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55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72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73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74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75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61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59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66</v>
      </c>
      <c r="L17" s="679" t="s">
        <v>64</v>
      </c>
      <c r="M17" s="679" t="s">
        <v>2</v>
      </c>
      <c r="N17" s="679" t="s">
        <v>63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56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60</v>
      </c>
      <c r="AB17" s="693" t="s">
        <v>19</v>
      </c>
      <c r="AC17" s="693" t="s">
        <v>65</v>
      </c>
      <c r="AD17" s="695" t="s">
        <v>57</v>
      </c>
      <c r="AE17" s="696"/>
      <c r="AF17" s="697"/>
      <c r="AG17" s="77"/>
      <c r="BD17" s="76" t="s">
        <v>62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76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76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77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86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3" t="s">
        <v>104</v>
      </c>
      <c r="B34" s="703"/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704">
        <v>4607091388503</v>
      </c>
      <c r="E35" s="70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7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6"/>
      <c r="R35" s="706"/>
      <c r="S35" s="706"/>
      <c r="T35" s="70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2"/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3"/>
      <c r="P36" s="709" t="s">
        <v>40</v>
      </c>
      <c r="Q36" s="710"/>
      <c r="R36" s="710"/>
      <c r="S36" s="710"/>
      <c r="T36" s="710"/>
      <c r="U36" s="710"/>
      <c r="V36" s="711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2"/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3"/>
      <c r="P37" s="709" t="s">
        <v>40</v>
      </c>
      <c r="Q37" s="710"/>
      <c r="R37" s="710"/>
      <c r="S37" s="710"/>
      <c r="T37" s="710"/>
      <c r="U37" s="710"/>
      <c r="V37" s="711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01" t="s">
        <v>45</v>
      </c>
      <c r="B38" s="701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1"/>
      <c r="O38" s="701"/>
      <c r="P38" s="701"/>
      <c r="Q38" s="701"/>
      <c r="R38" s="701"/>
      <c r="S38" s="701"/>
      <c r="T38" s="701"/>
      <c r="U38" s="701"/>
      <c r="V38" s="701"/>
      <c r="W38" s="701"/>
      <c r="X38" s="701"/>
      <c r="Y38" s="701"/>
      <c r="Z38" s="701"/>
      <c r="AA38" s="52"/>
      <c r="AB38" s="52"/>
      <c r="AC38" s="52"/>
    </row>
    <row r="39" spans="1:68" ht="16.5" hidden="1" customHeight="1" x14ac:dyDescent="0.25">
      <c r="A39" s="702" t="s">
        <v>110</v>
      </c>
      <c r="B39" s="702"/>
      <c r="C39" s="702"/>
      <c r="D39" s="702"/>
      <c r="E39" s="702"/>
      <c r="F39" s="702"/>
      <c r="G39" s="702"/>
      <c r="H39" s="702"/>
      <c r="I39" s="702"/>
      <c r="J39" s="702"/>
      <c r="K39" s="702"/>
      <c r="L39" s="702"/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  <c r="Z39" s="702"/>
      <c r="AA39" s="62"/>
      <c r="AB39" s="62"/>
      <c r="AC39" s="62"/>
    </row>
    <row r="40" spans="1:68" ht="14.25" hidden="1" customHeight="1" x14ac:dyDescent="0.25">
      <c r="A40" s="703" t="s">
        <v>86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704">
        <v>4680115889354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7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704">
        <v>4680115888463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72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704">
        <v>4680115888494</v>
      </c>
      <c r="E43" s="70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6"/>
      <c r="R43" s="706"/>
      <c r="S43" s="706"/>
      <c r="T43" s="70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704">
        <v>4680115888272</v>
      </c>
      <c r="E44" s="70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6"/>
      <c r="R44" s="706"/>
      <c r="S44" s="706"/>
      <c r="T44" s="70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704">
        <v>4680115888364</v>
      </c>
      <c r="E45" s="70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6"/>
      <c r="R45" s="706"/>
      <c r="S45" s="706"/>
      <c r="T45" s="70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2"/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3"/>
      <c r="P46" s="709" t="s">
        <v>40</v>
      </c>
      <c r="Q46" s="710"/>
      <c r="R46" s="710"/>
      <c r="S46" s="710"/>
      <c r="T46" s="710"/>
      <c r="U46" s="710"/>
      <c r="V46" s="711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2"/>
      <c r="B47" s="712"/>
      <c r="C47" s="712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3"/>
      <c r="P47" s="709" t="s">
        <v>40</v>
      </c>
      <c r="Q47" s="710"/>
      <c r="R47" s="710"/>
      <c r="S47" s="710"/>
      <c r="T47" s="710"/>
      <c r="U47" s="710"/>
      <c r="V47" s="711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701" t="s">
        <v>126</v>
      </c>
      <c r="B48" s="701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701"/>
      <c r="O48" s="701"/>
      <c r="P48" s="701"/>
      <c r="Q48" s="701"/>
      <c r="R48" s="701"/>
      <c r="S48" s="701"/>
      <c r="T48" s="701"/>
      <c r="U48" s="701"/>
      <c r="V48" s="701"/>
      <c r="W48" s="701"/>
      <c r="X48" s="701"/>
      <c r="Y48" s="701"/>
      <c r="Z48" s="701"/>
      <c r="AA48" s="52"/>
      <c r="AB48" s="52"/>
      <c r="AC48" s="52"/>
    </row>
    <row r="49" spans="1:68" ht="16.5" hidden="1" customHeight="1" x14ac:dyDescent="0.25">
      <c r="A49" s="702" t="s">
        <v>127</v>
      </c>
      <c r="B49" s="702"/>
      <c r="C49" s="702"/>
      <c r="D49" s="702"/>
      <c r="E49" s="702"/>
      <c r="F49" s="702"/>
      <c r="G49" s="702"/>
      <c r="H49" s="702"/>
      <c r="I49" s="702"/>
      <c r="J49" s="702"/>
      <c r="K49" s="702"/>
      <c r="L49" s="702"/>
      <c r="M49" s="702"/>
      <c r="N49" s="702"/>
      <c r="O49" s="702"/>
      <c r="P49" s="702"/>
      <c r="Q49" s="702"/>
      <c r="R49" s="702"/>
      <c r="S49" s="702"/>
      <c r="T49" s="702"/>
      <c r="U49" s="702"/>
      <c r="V49" s="702"/>
      <c r="W49" s="702"/>
      <c r="X49" s="702"/>
      <c r="Y49" s="702"/>
      <c r="Z49" s="702"/>
      <c r="AA49" s="62"/>
      <c r="AB49" s="62"/>
      <c r="AC49" s="62"/>
    </row>
    <row r="50" spans="1:68" ht="14.25" hidden="1" customHeight="1" x14ac:dyDescent="0.25">
      <c r="A50" s="703" t="s">
        <v>128</v>
      </c>
      <c r="B50" s="703"/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704">
        <v>4607091385670</v>
      </c>
      <c r="E51" s="70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500</v>
      </c>
      <c r="Y51" s="53">
        <f>IFERROR(IF(X51="",0,CEILING((X51/$H51),1)*$H51),"")</f>
        <v>507.6</v>
      </c>
      <c r="Z51" s="39">
        <f>IFERROR(IF(Y51=0,"",ROUNDUP(Y51/H51,0)*0.01898),"")</f>
        <v>0.89205999999999996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518.98148148148141</v>
      </c>
      <c r="BN51" s="75">
        <f>IFERROR(Y51*I51/H51,"0")</f>
        <v>526.87</v>
      </c>
      <c r="BO51" s="75">
        <f>IFERROR(1/J51*(X51/H51),"0")</f>
        <v>0.72337962962962954</v>
      </c>
      <c r="BP51" s="75">
        <f>IFERROR(1/J51*(Y51/H51),"0")</f>
        <v>0.734375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704">
        <v>4680115887725</v>
      </c>
      <c r="E52" s="70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6"/>
      <c r="R52" s="706"/>
      <c r="S52" s="706"/>
      <c r="T52" s="70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704">
        <v>4607091385687</v>
      </c>
      <c r="E53" s="70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6"/>
      <c r="R53" s="706"/>
      <c r="S53" s="706"/>
      <c r="T53" s="707"/>
      <c r="U53" s="37" t="s">
        <v>46</v>
      </c>
      <c r="V53" s="37" t="s">
        <v>46</v>
      </c>
      <c r="W53" s="38" t="s">
        <v>0</v>
      </c>
      <c r="X53" s="56">
        <v>60</v>
      </c>
      <c r="Y53" s="53">
        <f>IFERROR(IF(X53="",0,CEILING((X53/$H53),1)*$H53),"")</f>
        <v>60</v>
      </c>
      <c r="Z53" s="39">
        <f>IFERROR(IF(Y53=0,"",ROUNDUP(Y53/H53,0)*0.00902),"")</f>
        <v>0.1353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62.850000000000009</v>
      </c>
      <c r="BN53" s="75">
        <f>IFERROR(Y53*I53/H53,"0")</f>
        <v>62.850000000000009</v>
      </c>
      <c r="BO53" s="75">
        <f>IFERROR(1/J53*(X53/H53),"0")</f>
        <v>0.11363636363636365</v>
      </c>
      <c r="BP53" s="75">
        <f>IFERROR(1/J53*(Y53/H53),"0")</f>
        <v>0.11363636363636365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704">
        <v>4680115882539</v>
      </c>
      <c r="E54" s="70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6"/>
      <c r="R54" s="706"/>
      <c r="S54" s="706"/>
      <c r="T54" s="70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712"/>
      <c r="B55" s="712"/>
      <c r="C55" s="712"/>
      <c r="D55" s="712"/>
      <c r="E55" s="712"/>
      <c r="F55" s="712"/>
      <c r="G55" s="712"/>
      <c r="H55" s="712"/>
      <c r="I55" s="712"/>
      <c r="J55" s="712"/>
      <c r="K55" s="712"/>
      <c r="L55" s="712"/>
      <c r="M55" s="712"/>
      <c r="N55" s="712"/>
      <c r="O55" s="713"/>
      <c r="P55" s="709" t="s">
        <v>40</v>
      </c>
      <c r="Q55" s="710"/>
      <c r="R55" s="710"/>
      <c r="S55" s="710"/>
      <c r="T55" s="710"/>
      <c r="U55" s="710"/>
      <c r="V55" s="711"/>
      <c r="W55" s="40" t="s">
        <v>39</v>
      </c>
      <c r="X55" s="41">
        <f>IFERROR(X51/H51,"0")+IFERROR(X52/H52,"0")+IFERROR(X53/H53,"0")+IFERROR(X54/H54,"0")</f>
        <v>61.296296296296291</v>
      </c>
      <c r="Y55" s="41">
        <f>IFERROR(Y51/H51,"0")+IFERROR(Y52/H52,"0")+IFERROR(Y53/H53,"0")+IFERROR(Y54/H54,"0")</f>
        <v>62</v>
      </c>
      <c r="Z55" s="41">
        <f>IFERROR(IF(Z51="",0,Z51),"0")+IFERROR(IF(Z52="",0,Z52),"0")+IFERROR(IF(Z53="",0,Z53),"0")+IFERROR(IF(Z54="",0,Z54),"0")</f>
        <v>1.0273600000000001</v>
      </c>
      <c r="AA55" s="64"/>
      <c r="AB55" s="64"/>
      <c r="AC55" s="64"/>
    </row>
    <row r="56" spans="1:68" x14ac:dyDescent="0.2">
      <c r="A56" s="712"/>
      <c r="B56" s="712"/>
      <c r="C56" s="712"/>
      <c r="D56" s="712"/>
      <c r="E56" s="712"/>
      <c r="F56" s="712"/>
      <c r="G56" s="712"/>
      <c r="H56" s="712"/>
      <c r="I56" s="712"/>
      <c r="J56" s="712"/>
      <c r="K56" s="712"/>
      <c r="L56" s="712"/>
      <c r="M56" s="712"/>
      <c r="N56" s="712"/>
      <c r="O56" s="713"/>
      <c r="P56" s="709" t="s">
        <v>40</v>
      </c>
      <c r="Q56" s="710"/>
      <c r="R56" s="710"/>
      <c r="S56" s="710"/>
      <c r="T56" s="710"/>
      <c r="U56" s="710"/>
      <c r="V56" s="711"/>
      <c r="W56" s="40" t="s">
        <v>0</v>
      </c>
      <c r="X56" s="41">
        <f>IFERROR(SUM(X51:X54),"0")</f>
        <v>560</v>
      </c>
      <c r="Y56" s="41">
        <f>IFERROR(SUM(Y51:Y54),"0")</f>
        <v>567.6</v>
      </c>
      <c r="Z56" s="40"/>
      <c r="AA56" s="64"/>
      <c r="AB56" s="64"/>
      <c r="AC56" s="64"/>
    </row>
    <row r="57" spans="1:68" ht="16.5" hidden="1" customHeight="1" x14ac:dyDescent="0.25">
      <c r="A57" s="702" t="s">
        <v>143</v>
      </c>
      <c r="B57" s="702"/>
      <c r="C57" s="702"/>
      <c r="D57" s="702"/>
      <c r="E57" s="702"/>
      <c r="F57" s="702"/>
      <c r="G57" s="702"/>
      <c r="H57" s="702"/>
      <c r="I57" s="702"/>
      <c r="J57" s="702"/>
      <c r="K57" s="702"/>
      <c r="L57" s="702"/>
      <c r="M57" s="702"/>
      <c r="N57" s="702"/>
      <c r="O57" s="702"/>
      <c r="P57" s="702"/>
      <c r="Q57" s="702"/>
      <c r="R57" s="702"/>
      <c r="S57" s="702"/>
      <c r="T57" s="702"/>
      <c r="U57" s="702"/>
      <c r="V57" s="702"/>
      <c r="W57" s="702"/>
      <c r="X57" s="702"/>
      <c r="Y57" s="702"/>
      <c r="Z57" s="702"/>
      <c r="AA57" s="62"/>
      <c r="AB57" s="62"/>
      <c r="AC57" s="62"/>
    </row>
    <row r="58" spans="1:68" ht="14.25" hidden="1" customHeight="1" x14ac:dyDescent="0.25">
      <c r="A58" s="703" t="s">
        <v>128</v>
      </c>
      <c r="B58" s="703"/>
      <c r="C58" s="703"/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704">
        <v>4680115885882</v>
      </c>
      <c r="E59" s="70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704">
        <v>4680115885882</v>
      </c>
      <c r="E60" s="70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7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704">
        <v>4680115881426</v>
      </c>
      <c r="E61" s="70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7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300</v>
      </c>
      <c r="Y61" s="53">
        <f t="shared" si="0"/>
        <v>302.40000000000003</v>
      </c>
      <c r="Z61" s="39">
        <f>IFERROR(IF(Y61=0,"",ROUNDUP(Y61/H61,0)*0.01898),"")</f>
        <v>0.53144000000000002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311.38888888888891</v>
      </c>
      <c r="BN61" s="75">
        <f t="shared" si="2"/>
        <v>313.88</v>
      </c>
      <c r="BO61" s="75">
        <f t="shared" si="3"/>
        <v>0.43402777777777773</v>
      </c>
      <c r="BP61" s="75">
        <f t="shared" si="4"/>
        <v>0.4375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704">
        <v>4680115880283</v>
      </c>
      <c r="E62" s="70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7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6"/>
      <c r="R62" s="706"/>
      <c r="S62" s="706"/>
      <c r="T62" s="70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152</v>
      </c>
      <c r="B63" s="60" t="s">
        <v>155</v>
      </c>
      <c r="C63" s="34">
        <v>4301012259</v>
      </c>
      <c r="D63" s="704">
        <v>4680115880283</v>
      </c>
      <c r="E63" s="70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7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6"/>
      <c r="R63" s="706"/>
      <c r="S63" s="706"/>
      <c r="T63" s="70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156</v>
      </c>
      <c r="B64" s="60" t="s">
        <v>157</v>
      </c>
      <c r="C64" s="34">
        <v>4301011806</v>
      </c>
      <c r="D64" s="704">
        <v>4680115881525</v>
      </c>
      <c r="E64" s="70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7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6"/>
      <c r="R64" s="706"/>
      <c r="S64" s="706"/>
      <c r="T64" s="70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159</v>
      </c>
      <c r="B65" s="60" t="s">
        <v>160</v>
      </c>
      <c r="C65" s="34">
        <v>4301012165</v>
      </c>
      <c r="D65" s="704">
        <v>4680115885899</v>
      </c>
      <c r="E65" s="70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73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161</v>
      </c>
      <c r="B66" s="60" t="s">
        <v>162</v>
      </c>
      <c r="C66" s="34">
        <v>4301011801</v>
      </c>
      <c r="D66" s="704">
        <v>4680115881419</v>
      </c>
      <c r="E66" s="70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7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x14ac:dyDescent="0.2">
      <c r="A67" s="712"/>
      <c r="B67" s="712"/>
      <c r="C67" s="712"/>
      <c r="D67" s="712"/>
      <c r="E67" s="712"/>
      <c r="F67" s="712"/>
      <c r="G67" s="712"/>
      <c r="H67" s="712"/>
      <c r="I67" s="712"/>
      <c r="J67" s="712"/>
      <c r="K67" s="712"/>
      <c r="L67" s="712"/>
      <c r="M67" s="712"/>
      <c r="N67" s="712"/>
      <c r="O67" s="713"/>
      <c r="P67" s="709" t="s">
        <v>40</v>
      </c>
      <c r="Q67" s="710"/>
      <c r="R67" s="710"/>
      <c r="S67" s="710"/>
      <c r="T67" s="710"/>
      <c r="U67" s="710"/>
      <c r="V67" s="711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27.777777777777775</v>
      </c>
      <c r="Y67" s="41">
        <f>IFERROR(Y59/H59,"0")+IFERROR(Y60/H60,"0")+IFERROR(Y61/H61,"0")+IFERROR(Y62/H62,"0")+IFERROR(Y63/H63,"0")+IFERROR(Y64/H64,"0")+IFERROR(Y65/H65,"0")+IFERROR(Y66/H66,"0")</f>
        <v>28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0.53144000000000002</v>
      </c>
      <c r="AA67" s="64"/>
      <c r="AB67" s="64"/>
      <c r="AC67" s="64"/>
    </row>
    <row r="68" spans="1:68" x14ac:dyDescent="0.2">
      <c r="A68" s="712"/>
      <c r="B68" s="712"/>
      <c r="C68" s="712"/>
      <c r="D68" s="712"/>
      <c r="E68" s="712"/>
      <c r="F68" s="712"/>
      <c r="G68" s="712"/>
      <c r="H68" s="712"/>
      <c r="I68" s="712"/>
      <c r="J68" s="712"/>
      <c r="K68" s="712"/>
      <c r="L68" s="712"/>
      <c r="M68" s="712"/>
      <c r="N68" s="712"/>
      <c r="O68" s="713"/>
      <c r="P68" s="709" t="s">
        <v>40</v>
      </c>
      <c r="Q68" s="710"/>
      <c r="R68" s="710"/>
      <c r="S68" s="710"/>
      <c r="T68" s="710"/>
      <c r="U68" s="710"/>
      <c r="V68" s="711"/>
      <c r="W68" s="40" t="s">
        <v>0</v>
      </c>
      <c r="X68" s="41">
        <f>IFERROR(SUM(X59:X66),"0")</f>
        <v>300</v>
      </c>
      <c r="Y68" s="41">
        <f>IFERROR(SUM(Y59:Y66),"0")</f>
        <v>302.40000000000003</v>
      </c>
      <c r="Z68" s="40"/>
      <c r="AA68" s="64"/>
      <c r="AB68" s="64"/>
      <c r="AC68" s="64"/>
    </row>
    <row r="69" spans="1:68" ht="14.25" hidden="1" customHeight="1" x14ac:dyDescent="0.25">
      <c r="A69" s="703" t="s">
        <v>164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  <c r="AA69" s="63"/>
      <c r="AB69" s="63"/>
      <c r="AC69" s="63"/>
    </row>
    <row r="70" spans="1:68" ht="16.5" customHeight="1" x14ac:dyDescent="0.25">
      <c r="A70" s="60" t="s">
        <v>165</v>
      </c>
      <c r="B70" s="60" t="s">
        <v>166</v>
      </c>
      <c r="C70" s="34">
        <v>4301020298</v>
      </c>
      <c r="D70" s="704">
        <v>4680115881440</v>
      </c>
      <c r="E70" s="70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7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6"/>
      <c r="R70" s="706"/>
      <c r="S70" s="706"/>
      <c r="T70" s="707"/>
      <c r="U70" s="37" t="s">
        <v>46</v>
      </c>
      <c r="V70" s="37" t="s">
        <v>46</v>
      </c>
      <c r="W70" s="38" t="s">
        <v>0</v>
      </c>
      <c r="X70" s="56">
        <v>150</v>
      </c>
      <c r="Y70" s="53">
        <f>IFERROR(IF(X70="",0,CEILING((X70/$H70),1)*$H70),"")</f>
        <v>151.20000000000002</v>
      </c>
      <c r="Z70" s="39">
        <f>IFERROR(IF(Y70=0,"",ROUNDUP(Y70/H70,0)*0.01898),"")</f>
        <v>0.26572000000000001</v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155.69444444444446</v>
      </c>
      <c r="BN70" s="75">
        <f>IFERROR(Y70*I70/H70,"0")</f>
        <v>156.94</v>
      </c>
      <c r="BO70" s="75">
        <f>IFERROR(1/J70*(X70/H70),"0")</f>
        <v>0.21701388888888887</v>
      </c>
      <c r="BP70" s="75">
        <f>IFERROR(1/J70*(Y70/H70),"0")</f>
        <v>0.21875</v>
      </c>
    </row>
    <row r="71" spans="1:68" ht="16.5" hidden="1" customHeight="1" x14ac:dyDescent="0.25">
      <c r="A71" s="60" t="s">
        <v>168</v>
      </c>
      <c r="B71" s="60" t="s">
        <v>169</v>
      </c>
      <c r="C71" s="34">
        <v>4301020358</v>
      </c>
      <c r="D71" s="704">
        <v>4680115885950</v>
      </c>
      <c r="E71" s="70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7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6"/>
      <c r="R71" s="706"/>
      <c r="S71" s="706"/>
      <c r="T71" s="70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170</v>
      </c>
      <c r="B72" s="60" t="s">
        <v>171</v>
      </c>
      <c r="C72" s="34">
        <v>4301020371</v>
      </c>
      <c r="D72" s="704">
        <v>4680115887688</v>
      </c>
      <c r="E72" s="70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7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173</v>
      </c>
      <c r="B73" s="60" t="s">
        <v>174</v>
      </c>
      <c r="C73" s="34">
        <v>4301020296</v>
      </c>
      <c r="D73" s="704">
        <v>4680115881433</v>
      </c>
      <c r="E73" s="70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7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IFERROR(X70/H70,"0")+IFERROR(X71/H71,"0")+IFERROR(X72/H72,"0")+IFERROR(X73/H73,"0")</f>
        <v>13.888888888888888</v>
      </c>
      <c r="Y74" s="41">
        <f>IFERROR(Y70/H70,"0")+IFERROR(Y71/H71,"0")+IFERROR(Y72/H72,"0")+IFERROR(Y73/H73,"0")</f>
        <v>14</v>
      </c>
      <c r="Z74" s="41">
        <f>IFERROR(IF(Z70="",0,Z70),"0")+IFERROR(IF(Z71="",0,Z71),"0")+IFERROR(IF(Z72="",0,Z72),"0")+IFERROR(IF(Z73="",0,Z73),"0")</f>
        <v>0.26572000000000001</v>
      </c>
      <c r="AA74" s="64"/>
      <c r="AB74" s="64"/>
      <c r="AC74" s="64"/>
    </row>
    <row r="75" spans="1:68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IFERROR(SUM(X70:X73),"0")</f>
        <v>150</v>
      </c>
      <c r="Y75" s="41">
        <f>IFERROR(SUM(Y70:Y73),"0")</f>
        <v>151.20000000000002</v>
      </c>
      <c r="Z75" s="40"/>
      <c r="AA75" s="64"/>
      <c r="AB75" s="64"/>
      <c r="AC75" s="64"/>
    </row>
    <row r="76" spans="1:68" ht="14.25" hidden="1" customHeight="1" x14ac:dyDescent="0.25">
      <c r="A76" s="703" t="s">
        <v>86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16.5" hidden="1" customHeight="1" x14ac:dyDescent="0.25">
      <c r="A77" s="60" t="s">
        <v>175</v>
      </c>
      <c r="B77" s="60" t="s">
        <v>176</v>
      </c>
      <c r="C77" s="34">
        <v>4301051837</v>
      </c>
      <c r="D77" s="704">
        <v>4680115884311</v>
      </c>
      <c r="E77" s="70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178</v>
      </c>
      <c r="B78" s="60" t="s">
        <v>179</v>
      </c>
      <c r="C78" s="34">
        <v>4301051929</v>
      </c>
      <c r="D78" s="704">
        <v>4680115884403</v>
      </c>
      <c r="E78" s="70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3" t="s">
        <v>181</v>
      </c>
      <c r="B81" s="703"/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  <c r="AA81" s="63"/>
      <c r="AB81" s="63"/>
      <c r="AC81" s="63"/>
    </row>
    <row r="82" spans="1:68" ht="27" hidden="1" customHeight="1" x14ac:dyDescent="0.25">
      <c r="A82" s="60" t="s">
        <v>182</v>
      </c>
      <c r="B82" s="60" t="s">
        <v>183</v>
      </c>
      <c r="C82" s="34">
        <v>4301060455</v>
      </c>
      <c r="D82" s="704">
        <v>4680115881532</v>
      </c>
      <c r="E82" s="70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7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6"/>
      <c r="R82" s="706"/>
      <c r="S82" s="706"/>
      <c r="T82" s="70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185</v>
      </c>
      <c r="B83" s="60" t="s">
        <v>186</v>
      </c>
      <c r="C83" s="34">
        <v>4301060351</v>
      </c>
      <c r="D83" s="704">
        <v>4680115881464</v>
      </c>
      <c r="E83" s="70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7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12"/>
      <c r="B84" s="712"/>
      <c r="C84" s="712"/>
      <c r="D84" s="712"/>
      <c r="E84" s="712"/>
      <c r="F84" s="712"/>
      <c r="G84" s="712"/>
      <c r="H84" s="712"/>
      <c r="I84" s="712"/>
      <c r="J84" s="712"/>
      <c r="K84" s="712"/>
      <c r="L84" s="712"/>
      <c r="M84" s="712"/>
      <c r="N84" s="712"/>
      <c r="O84" s="713"/>
      <c r="P84" s="709" t="s">
        <v>40</v>
      </c>
      <c r="Q84" s="710"/>
      <c r="R84" s="710"/>
      <c r="S84" s="710"/>
      <c r="T84" s="710"/>
      <c r="U84" s="710"/>
      <c r="V84" s="711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12"/>
      <c r="B85" s="712"/>
      <c r="C85" s="712"/>
      <c r="D85" s="712"/>
      <c r="E85" s="712"/>
      <c r="F85" s="712"/>
      <c r="G85" s="712"/>
      <c r="H85" s="712"/>
      <c r="I85" s="712"/>
      <c r="J85" s="712"/>
      <c r="K85" s="712"/>
      <c r="L85" s="712"/>
      <c r="M85" s="712"/>
      <c r="N85" s="712"/>
      <c r="O85" s="713"/>
      <c r="P85" s="709" t="s">
        <v>40</v>
      </c>
      <c r="Q85" s="710"/>
      <c r="R85" s="710"/>
      <c r="S85" s="710"/>
      <c r="T85" s="710"/>
      <c r="U85" s="710"/>
      <c r="V85" s="711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702" t="s">
        <v>188</v>
      </c>
      <c r="B86" s="702"/>
      <c r="C86" s="702"/>
      <c r="D86" s="702"/>
      <c r="E86" s="702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2"/>
      <c r="R86" s="702"/>
      <c r="S86" s="702"/>
      <c r="T86" s="702"/>
      <c r="U86" s="702"/>
      <c r="V86" s="702"/>
      <c r="W86" s="702"/>
      <c r="X86" s="702"/>
      <c r="Y86" s="702"/>
      <c r="Z86" s="702"/>
      <c r="AA86" s="62"/>
      <c r="AB86" s="62"/>
      <c r="AC86" s="62"/>
    </row>
    <row r="87" spans="1:68" ht="14.25" hidden="1" customHeight="1" x14ac:dyDescent="0.25">
      <c r="A87" s="703" t="s">
        <v>128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  <c r="AA87" s="63"/>
      <c r="AB87" s="63"/>
      <c r="AC87" s="63"/>
    </row>
    <row r="88" spans="1:68" ht="27" customHeight="1" x14ac:dyDescent="0.25">
      <c r="A88" s="60" t="s">
        <v>189</v>
      </c>
      <c r="B88" s="60" t="s">
        <v>190</v>
      </c>
      <c r="C88" s="34">
        <v>4301011468</v>
      </c>
      <c r="D88" s="704">
        <v>4680115881327</v>
      </c>
      <c r="E88" s="70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7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6"/>
      <c r="R88" s="706"/>
      <c r="S88" s="706"/>
      <c r="T88" s="707"/>
      <c r="U88" s="37" t="s">
        <v>46</v>
      </c>
      <c r="V88" s="37" t="s">
        <v>46</v>
      </c>
      <c r="W88" s="38" t="s">
        <v>0</v>
      </c>
      <c r="X88" s="56">
        <v>400</v>
      </c>
      <c r="Y88" s="53">
        <f>IFERROR(IF(X88="",0,CEILING((X88/$H88),1)*$H88),"")</f>
        <v>410.40000000000003</v>
      </c>
      <c r="Z88" s="39">
        <f>IFERROR(IF(Y88=0,"",ROUNDUP(Y88/H88,0)*0.01898),"")</f>
        <v>0.72123999999999999</v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415.18518518518516</v>
      </c>
      <c r="BN88" s="75">
        <f>IFERROR(Y88*I88/H88,"0")</f>
        <v>425.98</v>
      </c>
      <c r="BO88" s="75">
        <f>IFERROR(1/J88*(X88/H88),"0")</f>
        <v>0.57870370370370372</v>
      </c>
      <c r="BP88" s="75">
        <f>IFERROR(1/J88*(Y88/H88),"0")</f>
        <v>0.59375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4301011261</v>
      </c>
      <c r="D89" s="704">
        <v>4680115887732</v>
      </c>
      <c r="E89" s="70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74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6"/>
      <c r="R89" s="706"/>
      <c r="S89" s="706"/>
      <c r="T89" s="70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195</v>
      </c>
      <c r="B90" s="60" t="s">
        <v>196</v>
      </c>
      <c r="C90" s="34">
        <v>4301011476</v>
      </c>
      <c r="D90" s="704">
        <v>4680115881518</v>
      </c>
      <c r="E90" s="70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197</v>
      </c>
      <c r="B91" s="60" t="s">
        <v>198</v>
      </c>
      <c r="C91" s="34">
        <v>4301011443</v>
      </c>
      <c r="D91" s="704">
        <v>4680115881303</v>
      </c>
      <c r="E91" s="70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x14ac:dyDescent="0.2">
      <c r="A92" s="712"/>
      <c r="B92" s="712"/>
      <c r="C92" s="712"/>
      <c r="D92" s="712"/>
      <c r="E92" s="712"/>
      <c r="F92" s="712"/>
      <c r="G92" s="712"/>
      <c r="H92" s="712"/>
      <c r="I92" s="712"/>
      <c r="J92" s="712"/>
      <c r="K92" s="712"/>
      <c r="L92" s="712"/>
      <c r="M92" s="712"/>
      <c r="N92" s="712"/>
      <c r="O92" s="713"/>
      <c r="P92" s="709" t="s">
        <v>40</v>
      </c>
      <c r="Q92" s="710"/>
      <c r="R92" s="710"/>
      <c r="S92" s="710"/>
      <c r="T92" s="710"/>
      <c r="U92" s="710"/>
      <c r="V92" s="711"/>
      <c r="W92" s="40" t="s">
        <v>39</v>
      </c>
      <c r="X92" s="41">
        <f>IFERROR(X88/H88,"0")+IFERROR(X89/H89,"0")+IFERROR(X90/H90,"0")+IFERROR(X91/H91,"0")</f>
        <v>37.037037037037038</v>
      </c>
      <c r="Y92" s="41">
        <f>IFERROR(Y88/H88,"0")+IFERROR(Y89/H89,"0")+IFERROR(Y90/H90,"0")+IFERROR(Y91/H91,"0")</f>
        <v>38</v>
      </c>
      <c r="Z92" s="41">
        <f>IFERROR(IF(Z88="",0,Z88),"0")+IFERROR(IF(Z89="",0,Z89),"0")+IFERROR(IF(Z90="",0,Z90),"0")+IFERROR(IF(Z91="",0,Z91),"0")</f>
        <v>0.72123999999999999</v>
      </c>
      <c r="AA92" s="64"/>
      <c r="AB92" s="64"/>
      <c r="AC92" s="64"/>
    </row>
    <row r="93" spans="1:68" x14ac:dyDescent="0.2">
      <c r="A93" s="712"/>
      <c r="B93" s="712"/>
      <c r="C93" s="712"/>
      <c r="D93" s="712"/>
      <c r="E93" s="712"/>
      <c r="F93" s="712"/>
      <c r="G93" s="712"/>
      <c r="H93" s="712"/>
      <c r="I93" s="712"/>
      <c r="J93" s="712"/>
      <c r="K93" s="712"/>
      <c r="L93" s="712"/>
      <c r="M93" s="712"/>
      <c r="N93" s="712"/>
      <c r="O93" s="713"/>
      <c r="P93" s="709" t="s">
        <v>40</v>
      </c>
      <c r="Q93" s="710"/>
      <c r="R93" s="710"/>
      <c r="S93" s="710"/>
      <c r="T93" s="710"/>
      <c r="U93" s="710"/>
      <c r="V93" s="711"/>
      <c r="W93" s="40" t="s">
        <v>0</v>
      </c>
      <c r="X93" s="41">
        <f>IFERROR(SUM(X88:X91),"0")</f>
        <v>400</v>
      </c>
      <c r="Y93" s="41">
        <f>IFERROR(SUM(Y88:Y91),"0")</f>
        <v>410.40000000000003</v>
      </c>
      <c r="Z93" s="40"/>
      <c r="AA93" s="64"/>
      <c r="AB93" s="64"/>
      <c r="AC93" s="64"/>
    </row>
    <row r="94" spans="1:68" ht="14.25" hidden="1" customHeight="1" x14ac:dyDescent="0.25">
      <c r="A94" s="703" t="s">
        <v>86</v>
      </c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704">
        <v>4607091386967</v>
      </c>
      <c r="E95" s="70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7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6"/>
      <c r="R95" s="706"/>
      <c r="S95" s="706"/>
      <c r="T95" s="707"/>
      <c r="U95" s="37" t="s">
        <v>46</v>
      </c>
      <c r="V95" s="37" t="s">
        <v>46</v>
      </c>
      <c r="W95" s="38" t="s">
        <v>0</v>
      </c>
      <c r="X95" s="56">
        <v>100</v>
      </c>
      <c r="Y95" s="53">
        <f>IFERROR(IF(X95="",0,CEILING((X95/$H95),1)*$H95),"")</f>
        <v>105.3</v>
      </c>
      <c r="Z95" s="39">
        <f>IFERROR(IF(Y95=0,"",ROUNDUP(Y95/H95,0)*0.01898),"")</f>
        <v>0.24674000000000001</v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106.09876543209877</v>
      </c>
      <c r="BN95" s="75">
        <f>IFERROR(Y95*I95/H95,"0")</f>
        <v>111.72199999999999</v>
      </c>
      <c r="BO95" s="75">
        <f>IFERROR(1/J95*(X95/H95),"0")</f>
        <v>0.19290123456790123</v>
      </c>
      <c r="BP95" s="75">
        <f>IFERROR(1/J95*(Y95/H95),"0")</f>
        <v>0.203125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4301051788</v>
      </c>
      <c r="D96" s="704">
        <v>4680115884953</v>
      </c>
      <c r="E96" s="70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6"/>
      <c r="R96" s="706"/>
      <c r="S96" s="706"/>
      <c r="T96" s="70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704">
        <v>4607091385731</v>
      </c>
      <c r="E97" s="70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6"/>
      <c r="R97" s="706"/>
      <c r="S97" s="706"/>
      <c r="T97" s="707"/>
      <c r="U97" s="37" t="s">
        <v>46</v>
      </c>
      <c r="V97" s="37" t="s">
        <v>46</v>
      </c>
      <c r="W97" s="38" t="s">
        <v>0</v>
      </c>
      <c r="X97" s="56">
        <v>81</v>
      </c>
      <c r="Y97" s="53">
        <f>IFERROR(IF(X97="",0,CEILING((X97/$H97),1)*$H97),"")</f>
        <v>81</v>
      </c>
      <c r="Z97" s="39">
        <f>IFERROR(IF(Y97=0,"",ROUNDUP(Y97/H97,0)*0.00651),"")</f>
        <v>0.1953</v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88.559999999999988</v>
      </c>
      <c r="BN97" s="75">
        <f>IFERROR(Y97*I97/H97,"0")</f>
        <v>88.559999999999988</v>
      </c>
      <c r="BO97" s="75">
        <f>IFERROR(1/J97*(X97/H97),"0")</f>
        <v>0.16483516483516483</v>
      </c>
      <c r="BP97" s="75">
        <f>IFERROR(1/J97*(Y97/H97),"0")</f>
        <v>0.16483516483516483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704">
        <v>4680115880894</v>
      </c>
      <c r="E98" s="70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5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712"/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3"/>
      <c r="P99" s="709" t="s">
        <v>40</v>
      </c>
      <c r="Q99" s="710"/>
      <c r="R99" s="710"/>
      <c r="S99" s="710"/>
      <c r="T99" s="710"/>
      <c r="U99" s="710"/>
      <c r="V99" s="711"/>
      <c r="W99" s="40" t="s">
        <v>39</v>
      </c>
      <c r="X99" s="41">
        <f>IFERROR(X95/H95,"0")+IFERROR(X96/H96,"0")+IFERROR(X97/H97,"0")+IFERROR(X98/H98,"0")</f>
        <v>42.345679012345677</v>
      </c>
      <c r="Y99" s="41">
        <f>IFERROR(Y95/H95,"0")+IFERROR(Y96/H96,"0")+IFERROR(Y97/H97,"0")+IFERROR(Y98/H98,"0")</f>
        <v>43</v>
      </c>
      <c r="Z99" s="41">
        <f>IFERROR(IF(Z95="",0,Z95),"0")+IFERROR(IF(Z96="",0,Z96),"0")+IFERROR(IF(Z97="",0,Z97),"0")+IFERROR(IF(Z98="",0,Z98),"0")</f>
        <v>0.44203999999999999</v>
      </c>
      <c r="AA99" s="64"/>
      <c r="AB99" s="64"/>
      <c r="AC99" s="64"/>
    </row>
    <row r="100" spans="1:68" x14ac:dyDescent="0.2">
      <c r="A100" s="712"/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712"/>
      <c r="O100" s="713"/>
      <c r="P100" s="709" t="s">
        <v>40</v>
      </c>
      <c r="Q100" s="710"/>
      <c r="R100" s="710"/>
      <c r="S100" s="710"/>
      <c r="T100" s="710"/>
      <c r="U100" s="710"/>
      <c r="V100" s="711"/>
      <c r="W100" s="40" t="s">
        <v>0</v>
      </c>
      <c r="X100" s="41">
        <f>IFERROR(SUM(X95:X98),"0")</f>
        <v>181</v>
      </c>
      <c r="Y100" s="41">
        <f>IFERROR(SUM(Y95:Y98),"0")</f>
        <v>186.3</v>
      </c>
      <c r="Z100" s="40"/>
      <c r="AA100" s="64"/>
      <c r="AB100" s="64"/>
      <c r="AC100" s="64"/>
    </row>
    <row r="101" spans="1:68" ht="16.5" hidden="1" customHeight="1" x14ac:dyDescent="0.25">
      <c r="A101" s="702" t="s">
        <v>209</v>
      </c>
      <c r="B101" s="702"/>
      <c r="C101" s="702"/>
      <c r="D101" s="702"/>
      <c r="E101" s="702"/>
      <c r="F101" s="702"/>
      <c r="G101" s="702"/>
      <c r="H101" s="702"/>
      <c r="I101" s="702"/>
      <c r="J101" s="702"/>
      <c r="K101" s="702"/>
      <c r="L101" s="702"/>
      <c r="M101" s="702"/>
      <c r="N101" s="702"/>
      <c r="O101" s="702"/>
      <c r="P101" s="702"/>
      <c r="Q101" s="702"/>
      <c r="R101" s="702"/>
      <c r="S101" s="702"/>
      <c r="T101" s="702"/>
      <c r="U101" s="702"/>
      <c r="V101" s="702"/>
      <c r="W101" s="702"/>
      <c r="X101" s="702"/>
      <c r="Y101" s="702"/>
      <c r="Z101" s="702"/>
      <c r="AA101" s="62"/>
      <c r="AB101" s="62"/>
      <c r="AC101" s="62"/>
    </row>
    <row r="102" spans="1:68" ht="14.25" hidden="1" customHeight="1" x14ac:dyDescent="0.25">
      <c r="A102" s="703" t="s">
        <v>128</v>
      </c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  <c r="AA102" s="63"/>
      <c r="AB102" s="63"/>
      <c r="AC102" s="63"/>
    </row>
    <row r="103" spans="1:68" ht="37.5" customHeight="1" x14ac:dyDescent="0.25">
      <c r="A103" s="60" t="s">
        <v>210</v>
      </c>
      <c r="B103" s="60" t="s">
        <v>211</v>
      </c>
      <c r="C103" s="34">
        <v>4301011514</v>
      </c>
      <c r="D103" s="704">
        <v>4680115882133</v>
      </c>
      <c r="E103" s="70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7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400</v>
      </c>
      <c r="Y103" s="53">
        <f t="shared" ref="Y103:Y108" si="5">IFERROR(IF(X103="",0,CEILING((X103/$H103),1)*$H103),"")</f>
        <v>410.40000000000003</v>
      </c>
      <c r="Z103" s="39">
        <f>IFERROR(IF(Y103=0,"",ROUNDUP(Y103/H103,0)*0.01898),"")</f>
        <v>0.72123999999999999</v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415.18518518518516</v>
      </c>
      <c r="BN103" s="75">
        <f t="shared" ref="BN103:BN108" si="7">IFERROR(Y103*I103/H103,"0")</f>
        <v>425.98</v>
      </c>
      <c r="BO103" s="75">
        <f t="shared" ref="BO103:BO108" si="8">IFERROR(1/J103*(X103/H103),"0")</f>
        <v>0.57870370370370372</v>
      </c>
      <c r="BP103" s="75">
        <f t="shared" ref="BP103:BP108" si="9">IFERROR(1/J103*(Y103/H103),"0")</f>
        <v>0.59375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704">
        <v>4680115887718</v>
      </c>
      <c r="E104" s="70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704">
        <v>4680115887718</v>
      </c>
      <c r="E105" s="70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5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6"/>
      <c r="R105" s="706"/>
      <c r="S105" s="706"/>
      <c r="T105" s="70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704">
        <v>4680115880269</v>
      </c>
      <c r="E106" s="70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6"/>
      <c r="R106" s="706"/>
      <c r="S106" s="706"/>
      <c r="T106" s="70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219</v>
      </c>
      <c r="B107" s="60" t="s">
        <v>220</v>
      </c>
      <c r="C107" s="34">
        <v>4301011415</v>
      </c>
      <c r="D107" s="704">
        <v>4680115880429</v>
      </c>
      <c r="E107" s="70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6"/>
      <c r="R107" s="706"/>
      <c r="S107" s="706"/>
      <c r="T107" s="70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4301011462</v>
      </c>
      <c r="D108" s="704">
        <v>4680115881457</v>
      </c>
      <c r="E108" s="70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712"/>
      <c r="B109" s="712"/>
      <c r="C109" s="712"/>
      <c r="D109" s="712"/>
      <c r="E109" s="712"/>
      <c r="F109" s="712"/>
      <c r="G109" s="712"/>
      <c r="H109" s="712"/>
      <c r="I109" s="712"/>
      <c r="J109" s="712"/>
      <c r="K109" s="712"/>
      <c r="L109" s="712"/>
      <c r="M109" s="712"/>
      <c r="N109" s="712"/>
      <c r="O109" s="713"/>
      <c r="P109" s="709" t="s">
        <v>40</v>
      </c>
      <c r="Q109" s="710"/>
      <c r="R109" s="710"/>
      <c r="S109" s="710"/>
      <c r="T109" s="710"/>
      <c r="U109" s="710"/>
      <c r="V109" s="711"/>
      <c r="W109" s="40" t="s">
        <v>39</v>
      </c>
      <c r="X109" s="41">
        <f>IFERROR(X103/H103,"0")+IFERROR(X104/H104,"0")+IFERROR(X105/H105,"0")+IFERROR(X106/H106,"0")+IFERROR(X107/H107,"0")+IFERROR(X108/H108,"0")</f>
        <v>37.037037037037038</v>
      </c>
      <c r="Y109" s="41">
        <f>IFERROR(Y103/H103,"0")+IFERROR(Y104/H104,"0")+IFERROR(Y105/H105,"0")+IFERROR(Y106/H106,"0")+IFERROR(Y107/H107,"0")+IFERROR(Y108/H108,"0")</f>
        <v>38</v>
      </c>
      <c r="Z109" s="41">
        <f>IFERROR(IF(Z103="",0,Z103),"0")+IFERROR(IF(Z104="",0,Z104),"0")+IFERROR(IF(Z105="",0,Z105),"0")+IFERROR(IF(Z106="",0,Z106),"0")+IFERROR(IF(Z107="",0,Z107),"0")+IFERROR(IF(Z108="",0,Z108),"0")</f>
        <v>0.72123999999999999</v>
      </c>
      <c r="AA109" s="64"/>
      <c r="AB109" s="64"/>
      <c r="AC109" s="64"/>
    </row>
    <row r="110" spans="1:68" x14ac:dyDescent="0.2">
      <c r="A110" s="712"/>
      <c r="B110" s="712"/>
      <c r="C110" s="712"/>
      <c r="D110" s="712"/>
      <c r="E110" s="712"/>
      <c r="F110" s="712"/>
      <c r="G110" s="712"/>
      <c r="H110" s="712"/>
      <c r="I110" s="712"/>
      <c r="J110" s="712"/>
      <c r="K110" s="712"/>
      <c r="L110" s="712"/>
      <c r="M110" s="712"/>
      <c r="N110" s="712"/>
      <c r="O110" s="713"/>
      <c r="P110" s="709" t="s">
        <v>40</v>
      </c>
      <c r="Q110" s="710"/>
      <c r="R110" s="710"/>
      <c r="S110" s="710"/>
      <c r="T110" s="710"/>
      <c r="U110" s="710"/>
      <c r="V110" s="711"/>
      <c r="W110" s="40" t="s">
        <v>0</v>
      </c>
      <c r="X110" s="41">
        <f>IFERROR(SUM(X103:X108),"0")</f>
        <v>400</v>
      </c>
      <c r="Y110" s="41">
        <f>IFERROR(SUM(Y103:Y108),"0")</f>
        <v>410.40000000000003</v>
      </c>
      <c r="Z110" s="40"/>
      <c r="AA110" s="64"/>
      <c r="AB110" s="64"/>
      <c r="AC110" s="64"/>
    </row>
    <row r="111" spans="1:68" ht="14.25" hidden="1" customHeight="1" x14ac:dyDescent="0.25">
      <c r="A111" s="703" t="s">
        <v>164</v>
      </c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  <c r="AA111" s="63"/>
      <c r="AB111" s="63"/>
      <c r="AC111" s="63"/>
    </row>
    <row r="112" spans="1:68" ht="27" customHeight="1" x14ac:dyDescent="0.25">
      <c r="A112" s="60" t="s">
        <v>223</v>
      </c>
      <c r="B112" s="60" t="s">
        <v>224</v>
      </c>
      <c r="C112" s="34">
        <v>4301020391</v>
      </c>
      <c r="D112" s="704">
        <v>4680115881488</v>
      </c>
      <c r="E112" s="70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100</v>
      </c>
      <c r="Y112" s="53">
        <f>IFERROR(IF(X112="",0,CEILING((X112/$H112),1)*$H112),"")</f>
        <v>108</v>
      </c>
      <c r="Z112" s="39">
        <f>IFERROR(IF(Y112=0,"",ROUNDUP(Y112/H112,0)*0.01898),"")</f>
        <v>0.1898</v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103.79629629629629</v>
      </c>
      <c r="BN112" s="75">
        <f>IFERROR(Y112*I112/H112,"0")</f>
        <v>112.1</v>
      </c>
      <c r="BO112" s="75">
        <f>IFERROR(1/J112*(X112/H112),"0")</f>
        <v>0.14467592592592593</v>
      </c>
      <c r="BP112" s="75">
        <f>IFERROR(1/J112*(Y112/H112),"0")</f>
        <v>0.15625</v>
      </c>
    </row>
    <row r="113" spans="1:68" ht="27" hidden="1" customHeight="1" x14ac:dyDescent="0.25">
      <c r="A113" s="60" t="s">
        <v>226</v>
      </c>
      <c r="B113" s="60" t="s">
        <v>227</v>
      </c>
      <c r="C113" s="34">
        <v>4301020186</v>
      </c>
      <c r="D113" s="704">
        <v>4680115887664</v>
      </c>
      <c r="E113" s="70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6"/>
      <c r="R113" s="706"/>
      <c r="S113" s="706"/>
      <c r="T113" s="70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226</v>
      </c>
      <c r="B114" s="60" t="s">
        <v>230</v>
      </c>
      <c r="C114" s="34">
        <v>4301020430</v>
      </c>
      <c r="D114" s="704">
        <v>4680115887664</v>
      </c>
      <c r="E114" s="70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7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6"/>
      <c r="R114" s="706"/>
      <c r="S114" s="706"/>
      <c r="T114" s="70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4301020393</v>
      </c>
      <c r="D115" s="704">
        <v>4680115882775</v>
      </c>
      <c r="E115" s="70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7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6"/>
      <c r="R115" s="706"/>
      <c r="S115" s="706"/>
      <c r="T115" s="70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customHeight="1" x14ac:dyDescent="0.25">
      <c r="A116" s="60" t="s">
        <v>233</v>
      </c>
      <c r="B116" s="60" t="s">
        <v>234</v>
      </c>
      <c r="C116" s="34">
        <v>4301020392</v>
      </c>
      <c r="D116" s="704">
        <v>4680115880658</v>
      </c>
      <c r="E116" s="70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7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24</v>
      </c>
      <c r="Y116" s="53">
        <f>IFERROR(IF(X116="",0,CEILING((X116/$H116),1)*$H116),"")</f>
        <v>24</v>
      </c>
      <c r="Z116" s="39">
        <f>IFERROR(IF(Y116=0,"",ROUNDUP(Y116/H116,0)*0.00651),"")</f>
        <v>6.5100000000000005E-2</v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25.8</v>
      </c>
      <c r="BN116" s="75">
        <f>IFERROR(Y116*I116/H116,"0")</f>
        <v>25.8</v>
      </c>
      <c r="BO116" s="75">
        <f>IFERROR(1/J116*(X116/H116),"0")</f>
        <v>5.4945054945054951E-2</v>
      </c>
      <c r="BP116" s="75">
        <f>IFERROR(1/J116*(Y116/H116),"0")</f>
        <v>5.4945054945054951E-2</v>
      </c>
    </row>
    <row r="117" spans="1:68" x14ac:dyDescent="0.2">
      <c r="A117" s="712"/>
      <c r="B117" s="712"/>
      <c r="C117" s="712"/>
      <c r="D117" s="712"/>
      <c r="E117" s="712"/>
      <c r="F117" s="712"/>
      <c r="G117" s="712"/>
      <c r="H117" s="712"/>
      <c r="I117" s="712"/>
      <c r="J117" s="712"/>
      <c r="K117" s="712"/>
      <c r="L117" s="712"/>
      <c r="M117" s="712"/>
      <c r="N117" s="712"/>
      <c r="O117" s="713"/>
      <c r="P117" s="709" t="s">
        <v>40</v>
      </c>
      <c r="Q117" s="710"/>
      <c r="R117" s="710"/>
      <c r="S117" s="710"/>
      <c r="T117" s="710"/>
      <c r="U117" s="710"/>
      <c r="V117" s="711"/>
      <c r="W117" s="40" t="s">
        <v>39</v>
      </c>
      <c r="X117" s="41">
        <f>IFERROR(X112/H112,"0")+IFERROR(X113/H113,"0")+IFERROR(X114/H114,"0")+IFERROR(X115/H115,"0")+IFERROR(X116/H116,"0")</f>
        <v>19.25925925925926</v>
      </c>
      <c r="Y117" s="41">
        <f>IFERROR(Y112/H112,"0")+IFERROR(Y113/H113,"0")+IFERROR(Y114/H114,"0")+IFERROR(Y115/H115,"0")+IFERROR(Y116/H116,"0")</f>
        <v>20</v>
      </c>
      <c r="Z117" s="41">
        <f>IFERROR(IF(Z112="",0,Z112),"0")+IFERROR(IF(Z113="",0,Z113),"0")+IFERROR(IF(Z114="",0,Z114),"0")+IFERROR(IF(Z115="",0,Z115),"0")+IFERROR(IF(Z116="",0,Z116),"0")</f>
        <v>0.25490000000000002</v>
      </c>
      <c r="AA117" s="64"/>
      <c r="AB117" s="64"/>
      <c r="AC117" s="64"/>
    </row>
    <row r="118" spans="1:68" x14ac:dyDescent="0.2">
      <c r="A118" s="712"/>
      <c r="B118" s="712"/>
      <c r="C118" s="712"/>
      <c r="D118" s="712"/>
      <c r="E118" s="712"/>
      <c r="F118" s="712"/>
      <c r="G118" s="712"/>
      <c r="H118" s="712"/>
      <c r="I118" s="712"/>
      <c r="J118" s="712"/>
      <c r="K118" s="712"/>
      <c r="L118" s="712"/>
      <c r="M118" s="712"/>
      <c r="N118" s="712"/>
      <c r="O118" s="713"/>
      <c r="P118" s="709" t="s">
        <v>40</v>
      </c>
      <c r="Q118" s="710"/>
      <c r="R118" s="710"/>
      <c r="S118" s="710"/>
      <c r="T118" s="710"/>
      <c r="U118" s="710"/>
      <c r="V118" s="711"/>
      <c r="W118" s="40" t="s">
        <v>0</v>
      </c>
      <c r="X118" s="41">
        <f>IFERROR(SUM(X112:X116),"0")</f>
        <v>124</v>
      </c>
      <c r="Y118" s="41">
        <f>IFERROR(SUM(Y112:Y116),"0")</f>
        <v>132</v>
      </c>
      <c r="Z118" s="40"/>
      <c r="AA118" s="64"/>
      <c r="AB118" s="64"/>
      <c r="AC118" s="64"/>
    </row>
    <row r="119" spans="1:68" ht="14.25" hidden="1" customHeight="1" x14ac:dyDescent="0.25">
      <c r="A119" s="703" t="s">
        <v>86</v>
      </c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704">
        <v>4607091385168</v>
      </c>
      <c r="E120" s="70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76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6"/>
      <c r="R120" s="706"/>
      <c r="S120" s="706"/>
      <c r="T120" s="707"/>
      <c r="U120" s="37" t="s">
        <v>46</v>
      </c>
      <c r="V120" s="37" t="s">
        <v>46</v>
      </c>
      <c r="W120" s="38" t="s">
        <v>0</v>
      </c>
      <c r="X120" s="56">
        <v>1000</v>
      </c>
      <c r="Y120" s="53">
        <f>IFERROR(IF(X120="",0,CEILING((X120/$H120),1)*$H120),"")</f>
        <v>1004.4</v>
      </c>
      <c r="Z120" s="39">
        <f>IFERROR(IF(Y120=0,"",ROUNDUP(Y120/H120,0)*0.01898),"")</f>
        <v>2.3535200000000001</v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1060.2469135802469</v>
      </c>
      <c r="BN120" s="75">
        <f>IFERROR(Y120*I120/H120,"0")</f>
        <v>1064.9119999999998</v>
      </c>
      <c r="BO120" s="75">
        <f>IFERROR(1/J120*(X120/H120),"0")</f>
        <v>1.9290123456790125</v>
      </c>
      <c r="BP120" s="75">
        <f>IFERROR(1/J120*(Y120/H120),"0")</f>
        <v>1.9375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4301051730</v>
      </c>
      <c r="D121" s="704">
        <v>4607091383256</v>
      </c>
      <c r="E121" s="70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76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6"/>
      <c r="R121" s="706"/>
      <c r="S121" s="706"/>
      <c r="T121" s="70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704">
        <v>4607091385748</v>
      </c>
      <c r="E122" s="70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6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6"/>
      <c r="R122" s="706"/>
      <c r="S122" s="706"/>
      <c r="T122" s="707"/>
      <c r="U122" s="37" t="s">
        <v>46</v>
      </c>
      <c r="V122" s="37" t="s">
        <v>46</v>
      </c>
      <c r="W122" s="38" t="s">
        <v>0</v>
      </c>
      <c r="X122" s="56">
        <v>189</v>
      </c>
      <c r="Y122" s="53">
        <f>IFERROR(IF(X122="",0,CEILING((X122/$H122),1)*$H122),"")</f>
        <v>189</v>
      </c>
      <c r="Z122" s="39">
        <f>IFERROR(IF(Y122=0,"",ROUNDUP(Y122/H122,0)*0.00651),"")</f>
        <v>0.45569999999999999</v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206.64</v>
      </c>
      <c r="BN122" s="75">
        <f>IFERROR(Y122*I122/H122,"0")</f>
        <v>206.64</v>
      </c>
      <c r="BO122" s="75">
        <f>IFERROR(1/J122*(X122/H122),"0")</f>
        <v>0.38461538461538464</v>
      </c>
      <c r="BP122" s="75">
        <f>IFERROR(1/J122*(Y122/H122),"0")</f>
        <v>0.38461538461538464</v>
      </c>
    </row>
    <row r="123" spans="1:68" ht="16.5" hidden="1" customHeight="1" x14ac:dyDescent="0.25">
      <c r="A123" s="60" t="s">
        <v>242</v>
      </c>
      <c r="B123" s="60" t="s">
        <v>243</v>
      </c>
      <c r="C123" s="34">
        <v>4301051740</v>
      </c>
      <c r="D123" s="704">
        <v>4680115884533</v>
      </c>
      <c r="E123" s="70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IFERROR(X120/H120,"0")+IFERROR(X121/H121,"0")+IFERROR(X122/H122,"0")+IFERROR(X123/H123,"0")</f>
        <v>193.45679012345681</v>
      </c>
      <c r="Y124" s="41">
        <f>IFERROR(Y120/H120,"0")+IFERROR(Y121/H121,"0")+IFERROR(Y122/H122,"0")+IFERROR(Y123/H123,"0")</f>
        <v>194</v>
      </c>
      <c r="Z124" s="41">
        <f>IFERROR(IF(Z120="",0,Z120),"0")+IFERROR(IF(Z121="",0,Z121),"0")+IFERROR(IF(Z122="",0,Z122),"0")+IFERROR(IF(Z123="",0,Z123),"0")</f>
        <v>2.8092199999999998</v>
      </c>
      <c r="AA124" s="64"/>
      <c r="AB124" s="64"/>
      <c r="AC124" s="64"/>
    </row>
    <row r="125" spans="1:68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IFERROR(SUM(X120:X123),"0")</f>
        <v>1189</v>
      </c>
      <c r="Y125" s="41">
        <f>IFERROR(SUM(Y120:Y123),"0")</f>
        <v>1193.4000000000001</v>
      </c>
      <c r="Z125" s="40"/>
      <c r="AA125" s="64"/>
      <c r="AB125" s="64"/>
      <c r="AC125" s="64"/>
    </row>
    <row r="126" spans="1:68" ht="14.25" hidden="1" customHeight="1" x14ac:dyDescent="0.25">
      <c r="A126" s="703" t="s">
        <v>181</v>
      </c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  <c r="AA126" s="63"/>
      <c r="AB126" s="63"/>
      <c r="AC126" s="63"/>
    </row>
    <row r="127" spans="1:68" ht="16.5" hidden="1" customHeight="1" x14ac:dyDescent="0.25">
      <c r="A127" s="60" t="s">
        <v>245</v>
      </c>
      <c r="B127" s="60" t="s">
        <v>246</v>
      </c>
      <c r="C127" s="34">
        <v>4301060317</v>
      </c>
      <c r="D127" s="704">
        <v>4680115880238</v>
      </c>
      <c r="E127" s="70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6"/>
      <c r="R127" s="706"/>
      <c r="S127" s="706"/>
      <c r="T127" s="70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12"/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3"/>
      <c r="P128" s="709" t="s">
        <v>40</v>
      </c>
      <c r="Q128" s="710"/>
      <c r="R128" s="710"/>
      <c r="S128" s="710"/>
      <c r="T128" s="710"/>
      <c r="U128" s="710"/>
      <c r="V128" s="71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12"/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3"/>
      <c r="P129" s="709" t="s">
        <v>40</v>
      </c>
      <c r="Q129" s="710"/>
      <c r="R129" s="710"/>
      <c r="S129" s="710"/>
      <c r="T129" s="710"/>
      <c r="U129" s="710"/>
      <c r="V129" s="71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02" t="s">
        <v>248</v>
      </c>
      <c r="B130" s="702"/>
      <c r="C130" s="702"/>
      <c r="D130" s="702"/>
      <c r="E130" s="702"/>
      <c r="F130" s="702"/>
      <c r="G130" s="702"/>
      <c r="H130" s="702"/>
      <c r="I130" s="702"/>
      <c r="J130" s="702"/>
      <c r="K130" s="702"/>
      <c r="L130" s="702"/>
      <c r="M130" s="702"/>
      <c r="N130" s="702"/>
      <c r="O130" s="702"/>
      <c r="P130" s="702"/>
      <c r="Q130" s="702"/>
      <c r="R130" s="702"/>
      <c r="S130" s="702"/>
      <c r="T130" s="702"/>
      <c r="U130" s="702"/>
      <c r="V130" s="702"/>
      <c r="W130" s="702"/>
      <c r="X130" s="702"/>
      <c r="Y130" s="702"/>
      <c r="Z130" s="702"/>
      <c r="AA130" s="62"/>
      <c r="AB130" s="62"/>
      <c r="AC130" s="62"/>
    </row>
    <row r="131" spans="1:68" ht="14.25" hidden="1" customHeight="1" x14ac:dyDescent="0.25">
      <c r="A131" s="703" t="s">
        <v>128</v>
      </c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  <c r="AA131" s="63"/>
      <c r="AB131" s="63"/>
      <c r="AC131" s="63"/>
    </row>
    <row r="132" spans="1:68" ht="27" hidden="1" customHeight="1" x14ac:dyDescent="0.25">
      <c r="A132" s="60" t="s">
        <v>249</v>
      </c>
      <c r="B132" s="60" t="s">
        <v>250</v>
      </c>
      <c r="C132" s="34">
        <v>4301012347</v>
      </c>
      <c r="D132" s="704">
        <v>4680115888784</v>
      </c>
      <c r="E132" s="70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133</v>
      </c>
      <c r="L132" s="35" t="s">
        <v>46</v>
      </c>
      <c r="M132" s="36" t="s">
        <v>253</v>
      </c>
      <c r="N132" s="36"/>
      <c r="O132" s="35">
        <v>90</v>
      </c>
      <c r="P132" s="7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6"/>
      <c r="R132" s="706"/>
      <c r="S132" s="706"/>
      <c r="T132" s="70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252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254</v>
      </c>
      <c r="B133" s="60" t="s">
        <v>255</v>
      </c>
      <c r="C133" s="34">
        <v>4301012350</v>
      </c>
      <c r="D133" s="704">
        <v>4680115888845</v>
      </c>
      <c r="E133" s="70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140</v>
      </c>
      <c r="L133" s="35" t="s">
        <v>46</v>
      </c>
      <c r="M133" s="36" t="s">
        <v>253</v>
      </c>
      <c r="N133" s="36"/>
      <c r="O133" s="35">
        <v>90</v>
      </c>
      <c r="P133" s="7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6"/>
      <c r="R133" s="706"/>
      <c r="S133" s="706"/>
      <c r="T133" s="70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252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256</v>
      </c>
      <c r="B134" s="60" t="s">
        <v>257</v>
      </c>
      <c r="C134" s="34">
        <v>4301011562</v>
      </c>
      <c r="D134" s="704">
        <v>4680115882577</v>
      </c>
      <c r="E134" s="70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7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258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256</v>
      </c>
      <c r="B135" s="60" t="s">
        <v>259</v>
      </c>
      <c r="C135" s="34">
        <v>4301011564</v>
      </c>
      <c r="D135" s="704">
        <v>4680115882577</v>
      </c>
      <c r="E135" s="70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7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12"/>
      <c r="B136" s="712"/>
      <c r="C136" s="712"/>
      <c r="D136" s="712"/>
      <c r="E136" s="712"/>
      <c r="F136" s="712"/>
      <c r="G136" s="712"/>
      <c r="H136" s="712"/>
      <c r="I136" s="712"/>
      <c r="J136" s="712"/>
      <c r="K136" s="712"/>
      <c r="L136" s="712"/>
      <c r="M136" s="712"/>
      <c r="N136" s="712"/>
      <c r="O136" s="713"/>
      <c r="P136" s="709" t="s">
        <v>40</v>
      </c>
      <c r="Q136" s="710"/>
      <c r="R136" s="710"/>
      <c r="S136" s="710"/>
      <c r="T136" s="710"/>
      <c r="U136" s="710"/>
      <c r="V136" s="711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712"/>
      <c r="B137" s="712"/>
      <c r="C137" s="712"/>
      <c r="D137" s="712"/>
      <c r="E137" s="712"/>
      <c r="F137" s="712"/>
      <c r="G137" s="712"/>
      <c r="H137" s="712"/>
      <c r="I137" s="712"/>
      <c r="J137" s="712"/>
      <c r="K137" s="712"/>
      <c r="L137" s="712"/>
      <c r="M137" s="712"/>
      <c r="N137" s="712"/>
      <c r="O137" s="713"/>
      <c r="P137" s="709" t="s">
        <v>40</v>
      </c>
      <c r="Q137" s="710"/>
      <c r="R137" s="710"/>
      <c r="S137" s="710"/>
      <c r="T137" s="710"/>
      <c r="U137" s="710"/>
      <c r="V137" s="711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703" t="s">
        <v>77</v>
      </c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  <c r="AA138" s="63"/>
      <c r="AB138" s="63"/>
      <c r="AC138" s="63"/>
    </row>
    <row r="139" spans="1:68" ht="16.5" hidden="1" customHeight="1" x14ac:dyDescent="0.25">
      <c r="A139" s="60" t="s">
        <v>260</v>
      </c>
      <c r="B139" s="60" t="s">
        <v>261</v>
      </c>
      <c r="C139" s="34">
        <v>4301031506</v>
      </c>
      <c r="D139" s="704">
        <v>4680115888913</v>
      </c>
      <c r="E139" s="70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133</v>
      </c>
      <c r="L139" s="35" t="s">
        <v>46</v>
      </c>
      <c r="M139" s="36" t="s">
        <v>253</v>
      </c>
      <c r="N139" s="36"/>
      <c r="O139" s="35">
        <v>90</v>
      </c>
      <c r="P139" s="7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6"/>
      <c r="R139" s="706"/>
      <c r="S139" s="706"/>
      <c r="T139" s="70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252</v>
      </c>
      <c r="AC139" s="203" t="s">
        <v>262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263</v>
      </c>
      <c r="B140" s="60" t="s">
        <v>264</v>
      </c>
      <c r="C140" s="34">
        <v>4301031504</v>
      </c>
      <c r="D140" s="704">
        <v>4680115888920</v>
      </c>
      <c r="E140" s="70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82</v>
      </c>
      <c r="L140" s="35" t="s">
        <v>46</v>
      </c>
      <c r="M140" s="36" t="s">
        <v>253</v>
      </c>
      <c r="N140" s="36"/>
      <c r="O140" s="35">
        <v>90</v>
      </c>
      <c r="P140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6"/>
      <c r="R140" s="706"/>
      <c r="S140" s="706"/>
      <c r="T140" s="70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252</v>
      </c>
      <c r="AC140" s="205" t="s">
        <v>262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265</v>
      </c>
      <c r="B141" s="60" t="s">
        <v>266</v>
      </c>
      <c r="C141" s="34">
        <v>4301031234</v>
      </c>
      <c r="D141" s="704">
        <v>4680115883444</v>
      </c>
      <c r="E141" s="70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91</v>
      </c>
      <c r="L141" s="35" t="s">
        <v>46</v>
      </c>
      <c r="M141" s="36" t="s">
        <v>109</v>
      </c>
      <c r="N141" s="36"/>
      <c r="O141" s="35">
        <v>90</v>
      </c>
      <c r="P141" s="7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267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265</v>
      </c>
      <c r="B142" s="60" t="s">
        <v>268</v>
      </c>
      <c r="C142" s="34">
        <v>4301031235</v>
      </c>
      <c r="D142" s="704">
        <v>4680115883444</v>
      </c>
      <c r="E142" s="70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90</v>
      </c>
      <c r="P142" s="7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267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12"/>
      <c r="B143" s="712"/>
      <c r="C143" s="712"/>
      <c r="D143" s="712"/>
      <c r="E143" s="712"/>
      <c r="F143" s="712"/>
      <c r="G143" s="712"/>
      <c r="H143" s="712"/>
      <c r="I143" s="712"/>
      <c r="J143" s="712"/>
      <c r="K143" s="712"/>
      <c r="L143" s="712"/>
      <c r="M143" s="712"/>
      <c r="N143" s="712"/>
      <c r="O143" s="713"/>
      <c r="P143" s="709" t="s">
        <v>40</v>
      </c>
      <c r="Q143" s="710"/>
      <c r="R143" s="710"/>
      <c r="S143" s="710"/>
      <c r="T143" s="710"/>
      <c r="U143" s="710"/>
      <c r="V143" s="711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703" t="s">
        <v>86</v>
      </c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  <c r="AA145" s="63"/>
      <c r="AB145" s="63"/>
      <c r="AC145" s="63"/>
    </row>
    <row r="146" spans="1:68" ht="16.5" hidden="1" customHeight="1" x14ac:dyDescent="0.25">
      <c r="A146" s="60" t="s">
        <v>269</v>
      </c>
      <c r="B146" s="60" t="s">
        <v>270</v>
      </c>
      <c r="C146" s="34">
        <v>4301052218</v>
      </c>
      <c r="D146" s="704">
        <v>4680115888937</v>
      </c>
      <c r="E146" s="70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133</v>
      </c>
      <c r="L146" s="35" t="s">
        <v>46</v>
      </c>
      <c r="M146" s="36" t="s">
        <v>253</v>
      </c>
      <c r="N146" s="36"/>
      <c r="O146" s="35">
        <v>90</v>
      </c>
      <c r="P146" s="77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6"/>
      <c r="R146" s="706"/>
      <c r="S146" s="706"/>
      <c r="T146" s="70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252</v>
      </c>
      <c r="AC146" s="211" t="s">
        <v>251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271</v>
      </c>
      <c r="B147" s="60" t="s">
        <v>272</v>
      </c>
      <c r="C147" s="34">
        <v>4301052219</v>
      </c>
      <c r="D147" s="704">
        <v>4680115888944</v>
      </c>
      <c r="E147" s="70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91</v>
      </c>
      <c r="L147" s="35" t="s">
        <v>46</v>
      </c>
      <c r="M147" s="36" t="s">
        <v>253</v>
      </c>
      <c r="N147" s="36"/>
      <c r="O147" s="35">
        <v>90</v>
      </c>
      <c r="P147" s="77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6"/>
      <c r="R147" s="706"/>
      <c r="S147" s="706"/>
      <c r="T147" s="70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252</v>
      </c>
      <c r="AC147" s="213" t="s">
        <v>251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273</v>
      </c>
      <c r="B148" s="60" t="s">
        <v>274</v>
      </c>
      <c r="C148" s="34">
        <v>4301051476</v>
      </c>
      <c r="D148" s="704">
        <v>4680115882584</v>
      </c>
      <c r="E148" s="70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109</v>
      </c>
      <c r="N148" s="36"/>
      <c r="O148" s="35">
        <v>60</v>
      </c>
      <c r="P148" s="7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258</v>
      </c>
      <c r="AG148" s="75"/>
      <c r="AJ148" s="79" t="s">
        <v>46</v>
      </c>
      <c r="AK148" s="79">
        <v>0</v>
      </c>
      <c r="BB148" s="216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273</v>
      </c>
      <c r="B149" s="60" t="s">
        <v>275</v>
      </c>
      <c r="C149" s="34">
        <v>4301051477</v>
      </c>
      <c r="D149" s="704">
        <v>4680115882584</v>
      </c>
      <c r="E149" s="70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109</v>
      </c>
      <c r="N149" s="36"/>
      <c r="O149" s="35">
        <v>60</v>
      </c>
      <c r="P149" s="7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258</v>
      </c>
      <c r="AG149" s="75"/>
      <c r="AJ149" s="79" t="s">
        <v>46</v>
      </c>
      <c r="AK149" s="79">
        <v>0</v>
      </c>
      <c r="BB149" s="218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12"/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3"/>
      <c r="P150" s="709" t="s">
        <v>40</v>
      </c>
      <c r="Q150" s="710"/>
      <c r="R150" s="710"/>
      <c r="S150" s="710"/>
      <c r="T150" s="710"/>
      <c r="U150" s="710"/>
      <c r="V150" s="711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712"/>
      <c r="B151" s="712"/>
      <c r="C151" s="712"/>
      <c r="D151" s="712"/>
      <c r="E151" s="712"/>
      <c r="F151" s="712"/>
      <c r="G151" s="712"/>
      <c r="H151" s="712"/>
      <c r="I151" s="712"/>
      <c r="J151" s="712"/>
      <c r="K151" s="712"/>
      <c r="L151" s="712"/>
      <c r="M151" s="712"/>
      <c r="N151" s="712"/>
      <c r="O151" s="713"/>
      <c r="P151" s="709" t="s">
        <v>40</v>
      </c>
      <c r="Q151" s="710"/>
      <c r="R151" s="710"/>
      <c r="S151" s="710"/>
      <c r="T151" s="710"/>
      <c r="U151" s="710"/>
      <c r="V151" s="711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02" t="s">
        <v>276</v>
      </c>
      <c r="B152" s="702"/>
      <c r="C152" s="702"/>
      <c r="D152" s="702"/>
      <c r="E152" s="702"/>
      <c r="F152" s="702"/>
      <c r="G152" s="702"/>
      <c r="H152" s="702"/>
      <c r="I152" s="702"/>
      <c r="J152" s="702"/>
      <c r="K152" s="702"/>
      <c r="L152" s="702"/>
      <c r="M152" s="702"/>
      <c r="N152" s="702"/>
      <c r="O152" s="702"/>
      <c r="P152" s="702"/>
      <c r="Q152" s="702"/>
      <c r="R152" s="702"/>
      <c r="S152" s="702"/>
      <c r="T152" s="702"/>
      <c r="U152" s="702"/>
      <c r="V152" s="702"/>
      <c r="W152" s="702"/>
      <c r="X152" s="702"/>
      <c r="Y152" s="702"/>
      <c r="Z152" s="702"/>
      <c r="AA152" s="62"/>
      <c r="AB152" s="62"/>
      <c r="AC152" s="62"/>
    </row>
    <row r="153" spans="1:68" ht="14.25" hidden="1" customHeight="1" x14ac:dyDescent="0.25">
      <c r="A153" s="703" t="s">
        <v>86</v>
      </c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  <c r="AA153" s="63"/>
      <c r="AB153" s="63"/>
      <c r="AC153" s="63"/>
    </row>
    <row r="154" spans="1:68" ht="27" hidden="1" customHeight="1" x14ac:dyDescent="0.25">
      <c r="A154" s="60" t="s">
        <v>277</v>
      </c>
      <c r="B154" s="60" t="s">
        <v>278</v>
      </c>
      <c r="C154" s="34">
        <v>4301052254</v>
      </c>
      <c r="D154" s="704">
        <v>4680115888203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7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279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280</v>
      </c>
      <c r="B155" s="60" t="s">
        <v>281</v>
      </c>
      <c r="C155" s="34">
        <v>4301052172</v>
      </c>
      <c r="D155" s="704">
        <v>4680115888180</v>
      </c>
      <c r="E155" s="70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7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6"/>
      <c r="R155" s="706"/>
      <c r="S155" s="706"/>
      <c r="T155" s="70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282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283</v>
      </c>
      <c r="B156" s="60" t="s">
        <v>284</v>
      </c>
      <c r="C156" s="34">
        <v>4301052173</v>
      </c>
      <c r="D156" s="704">
        <v>4680115888197</v>
      </c>
      <c r="E156" s="70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78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6"/>
      <c r="R156" s="706"/>
      <c r="S156" s="706"/>
      <c r="T156" s="70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285</v>
      </c>
      <c r="AG156" s="75"/>
      <c r="AJ156" s="79" t="s">
        <v>46</v>
      </c>
      <c r="AK156" s="79">
        <v>0</v>
      </c>
      <c r="BB156" s="224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286</v>
      </c>
      <c r="B157" s="60" t="s">
        <v>287</v>
      </c>
      <c r="C157" s="34">
        <v>4301052175</v>
      </c>
      <c r="D157" s="704">
        <v>4680115888210</v>
      </c>
      <c r="E157" s="70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7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6"/>
      <c r="R157" s="706"/>
      <c r="S157" s="706"/>
      <c r="T157" s="70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288</v>
      </c>
      <c r="AG157" s="75"/>
      <c r="AJ157" s="79" t="s">
        <v>46</v>
      </c>
      <c r="AK157" s="79">
        <v>0</v>
      </c>
      <c r="BB157" s="226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2"/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3"/>
      <c r="P158" s="709" t="s">
        <v>40</v>
      </c>
      <c r="Q158" s="710"/>
      <c r="R158" s="710"/>
      <c r="S158" s="710"/>
      <c r="T158" s="710"/>
      <c r="U158" s="710"/>
      <c r="V158" s="711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3" t="s">
        <v>104</v>
      </c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  <c r="AA160" s="63"/>
      <c r="AB160" s="63"/>
      <c r="AC160" s="63"/>
    </row>
    <row r="161" spans="1:68" ht="27" hidden="1" customHeight="1" x14ac:dyDescent="0.25">
      <c r="A161" s="60" t="s">
        <v>289</v>
      </c>
      <c r="B161" s="60" t="s">
        <v>290</v>
      </c>
      <c r="C161" s="34">
        <v>4301032067</v>
      </c>
      <c r="D161" s="704">
        <v>4680115889132</v>
      </c>
      <c r="E161" s="70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293</v>
      </c>
      <c r="L161" s="35" t="s">
        <v>46</v>
      </c>
      <c r="M161" s="36" t="s">
        <v>292</v>
      </c>
      <c r="N161" s="36"/>
      <c r="O161" s="35">
        <v>120</v>
      </c>
      <c r="P161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6"/>
      <c r="R161" s="706"/>
      <c r="S161" s="706"/>
      <c r="T161" s="70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291</v>
      </c>
      <c r="AG161" s="75"/>
      <c r="AJ161" s="79" t="s">
        <v>46</v>
      </c>
      <c r="AK161" s="79">
        <v>0</v>
      </c>
      <c r="BB161" s="228" t="s">
        <v>108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2"/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3"/>
      <c r="P162" s="709" t="s">
        <v>40</v>
      </c>
      <c r="Q162" s="710"/>
      <c r="R162" s="710"/>
      <c r="S162" s="710"/>
      <c r="T162" s="710"/>
      <c r="U162" s="710"/>
      <c r="V162" s="711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2"/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3"/>
      <c r="P163" s="709" t="s">
        <v>40</v>
      </c>
      <c r="Q163" s="710"/>
      <c r="R163" s="710"/>
      <c r="S163" s="710"/>
      <c r="T163" s="710"/>
      <c r="U163" s="710"/>
      <c r="V163" s="711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2" t="s">
        <v>126</v>
      </c>
      <c r="B164" s="702"/>
      <c r="C164" s="702"/>
      <c r="D164" s="702"/>
      <c r="E164" s="702"/>
      <c r="F164" s="702"/>
      <c r="G164" s="702"/>
      <c r="H164" s="702"/>
      <c r="I164" s="702"/>
      <c r="J164" s="702"/>
      <c r="K164" s="702"/>
      <c r="L164" s="702"/>
      <c r="M164" s="702"/>
      <c r="N164" s="702"/>
      <c r="O164" s="702"/>
      <c r="P164" s="702"/>
      <c r="Q164" s="702"/>
      <c r="R164" s="702"/>
      <c r="S164" s="702"/>
      <c r="T164" s="702"/>
      <c r="U164" s="702"/>
      <c r="V164" s="702"/>
      <c r="W164" s="702"/>
      <c r="X164" s="702"/>
      <c r="Y164" s="702"/>
      <c r="Z164" s="702"/>
      <c r="AA164" s="62"/>
      <c r="AB164" s="62"/>
      <c r="AC164" s="62"/>
    </row>
    <row r="165" spans="1:68" ht="14.25" hidden="1" customHeight="1" x14ac:dyDescent="0.25">
      <c r="A165" s="703" t="s">
        <v>128</v>
      </c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  <c r="AA165" s="63"/>
      <c r="AB165" s="63"/>
      <c r="AC165" s="63"/>
    </row>
    <row r="166" spans="1:68" ht="16.5" hidden="1" customHeight="1" x14ac:dyDescent="0.25">
      <c r="A166" s="60" t="s">
        <v>294</v>
      </c>
      <c r="B166" s="60" t="s">
        <v>295</v>
      </c>
      <c r="C166" s="34">
        <v>4301012344</v>
      </c>
      <c r="D166" s="704">
        <v>4680115888876</v>
      </c>
      <c r="E166" s="70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78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6"/>
      <c r="R166" s="706"/>
      <c r="S166" s="706"/>
      <c r="T166" s="70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252</v>
      </c>
      <c r="AC166" s="229" t="s">
        <v>296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297</v>
      </c>
      <c r="B167" s="60" t="s">
        <v>298</v>
      </c>
      <c r="C167" s="34">
        <v>4301012244</v>
      </c>
      <c r="D167" s="704">
        <v>4680115887374</v>
      </c>
      <c r="E167" s="70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133</v>
      </c>
      <c r="L167" s="35" t="s">
        <v>46</v>
      </c>
      <c r="M167" s="36" t="s">
        <v>132</v>
      </c>
      <c r="N167" s="36"/>
      <c r="O167" s="35">
        <v>55</v>
      </c>
      <c r="P167" s="78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6"/>
      <c r="R167" s="706"/>
      <c r="S167" s="706"/>
      <c r="T167" s="70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299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300</v>
      </c>
      <c r="B168" s="60" t="s">
        <v>301</v>
      </c>
      <c r="C168" s="34">
        <v>4301011705</v>
      </c>
      <c r="D168" s="704">
        <v>4607091384604</v>
      </c>
      <c r="E168" s="70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140</v>
      </c>
      <c r="L168" s="35" t="s">
        <v>46</v>
      </c>
      <c r="M168" s="36" t="s">
        <v>132</v>
      </c>
      <c r="N168" s="36"/>
      <c r="O168" s="35">
        <v>50</v>
      </c>
      <c r="P168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6"/>
      <c r="R168" s="706"/>
      <c r="S168" s="706"/>
      <c r="T168" s="70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302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2"/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3"/>
      <c r="P169" s="709" t="s">
        <v>40</v>
      </c>
      <c r="Q169" s="710"/>
      <c r="R169" s="710"/>
      <c r="S169" s="710"/>
      <c r="T169" s="710"/>
      <c r="U169" s="710"/>
      <c r="V169" s="711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2"/>
      <c r="B170" s="712"/>
      <c r="C170" s="712"/>
      <c r="D170" s="712"/>
      <c r="E170" s="712"/>
      <c r="F170" s="712"/>
      <c r="G170" s="712"/>
      <c r="H170" s="712"/>
      <c r="I170" s="712"/>
      <c r="J170" s="712"/>
      <c r="K170" s="712"/>
      <c r="L170" s="712"/>
      <c r="M170" s="712"/>
      <c r="N170" s="712"/>
      <c r="O170" s="713"/>
      <c r="P170" s="709" t="s">
        <v>40</v>
      </c>
      <c r="Q170" s="710"/>
      <c r="R170" s="710"/>
      <c r="S170" s="710"/>
      <c r="T170" s="710"/>
      <c r="U170" s="710"/>
      <c r="V170" s="711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3" t="s">
        <v>164</v>
      </c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  <c r="AA171" s="63"/>
      <c r="AB171" s="63"/>
      <c r="AC171" s="63"/>
    </row>
    <row r="172" spans="1:68" ht="16.5" hidden="1" customHeight="1" x14ac:dyDescent="0.25">
      <c r="A172" s="60" t="s">
        <v>303</v>
      </c>
      <c r="B172" s="60" t="s">
        <v>304</v>
      </c>
      <c r="C172" s="34">
        <v>4301020439</v>
      </c>
      <c r="D172" s="704">
        <v>4680115889491</v>
      </c>
      <c r="E172" s="70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132</v>
      </c>
      <c r="N172" s="36"/>
      <c r="O172" s="35">
        <v>55</v>
      </c>
      <c r="P172" s="789" t="s">
        <v>305</v>
      </c>
      <c r="Q172" s="706"/>
      <c r="R172" s="706"/>
      <c r="S172" s="706"/>
      <c r="T172" s="70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252</v>
      </c>
      <c r="AC172" s="235" t="s">
        <v>306</v>
      </c>
      <c r="AG172" s="75"/>
      <c r="AJ172" s="79" t="s">
        <v>46</v>
      </c>
      <c r="AK172" s="79">
        <v>0</v>
      </c>
      <c r="BB172" s="236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307</v>
      </c>
      <c r="B173" s="60" t="s">
        <v>308</v>
      </c>
      <c r="C173" s="34">
        <v>4301020410</v>
      </c>
      <c r="D173" s="704">
        <v>4680115887695</v>
      </c>
      <c r="E173" s="70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82</v>
      </c>
      <c r="L173" s="35" t="s">
        <v>46</v>
      </c>
      <c r="M173" s="36" t="s">
        <v>81</v>
      </c>
      <c r="N173" s="36"/>
      <c r="O173" s="35">
        <v>30</v>
      </c>
      <c r="P173" s="7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6"/>
      <c r="R173" s="706"/>
      <c r="S173" s="706"/>
      <c r="T173" s="70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309</v>
      </c>
      <c r="AG173" s="75"/>
      <c r="AJ173" s="79" t="s">
        <v>46</v>
      </c>
      <c r="AK173" s="79">
        <v>0</v>
      </c>
      <c r="BB173" s="238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12"/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3"/>
      <c r="P174" s="709" t="s">
        <v>40</v>
      </c>
      <c r="Q174" s="710"/>
      <c r="R174" s="710"/>
      <c r="S174" s="710"/>
      <c r="T174" s="710"/>
      <c r="U174" s="710"/>
      <c r="V174" s="711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712"/>
      <c r="B175" s="712"/>
      <c r="C175" s="712"/>
      <c r="D175" s="712"/>
      <c r="E175" s="712"/>
      <c r="F175" s="712"/>
      <c r="G175" s="712"/>
      <c r="H175" s="712"/>
      <c r="I175" s="712"/>
      <c r="J175" s="712"/>
      <c r="K175" s="712"/>
      <c r="L175" s="712"/>
      <c r="M175" s="712"/>
      <c r="N175" s="712"/>
      <c r="O175" s="713"/>
      <c r="P175" s="709" t="s">
        <v>40</v>
      </c>
      <c r="Q175" s="710"/>
      <c r="R175" s="710"/>
      <c r="S175" s="710"/>
      <c r="T175" s="710"/>
      <c r="U175" s="710"/>
      <c r="V175" s="711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03" t="s">
        <v>77</v>
      </c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  <c r="AA176" s="63"/>
      <c r="AB176" s="63"/>
      <c r="AC176" s="63"/>
    </row>
    <row r="177" spans="1:68" ht="27" hidden="1" customHeight="1" x14ac:dyDescent="0.25">
      <c r="A177" s="60" t="s">
        <v>310</v>
      </c>
      <c r="B177" s="60" t="s">
        <v>311</v>
      </c>
      <c r="C177" s="34">
        <v>4301031496</v>
      </c>
      <c r="D177" s="704">
        <v>4680115887428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140</v>
      </c>
      <c r="L177" s="35" t="s">
        <v>46</v>
      </c>
      <c r="M177" s="36" t="s">
        <v>81</v>
      </c>
      <c r="N177" s="36"/>
      <c r="O177" s="35">
        <v>40</v>
      </c>
      <c r="P177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312</v>
      </c>
      <c r="AG177" s="75"/>
      <c r="AJ177" s="79" t="s">
        <v>46</v>
      </c>
      <c r="AK177" s="79">
        <v>0</v>
      </c>
      <c r="BB177" s="240" t="s">
        <v>67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313</v>
      </c>
      <c r="B178" s="60" t="s">
        <v>314</v>
      </c>
      <c r="C178" s="34">
        <v>4301031509</v>
      </c>
      <c r="D178" s="704">
        <v>4680115889170</v>
      </c>
      <c r="E178" s="70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140</v>
      </c>
      <c r="L178" s="35" t="s">
        <v>46</v>
      </c>
      <c r="M178" s="36" t="s">
        <v>81</v>
      </c>
      <c r="N178" s="36"/>
      <c r="O178" s="35">
        <v>45</v>
      </c>
      <c r="P178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315</v>
      </c>
      <c r="AG178" s="75"/>
      <c r="AJ178" s="79" t="s">
        <v>46</v>
      </c>
      <c r="AK178" s="79">
        <v>0</v>
      </c>
      <c r="BB178" s="242" t="s">
        <v>67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customHeight="1" x14ac:dyDescent="0.25">
      <c r="A179" s="60" t="s">
        <v>316</v>
      </c>
      <c r="B179" s="60" t="s">
        <v>317</v>
      </c>
      <c r="C179" s="34">
        <v>4301031498</v>
      </c>
      <c r="D179" s="704">
        <v>4680115887398</v>
      </c>
      <c r="E179" s="70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140</v>
      </c>
      <c r="L179" s="35" t="s">
        <v>46</v>
      </c>
      <c r="M179" s="36" t="s">
        <v>81</v>
      </c>
      <c r="N179" s="36"/>
      <c r="O179" s="35">
        <v>40</v>
      </c>
      <c r="P179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50</v>
      </c>
      <c r="Y179" s="53">
        <f t="shared" si="10"/>
        <v>52.5</v>
      </c>
      <c r="Z179" s="39">
        <f>IFERROR(IF(Y179=0,"",ROUNDUP(Y179/H179,0)*0.00902),"")</f>
        <v>0.1353</v>
      </c>
      <c r="AA179" s="65" t="s">
        <v>46</v>
      </c>
      <c r="AB179" s="66" t="s">
        <v>46</v>
      </c>
      <c r="AC179" s="243" t="s">
        <v>318</v>
      </c>
      <c r="AG179" s="75"/>
      <c r="AJ179" s="79" t="s">
        <v>46</v>
      </c>
      <c r="AK179" s="79">
        <v>0</v>
      </c>
      <c r="BB179" s="244" t="s">
        <v>67</v>
      </c>
      <c r="BM179" s="75">
        <f t="shared" si="11"/>
        <v>52.714285714285715</v>
      </c>
      <c r="BN179" s="75">
        <f t="shared" si="12"/>
        <v>55.35</v>
      </c>
      <c r="BO179" s="75">
        <f t="shared" si="13"/>
        <v>0.10822510822510824</v>
      </c>
      <c r="BP179" s="75">
        <f t="shared" si="14"/>
        <v>0.11363636363636365</v>
      </c>
    </row>
    <row r="180" spans="1:68" ht="27" customHeight="1" x14ac:dyDescent="0.25">
      <c r="A180" s="60" t="s">
        <v>319</v>
      </c>
      <c r="B180" s="60" t="s">
        <v>320</v>
      </c>
      <c r="C180" s="34">
        <v>4301031497</v>
      </c>
      <c r="D180" s="704">
        <v>4680115887336</v>
      </c>
      <c r="E180" s="70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140</v>
      </c>
      <c r="L180" s="35" t="s">
        <v>46</v>
      </c>
      <c r="M180" s="36" t="s">
        <v>81</v>
      </c>
      <c r="N180" s="36"/>
      <c r="O180" s="35">
        <v>40</v>
      </c>
      <c r="P180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50</v>
      </c>
      <c r="Y180" s="53">
        <f t="shared" si="10"/>
        <v>52.5</v>
      </c>
      <c r="Z180" s="39">
        <f>IFERROR(IF(Y180=0,"",ROUNDUP(Y180/H180,0)*0.00902),"")</f>
        <v>0.1353</v>
      </c>
      <c r="AA180" s="65" t="s">
        <v>46</v>
      </c>
      <c r="AB180" s="66" t="s">
        <v>46</v>
      </c>
      <c r="AC180" s="245" t="s">
        <v>321</v>
      </c>
      <c r="AG180" s="75"/>
      <c r="AJ180" s="79" t="s">
        <v>46</v>
      </c>
      <c r="AK180" s="79">
        <v>0</v>
      </c>
      <c r="BB180" s="246" t="s">
        <v>67</v>
      </c>
      <c r="BM180" s="75">
        <f t="shared" si="11"/>
        <v>52.714285714285715</v>
      </c>
      <c r="BN180" s="75">
        <f t="shared" si="12"/>
        <v>55.35</v>
      </c>
      <c r="BO180" s="75">
        <f t="shared" si="13"/>
        <v>0.10822510822510824</v>
      </c>
      <c r="BP180" s="75">
        <f t="shared" si="14"/>
        <v>0.11363636363636365</v>
      </c>
    </row>
    <row r="181" spans="1:68" ht="16.5" hidden="1" customHeight="1" x14ac:dyDescent="0.25">
      <c r="A181" s="60" t="s">
        <v>322</v>
      </c>
      <c r="B181" s="60" t="s">
        <v>323</v>
      </c>
      <c r="C181" s="34">
        <v>4301032049</v>
      </c>
      <c r="D181" s="704">
        <v>4680115887787</v>
      </c>
      <c r="E181" s="70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137</v>
      </c>
      <c r="L181" s="35" t="s">
        <v>46</v>
      </c>
      <c r="M181" s="36" t="s">
        <v>81</v>
      </c>
      <c r="N181" s="36"/>
      <c r="O181" s="35">
        <v>45</v>
      </c>
      <c r="P181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324</v>
      </c>
      <c r="AG181" s="75"/>
      <c r="AJ181" s="79" t="s">
        <v>46</v>
      </c>
      <c r="AK181" s="79">
        <v>0</v>
      </c>
      <c r="BB181" s="248" t="s">
        <v>67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325</v>
      </c>
      <c r="B182" s="60" t="s">
        <v>326</v>
      </c>
      <c r="C182" s="34">
        <v>4301031448</v>
      </c>
      <c r="D182" s="704">
        <v>4680115887503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312</v>
      </c>
      <c r="AG182" s="75"/>
      <c r="AJ182" s="79" t="s">
        <v>46</v>
      </c>
      <c r="AK182" s="79">
        <v>0</v>
      </c>
      <c r="BB182" s="250" t="s">
        <v>67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327</v>
      </c>
      <c r="B183" s="60" t="s">
        <v>328</v>
      </c>
      <c r="C183" s="34">
        <v>4301031389</v>
      </c>
      <c r="D183" s="704">
        <v>4680115887763</v>
      </c>
      <c r="E183" s="70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137</v>
      </c>
      <c r="L183" s="35" t="s">
        <v>46</v>
      </c>
      <c r="M183" s="36" t="s">
        <v>81</v>
      </c>
      <c r="N183" s="36"/>
      <c r="O183" s="35">
        <v>45</v>
      </c>
      <c r="P183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329</v>
      </c>
      <c r="AG183" s="75"/>
      <c r="AJ183" s="79" t="s">
        <v>46</v>
      </c>
      <c r="AK183" s="79">
        <v>0</v>
      </c>
      <c r="BB183" s="252" t="s">
        <v>67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327</v>
      </c>
      <c r="B184" s="60" t="s">
        <v>330</v>
      </c>
      <c r="C184" s="34">
        <v>4301031510</v>
      </c>
      <c r="D184" s="704">
        <v>4680115887763</v>
      </c>
      <c r="E184" s="70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137</v>
      </c>
      <c r="L184" s="35" t="s">
        <v>46</v>
      </c>
      <c r="M184" s="36" t="s">
        <v>81</v>
      </c>
      <c r="N184" s="36"/>
      <c r="O184" s="35">
        <v>45</v>
      </c>
      <c r="P184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329</v>
      </c>
      <c r="AG184" s="75"/>
      <c r="AJ184" s="79" t="s">
        <v>46</v>
      </c>
      <c r="AK184" s="79">
        <v>0</v>
      </c>
      <c r="BB184" s="254" t="s">
        <v>67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331</v>
      </c>
      <c r="B185" s="60" t="s">
        <v>332</v>
      </c>
      <c r="C185" s="34">
        <v>4301031454</v>
      </c>
      <c r="D185" s="704">
        <v>4680115887480</v>
      </c>
      <c r="E185" s="70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6"/>
      <c r="R185" s="706"/>
      <c r="S185" s="706"/>
      <c r="T185" s="70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318</v>
      </c>
      <c r="AG185" s="75"/>
      <c r="AJ185" s="79" t="s">
        <v>46</v>
      </c>
      <c r="AK185" s="79">
        <v>0</v>
      </c>
      <c r="BB185" s="256" t="s">
        <v>67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333</v>
      </c>
      <c r="B186" s="60" t="s">
        <v>334</v>
      </c>
      <c r="C186" s="34">
        <v>4301031434</v>
      </c>
      <c r="D186" s="704">
        <v>4680115888067</v>
      </c>
      <c r="E186" s="70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137</v>
      </c>
      <c r="L186" s="35" t="s">
        <v>46</v>
      </c>
      <c r="M186" s="36" t="s">
        <v>81</v>
      </c>
      <c r="N186" s="36"/>
      <c r="O186" s="35">
        <v>45</v>
      </c>
      <c r="P186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6"/>
      <c r="R186" s="706"/>
      <c r="S186" s="706"/>
      <c r="T186" s="70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335</v>
      </c>
      <c r="AG186" s="75"/>
      <c r="AJ186" s="79" t="s">
        <v>46</v>
      </c>
      <c r="AK186" s="79">
        <v>0</v>
      </c>
      <c r="BB186" s="258" t="s">
        <v>67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336</v>
      </c>
      <c r="B187" s="60" t="s">
        <v>337</v>
      </c>
      <c r="C187" s="34">
        <v>4301031451</v>
      </c>
      <c r="D187" s="704">
        <v>4680115887435</v>
      </c>
      <c r="E187" s="70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0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6"/>
      <c r="R187" s="706"/>
      <c r="S187" s="706"/>
      <c r="T187" s="70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321</v>
      </c>
      <c r="AG187" s="75"/>
      <c r="AJ187" s="79" t="s">
        <v>46</v>
      </c>
      <c r="AK187" s="79">
        <v>0</v>
      </c>
      <c r="BB187" s="260" t="s">
        <v>67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x14ac:dyDescent="0.2">
      <c r="A188" s="712"/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3"/>
      <c r="P188" s="709" t="s">
        <v>40</v>
      </c>
      <c r="Q188" s="710"/>
      <c r="R188" s="710"/>
      <c r="S188" s="710"/>
      <c r="T188" s="710"/>
      <c r="U188" s="710"/>
      <c r="V188" s="711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28.571428571428573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0.27060000000000001</v>
      </c>
      <c r="AA188" s="64"/>
      <c r="AB188" s="64"/>
      <c r="AC188" s="64"/>
    </row>
    <row r="189" spans="1:68" x14ac:dyDescent="0.2">
      <c r="A189" s="712"/>
      <c r="B189" s="712"/>
      <c r="C189" s="712"/>
      <c r="D189" s="712"/>
      <c r="E189" s="712"/>
      <c r="F189" s="712"/>
      <c r="G189" s="712"/>
      <c r="H189" s="712"/>
      <c r="I189" s="712"/>
      <c r="J189" s="712"/>
      <c r="K189" s="712"/>
      <c r="L189" s="712"/>
      <c r="M189" s="712"/>
      <c r="N189" s="712"/>
      <c r="O189" s="713"/>
      <c r="P189" s="709" t="s">
        <v>40</v>
      </c>
      <c r="Q189" s="710"/>
      <c r="R189" s="710"/>
      <c r="S189" s="710"/>
      <c r="T189" s="710"/>
      <c r="U189" s="710"/>
      <c r="V189" s="711"/>
      <c r="W189" s="40" t="s">
        <v>0</v>
      </c>
      <c r="X189" s="41">
        <f>IFERROR(SUM(X177:X187),"0")</f>
        <v>100</v>
      </c>
      <c r="Y189" s="41">
        <f>IFERROR(SUM(Y177:Y187),"0")</f>
        <v>105</v>
      </c>
      <c r="Z189" s="40"/>
      <c r="AA189" s="64"/>
      <c r="AB189" s="64"/>
      <c r="AC189" s="64"/>
    </row>
    <row r="190" spans="1:68" ht="14.25" hidden="1" customHeight="1" x14ac:dyDescent="0.25">
      <c r="A190" s="703" t="s">
        <v>86</v>
      </c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  <c r="AA190" s="63"/>
      <c r="AB190" s="63"/>
      <c r="AC190" s="63"/>
    </row>
    <row r="191" spans="1:68" ht="16.5" hidden="1" customHeight="1" x14ac:dyDescent="0.25">
      <c r="A191" s="60" t="s">
        <v>338</v>
      </c>
      <c r="B191" s="60" t="s">
        <v>339</v>
      </c>
      <c r="C191" s="34">
        <v>4301052193</v>
      </c>
      <c r="D191" s="704">
        <v>4680115888395</v>
      </c>
      <c r="E191" s="70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6"/>
      <c r="R191" s="706"/>
      <c r="S191" s="706"/>
      <c r="T191" s="70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340</v>
      </c>
      <c r="AG191" s="75"/>
      <c r="AJ191" s="79" t="s">
        <v>46</v>
      </c>
      <c r="AK191" s="79">
        <v>0</v>
      </c>
      <c r="BB191" s="262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341</v>
      </c>
      <c r="B192" s="60" t="s">
        <v>342</v>
      </c>
      <c r="C192" s="34">
        <v>4301052191</v>
      </c>
      <c r="D192" s="704">
        <v>4680115888371</v>
      </c>
      <c r="E192" s="70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91</v>
      </c>
      <c r="L192" s="35" t="s">
        <v>46</v>
      </c>
      <c r="M192" s="36" t="s">
        <v>97</v>
      </c>
      <c r="N192" s="36"/>
      <c r="O192" s="35">
        <v>40</v>
      </c>
      <c r="P19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6"/>
      <c r="R192" s="706"/>
      <c r="S192" s="706"/>
      <c r="T192" s="70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343</v>
      </c>
      <c r="AG192" s="75"/>
      <c r="AJ192" s="79" t="s">
        <v>46</v>
      </c>
      <c r="AK192" s="79">
        <v>0</v>
      </c>
      <c r="BB192" s="264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344</v>
      </c>
      <c r="B193" s="60" t="s">
        <v>345</v>
      </c>
      <c r="C193" s="34">
        <v>4301052064</v>
      </c>
      <c r="D193" s="704">
        <v>4680115887459</v>
      </c>
      <c r="E193" s="70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91</v>
      </c>
      <c r="L193" s="35" t="s">
        <v>46</v>
      </c>
      <c r="M193" s="36" t="s">
        <v>90</v>
      </c>
      <c r="N193" s="36"/>
      <c r="O193" s="35">
        <v>45</v>
      </c>
      <c r="P19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6"/>
      <c r="R193" s="706"/>
      <c r="S193" s="706"/>
      <c r="T193" s="70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346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2"/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3"/>
      <c r="P194" s="709" t="s">
        <v>40</v>
      </c>
      <c r="Q194" s="710"/>
      <c r="R194" s="710"/>
      <c r="S194" s="710"/>
      <c r="T194" s="710"/>
      <c r="U194" s="710"/>
      <c r="V194" s="711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3" t="s">
        <v>104</v>
      </c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  <c r="AA196" s="63"/>
      <c r="AB196" s="63"/>
      <c r="AC196" s="63"/>
    </row>
    <row r="197" spans="1:68" ht="16.5" hidden="1" customHeight="1" x14ac:dyDescent="0.25">
      <c r="A197" s="60" t="s">
        <v>347</v>
      </c>
      <c r="B197" s="60" t="s">
        <v>348</v>
      </c>
      <c r="C197" s="34">
        <v>4301032058</v>
      </c>
      <c r="D197" s="704">
        <v>4680115889026</v>
      </c>
      <c r="E197" s="70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350</v>
      </c>
      <c r="L197" s="35" t="s">
        <v>46</v>
      </c>
      <c r="M197" s="36" t="s">
        <v>292</v>
      </c>
      <c r="N197" s="36"/>
      <c r="O197" s="35">
        <v>60</v>
      </c>
      <c r="P197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6"/>
      <c r="R197" s="706"/>
      <c r="S197" s="706"/>
      <c r="T197" s="70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349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351</v>
      </c>
      <c r="B198" s="60" t="s">
        <v>352</v>
      </c>
      <c r="C198" s="34">
        <v>4301032057</v>
      </c>
      <c r="D198" s="704">
        <v>4680115889088</v>
      </c>
      <c r="E198" s="70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350</v>
      </c>
      <c r="L198" s="35" t="s">
        <v>46</v>
      </c>
      <c r="M198" s="36" t="s">
        <v>292</v>
      </c>
      <c r="N198" s="36"/>
      <c r="O198" s="35">
        <v>45</v>
      </c>
      <c r="P19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353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3" t="s">
        <v>354</v>
      </c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  <c r="AA201" s="63"/>
      <c r="AB201" s="63"/>
      <c r="AC201" s="63"/>
    </row>
    <row r="202" spans="1:68" ht="27" hidden="1" customHeight="1" x14ac:dyDescent="0.25">
      <c r="A202" s="60" t="s">
        <v>355</v>
      </c>
      <c r="B202" s="60" t="s">
        <v>356</v>
      </c>
      <c r="C202" s="34">
        <v>4301041009</v>
      </c>
      <c r="D202" s="704">
        <v>4680115889033</v>
      </c>
      <c r="E202" s="70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350</v>
      </c>
      <c r="L202" s="35" t="s">
        <v>46</v>
      </c>
      <c r="M202" s="36" t="s">
        <v>292</v>
      </c>
      <c r="N202" s="36"/>
      <c r="O202" s="35">
        <v>60</v>
      </c>
      <c r="P20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6"/>
      <c r="R202" s="706"/>
      <c r="S202" s="706"/>
      <c r="T202" s="70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357</v>
      </c>
      <c r="AG202" s="75"/>
      <c r="AJ202" s="79" t="s">
        <v>46</v>
      </c>
      <c r="AK202" s="79">
        <v>0</v>
      </c>
      <c r="BB202" s="272" t="s">
        <v>67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2"/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3"/>
      <c r="P203" s="709" t="s">
        <v>40</v>
      </c>
      <c r="Q203" s="710"/>
      <c r="R203" s="710"/>
      <c r="S203" s="710"/>
      <c r="T203" s="710"/>
      <c r="U203" s="710"/>
      <c r="V203" s="711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2"/>
      <c r="B204" s="712"/>
      <c r="C204" s="712"/>
      <c r="D204" s="712"/>
      <c r="E204" s="712"/>
      <c r="F204" s="712"/>
      <c r="G204" s="712"/>
      <c r="H204" s="712"/>
      <c r="I204" s="712"/>
      <c r="J204" s="712"/>
      <c r="K204" s="712"/>
      <c r="L204" s="712"/>
      <c r="M204" s="712"/>
      <c r="N204" s="712"/>
      <c r="O204" s="713"/>
      <c r="P204" s="709" t="s">
        <v>40</v>
      </c>
      <c r="Q204" s="710"/>
      <c r="R204" s="710"/>
      <c r="S204" s="710"/>
      <c r="T204" s="710"/>
      <c r="U204" s="710"/>
      <c r="V204" s="711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701" t="s">
        <v>358</v>
      </c>
      <c r="B205" s="701"/>
      <c r="C205" s="701"/>
      <c r="D205" s="701"/>
      <c r="E205" s="701"/>
      <c r="F205" s="701"/>
      <c r="G205" s="701"/>
      <c r="H205" s="701"/>
      <c r="I205" s="701"/>
      <c r="J205" s="701"/>
      <c r="K205" s="701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  <c r="AA205" s="52"/>
      <c r="AB205" s="52"/>
      <c r="AC205" s="52"/>
    </row>
    <row r="206" spans="1:68" ht="16.5" hidden="1" customHeight="1" x14ac:dyDescent="0.25">
      <c r="A206" s="702" t="s">
        <v>359</v>
      </c>
      <c r="B206" s="702"/>
      <c r="C206" s="702"/>
      <c r="D206" s="702"/>
      <c r="E206" s="702"/>
      <c r="F206" s="702"/>
      <c r="G206" s="702"/>
      <c r="H206" s="702"/>
      <c r="I206" s="702"/>
      <c r="J206" s="702"/>
      <c r="K206" s="702"/>
      <c r="L206" s="702"/>
      <c r="M206" s="702"/>
      <c r="N206" s="702"/>
      <c r="O206" s="702"/>
      <c r="P206" s="702"/>
      <c r="Q206" s="702"/>
      <c r="R206" s="702"/>
      <c r="S206" s="702"/>
      <c r="T206" s="702"/>
      <c r="U206" s="702"/>
      <c r="V206" s="702"/>
      <c r="W206" s="702"/>
      <c r="X206" s="702"/>
      <c r="Y206" s="702"/>
      <c r="Z206" s="702"/>
      <c r="AA206" s="62"/>
      <c r="AB206" s="62"/>
      <c r="AC206" s="62"/>
    </row>
    <row r="207" spans="1:68" ht="14.25" hidden="1" customHeight="1" x14ac:dyDescent="0.25">
      <c r="A207" s="703" t="s">
        <v>128</v>
      </c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  <c r="AA207" s="63"/>
      <c r="AB207" s="63"/>
      <c r="AC207" s="63"/>
    </row>
    <row r="208" spans="1:68" ht="27" hidden="1" customHeight="1" x14ac:dyDescent="0.25">
      <c r="A208" s="60" t="s">
        <v>360</v>
      </c>
      <c r="B208" s="60" t="s">
        <v>361</v>
      </c>
      <c r="C208" s="34">
        <v>4301011223</v>
      </c>
      <c r="D208" s="704">
        <v>4607091383423</v>
      </c>
      <c r="E208" s="70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133</v>
      </c>
      <c r="L208" s="35" t="s">
        <v>46</v>
      </c>
      <c r="M208" s="36" t="s">
        <v>90</v>
      </c>
      <c r="N208" s="36"/>
      <c r="O208" s="35">
        <v>35</v>
      </c>
      <c r="P208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131</v>
      </c>
      <c r="AG208" s="75"/>
      <c r="AJ208" s="79" t="s">
        <v>46</v>
      </c>
      <c r="AK208" s="79">
        <v>0</v>
      </c>
      <c r="BB208" s="274" t="s">
        <v>67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4301012340</v>
      </c>
      <c r="D209" s="704">
        <v>4680115888760</v>
      </c>
      <c r="E209" s="70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133</v>
      </c>
      <c r="L209" s="35" t="s">
        <v>46</v>
      </c>
      <c r="M209" s="36" t="s">
        <v>90</v>
      </c>
      <c r="N209" s="36"/>
      <c r="O209" s="35">
        <v>35</v>
      </c>
      <c r="P209" s="8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365</v>
      </c>
      <c r="B210" s="60" t="s">
        <v>366</v>
      </c>
      <c r="C210" s="34">
        <v>4301012341</v>
      </c>
      <c r="D210" s="704">
        <v>4680115888807</v>
      </c>
      <c r="E210" s="70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133</v>
      </c>
      <c r="L210" s="35" t="s">
        <v>46</v>
      </c>
      <c r="M210" s="36" t="s">
        <v>90</v>
      </c>
      <c r="N210" s="36"/>
      <c r="O210" s="35">
        <v>35</v>
      </c>
      <c r="P210" s="81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367</v>
      </c>
      <c r="AG210" s="75"/>
      <c r="AJ210" s="79" t="s">
        <v>46</v>
      </c>
      <c r="AK210" s="79">
        <v>0</v>
      </c>
      <c r="BB210" s="278" t="s">
        <v>67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368</v>
      </c>
      <c r="B211" s="60" t="s">
        <v>369</v>
      </c>
      <c r="C211" s="34">
        <v>4301012342</v>
      </c>
      <c r="D211" s="704">
        <v>4680115888852</v>
      </c>
      <c r="E211" s="70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133</v>
      </c>
      <c r="L211" s="35" t="s">
        <v>46</v>
      </c>
      <c r="M211" s="36" t="s">
        <v>90</v>
      </c>
      <c r="N211" s="36"/>
      <c r="O211" s="35">
        <v>35</v>
      </c>
      <c r="P211" s="81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6"/>
      <c r="R211" s="706"/>
      <c r="S211" s="706"/>
      <c r="T211" s="70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370</v>
      </c>
      <c r="AG211" s="75"/>
      <c r="AJ211" s="79" t="s">
        <v>46</v>
      </c>
      <c r="AK211" s="79">
        <v>0</v>
      </c>
      <c r="BB211" s="280" t="s">
        <v>67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371</v>
      </c>
      <c r="B212" s="60" t="s">
        <v>372</v>
      </c>
      <c r="C212" s="34">
        <v>4301012370</v>
      </c>
      <c r="D212" s="704">
        <v>4680115886957</v>
      </c>
      <c r="E212" s="70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133</v>
      </c>
      <c r="L212" s="35" t="s">
        <v>46</v>
      </c>
      <c r="M212" s="36" t="s">
        <v>90</v>
      </c>
      <c r="N212" s="36"/>
      <c r="O212" s="35">
        <v>35</v>
      </c>
      <c r="P212" s="81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6"/>
      <c r="R212" s="706"/>
      <c r="S212" s="706"/>
      <c r="T212" s="70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373</v>
      </c>
      <c r="AG212" s="75"/>
      <c r="AJ212" s="79" t="s">
        <v>46</v>
      </c>
      <c r="AK212" s="79">
        <v>0</v>
      </c>
      <c r="BB212" s="282" t="s">
        <v>67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374</v>
      </c>
      <c r="B213" s="60" t="s">
        <v>375</v>
      </c>
      <c r="C213" s="34">
        <v>4301012098</v>
      </c>
      <c r="D213" s="704">
        <v>4680115885660</v>
      </c>
      <c r="E213" s="70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133</v>
      </c>
      <c r="L213" s="35" t="s">
        <v>46</v>
      </c>
      <c r="M213" s="36" t="s">
        <v>90</v>
      </c>
      <c r="N213" s="36"/>
      <c r="O213" s="35">
        <v>35</v>
      </c>
      <c r="P213" s="81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6"/>
      <c r="R213" s="706"/>
      <c r="S213" s="706"/>
      <c r="T213" s="70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376</v>
      </c>
      <c r="AG213" s="75"/>
      <c r="AJ213" s="79" t="s">
        <v>46</v>
      </c>
      <c r="AK213" s="79">
        <v>0</v>
      </c>
      <c r="BB213" s="284" t="s">
        <v>67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377</v>
      </c>
      <c r="B214" s="60" t="s">
        <v>378</v>
      </c>
      <c r="C214" s="34">
        <v>4301012369</v>
      </c>
      <c r="D214" s="704">
        <v>4680115886773</v>
      </c>
      <c r="E214" s="70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133</v>
      </c>
      <c r="L214" s="35" t="s">
        <v>46</v>
      </c>
      <c r="M214" s="36" t="s">
        <v>90</v>
      </c>
      <c r="N214" s="36"/>
      <c r="O214" s="35">
        <v>35</v>
      </c>
      <c r="P21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6"/>
      <c r="R214" s="706"/>
      <c r="S214" s="706"/>
      <c r="T214" s="70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379</v>
      </c>
      <c r="AG214" s="75"/>
      <c r="AJ214" s="79" t="s">
        <v>46</v>
      </c>
      <c r="AK214" s="79">
        <v>0</v>
      </c>
      <c r="BB214" s="286" t="s">
        <v>67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2"/>
      <c r="B215" s="712"/>
      <c r="C215" s="712"/>
      <c r="D215" s="712"/>
      <c r="E215" s="712"/>
      <c r="F215" s="712"/>
      <c r="G215" s="712"/>
      <c r="H215" s="712"/>
      <c r="I215" s="712"/>
      <c r="J215" s="712"/>
      <c r="K215" s="712"/>
      <c r="L215" s="712"/>
      <c r="M215" s="712"/>
      <c r="N215" s="712"/>
      <c r="O215" s="713"/>
      <c r="P215" s="709" t="s">
        <v>40</v>
      </c>
      <c r="Q215" s="710"/>
      <c r="R215" s="710"/>
      <c r="S215" s="710"/>
      <c r="T215" s="710"/>
      <c r="U215" s="710"/>
      <c r="V215" s="711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2" t="s">
        <v>380</v>
      </c>
      <c r="B217" s="702"/>
      <c r="C217" s="702"/>
      <c r="D217" s="702"/>
      <c r="E217" s="702"/>
      <c r="F217" s="702"/>
      <c r="G217" s="702"/>
      <c r="H217" s="702"/>
      <c r="I217" s="702"/>
      <c r="J217" s="702"/>
      <c r="K217" s="702"/>
      <c r="L217" s="702"/>
      <c r="M217" s="702"/>
      <c r="N217" s="702"/>
      <c r="O217" s="702"/>
      <c r="P217" s="702"/>
      <c r="Q217" s="702"/>
      <c r="R217" s="702"/>
      <c r="S217" s="702"/>
      <c r="T217" s="702"/>
      <c r="U217" s="702"/>
      <c r="V217" s="702"/>
      <c r="W217" s="702"/>
      <c r="X217" s="702"/>
      <c r="Y217" s="702"/>
      <c r="Z217" s="702"/>
      <c r="AA217" s="62"/>
      <c r="AB217" s="62"/>
      <c r="AC217" s="62"/>
    </row>
    <row r="218" spans="1:68" ht="14.25" hidden="1" customHeight="1" x14ac:dyDescent="0.25">
      <c r="A218" s="703" t="s">
        <v>164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381</v>
      </c>
      <c r="B219" s="60" t="s">
        <v>382</v>
      </c>
      <c r="C219" s="34">
        <v>4301020323</v>
      </c>
      <c r="D219" s="704">
        <v>4680115886223</v>
      </c>
      <c r="E219" s="70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1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383</v>
      </c>
      <c r="AG219" s="75"/>
      <c r="AJ219" s="79" t="s">
        <v>46</v>
      </c>
      <c r="AK219" s="79">
        <v>0</v>
      </c>
      <c r="BB219" s="288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2"/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3"/>
      <c r="P220" s="709" t="s">
        <v>40</v>
      </c>
      <c r="Q220" s="710"/>
      <c r="R220" s="710"/>
      <c r="S220" s="710"/>
      <c r="T220" s="710"/>
      <c r="U220" s="710"/>
      <c r="V220" s="711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2"/>
      <c r="B221" s="712"/>
      <c r="C221" s="712"/>
      <c r="D221" s="712"/>
      <c r="E221" s="712"/>
      <c r="F221" s="712"/>
      <c r="G221" s="712"/>
      <c r="H221" s="712"/>
      <c r="I221" s="712"/>
      <c r="J221" s="712"/>
      <c r="K221" s="712"/>
      <c r="L221" s="712"/>
      <c r="M221" s="712"/>
      <c r="N221" s="712"/>
      <c r="O221" s="713"/>
      <c r="P221" s="709" t="s">
        <v>40</v>
      </c>
      <c r="Q221" s="710"/>
      <c r="R221" s="710"/>
      <c r="S221" s="710"/>
      <c r="T221" s="710"/>
      <c r="U221" s="710"/>
      <c r="V221" s="711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3" t="s">
        <v>77</v>
      </c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  <c r="AA222" s="63"/>
      <c r="AB222" s="63"/>
      <c r="AC222" s="63"/>
    </row>
    <row r="223" spans="1:68" ht="27" hidden="1" customHeight="1" x14ac:dyDescent="0.25">
      <c r="A223" s="60" t="s">
        <v>384</v>
      </c>
      <c r="B223" s="60" t="s">
        <v>385</v>
      </c>
      <c r="C223" s="34">
        <v>4301031191</v>
      </c>
      <c r="D223" s="704">
        <v>4680115880993</v>
      </c>
      <c r="E223" s="70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140</v>
      </c>
      <c r="L223" s="35" t="s">
        <v>46</v>
      </c>
      <c r="M223" s="36" t="s">
        <v>81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386</v>
      </c>
      <c r="AG223" s="75"/>
      <c r="AJ223" s="79" t="s">
        <v>46</v>
      </c>
      <c r="AK223" s="79">
        <v>0</v>
      </c>
      <c r="BB223" s="290" t="s">
        <v>67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387</v>
      </c>
      <c r="B224" s="60" t="s">
        <v>388</v>
      </c>
      <c r="C224" s="34">
        <v>4301031204</v>
      </c>
      <c r="D224" s="704">
        <v>4680115881761</v>
      </c>
      <c r="E224" s="70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140</v>
      </c>
      <c r="L224" s="35" t="s">
        <v>46</v>
      </c>
      <c r="M224" s="36" t="s">
        <v>81</v>
      </c>
      <c r="N224" s="36"/>
      <c r="O224" s="35">
        <v>40</v>
      </c>
      <c r="P224" s="81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389</v>
      </c>
      <c r="AG224" s="75"/>
      <c r="AJ224" s="79" t="s">
        <v>46</v>
      </c>
      <c r="AK224" s="79">
        <v>0</v>
      </c>
      <c r="BB224" s="292" t="s">
        <v>67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390</v>
      </c>
      <c r="B225" s="60" t="s">
        <v>391</v>
      </c>
      <c r="C225" s="34">
        <v>4301031201</v>
      </c>
      <c r="D225" s="704">
        <v>4680115881563</v>
      </c>
      <c r="E225" s="70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140</v>
      </c>
      <c r="L225" s="35" t="s">
        <v>46</v>
      </c>
      <c r="M225" s="36" t="s">
        <v>81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392</v>
      </c>
      <c r="AG225" s="75"/>
      <c r="AJ225" s="79" t="s">
        <v>46</v>
      </c>
      <c r="AK225" s="79">
        <v>0</v>
      </c>
      <c r="BB225" s="294" t="s">
        <v>67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393</v>
      </c>
      <c r="B226" s="60" t="s">
        <v>394</v>
      </c>
      <c r="C226" s="34">
        <v>4301031447</v>
      </c>
      <c r="D226" s="704">
        <v>4680115887565</v>
      </c>
      <c r="E226" s="70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395</v>
      </c>
      <c r="AG226" s="75"/>
      <c r="AJ226" s="79" t="s">
        <v>46</v>
      </c>
      <c r="AK226" s="79">
        <v>0</v>
      </c>
      <c r="BB226" s="296" t="s">
        <v>67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396</v>
      </c>
      <c r="B227" s="60" t="s">
        <v>397</v>
      </c>
      <c r="C227" s="34">
        <v>4301031199</v>
      </c>
      <c r="D227" s="704">
        <v>4680115880986</v>
      </c>
      <c r="E227" s="70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386</v>
      </c>
      <c r="AG227" s="75"/>
      <c r="AJ227" s="79" t="s">
        <v>46</v>
      </c>
      <c r="AK227" s="79">
        <v>0</v>
      </c>
      <c r="BB227" s="298" t="s">
        <v>67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4301031443</v>
      </c>
      <c r="D228" s="704">
        <v>4680115887213</v>
      </c>
      <c r="E228" s="70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400</v>
      </c>
      <c r="AG228" s="75"/>
      <c r="AJ228" s="79" t="s">
        <v>46</v>
      </c>
      <c r="AK228" s="79">
        <v>0</v>
      </c>
      <c r="BB228" s="300" t="s">
        <v>67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401</v>
      </c>
      <c r="B229" s="60" t="s">
        <v>402</v>
      </c>
      <c r="C229" s="34">
        <v>4301031205</v>
      </c>
      <c r="D229" s="704">
        <v>4680115881785</v>
      </c>
      <c r="E229" s="70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389</v>
      </c>
      <c r="AG229" s="75"/>
      <c r="AJ229" s="79" t="s">
        <v>46</v>
      </c>
      <c r="AK229" s="79">
        <v>0</v>
      </c>
      <c r="BB229" s="302" t="s">
        <v>67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403</v>
      </c>
      <c r="B230" s="60" t="s">
        <v>404</v>
      </c>
      <c r="C230" s="34">
        <v>4301031499</v>
      </c>
      <c r="D230" s="704">
        <v>4680115888432</v>
      </c>
      <c r="E230" s="70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405</v>
      </c>
      <c r="AG230" s="75"/>
      <c r="AJ230" s="79" t="s">
        <v>46</v>
      </c>
      <c r="AK230" s="79">
        <v>0</v>
      </c>
      <c r="BB230" s="304" t="s">
        <v>67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406</v>
      </c>
      <c r="B231" s="60" t="s">
        <v>407</v>
      </c>
      <c r="C231" s="34">
        <v>4301031427</v>
      </c>
      <c r="D231" s="704">
        <v>4680115888104</v>
      </c>
      <c r="E231" s="70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408</v>
      </c>
      <c r="AG231" s="75"/>
      <c r="AJ231" s="79" t="s">
        <v>46</v>
      </c>
      <c r="AK231" s="79">
        <v>0</v>
      </c>
      <c r="BB231" s="306" t="s">
        <v>67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409</v>
      </c>
      <c r="B232" s="60" t="s">
        <v>410</v>
      </c>
      <c r="C232" s="34">
        <v>4301031399</v>
      </c>
      <c r="D232" s="704">
        <v>4680115886537</v>
      </c>
      <c r="E232" s="70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411</v>
      </c>
      <c r="AG232" s="75"/>
      <c r="AJ232" s="79" t="s">
        <v>46</v>
      </c>
      <c r="AK232" s="79">
        <v>0</v>
      </c>
      <c r="BB232" s="308" t="s">
        <v>67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412</v>
      </c>
      <c r="B233" s="60" t="s">
        <v>413</v>
      </c>
      <c r="C233" s="34">
        <v>4301031279</v>
      </c>
      <c r="D233" s="704">
        <v>4680115887596</v>
      </c>
      <c r="E233" s="70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137</v>
      </c>
      <c r="L233" s="35" t="s">
        <v>46</v>
      </c>
      <c r="M233" s="36" t="s">
        <v>81</v>
      </c>
      <c r="N233" s="36"/>
      <c r="O233" s="35">
        <v>45</v>
      </c>
      <c r="P233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6"/>
      <c r="R233" s="706"/>
      <c r="S233" s="706"/>
      <c r="T233" s="70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414</v>
      </c>
      <c r="AG233" s="75"/>
      <c r="AJ233" s="79" t="s">
        <v>46</v>
      </c>
      <c r="AK233" s="79">
        <v>0</v>
      </c>
      <c r="BB233" s="310" t="s">
        <v>67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415</v>
      </c>
      <c r="B234" s="60" t="s">
        <v>416</v>
      </c>
      <c r="C234" s="34">
        <v>4301031202</v>
      </c>
      <c r="D234" s="704">
        <v>4680115881679</v>
      </c>
      <c r="E234" s="70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6"/>
      <c r="R234" s="706"/>
      <c r="S234" s="706"/>
      <c r="T234" s="70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392</v>
      </c>
      <c r="AG234" s="75"/>
      <c r="AJ234" s="79" t="s">
        <v>46</v>
      </c>
      <c r="AK234" s="79">
        <v>0</v>
      </c>
      <c r="BB234" s="312" t="s">
        <v>67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417</v>
      </c>
      <c r="B235" s="60" t="s">
        <v>418</v>
      </c>
      <c r="C235" s="34">
        <v>4301031158</v>
      </c>
      <c r="D235" s="704">
        <v>4680115880191</v>
      </c>
      <c r="E235" s="70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91</v>
      </c>
      <c r="L235" s="35" t="s">
        <v>46</v>
      </c>
      <c r="M235" s="36" t="s">
        <v>81</v>
      </c>
      <c r="N235" s="36"/>
      <c r="O235" s="35">
        <v>40</v>
      </c>
      <c r="P235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6"/>
      <c r="R235" s="706"/>
      <c r="S235" s="706"/>
      <c r="T235" s="70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392</v>
      </c>
      <c r="AG235" s="75"/>
      <c r="AJ235" s="79" t="s">
        <v>46</v>
      </c>
      <c r="AK235" s="79">
        <v>0</v>
      </c>
      <c r="BB235" s="314" t="s">
        <v>67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419</v>
      </c>
      <c r="B236" s="60" t="s">
        <v>420</v>
      </c>
      <c r="C236" s="34">
        <v>4301031245</v>
      </c>
      <c r="D236" s="704">
        <v>4680115883963</v>
      </c>
      <c r="E236" s="70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421</v>
      </c>
      <c r="AG236" s="75"/>
      <c r="AJ236" s="79" t="s">
        <v>46</v>
      </c>
      <c r="AK236" s="79">
        <v>0</v>
      </c>
      <c r="BB236" s="316" t="s">
        <v>67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712"/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3"/>
      <c r="P237" s="709" t="s">
        <v>40</v>
      </c>
      <c r="Q237" s="710"/>
      <c r="R237" s="710"/>
      <c r="S237" s="710"/>
      <c r="T237" s="710"/>
      <c r="U237" s="710"/>
      <c r="V237" s="711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712"/>
      <c r="B238" s="712"/>
      <c r="C238" s="712"/>
      <c r="D238" s="712"/>
      <c r="E238" s="712"/>
      <c r="F238" s="712"/>
      <c r="G238" s="712"/>
      <c r="H238" s="712"/>
      <c r="I238" s="712"/>
      <c r="J238" s="712"/>
      <c r="K238" s="712"/>
      <c r="L238" s="712"/>
      <c r="M238" s="712"/>
      <c r="N238" s="712"/>
      <c r="O238" s="713"/>
      <c r="P238" s="709" t="s">
        <v>40</v>
      </c>
      <c r="Q238" s="710"/>
      <c r="R238" s="710"/>
      <c r="S238" s="710"/>
      <c r="T238" s="710"/>
      <c r="U238" s="710"/>
      <c r="V238" s="711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703" t="s">
        <v>86</v>
      </c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  <c r="AA239" s="63"/>
      <c r="AB239" s="63"/>
      <c r="AC239" s="63"/>
    </row>
    <row r="240" spans="1:68" ht="16.5" hidden="1" customHeight="1" x14ac:dyDescent="0.25">
      <c r="A240" s="60" t="s">
        <v>422</v>
      </c>
      <c r="B240" s="60" t="s">
        <v>423</v>
      </c>
      <c r="C240" s="34">
        <v>4301052209</v>
      </c>
      <c r="D240" s="704">
        <v>4680115888692</v>
      </c>
      <c r="E240" s="70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133</v>
      </c>
      <c r="L240" s="35" t="s">
        <v>46</v>
      </c>
      <c r="M240" s="36" t="s">
        <v>97</v>
      </c>
      <c r="N240" s="36"/>
      <c r="O240" s="35">
        <v>35</v>
      </c>
      <c r="P240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424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425</v>
      </c>
      <c r="B241" s="60" t="s">
        <v>426</v>
      </c>
      <c r="C241" s="34">
        <v>4301052213</v>
      </c>
      <c r="D241" s="704">
        <v>4680115888722</v>
      </c>
      <c r="E241" s="70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133</v>
      </c>
      <c r="L241" s="35" t="s">
        <v>46</v>
      </c>
      <c r="M241" s="36" t="s">
        <v>97</v>
      </c>
      <c r="N241" s="36"/>
      <c r="O241" s="35">
        <v>35</v>
      </c>
      <c r="P241" s="83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6"/>
      <c r="R241" s="706"/>
      <c r="S241" s="706"/>
      <c r="T241" s="70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427</v>
      </c>
      <c r="AG241" s="75"/>
      <c r="AJ241" s="79" t="s">
        <v>46</v>
      </c>
      <c r="AK241" s="79">
        <v>0</v>
      </c>
      <c r="BB241" s="320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428</v>
      </c>
      <c r="B242" s="60" t="s">
        <v>429</v>
      </c>
      <c r="C242" s="34">
        <v>4301052177</v>
      </c>
      <c r="D242" s="704">
        <v>4680115888951</v>
      </c>
      <c r="E242" s="70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140</v>
      </c>
      <c r="L242" s="35" t="s">
        <v>46</v>
      </c>
      <c r="M242" s="36" t="s">
        <v>97</v>
      </c>
      <c r="N242" s="36"/>
      <c r="O242" s="35">
        <v>35</v>
      </c>
      <c r="P242" s="8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6"/>
      <c r="R242" s="706"/>
      <c r="S242" s="706"/>
      <c r="T242" s="70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430</v>
      </c>
      <c r="AG242" s="75"/>
      <c r="AJ242" s="79" t="s">
        <v>46</v>
      </c>
      <c r="AK242" s="79">
        <v>0</v>
      </c>
      <c r="BB242" s="322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4301052178</v>
      </c>
      <c r="D243" s="704">
        <v>4680115888975</v>
      </c>
      <c r="E243" s="70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140</v>
      </c>
      <c r="L243" s="35" t="s">
        <v>46</v>
      </c>
      <c r="M243" s="36" t="s">
        <v>97</v>
      </c>
      <c r="N243" s="36"/>
      <c r="O243" s="35">
        <v>35</v>
      </c>
      <c r="P243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6"/>
      <c r="R243" s="706"/>
      <c r="S243" s="706"/>
      <c r="T243" s="70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433</v>
      </c>
      <c r="AG243" s="75"/>
      <c r="AJ243" s="79" t="s">
        <v>46</v>
      </c>
      <c r="AK243" s="79">
        <v>0</v>
      </c>
      <c r="BB243" s="324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434</v>
      </c>
      <c r="B244" s="60" t="s">
        <v>435</v>
      </c>
      <c r="C244" s="34">
        <v>4301052176</v>
      </c>
      <c r="D244" s="704">
        <v>4680115888982</v>
      </c>
      <c r="E244" s="70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140</v>
      </c>
      <c r="L244" s="35" t="s">
        <v>46</v>
      </c>
      <c r="M244" s="36" t="s">
        <v>97</v>
      </c>
      <c r="N244" s="36"/>
      <c r="O244" s="35">
        <v>35</v>
      </c>
      <c r="P244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427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2"/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3"/>
      <c r="P245" s="709" t="s">
        <v>40</v>
      </c>
      <c r="Q245" s="710"/>
      <c r="R245" s="710"/>
      <c r="S245" s="710"/>
      <c r="T245" s="710"/>
      <c r="U245" s="710"/>
      <c r="V245" s="711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2"/>
      <c r="B246" s="712"/>
      <c r="C246" s="712"/>
      <c r="D246" s="712"/>
      <c r="E246" s="712"/>
      <c r="F246" s="712"/>
      <c r="G246" s="712"/>
      <c r="H246" s="712"/>
      <c r="I246" s="712"/>
      <c r="J246" s="712"/>
      <c r="K246" s="712"/>
      <c r="L246" s="712"/>
      <c r="M246" s="712"/>
      <c r="N246" s="712"/>
      <c r="O246" s="713"/>
      <c r="P246" s="709" t="s">
        <v>40</v>
      </c>
      <c r="Q246" s="710"/>
      <c r="R246" s="710"/>
      <c r="S246" s="710"/>
      <c r="T246" s="710"/>
      <c r="U246" s="710"/>
      <c r="V246" s="711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3" t="s">
        <v>104</v>
      </c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  <c r="AA247" s="63"/>
      <c r="AB247" s="63"/>
      <c r="AC247" s="63"/>
    </row>
    <row r="248" spans="1:68" ht="27" hidden="1" customHeight="1" x14ac:dyDescent="0.25">
      <c r="A248" s="60" t="s">
        <v>436</v>
      </c>
      <c r="B248" s="60" t="s">
        <v>437</v>
      </c>
      <c r="C248" s="34">
        <v>4301032053</v>
      </c>
      <c r="D248" s="704">
        <v>4680115886780</v>
      </c>
      <c r="E248" s="70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350</v>
      </c>
      <c r="L248" s="35" t="s">
        <v>46</v>
      </c>
      <c r="M248" s="36" t="s">
        <v>292</v>
      </c>
      <c r="N248" s="36"/>
      <c r="O248" s="35">
        <v>60</v>
      </c>
      <c r="P248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6"/>
      <c r="R248" s="706"/>
      <c r="S248" s="706"/>
      <c r="T248" s="70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438</v>
      </c>
      <c r="AG248" s="75"/>
      <c r="AJ248" s="79" t="s">
        <v>46</v>
      </c>
      <c r="AK248" s="79">
        <v>0</v>
      </c>
      <c r="BB248" s="328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439</v>
      </c>
      <c r="B249" s="60" t="s">
        <v>440</v>
      </c>
      <c r="C249" s="34">
        <v>4301032051</v>
      </c>
      <c r="D249" s="704">
        <v>4680115886742</v>
      </c>
      <c r="E249" s="70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350</v>
      </c>
      <c r="L249" s="35" t="s">
        <v>46</v>
      </c>
      <c r="M249" s="36" t="s">
        <v>292</v>
      </c>
      <c r="N249" s="36"/>
      <c r="O249" s="35">
        <v>90</v>
      </c>
      <c r="P249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6"/>
      <c r="R249" s="706"/>
      <c r="S249" s="706"/>
      <c r="T249" s="70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441</v>
      </c>
      <c r="AG249" s="75"/>
      <c r="AJ249" s="79" t="s">
        <v>46</v>
      </c>
      <c r="AK249" s="79">
        <v>0</v>
      </c>
      <c r="BB249" s="330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442</v>
      </c>
      <c r="B250" s="60" t="s">
        <v>443</v>
      </c>
      <c r="C250" s="34">
        <v>4301032052</v>
      </c>
      <c r="D250" s="704">
        <v>4680115886766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350</v>
      </c>
      <c r="L250" s="35" t="s">
        <v>46</v>
      </c>
      <c r="M250" s="36" t="s">
        <v>292</v>
      </c>
      <c r="N250" s="36"/>
      <c r="O250" s="35">
        <v>90</v>
      </c>
      <c r="P250" s="8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441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03" t="s">
        <v>444</v>
      </c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  <c r="AA253" s="63"/>
      <c r="AB253" s="63"/>
      <c r="AC253" s="63"/>
    </row>
    <row r="254" spans="1:68" ht="27" hidden="1" customHeight="1" x14ac:dyDescent="0.25">
      <c r="A254" s="60" t="s">
        <v>445</v>
      </c>
      <c r="B254" s="60" t="s">
        <v>446</v>
      </c>
      <c r="C254" s="34">
        <v>4301170013</v>
      </c>
      <c r="D254" s="704">
        <v>4680115886797</v>
      </c>
      <c r="E254" s="70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350</v>
      </c>
      <c r="L254" s="35" t="s">
        <v>46</v>
      </c>
      <c r="M254" s="36" t="s">
        <v>292</v>
      </c>
      <c r="N254" s="36"/>
      <c r="O254" s="35">
        <v>90</v>
      </c>
      <c r="P254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6"/>
      <c r="R254" s="706"/>
      <c r="S254" s="706"/>
      <c r="T254" s="70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441</v>
      </c>
      <c r="AG254" s="75"/>
      <c r="AJ254" s="79" t="s">
        <v>46</v>
      </c>
      <c r="AK254" s="79">
        <v>0</v>
      </c>
      <c r="BB254" s="334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12"/>
      <c r="B255" s="712"/>
      <c r="C255" s="712"/>
      <c r="D255" s="712"/>
      <c r="E255" s="712"/>
      <c r="F255" s="712"/>
      <c r="G255" s="712"/>
      <c r="H255" s="712"/>
      <c r="I255" s="712"/>
      <c r="J255" s="712"/>
      <c r="K255" s="712"/>
      <c r="L255" s="712"/>
      <c r="M255" s="712"/>
      <c r="N255" s="712"/>
      <c r="O255" s="713"/>
      <c r="P255" s="709" t="s">
        <v>40</v>
      </c>
      <c r="Q255" s="710"/>
      <c r="R255" s="710"/>
      <c r="S255" s="710"/>
      <c r="T255" s="710"/>
      <c r="U255" s="710"/>
      <c r="V255" s="711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12"/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3"/>
      <c r="P256" s="709" t="s">
        <v>40</v>
      </c>
      <c r="Q256" s="710"/>
      <c r="R256" s="710"/>
      <c r="S256" s="710"/>
      <c r="T256" s="710"/>
      <c r="U256" s="710"/>
      <c r="V256" s="711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02" t="s">
        <v>447</v>
      </c>
      <c r="B257" s="702"/>
      <c r="C257" s="702"/>
      <c r="D257" s="702"/>
      <c r="E257" s="702"/>
      <c r="F257" s="702"/>
      <c r="G257" s="702"/>
      <c r="H257" s="702"/>
      <c r="I257" s="702"/>
      <c r="J257" s="702"/>
      <c r="K257" s="702"/>
      <c r="L257" s="702"/>
      <c r="M257" s="702"/>
      <c r="N257" s="702"/>
      <c r="O257" s="702"/>
      <c r="P257" s="702"/>
      <c r="Q257" s="702"/>
      <c r="R257" s="702"/>
      <c r="S257" s="702"/>
      <c r="T257" s="702"/>
      <c r="U257" s="702"/>
      <c r="V257" s="702"/>
      <c r="W257" s="702"/>
      <c r="X257" s="702"/>
      <c r="Y257" s="702"/>
      <c r="Z257" s="702"/>
      <c r="AA257" s="62"/>
      <c r="AB257" s="62"/>
      <c r="AC257" s="62"/>
    </row>
    <row r="258" spans="1:68" ht="14.25" hidden="1" customHeight="1" x14ac:dyDescent="0.25">
      <c r="A258" s="703" t="s">
        <v>128</v>
      </c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  <c r="AA258" s="63"/>
      <c r="AB258" s="63"/>
      <c r="AC258" s="63"/>
    </row>
    <row r="259" spans="1:68" ht="27" hidden="1" customHeight="1" x14ac:dyDescent="0.25">
      <c r="A259" s="60" t="s">
        <v>448</v>
      </c>
      <c r="B259" s="60" t="s">
        <v>449</v>
      </c>
      <c r="C259" s="34">
        <v>4301011450</v>
      </c>
      <c r="D259" s="704">
        <v>4680115881402</v>
      </c>
      <c r="E259" s="70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133</v>
      </c>
      <c r="L259" s="35" t="s">
        <v>46</v>
      </c>
      <c r="M259" s="36" t="s">
        <v>132</v>
      </c>
      <c r="N259" s="36"/>
      <c r="O259" s="35">
        <v>55</v>
      </c>
      <c r="P259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6"/>
      <c r="R259" s="706"/>
      <c r="S259" s="706"/>
      <c r="T259" s="70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450</v>
      </c>
      <c r="AG259" s="75"/>
      <c r="AJ259" s="79" t="s">
        <v>46</v>
      </c>
      <c r="AK259" s="79">
        <v>0</v>
      </c>
      <c r="BB259" s="336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451</v>
      </c>
      <c r="B260" s="60" t="s">
        <v>452</v>
      </c>
      <c r="C260" s="34">
        <v>4301011768</v>
      </c>
      <c r="D260" s="704">
        <v>4680115881396</v>
      </c>
      <c r="E260" s="70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132</v>
      </c>
      <c r="N260" s="36"/>
      <c r="O260" s="35">
        <v>55</v>
      </c>
      <c r="P260" s="8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450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2"/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3"/>
      <c r="P261" s="709" t="s">
        <v>40</v>
      </c>
      <c r="Q261" s="710"/>
      <c r="R261" s="710"/>
      <c r="S261" s="710"/>
      <c r="T261" s="710"/>
      <c r="U261" s="710"/>
      <c r="V261" s="711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3" t="s">
        <v>164</v>
      </c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  <c r="AA263" s="63"/>
      <c r="AB263" s="63"/>
      <c r="AC263" s="63"/>
    </row>
    <row r="264" spans="1:68" ht="16.5" hidden="1" customHeight="1" x14ac:dyDescent="0.25">
      <c r="A264" s="60" t="s">
        <v>453</v>
      </c>
      <c r="B264" s="60" t="s">
        <v>454</v>
      </c>
      <c r="C264" s="34">
        <v>4301020261</v>
      </c>
      <c r="D264" s="704">
        <v>4680115882935</v>
      </c>
      <c r="E264" s="70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133</v>
      </c>
      <c r="L264" s="35" t="s">
        <v>46</v>
      </c>
      <c r="M264" s="36" t="s">
        <v>132</v>
      </c>
      <c r="N264" s="36"/>
      <c r="O264" s="35">
        <v>50</v>
      </c>
      <c r="P264" s="84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6"/>
      <c r="R264" s="706"/>
      <c r="S264" s="706"/>
      <c r="T264" s="70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455</v>
      </c>
      <c r="AG264" s="75"/>
      <c r="AJ264" s="79" t="s">
        <v>46</v>
      </c>
      <c r="AK264" s="79">
        <v>0</v>
      </c>
      <c r="BB264" s="340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456</v>
      </c>
      <c r="B265" s="60" t="s">
        <v>457</v>
      </c>
      <c r="C265" s="34">
        <v>4301020220</v>
      </c>
      <c r="D265" s="704">
        <v>4680115880764</v>
      </c>
      <c r="E265" s="70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132</v>
      </c>
      <c r="N265" s="36"/>
      <c r="O265" s="35">
        <v>50</v>
      </c>
      <c r="P265" s="8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455</v>
      </c>
      <c r="AG265" s="75"/>
      <c r="AJ265" s="79" t="s">
        <v>46</v>
      </c>
      <c r="AK265" s="79">
        <v>0</v>
      </c>
      <c r="BB265" s="342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2"/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3"/>
      <c r="P266" s="709" t="s">
        <v>40</v>
      </c>
      <c r="Q266" s="710"/>
      <c r="R266" s="710"/>
      <c r="S266" s="710"/>
      <c r="T266" s="710"/>
      <c r="U266" s="710"/>
      <c r="V266" s="711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2"/>
      <c r="B267" s="712"/>
      <c r="C267" s="712"/>
      <c r="D267" s="712"/>
      <c r="E267" s="712"/>
      <c r="F267" s="712"/>
      <c r="G267" s="712"/>
      <c r="H267" s="712"/>
      <c r="I267" s="712"/>
      <c r="J267" s="712"/>
      <c r="K267" s="712"/>
      <c r="L267" s="712"/>
      <c r="M267" s="712"/>
      <c r="N267" s="712"/>
      <c r="O267" s="713"/>
      <c r="P267" s="709" t="s">
        <v>40</v>
      </c>
      <c r="Q267" s="710"/>
      <c r="R267" s="710"/>
      <c r="S267" s="710"/>
      <c r="T267" s="710"/>
      <c r="U267" s="710"/>
      <c r="V267" s="711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3" t="s">
        <v>77</v>
      </c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  <c r="AA268" s="63"/>
      <c r="AB268" s="63"/>
      <c r="AC268" s="63"/>
    </row>
    <row r="269" spans="1:68" ht="27" customHeight="1" x14ac:dyDescent="0.25">
      <c r="A269" s="60" t="s">
        <v>458</v>
      </c>
      <c r="B269" s="60" t="s">
        <v>459</v>
      </c>
      <c r="C269" s="34">
        <v>4301031224</v>
      </c>
      <c r="D269" s="704">
        <v>4680115882683</v>
      </c>
      <c r="E269" s="70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140</v>
      </c>
      <c r="L269" s="35" t="s">
        <v>46</v>
      </c>
      <c r="M269" s="36" t="s">
        <v>81</v>
      </c>
      <c r="N269" s="36"/>
      <c r="O269" s="35">
        <v>40</v>
      </c>
      <c r="P269" s="8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70</v>
      </c>
      <c r="Y269" s="53">
        <f t="shared" ref="Y269:Y276" si="27">IFERROR(IF(X269="",0,CEILING((X269/$H269),1)*$H269),"")</f>
        <v>70.2</v>
      </c>
      <c r="Z269" s="39">
        <f>IFERROR(IF(Y269=0,"",ROUNDUP(Y269/H269,0)*0.00902),"")</f>
        <v>0.11726</v>
      </c>
      <c r="AA269" s="65" t="s">
        <v>46</v>
      </c>
      <c r="AB269" s="66" t="s">
        <v>46</v>
      </c>
      <c r="AC269" s="343" t="s">
        <v>460</v>
      </c>
      <c r="AG269" s="75"/>
      <c r="AJ269" s="79" t="s">
        <v>46</v>
      </c>
      <c r="AK269" s="79">
        <v>0</v>
      </c>
      <c r="BB269" s="344" t="s">
        <v>67</v>
      </c>
      <c r="BM269" s="75">
        <f t="shared" ref="BM269:BM276" si="28">IFERROR(X269*I269/H269,"0")</f>
        <v>72.462962962962962</v>
      </c>
      <c r="BN269" s="75">
        <f t="shared" ref="BN269:BN276" si="29">IFERROR(Y269*I269/H269,"0")</f>
        <v>72.67</v>
      </c>
      <c r="BO269" s="75">
        <f t="shared" ref="BO269:BO276" si="30">IFERROR(1/J269*(X269/H269),"0")</f>
        <v>9.8204264870931535E-2</v>
      </c>
      <c r="BP269" s="75">
        <f t="shared" ref="BP269:BP276" si="31">IFERROR(1/J269*(Y269/H269),"0")</f>
        <v>9.8484848484848481E-2</v>
      </c>
    </row>
    <row r="270" spans="1:68" ht="27" customHeight="1" x14ac:dyDescent="0.25">
      <c r="A270" s="60" t="s">
        <v>461</v>
      </c>
      <c r="B270" s="60" t="s">
        <v>462</v>
      </c>
      <c r="C270" s="34">
        <v>4301031230</v>
      </c>
      <c r="D270" s="704">
        <v>4680115882690</v>
      </c>
      <c r="E270" s="70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140</v>
      </c>
      <c r="L270" s="35" t="s">
        <v>46</v>
      </c>
      <c r="M270" s="36" t="s">
        <v>81</v>
      </c>
      <c r="N270" s="36"/>
      <c r="O270" s="35">
        <v>40</v>
      </c>
      <c r="P270" s="8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50</v>
      </c>
      <c r="Y270" s="53">
        <f t="shared" si="27"/>
        <v>54</v>
      </c>
      <c r="Z270" s="39">
        <f>IFERROR(IF(Y270=0,"",ROUNDUP(Y270/H270,0)*0.00902),"")</f>
        <v>9.0200000000000002E-2</v>
      </c>
      <c r="AA270" s="65" t="s">
        <v>46</v>
      </c>
      <c r="AB270" s="66" t="s">
        <v>46</v>
      </c>
      <c r="AC270" s="345" t="s">
        <v>463</v>
      </c>
      <c r="AG270" s="75"/>
      <c r="AJ270" s="79" t="s">
        <v>46</v>
      </c>
      <c r="AK270" s="79">
        <v>0</v>
      </c>
      <c r="BB270" s="346" t="s">
        <v>67</v>
      </c>
      <c r="BM270" s="75">
        <f t="shared" si="28"/>
        <v>51.759259259259252</v>
      </c>
      <c r="BN270" s="75">
        <f t="shared" si="29"/>
        <v>55.9</v>
      </c>
      <c r="BO270" s="75">
        <f t="shared" si="30"/>
        <v>7.0145903479236812E-2</v>
      </c>
      <c r="BP270" s="75">
        <f t="shared" si="31"/>
        <v>7.575757575757576E-2</v>
      </c>
    </row>
    <row r="271" spans="1:68" ht="27" customHeight="1" x14ac:dyDescent="0.25">
      <c r="A271" s="60" t="s">
        <v>464</v>
      </c>
      <c r="B271" s="60" t="s">
        <v>465</v>
      </c>
      <c r="C271" s="34">
        <v>4301031220</v>
      </c>
      <c r="D271" s="704">
        <v>4680115882669</v>
      </c>
      <c r="E271" s="70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140</v>
      </c>
      <c r="L271" s="35" t="s">
        <v>46</v>
      </c>
      <c r="M271" s="36" t="s">
        <v>81</v>
      </c>
      <c r="N271" s="36"/>
      <c r="O271" s="35">
        <v>40</v>
      </c>
      <c r="P271" s="8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70</v>
      </c>
      <c r="Y271" s="53">
        <f t="shared" si="27"/>
        <v>70.2</v>
      </c>
      <c r="Z271" s="39">
        <f>IFERROR(IF(Y271=0,"",ROUNDUP(Y271/H271,0)*0.00902),"")</f>
        <v>0.11726</v>
      </c>
      <c r="AA271" s="65" t="s">
        <v>46</v>
      </c>
      <c r="AB271" s="66" t="s">
        <v>46</v>
      </c>
      <c r="AC271" s="347" t="s">
        <v>466</v>
      </c>
      <c r="AG271" s="75"/>
      <c r="AJ271" s="79" t="s">
        <v>46</v>
      </c>
      <c r="AK271" s="79">
        <v>0</v>
      </c>
      <c r="BB271" s="348" t="s">
        <v>67</v>
      </c>
      <c r="BM271" s="75">
        <f t="shared" si="28"/>
        <v>72.462962962962962</v>
      </c>
      <c r="BN271" s="75">
        <f t="shared" si="29"/>
        <v>72.67</v>
      </c>
      <c r="BO271" s="75">
        <f t="shared" si="30"/>
        <v>9.8204264870931535E-2</v>
      </c>
      <c r="BP271" s="75">
        <f t="shared" si="31"/>
        <v>9.8484848484848481E-2</v>
      </c>
    </row>
    <row r="272" spans="1:68" ht="27" customHeight="1" x14ac:dyDescent="0.25">
      <c r="A272" s="60" t="s">
        <v>467</v>
      </c>
      <c r="B272" s="60" t="s">
        <v>468</v>
      </c>
      <c r="C272" s="34">
        <v>4301031221</v>
      </c>
      <c r="D272" s="704">
        <v>4680115882676</v>
      </c>
      <c r="E272" s="70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140</v>
      </c>
      <c r="L272" s="35" t="s">
        <v>46</v>
      </c>
      <c r="M272" s="36" t="s">
        <v>81</v>
      </c>
      <c r="N272" s="36"/>
      <c r="O272" s="35">
        <v>40</v>
      </c>
      <c r="P272" s="8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70</v>
      </c>
      <c r="Y272" s="53">
        <f t="shared" si="27"/>
        <v>70.2</v>
      </c>
      <c r="Z272" s="39">
        <f>IFERROR(IF(Y272=0,"",ROUNDUP(Y272/H272,0)*0.00902),"")</f>
        <v>0.11726</v>
      </c>
      <c r="AA272" s="65" t="s">
        <v>46</v>
      </c>
      <c r="AB272" s="66" t="s">
        <v>46</v>
      </c>
      <c r="AC272" s="349" t="s">
        <v>469</v>
      </c>
      <c r="AG272" s="75"/>
      <c r="AJ272" s="79" t="s">
        <v>46</v>
      </c>
      <c r="AK272" s="79">
        <v>0</v>
      </c>
      <c r="BB272" s="350" t="s">
        <v>67</v>
      </c>
      <c r="BM272" s="75">
        <f t="shared" si="28"/>
        <v>72.462962962962962</v>
      </c>
      <c r="BN272" s="75">
        <f t="shared" si="29"/>
        <v>72.67</v>
      </c>
      <c r="BO272" s="75">
        <f t="shared" si="30"/>
        <v>9.8204264870931535E-2</v>
      </c>
      <c r="BP272" s="75">
        <f t="shared" si="31"/>
        <v>9.8484848484848481E-2</v>
      </c>
    </row>
    <row r="273" spans="1:68" ht="27" hidden="1" customHeight="1" x14ac:dyDescent="0.25">
      <c r="A273" s="60" t="s">
        <v>470</v>
      </c>
      <c r="B273" s="60" t="s">
        <v>471</v>
      </c>
      <c r="C273" s="34">
        <v>4301031223</v>
      </c>
      <c r="D273" s="704">
        <v>4680115884014</v>
      </c>
      <c r="E273" s="70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6"/>
      <c r="R273" s="706"/>
      <c r="S273" s="706"/>
      <c r="T273" s="70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472</v>
      </c>
      <c r="B274" s="60" t="s">
        <v>473</v>
      </c>
      <c r="C274" s="34">
        <v>4301031222</v>
      </c>
      <c r="D274" s="704">
        <v>4680115884007</v>
      </c>
      <c r="E274" s="70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6"/>
      <c r="R274" s="706"/>
      <c r="S274" s="706"/>
      <c r="T274" s="70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463</v>
      </c>
      <c r="AG274" s="75"/>
      <c r="AJ274" s="79" t="s">
        <v>46</v>
      </c>
      <c r="AK274" s="79">
        <v>0</v>
      </c>
      <c r="BB274" s="354" t="s">
        <v>67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474</v>
      </c>
      <c r="B275" s="60" t="s">
        <v>475</v>
      </c>
      <c r="C275" s="34">
        <v>4301031229</v>
      </c>
      <c r="D275" s="704">
        <v>4680115884038</v>
      </c>
      <c r="E275" s="70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6"/>
      <c r="R275" s="706"/>
      <c r="S275" s="706"/>
      <c r="T275" s="70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466</v>
      </c>
      <c r="AG275" s="75"/>
      <c r="AJ275" s="79" t="s">
        <v>46</v>
      </c>
      <c r="AK275" s="79">
        <v>0</v>
      </c>
      <c r="BB275" s="356" t="s">
        <v>67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476</v>
      </c>
      <c r="B276" s="60" t="s">
        <v>477</v>
      </c>
      <c r="C276" s="34">
        <v>4301031225</v>
      </c>
      <c r="D276" s="704">
        <v>4680115884021</v>
      </c>
      <c r="E276" s="70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469</v>
      </c>
      <c r="AG276" s="75"/>
      <c r="AJ276" s="79" t="s">
        <v>46</v>
      </c>
      <c r="AK276" s="79">
        <v>0</v>
      </c>
      <c r="BB276" s="358" t="s">
        <v>67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x14ac:dyDescent="0.2">
      <c r="A277" s="712"/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3"/>
      <c r="P277" s="709" t="s">
        <v>40</v>
      </c>
      <c r="Q277" s="710"/>
      <c r="R277" s="710"/>
      <c r="S277" s="710"/>
      <c r="T277" s="710"/>
      <c r="U277" s="710"/>
      <c r="V277" s="711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48.148148148148145</v>
      </c>
      <c r="Y277" s="41">
        <f>IFERROR(Y269/H269,"0")+IFERROR(Y270/H270,"0")+IFERROR(Y271/H271,"0")+IFERROR(Y272/H272,"0")+IFERROR(Y273/H273,"0")+IFERROR(Y274/H274,"0")+IFERROR(Y275/H275,"0")+IFERROR(Y276/H276,"0")</f>
        <v>49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0.44198000000000004</v>
      </c>
      <c r="AA277" s="64"/>
      <c r="AB277" s="64"/>
      <c r="AC277" s="64"/>
    </row>
    <row r="278" spans="1:68" x14ac:dyDescent="0.2">
      <c r="A278" s="712"/>
      <c r="B278" s="712"/>
      <c r="C278" s="712"/>
      <c r="D278" s="712"/>
      <c r="E278" s="712"/>
      <c r="F278" s="712"/>
      <c r="G278" s="712"/>
      <c r="H278" s="712"/>
      <c r="I278" s="712"/>
      <c r="J278" s="712"/>
      <c r="K278" s="712"/>
      <c r="L278" s="712"/>
      <c r="M278" s="712"/>
      <c r="N278" s="712"/>
      <c r="O278" s="713"/>
      <c r="P278" s="709" t="s">
        <v>40</v>
      </c>
      <c r="Q278" s="710"/>
      <c r="R278" s="710"/>
      <c r="S278" s="710"/>
      <c r="T278" s="710"/>
      <c r="U278" s="710"/>
      <c r="V278" s="711"/>
      <c r="W278" s="40" t="s">
        <v>0</v>
      </c>
      <c r="X278" s="41">
        <f>IFERROR(SUM(X269:X276),"0")</f>
        <v>260</v>
      </c>
      <c r="Y278" s="41">
        <f>IFERROR(SUM(Y269:Y276),"0")</f>
        <v>264.60000000000002</v>
      </c>
      <c r="Z278" s="40"/>
      <c r="AA278" s="64"/>
      <c r="AB278" s="64"/>
      <c r="AC278" s="64"/>
    </row>
    <row r="279" spans="1:68" ht="14.25" hidden="1" customHeight="1" x14ac:dyDescent="0.25">
      <c r="A279" s="703" t="s">
        <v>86</v>
      </c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  <c r="AA279" s="63"/>
      <c r="AB279" s="63"/>
      <c r="AC279" s="63"/>
    </row>
    <row r="280" spans="1:68" ht="27" hidden="1" customHeight="1" x14ac:dyDescent="0.25">
      <c r="A280" s="60" t="s">
        <v>478</v>
      </c>
      <c r="B280" s="60" t="s">
        <v>479</v>
      </c>
      <c r="C280" s="34">
        <v>4301051408</v>
      </c>
      <c r="D280" s="704">
        <v>4680115881594</v>
      </c>
      <c r="E280" s="70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133</v>
      </c>
      <c r="L280" s="35" t="s">
        <v>46</v>
      </c>
      <c r="M280" s="36" t="s">
        <v>90</v>
      </c>
      <c r="N280" s="36"/>
      <c r="O280" s="35">
        <v>40</v>
      </c>
      <c r="P280" s="8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480</v>
      </c>
      <c r="AG280" s="75"/>
      <c r="AJ280" s="79" t="s">
        <v>46</v>
      </c>
      <c r="AK280" s="79">
        <v>0</v>
      </c>
      <c r="BB280" s="360" t="s">
        <v>67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4301051411</v>
      </c>
      <c r="D281" s="704">
        <v>4680115881617</v>
      </c>
      <c r="E281" s="70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133</v>
      </c>
      <c r="L281" s="35" t="s">
        <v>46</v>
      </c>
      <c r="M281" s="36" t="s">
        <v>90</v>
      </c>
      <c r="N281" s="36"/>
      <c r="O281" s="35">
        <v>40</v>
      </c>
      <c r="P281" s="8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483</v>
      </c>
      <c r="AG281" s="75"/>
      <c r="AJ281" s="79" t="s">
        <v>46</v>
      </c>
      <c r="AK281" s="79">
        <v>0</v>
      </c>
      <c r="BB281" s="362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customHeight="1" x14ac:dyDescent="0.25">
      <c r="A282" s="60" t="s">
        <v>484</v>
      </c>
      <c r="B282" s="60" t="s">
        <v>485</v>
      </c>
      <c r="C282" s="34">
        <v>4301051656</v>
      </c>
      <c r="D282" s="704">
        <v>4680115880573</v>
      </c>
      <c r="E282" s="70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133</v>
      </c>
      <c r="L282" s="35" t="s">
        <v>46</v>
      </c>
      <c r="M282" s="36" t="s">
        <v>90</v>
      </c>
      <c r="N282" s="36"/>
      <c r="O282" s="35">
        <v>45</v>
      </c>
      <c r="P282" s="8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50</v>
      </c>
      <c r="Y282" s="53">
        <f t="shared" si="32"/>
        <v>52.199999999999996</v>
      </c>
      <c r="Z282" s="39">
        <f>IFERROR(IF(Y282=0,"",ROUNDUP(Y282/H282,0)*0.01898),"")</f>
        <v>0.11388000000000001</v>
      </c>
      <c r="AA282" s="65" t="s">
        <v>46</v>
      </c>
      <c r="AB282" s="66" t="s">
        <v>46</v>
      </c>
      <c r="AC282" s="363" t="s">
        <v>486</v>
      </c>
      <c r="AG282" s="75"/>
      <c r="AJ282" s="79" t="s">
        <v>46</v>
      </c>
      <c r="AK282" s="79">
        <v>0</v>
      </c>
      <c r="BB282" s="364" t="s">
        <v>67</v>
      </c>
      <c r="BM282" s="75">
        <f t="shared" si="33"/>
        <v>52.839080459770123</v>
      </c>
      <c r="BN282" s="75">
        <f t="shared" si="34"/>
        <v>55.164000000000009</v>
      </c>
      <c r="BO282" s="75">
        <f t="shared" si="35"/>
        <v>8.9798850574712652E-2</v>
      </c>
      <c r="BP282" s="75">
        <f t="shared" si="36"/>
        <v>9.375E-2</v>
      </c>
    </row>
    <row r="283" spans="1:68" ht="27" customHeight="1" x14ac:dyDescent="0.25">
      <c r="A283" s="60" t="s">
        <v>487</v>
      </c>
      <c r="B283" s="60" t="s">
        <v>488</v>
      </c>
      <c r="C283" s="34">
        <v>4301051407</v>
      </c>
      <c r="D283" s="704">
        <v>4680115882195</v>
      </c>
      <c r="E283" s="70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8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48</v>
      </c>
      <c r="Y283" s="53">
        <f t="shared" si="32"/>
        <v>48</v>
      </c>
      <c r="Z283" s="39">
        <f>IFERROR(IF(Y283=0,"",ROUNDUP(Y283/H283,0)*0.00651),"")</f>
        <v>0.13020000000000001</v>
      </c>
      <c r="AA283" s="65" t="s">
        <v>46</v>
      </c>
      <c r="AB283" s="66" t="s">
        <v>46</v>
      </c>
      <c r="AC283" s="365" t="s">
        <v>480</v>
      </c>
      <c r="AG283" s="75"/>
      <c r="AJ283" s="79" t="s">
        <v>46</v>
      </c>
      <c r="AK283" s="79">
        <v>0</v>
      </c>
      <c r="BB283" s="366" t="s">
        <v>67</v>
      </c>
      <c r="BM283" s="75">
        <f t="shared" si="33"/>
        <v>53.4</v>
      </c>
      <c r="BN283" s="75">
        <f t="shared" si="34"/>
        <v>53.4</v>
      </c>
      <c r="BO283" s="75">
        <f t="shared" si="35"/>
        <v>0.1098901098901099</v>
      </c>
      <c r="BP283" s="75">
        <f t="shared" si="36"/>
        <v>0.1098901098901099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4301051752</v>
      </c>
      <c r="D284" s="704">
        <v>4680115882607</v>
      </c>
      <c r="E284" s="70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486</v>
      </c>
      <c r="AG284" s="75"/>
      <c r="AJ284" s="79" t="s">
        <v>46</v>
      </c>
      <c r="AK284" s="79">
        <v>0</v>
      </c>
      <c r="BB284" s="368" t="s">
        <v>67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4301052143</v>
      </c>
      <c r="D285" s="704">
        <v>4680115882607</v>
      </c>
      <c r="E285" s="70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140</v>
      </c>
      <c r="L285" s="35" t="s">
        <v>46</v>
      </c>
      <c r="M285" s="36" t="s">
        <v>90</v>
      </c>
      <c r="N285" s="36"/>
      <c r="O285" s="35">
        <v>45</v>
      </c>
      <c r="P285" s="8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493</v>
      </c>
      <c r="AG285" s="75"/>
      <c r="AJ285" s="79" t="s">
        <v>46</v>
      </c>
      <c r="AK285" s="79">
        <v>0</v>
      </c>
      <c r="BB285" s="370" t="s">
        <v>67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4301051666</v>
      </c>
      <c r="D286" s="704">
        <v>4680115880092</v>
      </c>
      <c r="E286" s="70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8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168</v>
      </c>
      <c r="Y286" s="53">
        <f t="shared" si="32"/>
        <v>168</v>
      </c>
      <c r="Z286" s="39">
        <f>IFERROR(IF(Y286=0,"",ROUNDUP(Y286/H286,0)*0.00651),"")</f>
        <v>0.45569999999999999</v>
      </c>
      <c r="AA286" s="65" t="s">
        <v>46</v>
      </c>
      <c r="AB286" s="66" t="s">
        <v>46</v>
      </c>
      <c r="AC286" s="371" t="s">
        <v>486</v>
      </c>
      <c r="AG286" s="75"/>
      <c r="AJ286" s="79" t="s">
        <v>46</v>
      </c>
      <c r="AK286" s="79">
        <v>0</v>
      </c>
      <c r="BB286" s="372" t="s">
        <v>67</v>
      </c>
      <c r="BM286" s="75">
        <f t="shared" si="33"/>
        <v>185.64000000000001</v>
      </c>
      <c r="BN286" s="75">
        <f t="shared" si="34"/>
        <v>185.64000000000001</v>
      </c>
      <c r="BO286" s="75">
        <f t="shared" si="35"/>
        <v>0.38461538461538464</v>
      </c>
      <c r="BP286" s="75">
        <f t="shared" si="36"/>
        <v>0.38461538461538464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4301052214</v>
      </c>
      <c r="D287" s="704">
        <v>4680115889064</v>
      </c>
      <c r="E287" s="70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133</v>
      </c>
      <c r="L287" s="35" t="s">
        <v>46</v>
      </c>
      <c r="M287" s="36" t="s">
        <v>90</v>
      </c>
      <c r="N287" s="36"/>
      <c r="O287" s="35">
        <v>45</v>
      </c>
      <c r="P287" s="85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493</v>
      </c>
      <c r="AG287" s="75"/>
      <c r="AJ287" s="79" t="s">
        <v>46</v>
      </c>
      <c r="AK287" s="79">
        <v>0</v>
      </c>
      <c r="BB287" s="374" t="s">
        <v>67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customHeight="1" x14ac:dyDescent="0.25">
      <c r="A288" s="60" t="s">
        <v>498</v>
      </c>
      <c r="B288" s="60" t="s">
        <v>499</v>
      </c>
      <c r="C288" s="34">
        <v>4301051668</v>
      </c>
      <c r="D288" s="704">
        <v>4680115880221</v>
      </c>
      <c r="E288" s="70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6"/>
      <c r="R288" s="706"/>
      <c r="S288" s="706"/>
      <c r="T288" s="707"/>
      <c r="U288" s="37" t="s">
        <v>46</v>
      </c>
      <c r="V288" s="37" t="s">
        <v>46</v>
      </c>
      <c r="W288" s="38" t="s">
        <v>0</v>
      </c>
      <c r="X288" s="56">
        <v>72</v>
      </c>
      <c r="Y288" s="53">
        <f t="shared" si="32"/>
        <v>72</v>
      </c>
      <c r="Z288" s="39">
        <f>IFERROR(IF(Y288=0,"",ROUNDUP(Y288/H288,0)*0.00651),"")</f>
        <v>0.1953</v>
      </c>
      <c r="AA288" s="65" t="s">
        <v>46</v>
      </c>
      <c r="AB288" s="66" t="s">
        <v>46</v>
      </c>
      <c r="AC288" s="375" t="s">
        <v>486</v>
      </c>
      <c r="AG288" s="75"/>
      <c r="AJ288" s="79" t="s">
        <v>46</v>
      </c>
      <c r="AK288" s="79">
        <v>0</v>
      </c>
      <c r="BB288" s="376" t="s">
        <v>67</v>
      </c>
      <c r="BM288" s="75">
        <f t="shared" si="33"/>
        <v>79.560000000000016</v>
      </c>
      <c r="BN288" s="75">
        <f t="shared" si="34"/>
        <v>79.560000000000016</v>
      </c>
      <c r="BO288" s="75">
        <f t="shared" si="35"/>
        <v>0.16483516483516486</v>
      </c>
      <c r="BP288" s="75">
        <f t="shared" si="36"/>
        <v>0.16483516483516486</v>
      </c>
    </row>
    <row r="289" spans="1:68" ht="27" hidden="1" customHeight="1" x14ac:dyDescent="0.25">
      <c r="A289" s="60" t="s">
        <v>500</v>
      </c>
      <c r="B289" s="60" t="s">
        <v>501</v>
      </c>
      <c r="C289" s="34">
        <v>4301051945</v>
      </c>
      <c r="D289" s="704">
        <v>4680115880504</v>
      </c>
      <c r="E289" s="70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6"/>
      <c r="R289" s="706"/>
      <c r="S289" s="706"/>
      <c r="T289" s="70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502</v>
      </c>
      <c r="AG289" s="75"/>
      <c r="AJ289" s="79" t="s">
        <v>46</v>
      </c>
      <c r="AK289" s="79">
        <v>0</v>
      </c>
      <c r="BB289" s="378" t="s">
        <v>67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customHeight="1" x14ac:dyDescent="0.25">
      <c r="A290" s="60" t="s">
        <v>503</v>
      </c>
      <c r="B290" s="60" t="s">
        <v>504</v>
      </c>
      <c r="C290" s="34">
        <v>4301051410</v>
      </c>
      <c r="D290" s="704">
        <v>4680115882164</v>
      </c>
      <c r="E290" s="70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86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6"/>
      <c r="R290" s="706"/>
      <c r="S290" s="706"/>
      <c r="T290" s="707"/>
      <c r="U290" s="37" t="s">
        <v>46</v>
      </c>
      <c r="V290" s="37" t="s">
        <v>46</v>
      </c>
      <c r="W290" s="38" t="s">
        <v>0</v>
      </c>
      <c r="X290" s="56">
        <v>60</v>
      </c>
      <c r="Y290" s="53">
        <f t="shared" si="32"/>
        <v>60</v>
      </c>
      <c r="Z290" s="39">
        <f>IFERROR(IF(Y290=0,"",ROUNDUP(Y290/H290,0)*0.00651),"")</f>
        <v>0.16275000000000001</v>
      </c>
      <c r="AA290" s="65" t="s">
        <v>46</v>
      </c>
      <c r="AB290" s="66" t="s">
        <v>46</v>
      </c>
      <c r="AC290" s="379" t="s">
        <v>505</v>
      </c>
      <c r="AG290" s="75"/>
      <c r="AJ290" s="79" t="s">
        <v>46</v>
      </c>
      <c r="AK290" s="79">
        <v>0</v>
      </c>
      <c r="BB290" s="380" t="s">
        <v>67</v>
      </c>
      <c r="BM290" s="75">
        <f t="shared" si="33"/>
        <v>66.45</v>
      </c>
      <c r="BN290" s="75">
        <f t="shared" si="34"/>
        <v>66.45</v>
      </c>
      <c r="BO290" s="75">
        <f t="shared" si="35"/>
        <v>0.13736263736263737</v>
      </c>
      <c r="BP290" s="75">
        <f t="shared" si="36"/>
        <v>0.13736263736263737</v>
      </c>
    </row>
    <row r="291" spans="1:68" ht="27" hidden="1" customHeight="1" x14ac:dyDescent="0.25">
      <c r="A291" s="60" t="s">
        <v>506</v>
      </c>
      <c r="B291" s="60" t="s">
        <v>507</v>
      </c>
      <c r="C291" s="34">
        <v>4301052180</v>
      </c>
      <c r="D291" s="704">
        <v>4680115888340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86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508</v>
      </c>
      <c r="AG291" s="75"/>
      <c r="AJ291" s="79" t="s">
        <v>46</v>
      </c>
      <c r="AK291" s="79">
        <v>0</v>
      </c>
      <c r="BB291" s="382" t="s">
        <v>67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x14ac:dyDescent="0.2">
      <c r="A292" s="712"/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3"/>
      <c r="P292" s="709" t="s">
        <v>40</v>
      </c>
      <c r="Q292" s="710"/>
      <c r="R292" s="710"/>
      <c r="S292" s="710"/>
      <c r="T292" s="710"/>
      <c r="U292" s="710"/>
      <c r="V292" s="711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150.74712643678163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151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1.05783</v>
      </c>
      <c r="AA292" s="64"/>
      <c r="AB292" s="64"/>
      <c r="AC292" s="64"/>
    </row>
    <row r="293" spans="1:68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0</v>
      </c>
      <c r="X293" s="41">
        <f>IFERROR(SUM(X280:X291),"0")</f>
        <v>398</v>
      </c>
      <c r="Y293" s="41">
        <f>IFERROR(SUM(Y280:Y291),"0")</f>
        <v>400.2</v>
      </c>
      <c r="Z293" s="40"/>
      <c r="AA293" s="64"/>
      <c r="AB293" s="64"/>
      <c r="AC293" s="64"/>
    </row>
    <row r="294" spans="1:68" ht="14.25" hidden="1" customHeight="1" x14ac:dyDescent="0.25">
      <c r="A294" s="703" t="s">
        <v>181</v>
      </c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  <c r="AA294" s="63"/>
      <c r="AB294" s="63"/>
      <c r="AC294" s="63"/>
    </row>
    <row r="295" spans="1:68" ht="27" hidden="1" customHeight="1" x14ac:dyDescent="0.25">
      <c r="A295" s="60" t="s">
        <v>509</v>
      </c>
      <c r="B295" s="60" t="s">
        <v>510</v>
      </c>
      <c r="C295" s="34">
        <v>4301060463</v>
      </c>
      <c r="D295" s="704">
        <v>4680115880818</v>
      </c>
      <c r="E295" s="70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6"/>
      <c r="R295" s="706"/>
      <c r="S295" s="706"/>
      <c r="T295" s="70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511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512</v>
      </c>
      <c r="B296" s="60" t="s">
        <v>513</v>
      </c>
      <c r="C296" s="34">
        <v>4301060389</v>
      </c>
      <c r="D296" s="704">
        <v>4680115880801</v>
      </c>
      <c r="E296" s="70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6"/>
      <c r="R296" s="706"/>
      <c r="S296" s="706"/>
      <c r="T296" s="70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514</v>
      </c>
      <c r="AG296" s="75"/>
      <c r="AJ296" s="79" t="s">
        <v>46</v>
      </c>
      <c r="AK296" s="79">
        <v>0</v>
      </c>
      <c r="BB296" s="386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12"/>
      <c r="B297" s="712"/>
      <c r="C297" s="712"/>
      <c r="D297" s="712"/>
      <c r="E297" s="712"/>
      <c r="F297" s="712"/>
      <c r="G297" s="712"/>
      <c r="H297" s="712"/>
      <c r="I297" s="712"/>
      <c r="J297" s="712"/>
      <c r="K297" s="712"/>
      <c r="L297" s="712"/>
      <c r="M297" s="712"/>
      <c r="N297" s="712"/>
      <c r="O297" s="713"/>
      <c r="P297" s="709" t="s">
        <v>40</v>
      </c>
      <c r="Q297" s="710"/>
      <c r="R297" s="710"/>
      <c r="S297" s="710"/>
      <c r="T297" s="710"/>
      <c r="U297" s="710"/>
      <c r="V297" s="711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12"/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3"/>
      <c r="P298" s="709" t="s">
        <v>40</v>
      </c>
      <c r="Q298" s="710"/>
      <c r="R298" s="710"/>
      <c r="S298" s="710"/>
      <c r="T298" s="710"/>
      <c r="U298" s="710"/>
      <c r="V298" s="711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02" t="s">
        <v>515</v>
      </c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  <c r="L299" s="702"/>
      <c r="M299" s="702"/>
      <c r="N299" s="702"/>
      <c r="O299" s="702"/>
      <c r="P299" s="702"/>
      <c r="Q299" s="702"/>
      <c r="R299" s="702"/>
      <c r="S299" s="702"/>
      <c r="T299" s="702"/>
      <c r="U299" s="702"/>
      <c r="V299" s="702"/>
      <c r="W299" s="702"/>
      <c r="X299" s="702"/>
      <c r="Y299" s="702"/>
      <c r="Z299" s="702"/>
      <c r="AA299" s="62"/>
      <c r="AB299" s="62"/>
      <c r="AC299" s="62"/>
    </row>
    <row r="300" spans="1:68" ht="14.25" hidden="1" customHeight="1" x14ac:dyDescent="0.25">
      <c r="A300" s="703" t="s">
        <v>128</v>
      </c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  <c r="AA300" s="63"/>
      <c r="AB300" s="63"/>
      <c r="AC300" s="63"/>
    </row>
    <row r="301" spans="1:68" ht="27" hidden="1" customHeight="1" x14ac:dyDescent="0.25">
      <c r="A301" s="60" t="s">
        <v>516</v>
      </c>
      <c r="B301" s="60" t="s">
        <v>517</v>
      </c>
      <c r="C301" s="34">
        <v>4301011826</v>
      </c>
      <c r="D301" s="704">
        <v>4680115884137</v>
      </c>
      <c r="E301" s="70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133</v>
      </c>
      <c r="L301" s="35" t="s">
        <v>46</v>
      </c>
      <c r="M301" s="36" t="s">
        <v>132</v>
      </c>
      <c r="N301" s="36"/>
      <c r="O301" s="35">
        <v>55</v>
      </c>
      <c r="P301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518</v>
      </c>
      <c r="AG301" s="75"/>
      <c r="AJ301" s="79" t="s">
        <v>46</v>
      </c>
      <c r="AK301" s="79">
        <v>0</v>
      </c>
      <c r="BB301" s="388" t="s">
        <v>67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4301011724</v>
      </c>
      <c r="D302" s="704">
        <v>4680115884236</v>
      </c>
      <c r="E302" s="70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133</v>
      </c>
      <c r="L302" s="35" t="s">
        <v>46</v>
      </c>
      <c r="M302" s="36" t="s">
        <v>132</v>
      </c>
      <c r="N302" s="36"/>
      <c r="O302" s="35">
        <v>55</v>
      </c>
      <c r="P302" s="8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521</v>
      </c>
      <c r="AG302" s="75"/>
      <c r="AJ302" s="79" t="s">
        <v>46</v>
      </c>
      <c r="AK302" s="79">
        <v>0</v>
      </c>
      <c r="BB302" s="390" t="s">
        <v>67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4301011721</v>
      </c>
      <c r="D303" s="704">
        <v>4680115884175</v>
      </c>
      <c r="E303" s="70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133</v>
      </c>
      <c r="L303" s="35" t="s">
        <v>46</v>
      </c>
      <c r="M303" s="36" t="s">
        <v>132</v>
      </c>
      <c r="N303" s="36"/>
      <c r="O303" s="35">
        <v>55</v>
      </c>
      <c r="P303" s="8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376</v>
      </c>
      <c r="AG303" s="75"/>
      <c r="AJ303" s="79" t="s">
        <v>46</v>
      </c>
      <c r="AK303" s="79">
        <v>0</v>
      </c>
      <c r="BB303" s="392" t="s">
        <v>67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4301011824</v>
      </c>
      <c r="D304" s="704">
        <v>4680115884144</v>
      </c>
      <c r="E304" s="70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140</v>
      </c>
      <c r="L304" s="35" t="s">
        <v>46</v>
      </c>
      <c r="M304" s="36" t="s">
        <v>132</v>
      </c>
      <c r="N304" s="36"/>
      <c r="O304" s="35">
        <v>55</v>
      </c>
      <c r="P304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6"/>
      <c r="R304" s="706"/>
      <c r="S304" s="706"/>
      <c r="T304" s="70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518</v>
      </c>
      <c r="AG304" s="75"/>
      <c r="AJ304" s="79" t="s">
        <v>46</v>
      </c>
      <c r="AK304" s="79">
        <v>0</v>
      </c>
      <c r="BB304" s="394" t="s">
        <v>67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526</v>
      </c>
      <c r="B305" s="60" t="s">
        <v>527</v>
      </c>
      <c r="C305" s="34">
        <v>4301012149</v>
      </c>
      <c r="D305" s="704">
        <v>4680115886551</v>
      </c>
      <c r="E305" s="70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140</v>
      </c>
      <c r="L305" s="35" t="s">
        <v>46</v>
      </c>
      <c r="M305" s="36" t="s">
        <v>132</v>
      </c>
      <c r="N305" s="36"/>
      <c r="O305" s="35">
        <v>55</v>
      </c>
      <c r="P305" s="8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6"/>
      <c r="R305" s="706"/>
      <c r="S305" s="706"/>
      <c r="T305" s="70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528</v>
      </c>
      <c r="AG305" s="75"/>
      <c r="AJ305" s="79" t="s">
        <v>46</v>
      </c>
      <c r="AK305" s="79">
        <v>0</v>
      </c>
      <c r="BB305" s="396" t="s">
        <v>67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529</v>
      </c>
      <c r="B306" s="60" t="s">
        <v>530</v>
      </c>
      <c r="C306" s="34">
        <v>4301012228</v>
      </c>
      <c r="D306" s="704">
        <v>4680115887282</v>
      </c>
      <c r="E306" s="70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132</v>
      </c>
      <c r="N306" s="36"/>
      <c r="O306" s="35">
        <v>55</v>
      </c>
      <c r="P306" s="8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6"/>
      <c r="R306" s="706"/>
      <c r="S306" s="706"/>
      <c r="T306" s="70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531</v>
      </c>
      <c r="AG306" s="75"/>
      <c r="AJ306" s="79" t="s">
        <v>46</v>
      </c>
      <c r="AK306" s="79">
        <v>0</v>
      </c>
      <c r="BB306" s="398" t="s">
        <v>67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532</v>
      </c>
      <c r="B307" s="60" t="s">
        <v>533</v>
      </c>
      <c r="C307" s="34">
        <v>4301011722</v>
      </c>
      <c r="D307" s="704">
        <v>4680115884205</v>
      </c>
      <c r="E307" s="70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140</v>
      </c>
      <c r="L307" s="35" t="s">
        <v>46</v>
      </c>
      <c r="M307" s="36" t="s">
        <v>132</v>
      </c>
      <c r="N307" s="36"/>
      <c r="O307" s="35">
        <v>55</v>
      </c>
      <c r="P307" s="8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376</v>
      </c>
      <c r="AG307" s="75"/>
      <c r="AJ307" s="79" t="s">
        <v>46</v>
      </c>
      <c r="AK307" s="79">
        <v>0</v>
      </c>
      <c r="BB307" s="400" t="s">
        <v>67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3" t="s">
        <v>164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534</v>
      </c>
      <c r="B311" s="60" t="s">
        <v>535</v>
      </c>
      <c r="C311" s="34">
        <v>4301020377</v>
      </c>
      <c r="D311" s="704">
        <v>4680115885981</v>
      </c>
      <c r="E311" s="70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536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537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hidden="1" customHeight="1" x14ac:dyDescent="0.25">
      <c r="A315" s="60" t="s">
        <v>538</v>
      </c>
      <c r="B315" s="60" t="s">
        <v>539</v>
      </c>
      <c r="C315" s="34">
        <v>4301040362</v>
      </c>
      <c r="D315" s="704">
        <v>4680115886803</v>
      </c>
      <c r="E315" s="70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350</v>
      </c>
      <c r="L315" s="35" t="s">
        <v>46</v>
      </c>
      <c r="M315" s="36" t="s">
        <v>292</v>
      </c>
      <c r="N315" s="36"/>
      <c r="O315" s="35">
        <v>45</v>
      </c>
      <c r="P315" s="8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540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12"/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3"/>
      <c r="P316" s="709" t="s">
        <v>40</v>
      </c>
      <c r="Q316" s="710"/>
      <c r="R316" s="710"/>
      <c r="S316" s="710"/>
      <c r="T316" s="710"/>
      <c r="U316" s="710"/>
      <c r="V316" s="711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12"/>
      <c r="B317" s="712"/>
      <c r="C317" s="712"/>
      <c r="D317" s="712"/>
      <c r="E317" s="712"/>
      <c r="F317" s="712"/>
      <c r="G317" s="712"/>
      <c r="H317" s="712"/>
      <c r="I317" s="712"/>
      <c r="J317" s="712"/>
      <c r="K317" s="712"/>
      <c r="L317" s="712"/>
      <c r="M317" s="712"/>
      <c r="N317" s="712"/>
      <c r="O317" s="713"/>
      <c r="P317" s="709" t="s">
        <v>40</v>
      </c>
      <c r="Q317" s="710"/>
      <c r="R317" s="710"/>
      <c r="S317" s="710"/>
      <c r="T317" s="710"/>
      <c r="U317" s="710"/>
      <c r="V317" s="711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03" t="s">
        <v>354</v>
      </c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  <c r="AA318" s="63"/>
      <c r="AB318" s="63"/>
      <c r="AC318" s="63"/>
    </row>
    <row r="319" spans="1:68" ht="27" hidden="1" customHeight="1" x14ac:dyDescent="0.25">
      <c r="A319" s="60" t="s">
        <v>541</v>
      </c>
      <c r="B319" s="60" t="s">
        <v>542</v>
      </c>
      <c r="C319" s="34">
        <v>4301041004</v>
      </c>
      <c r="D319" s="704">
        <v>4680115886704</v>
      </c>
      <c r="E319" s="70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350</v>
      </c>
      <c r="L319" s="35" t="s">
        <v>46</v>
      </c>
      <c r="M319" s="36" t="s">
        <v>292</v>
      </c>
      <c r="N319" s="36"/>
      <c r="O319" s="35">
        <v>90</v>
      </c>
      <c r="P319" s="8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6"/>
      <c r="R319" s="706"/>
      <c r="S319" s="706"/>
      <c r="T319" s="70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543</v>
      </c>
      <c r="AG319" s="75"/>
      <c r="AJ319" s="79" t="s">
        <v>46</v>
      </c>
      <c r="AK319" s="79">
        <v>0</v>
      </c>
      <c r="BB319" s="40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544</v>
      </c>
      <c r="B320" s="60" t="s">
        <v>545</v>
      </c>
      <c r="C320" s="34">
        <v>4301041008</v>
      </c>
      <c r="D320" s="704">
        <v>4680115886681</v>
      </c>
      <c r="E320" s="70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350</v>
      </c>
      <c r="L320" s="35" t="s">
        <v>46</v>
      </c>
      <c r="M320" s="36" t="s">
        <v>292</v>
      </c>
      <c r="N320" s="36"/>
      <c r="O320" s="35">
        <v>90</v>
      </c>
      <c r="P320" s="8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6"/>
      <c r="R320" s="706"/>
      <c r="S320" s="706"/>
      <c r="T320" s="70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543</v>
      </c>
      <c r="AG320" s="75"/>
      <c r="AJ320" s="79" t="s">
        <v>46</v>
      </c>
      <c r="AK320" s="79">
        <v>0</v>
      </c>
      <c r="BB320" s="40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546</v>
      </c>
      <c r="B321" s="60" t="s">
        <v>547</v>
      </c>
      <c r="C321" s="34">
        <v>4301041007</v>
      </c>
      <c r="D321" s="704">
        <v>4680115886735</v>
      </c>
      <c r="E321" s="70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350</v>
      </c>
      <c r="L321" s="35" t="s">
        <v>46</v>
      </c>
      <c r="M321" s="36" t="s">
        <v>292</v>
      </c>
      <c r="N321" s="36"/>
      <c r="O321" s="35">
        <v>90</v>
      </c>
      <c r="P321" s="87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6"/>
      <c r="R321" s="706"/>
      <c r="S321" s="706"/>
      <c r="T321" s="70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543</v>
      </c>
      <c r="AG321" s="75"/>
      <c r="AJ321" s="79" t="s">
        <v>46</v>
      </c>
      <c r="AK321" s="79">
        <v>0</v>
      </c>
      <c r="BB321" s="41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12"/>
      <c r="B322" s="712"/>
      <c r="C322" s="712"/>
      <c r="D322" s="712"/>
      <c r="E322" s="712"/>
      <c r="F322" s="712"/>
      <c r="G322" s="712"/>
      <c r="H322" s="712"/>
      <c r="I322" s="712"/>
      <c r="J322" s="712"/>
      <c r="K322" s="712"/>
      <c r="L322" s="712"/>
      <c r="M322" s="712"/>
      <c r="N322" s="712"/>
      <c r="O322" s="713"/>
      <c r="P322" s="709" t="s">
        <v>40</v>
      </c>
      <c r="Q322" s="710"/>
      <c r="R322" s="710"/>
      <c r="S322" s="710"/>
      <c r="T322" s="710"/>
      <c r="U322" s="710"/>
      <c r="V322" s="711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12"/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3"/>
      <c r="P323" s="709" t="s">
        <v>40</v>
      </c>
      <c r="Q323" s="710"/>
      <c r="R323" s="710"/>
      <c r="S323" s="710"/>
      <c r="T323" s="710"/>
      <c r="U323" s="710"/>
      <c r="V323" s="711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02" t="s">
        <v>548</v>
      </c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  <c r="L324" s="702"/>
      <c r="M324" s="702"/>
      <c r="N324" s="702"/>
      <c r="O324" s="702"/>
      <c r="P324" s="702"/>
      <c r="Q324" s="702"/>
      <c r="R324" s="702"/>
      <c r="S324" s="702"/>
      <c r="T324" s="702"/>
      <c r="U324" s="702"/>
      <c r="V324" s="702"/>
      <c r="W324" s="702"/>
      <c r="X324" s="702"/>
      <c r="Y324" s="702"/>
      <c r="Z324" s="702"/>
      <c r="AA324" s="62"/>
      <c r="AB324" s="62"/>
      <c r="AC324" s="62"/>
    </row>
    <row r="325" spans="1:68" ht="14.25" hidden="1" customHeight="1" x14ac:dyDescent="0.25">
      <c r="A325" s="703" t="s">
        <v>128</v>
      </c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  <c r="AA325" s="63"/>
      <c r="AB325" s="63"/>
      <c r="AC325" s="63"/>
    </row>
    <row r="326" spans="1:68" ht="27" hidden="1" customHeight="1" x14ac:dyDescent="0.25">
      <c r="A326" s="60" t="s">
        <v>549</v>
      </c>
      <c r="B326" s="60" t="s">
        <v>550</v>
      </c>
      <c r="C326" s="34">
        <v>4301011855</v>
      </c>
      <c r="D326" s="704">
        <v>4680115885837</v>
      </c>
      <c r="E326" s="70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133</v>
      </c>
      <c r="L326" s="35" t="s">
        <v>46</v>
      </c>
      <c r="M326" s="36" t="s">
        <v>132</v>
      </c>
      <c r="N326" s="36"/>
      <c r="O326" s="35">
        <v>55</v>
      </c>
      <c r="P326" s="8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551</v>
      </c>
      <c r="AG326" s="75"/>
      <c r="AJ326" s="79" t="s">
        <v>46</v>
      </c>
      <c r="AK326" s="79">
        <v>0</v>
      </c>
      <c r="BB326" s="41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552</v>
      </c>
      <c r="B327" s="60" t="s">
        <v>553</v>
      </c>
      <c r="C327" s="34">
        <v>4301012234</v>
      </c>
      <c r="D327" s="704">
        <v>4680115887237</v>
      </c>
      <c r="E327" s="70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133</v>
      </c>
      <c r="L327" s="35" t="s">
        <v>46</v>
      </c>
      <c r="M327" s="36" t="s">
        <v>132</v>
      </c>
      <c r="N327" s="36"/>
      <c r="O327" s="35">
        <v>55</v>
      </c>
      <c r="P327" s="8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6"/>
      <c r="R327" s="706"/>
      <c r="S327" s="706"/>
      <c r="T327" s="70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554</v>
      </c>
      <c r="AG327" s="75"/>
      <c r="AJ327" s="79" t="s">
        <v>46</v>
      </c>
      <c r="AK327" s="79">
        <v>0</v>
      </c>
      <c r="BB327" s="41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555</v>
      </c>
      <c r="B328" s="60" t="s">
        <v>556</v>
      </c>
      <c r="C328" s="34">
        <v>4301011850</v>
      </c>
      <c r="D328" s="704">
        <v>4680115885806</v>
      </c>
      <c r="E328" s="70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133</v>
      </c>
      <c r="L328" s="35" t="s">
        <v>46</v>
      </c>
      <c r="M328" s="36" t="s">
        <v>132</v>
      </c>
      <c r="N328" s="36"/>
      <c r="O328" s="35">
        <v>55</v>
      </c>
      <c r="P328" s="8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6"/>
      <c r="R328" s="706"/>
      <c r="S328" s="706"/>
      <c r="T328" s="70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557</v>
      </c>
      <c r="AG328" s="75"/>
      <c r="AJ328" s="79" t="s">
        <v>46</v>
      </c>
      <c r="AK328" s="79">
        <v>0</v>
      </c>
      <c r="BB328" s="41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558</v>
      </c>
      <c r="B329" s="60" t="s">
        <v>559</v>
      </c>
      <c r="C329" s="34">
        <v>4301011852</v>
      </c>
      <c r="D329" s="704">
        <v>4680115885844</v>
      </c>
      <c r="E329" s="70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140</v>
      </c>
      <c r="L329" s="35" t="s">
        <v>46</v>
      </c>
      <c r="M329" s="36" t="s">
        <v>132</v>
      </c>
      <c r="N329" s="36"/>
      <c r="O329" s="35">
        <v>55</v>
      </c>
      <c r="P329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6"/>
      <c r="R329" s="706"/>
      <c r="S329" s="706"/>
      <c r="T329" s="70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560</v>
      </c>
      <c r="AG329" s="75"/>
      <c r="AJ329" s="79" t="s">
        <v>46</v>
      </c>
      <c r="AK329" s="79">
        <v>0</v>
      </c>
      <c r="BB329" s="41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561</v>
      </c>
      <c r="B330" s="60" t="s">
        <v>562</v>
      </c>
      <c r="C330" s="34">
        <v>4301011851</v>
      </c>
      <c r="D330" s="704">
        <v>4680115885820</v>
      </c>
      <c r="E330" s="70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140</v>
      </c>
      <c r="L330" s="35" t="s">
        <v>46</v>
      </c>
      <c r="M330" s="36" t="s">
        <v>132</v>
      </c>
      <c r="N330" s="36"/>
      <c r="O330" s="35">
        <v>55</v>
      </c>
      <c r="P330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6"/>
      <c r="R330" s="706"/>
      <c r="S330" s="706"/>
      <c r="T330" s="70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563</v>
      </c>
      <c r="AG330" s="75"/>
      <c r="AJ330" s="79" t="s">
        <v>46</v>
      </c>
      <c r="AK330" s="79">
        <v>0</v>
      </c>
      <c r="BB330" s="42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2"/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3"/>
      <c r="P331" s="709" t="s">
        <v>40</v>
      </c>
      <c r="Q331" s="710"/>
      <c r="R331" s="710"/>
      <c r="S331" s="710"/>
      <c r="T331" s="710"/>
      <c r="U331" s="710"/>
      <c r="V331" s="711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2"/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3"/>
      <c r="P332" s="709" t="s">
        <v>40</v>
      </c>
      <c r="Q332" s="710"/>
      <c r="R332" s="710"/>
      <c r="S332" s="710"/>
      <c r="T332" s="710"/>
      <c r="U332" s="710"/>
      <c r="V332" s="711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2" t="s">
        <v>564</v>
      </c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  <c r="L333" s="702"/>
      <c r="M333" s="702"/>
      <c r="N333" s="702"/>
      <c r="O333" s="702"/>
      <c r="P333" s="702"/>
      <c r="Q333" s="702"/>
      <c r="R333" s="702"/>
      <c r="S333" s="702"/>
      <c r="T333" s="702"/>
      <c r="U333" s="702"/>
      <c r="V333" s="702"/>
      <c r="W333" s="702"/>
      <c r="X333" s="702"/>
      <c r="Y333" s="702"/>
      <c r="Z333" s="702"/>
      <c r="AA333" s="62"/>
      <c r="AB333" s="62"/>
      <c r="AC333" s="62"/>
    </row>
    <row r="334" spans="1:68" ht="14.25" hidden="1" customHeight="1" x14ac:dyDescent="0.25">
      <c r="A334" s="703" t="s">
        <v>86</v>
      </c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  <c r="AA334" s="63"/>
      <c r="AB334" s="63"/>
      <c r="AC334" s="63"/>
    </row>
    <row r="335" spans="1:68" ht="27" hidden="1" customHeight="1" x14ac:dyDescent="0.25">
      <c r="A335" s="60" t="s">
        <v>565</v>
      </c>
      <c r="B335" s="60" t="s">
        <v>566</v>
      </c>
      <c r="C335" s="34">
        <v>4301051893</v>
      </c>
      <c r="D335" s="704">
        <v>4680115886186</v>
      </c>
      <c r="E335" s="70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6"/>
      <c r="R335" s="706"/>
      <c r="S335" s="706"/>
      <c r="T335" s="70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567</v>
      </c>
      <c r="AG335" s="75"/>
      <c r="AJ335" s="79" t="s">
        <v>46</v>
      </c>
      <c r="AK335" s="79">
        <v>0</v>
      </c>
      <c r="BB335" s="422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568</v>
      </c>
      <c r="B336" s="60" t="s">
        <v>569</v>
      </c>
      <c r="C336" s="34">
        <v>4301051795</v>
      </c>
      <c r="D336" s="704">
        <v>4680115881228</v>
      </c>
      <c r="E336" s="70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8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6"/>
      <c r="R336" s="706"/>
      <c r="S336" s="706"/>
      <c r="T336" s="70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570</v>
      </c>
      <c r="AG336" s="75"/>
      <c r="AJ336" s="79" t="s">
        <v>46</v>
      </c>
      <c r="AK336" s="79">
        <v>0</v>
      </c>
      <c r="BB336" s="424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571</v>
      </c>
      <c r="B337" s="60" t="s">
        <v>572</v>
      </c>
      <c r="C337" s="34">
        <v>4301051388</v>
      </c>
      <c r="D337" s="704">
        <v>4680115881211</v>
      </c>
      <c r="E337" s="70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6"/>
      <c r="R337" s="706"/>
      <c r="S337" s="706"/>
      <c r="T337" s="70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567</v>
      </c>
      <c r="AG337" s="75"/>
      <c r="AJ337" s="79" t="s">
        <v>46</v>
      </c>
      <c r="AK337" s="79">
        <v>0</v>
      </c>
      <c r="BB337" s="426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12"/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3"/>
      <c r="P338" s="709" t="s">
        <v>40</v>
      </c>
      <c r="Q338" s="710"/>
      <c r="R338" s="710"/>
      <c r="S338" s="710"/>
      <c r="T338" s="710"/>
      <c r="U338" s="710"/>
      <c r="V338" s="71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12"/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3"/>
      <c r="P339" s="709" t="s">
        <v>40</v>
      </c>
      <c r="Q339" s="710"/>
      <c r="R339" s="710"/>
      <c r="S339" s="710"/>
      <c r="T339" s="710"/>
      <c r="U339" s="710"/>
      <c r="V339" s="71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02" t="s">
        <v>573</v>
      </c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  <c r="L340" s="702"/>
      <c r="M340" s="702"/>
      <c r="N340" s="702"/>
      <c r="O340" s="702"/>
      <c r="P340" s="702"/>
      <c r="Q340" s="702"/>
      <c r="R340" s="702"/>
      <c r="S340" s="702"/>
      <c r="T340" s="702"/>
      <c r="U340" s="702"/>
      <c r="V340" s="702"/>
      <c r="W340" s="702"/>
      <c r="X340" s="702"/>
      <c r="Y340" s="702"/>
      <c r="Z340" s="702"/>
      <c r="AA340" s="62"/>
      <c r="AB340" s="62"/>
      <c r="AC340" s="62"/>
    </row>
    <row r="341" spans="1:68" ht="14.25" hidden="1" customHeight="1" x14ac:dyDescent="0.25">
      <c r="A341" s="703" t="s">
        <v>77</v>
      </c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  <c r="AA341" s="63"/>
      <c r="AB341" s="63"/>
      <c r="AC341" s="63"/>
    </row>
    <row r="342" spans="1:68" ht="27" hidden="1" customHeight="1" x14ac:dyDescent="0.25">
      <c r="A342" s="60" t="s">
        <v>574</v>
      </c>
      <c r="B342" s="60" t="s">
        <v>575</v>
      </c>
      <c r="C342" s="34">
        <v>4301031445</v>
      </c>
      <c r="D342" s="704">
        <v>4680115888319</v>
      </c>
      <c r="E342" s="70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8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408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576</v>
      </c>
      <c r="B343" s="60" t="s">
        <v>577</v>
      </c>
      <c r="C343" s="34">
        <v>4301031502</v>
      </c>
      <c r="D343" s="704">
        <v>4680115884700</v>
      </c>
      <c r="E343" s="70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6"/>
      <c r="R343" s="706"/>
      <c r="S343" s="706"/>
      <c r="T343" s="70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578</v>
      </c>
      <c r="AG343" s="75"/>
      <c r="AJ343" s="79" t="s">
        <v>46</v>
      </c>
      <c r="AK343" s="79">
        <v>0</v>
      </c>
      <c r="BB343" s="430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579</v>
      </c>
      <c r="B344" s="60" t="s">
        <v>580</v>
      </c>
      <c r="C344" s="34">
        <v>4301031307</v>
      </c>
      <c r="D344" s="704">
        <v>4680115880344</v>
      </c>
      <c r="E344" s="70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6"/>
      <c r="R344" s="706"/>
      <c r="S344" s="706"/>
      <c r="T344" s="70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581</v>
      </c>
      <c r="AG344" s="75"/>
      <c r="AJ344" s="79" t="s">
        <v>46</v>
      </c>
      <c r="AK344" s="79">
        <v>0</v>
      </c>
      <c r="BB344" s="432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582</v>
      </c>
      <c r="B345" s="60" t="s">
        <v>583</v>
      </c>
      <c r="C345" s="34">
        <v>4301031501</v>
      </c>
      <c r="D345" s="704">
        <v>4680115886919</v>
      </c>
      <c r="E345" s="70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88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6"/>
      <c r="R345" s="706"/>
      <c r="S345" s="706"/>
      <c r="T345" s="70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584</v>
      </c>
      <c r="AG345" s="75"/>
      <c r="AJ345" s="79" t="s">
        <v>46</v>
      </c>
      <c r="AK345" s="79">
        <v>0</v>
      </c>
      <c r="BB345" s="434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585</v>
      </c>
      <c r="B346" s="60" t="s">
        <v>586</v>
      </c>
      <c r="C346" s="34">
        <v>4301031246</v>
      </c>
      <c r="D346" s="704">
        <v>4680115883970</v>
      </c>
      <c r="E346" s="70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88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587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2"/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3"/>
      <c r="P347" s="709" t="s">
        <v>40</v>
      </c>
      <c r="Q347" s="710"/>
      <c r="R347" s="710"/>
      <c r="S347" s="710"/>
      <c r="T347" s="710"/>
      <c r="U347" s="710"/>
      <c r="V347" s="711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3" t="s">
        <v>86</v>
      </c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  <c r="AA349" s="63"/>
      <c r="AB349" s="63"/>
      <c r="AC349" s="63"/>
    </row>
    <row r="350" spans="1:68" ht="27" hidden="1" customHeight="1" x14ac:dyDescent="0.25">
      <c r="A350" s="60" t="s">
        <v>588</v>
      </c>
      <c r="B350" s="60" t="s">
        <v>589</v>
      </c>
      <c r="C350" s="34">
        <v>4301051782</v>
      </c>
      <c r="D350" s="704">
        <v>4680115884618</v>
      </c>
      <c r="E350" s="70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140</v>
      </c>
      <c r="L350" s="35" t="s">
        <v>46</v>
      </c>
      <c r="M350" s="36" t="s">
        <v>90</v>
      </c>
      <c r="N350" s="36"/>
      <c r="O350" s="35">
        <v>45</v>
      </c>
      <c r="P350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6"/>
      <c r="R350" s="706"/>
      <c r="S350" s="706"/>
      <c r="T350" s="70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590</v>
      </c>
      <c r="AG350" s="75"/>
      <c r="AJ350" s="79" t="s">
        <v>46</v>
      </c>
      <c r="AK350" s="79">
        <v>0</v>
      </c>
      <c r="BB350" s="43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591</v>
      </c>
      <c r="B351" s="60" t="s">
        <v>592</v>
      </c>
      <c r="C351" s="34">
        <v>4301052057</v>
      </c>
      <c r="D351" s="704">
        <v>4680115887114</v>
      </c>
      <c r="E351" s="70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140</v>
      </c>
      <c r="L351" s="35" t="s">
        <v>46</v>
      </c>
      <c r="M351" s="36" t="s">
        <v>90</v>
      </c>
      <c r="N351" s="36"/>
      <c r="O351" s="35">
        <v>45</v>
      </c>
      <c r="P351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6"/>
      <c r="R351" s="706"/>
      <c r="S351" s="706"/>
      <c r="T351" s="70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593</v>
      </c>
      <c r="AG351" s="75"/>
      <c r="AJ351" s="79" t="s">
        <v>46</v>
      </c>
      <c r="AK351" s="79">
        <v>0</v>
      </c>
      <c r="BB351" s="440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2"/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3"/>
      <c r="P352" s="709" t="s">
        <v>40</v>
      </c>
      <c r="Q352" s="710"/>
      <c r="R352" s="710"/>
      <c r="S352" s="710"/>
      <c r="T352" s="710"/>
      <c r="U352" s="710"/>
      <c r="V352" s="711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2"/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3"/>
      <c r="P353" s="709" t="s">
        <v>40</v>
      </c>
      <c r="Q353" s="710"/>
      <c r="R353" s="710"/>
      <c r="S353" s="710"/>
      <c r="T353" s="710"/>
      <c r="U353" s="710"/>
      <c r="V353" s="711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2" t="s">
        <v>594</v>
      </c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  <c r="L354" s="702"/>
      <c r="M354" s="702"/>
      <c r="N354" s="702"/>
      <c r="O354" s="702"/>
      <c r="P354" s="702"/>
      <c r="Q354" s="702"/>
      <c r="R354" s="702"/>
      <c r="S354" s="702"/>
      <c r="T354" s="702"/>
      <c r="U354" s="702"/>
      <c r="V354" s="702"/>
      <c r="W354" s="702"/>
      <c r="X354" s="702"/>
      <c r="Y354" s="702"/>
      <c r="Z354" s="702"/>
      <c r="AA354" s="62"/>
      <c r="AB354" s="62"/>
      <c r="AC354" s="62"/>
    </row>
    <row r="355" spans="1:68" ht="14.25" hidden="1" customHeight="1" x14ac:dyDescent="0.25">
      <c r="A355" s="703" t="s">
        <v>128</v>
      </c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  <c r="AA355" s="63"/>
      <c r="AB355" s="63"/>
      <c r="AC355" s="63"/>
    </row>
    <row r="356" spans="1:68" ht="27" hidden="1" customHeight="1" x14ac:dyDescent="0.25">
      <c r="A356" s="60" t="s">
        <v>595</v>
      </c>
      <c r="B356" s="60" t="s">
        <v>596</v>
      </c>
      <c r="C356" s="34">
        <v>4301012324</v>
      </c>
      <c r="D356" s="704">
        <v>4680115887947</v>
      </c>
      <c r="E356" s="70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60</v>
      </c>
      <c r="P356" s="8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6"/>
      <c r="R356" s="706"/>
      <c r="S356" s="706"/>
      <c r="T356" s="70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367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597</v>
      </c>
      <c r="B357" s="60" t="s">
        <v>598</v>
      </c>
      <c r="C357" s="34">
        <v>4301012325</v>
      </c>
      <c r="D357" s="704">
        <v>4680115887978</v>
      </c>
      <c r="E357" s="70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60</v>
      </c>
      <c r="P357" s="89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6"/>
      <c r="R357" s="706"/>
      <c r="S357" s="706"/>
      <c r="T357" s="70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599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600</v>
      </c>
      <c r="B358" s="60" t="s">
        <v>601</v>
      </c>
      <c r="C358" s="34">
        <v>4301012327</v>
      </c>
      <c r="D358" s="704">
        <v>4680115887992</v>
      </c>
      <c r="E358" s="70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133</v>
      </c>
      <c r="L358" s="35" t="s">
        <v>46</v>
      </c>
      <c r="M358" s="36" t="s">
        <v>90</v>
      </c>
      <c r="N358" s="36"/>
      <c r="O358" s="35">
        <v>60</v>
      </c>
      <c r="P358" s="89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6"/>
      <c r="R358" s="706"/>
      <c r="S358" s="706"/>
      <c r="T358" s="70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602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12"/>
      <c r="B359" s="712"/>
      <c r="C359" s="712"/>
      <c r="D359" s="712"/>
      <c r="E359" s="712"/>
      <c r="F359" s="712"/>
      <c r="G359" s="712"/>
      <c r="H359" s="712"/>
      <c r="I359" s="712"/>
      <c r="J359" s="712"/>
      <c r="K359" s="712"/>
      <c r="L359" s="712"/>
      <c r="M359" s="712"/>
      <c r="N359" s="712"/>
      <c r="O359" s="713"/>
      <c r="P359" s="709" t="s">
        <v>40</v>
      </c>
      <c r="Q359" s="710"/>
      <c r="R359" s="710"/>
      <c r="S359" s="710"/>
      <c r="T359" s="710"/>
      <c r="U359" s="710"/>
      <c r="V359" s="711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12"/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3"/>
      <c r="P360" s="709" t="s">
        <v>40</v>
      </c>
      <c r="Q360" s="710"/>
      <c r="R360" s="710"/>
      <c r="S360" s="710"/>
      <c r="T360" s="710"/>
      <c r="U360" s="710"/>
      <c r="V360" s="711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02" t="s">
        <v>603</v>
      </c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  <c r="L361" s="702"/>
      <c r="M361" s="702"/>
      <c r="N361" s="702"/>
      <c r="O361" s="702"/>
      <c r="P361" s="702"/>
      <c r="Q361" s="702"/>
      <c r="R361" s="702"/>
      <c r="S361" s="702"/>
      <c r="T361" s="702"/>
      <c r="U361" s="702"/>
      <c r="V361" s="702"/>
      <c r="W361" s="702"/>
      <c r="X361" s="702"/>
      <c r="Y361" s="702"/>
      <c r="Z361" s="702"/>
      <c r="AA361" s="62"/>
      <c r="AB361" s="62"/>
      <c r="AC361" s="62"/>
    </row>
    <row r="362" spans="1:68" ht="14.25" hidden="1" customHeight="1" x14ac:dyDescent="0.25">
      <c r="A362" s="703" t="s">
        <v>128</v>
      </c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  <c r="AA362" s="63"/>
      <c r="AB362" s="63"/>
      <c r="AC362" s="63"/>
    </row>
    <row r="363" spans="1:68" ht="27" hidden="1" customHeight="1" x14ac:dyDescent="0.25">
      <c r="A363" s="60" t="s">
        <v>604</v>
      </c>
      <c r="B363" s="60" t="s">
        <v>605</v>
      </c>
      <c r="C363" s="34">
        <v>4301012126</v>
      </c>
      <c r="D363" s="704">
        <v>4607091386004</v>
      </c>
      <c r="E363" s="70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133</v>
      </c>
      <c r="L363" s="35" t="s">
        <v>46</v>
      </c>
      <c r="M363" s="36" t="s">
        <v>132</v>
      </c>
      <c r="N363" s="36"/>
      <c r="O363" s="35">
        <v>55</v>
      </c>
      <c r="P363" s="89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607</v>
      </c>
      <c r="B364" s="60" t="s">
        <v>608</v>
      </c>
      <c r="C364" s="34">
        <v>4301012235</v>
      </c>
      <c r="D364" s="704">
        <v>4680115887190</v>
      </c>
      <c r="E364" s="70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133</v>
      </c>
      <c r="L364" s="35" t="s">
        <v>46</v>
      </c>
      <c r="M364" s="36" t="s">
        <v>132</v>
      </c>
      <c r="N364" s="36"/>
      <c r="O364" s="35">
        <v>55</v>
      </c>
      <c r="P364" s="8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06"/>
      <c r="R364" s="706"/>
      <c r="S364" s="706"/>
      <c r="T364" s="70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610</v>
      </c>
      <c r="B365" s="60" t="s">
        <v>611</v>
      </c>
      <c r="C365" s="34">
        <v>4301012233</v>
      </c>
      <c r="D365" s="704">
        <v>4680115887138</v>
      </c>
      <c r="E365" s="70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133</v>
      </c>
      <c r="L365" s="35" t="s">
        <v>46</v>
      </c>
      <c r="M365" s="36" t="s">
        <v>132</v>
      </c>
      <c r="N365" s="36"/>
      <c r="O365" s="35">
        <v>55</v>
      </c>
      <c r="P365" s="8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06"/>
      <c r="R365" s="706"/>
      <c r="S365" s="706"/>
      <c r="T365" s="70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612</v>
      </c>
      <c r="AG365" s="75"/>
      <c r="AJ365" s="79" t="s">
        <v>46</v>
      </c>
      <c r="AK365" s="79">
        <v>0</v>
      </c>
      <c r="BB365" s="452" t="s">
        <v>67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4301012016</v>
      </c>
      <c r="D366" s="704">
        <v>4680115885554</v>
      </c>
      <c r="E366" s="704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55</v>
      </c>
      <c r="P366" s="8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06"/>
      <c r="R366" s="706"/>
      <c r="S366" s="706"/>
      <c r="T366" s="70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615</v>
      </c>
      <c r="AG366" s="75"/>
      <c r="AJ366" s="79" t="s">
        <v>46</v>
      </c>
      <c r="AK366" s="79">
        <v>0</v>
      </c>
      <c r="BB366" s="454" t="s">
        <v>67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616</v>
      </c>
      <c r="B367" s="60" t="s">
        <v>617</v>
      </c>
      <c r="C367" s="34">
        <v>4301012236</v>
      </c>
      <c r="D367" s="704">
        <v>4680115887220</v>
      </c>
      <c r="E367" s="70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140</v>
      </c>
      <c r="L367" s="35" t="s">
        <v>46</v>
      </c>
      <c r="M367" s="36" t="s">
        <v>132</v>
      </c>
      <c r="N367" s="36"/>
      <c r="O367" s="35">
        <v>55</v>
      </c>
      <c r="P367" s="8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609</v>
      </c>
      <c r="AG367" s="75"/>
      <c r="AJ367" s="79" t="s">
        <v>46</v>
      </c>
      <c r="AK367" s="79">
        <v>0</v>
      </c>
      <c r="BB367" s="456" t="s">
        <v>67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618</v>
      </c>
      <c r="B368" s="60" t="s">
        <v>619</v>
      </c>
      <c r="C368" s="34">
        <v>4301011859</v>
      </c>
      <c r="D368" s="704">
        <v>4680115885608</v>
      </c>
      <c r="E368" s="704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140</v>
      </c>
      <c r="L368" s="35" t="s">
        <v>46</v>
      </c>
      <c r="M368" s="36" t="s">
        <v>132</v>
      </c>
      <c r="N368" s="36"/>
      <c r="O368" s="35">
        <v>55</v>
      </c>
      <c r="P368" s="9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620</v>
      </c>
      <c r="AG368" s="75"/>
      <c r="AJ368" s="79" t="s">
        <v>46</v>
      </c>
      <c r="AK368" s="79">
        <v>0</v>
      </c>
      <c r="BB368" s="458" t="s">
        <v>67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712"/>
      <c r="B369" s="712"/>
      <c r="C369" s="712"/>
      <c r="D369" s="712"/>
      <c r="E369" s="712"/>
      <c r="F369" s="712"/>
      <c r="G369" s="712"/>
      <c r="H369" s="712"/>
      <c r="I369" s="712"/>
      <c r="J369" s="712"/>
      <c r="K369" s="712"/>
      <c r="L369" s="712"/>
      <c r="M369" s="712"/>
      <c r="N369" s="712"/>
      <c r="O369" s="713"/>
      <c r="P369" s="709" t="s">
        <v>40</v>
      </c>
      <c r="Q369" s="710"/>
      <c r="R369" s="710"/>
      <c r="S369" s="710"/>
      <c r="T369" s="710"/>
      <c r="U369" s="710"/>
      <c r="V369" s="711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12"/>
      <c r="B370" s="712"/>
      <c r="C370" s="712"/>
      <c r="D370" s="712"/>
      <c r="E370" s="712"/>
      <c r="F370" s="712"/>
      <c r="G370" s="712"/>
      <c r="H370" s="712"/>
      <c r="I370" s="712"/>
      <c r="J370" s="712"/>
      <c r="K370" s="712"/>
      <c r="L370" s="712"/>
      <c r="M370" s="712"/>
      <c r="N370" s="712"/>
      <c r="O370" s="713"/>
      <c r="P370" s="709" t="s">
        <v>40</v>
      </c>
      <c r="Q370" s="710"/>
      <c r="R370" s="710"/>
      <c r="S370" s="710"/>
      <c r="T370" s="710"/>
      <c r="U370" s="710"/>
      <c r="V370" s="711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03" t="s">
        <v>77</v>
      </c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  <c r="AA371" s="63"/>
      <c r="AB371" s="63"/>
      <c r="AC371" s="63"/>
    </row>
    <row r="372" spans="1:68" ht="27" hidden="1" customHeight="1" x14ac:dyDescent="0.25">
      <c r="A372" s="60" t="s">
        <v>621</v>
      </c>
      <c r="B372" s="60" t="s">
        <v>622</v>
      </c>
      <c r="C372" s="34">
        <v>4301030878</v>
      </c>
      <c r="D372" s="704">
        <v>4607091387193</v>
      </c>
      <c r="E372" s="70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140</v>
      </c>
      <c r="L372" s="35" t="s">
        <v>46</v>
      </c>
      <c r="M372" s="36" t="s">
        <v>81</v>
      </c>
      <c r="N372" s="36"/>
      <c r="O372" s="35">
        <v>35</v>
      </c>
      <c r="P372" s="9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623</v>
      </c>
      <c r="AG372" s="75"/>
      <c r="AJ372" s="79" t="s">
        <v>46</v>
      </c>
      <c r="AK372" s="79">
        <v>0</v>
      </c>
      <c r="BB372" s="460" t="s">
        <v>67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624</v>
      </c>
      <c r="B373" s="60" t="s">
        <v>625</v>
      </c>
      <c r="C373" s="34">
        <v>4301031153</v>
      </c>
      <c r="D373" s="704">
        <v>4607091387230</v>
      </c>
      <c r="E373" s="704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140</v>
      </c>
      <c r="L373" s="35" t="s">
        <v>46</v>
      </c>
      <c r="M373" s="36" t="s">
        <v>81</v>
      </c>
      <c r="N373" s="36"/>
      <c r="O373" s="35">
        <v>40</v>
      </c>
      <c r="P373" s="9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626</v>
      </c>
      <c r="AG373" s="75"/>
      <c r="AJ373" s="79" t="s">
        <v>46</v>
      </c>
      <c r="AK373" s="79">
        <v>0</v>
      </c>
      <c r="BB373" s="462" t="s">
        <v>67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627</v>
      </c>
      <c r="B374" s="60" t="s">
        <v>628</v>
      </c>
      <c r="C374" s="34">
        <v>4301031154</v>
      </c>
      <c r="D374" s="704">
        <v>4607091387292</v>
      </c>
      <c r="E374" s="70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140</v>
      </c>
      <c r="L374" s="35" t="s">
        <v>46</v>
      </c>
      <c r="M374" s="36" t="s">
        <v>81</v>
      </c>
      <c r="N374" s="36"/>
      <c r="O374" s="35">
        <v>45</v>
      </c>
      <c r="P374" s="9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06"/>
      <c r="R374" s="706"/>
      <c r="S374" s="706"/>
      <c r="T374" s="70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629</v>
      </c>
      <c r="AG374" s="75"/>
      <c r="AJ374" s="79" t="s">
        <v>46</v>
      </c>
      <c r="AK374" s="79">
        <v>0</v>
      </c>
      <c r="BB374" s="464" t="s">
        <v>67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4301031152</v>
      </c>
      <c r="D375" s="704">
        <v>4607091387285</v>
      </c>
      <c r="E375" s="704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06"/>
      <c r="R375" s="706"/>
      <c r="S375" s="706"/>
      <c r="T375" s="70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626</v>
      </c>
      <c r="AG375" s="75"/>
      <c r="AJ375" s="79" t="s">
        <v>46</v>
      </c>
      <c r="AK375" s="79">
        <v>0</v>
      </c>
      <c r="BB375" s="466" t="s">
        <v>67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632</v>
      </c>
      <c r="B376" s="60" t="s">
        <v>633</v>
      </c>
      <c r="C376" s="34">
        <v>4301031305</v>
      </c>
      <c r="D376" s="704">
        <v>4607091389845</v>
      </c>
      <c r="E376" s="704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90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06"/>
      <c r="R376" s="706"/>
      <c r="S376" s="706"/>
      <c r="T376" s="70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634</v>
      </c>
      <c r="AG376" s="75"/>
      <c r="AJ376" s="79" t="s">
        <v>46</v>
      </c>
      <c r="AK376" s="79">
        <v>0</v>
      </c>
      <c r="BB376" s="468" t="s">
        <v>67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635</v>
      </c>
      <c r="B377" s="60" t="s">
        <v>636</v>
      </c>
      <c r="C377" s="34">
        <v>4301031460</v>
      </c>
      <c r="D377" s="704">
        <v>4680115887442</v>
      </c>
      <c r="E377" s="704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140</v>
      </c>
      <c r="L377" s="35" t="s">
        <v>46</v>
      </c>
      <c r="M377" s="36" t="s">
        <v>81</v>
      </c>
      <c r="N377" s="36"/>
      <c r="O377" s="35">
        <v>45</v>
      </c>
      <c r="P377" s="9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629</v>
      </c>
      <c r="AG377" s="75"/>
      <c r="AJ377" s="79" t="s">
        <v>46</v>
      </c>
      <c r="AK377" s="79">
        <v>0</v>
      </c>
      <c r="BB377" s="470" t="s">
        <v>67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637</v>
      </c>
      <c r="B378" s="60" t="s">
        <v>638</v>
      </c>
      <c r="C378" s="34">
        <v>4301031066</v>
      </c>
      <c r="D378" s="704">
        <v>4607091383836</v>
      </c>
      <c r="E378" s="704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90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639</v>
      </c>
      <c r="AG378" s="75"/>
      <c r="AJ378" s="79" t="s">
        <v>46</v>
      </c>
      <c r="AK378" s="79">
        <v>0</v>
      </c>
      <c r="BB378" s="472" t="s">
        <v>67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712"/>
      <c r="B379" s="712"/>
      <c r="C379" s="712"/>
      <c r="D379" s="712"/>
      <c r="E379" s="712"/>
      <c r="F379" s="712"/>
      <c r="G379" s="712"/>
      <c r="H379" s="712"/>
      <c r="I379" s="712"/>
      <c r="J379" s="712"/>
      <c r="K379" s="712"/>
      <c r="L379" s="712"/>
      <c r="M379" s="712"/>
      <c r="N379" s="712"/>
      <c r="O379" s="713"/>
      <c r="P379" s="709" t="s">
        <v>40</v>
      </c>
      <c r="Q379" s="710"/>
      <c r="R379" s="710"/>
      <c r="S379" s="710"/>
      <c r="T379" s="710"/>
      <c r="U379" s="710"/>
      <c r="V379" s="711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12"/>
      <c r="B380" s="712"/>
      <c r="C380" s="712"/>
      <c r="D380" s="712"/>
      <c r="E380" s="712"/>
      <c r="F380" s="712"/>
      <c r="G380" s="712"/>
      <c r="H380" s="712"/>
      <c r="I380" s="712"/>
      <c r="J380" s="712"/>
      <c r="K380" s="712"/>
      <c r="L380" s="712"/>
      <c r="M380" s="712"/>
      <c r="N380" s="712"/>
      <c r="O380" s="713"/>
      <c r="P380" s="709" t="s">
        <v>40</v>
      </c>
      <c r="Q380" s="710"/>
      <c r="R380" s="710"/>
      <c r="S380" s="710"/>
      <c r="T380" s="710"/>
      <c r="U380" s="710"/>
      <c r="V380" s="711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03" t="s">
        <v>86</v>
      </c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  <c r="AA381" s="63"/>
      <c r="AB381" s="63"/>
      <c r="AC381" s="63"/>
    </row>
    <row r="382" spans="1:68" ht="27" customHeight="1" x14ac:dyDescent="0.25">
      <c r="A382" s="60" t="s">
        <v>640</v>
      </c>
      <c r="B382" s="60" t="s">
        <v>641</v>
      </c>
      <c r="C382" s="34">
        <v>4301051100</v>
      </c>
      <c r="D382" s="704">
        <v>4607091387766</v>
      </c>
      <c r="E382" s="704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133</v>
      </c>
      <c r="L382" s="35" t="s">
        <v>46</v>
      </c>
      <c r="M382" s="36" t="s">
        <v>90</v>
      </c>
      <c r="N382" s="36"/>
      <c r="O382" s="35">
        <v>40</v>
      </c>
      <c r="P382" s="90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06"/>
      <c r="R382" s="706"/>
      <c r="S382" s="706"/>
      <c r="T382" s="707"/>
      <c r="U382" s="37" t="s">
        <v>46</v>
      </c>
      <c r="V382" s="37" t="s">
        <v>46</v>
      </c>
      <c r="W382" s="38" t="s">
        <v>0</v>
      </c>
      <c r="X382" s="56">
        <v>60</v>
      </c>
      <c r="Y382" s="53">
        <f>IFERROR(IF(X382="",0,CEILING((X382/$H382),1)*$H382),"")</f>
        <v>62.4</v>
      </c>
      <c r="Z382" s="39">
        <f>IFERROR(IF(Y382=0,"",ROUNDUP(Y382/H382,0)*0.01898),"")</f>
        <v>0.15184</v>
      </c>
      <c r="AA382" s="65" t="s">
        <v>46</v>
      </c>
      <c r="AB382" s="66" t="s">
        <v>46</v>
      </c>
      <c r="AC382" s="473" t="s">
        <v>642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63.753846153846162</v>
      </c>
      <c r="BN382" s="75">
        <f>IFERROR(Y382*I382/H382,"0")</f>
        <v>66.304000000000002</v>
      </c>
      <c r="BO382" s="75">
        <f>IFERROR(1/J382*(X382/H382),"0")</f>
        <v>0.1201923076923077</v>
      </c>
      <c r="BP382" s="75">
        <f>IFERROR(1/J382*(Y382/H382),"0")</f>
        <v>0.125</v>
      </c>
    </row>
    <row r="383" spans="1:68" ht="27" hidden="1" customHeight="1" x14ac:dyDescent="0.25">
      <c r="A383" s="60" t="s">
        <v>643</v>
      </c>
      <c r="B383" s="60" t="s">
        <v>644</v>
      </c>
      <c r="C383" s="34">
        <v>4301051818</v>
      </c>
      <c r="D383" s="704">
        <v>4607091387957</v>
      </c>
      <c r="E383" s="704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133</v>
      </c>
      <c r="L383" s="35" t="s">
        <v>46</v>
      </c>
      <c r="M383" s="36" t="s">
        <v>90</v>
      </c>
      <c r="N383" s="36"/>
      <c r="O383" s="35">
        <v>40</v>
      </c>
      <c r="P383" s="9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06"/>
      <c r="R383" s="706"/>
      <c r="S383" s="706"/>
      <c r="T383" s="70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645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646</v>
      </c>
      <c r="B384" s="60" t="s">
        <v>647</v>
      </c>
      <c r="C384" s="34">
        <v>4301051819</v>
      </c>
      <c r="D384" s="704">
        <v>4607091387964</v>
      </c>
      <c r="E384" s="704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133</v>
      </c>
      <c r="L384" s="35" t="s">
        <v>46</v>
      </c>
      <c r="M384" s="36" t="s">
        <v>90</v>
      </c>
      <c r="N384" s="36"/>
      <c r="O384" s="35">
        <v>40</v>
      </c>
      <c r="P384" s="91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648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649</v>
      </c>
      <c r="B385" s="60" t="s">
        <v>650</v>
      </c>
      <c r="C385" s="34">
        <v>4301051734</v>
      </c>
      <c r="D385" s="704">
        <v>4680115884588</v>
      </c>
      <c r="E385" s="704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9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642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x14ac:dyDescent="0.2">
      <c r="A386" s="712"/>
      <c r="B386" s="712"/>
      <c r="C386" s="712"/>
      <c r="D386" s="712"/>
      <c r="E386" s="712"/>
      <c r="F386" s="712"/>
      <c r="G386" s="712"/>
      <c r="H386" s="712"/>
      <c r="I386" s="712"/>
      <c r="J386" s="712"/>
      <c r="K386" s="712"/>
      <c r="L386" s="712"/>
      <c r="M386" s="712"/>
      <c r="N386" s="712"/>
      <c r="O386" s="713"/>
      <c r="P386" s="709" t="s">
        <v>40</v>
      </c>
      <c r="Q386" s="710"/>
      <c r="R386" s="710"/>
      <c r="S386" s="710"/>
      <c r="T386" s="710"/>
      <c r="U386" s="710"/>
      <c r="V386" s="711"/>
      <c r="W386" s="40" t="s">
        <v>39</v>
      </c>
      <c r="X386" s="41">
        <f>IFERROR(X382/H382,"0")+IFERROR(X383/H383,"0")+IFERROR(X384/H384,"0")+IFERROR(X385/H385,"0")</f>
        <v>7.6923076923076925</v>
      </c>
      <c r="Y386" s="41">
        <f>IFERROR(Y382/H382,"0")+IFERROR(Y383/H383,"0")+IFERROR(Y384/H384,"0")+IFERROR(Y385/H385,"0")</f>
        <v>8</v>
      </c>
      <c r="Z386" s="41">
        <f>IFERROR(IF(Z382="",0,Z382),"0")+IFERROR(IF(Z383="",0,Z383),"0")+IFERROR(IF(Z384="",0,Z384),"0")+IFERROR(IF(Z385="",0,Z385),"0")</f>
        <v>0.15184</v>
      </c>
      <c r="AA386" s="64"/>
      <c r="AB386" s="64"/>
      <c r="AC386" s="64"/>
    </row>
    <row r="387" spans="1:68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0</v>
      </c>
      <c r="X387" s="41">
        <f>IFERROR(SUM(X382:X385),"0")</f>
        <v>60</v>
      </c>
      <c r="Y387" s="41">
        <f>IFERROR(SUM(Y382:Y385),"0")</f>
        <v>62.4</v>
      </c>
      <c r="Z387" s="40"/>
      <c r="AA387" s="64"/>
      <c r="AB387" s="64"/>
      <c r="AC387" s="64"/>
    </row>
    <row r="388" spans="1:68" ht="14.25" hidden="1" customHeight="1" x14ac:dyDescent="0.25">
      <c r="A388" s="703" t="s">
        <v>181</v>
      </c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  <c r="AA388" s="63"/>
      <c r="AB388" s="63"/>
      <c r="AC388" s="63"/>
    </row>
    <row r="389" spans="1:68" ht="27" hidden="1" customHeight="1" x14ac:dyDescent="0.25">
      <c r="A389" s="60" t="s">
        <v>651</v>
      </c>
      <c r="B389" s="60" t="s">
        <v>652</v>
      </c>
      <c r="C389" s="34">
        <v>4301060387</v>
      </c>
      <c r="D389" s="704">
        <v>4607091380880</v>
      </c>
      <c r="E389" s="704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133</v>
      </c>
      <c r="L389" s="35" t="s">
        <v>46</v>
      </c>
      <c r="M389" s="36" t="s">
        <v>90</v>
      </c>
      <c r="N389" s="36"/>
      <c r="O389" s="35">
        <v>30</v>
      </c>
      <c r="P389" s="9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06"/>
      <c r="R389" s="706"/>
      <c r="S389" s="706"/>
      <c r="T389" s="70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653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customHeight="1" x14ac:dyDescent="0.25">
      <c r="A390" s="60" t="s">
        <v>654</v>
      </c>
      <c r="B390" s="60" t="s">
        <v>655</v>
      </c>
      <c r="C390" s="34">
        <v>4301060406</v>
      </c>
      <c r="D390" s="704">
        <v>4607091384482</v>
      </c>
      <c r="E390" s="704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133</v>
      </c>
      <c r="L390" s="35" t="s">
        <v>46</v>
      </c>
      <c r="M390" s="36" t="s">
        <v>90</v>
      </c>
      <c r="N390" s="36"/>
      <c r="O390" s="35">
        <v>30</v>
      </c>
      <c r="P390" s="9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800</v>
      </c>
      <c r="Y390" s="53">
        <f>IFERROR(IF(X390="",0,CEILING((X390/$H390),1)*$H390),"")</f>
        <v>803.4</v>
      </c>
      <c r="Z390" s="39">
        <f>IFERROR(IF(Y390=0,"",ROUNDUP(Y390/H390,0)*0.01898),"")</f>
        <v>1.9549400000000001</v>
      </c>
      <c r="AA390" s="65" t="s">
        <v>46</v>
      </c>
      <c r="AB390" s="66" t="s">
        <v>46</v>
      </c>
      <c r="AC390" s="483" t="s">
        <v>656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850.66666666666674</v>
      </c>
      <c r="BN390" s="75">
        <f>IFERROR(Y390*I390/H390,"0")</f>
        <v>854.28200000000015</v>
      </c>
      <c r="BO390" s="75">
        <f>IFERROR(1/J390*(X390/H390),"0")</f>
        <v>1.6025641025641026</v>
      </c>
      <c r="BP390" s="75">
        <f>IFERROR(1/J390*(Y390/H390),"0")</f>
        <v>1.609375</v>
      </c>
    </row>
    <row r="391" spans="1:68" ht="16.5" hidden="1" customHeight="1" x14ac:dyDescent="0.25">
      <c r="A391" s="60" t="s">
        <v>657</v>
      </c>
      <c r="B391" s="60" t="s">
        <v>658</v>
      </c>
      <c r="C391" s="34">
        <v>4301060484</v>
      </c>
      <c r="D391" s="704">
        <v>4607091380897</v>
      </c>
      <c r="E391" s="704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133</v>
      </c>
      <c r="L391" s="35" t="s">
        <v>46</v>
      </c>
      <c r="M391" s="36" t="s">
        <v>97</v>
      </c>
      <c r="N391" s="36"/>
      <c r="O391" s="35">
        <v>30</v>
      </c>
      <c r="P391" s="9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659</v>
      </c>
      <c r="AG391" s="75"/>
      <c r="AJ391" s="79" t="s">
        <v>46</v>
      </c>
      <c r="AK391" s="79">
        <v>0</v>
      </c>
      <c r="BB391" s="486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x14ac:dyDescent="0.2">
      <c r="A392" s="712"/>
      <c r="B392" s="712"/>
      <c r="C392" s="712"/>
      <c r="D392" s="712"/>
      <c r="E392" s="712"/>
      <c r="F392" s="712"/>
      <c r="G392" s="712"/>
      <c r="H392" s="712"/>
      <c r="I392" s="712"/>
      <c r="J392" s="712"/>
      <c r="K392" s="712"/>
      <c r="L392" s="712"/>
      <c r="M392" s="712"/>
      <c r="N392" s="712"/>
      <c r="O392" s="713"/>
      <c r="P392" s="709" t="s">
        <v>40</v>
      </c>
      <c r="Q392" s="710"/>
      <c r="R392" s="710"/>
      <c r="S392" s="710"/>
      <c r="T392" s="710"/>
      <c r="U392" s="710"/>
      <c r="V392" s="711"/>
      <c r="W392" s="40" t="s">
        <v>39</v>
      </c>
      <c r="X392" s="41">
        <f>IFERROR(X389/H389,"0")+IFERROR(X390/H390,"0")+IFERROR(X391/H391,"0")</f>
        <v>102.56410256410257</v>
      </c>
      <c r="Y392" s="41">
        <f>IFERROR(Y389/H389,"0")+IFERROR(Y390/H390,"0")+IFERROR(Y391/H391,"0")</f>
        <v>103</v>
      </c>
      <c r="Z392" s="41">
        <f>IFERROR(IF(Z389="",0,Z389),"0")+IFERROR(IF(Z390="",0,Z390),"0")+IFERROR(IF(Z391="",0,Z391),"0")</f>
        <v>1.9549400000000001</v>
      </c>
      <c r="AA392" s="64"/>
      <c r="AB392" s="64"/>
      <c r="AC392" s="64"/>
    </row>
    <row r="393" spans="1:68" x14ac:dyDescent="0.2">
      <c r="A393" s="712"/>
      <c r="B393" s="712"/>
      <c r="C393" s="712"/>
      <c r="D393" s="712"/>
      <c r="E393" s="712"/>
      <c r="F393" s="712"/>
      <c r="G393" s="712"/>
      <c r="H393" s="712"/>
      <c r="I393" s="712"/>
      <c r="J393" s="712"/>
      <c r="K393" s="712"/>
      <c r="L393" s="712"/>
      <c r="M393" s="712"/>
      <c r="N393" s="712"/>
      <c r="O393" s="713"/>
      <c r="P393" s="709" t="s">
        <v>40</v>
      </c>
      <c r="Q393" s="710"/>
      <c r="R393" s="710"/>
      <c r="S393" s="710"/>
      <c r="T393" s="710"/>
      <c r="U393" s="710"/>
      <c r="V393" s="711"/>
      <c r="W393" s="40" t="s">
        <v>0</v>
      </c>
      <c r="X393" s="41">
        <f>IFERROR(SUM(X389:X391),"0")</f>
        <v>800</v>
      </c>
      <c r="Y393" s="41">
        <f>IFERROR(SUM(Y389:Y391),"0")</f>
        <v>803.4</v>
      </c>
      <c r="Z393" s="40"/>
      <c r="AA393" s="64"/>
      <c r="AB393" s="64"/>
      <c r="AC393" s="64"/>
    </row>
    <row r="394" spans="1:68" ht="14.25" hidden="1" customHeight="1" x14ac:dyDescent="0.25">
      <c r="A394" s="703" t="s">
        <v>104</v>
      </c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  <c r="AA394" s="63"/>
      <c r="AB394" s="63"/>
      <c r="AC394" s="63"/>
    </row>
    <row r="395" spans="1:68" ht="27" hidden="1" customHeight="1" x14ac:dyDescent="0.25">
      <c r="A395" s="60" t="s">
        <v>660</v>
      </c>
      <c r="B395" s="60" t="s">
        <v>661</v>
      </c>
      <c r="C395" s="34">
        <v>4301030235</v>
      </c>
      <c r="D395" s="704">
        <v>4607091388381</v>
      </c>
      <c r="E395" s="704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140</v>
      </c>
      <c r="L395" s="35" t="s">
        <v>46</v>
      </c>
      <c r="M395" s="36" t="s">
        <v>109</v>
      </c>
      <c r="N395" s="36"/>
      <c r="O395" s="35">
        <v>180</v>
      </c>
      <c r="P395" s="9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06"/>
      <c r="R395" s="706"/>
      <c r="S395" s="706"/>
      <c r="T395" s="70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663</v>
      </c>
      <c r="B396" s="60" t="s">
        <v>664</v>
      </c>
      <c r="C396" s="34">
        <v>4301030232</v>
      </c>
      <c r="D396" s="704">
        <v>4607091388374</v>
      </c>
      <c r="E396" s="704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140</v>
      </c>
      <c r="L396" s="35" t="s">
        <v>46</v>
      </c>
      <c r="M396" s="36" t="s">
        <v>109</v>
      </c>
      <c r="N396" s="36"/>
      <c r="O396" s="35">
        <v>180</v>
      </c>
      <c r="P396" s="9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06"/>
      <c r="R396" s="706"/>
      <c r="S396" s="706"/>
      <c r="T396" s="70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662</v>
      </c>
      <c r="AG396" s="75"/>
      <c r="AJ396" s="79" t="s">
        <v>46</v>
      </c>
      <c r="AK396" s="79">
        <v>0</v>
      </c>
      <c r="BB396" s="49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665</v>
      </c>
      <c r="B397" s="60" t="s">
        <v>666</v>
      </c>
      <c r="C397" s="34">
        <v>4301032015</v>
      </c>
      <c r="D397" s="704">
        <v>4607091383102</v>
      </c>
      <c r="E397" s="704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109</v>
      </c>
      <c r="N397" s="36"/>
      <c r="O397" s="35">
        <v>180</v>
      </c>
      <c r="P397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662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667</v>
      </c>
      <c r="B398" s="60" t="s">
        <v>668</v>
      </c>
      <c r="C398" s="34">
        <v>4301030233</v>
      </c>
      <c r="D398" s="704">
        <v>4607091388404</v>
      </c>
      <c r="E398" s="704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109</v>
      </c>
      <c r="N398" s="36"/>
      <c r="O398" s="35">
        <v>180</v>
      </c>
      <c r="P398" s="9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662</v>
      </c>
      <c r="AG398" s="75"/>
      <c r="AJ398" s="79" t="s">
        <v>46</v>
      </c>
      <c r="AK398" s="79">
        <v>0</v>
      </c>
      <c r="BB398" s="494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12"/>
      <c r="B399" s="712"/>
      <c r="C399" s="712"/>
      <c r="D399" s="712"/>
      <c r="E399" s="712"/>
      <c r="F399" s="712"/>
      <c r="G399" s="712"/>
      <c r="H399" s="712"/>
      <c r="I399" s="712"/>
      <c r="J399" s="712"/>
      <c r="K399" s="712"/>
      <c r="L399" s="712"/>
      <c r="M399" s="712"/>
      <c r="N399" s="712"/>
      <c r="O399" s="713"/>
      <c r="P399" s="709" t="s">
        <v>40</v>
      </c>
      <c r="Q399" s="710"/>
      <c r="R399" s="710"/>
      <c r="S399" s="710"/>
      <c r="T399" s="710"/>
      <c r="U399" s="710"/>
      <c r="V399" s="711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03" t="s">
        <v>669</v>
      </c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  <c r="AA401" s="63"/>
      <c r="AB401" s="63"/>
      <c r="AC401" s="63"/>
    </row>
    <row r="402" spans="1:68" ht="16.5" hidden="1" customHeight="1" x14ac:dyDescent="0.25">
      <c r="A402" s="60" t="s">
        <v>670</v>
      </c>
      <c r="B402" s="60" t="s">
        <v>671</v>
      </c>
      <c r="C402" s="34">
        <v>4301180007</v>
      </c>
      <c r="D402" s="704">
        <v>4680115881808</v>
      </c>
      <c r="E402" s="70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673</v>
      </c>
      <c r="N402" s="36"/>
      <c r="O402" s="35">
        <v>731</v>
      </c>
      <c r="P402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06"/>
      <c r="R402" s="706"/>
      <c r="S402" s="706"/>
      <c r="T402" s="70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672</v>
      </c>
      <c r="AG402" s="75"/>
      <c r="AJ402" s="79" t="s">
        <v>46</v>
      </c>
      <c r="AK402" s="79">
        <v>0</v>
      </c>
      <c r="BB402" s="496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674</v>
      </c>
      <c r="B403" s="60" t="s">
        <v>675</v>
      </c>
      <c r="C403" s="34">
        <v>4301180006</v>
      </c>
      <c r="D403" s="704">
        <v>4680115881822</v>
      </c>
      <c r="E403" s="70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673</v>
      </c>
      <c r="N403" s="36"/>
      <c r="O403" s="35">
        <v>731</v>
      </c>
      <c r="P403" s="9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672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676</v>
      </c>
      <c r="B404" s="60" t="s">
        <v>677</v>
      </c>
      <c r="C404" s="34">
        <v>4301180001</v>
      </c>
      <c r="D404" s="704">
        <v>4680115880016</v>
      </c>
      <c r="E404" s="704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673</v>
      </c>
      <c r="N404" s="36"/>
      <c r="O404" s="35">
        <v>731</v>
      </c>
      <c r="P404" s="9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672</v>
      </c>
      <c r="AG404" s="75"/>
      <c r="AJ404" s="79" t="s">
        <v>46</v>
      </c>
      <c r="AK404" s="79">
        <v>0</v>
      </c>
      <c r="BB404" s="500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12"/>
      <c r="B405" s="712"/>
      <c r="C405" s="712"/>
      <c r="D405" s="712"/>
      <c r="E405" s="712"/>
      <c r="F405" s="712"/>
      <c r="G405" s="712"/>
      <c r="H405" s="712"/>
      <c r="I405" s="712"/>
      <c r="J405" s="712"/>
      <c r="K405" s="712"/>
      <c r="L405" s="712"/>
      <c r="M405" s="712"/>
      <c r="N405" s="712"/>
      <c r="O405" s="713"/>
      <c r="P405" s="709" t="s">
        <v>40</v>
      </c>
      <c r="Q405" s="710"/>
      <c r="R405" s="710"/>
      <c r="S405" s="710"/>
      <c r="T405" s="710"/>
      <c r="U405" s="710"/>
      <c r="V405" s="711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03" t="s">
        <v>678</v>
      </c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  <c r="AA407" s="63"/>
      <c r="AB407" s="63"/>
      <c r="AC407" s="63"/>
    </row>
    <row r="408" spans="1:68" ht="27" hidden="1" customHeight="1" x14ac:dyDescent="0.25">
      <c r="A408" s="60" t="s">
        <v>679</v>
      </c>
      <c r="B408" s="60" t="s">
        <v>680</v>
      </c>
      <c r="C408" s="34">
        <v>4301220003</v>
      </c>
      <c r="D408" s="704">
        <v>4680115888678</v>
      </c>
      <c r="E408" s="704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673</v>
      </c>
      <c r="N408" s="36"/>
      <c r="O408" s="35">
        <v>1096</v>
      </c>
      <c r="P408" s="9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06"/>
      <c r="R408" s="706"/>
      <c r="S408" s="706"/>
      <c r="T408" s="70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252</v>
      </c>
      <c r="AC408" s="501" t="s">
        <v>681</v>
      </c>
      <c r="AG408" s="75"/>
      <c r="AJ408" s="79" t="s">
        <v>46</v>
      </c>
      <c r="AK408" s="79">
        <v>0</v>
      </c>
      <c r="BB408" s="502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682</v>
      </c>
      <c r="B409" s="60" t="s">
        <v>683</v>
      </c>
      <c r="C409" s="34">
        <v>4301220001</v>
      </c>
      <c r="D409" s="704">
        <v>4680115888654</v>
      </c>
      <c r="E409" s="704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140</v>
      </c>
      <c r="L409" s="35" t="s">
        <v>46</v>
      </c>
      <c r="M409" s="36" t="s">
        <v>673</v>
      </c>
      <c r="N409" s="36"/>
      <c r="O409" s="35">
        <v>1096</v>
      </c>
      <c r="P409" s="9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06"/>
      <c r="R409" s="706"/>
      <c r="S409" s="706"/>
      <c r="T409" s="70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252</v>
      </c>
      <c r="AC409" s="503" t="s">
        <v>684</v>
      </c>
      <c r="AG409" s="75"/>
      <c r="AJ409" s="79" t="s">
        <v>46</v>
      </c>
      <c r="AK409" s="79">
        <v>0</v>
      </c>
      <c r="BB409" s="504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685</v>
      </c>
      <c r="B410" s="60" t="s">
        <v>686</v>
      </c>
      <c r="C410" s="34">
        <v>4301220002</v>
      </c>
      <c r="D410" s="704">
        <v>4680115888753</v>
      </c>
      <c r="E410" s="704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673</v>
      </c>
      <c r="N410" s="36"/>
      <c r="O410" s="35">
        <v>1096</v>
      </c>
      <c r="P410" s="9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252</v>
      </c>
      <c r="AC410" s="505" t="s">
        <v>681</v>
      </c>
      <c r="AG410" s="75"/>
      <c r="AJ410" s="79" t="s">
        <v>46</v>
      </c>
      <c r="AK410" s="79">
        <v>0</v>
      </c>
      <c r="BB410" s="506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12"/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3"/>
      <c r="P411" s="709" t="s">
        <v>40</v>
      </c>
      <c r="Q411" s="710"/>
      <c r="R411" s="710"/>
      <c r="S411" s="710"/>
      <c r="T411" s="710"/>
      <c r="U411" s="710"/>
      <c r="V411" s="711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02" t="s">
        <v>687</v>
      </c>
      <c r="B413" s="702"/>
      <c r="C413" s="702"/>
      <c r="D413" s="702"/>
      <c r="E413" s="702"/>
      <c r="F413" s="702"/>
      <c r="G413" s="702"/>
      <c r="H413" s="702"/>
      <c r="I413" s="702"/>
      <c r="J413" s="702"/>
      <c r="K413" s="702"/>
      <c r="L413" s="702"/>
      <c r="M413" s="702"/>
      <c r="N413" s="702"/>
      <c r="O413" s="702"/>
      <c r="P413" s="702"/>
      <c r="Q413" s="702"/>
      <c r="R413" s="702"/>
      <c r="S413" s="702"/>
      <c r="T413" s="702"/>
      <c r="U413" s="702"/>
      <c r="V413" s="702"/>
      <c r="W413" s="702"/>
      <c r="X413" s="702"/>
      <c r="Y413" s="702"/>
      <c r="Z413" s="702"/>
      <c r="AA413" s="62"/>
      <c r="AB413" s="62"/>
      <c r="AC413" s="62"/>
    </row>
    <row r="414" spans="1:68" ht="14.25" hidden="1" customHeight="1" x14ac:dyDescent="0.25">
      <c r="A414" s="703" t="s">
        <v>86</v>
      </c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  <c r="AA414" s="63"/>
      <c r="AB414" s="63"/>
      <c r="AC414" s="63"/>
    </row>
    <row r="415" spans="1:68" ht="27" hidden="1" customHeight="1" x14ac:dyDescent="0.25">
      <c r="A415" s="60" t="s">
        <v>688</v>
      </c>
      <c r="B415" s="60" t="s">
        <v>689</v>
      </c>
      <c r="C415" s="34">
        <v>4301051489</v>
      </c>
      <c r="D415" s="704">
        <v>4607091387919</v>
      </c>
      <c r="E415" s="704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133</v>
      </c>
      <c r="L415" s="35" t="s">
        <v>46</v>
      </c>
      <c r="M415" s="36" t="s">
        <v>97</v>
      </c>
      <c r="N415" s="36"/>
      <c r="O415" s="35">
        <v>45</v>
      </c>
      <c r="P415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06"/>
      <c r="R415" s="706"/>
      <c r="S415" s="706"/>
      <c r="T415" s="70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690</v>
      </c>
      <c r="AG415" s="75"/>
      <c r="AJ415" s="79" t="s">
        <v>46</v>
      </c>
      <c r="AK415" s="79">
        <v>0</v>
      </c>
      <c r="BB415" s="508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691</v>
      </c>
      <c r="B416" s="60" t="s">
        <v>692</v>
      </c>
      <c r="C416" s="34">
        <v>4301051461</v>
      </c>
      <c r="D416" s="704">
        <v>4680115883604</v>
      </c>
      <c r="E416" s="704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91</v>
      </c>
      <c r="L416" s="35" t="s">
        <v>46</v>
      </c>
      <c r="M416" s="36" t="s">
        <v>90</v>
      </c>
      <c r="N416" s="36"/>
      <c r="O416" s="35">
        <v>45</v>
      </c>
      <c r="P416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105</v>
      </c>
      <c r="Y416" s="53">
        <f>IFERROR(IF(X416="",0,CEILING((X416/$H416),1)*$H416),"")</f>
        <v>105</v>
      </c>
      <c r="Z416" s="39">
        <f>IFERROR(IF(Y416=0,"",ROUNDUP(Y416/H416,0)*0.00651),"")</f>
        <v>0.32550000000000001</v>
      </c>
      <c r="AA416" s="65" t="s">
        <v>46</v>
      </c>
      <c r="AB416" s="66" t="s">
        <v>46</v>
      </c>
      <c r="AC416" s="509" t="s">
        <v>693</v>
      </c>
      <c r="AG416" s="75"/>
      <c r="AJ416" s="79" t="s">
        <v>46</v>
      </c>
      <c r="AK416" s="79">
        <v>0</v>
      </c>
      <c r="BB416" s="510" t="s">
        <v>67</v>
      </c>
      <c r="BM416" s="75">
        <f>IFERROR(X416*I416/H416,"0")</f>
        <v>117.59999999999998</v>
      </c>
      <c r="BN416" s="75">
        <f>IFERROR(Y416*I416/H416,"0")</f>
        <v>117.59999999999998</v>
      </c>
      <c r="BO416" s="75">
        <f>IFERROR(1/J416*(X416/H416),"0")</f>
        <v>0.27472527472527475</v>
      </c>
      <c r="BP416" s="75">
        <f>IFERROR(1/J416*(Y416/H416),"0")</f>
        <v>0.27472527472527475</v>
      </c>
    </row>
    <row r="417" spans="1:68" ht="27" customHeight="1" x14ac:dyDescent="0.25">
      <c r="A417" s="60" t="s">
        <v>694</v>
      </c>
      <c r="B417" s="60" t="s">
        <v>695</v>
      </c>
      <c r="C417" s="34">
        <v>4301051864</v>
      </c>
      <c r="D417" s="704">
        <v>4680115883567</v>
      </c>
      <c r="E417" s="704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91</v>
      </c>
      <c r="L417" s="35" t="s">
        <v>46</v>
      </c>
      <c r="M417" s="36" t="s">
        <v>97</v>
      </c>
      <c r="N417" s="36"/>
      <c r="O417" s="35">
        <v>40</v>
      </c>
      <c r="P417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52.5</v>
      </c>
      <c r="Y417" s="53">
        <f>IFERROR(IF(X417="",0,CEILING((X417/$H417),1)*$H417),"")</f>
        <v>52.5</v>
      </c>
      <c r="Z417" s="39">
        <f>IFERROR(IF(Y417=0,"",ROUNDUP(Y417/H417,0)*0.00651),"")</f>
        <v>0.16275000000000001</v>
      </c>
      <c r="AA417" s="65" t="s">
        <v>46</v>
      </c>
      <c r="AB417" s="66" t="s">
        <v>46</v>
      </c>
      <c r="AC417" s="511" t="s">
        <v>696</v>
      </c>
      <c r="AG417" s="75"/>
      <c r="AJ417" s="79" t="s">
        <v>46</v>
      </c>
      <c r="AK417" s="79">
        <v>0</v>
      </c>
      <c r="BB417" s="512" t="s">
        <v>67</v>
      </c>
      <c r="BM417" s="75">
        <f>IFERROR(X417*I417/H417,"0")</f>
        <v>58.499999999999993</v>
      </c>
      <c r="BN417" s="75">
        <f>IFERROR(Y417*I417/H417,"0")</f>
        <v>58.499999999999993</v>
      </c>
      <c r="BO417" s="75">
        <f>IFERROR(1/J417*(X417/H417),"0")</f>
        <v>0.13736263736263737</v>
      </c>
      <c r="BP417" s="75">
        <f>IFERROR(1/J417*(Y417/H417),"0")</f>
        <v>0.13736263736263737</v>
      </c>
    </row>
    <row r="418" spans="1:68" x14ac:dyDescent="0.2">
      <c r="A418" s="712"/>
      <c r="B418" s="712"/>
      <c r="C418" s="712"/>
      <c r="D418" s="712"/>
      <c r="E418" s="712"/>
      <c r="F418" s="712"/>
      <c r="G418" s="712"/>
      <c r="H418" s="712"/>
      <c r="I418" s="712"/>
      <c r="J418" s="712"/>
      <c r="K418" s="712"/>
      <c r="L418" s="712"/>
      <c r="M418" s="712"/>
      <c r="N418" s="712"/>
      <c r="O418" s="713"/>
      <c r="P418" s="709" t="s">
        <v>40</v>
      </c>
      <c r="Q418" s="710"/>
      <c r="R418" s="710"/>
      <c r="S418" s="710"/>
      <c r="T418" s="710"/>
      <c r="U418" s="710"/>
      <c r="V418" s="711"/>
      <c r="W418" s="40" t="s">
        <v>39</v>
      </c>
      <c r="X418" s="41">
        <f>IFERROR(X415/H415,"0")+IFERROR(X416/H416,"0")+IFERROR(X417/H417,"0")</f>
        <v>75</v>
      </c>
      <c r="Y418" s="41">
        <f>IFERROR(Y415/H415,"0")+IFERROR(Y416/H416,"0")+IFERROR(Y417/H417,"0")</f>
        <v>75</v>
      </c>
      <c r="Z418" s="41">
        <f>IFERROR(IF(Z415="",0,Z415),"0")+IFERROR(IF(Z416="",0,Z416),"0")+IFERROR(IF(Z417="",0,Z417),"0")</f>
        <v>0.48825000000000002</v>
      </c>
      <c r="AA418" s="64"/>
      <c r="AB418" s="64"/>
      <c r="AC418" s="64"/>
    </row>
    <row r="419" spans="1:68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0</v>
      </c>
      <c r="X419" s="41">
        <f>IFERROR(SUM(X415:X417),"0")</f>
        <v>157.5</v>
      </c>
      <c r="Y419" s="41">
        <f>IFERROR(SUM(Y415:Y417),"0")</f>
        <v>157.5</v>
      </c>
      <c r="Z419" s="40"/>
      <c r="AA419" s="64"/>
      <c r="AB419" s="64"/>
      <c r="AC419" s="64"/>
    </row>
    <row r="420" spans="1:68" ht="27.75" hidden="1" customHeight="1" x14ac:dyDescent="0.2">
      <c r="A420" s="701" t="s">
        <v>697</v>
      </c>
      <c r="B420" s="701"/>
      <c r="C420" s="701"/>
      <c r="D420" s="701"/>
      <c r="E420" s="701"/>
      <c r="F420" s="701"/>
      <c r="G420" s="701"/>
      <c r="H420" s="701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  <c r="AA420" s="52"/>
      <c r="AB420" s="52"/>
      <c r="AC420" s="52"/>
    </row>
    <row r="421" spans="1:68" ht="16.5" hidden="1" customHeight="1" x14ac:dyDescent="0.25">
      <c r="A421" s="702" t="s">
        <v>698</v>
      </c>
      <c r="B421" s="702"/>
      <c r="C421" s="702"/>
      <c r="D421" s="702"/>
      <c r="E421" s="702"/>
      <c r="F421" s="702"/>
      <c r="G421" s="702"/>
      <c r="H421" s="702"/>
      <c r="I421" s="702"/>
      <c r="J421" s="702"/>
      <c r="K421" s="702"/>
      <c r="L421" s="702"/>
      <c r="M421" s="702"/>
      <c r="N421" s="702"/>
      <c r="O421" s="702"/>
      <c r="P421" s="702"/>
      <c r="Q421" s="702"/>
      <c r="R421" s="702"/>
      <c r="S421" s="702"/>
      <c r="T421" s="702"/>
      <c r="U421" s="702"/>
      <c r="V421" s="702"/>
      <c r="W421" s="702"/>
      <c r="X421" s="702"/>
      <c r="Y421" s="702"/>
      <c r="Z421" s="702"/>
      <c r="AA421" s="62"/>
      <c r="AB421" s="62"/>
      <c r="AC421" s="62"/>
    </row>
    <row r="422" spans="1:68" ht="14.25" hidden="1" customHeight="1" x14ac:dyDescent="0.25">
      <c r="A422" s="703" t="s">
        <v>128</v>
      </c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  <c r="AA422" s="63"/>
      <c r="AB422" s="63"/>
      <c r="AC422" s="63"/>
    </row>
    <row r="423" spans="1:68" ht="27" hidden="1" customHeight="1" x14ac:dyDescent="0.25">
      <c r="A423" s="60" t="s">
        <v>699</v>
      </c>
      <c r="B423" s="60" t="s">
        <v>700</v>
      </c>
      <c r="C423" s="34">
        <v>4301012332</v>
      </c>
      <c r="D423" s="704">
        <v>4680115888401</v>
      </c>
      <c r="E423" s="70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133</v>
      </c>
      <c r="L423" s="35" t="s">
        <v>46</v>
      </c>
      <c r="M423" s="36" t="s">
        <v>97</v>
      </c>
      <c r="N423" s="36"/>
      <c r="O423" s="35">
        <v>60</v>
      </c>
      <c r="P423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06"/>
      <c r="R423" s="706"/>
      <c r="S423" s="706"/>
      <c r="T423" s="707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701</v>
      </c>
      <c r="AG423" s="75"/>
      <c r="AJ423" s="79" t="s">
        <v>46</v>
      </c>
      <c r="AK423" s="79">
        <v>0</v>
      </c>
      <c r="BB423" s="514" t="s">
        <v>67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702</v>
      </c>
      <c r="B424" s="60" t="s">
        <v>703</v>
      </c>
      <c r="C424" s="34">
        <v>4301011869</v>
      </c>
      <c r="D424" s="704">
        <v>4680115884847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81</v>
      </c>
      <c r="N424" s="36"/>
      <c r="O424" s="35">
        <v>60</v>
      </c>
      <c r="P424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2000</v>
      </c>
      <c r="Y424" s="53">
        <f t="shared" si="52"/>
        <v>2010</v>
      </c>
      <c r="Z424" s="39">
        <f>IFERROR(IF(Y424=0,"",ROUNDUP(Y424/H424,0)*0.02175),"")</f>
        <v>2.9144999999999999</v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67</v>
      </c>
      <c r="BM424" s="75">
        <f t="shared" si="53"/>
        <v>2062.6666666666665</v>
      </c>
      <c r="BN424" s="75">
        <f t="shared" si="54"/>
        <v>2072.98</v>
      </c>
      <c r="BO424" s="75">
        <f t="shared" si="55"/>
        <v>2.7777777777777777</v>
      </c>
      <c r="BP424" s="75">
        <f t="shared" si="56"/>
        <v>2.7916666666666665</v>
      </c>
    </row>
    <row r="425" spans="1:68" ht="27" customHeight="1" x14ac:dyDescent="0.25">
      <c r="A425" s="60" t="s">
        <v>705</v>
      </c>
      <c r="B425" s="60" t="s">
        <v>706</v>
      </c>
      <c r="C425" s="34">
        <v>4301012083</v>
      </c>
      <c r="D425" s="704">
        <v>4680115884854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132</v>
      </c>
      <c r="N425" s="36"/>
      <c r="O425" s="35">
        <v>60</v>
      </c>
      <c r="P425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1200</v>
      </c>
      <c r="Y425" s="53">
        <f t="shared" si="52"/>
        <v>1200</v>
      </c>
      <c r="Z425" s="39">
        <f>IFERROR(IF(Y425=0,"",ROUNDUP(Y425/H425,0)*0.02175),"")</f>
        <v>1.7399999999999998</v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67</v>
      </c>
      <c r="BM425" s="75">
        <f t="shared" si="53"/>
        <v>1237.5999999999999</v>
      </c>
      <c r="BN425" s="75">
        <f t="shared" si="54"/>
        <v>1237.5999999999999</v>
      </c>
      <c r="BO425" s="75">
        <f t="shared" si="55"/>
        <v>1.6666666666666665</v>
      </c>
      <c r="BP425" s="75">
        <f t="shared" si="56"/>
        <v>1.6666666666666665</v>
      </c>
    </row>
    <row r="426" spans="1:68" ht="27" customHeight="1" x14ac:dyDescent="0.25">
      <c r="A426" s="60" t="s">
        <v>708</v>
      </c>
      <c r="B426" s="60" t="s">
        <v>709</v>
      </c>
      <c r="C426" s="34">
        <v>4301011867</v>
      </c>
      <c r="D426" s="704">
        <v>4680115884830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133</v>
      </c>
      <c r="L426" s="35" t="s">
        <v>46</v>
      </c>
      <c r="M426" s="36" t="s">
        <v>81</v>
      </c>
      <c r="N426" s="36"/>
      <c r="O426" s="35">
        <v>60</v>
      </c>
      <c r="P426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2500</v>
      </c>
      <c r="Y426" s="53">
        <f t="shared" si="52"/>
        <v>2505</v>
      </c>
      <c r="Z426" s="39">
        <f>IFERROR(IF(Y426=0,"",ROUNDUP(Y426/H426,0)*0.02175),"")</f>
        <v>3.6322499999999995</v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67</v>
      </c>
      <c r="BM426" s="75">
        <f t="shared" si="53"/>
        <v>2578.3333333333335</v>
      </c>
      <c r="BN426" s="75">
        <f t="shared" si="54"/>
        <v>2583.4899999999998</v>
      </c>
      <c r="BO426" s="75">
        <f t="shared" si="55"/>
        <v>3.4722222222222219</v>
      </c>
      <c r="BP426" s="75">
        <f t="shared" si="56"/>
        <v>3.4791666666666665</v>
      </c>
    </row>
    <row r="427" spans="1:68" ht="27" customHeight="1" x14ac:dyDescent="0.25">
      <c r="A427" s="60" t="s">
        <v>711</v>
      </c>
      <c r="B427" s="60" t="s">
        <v>712</v>
      </c>
      <c r="C427" s="34">
        <v>4301012356</v>
      </c>
      <c r="D427" s="704">
        <v>4680115889231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133</v>
      </c>
      <c r="L427" s="35" t="s">
        <v>46</v>
      </c>
      <c r="M427" s="36" t="s">
        <v>97</v>
      </c>
      <c r="N427" s="36"/>
      <c r="O427" s="35">
        <v>60</v>
      </c>
      <c r="P427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500</v>
      </c>
      <c r="Y427" s="53">
        <f t="shared" si="52"/>
        <v>510</v>
      </c>
      <c r="Z427" s="39">
        <f>IFERROR(IF(Y427=0,"",ROUNDUP(Y427/H427,0)*0.02175),"")</f>
        <v>0.73949999999999994</v>
      </c>
      <c r="AA427" s="65" t="s">
        <v>46</v>
      </c>
      <c r="AB427" s="66" t="s">
        <v>46</v>
      </c>
      <c r="AC427" s="521" t="s">
        <v>713</v>
      </c>
      <c r="AG427" s="75"/>
      <c r="AJ427" s="79" t="s">
        <v>46</v>
      </c>
      <c r="AK427" s="79">
        <v>0</v>
      </c>
      <c r="BB427" s="522" t="s">
        <v>67</v>
      </c>
      <c r="BM427" s="75">
        <f t="shared" si="53"/>
        <v>515.66666666666663</v>
      </c>
      <c r="BN427" s="75">
        <f t="shared" si="54"/>
        <v>525.98</v>
      </c>
      <c r="BO427" s="75">
        <f t="shared" si="55"/>
        <v>0.69444444444444442</v>
      </c>
      <c r="BP427" s="75">
        <f t="shared" si="56"/>
        <v>0.70833333333333326</v>
      </c>
    </row>
    <row r="428" spans="1:68" ht="27" hidden="1" customHeight="1" x14ac:dyDescent="0.25">
      <c r="A428" s="60" t="s">
        <v>714</v>
      </c>
      <c r="B428" s="60" t="s">
        <v>715</v>
      </c>
      <c r="C428" s="34">
        <v>4301011433</v>
      </c>
      <c r="D428" s="704">
        <v>4680115882638</v>
      </c>
      <c r="E428" s="704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132</v>
      </c>
      <c r="N428" s="36"/>
      <c r="O428" s="35">
        <v>90</v>
      </c>
      <c r="P428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716</v>
      </c>
      <c r="AG428" s="75"/>
      <c r="AJ428" s="79" t="s">
        <v>46</v>
      </c>
      <c r="AK428" s="79">
        <v>0</v>
      </c>
      <c r="BB428" s="524" t="s">
        <v>67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717</v>
      </c>
      <c r="B429" s="60" t="s">
        <v>718</v>
      </c>
      <c r="C429" s="34">
        <v>4301011952</v>
      </c>
      <c r="D429" s="704">
        <v>4680115884922</v>
      </c>
      <c r="E429" s="70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60</v>
      </c>
      <c r="P429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719</v>
      </c>
      <c r="AG429" s="75"/>
      <c r="AJ429" s="79" t="s">
        <v>46</v>
      </c>
      <c r="AK429" s="79">
        <v>0</v>
      </c>
      <c r="BB429" s="526" t="s">
        <v>67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720</v>
      </c>
      <c r="B430" s="60" t="s">
        <v>721</v>
      </c>
      <c r="C430" s="34">
        <v>4301011868</v>
      </c>
      <c r="D430" s="704">
        <v>4680115884861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140</v>
      </c>
      <c r="L430" s="35" t="s">
        <v>46</v>
      </c>
      <c r="M430" s="36" t="s">
        <v>81</v>
      </c>
      <c r="N430" s="36"/>
      <c r="O430" s="35">
        <v>60</v>
      </c>
      <c r="P430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722</v>
      </c>
      <c r="AG430" s="75"/>
      <c r="AJ430" s="79" t="s">
        <v>46</v>
      </c>
      <c r="AK430" s="79">
        <v>0</v>
      </c>
      <c r="BB430" s="528" t="s">
        <v>67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712"/>
      <c r="B431" s="712"/>
      <c r="C431" s="712"/>
      <c r="D431" s="712"/>
      <c r="E431" s="712"/>
      <c r="F431" s="712"/>
      <c r="G431" s="712"/>
      <c r="H431" s="712"/>
      <c r="I431" s="712"/>
      <c r="J431" s="712"/>
      <c r="K431" s="712"/>
      <c r="L431" s="712"/>
      <c r="M431" s="712"/>
      <c r="N431" s="712"/>
      <c r="O431" s="713"/>
      <c r="P431" s="709" t="s">
        <v>40</v>
      </c>
      <c r="Q431" s="710"/>
      <c r="R431" s="710"/>
      <c r="S431" s="710"/>
      <c r="T431" s="710"/>
      <c r="U431" s="710"/>
      <c r="V431" s="711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413.33333333333331</v>
      </c>
      <c r="Y431" s="41">
        <f>IFERROR(Y423/H423,"0")+IFERROR(Y424/H424,"0")+IFERROR(Y425/H425,"0")+IFERROR(Y426/H426,"0")+IFERROR(Y427/H427,"0")+IFERROR(Y428/H428,"0")+IFERROR(Y429/H429,"0")+IFERROR(Y430/H430,"0")</f>
        <v>415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9.0262499999999992</v>
      </c>
      <c r="AA431" s="64"/>
      <c r="AB431" s="64"/>
      <c r="AC431" s="64"/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0</v>
      </c>
      <c r="X432" s="41">
        <f>IFERROR(SUM(X423:X430),"0")</f>
        <v>6200</v>
      </c>
      <c r="Y432" s="41">
        <f>IFERROR(SUM(Y423:Y430),"0")</f>
        <v>6225</v>
      </c>
      <c r="Z432" s="40"/>
      <c r="AA432" s="64"/>
      <c r="AB432" s="64"/>
      <c r="AC432" s="64"/>
    </row>
    <row r="433" spans="1:68" ht="14.25" hidden="1" customHeight="1" x14ac:dyDescent="0.25">
      <c r="A433" s="703" t="s">
        <v>164</v>
      </c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  <c r="AA433" s="63"/>
      <c r="AB433" s="63"/>
      <c r="AC433" s="63"/>
    </row>
    <row r="434" spans="1:68" ht="27" customHeight="1" x14ac:dyDescent="0.25">
      <c r="A434" s="60" t="s">
        <v>723</v>
      </c>
      <c r="B434" s="60" t="s">
        <v>724</v>
      </c>
      <c r="C434" s="34">
        <v>4301020178</v>
      </c>
      <c r="D434" s="704">
        <v>4607091383980</v>
      </c>
      <c r="E434" s="70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133</v>
      </c>
      <c r="L434" s="35" t="s">
        <v>46</v>
      </c>
      <c r="M434" s="36" t="s">
        <v>132</v>
      </c>
      <c r="N434" s="36"/>
      <c r="O434" s="35">
        <v>50</v>
      </c>
      <c r="P434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06"/>
      <c r="R434" s="706"/>
      <c r="S434" s="706"/>
      <c r="T434" s="707"/>
      <c r="U434" s="37" t="s">
        <v>46</v>
      </c>
      <c r="V434" s="37" t="s">
        <v>46</v>
      </c>
      <c r="W434" s="38" t="s">
        <v>0</v>
      </c>
      <c r="X434" s="56">
        <v>2000</v>
      </c>
      <c r="Y434" s="53">
        <f>IFERROR(IF(X434="",0,CEILING((X434/$H434),1)*$H434),"")</f>
        <v>2010</v>
      </c>
      <c r="Z434" s="39">
        <f>IFERROR(IF(Y434=0,"",ROUNDUP(Y434/H434,0)*0.02175),"")</f>
        <v>2.9144999999999999</v>
      </c>
      <c r="AA434" s="65" t="s">
        <v>46</v>
      </c>
      <c r="AB434" s="66" t="s">
        <v>46</v>
      </c>
      <c r="AC434" s="529" t="s">
        <v>725</v>
      </c>
      <c r="AG434" s="75"/>
      <c r="AJ434" s="79" t="s">
        <v>46</v>
      </c>
      <c r="AK434" s="79">
        <v>0</v>
      </c>
      <c r="BB434" s="530" t="s">
        <v>67</v>
      </c>
      <c r="BM434" s="75">
        <f>IFERROR(X434*I434/H434,"0")</f>
        <v>2062.6666666666665</v>
      </c>
      <c r="BN434" s="75">
        <f>IFERROR(Y434*I434/H434,"0")</f>
        <v>2072.98</v>
      </c>
      <c r="BO434" s="75">
        <f>IFERROR(1/J434*(X434/H434),"0")</f>
        <v>2.7777777777777777</v>
      </c>
      <c r="BP434" s="75">
        <f>IFERROR(1/J434*(Y434/H434),"0")</f>
        <v>2.7916666666666665</v>
      </c>
    </row>
    <row r="435" spans="1:68" ht="27" hidden="1" customHeight="1" x14ac:dyDescent="0.25">
      <c r="A435" s="60" t="s">
        <v>726</v>
      </c>
      <c r="B435" s="60" t="s">
        <v>727</v>
      </c>
      <c r="C435" s="34">
        <v>4301020355</v>
      </c>
      <c r="D435" s="704">
        <v>4680115888425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133</v>
      </c>
      <c r="L435" s="35" t="s">
        <v>46</v>
      </c>
      <c r="M435" s="36" t="s">
        <v>132</v>
      </c>
      <c r="N435" s="36"/>
      <c r="O435" s="35">
        <v>50</v>
      </c>
      <c r="P435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728</v>
      </c>
      <c r="AG435" s="75"/>
      <c r="AJ435" s="79" t="s">
        <v>46</v>
      </c>
      <c r="AK435" s="79">
        <v>0</v>
      </c>
      <c r="BB435" s="532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729</v>
      </c>
      <c r="B436" s="60" t="s">
        <v>730</v>
      </c>
      <c r="C436" s="34">
        <v>4301020179</v>
      </c>
      <c r="D436" s="704">
        <v>4607091384178</v>
      </c>
      <c r="E436" s="704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140</v>
      </c>
      <c r="L436" s="35" t="s">
        <v>46</v>
      </c>
      <c r="M436" s="36" t="s">
        <v>132</v>
      </c>
      <c r="N436" s="36"/>
      <c r="O436" s="35">
        <v>50</v>
      </c>
      <c r="P436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731</v>
      </c>
      <c r="AG436" s="75"/>
      <c r="AJ436" s="79" t="s">
        <v>46</v>
      </c>
      <c r="AK436" s="79">
        <v>0</v>
      </c>
      <c r="BB436" s="53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x14ac:dyDescent="0.2">
      <c r="A437" s="712"/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3"/>
      <c r="P437" s="709" t="s">
        <v>40</v>
      </c>
      <c r="Q437" s="710"/>
      <c r="R437" s="710"/>
      <c r="S437" s="710"/>
      <c r="T437" s="710"/>
      <c r="U437" s="710"/>
      <c r="V437" s="711"/>
      <c r="W437" s="40" t="s">
        <v>39</v>
      </c>
      <c r="X437" s="41">
        <f>IFERROR(X434/H434,"0")+IFERROR(X435/H435,"0")+IFERROR(X436/H436,"0")</f>
        <v>133.33333333333334</v>
      </c>
      <c r="Y437" s="41">
        <f>IFERROR(Y434/H434,"0")+IFERROR(Y435/H435,"0")+IFERROR(Y436/H436,"0")</f>
        <v>134</v>
      </c>
      <c r="Z437" s="41">
        <f>IFERROR(IF(Z434="",0,Z434),"0")+IFERROR(IF(Z435="",0,Z435),"0")+IFERROR(IF(Z436="",0,Z436),"0")</f>
        <v>2.9144999999999999</v>
      </c>
      <c r="AA437" s="64"/>
      <c r="AB437" s="64"/>
      <c r="AC437" s="64"/>
    </row>
    <row r="438" spans="1:68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0</v>
      </c>
      <c r="X438" s="41">
        <f>IFERROR(SUM(X434:X436),"0")</f>
        <v>2000</v>
      </c>
      <c r="Y438" s="41">
        <f>IFERROR(SUM(Y434:Y436),"0")</f>
        <v>2010</v>
      </c>
      <c r="Z438" s="40"/>
      <c r="AA438" s="64"/>
      <c r="AB438" s="64"/>
      <c r="AC438" s="64"/>
    </row>
    <row r="439" spans="1:68" ht="14.25" hidden="1" customHeight="1" x14ac:dyDescent="0.25">
      <c r="A439" s="703" t="s">
        <v>86</v>
      </c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  <c r="AA439" s="63"/>
      <c r="AB439" s="63"/>
      <c r="AC439" s="63"/>
    </row>
    <row r="440" spans="1:68" ht="27" hidden="1" customHeight="1" x14ac:dyDescent="0.25">
      <c r="A440" s="60" t="s">
        <v>732</v>
      </c>
      <c r="B440" s="60" t="s">
        <v>733</v>
      </c>
      <c r="C440" s="34">
        <v>4301051903</v>
      </c>
      <c r="D440" s="704">
        <v>4607091383928</v>
      </c>
      <c r="E440" s="704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133</v>
      </c>
      <c r="L440" s="35" t="s">
        <v>46</v>
      </c>
      <c r="M440" s="36" t="s">
        <v>90</v>
      </c>
      <c r="N440" s="36"/>
      <c r="O440" s="35">
        <v>40</v>
      </c>
      <c r="P440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06"/>
      <c r="R440" s="706"/>
      <c r="S440" s="706"/>
      <c r="T440" s="70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734</v>
      </c>
      <c r="AG440" s="75"/>
      <c r="AJ440" s="79" t="s">
        <v>46</v>
      </c>
      <c r="AK440" s="79">
        <v>0</v>
      </c>
      <c r="BB440" s="53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735</v>
      </c>
      <c r="B441" s="60" t="s">
        <v>736</v>
      </c>
      <c r="C441" s="34">
        <v>4301051897</v>
      </c>
      <c r="D441" s="704">
        <v>4607091384260</v>
      </c>
      <c r="E441" s="704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133</v>
      </c>
      <c r="L441" s="35" t="s">
        <v>46</v>
      </c>
      <c r="M441" s="36" t="s">
        <v>90</v>
      </c>
      <c r="N441" s="36"/>
      <c r="O441" s="35">
        <v>40</v>
      </c>
      <c r="P441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737</v>
      </c>
      <c r="AG441" s="75"/>
      <c r="AJ441" s="79" t="s">
        <v>46</v>
      </c>
      <c r="AK441" s="79">
        <v>0</v>
      </c>
      <c r="BB441" s="538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738</v>
      </c>
      <c r="B442" s="60" t="s">
        <v>739</v>
      </c>
      <c r="C442" s="34">
        <v>4301052220</v>
      </c>
      <c r="D442" s="704">
        <v>4680115889538</v>
      </c>
      <c r="E442" s="704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133</v>
      </c>
      <c r="L442" s="35" t="s">
        <v>46</v>
      </c>
      <c r="M442" s="36" t="s">
        <v>90</v>
      </c>
      <c r="N442" s="36"/>
      <c r="O442" s="35">
        <v>45</v>
      </c>
      <c r="P442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740</v>
      </c>
      <c r="AG442" s="75"/>
      <c r="AJ442" s="79" t="s">
        <v>46</v>
      </c>
      <c r="AK442" s="79">
        <v>0</v>
      </c>
      <c r="BB442" s="540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12"/>
      <c r="B443" s="712"/>
      <c r="C443" s="712"/>
      <c r="D443" s="712"/>
      <c r="E443" s="712"/>
      <c r="F443" s="712"/>
      <c r="G443" s="712"/>
      <c r="H443" s="712"/>
      <c r="I443" s="712"/>
      <c r="J443" s="712"/>
      <c r="K443" s="712"/>
      <c r="L443" s="712"/>
      <c r="M443" s="712"/>
      <c r="N443" s="712"/>
      <c r="O443" s="713"/>
      <c r="P443" s="709" t="s">
        <v>40</v>
      </c>
      <c r="Q443" s="710"/>
      <c r="R443" s="710"/>
      <c r="S443" s="710"/>
      <c r="T443" s="710"/>
      <c r="U443" s="710"/>
      <c r="V443" s="711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03" t="s">
        <v>181</v>
      </c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  <c r="AA445" s="63"/>
      <c r="AB445" s="63"/>
      <c r="AC445" s="63"/>
    </row>
    <row r="446" spans="1:68" ht="27" hidden="1" customHeight="1" x14ac:dyDescent="0.25">
      <c r="A446" s="60" t="s">
        <v>741</v>
      </c>
      <c r="B446" s="60" t="s">
        <v>742</v>
      </c>
      <c r="C446" s="34">
        <v>4301060537</v>
      </c>
      <c r="D446" s="704">
        <v>4680115889545</v>
      </c>
      <c r="E446" s="704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133</v>
      </c>
      <c r="L446" s="35" t="s">
        <v>46</v>
      </c>
      <c r="M446" s="36" t="s">
        <v>90</v>
      </c>
      <c r="N446" s="36"/>
      <c r="O446" s="35">
        <v>30</v>
      </c>
      <c r="P446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06"/>
      <c r="R446" s="706"/>
      <c r="S446" s="706"/>
      <c r="T446" s="70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743</v>
      </c>
      <c r="AG446" s="75"/>
      <c r="AJ446" s="79" t="s">
        <v>46</v>
      </c>
      <c r="AK446" s="79">
        <v>0</v>
      </c>
      <c r="BB446" s="542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744</v>
      </c>
      <c r="B447" s="60" t="s">
        <v>745</v>
      </c>
      <c r="C447" s="34">
        <v>4301060524</v>
      </c>
      <c r="D447" s="704">
        <v>4607091384673</v>
      </c>
      <c r="E447" s="704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133</v>
      </c>
      <c r="L447" s="35" t="s">
        <v>46</v>
      </c>
      <c r="M447" s="36" t="s">
        <v>90</v>
      </c>
      <c r="N447" s="36"/>
      <c r="O447" s="35">
        <v>40</v>
      </c>
      <c r="P447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746</v>
      </c>
      <c r="AG447" s="75"/>
      <c r="AJ447" s="79" t="s">
        <v>46</v>
      </c>
      <c r="AK447" s="79">
        <v>0</v>
      </c>
      <c r="BB447" s="544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12"/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3"/>
      <c r="P448" s="709" t="s">
        <v>40</v>
      </c>
      <c r="Q448" s="710"/>
      <c r="R448" s="710"/>
      <c r="S448" s="710"/>
      <c r="T448" s="710"/>
      <c r="U448" s="710"/>
      <c r="V448" s="711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702" t="s">
        <v>747</v>
      </c>
      <c r="B450" s="702"/>
      <c r="C450" s="702"/>
      <c r="D450" s="702"/>
      <c r="E450" s="702"/>
      <c r="F450" s="702"/>
      <c r="G450" s="702"/>
      <c r="H450" s="702"/>
      <c r="I450" s="702"/>
      <c r="J450" s="702"/>
      <c r="K450" s="702"/>
      <c r="L450" s="702"/>
      <c r="M450" s="702"/>
      <c r="N450" s="702"/>
      <c r="O450" s="702"/>
      <c r="P450" s="702"/>
      <c r="Q450" s="702"/>
      <c r="R450" s="702"/>
      <c r="S450" s="702"/>
      <c r="T450" s="702"/>
      <c r="U450" s="702"/>
      <c r="V450" s="702"/>
      <c r="W450" s="702"/>
      <c r="X450" s="702"/>
      <c r="Y450" s="702"/>
      <c r="Z450" s="702"/>
      <c r="AA450" s="62"/>
      <c r="AB450" s="62"/>
      <c r="AC450" s="62"/>
    </row>
    <row r="451" spans="1:68" ht="14.25" hidden="1" customHeight="1" x14ac:dyDescent="0.25">
      <c r="A451" s="703" t="s">
        <v>128</v>
      </c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  <c r="AA451" s="63"/>
      <c r="AB451" s="63"/>
      <c r="AC451" s="63"/>
    </row>
    <row r="452" spans="1:68" ht="27" hidden="1" customHeight="1" x14ac:dyDescent="0.25">
      <c r="A452" s="60" t="s">
        <v>748</v>
      </c>
      <c r="B452" s="60" t="s">
        <v>749</v>
      </c>
      <c r="C452" s="34">
        <v>4301011875</v>
      </c>
      <c r="D452" s="704">
        <v>4680115884885</v>
      </c>
      <c r="E452" s="704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133</v>
      </c>
      <c r="L452" s="35" t="s">
        <v>46</v>
      </c>
      <c r="M452" s="36" t="s">
        <v>81</v>
      </c>
      <c r="N452" s="36"/>
      <c r="O452" s="35">
        <v>60</v>
      </c>
      <c r="P452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06"/>
      <c r="R452" s="706"/>
      <c r="S452" s="706"/>
      <c r="T452" s="70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750</v>
      </c>
      <c r="AG452" s="75"/>
      <c r="AJ452" s="79" t="s">
        <v>46</v>
      </c>
      <c r="AK452" s="79">
        <v>0</v>
      </c>
      <c r="BB452" s="546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751</v>
      </c>
      <c r="B453" s="60" t="s">
        <v>752</v>
      </c>
      <c r="C453" s="34">
        <v>4301011871</v>
      </c>
      <c r="D453" s="704">
        <v>4680115884908</v>
      </c>
      <c r="E453" s="704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140</v>
      </c>
      <c r="L453" s="35" t="s">
        <v>46</v>
      </c>
      <c r="M453" s="36" t="s">
        <v>81</v>
      </c>
      <c r="N453" s="36"/>
      <c r="O453" s="35">
        <v>60</v>
      </c>
      <c r="P453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750</v>
      </c>
      <c r="AG453" s="75"/>
      <c r="AJ453" s="79" t="s">
        <v>46</v>
      </c>
      <c r="AK453" s="79">
        <v>0</v>
      </c>
      <c r="BB453" s="548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12"/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3"/>
      <c r="P454" s="709" t="s">
        <v>40</v>
      </c>
      <c r="Q454" s="710"/>
      <c r="R454" s="710"/>
      <c r="S454" s="710"/>
      <c r="T454" s="710"/>
      <c r="U454" s="710"/>
      <c r="V454" s="711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703" t="s">
        <v>77</v>
      </c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  <c r="AA456" s="63"/>
      <c r="AB456" s="63"/>
      <c r="AC456" s="63"/>
    </row>
    <row r="457" spans="1:68" ht="27" hidden="1" customHeight="1" x14ac:dyDescent="0.25">
      <c r="A457" s="60" t="s">
        <v>753</v>
      </c>
      <c r="B457" s="60" t="s">
        <v>754</v>
      </c>
      <c r="C457" s="34">
        <v>4301031457</v>
      </c>
      <c r="D457" s="704">
        <v>4607091384802</v>
      </c>
      <c r="E457" s="704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140</v>
      </c>
      <c r="L457" s="35" t="s">
        <v>46</v>
      </c>
      <c r="M457" s="36" t="s">
        <v>81</v>
      </c>
      <c r="N457" s="36"/>
      <c r="O457" s="35">
        <v>50</v>
      </c>
      <c r="P457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06"/>
      <c r="R457" s="706"/>
      <c r="S457" s="706"/>
      <c r="T457" s="70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755</v>
      </c>
      <c r="AG457" s="75"/>
      <c r="AJ457" s="79" t="s">
        <v>46</v>
      </c>
      <c r="AK457" s="79">
        <v>0</v>
      </c>
      <c r="BB457" s="550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2"/>
      <c r="B458" s="712"/>
      <c r="C458" s="712"/>
      <c r="D458" s="712"/>
      <c r="E458" s="712"/>
      <c r="F458" s="712"/>
      <c r="G458" s="712"/>
      <c r="H458" s="712"/>
      <c r="I458" s="712"/>
      <c r="J458" s="712"/>
      <c r="K458" s="712"/>
      <c r="L458" s="712"/>
      <c r="M458" s="712"/>
      <c r="N458" s="712"/>
      <c r="O458" s="713"/>
      <c r="P458" s="709" t="s">
        <v>40</v>
      </c>
      <c r="Q458" s="710"/>
      <c r="R458" s="710"/>
      <c r="S458" s="710"/>
      <c r="T458" s="710"/>
      <c r="U458" s="710"/>
      <c r="V458" s="711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3" t="s">
        <v>86</v>
      </c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  <c r="AA460" s="63"/>
      <c r="AB460" s="63"/>
      <c r="AC460" s="63"/>
    </row>
    <row r="461" spans="1:68" ht="27" hidden="1" customHeight="1" x14ac:dyDescent="0.25">
      <c r="A461" s="60" t="s">
        <v>756</v>
      </c>
      <c r="B461" s="60" t="s">
        <v>757</v>
      </c>
      <c r="C461" s="34">
        <v>4301051899</v>
      </c>
      <c r="D461" s="704">
        <v>4607091384246</v>
      </c>
      <c r="E461" s="704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133</v>
      </c>
      <c r="L461" s="35" t="s">
        <v>46</v>
      </c>
      <c r="M461" s="36" t="s">
        <v>90</v>
      </c>
      <c r="N461" s="36"/>
      <c r="O461" s="35">
        <v>40</v>
      </c>
      <c r="P461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06"/>
      <c r="R461" s="706"/>
      <c r="S461" s="706"/>
      <c r="T461" s="70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758</v>
      </c>
      <c r="AG461" s="75"/>
      <c r="AJ461" s="79" t="s">
        <v>46</v>
      </c>
      <c r="AK461" s="79">
        <v>0</v>
      </c>
      <c r="BB461" s="55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759</v>
      </c>
      <c r="B462" s="60" t="s">
        <v>760</v>
      </c>
      <c r="C462" s="34">
        <v>4301051660</v>
      </c>
      <c r="D462" s="704">
        <v>4607091384253</v>
      </c>
      <c r="E462" s="70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91</v>
      </c>
      <c r="L462" s="35" t="s">
        <v>46</v>
      </c>
      <c r="M462" s="36" t="s">
        <v>90</v>
      </c>
      <c r="N462" s="36"/>
      <c r="O462" s="35">
        <v>40</v>
      </c>
      <c r="P462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72</v>
      </c>
      <c r="Y462" s="53">
        <f>IFERROR(IF(X462="",0,CEILING((X462/$H462),1)*$H462),"")</f>
        <v>72</v>
      </c>
      <c r="Z462" s="39">
        <f>IFERROR(IF(Y462=0,"",ROUNDUP(Y462/H462,0)*0.00651),"")</f>
        <v>0.1953</v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67</v>
      </c>
      <c r="BM462" s="75">
        <f>IFERROR(X462*I462/H462,"0")</f>
        <v>79.920000000000016</v>
      </c>
      <c r="BN462" s="75">
        <f>IFERROR(Y462*I462/H462,"0")</f>
        <v>79.920000000000016</v>
      </c>
      <c r="BO462" s="75">
        <f>IFERROR(1/J462*(X462/H462),"0")</f>
        <v>0.16483516483516486</v>
      </c>
      <c r="BP462" s="75">
        <f>IFERROR(1/J462*(Y462/H462),"0")</f>
        <v>0.16483516483516486</v>
      </c>
    </row>
    <row r="463" spans="1:68" ht="27" hidden="1" customHeight="1" x14ac:dyDescent="0.25">
      <c r="A463" s="60" t="s">
        <v>759</v>
      </c>
      <c r="B463" s="60" t="s">
        <v>761</v>
      </c>
      <c r="C463" s="34">
        <v>4301052069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91</v>
      </c>
      <c r="L463" s="35" t="s">
        <v>46</v>
      </c>
      <c r="M463" s="36" t="s">
        <v>90</v>
      </c>
      <c r="N463" s="36"/>
      <c r="O463" s="35">
        <v>40</v>
      </c>
      <c r="P463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762</v>
      </c>
      <c r="AG463" s="75"/>
      <c r="AJ463" s="79" t="s">
        <v>46</v>
      </c>
      <c r="AK463" s="79">
        <v>0</v>
      </c>
      <c r="BB463" s="556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712"/>
      <c r="B464" s="712"/>
      <c r="C464" s="712"/>
      <c r="D464" s="712"/>
      <c r="E464" s="712"/>
      <c r="F464" s="712"/>
      <c r="G464" s="712"/>
      <c r="H464" s="712"/>
      <c r="I464" s="712"/>
      <c r="J464" s="712"/>
      <c r="K464" s="712"/>
      <c r="L464" s="712"/>
      <c r="M464" s="712"/>
      <c r="N464" s="712"/>
      <c r="O464" s="713"/>
      <c r="P464" s="709" t="s">
        <v>40</v>
      </c>
      <c r="Q464" s="710"/>
      <c r="R464" s="710"/>
      <c r="S464" s="710"/>
      <c r="T464" s="710"/>
      <c r="U464" s="710"/>
      <c r="V464" s="711"/>
      <c r="W464" s="40" t="s">
        <v>39</v>
      </c>
      <c r="X464" s="41">
        <f>IFERROR(X461/H461,"0")+IFERROR(X462/H462,"0")+IFERROR(X463/H463,"0")</f>
        <v>30</v>
      </c>
      <c r="Y464" s="41">
        <f>IFERROR(Y461/H461,"0")+IFERROR(Y462/H462,"0")+IFERROR(Y463/H463,"0")</f>
        <v>30</v>
      </c>
      <c r="Z464" s="41">
        <f>IFERROR(IF(Z461="",0,Z461),"0")+IFERROR(IF(Z462="",0,Z462),"0")+IFERROR(IF(Z463="",0,Z463),"0")</f>
        <v>0.1953</v>
      </c>
      <c r="AA464" s="64"/>
      <c r="AB464" s="64"/>
      <c r="AC464" s="64"/>
    </row>
    <row r="465" spans="1:68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0</v>
      </c>
      <c r="X465" s="41">
        <f>IFERROR(SUM(X461:X463),"0")</f>
        <v>72</v>
      </c>
      <c r="Y465" s="41">
        <f>IFERROR(SUM(Y461:Y463),"0")</f>
        <v>72</v>
      </c>
      <c r="Z465" s="40"/>
      <c r="AA465" s="64"/>
      <c r="AB465" s="64"/>
      <c r="AC465" s="64"/>
    </row>
    <row r="466" spans="1:68" ht="27.75" hidden="1" customHeight="1" x14ac:dyDescent="0.2">
      <c r="A466" s="701" t="s">
        <v>763</v>
      </c>
      <c r="B466" s="701"/>
      <c r="C466" s="701"/>
      <c r="D466" s="701"/>
      <c r="E466" s="701"/>
      <c r="F466" s="701"/>
      <c r="G466" s="701"/>
      <c r="H466" s="701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  <c r="AA466" s="52"/>
      <c r="AB466" s="52"/>
      <c r="AC466" s="52"/>
    </row>
    <row r="467" spans="1:68" ht="16.5" hidden="1" customHeight="1" x14ac:dyDescent="0.25">
      <c r="A467" s="702" t="s">
        <v>764</v>
      </c>
      <c r="B467" s="702"/>
      <c r="C467" s="702"/>
      <c r="D467" s="702"/>
      <c r="E467" s="702"/>
      <c r="F467" s="702"/>
      <c r="G467" s="702"/>
      <c r="H467" s="702"/>
      <c r="I467" s="702"/>
      <c r="J467" s="702"/>
      <c r="K467" s="702"/>
      <c r="L467" s="702"/>
      <c r="M467" s="702"/>
      <c r="N467" s="702"/>
      <c r="O467" s="702"/>
      <c r="P467" s="702"/>
      <c r="Q467" s="702"/>
      <c r="R467" s="702"/>
      <c r="S467" s="702"/>
      <c r="T467" s="702"/>
      <c r="U467" s="702"/>
      <c r="V467" s="702"/>
      <c r="W467" s="702"/>
      <c r="X467" s="702"/>
      <c r="Y467" s="702"/>
      <c r="Z467" s="702"/>
      <c r="AA467" s="62"/>
      <c r="AB467" s="62"/>
      <c r="AC467" s="62"/>
    </row>
    <row r="468" spans="1:68" ht="14.25" hidden="1" customHeight="1" x14ac:dyDescent="0.25">
      <c r="A468" s="703" t="s">
        <v>77</v>
      </c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  <c r="AA468" s="63"/>
      <c r="AB468" s="63"/>
      <c r="AC468" s="63"/>
    </row>
    <row r="469" spans="1:68" ht="27" hidden="1" customHeight="1" x14ac:dyDescent="0.25">
      <c r="A469" s="60" t="s">
        <v>765</v>
      </c>
      <c r="B469" s="60" t="s">
        <v>766</v>
      </c>
      <c r="C469" s="34">
        <v>4301031405</v>
      </c>
      <c r="D469" s="704">
        <v>4680115886100</v>
      </c>
      <c r="E469" s="70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140</v>
      </c>
      <c r="L469" s="35" t="s">
        <v>46</v>
      </c>
      <c r="M469" s="36" t="s">
        <v>81</v>
      </c>
      <c r="N469" s="36"/>
      <c r="O469" s="35">
        <v>50</v>
      </c>
      <c r="P469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06"/>
      <c r="R469" s="706"/>
      <c r="S469" s="706"/>
      <c r="T469" s="70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767</v>
      </c>
      <c r="AG469" s="75"/>
      <c r="AJ469" s="79" t="s">
        <v>46</v>
      </c>
      <c r="AK469" s="79">
        <v>0</v>
      </c>
      <c r="BB469" s="558" t="s">
        <v>67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customHeight="1" x14ac:dyDescent="0.25">
      <c r="A470" s="60" t="s">
        <v>768</v>
      </c>
      <c r="B470" s="60" t="s">
        <v>769</v>
      </c>
      <c r="C470" s="34">
        <v>4301031402</v>
      </c>
      <c r="D470" s="704">
        <v>4680115886124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140</v>
      </c>
      <c r="L470" s="35" t="s">
        <v>46</v>
      </c>
      <c r="M470" s="36" t="s">
        <v>81</v>
      </c>
      <c r="N470" s="36"/>
      <c r="O470" s="35">
        <v>50</v>
      </c>
      <c r="P470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50</v>
      </c>
      <c r="Y470" s="53">
        <f t="shared" si="57"/>
        <v>54</v>
      </c>
      <c r="Z470" s="39">
        <f>IFERROR(IF(Y470=0,"",ROUNDUP(Y470/H470,0)*0.00902),"")</f>
        <v>9.0200000000000002E-2</v>
      </c>
      <c r="AA470" s="65" t="s">
        <v>46</v>
      </c>
      <c r="AB470" s="66" t="s">
        <v>46</v>
      </c>
      <c r="AC470" s="559" t="s">
        <v>770</v>
      </c>
      <c r="AG470" s="75"/>
      <c r="AJ470" s="79" t="s">
        <v>46</v>
      </c>
      <c r="AK470" s="79">
        <v>0</v>
      </c>
      <c r="BB470" s="560" t="s">
        <v>67</v>
      </c>
      <c r="BM470" s="75">
        <f t="shared" si="58"/>
        <v>51.759259259259252</v>
      </c>
      <c r="BN470" s="75">
        <f t="shared" si="59"/>
        <v>55.9</v>
      </c>
      <c r="BO470" s="75">
        <f t="shared" si="60"/>
        <v>7.0145903479236812E-2</v>
      </c>
      <c r="BP470" s="75">
        <f t="shared" si="61"/>
        <v>7.575757575757576E-2</v>
      </c>
    </row>
    <row r="471" spans="1:68" ht="27" hidden="1" customHeight="1" x14ac:dyDescent="0.25">
      <c r="A471" s="60" t="s">
        <v>771</v>
      </c>
      <c r="B471" s="60" t="s">
        <v>772</v>
      </c>
      <c r="C471" s="34">
        <v>4301031362</v>
      </c>
      <c r="D471" s="704">
        <v>4607091384338</v>
      </c>
      <c r="E471" s="70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767</v>
      </c>
      <c r="AG471" s="75"/>
      <c r="AJ471" s="79" t="s">
        <v>46</v>
      </c>
      <c r="AK471" s="79">
        <v>0</v>
      </c>
      <c r="BB471" s="562" t="s">
        <v>67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773</v>
      </c>
      <c r="B472" s="60" t="s">
        <v>774</v>
      </c>
      <c r="C472" s="34">
        <v>4301031364</v>
      </c>
      <c r="D472" s="704">
        <v>4680115883161</v>
      </c>
      <c r="E472" s="704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775</v>
      </c>
      <c r="AG472" s="75"/>
      <c r="AJ472" s="79" t="s">
        <v>46</v>
      </c>
      <c r="AK472" s="79">
        <v>0</v>
      </c>
      <c r="BB472" s="564" t="s">
        <v>67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776</v>
      </c>
      <c r="B473" s="60" t="s">
        <v>777</v>
      </c>
      <c r="C473" s="34">
        <v>4301031358</v>
      </c>
      <c r="D473" s="704">
        <v>4607091389531</v>
      </c>
      <c r="E473" s="70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82</v>
      </c>
      <c r="L473" s="35" t="s">
        <v>46</v>
      </c>
      <c r="M473" s="36" t="s">
        <v>81</v>
      </c>
      <c r="N473" s="36"/>
      <c r="O473" s="35">
        <v>50</v>
      </c>
      <c r="P473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778</v>
      </c>
      <c r="AG473" s="75"/>
      <c r="AJ473" s="79" t="s">
        <v>46</v>
      </c>
      <c r="AK473" s="79">
        <v>0</v>
      </c>
      <c r="BB473" s="566" t="s">
        <v>67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779</v>
      </c>
      <c r="B474" s="60" t="s">
        <v>780</v>
      </c>
      <c r="C474" s="34">
        <v>4301031360</v>
      </c>
      <c r="D474" s="704">
        <v>4607091384345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775</v>
      </c>
      <c r="AG474" s="75"/>
      <c r="AJ474" s="79" t="s">
        <v>46</v>
      </c>
      <c r="AK474" s="79">
        <v>0</v>
      </c>
      <c r="BB474" s="568" t="s">
        <v>67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x14ac:dyDescent="0.2">
      <c r="A475" s="712"/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3"/>
      <c r="P475" s="709" t="s">
        <v>40</v>
      </c>
      <c r="Q475" s="710"/>
      <c r="R475" s="710"/>
      <c r="S475" s="710"/>
      <c r="T475" s="710"/>
      <c r="U475" s="710"/>
      <c r="V475" s="711"/>
      <c r="W475" s="40" t="s">
        <v>39</v>
      </c>
      <c r="X475" s="41">
        <f>IFERROR(X469/H469,"0")+IFERROR(X470/H470,"0")+IFERROR(X471/H471,"0")+IFERROR(X472/H472,"0")+IFERROR(X473/H473,"0")+IFERROR(X474/H474,"0")</f>
        <v>9.2592592592592595</v>
      </c>
      <c r="Y475" s="41">
        <f>IFERROR(Y469/H469,"0")+IFERROR(Y470/H470,"0")+IFERROR(Y471/H471,"0")+IFERROR(Y472/H472,"0")+IFERROR(Y473/H473,"0")+IFERROR(Y474/H474,"0")</f>
        <v>10</v>
      </c>
      <c r="Z475" s="41">
        <f>IFERROR(IF(Z469="",0,Z469),"0")+IFERROR(IF(Z470="",0,Z470),"0")+IFERROR(IF(Z471="",0,Z471),"0")+IFERROR(IF(Z472="",0,Z472),"0")+IFERROR(IF(Z473="",0,Z473),"0")+IFERROR(IF(Z474="",0,Z474),"0")</f>
        <v>9.0200000000000002E-2</v>
      </c>
      <c r="AA475" s="64"/>
      <c r="AB475" s="64"/>
      <c r="AC475" s="64"/>
    </row>
    <row r="476" spans="1:68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0</v>
      </c>
      <c r="X476" s="41">
        <f>IFERROR(SUM(X469:X474),"0")</f>
        <v>50</v>
      </c>
      <c r="Y476" s="41">
        <f>IFERROR(SUM(Y469:Y474),"0")</f>
        <v>54</v>
      </c>
      <c r="Z476" s="40"/>
      <c r="AA476" s="64"/>
      <c r="AB476" s="64"/>
      <c r="AC476" s="64"/>
    </row>
    <row r="477" spans="1:68" ht="14.25" hidden="1" customHeight="1" x14ac:dyDescent="0.25">
      <c r="A477" s="703" t="s">
        <v>86</v>
      </c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  <c r="AA477" s="63"/>
      <c r="AB477" s="63"/>
      <c r="AC477" s="63"/>
    </row>
    <row r="478" spans="1:68" ht="27" hidden="1" customHeight="1" x14ac:dyDescent="0.25">
      <c r="A478" s="60" t="s">
        <v>781</v>
      </c>
      <c r="B478" s="60" t="s">
        <v>782</v>
      </c>
      <c r="C478" s="34">
        <v>4301051284</v>
      </c>
      <c r="D478" s="704">
        <v>4607091384352</v>
      </c>
      <c r="E478" s="704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45</v>
      </c>
      <c r="P478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06"/>
      <c r="R478" s="706"/>
      <c r="S478" s="706"/>
      <c r="T478" s="70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783</v>
      </c>
      <c r="AG478" s="75"/>
      <c r="AJ478" s="79" t="s">
        <v>46</v>
      </c>
      <c r="AK478" s="79">
        <v>0</v>
      </c>
      <c r="BB478" s="570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784</v>
      </c>
      <c r="B479" s="60" t="s">
        <v>785</v>
      </c>
      <c r="C479" s="34">
        <v>4301051431</v>
      </c>
      <c r="D479" s="704">
        <v>4607091389654</v>
      </c>
      <c r="E479" s="704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91</v>
      </c>
      <c r="L479" s="35" t="s">
        <v>46</v>
      </c>
      <c r="M479" s="36" t="s">
        <v>90</v>
      </c>
      <c r="N479" s="36"/>
      <c r="O479" s="35">
        <v>45</v>
      </c>
      <c r="P479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786</v>
      </c>
      <c r="AG479" s="75"/>
      <c r="AJ479" s="79" t="s">
        <v>46</v>
      </c>
      <c r="AK479" s="79">
        <v>0</v>
      </c>
      <c r="BB479" s="572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712"/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3"/>
      <c r="P480" s="709" t="s">
        <v>40</v>
      </c>
      <c r="Q480" s="710"/>
      <c r="R480" s="710"/>
      <c r="S480" s="710"/>
      <c r="T480" s="710"/>
      <c r="U480" s="710"/>
      <c r="V480" s="711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702" t="s">
        <v>787</v>
      </c>
      <c r="B482" s="702"/>
      <c r="C482" s="702"/>
      <c r="D482" s="702"/>
      <c r="E482" s="702"/>
      <c r="F482" s="702"/>
      <c r="G482" s="702"/>
      <c r="H482" s="702"/>
      <c r="I482" s="702"/>
      <c r="J482" s="702"/>
      <c r="K482" s="702"/>
      <c r="L482" s="702"/>
      <c r="M482" s="702"/>
      <c r="N482" s="702"/>
      <c r="O482" s="702"/>
      <c r="P482" s="702"/>
      <c r="Q482" s="702"/>
      <c r="R482" s="702"/>
      <c r="S482" s="702"/>
      <c r="T482" s="702"/>
      <c r="U482" s="702"/>
      <c r="V482" s="702"/>
      <c r="W482" s="702"/>
      <c r="X482" s="702"/>
      <c r="Y482" s="702"/>
      <c r="Z482" s="702"/>
      <c r="AA482" s="62"/>
      <c r="AB482" s="62"/>
      <c r="AC482" s="62"/>
    </row>
    <row r="483" spans="1:68" ht="14.25" hidden="1" customHeight="1" x14ac:dyDescent="0.25">
      <c r="A483" s="703" t="s">
        <v>164</v>
      </c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  <c r="AA483" s="63"/>
      <c r="AB483" s="63"/>
      <c r="AC483" s="63"/>
    </row>
    <row r="484" spans="1:68" ht="27" hidden="1" customHeight="1" x14ac:dyDescent="0.25">
      <c r="A484" s="60" t="s">
        <v>788</v>
      </c>
      <c r="B484" s="60" t="s">
        <v>789</v>
      </c>
      <c r="C484" s="34">
        <v>4301020416</v>
      </c>
      <c r="D484" s="704">
        <v>4680115885240</v>
      </c>
      <c r="E484" s="704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91</v>
      </c>
      <c r="L484" s="35" t="s">
        <v>46</v>
      </c>
      <c r="M484" s="36" t="s">
        <v>81</v>
      </c>
      <c r="N484" s="36"/>
      <c r="O484" s="35">
        <v>40</v>
      </c>
      <c r="P484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06"/>
      <c r="R484" s="706"/>
      <c r="S484" s="706"/>
      <c r="T484" s="70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790</v>
      </c>
      <c r="AG484" s="75"/>
      <c r="AJ484" s="79" t="s">
        <v>46</v>
      </c>
      <c r="AK484" s="79">
        <v>0</v>
      </c>
      <c r="BB484" s="57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712"/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3"/>
      <c r="P485" s="709" t="s">
        <v>40</v>
      </c>
      <c r="Q485" s="710"/>
      <c r="R485" s="710"/>
      <c r="S485" s="710"/>
      <c r="T485" s="710"/>
      <c r="U485" s="710"/>
      <c r="V485" s="711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703" t="s">
        <v>77</v>
      </c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  <c r="AA487" s="63"/>
      <c r="AB487" s="63"/>
      <c r="AC487" s="63"/>
    </row>
    <row r="488" spans="1:68" ht="27" customHeight="1" x14ac:dyDescent="0.25">
      <c r="A488" s="60" t="s">
        <v>791</v>
      </c>
      <c r="B488" s="60" t="s">
        <v>792</v>
      </c>
      <c r="C488" s="34">
        <v>4301031407</v>
      </c>
      <c r="D488" s="704">
        <v>4680115886094</v>
      </c>
      <c r="E488" s="704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140</v>
      </c>
      <c r="L488" s="35" t="s">
        <v>46</v>
      </c>
      <c r="M488" s="36" t="s">
        <v>81</v>
      </c>
      <c r="N488" s="36"/>
      <c r="O488" s="35">
        <v>50</v>
      </c>
      <c r="P488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06"/>
      <c r="R488" s="706"/>
      <c r="S488" s="706"/>
      <c r="T488" s="707"/>
      <c r="U488" s="37" t="s">
        <v>46</v>
      </c>
      <c r="V488" s="37" t="s">
        <v>46</v>
      </c>
      <c r="W488" s="38" t="s">
        <v>0</v>
      </c>
      <c r="X488" s="56">
        <v>50</v>
      </c>
      <c r="Y488" s="53">
        <f>IFERROR(IF(X488="",0,CEILING((X488/$H488),1)*$H488),"")</f>
        <v>54</v>
      </c>
      <c r="Z488" s="39">
        <f>IFERROR(IF(Y488=0,"",ROUNDUP(Y488/H488,0)*0.00902),"")</f>
        <v>9.0200000000000002E-2</v>
      </c>
      <c r="AA488" s="65" t="s">
        <v>46</v>
      </c>
      <c r="AB488" s="66" t="s">
        <v>46</v>
      </c>
      <c r="AC488" s="575" t="s">
        <v>793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51.759259259259252</v>
      </c>
      <c r="BN488" s="75">
        <f>IFERROR(Y488*I488/H488,"0")</f>
        <v>55.9</v>
      </c>
      <c r="BO488" s="75">
        <f>IFERROR(1/J488*(X488/H488),"0")</f>
        <v>7.0145903479236812E-2</v>
      </c>
      <c r="BP488" s="75">
        <f>IFERROR(1/J488*(Y488/H488),"0")</f>
        <v>7.575757575757576E-2</v>
      </c>
    </row>
    <row r="489" spans="1:68" ht="27" hidden="1" customHeight="1" x14ac:dyDescent="0.25">
      <c r="A489" s="60" t="s">
        <v>794</v>
      </c>
      <c r="B489" s="60" t="s">
        <v>795</v>
      </c>
      <c r="C489" s="34">
        <v>4301031373</v>
      </c>
      <c r="D489" s="704">
        <v>4680115880771</v>
      </c>
      <c r="E489" s="704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796</v>
      </c>
      <c r="AG489" s="75"/>
      <c r="AJ489" s="79" t="s">
        <v>46</v>
      </c>
      <c r="AK489" s="79">
        <v>0</v>
      </c>
      <c r="BB489" s="578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797</v>
      </c>
      <c r="B490" s="60" t="s">
        <v>798</v>
      </c>
      <c r="C490" s="34">
        <v>4301031359</v>
      </c>
      <c r="D490" s="704">
        <v>4607091389500</v>
      </c>
      <c r="E490" s="704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82</v>
      </c>
      <c r="L490" s="35" t="s">
        <v>46</v>
      </c>
      <c r="M490" s="36" t="s">
        <v>81</v>
      </c>
      <c r="N490" s="36"/>
      <c r="O490" s="35">
        <v>50</v>
      </c>
      <c r="P490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796</v>
      </c>
      <c r="AG490" s="75"/>
      <c r="AJ490" s="79" t="s">
        <v>46</v>
      </c>
      <c r="AK490" s="79">
        <v>0</v>
      </c>
      <c r="BB490" s="580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x14ac:dyDescent="0.2">
      <c r="A491" s="712"/>
      <c r="B491" s="712"/>
      <c r="C491" s="712"/>
      <c r="D491" s="712"/>
      <c r="E491" s="712"/>
      <c r="F491" s="712"/>
      <c r="G491" s="712"/>
      <c r="H491" s="712"/>
      <c r="I491" s="712"/>
      <c r="J491" s="712"/>
      <c r="K491" s="712"/>
      <c r="L491" s="712"/>
      <c r="M491" s="712"/>
      <c r="N491" s="712"/>
      <c r="O491" s="713"/>
      <c r="P491" s="709" t="s">
        <v>40</v>
      </c>
      <c r="Q491" s="710"/>
      <c r="R491" s="710"/>
      <c r="S491" s="710"/>
      <c r="T491" s="710"/>
      <c r="U491" s="710"/>
      <c r="V491" s="711"/>
      <c r="W491" s="40" t="s">
        <v>39</v>
      </c>
      <c r="X491" s="41">
        <f>IFERROR(X488/H488,"0")+IFERROR(X489/H489,"0")+IFERROR(X490/H490,"0")</f>
        <v>9.2592592592592595</v>
      </c>
      <c r="Y491" s="41">
        <f>IFERROR(Y488/H488,"0")+IFERROR(Y489/H489,"0")+IFERROR(Y490/H490,"0")</f>
        <v>10</v>
      </c>
      <c r="Z491" s="41">
        <f>IFERROR(IF(Z488="",0,Z488),"0")+IFERROR(IF(Z489="",0,Z489),"0")+IFERROR(IF(Z490="",0,Z490),"0")</f>
        <v>9.0200000000000002E-2</v>
      </c>
      <c r="AA491" s="64"/>
      <c r="AB491" s="64"/>
      <c r="AC491" s="64"/>
    </row>
    <row r="492" spans="1:68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0</v>
      </c>
      <c r="X492" s="41">
        <f>IFERROR(SUM(X488:X490),"0")</f>
        <v>50</v>
      </c>
      <c r="Y492" s="41">
        <f>IFERROR(SUM(Y488:Y490),"0")</f>
        <v>54</v>
      </c>
      <c r="Z492" s="40"/>
      <c r="AA492" s="64"/>
      <c r="AB492" s="64"/>
      <c r="AC492" s="64"/>
    </row>
    <row r="493" spans="1:68" ht="27.75" hidden="1" customHeight="1" x14ac:dyDescent="0.2">
      <c r="A493" s="701" t="s">
        <v>799</v>
      </c>
      <c r="B493" s="701"/>
      <c r="C493" s="701"/>
      <c r="D493" s="701"/>
      <c r="E493" s="701"/>
      <c r="F493" s="701"/>
      <c r="G493" s="701"/>
      <c r="H493" s="701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  <c r="AA493" s="52"/>
      <c r="AB493" s="52"/>
      <c r="AC493" s="52"/>
    </row>
    <row r="494" spans="1:68" ht="16.5" hidden="1" customHeight="1" x14ac:dyDescent="0.25">
      <c r="A494" s="702" t="s">
        <v>799</v>
      </c>
      <c r="B494" s="702"/>
      <c r="C494" s="702"/>
      <c r="D494" s="702"/>
      <c r="E494" s="702"/>
      <c r="F494" s="702"/>
      <c r="G494" s="702"/>
      <c r="H494" s="702"/>
      <c r="I494" s="702"/>
      <c r="J494" s="702"/>
      <c r="K494" s="702"/>
      <c r="L494" s="702"/>
      <c r="M494" s="702"/>
      <c r="N494" s="702"/>
      <c r="O494" s="702"/>
      <c r="P494" s="702"/>
      <c r="Q494" s="702"/>
      <c r="R494" s="702"/>
      <c r="S494" s="702"/>
      <c r="T494" s="702"/>
      <c r="U494" s="702"/>
      <c r="V494" s="702"/>
      <c r="W494" s="702"/>
      <c r="X494" s="702"/>
      <c r="Y494" s="702"/>
      <c r="Z494" s="702"/>
      <c r="AA494" s="62"/>
      <c r="AB494" s="62"/>
      <c r="AC494" s="62"/>
    </row>
    <row r="495" spans="1:68" ht="14.25" hidden="1" customHeight="1" x14ac:dyDescent="0.25">
      <c r="A495" s="703" t="s">
        <v>128</v>
      </c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  <c r="AA495" s="63"/>
      <c r="AB495" s="63"/>
      <c r="AC495" s="63"/>
    </row>
    <row r="496" spans="1:68" ht="27" customHeight="1" x14ac:dyDescent="0.25">
      <c r="A496" s="60" t="s">
        <v>800</v>
      </c>
      <c r="B496" s="60" t="s">
        <v>801</v>
      </c>
      <c r="C496" s="34">
        <v>4301011769</v>
      </c>
      <c r="D496" s="704">
        <v>4607091389067</v>
      </c>
      <c r="E496" s="70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133</v>
      </c>
      <c r="L496" s="35" t="s">
        <v>46</v>
      </c>
      <c r="M496" s="36" t="s">
        <v>90</v>
      </c>
      <c r="N496" s="36"/>
      <c r="O496" s="35">
        <v>60</v>
      </c>
      <c r="P496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06"/>
      <c r="R496" s="706"/>
      <c r="S496" s="706"/>
      <c r="T496" s="707"/>
      <c r="U496" s="37" t="s">
        <v>46</v>
      </c>
      <c r="V496" s="37" t="s">
        <v>46</v>
      </c>
      <c r="W496" s="38" t="s">
        <v>0</v>
      </c>
      <c r="X496" s="56">
        <v>400</v>
      </c>
      <c r="Y496" s="53">
        <f t="shared" ref="Y496:Y504" si="62">IFERROR(IF(X496="",0,CEILING((X496/$H496),1)*$H496),"")</f>
        <v>401.28000000000003</v>
      </c>
      <c r="Z496" s="39">
        <f t="shared" ref="Z496:Z501" si="63">IFERROR(IF(Y496=0,"",ROUNDUP(Y496/H496,0)*0.01196),"")</f>
        <v>0.90895999999999999</v>
      </c>
      <c r="AA496" s="65" t="s">
        <v>46</v>
      </c>
      <c r="AB496" s="66" t="s">
        <v>46</v>
      </c>
      <c r="AC496" s="581" t="s">
        <v>131</v>
      </c>
      <c r="AG496" s="75"/>
      <c r="AJ496" s="79" t="s">
        <v>46</v>
      </c>
      <c r="AK496" s="79">
        <v>0</v>
      </c>
      <c r="BB496" s="582" t="s">
        <v>67</v>
      </c>
      <c r="BM496" s="75">
        <f t="shared" ref="BM496:BM504" si="64">IFERROR(X496*I496/H496,"0")</f>
        <v>426.5151515151515</v>
      </c>
      <c r="BN496" s="75">
        <f t="shared" ref="BN496:BN504" si="65">IFERROR(Y496*I496/H496,"0")</f>
        <v>427.88</v>
      </c>
      <c r="BO496" s="75">
        <f t="shared" ref="BO496:BO504" si="66">IFERROR(1/J496*(X496/H496),"0")</f>
        <v>0.72843822843822836</v>
      </c>
      <c r="BP496" s="75">
        <f t="shared" ref="BP496:BP504" si="67">IFERROR(1/J496*(Y496/H496),"0")</f>
        <v>0.73076923076923084</v>
      </c>
    </row>
    <row r="497" spans="1:68" ht="16.5" hidden="1" customHeight="1" x14ac:dyDescent="0.25">
      <c r="A497" s="60" t="s">
        <v>802</v>
      </c>
      <c r="B497" s="60" t="s">
        <v>803</v>
      </c>
      <c r="C497" s="34">
        <v>4301012380</v>
      </c>
      <c r="D497" s="704">
        <v>4680115889576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133</v>
      </c>
      <c r="L497" s="35" t="s">
        <v>46</v>
      </c>
      <c r="M497" s="36" t="s">
        <v>132</v>
      </c>
      <c r="N497" s="36"/>
      <c r="O497" s="35">
        <v>60</v>
      </c>
      <c r="P497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804</v>
      </c>
      <c r="AG497" s="75"/>
      <c r="AJ497" s="79" t="s">
        <v>46</v>
      </c>
      <c r="AK497" s="79">
        <v>0</v>
      </c>
      <c r="BB497" s="584" t="s">
        <v>67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805</v>
      </c>
      <c r="B498" s="60" t="s">
        <v>806</v>
      </c>
      <c r="C498" s="34">
        <v>4301011961</v>
      </c>
      <c r="D498" s="704">
        <v>4680115885271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132</v>
      </c>
      <c r="N498" s="36"/>
      <c r="O498" s="35">
        <v>60</v>
      </c>
      <c r="P498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807</v>
      </c>
      <c r="AG498" s="75"/>
      <c r="AJ498" s="79" t="s">
        <v>46</v>
      </c>
      <c r="AK498" s="79">
        <v>0</v>
      </c>
      <c r="BB498" s="586" t="s">
        <v>67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customHeight="1" x14ac:dyDescent="0.25">
      <c r="A499" s="60" t="s">
        <v>808</v>
      </c>
      <c r="B499" s="60" t="s">
        <v>809</v>
      </c>
      <c r="C499" s="34">
        <v>4301011369</v>
      </c>
      <c r="D499" s="704">
        <v>4680115885226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133</v>
      </c>
      <c r="L499" s="35" t="s">
        <v>46</v>
      </c>
      <c r="M499" s="36" t="s">
        <v>132</v>
      </c>
      <c r="N499" s="36"/>
      <c r="O499" s="35">
        <v>60</v>
      </c>
      <c r="P499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1200</v>
      </c>
      <c r="Y499" s="53">
        <f t="shared" si="62"/>
        <v>1203.8400000000001</v>
      </c>
      <c r="Z499" s="39">
        <f t="shared" si="63"/>
        <v>2.72688</v>
      </c>
      <c r="AA499" s="65" t="s">
        <v>46</v>
      </c>
      <c r="AB499" s="66" t="s">
        <v>46</v>
      </c>
      <c r="AC499" s="587" t="s">
        <v>810</v>
      </c>
      <c r="AG499" s="75"/>
      <c r="AJ499" s="79" t="s">
        <v>46</v>
      </c>
      <c r="AK499" s="79">
        <v>0</v>
      </c>
      <c r="BB499" s="588" t="s">
        <v>67</v>
      </c>
      <c r="BM499" s="75">
        <f t="shared" si="64"/>
        <v>1279.5454545454545</v>
      </c>
      <c r="BN499" s="75">
        <f t="shared" si="65"/>
        <v>1283.6400000000001</v>
      </c>
      <c r="BO499" s="75">
        <f t="shared" si="66"/>
        <v>2.1853146853146854</v>
      </c>
      <c r="BP499" s="75">
        <f t="shared" si="67"/>
        <v>2.1923076923076925</v>
      </c>
    </row>
    <row r="500" spans="1:68" ht="16.5" hidden="1" customHeight="1" x14ac:dyDescent="0.25">
      <c r="A500" s="60" t="s">
        <v>811</v>
      </c>
      <c r="B500" s="60" t="s">
        <v>812</v>
      </c>
      <c r="C500" s="34">
        <v>4301011797</v>
      </c>
      <c r="D500" s="704">
        <v>4680115884502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133</v>
      </c>
      <c r="L500" s="35" t="s">
        <v>46</v>
      </c>
      <c r="M500" s="36" t="s">
        <v>90</v>
      </c>
      <c r="N500" s="36"/>
      <c r="O500" s="35">
        <v>60</v>
      </c>
      <c r="P500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813</v>
      </c>
      <c r="AG500" s="75"/>
      <c r="AJ500" s="79" t="s">
        <v>46</v>
      </c>
      <c r="AK500" s="79">
        <v>0</v>
      </c>
      <c r="BB500" s="590" t="s">
        <v>67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814</v>
      </c>
      <c r="B501" s="60" t="s">
        <v>815</v>
      </c>
      <c r="C501" s="34">
        <v>4301011771</v>
      </c>
      <c r="D501" s="704">
        <v>4607091389104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133</v>
      </c>
      <c r="L501" s="35" t="s">
        <v>46</v>
      </c>
      <c r="M501" s="36" t="s">
        <v>132</v>
      </c>
      <c r="N501" s="36"/>
      <c r="O501" s="35">
        <v>60</v>
      </c>
      <c r="P501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816</v>
      </c>
      <c r="AG501" s="75"/>
      <c r="AJ501" s="79" t="s">
        <v>46</v>
      </c>
      <c r="AK501" s="79">
        <v>0</v>
      </c>
      <c r="BB501" s="592" t="s">
        <v>67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817</v>
      </c>
      <c r="B502" s="60" t="s">
        <v>818</v>
      </c>
      <c r="C502" s="34">
        <v>4301012125</v>
      </c>
      <c r="D502" s="704">
        <v>4680115886391</v>
      </c>
      <c r="E502" s="704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91</v>
      </c>
      <c r="L502" s="35" t="s">
        <v>46</v>
      </c>
      <c r="M502" s="36" t="s">
        <v>90</v>
      </c>
      <c r="N502" s="36"/>
      <c r="O502" s="35">
        <v>60</v>
      </c>
      <c r="P502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131</v>
      </c>
      <c r="AG502" s="75"/>
      <c r="AJ502" s="79" t="s">
        <v>46</v>
      </c>
      <c r="AK502" s="79">
        <v>0</v>
      </c>
      <c r="BB502" s="594" t="s">
        <v>67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819</v>
      </c>
      <c r="B503" s="60" t="s">
        <v>820</v>
      </c>
      <c r="C503" s="34">
        <v>4301012048</v>
      </c>
      <c r="D503" s="704">
        <v>4680115880603</v>
      </c>
      <c r="E503" s="70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140</v>
      </c>
      <c r="L503" s="35" t="s">
        <v>46</v>
      </c>
      <c r="M503" s="36" t="s">
        <v>90</v>
      </c>
      <c r="N503" s="36"/>
      <c r="O503" s="35">
        <v>60</v>
      </c>
      <c r="P503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131</v>
      </c>
      <c r="AG503" s="75"/>
      <c r="AJ503" s="79" t="s">
        <v>46</v>
      </c>
      <c r="AK503" s="79">
        <v>0</v>
      </c>
      <c r="BB503" s="596" t="s">
        <v>67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821</v>
      </c>
      <c r="B504" s="60" t="s">
        <v>822</v>
      </c>
      <c r="C504" s="34">
        <v>4301012034</v>
      </c>
      <c r="D504" s="704">
        <v>4607091389982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140</v>
      </c>
      <c r="L504" s="35" t="s">
        <v>46</v>
      </c>
      <c r="M504" s="36" t="s">
        <v>132</v>
      </c>
      <c r="N504" s="36"/>
      <c r="O504" s="35">
        <v>60</v>
      </c>
      <c r="P504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816</v>
      </c>
      <c r="AG504" s="75"/>
      <c r="AJ504" s="79" t="s">
        <v>46</v>
      </c>
      <c r="AK504" s="79">
        <v>0</v>
      </c>
      <c r="BB504" s="598" t="s">
        <v>67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x14ac:dyDescent="0.2">
      <c r="A505" s="712"/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3"/>
      <c r="P505" s="709" t="s">
        <v>40</v>
      </c>
      <c r="Q505" s="710"/>
      <c r="R505" s="710"/>
      <c r="S505" s="710"/>
      <c r="T505" s="710"/>
      <c r="U505" s="710"/>
      <c r="V505" s="711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303.030303030303</v>
      </c>
      <c r="Y505" s="41">
        <f>IFERROR(Y496/H496,"0")+IFERROR(Y497/H497,"0")+IFERROR(Y498/H498,"0")+IFERROR(Y499/H499,"0")+IFERROR(Y500/H500,"0")+IFERROR(Y501/H501,"0")+IFERROR(Y502/H502,"0")+IFERROR(Y503/H503,"0")+IFERROR(Y504/H504,"0")</f>
        <v>304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3.63584</v>
      </c>
      <c r="AA505" s="64"/>
      <c r="AB505" s="64"/>
      <c r="AC505" s="64"/>
    </row>
    <row r="506" spans="1:68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0</v>
      </c>
      <c r="X506" s="41">
        <f>IFERROR(SUM(X496:X504),"0")</f>
        <v>1600</v>
      </c>
      <c r="Y506" s="41">
        <f>IFERROR(SUM(Y496:Y504),"0")</f>
        <v>1605.1200000000001</v>
      </c>
      <c r="Z506" s="40"/>
      <c r="AA506" s="64"/>
      <c r="AB506" s="64"/>
      <c r="AC506" s="64"/>
    </row>
    <row r="507" spans="1:68" ht="14.25" hidden="1" customHeight="1" x14ac:dyDescent="0.25">
      <c r="A507" s="703" t="s">
        <v>164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  <c r="AA507" s="63"/>
      <c r="AB507" s="63"/>
      <c r="AC507" s="63"/>
    </row>
    <row r="508" spans="1:68" ht="16.5" customHeight="1" x14ac:dyDescent="0.25">
      <c r="A508" s="60" t="s">
        <v>823</v>
      </c>
      <c r="B508" s="60" t="s">
        <v>824</v>
      </c>
      <c r="C508" s="34">
        <v>4301020334</v>
      </c>
      <c r="D508" s="704">
        <v>4607091388930</v>
      </c>
      <c r="E508" s="704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133</v>
      </c>
      <c r="L508" s="35" t="s">
        <v>46</v>
      </c>
      <c r="M508" s="36" t="s">
        <v>90</v>
      </c>
      <c r="N508" s="36"/>
      <c r="O508" s="35">
        <v>70</v>
      </c>
      <c r="P508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06"/>
      <c r="R508" s="706"/>
      <c r="S508" s="706"/>
      <c r="T508" s="707"/>
      <c r="U508" s="37" t="s">
        <v>46</v>
      </c>
      <c r="V508" s="37" t="s">
        <v>46</v>
      </c>
      <c r="W508" s="38" t="s">
        <v>0</v>
      </c>
      <c r="X508" s="56">
        <v>1700</v>
      </c>
      <c r="Y508" s="53">
        <f>IFERROR(IF(X508="",0,CEILING((X508/$H508),1)*$H508),"")</f>
        <v>1700.16</v>
      </c>
      <c r="Z508" s="39">
        <f>IFERROR(IF(Y508=0,"",ROUNDUP(Y508/H508,0)*0.01196),"")</f>
        <v>3.8511199999999999</v>
      </c>
      <c r="AA508" s="65" t="s">
        <v>46</v>
      </c>
      <c r="AB508" s="66" t="s">
        <v>46</v>
      </c>
      <c r="AC508" s="599" t="s">
        <v>825</v>
      </c>
      <c r="AG508" s="75"/>
      <c r="AJ508" s="79" t="s">
        <v>46</v>
      </c>
      <c r="AK508" s="79">
        <v>0</v>
      </c>
      <c r="BB508" s="600" t="s">
        <v>67</v>
      </c>
      <c r="BM508" s="75">
        <f>IFERROR(X508*I508/H508,"0")</f>
        <v>1812.6893939393938</v>
      </c>
      <c r="BN508" s="75">
        <f>IFERROR(Y508*I508/H508,"0")</f>
        <v>1812.86</v>
      </c>
      <c r="BO508" s="75">
        <f>IFERROR(1/J508*(X508/H508),"0")</f>
        <v>3.0958624708624707</v>
      </c>
      <c r="BP508" s="75">
        <f>IFERROR(1/J508*(Y508/H508),"0")</f>
        <v>3.0961538461538463</v>
      </c>
    </row>
    <row r="509" spans="1:68" ht="16.5" hidden="1" customHeight="1" x14ac:dyDescent="0.25">
      <c r="A509" s="60" t="s">
        <v>826</v>
      </c>
      <c r="B509" s="60" t="s">
        <v>827</v>
      </c>
      <c r="C509" s="34">
        <v>4301020374</v>
      </c>
      <c r="D509" s="704">
        <v>4680115886407</v>
      </c>
      <c r="E509" s="704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91</v>
      </c>
      <c r="L509" s="35" t="s">
        <v>46</v>
      </c>
      <c r="M509" s="36" t="s">
        <v>132</v>
      </c>
      <c r="N509" s="36"/>
      <c r="O509" s="35">
        <v>70</v>
      </c>
      <c r="P509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825</v>
      </c>
      <c r="AG509" s="75"/>
      <c r="AJ509" s="79" t="s">
        <v>46</v>
      </c>
      <c r="AK509" s="79">
        <v>0</v>
      </c>
      <c r="BB509" s="602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828</v>
      </c>
      <c r="B510" s="60" t="s">
        <v>829</v>
      </c>
      <c r="C510" s="34">
        <v>4301020385</v>
      </c>
      <c r="D510" s="704">
        <v>4680115880054</v>
      </c>
      <c r="E510" s="704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140</v>
      </c>
      <c r="L510" s="35" t="s">
        <v>46</v>
      </c>
      <c r="M510" s="36" t="s">
        <v>132</v>
      </c>
      <c r="N510" s="36"/>
      <c r="O510" s="35">
        <v>70</v>
      </c>
      <c r="P510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825</v>
      </c>
      <c r="AG510" s="75"/>
      <c r="AJ510" s="79" t="s">
        <v>46</v>
      </c>
      <c r="AK510" s="79">
        <v>0</v>
      </c>
      <c r="BB510" s="604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x14ac:dyDescent="0.2">
      <c r="A511" s="712"/>
      <c r="B511" s="712"/>
      <c r="C511" s="712"/>
      <c r="D511" s="712"/>
      <c r="E511" s="712"/>
      <c r="F511" s="712"/>
      <c r="G511" s="712"/>
      <c r="H511" s="712"/>
      <c r="I511" s="712"/>
      <c r="J511" s="712"/>
      <c r="K511" s="712"/>
      <c r="L511" s="712"/>
      <c r="M511" s="712"/>
      <c r="N511" s="712"/>
      <c r="O511" s="713"/>
      <c r="P511" s="709" t="s">
        <v>40</v>
      </c>
      <c r="Q511" s="710"/>
      <c r="R511" s="710"/>
      <c r="S511" s="710"/>
      <c r="T511" s="710"/>
      <c r="U511" s="710"/>
      <c r="V511" s="711"/>
      <c r="W511" s="40" t="s">
        <v>39</v>
      </c>
      <c r="X511" s="41">
        <f>IFERROR(X508/H508,"0")+IFERROR(X509/H509,"0")+IFERROR(X510/H510,"0")</f>
        <v>321.96969696969694</v>
      </c>
      <c r="Y511" s="41">
        <f>IFERROR(Y508/H508,"0")+IFERROR(Y509/H509,"0")+IFERROR(Y510/H510,"0")</f>
        <v>322</v>
      </c>
      <c r="Z511" s="41">
        <f>IFERROR(IF(Z508="",0,Z508),"0")+IFERROR(IF(Z509="",0,Z509),"0")+IFERROR(IF(Z510="",0,Z510),"0")</f>
        <v>3.8511199999999999</v>
      </c>
      <c r="AA511" s="64"/>
      <c r="AB511" s="64"/>
      <c r="AC511" s="64"/>
    </row>
    <row r="512" spans="1:68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0</v>
      </c>
      <c r="X512" s="41">
        <f>IFERROR(SUM(X508:X510),"0")</f>
        <v>1700</v>
      </c>
      <c r="Y512" s="41">
        <f>IFERROR(SUM(Y508:Y510),"0")</f>
        <v>1700.16</v>
      </c>
      <c r="Z512" s="40"/>
      <c r="AA512" s="64"/>
      <c r="AB512" s="64"/>
      <c r="AC512" s="64"/>
    </row>
    <row r="513" spans="1:68" ht="14.25" hidden="1" customHeight="1" x14ac:dyDescent="0.25">
      <c r="A513" s="703" t="s">
        <v>77</v>
      </c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  <c r="AA513" s="63"/>
      <c r="AB513" s="63"/>
      <c r="AC513" s="63"/>
    </row>
    <row r="514" spans="1:68" ht="27" customHeight="1" x14ac:dyDescent="0.25">
      <c r="A514" s="60" t="s">
        <v>830</v>
      </c>
      <c r="B514" s="60" t="s">
        <v>831</v>
      </c>
      <c r="C514" s="34">
        <v>4301031349</v>
      </c>
      <c r="D514" s="704">
        <v>4680115883116</v>
      </c>
      <c r="E514" s="70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133</v>
      </c>
      <c r="L514" s="35" t="s">
        <v>46</v>
      </c>
      <c r="M514" s="36" t="s">
        <v>132</v>
      </c>
      <c r="N514" s="36"/>
      <c r="O514" s="35">
        <v>70</v>
      </c>
      <c r="P514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06"/>
      <c r="R514" s="706"/>
      <c r="S514" s="706"/>
      <c r="T514" s="707"/>
      <c r="U514" s="37" t="s">
        <v>46</v>
      </c>
      <c r="V514" s="37" t="s">
        <v>46</v>
      </c>
      <c r="W514" s="38" t="s">
        <v>0</v>
      </c>
      <c r="X514" s="56">
        <v>400</v>
      </c>
      <c r="Y514" s="53">
        <f t="shared" ref="Y514:Y520" si="68">IFERROR(IF(X514="",0,CEILING((X514/$H514),1)*$H514),"")</f>
        <v>401.28000000000003</v>
      </c>
      <c r="Z514" s="39">
        <f>IFERROR(IF(Y514=0,"",ROUNDUP(Y514/H514,0)*0.01196),"")</f>
        <v>0.90895999999999999</v>
      </c>
      <c r="AA514" s="65" t="s">
        <v>46</v>
      </c>
      <c r="AB514" s="66" t="s">
        <v>46</v>
      </c>
      <c r="AC514" s="605" t="s">
        <v>832</v>
      </c>
      <c r="AG514" s="75"/>
      <c r="AJ514" s="79" t="s">
        <v>46</v>
      </c>
      <c r="AK514" s="79">
        <v>0</v>
      </c>
      <c r="BB514" s="606" t="s">
        <v>67</v>
      </c>
      <c r="BM514" s="75">
        <f t="shared" ref="BM514:BM520" si="69">IFERROR(X514*I514/H514,"0")</f>
        <v>426.5151515151515</v>
      </c>
      <c r="BN514" s="75">
        <f t="shared" ref="BN514:BN520" si="70">IFERROR(Y514*I514/H514,"0")</f>
        <v>427.88</v>
      </c>
      <c r="BO514" s="75">
        <f t="shared" ref="BO514:BO520" si="71">IFERROR(1/J514*(X514/H514),"0")</f>
        <v>0.72843822843822836</v>
      </c>
      <c r="BP514" s="75">
        <f t="shared" ref="BP514:BP520" si="72">IFERROR(1/J514*(Y514/H514),"0")</f>
        <v>0.73076923076923084</v>
      </c>
    </row>
    <row r="515" spans="1:68" ht="27" customHeight="1" x14ac:dyDescent="0.25">
      <c r="A515" s="60" t="s">
        <v>833</v>
      </c>
      <c r="B515" s="60" t="s">
        <v>834</v>
      </c>
      <c r="C515" s="34">
        <v>4301031350</v>
      </c>
      <c r="D515" s="704">
        <v>4680115883093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133</v>
      </c>
      <c r="L515" s="35" t="s">
        <v>46</v>
      </c>
      <c r="M515" s="36" t="s">
        <v>81</v>
      </c>
      <c r="N515" s="36"/>
      <c r="O515" s="35">
        <v>70</v>
      </c>
      <c r="P515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600</v>
      </c>
      <c r="Y515" s="53">
        <f t="shared" si="68"/>
        <v>601.92000000000007</v>
      </c>
      <c r="Z515" s="39">
        <f>IFERROR(IF(Y515=0,"",ROUNDUP(Y515/H515,0)*0.01196),"")</f>
        <v>1.36344</v>
      </c>
      <c r="AA515" s="65" t="s">
        <v>46</v>
      </c>
      <c r="AB515" s="66" t="s">
        <v>46</v>
      </c>
      <c r="AC515" s="607" t="s">
        <v>835</v>
      </c>
      <c r="AG515" s="75"/>
      <c r="AJ515" s="79" t="s">
        <v>46</v>
      </c>
      <c r="AK515" s="79">
        <v>0</v>
      </c>
      <c r="BB515" s="608" t="s">
        <v>67</v>
      </c>
      <c r="BM515" s="75">
        <f t="shared" si="69"/>
        <v>639.77272727272725</v>
      </c>
      <c r="BN515" s="75">
        <f t="shared" si="70"/>
        <v>641.82000000000005</v>
      </c>
      <c r="BO515" s="75">
        <f t="shared" si="71"/>
        <v>1.0926573426573427</v>
      </c>
      <c r="BP515" s="75">
        <f t="shared" si="72"/>
        <v>1.0961538461538463</v>
      </c>
    </row>
    <row r="516" spans="1:68" ht="27" hidden="1" customHeight="1" x14ac:dyDescent="0.25">
      <c r="A516" s="60" t="s">
        <v>836</v>
      </c>
      <c r="B516" s="60" t="s">
        <v>837</v>
      </c>
      <c r="C516" s="34">
        <v>4301031353</v>
      </c>
      <c r="D516" s="704">
        <v>4680115883109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133</v>
      </c>
      <c r="L516" s="35" t="s">
        <v>46</v>
      </c>
      <c r="M516" s="36" t="s">
        <v>81</v>
      </c>
      <c r="N516" s="36"/>
      <c r="O516" s="35">
        <v>70</v>
      </c>
      <c r="P516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838</v>
      </c>
      <c r="AG516" s="75"/>
      <c r="AJ516" s="79" t="s">
        <v>46</v>
      </c>
      <c r="AK516" s="79">
        <v>0</v>
      </c>
      <c r="BB516" s="610" t="s">
        <v>67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839</v>
      </c>
      <c r="B517" s="60" t="s">
        <v>840</v>
      </c>
      <c r="C517" s="34">
        <v>4301031419</v>
      </c>
      <c r="D517" s="704">
        <v>4680115882072</v>
      </c>
      <c r="E517" s="704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140</v>
      </c>
      <c r="L517" s="35" t="s">
        <v>46</v>
      </c>
      <c r="M517" s="36" t="s">
        <v>132</v>
      </c>
      <c r="N517" s="36"/>
      <c r="O517" s="35">
        <v>70</v>
      </c>
      <c r="P517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832</v>
      </c>
      <c r="AG517" s="75"/>
      <c r="AJ517" s="79" t="s">
        <v>46</v>
      </c>
      <c r="AK517" s="79">
        <v>0</v>
      </c>
      <c r="BB517" s="612" t="s">
        <v>67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841</v>
      </c>
      <c r="B518" s="60" t="s">
        <v>842</v>
      </c>
      <c r="C518" s="34">
        <v>4301031352</v>
      </c>
      <c r="D518" s="704">
        <v>4680115882102</v>
      </c>
      <c r="E518" s="704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140</v>
      </c>
      <c r="L518" s="35" t="s">
        <v>46</v>
      </c>
      <c r="M518" s="36" t="s">
        <v>81</v>
      </c>
      <c r="N518" s="36"/>
      <c r="O518" s="35">
        <v>70</v>
      </c>
      <c r="P518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835</v>
      </c>
      <c r="AG518" s="75"/>
      <c r="AJ518" s="79" t="s">
        <v>46</v>
      </c>
      <c r="AK518" s="79">
        <v>0</v>
      </c>
      <c r="BB518" s="614" t="s">
        <v>67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841</v>
      </c>
      <c r="B519" s="60" t="s">
        <v>843</v>
      </c>
      <c r="C519" s="34">
        <v>4301031418</v>
      </c>
      <c r="D519" s="704">
        <v>4680115882102</v>
      </c>
      <c r="E519" s="70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140</v>
      </c>
      <c r="L519" s="35" t="s">
        <v>46</v>
      </c>
      <c r="M519" s="36" t="s">
        <v>81</v>
      </c>
      <c r="N519" s="36"/>
      <c r="O519" s="35">
        <v>70</v>
      </c>
      <c r="P519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835</v>
      </c>
      <c r="AG519" s="75"/>
      <c r="AJ519" s="79" t="s">
        <v>46</v>
      </c>
      <c r="AK519" s="79">
        <v>0</v>
      </c>
      <c r="BB519" s="616" t="s">
        <v>67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844</v>
      </c>
      <c r="B520" s="60" t="s">
        <v>845</v>
      </c>
      <c r="C520" s="34">
        <v>4301031417</v>
      </c>
      <c r="D520" s="704">
        <v>4680115882096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140</v>
      </c>
      <c r="L520" s="35" t="s">
        <v>46</v>
      </c>
      <c r="M520" s="36" t="s">
        <v>81</v>
      </c>
      <c r="N520" s="36"/>
      <c r="O520" s="35">
        <v>70</v>
      </c>
      <c r="P520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838</v>
      </c>
      <c r="AG520" s="75"/>
      <c r="AJ520" s="79" t="s">
        <v>46</v>
      </c>
      <c r="AK520" s="79">
        <v>0</v>
      </c>
      <c r="BB520" s="618" t="s">
        <v>67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x14ac:dyDescent="0.2">
      <c r="A521" s="712"/>
      <c r="B521" s="712"/>
      <c r="C521" s="712"/>
      <c r="D521" s="712"/>
      <c r="E521" s="712"/>
      <c r="F521" s="712"/>
      <c r="G521" s="712"/>
      <c r="H521" s="712"/>
      <c r="I521" s="712"/>
      <c r="J521" s="712"/>
      <c r="K521" s="712"/>
      <c r="L521" s="712"/>
      <c r="M521" s="712"/>
      <c r="N521" s="712"/>
      <c r="O521" s="713"/>
      <c r="P521" s="709" t="s">
        <v>40</v>
      </c>
      <c r="Q521" s="710"/>
      <c r="R521" s="710"/>
      <c r="S521" s="710"/>
      <c r="T521" s="710"/>
      <c r="U521" s="710"/>
      <c r="V521" s="711"/>
      <c r="W521" s="40" t="s">
        <v>39</v>
      </c>
      <c r="X521" s="41">
        <f>IFERROR(X514/H514,"0")+IFERROR(X515/H515,"0")+IFERROR(X516/H516,"0")+IFERROR(X517/H517,"0")+IFERROR(X518/H518,"0")+IFERROR(X519/H519,"0")+IFERROR(X520/H520,"0")</f>
        <v>189.39393939393938</v>
      </c>
      <c r="Y521" s="41">
        <f>IFERROR(Y514/H514,"0")+IFERROR(Y515/H515,"0")+IFERROR(Y516/H516,"0")+IFERROR(Y517/H517,"0")+IFERROR(Y518/H518,"0")+IFERROR(Y519/H519,"0")+IFERROR(Y520/H520,"0")</f>
        <v>190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2.2724000000000002</v>
      </c>
      <c r="AA521" s="64"/>
      <c r="AB521" s="64"/>
      <c r="AC521" s="64"/>
    </row>
    <row r="522" spans="1:68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0</v>
      </c>
      <c r="X522" s="41">
        <f>IFERROR(SUM(X514:X520),"0")</f>
        <v>1000</v>
      </c>
      <c r="Y522" s="41">
        <f>IFERROR(SUM(Y514:Y520),"0")</f>
        <v>1003.2</v>
      </c>
      <c r="Z522" s="40"/>
      <c r="AA522" s="64"/>
      <c r="AB522" s="64"/>
      <c r="AC522" s="64"/>
    </row>
    <row r="523" spans="1:68" ht="27.75" hidden="1" customHeight="1" x14ac:dyDescent="0.2">
      <c r="A523" s="701" t="s">
        <v>846</v>
      </c>
      <c r="B523" s="701"/>
      <c r="C523" s="701"/>
      <c r="D523" s="701"/>
      <c r="E523" s="701"/>
      <c r="F523" s="701"/>
      <c r="G523" s="701"/>
      <c r="H523" s="701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  <c r="AA523" s="52"/>
      <c r="AB523" s="52"/>
      <c r="AC523" s="52"/>
    </row>
    <row r="524" spans="1:68" ht="16.5" hidden="1" customHeight="1" x14ac:dyDescent="0.25">
      <c r="A524" s="702" t="s">
        <v>846</v>
      </c>
      <c r="B524" s="702"/>
      <c r="C524" s="702"/>
      <c r="D524" s="702"/>
      <c r="E524" s="702"/>
      <c r="F524" s="702"/>
      <c r="G524" s="702"/>
      <c r="H524" s="702"/>
      <c r="I524" s="702"/>
      <c r="J524" s="702"/>
      <c r="K524" s="702"/>
      <c r="L524" s="702"/>
      <c r="M524" s="702"/>
      <c r="N524" s="702"/>
      <c r="O524" s="702"/>
      <c r="P524" s="702"/>
      <c r="Q524" s="702"/>
      <c r="R524" s="702"/>
      <c r="S524" s="702"/>
      <c r="T524" s="702"/>
      <c r="U524" s="702"/>
      <c r="V524" s="702"/>
      <c r="W524" s="702"/>
      <c r="X524" s="702"/>
      <c r="Y524" s="702"/>
      <c r="Z524" s="702"/>
      <c r="AA524" s="62"/>
      <c r="AB524" s="62"/>
      <c r="AC524" s="62"/>
    </row>
    <row r="525" spans="1:68" ht="14.25" hidden="1" customHeight="1" x14ac:dyDescent="0.25">
      <c r="A525" s="703" t="s">
        <v>128</v>
      </c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  <c r="AA525" s="63"/>
      <c r="AB525" s="63"/>
      <c r="AC525" s="63"/>
    </row>
    <row r="526" spans="1:68" ht="27" customHeight="1" x14ac:dyDescent="0.25">
      <c r="A526" s="60" t="s">
        <v>847</v>
      </c>
      <c r="B526" s="60" t="s">
        <v>848</v>
      </c>
      <c r="C526" s="34">
        <v>4301011584</v>
      </c>
      <c r="D526" s="704">
        <v>4640242180564</v>
      </c>
      <c r="E526" s="704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133</v>
      </c>
      <c r="L526" s="35" t="s">
        <v>46</v>
      </c>
      <c r="M526" s="36" t="s">
        <v>132</v>
      </c>
      <c r="N526" s="36"/>
      <c r="O526" s="35">
        <v>50</v>
      </c>
      <c r="P526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06"/>
      <c r="R526" s="706"/>
      <c r="S526" s="706"/>
      <c r="T526" s="707"/>
      <c r="U526" s="37" t="s">
        <v>46</v>
      </c>
      <c r="V526" s="37" t="s">
        <v>46</v>
      </c>
      <c r="W526" s="38" t="s">
        <v>0</v>
      </c>
      <c r="X526" s="56">
        <v>150</v>
      </c>
      <c r="Y526" s="53">
        <f>IFERROR(IF(X526="",0,CEILING((X526/$H526),1)*$H526),"")</f>
        <v>156</v>
      </c>
      <c r="Z526" s="39">
        <f>IFERROR(IF(Y526=0,"",ROUNDUP(Y526/H526,0)*0.01898),"")</f>
        <v>0.24674000000000001</v>
      </c>
      <c r="AA526" s="65" t="s">
        <v>46</v>
      </c>
      <c r="AB526" s="66" t="s">
        <v>46</v>
      </c>
      <c r="AC526" s="619" t="s">
        <v>849</v>
      </c>
      <c r="AG526" s="75"/>
      <c r="AJ526" s="79" t="s">
        <v>46</v>
      </c>
      <c r="AK526" s="79">
        <v>0</v>
      </c>
      <c r="BB526" s="620" t="s">
        <v>67</v>
      </c>
      <c r="BM526" s="75">
        <f>IFERROR(X526*I526/H526,"0")</f>
        <v>155.125</v>
      </c>
      <c r="BN526" s="75">
        <f>IFERROR(Y526*I526/H526,"0")</f>
        <v>161.33000000000001</v>
      </c>
      <c r="BO526" s="75">
        <f>IFERROR(1/J526*(X526/H526),"0")</f>
        <v>0.1953125</v>
      </c>
      <c r="BP526" s="75">
        <f>IFERROR(1/J526*(Y526/H526),"0")</f>
        <v>0.203125</v>
      </c>
    </row>
    <row r="527" spans="1:68" x14ac:dyDescent="0.2">
      <c r="A527" s="712"/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3"/>
      <c r="P527" s="709" t="s">
        <v>40</v>
      </c>
      <c r="Q527" s="710"/>
      <c r="R527" s="710"/>
      <c r="S527" s="710"/>
      <c r="T527" s="710"/>
      <c r="U527" s="710"/>
      <c r="V527" s="711"/>
      <c r="W527" s="40" t="s">
        <v>39</v>
      </c>
      <c r="X527" s="41">
        <f>IFERROR(X526/H526,"0")</f>
        <v>12.5</v>
      </c>
      <c r="Y527" s="41">
        <f>IFERROR(Y526/H526,"0")</f>
        <v>13</v>
      </c>
      <c r="Z527" s="41">
        <f>IFERROR(IF(Z526="",0,Z526),"0")</f>
        <v>0.24674000000000001</v>
      </c>
      <c r="AA527" s="64"/>
      <c r="AB527" s="64"/>
      <c r="AC527" s="64"/>
    </row>
    <row r="528" spans="1:68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0</v>
      </c>
      <c r="X528" s="41">
        <f>IFERROR(SUM(X526:X526),"0")</f>
        <v>150</v>
      </c>
      <c r="Y528" s="41">
        <f>IFERROR(SUM(Y526:Y526),"0")</f>
        <v>156</v>
      </c>
      <c r="Z528" s="40"/>
      <c r="AA528" s="64"/>
      <c r="AB528" s="64"/>
      <c r="AC528" s="64"/>
    </row>
    <row r="529" spans="1:68" ht="14.25" hidden="1" customHeight="1" x14ac:dyDescent="0.25">
      <c r="A529" s="703" t="s">
        <v>164</v>
      </c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  <c r="AA529" s="63"/>
      <c r="AB529" s="63"/>
      <c r="AC529" s="63"/>
    </row>
    <row r="530" spans="1:68" ht="27" hidden="1" customHeight="1" x14ac:dyDescent="0.25">
      <c r="A530" s="60" t="s">
        <v>850</v>
      </c>
      <c r="B530" s="60" t="s">
        <v>851</v>
      </c>
      <c r="C530" s="34">
        <v>4301020400</v>
      </c>
      <c r="D530" s="704">
        <v>4640242180519</v>
      </c>
      <c r="E530" s="704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133</v>
      </c>
      <c r="L530" s="35" t="s">
        <v>46</v>
      </c>
      <c r="M530" s="36" t="s">
        <v>132</v>
      </c>
      <c r="N530" s="36"/>
      <c r="O530" s="35">
        <v>50</v>
      </c>
      <c r="P530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06"/>
      <c r="R530" s="706"/>
      <c r="S530" s="706"/>
      <c r="T530" s="707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852</v>
      </c>
      <c r="AG530" s="75"/>
      <c r="AJ530" s="79" t="s">
        <v>46</v>
      </c>
      <c r="AK530" s="79">
        <v>0</v>
      </c>
      <c r="BB530" s="622" t="s">
        <v>67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2"/>
      <c r="B531" s="712"/>
      <c r="C531" s="712"/>
      <c r="D531" s="712"/>
      <c r="E531" s="712"/>
      <c r="F531" s="712"/>
      <c r="G531" s="712"/>
      <c r="H531" s="712"/>
      <c r="I531" s="712"/>
      <c r="J531" s="712"/>
      <c r="K531" s="712"/>
      <c r="L531" s="712"/>
      <c r="M531" s="712"/>
      <c r="N531" s="712"/>
      <c r="O531" s="713"/>
      <c r="P531" s="709" t="s">
        <v>40</v>
      </c>
      <c r="Q531" s="710"/>
      <c r="R531" s="710"/>
      <c r="S531" s="710"/>
      <c r="T531" s="710"/>
      <c r="U531" s="710"/>
      <c r="V531" s="711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3" t="s">
        <v>77</v>
      </c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  <c r="AA533" s="63"/>
      <c r="AB533" s="63"/>
      <c r="AC533" s="63"/>
    </row>
    <row r="534" spans="1:68" ht="27" hidden="1" customHeight="1" x14ac:dyDescent="0.25">
      <c r="A534" s="60" t="s">
        <v>853</v>
      </c>
      <c r="B534" s="60" t="s">
        <v>854</v>
      </c>
      <c r="C534" s="34">
        <v>4301031500</v>
      </c>
      <c r="D534" s="704">
        <v>4640242180595</v>
      </c>
      <c r="E534" s="704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140</v>
      </c>
      <c r="L534" s="35" t="s">
        <v>46</v>
      </c>
      <c r="M534" s="36" t="s">
        <v>81</v>
      </c>
      <c r="N534" s="36"/>
      <c r="O534" s="35">
        <v>40</v>
      </c>
      <c r="P534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06"/>
      <c r="R534" s="706"/>
      <c r="S534" s="706"/>
      <c r="T534" s="707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855</v>
      </c>
      <c r="AG534" s="75"/>
      <c r="AJ534" s="79" t="s">
        <v>46</v>
      </c>
      <c r="AK534" s="79">
        <v>0</v>
      </c>
      <c r="BB534" s="62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2"/>
      <c r="B535" s="712"/>
      <c r="C535" s="712"/>
      <c r="D535" s="712"/>
      <c r="E535" s="712"/>
      <c r="F535" s="712"/>
      <c r="G535" s="712"/>
      <c r="H535" s="712"/>
      <c r="I535" s="712"/>
      <c r="J535" s="712"/>
      <c r="K535" s="712"/>
      <c r="L535" s="712"/>
      <c r="M535" s="712"/>
      <c r="N535" s="712"/>
      <c r="O535" s="713"/>
      <c r="P535" s="709" t="s">
        <v>40</v>
      </c>
      <c r="Q535" s="710"/>
      <c r="R535" s="710"/>
      <c r="S535" s="710"/>
      <c r="T535" s="710"/>
      <c r="U535" s="710"/>
      <c r="V535" s="711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3" t="s">
        <v>86</v>
      </c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  <c r="AA537" s="63"/>
      <c r="AB537" s="63"/>
      <c r="AC537" s="63"/>
    </row>
    <row r="538" spans="1:68" ht="27" hidden="1" customHeight="1" x14ac:dyDescent="0.25">
      <c r="A538" s="60" t="s">
        <v>856</v>
      </c>
      <c r="B538" s="60" t="s">
        <v>857</v>
      </c>
      <c r="C538" s="34">
        <v>4301052043</v>
      </c>
      <c r="D538" s="704">
        <v>4640242180533</v>
      </c>
      <c r="E538" s="704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133</v>
      </c>
      <c r="L538" s="35" t="s">
        <v>46</v>
      </c>
      <c r="M538" s="36" t="s">
        <v>90</v>
      </c>
      <c r="N538" s="36"/>
      <c r="O538" s="35">
        <v>45</v>
      </c>
      <c r="P538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06"/>
      <c r="R538" s="706"/>
      <c r="S538" s="706"/>
      <c r="T538" s="70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858</v>
      </c>
      <c r="AG538" s="75"/>
      <c r="AJ538" s="79" t="s">
        <v>46</v>
      </c>
      <c r="AK538" s="79">
        <v>0</v>
      </c>
      <c r="BB538" s="626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12"/>
      <c r="B539" s="712"/>
      <c r="C539" s="712"/>
      <c r="D539" s="712"/>
      <c r="E539" s="712"/>
      <c r="F539" s="712"/>
      <c r="G539" s="712"/>
      <c r="H539" s="712"/>
      <c r="I539" s="712"/>
      <c r="J539" s="712"/>
      <c r="K539" s="712"/>
      <c r="L539" s="712"/>
      <c r="M539" s="712"/>
      <c r="N539" s="712"/>
      <c r="O539" s="713"/>
      <c r="P539" s="709" t="s">
        <v>40</v>
      </c>
      <c r="Q539" s="710"/>
      <c r="R539" s="710"/>
      <c r="S539" s="710"/>
      <c r="T539" s="710"/>
      <c r="U539" s="710"/>
      <c r="V539" s="711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03" t="s">
        <v>181</v>
      </c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  <c r="AA541" s="63"/>
      <c r="AB541" s="63"/>
      <c r="AC541" s="63"/>
    </row>
    <row r="542" spans="1:68" ht="27" hidden="1" customHeight="1" x14ac:dyDescent="0.25">
      <c r="A542" s="60" t="s">
        <v>859</v>
      </c>
      <c r="B542" s="60" t="s">
        <v>860</v>
      </c>
      <c r="C542" s="34">
        <v>4301060535</v>
      </c>
      <c r="D542" s="704">
        <v>4640242180120</v>
      </c>
      <c r="E542" s="70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133</v>
      </c>
      <c r="L542" s="35" t="s">
        <v>46</v>
      </c>
      <c r="M542" s="36" t="s">
        <v>90</v>
      </c>
      <c r="N542" s="36"/>
      <c r="O542" s="35">
        <v>40</v>
      </c>
      <c r="P542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06"/>
      <c r="R542" s="706"/>
      <c r="S542" s="706"/>
      <c r="T542" s="70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861</v>
      </c>
      <c r="AG542" s="75"/>
      <c r="AJ542" s="79" t="s">
        <v>46</v>
      </c>
      <c r="AK542" s="79">
        <v>0</v>
      </c>
      <c r="BB542" s="62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862</v>
      </c>
      <c r="B543" s="60" t="s">
        <v>863</v>
      </c>
      <c r="C543" s="34">
        <v>4301060536</v>
      </c>
      <c r="D543" s="704">
        <v>4640242180137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133</v>
      </c>
      <c r="L543" s="35" t="s">
        <v>46</v>
      </c>
      <c r="M543" s="36" t="s">
        <v>90</v>
      </c>
      <c r="N543" s="36"/>
      <c r="O543" s="35">
        <v>40</v>
      </c>
      <c r="P543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864</v>
      </c>
      <c r="AG543" s="75"/>
      <c r="AJ543" s="79" t="s">
        <v>46</v>
      </c>
      <c r="AK543" s="79">
        <v>0</v>
      </c>
      <c r="BB543" s="63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2"/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3"/>
      <c r="P544" s="709" t="s">
        <v>40</v>
      </c>
      <c r="Q544" s="710"/>
      <c r="R544" s="710"/>
      <c r="S544" s="710"/>
      <c r="T544" s="710"/>
      <c r="U544" s="710"/>
      <c r="V544" s="711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702" t="s">
        <v>865</v>
      </c>
      <c r="B546" s="702"/>
      <c r="C546" s="702"/>
      <c r="D546" s="702"/>
      <c r="E546" s="702"/>
      <c r="F546" s="702"/>
      <c r="G546" s="702"/>
      <c r="H546" s="702"/>
      <c r="I546" s="702"/>
      <c r="J546" s="702"/>
      <c r="K546" s="702"/>
      <c r="L546" s="702"/>
      <c r="M546" s="702"/>
      <c r="N546" s="702"/>
      <c r="O546" s="702"/>
      <c r="P546" s="702"/>
      <c r="Q546" s="702"/>
      <c r="R546" s="702"/>
      <c r="S546" s="702"/>
      <c r="T546" s="702"/>
      <c r="U546" s="702"/>
      <c r="V546" s="702"/>
      <c r="W546" s="702"/>
      <c r="X546" s="702"/>
      <c r="Y546" s="702"/>
      <c r="Z546" s="702"/>
      <c r="AA546" s="62"/>
      <c r="AB546" s="62"/>
      <c r="AC546" s="62"/>
    </row>
    <row r="547" spans="1:68" ht="14.25" hidden="1" customHeight="1" x14ac:dyDescent="0.25">
      <c r="A547" s="703" t="s">
        <v>164</v>
      </c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  <c r="AA547" s="63"/>
      <c r="AB547" s="63"/>
      <c r="AC547" s="63"/>
    </row>
    <row r="548" spans="1:68" ht="27" hidden="1" customHeight="1" x14ac:dyDescent="0.25">
      <c r="A548" s="60" t="s">
        <v>866</v>
      </c>
      <c r="B548" s="60" t="s">
        <v>867</v>
      </c>
      <c r="C548" s="34">
        <v>4301020428</v>
      </c>
      <c r="D548" s="704">
        <v>4640242180090</v>
      </c>
      <c r="E548" s="704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133</v>
      </c>
      <c r="L548" s="35" t="s">
        <v>46</v>
      </c>
      <c r="M548" s="36" t="s">
        <v>132</v>
      </c>
      <c r="N548" s="36"/>
      <c r="O548" s="35">
        <v>50</v>
      </c>
      <c r="P548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06"/>
      <c r="R548" s="706"/>
      <c r="S548" s="706"/>
      <c r="T548" s="707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868</v>
      </c>
      <c r="AG548" s="75"/>
      <c r="AJ548" s="79" t="s">
        <v>46</v>
      </c>
      <c r="AK548" s="79">
        <v>0</v>
      </c>
      <c r="BB548" s="632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712"/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3"/>
      <c r="P549" s="709" t="s">
        <v>40</v>
      </c>
      <c r="Q549" s="710"/>
      <c r="R549" s="710"/>
      <c r="S549" s="710"/>
      <c r="T549" s="710"/>
      <c r="U549" s="710"/>
      <c r="V549" s="711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991"/>
      <c r="P551" s="988" t="s">
        <v>33</v>
      </c>
      <c r="Q551" s="989"/>
      <c r="R551" s="989"/>
      <c r="S551" s="989"/>
      <c r="T551" s="989"/>
      <c r="U551" s="989"/>
      <c r="V551" s="990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17901.5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18026.280000000002</v>
      </c>
      <c r="Z551" s="40"/>
      <c r="AA551" s="64"/>
      <c r="AB551" s="64"/>
      <c r="AC551" s="64"/>
    </row>
    <row r="552" spans="1:68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34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IFERROR(SUM(BM22:BM548),"0")</f>
        <v>18753.94820399056</v>
      </c>
      <c r="Y552" s="41">
        <f>IFERROR(SUM(BN22:BN548),"0")</f>
        <v>18883.904000000002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35</v>
      </c>
      <c r="Q553" s="989"/>
      <c r="R553" s="989"/>
      <c r="S553" s="989"/>
      <c r="T553" s="989"/>
      <c r="U553" s="989"/>
      <c r="V553" s="990"/>
      <c r="W553" s="40" t="s">
        <v>20</v>
      </c>
      <c r="X553" s="42">
        <f>ROUNDUP(SUM(BO22:BO548),0)</f>
        <v>29</v>
      </c>
      <c r="Y553" s="42">
        <f>ROUNDUP(SUM(BP22:BP548),0)</f>
        <v>30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36</v>
      </c>
      <c r="Q554" s="989"/>
      <c r="R554" s="989"/>
      <c r="S554" s="989"/>
      <c r="T554" s="989"/>
      <c r="U554" s="989"/>
      <c r="V554" s="990"/>
      <c r="W554" s="40" t="s">
        <v>0</v>
      </c>
      <c r="X554" s="41">
        <f>GrossWeightTotal+PalletQtyTotal*25</f>
        <v>19478.94820399056</v>
      </c>
      <c r="Y554" s="41">
        <f>GrossWeightTotalR+PalletQtyTotalR*25</f>
        <v>19633.904000000002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37</v>
      </c>
      <c r="Q555" s="989"/>
      <c r="R555" s="989"/>
      <c r="S555" s="989"/>
      <c r="T555" s="989"/>
      <c r="U555" s="989"/>
      <c r="V555" s="990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2266.9010034239923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2281</v>
      </c>
      <c r="Z555" s="40"/>
      <c r="AA555" s="64"/>
      <c r="AB555" s="64"/>
      <c r="AC555" s="64"/>
    </row>
    <row r="556" spans="1:68" ht="14.25" hidden="1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38</v>
      </c>
      <c r="Q556" s="989"/>
      <c r="R556" s="989"/>
      <c r="S556" s="989"/>
      <c r="T556" s="989"/>
      <c r="U556" s="989"/>
      <c r="V556" s="990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33.461150000000004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76</v>
      </c>
      <c r="C558" s="80" t="s">
        <v>45</v>
      </c>
      <c r="D558" s="994" t="s">
        <v>126</v>
      </c>
      <c r="E558" s="994" t="s">
        <v>126</v>
      </c>
      <c r="F558" s="994" t="s">
        <v>126</v>
      </c>
      <c r="G558" s="994" t="s">
        <v>126</v>
      </c>
      <c r="H558" s="994" t="s">
        <v>126</v>
      </c>
      <c r="I558" s="994" t="s">
        <v>126</v>
      </c>
      <c r="J558" s="994" t="s">
        <v>126</v>
      </c>
      <c r="K558" s="994" t="s">
        <v>358</v>
      </c>
      <c r="L558" s="994" t="s">
        <v>358</v>
      </c>
      <c r="M558" s="994" t="s">
        <v>358</v>
      </c>
      <c r="N558" s="995"/>
      <c r="O558" s="994" t="s">
        <v>358</v>
      </c>
      <c r="P558" s="994" t="s">
        <v>358</v>
      </c>
      <c r="Q558" s="994" t="s">
        <v>358</v>
      </c>
      <c r="R558" s="994" t="s">
        <v>358</v>
      </c>
      <c r="S558" s="994" t="s">
        <v>358</v>
      </c>
      <c r="T558" s="994" t="s">
        <v>358</v>
      </c>
      <c r="U558" s="994" t="s">
        <v>358</v>
      </c>
      <c r="V558" s="994" t="s">
        <v>697</v>
      </c>
      <c r="W558" s="994" t="s">
        <v>697</v>
      </c>
      <c r="X558" s="994" t="s">
        <v>763</v>
      </c>
      <c r="Y558" s="994" t="s">
        <v>763</v>
      </c>
      <c r="Z558" s="80" t="s">
        <v>799</v>
      </c>
      <c r="AA558" s="994" t="s">
        <v>846</v>
      </c>
      <c r="AB558" s="994" t="s">
        <v>846</v>
      </c>
      <c r="AC558" s="9"/>
      <c r="AF558" s="1"/>
    </row>
    <row r="559" spans="1:68" ht="14.25" customHeight="1" thickTop="1" x14ac:dyDescent="0.2">
      <c r="A559" s="992" t="s">
        <v>10</v>
      </c>
      <c r="B559" s="994" t="s">
        <v>76</v>
      </c>
      <c r="C559" s="994" t="s">
        <v>110</v>
      </c>
      <c r="D559" s="994" t="s">
        <v>127</v>
      </c>
      <c r="E559" s="994" t="s">
        <v>143</v>
      </c>
      <c r="F559" s="994" t="s">
        <v>188</v>
      </c>
      <c r="G559" s="994" t="s">
        <v>209</v>
      </c>
      <c r="H559" s="994" t="s">
        <v>248</v>
      </c>
      <c r="I559" s="994" t="s">
        <v>276</v>
      </c>
      <c r="J559" s="994" t="s">
        <v>126</v>
      </c>
      <c r="K559" s="994" t="s">
        <v>359</v>
      </c>
      <c r="L559" s="994" t="s">
        <v>380</v>
      </c>
      <c r="M559" s="994" t="s">
        <v>447</v>
      </c>
      <c r="N559" s="1"/>
      <c r="O559" s="994" t="s">
        <v>515</v>
      </c>
      <c r="P559" s="994" t="s">
        <v>548</v>
      </c>
      <c r="Q559" s="994" t="s">
        <v>564</v>
      </c>
      <c r="R559" s="994" t="s">
        <v>573</v>
      </c>
      <c r="S559" s="994" t="s">
        <v>594</v>
      </c>
      <c r="T559" s="994" t="s">
        <v>603</v>
      </c>
      <c r="U559" s="994" t="s">
        <v>687</v>
      </c>
      <c r="V559" s="994" t="s">
        <v>698</v>
      </c>
      <c r="W559" s="994" t="s">
        <v>747</v>
      </c>
      <c r="X559" s="994" t="s">
        <v>764</v>
      </c>
      <c r="Y559" s="994" t="s">
        <v>787</v>
      </c>
      <c r="Z559" s="994" t="s">
        <v>799</v>
      </c>
      <c r="AA559" s="994" t="s">
        <v>846</v>
      </c>
      <c r="AB559" s="994" t="s">
        <v>865</v>
      </c>
      <c r="AC559" s="9"/>
      <c r="AF559" s="1"/>
    </row>
    <row r="560" spans="1:68" ht="13.5" thickBot="1" x14ac:dyDescent="0.25">
      <c r="A560" s="993"/>
      <c r="B560" s="994"/>
      <c r="C560" s="994"/>
      <c r="D560" s="994"/>
      <c r="E560" s="994"/>
      <c r="F560" s="994"/>
      <c r="G560" s="994"/>
      <c r="H560" s="994"/>
      <c r="I560" s="994"/>
      <c r="J560" s="994"/>
      <c r="K560" s="994"/>
      <c r="L560" s="994"/>
      <c r="M560" s="994"/>
      <c r="N560" s="1"/>
      <c r="O560" s="994"/>
      <c r="P560" s="994"/>
      <c r="Q560" s="994"/>
      <c r="R560" s="994"/>
      <c r="S560" s="994"/>
      <c r="T560" s="994"/>
      <c r="U560" s="994"/>
      <c r="V560" s="994"/>
      <c r="W560" s="994"/>
      <c r="X560" s="994"/>
      <c r="Y560" s="994"/>
      <c r="Z560" s="994"/>
      <c r="AA560" s="994"/>
      <c r="AB560" s="994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567.6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453.6</v>
      </c>
      <c r="F561" s="50">
        <f>IFERROR(Y88*1,"0")+IFERROR(Y89*1,"0")+IFERROR(Y90*1,"0")+IFERROR(Y91*1,"0")+IFERROR(Y95*1,"0")+IFERROR(Y96*1,"0")+IFERROR(Y97*1,"0")+IFERROR(Y98*1,"0")</f>
        <v>596.70000000000005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1735.8000000000002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105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664.8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865.8</v>
      </c>
      <c r="U561" s="50">
        <f>IFERROR(Y415*1,"0")+IFERROR(Y416*1,"0")+IFERROR(Y417*1,"0")</f>
        <v>157.5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8235</v>
      </c>
      <c r="W561" s="50">
        <f>IFERROR(Y452*1,"0")+IFERROR(Y453*1,"0")+IFERROR(Y457*1,"0")+IFERROR(Y461*1,"0")+IFERROR(Y462*1,"0")+IFERROR(Y463*1,"0")</f>
        <v>72</v>
      </c>
      <c r="X561" s="50">
        <f>IFERROR(Y469*1,"0")+IFERROR(Y470*1,"0")+IFERROR(Y471*1,"0")+IFERROR(Y472*1,"0")+IFERROR(Y473*1,"0")+IFERROR(Y474*1,"0")+IFERROR(Y478*1,"0")+IFERROR(Y479*1,"0")</f>
        <v>54</v>
      </c>
      <c r="Y561" s="50">
        <f>IFERROR(Y484*1,"0")+IFERROR(Y488*1,"0")+IFERROR(Y489*1,"0")+IFERROR(Y490*1,"0")</f>
        <v>54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4308.4800000000005</v>
      </c>
      <c r="AA561" s="50">
        <f>IFERROR(Y526*1,"0")+IFERROR(Y530*1,"0")+IFERROR(Y534*1,"0")+IFERROR(Y538*1,"0")+IFERROR(Y542*1,"0")+IFERROR(Y543*1,"0")</f>
        <v>156</v>
      </c>
      <c r="AB561" s="50">
        <f>IFERROR(Y548*1,"0")</f>
        <v>0</v>
      </c>
      <c r="AC561" s="9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89,00"/>
        <filter val="1 200,00"/>
        <filter val="1 600,00"/>
        <filter val="1 700,00"/>
        <filter val="100,00"/>
        <filter val="102,56"/>
        <filter val="105,00"/>
        <filter val="12,50"/>
        <filter val="124,00"/>
        <filter val="13,89"/>
        <filter val="133,33"/>
        <filter val="150,00"/>
        <filter val="150,75"/>
        <filter val="157,50"/>
        <filter val="168,00"/>
        <filter val="17 901,50"/>
        <filter val="18 753,95"/>
        <filter val="181,00"/>
        <filter val="189,00"/>
        <filter val="189,39"/>
        <filter val="19 478,95"/>
        <filter val="19,26"/>
        <filter val="193,46"/>
        <filter val="2 000,00"/>
        <filter val="2 266,90"/>
        <filter val="2 500,00"/>
        <filter val="24,00"/>
        <filter val="260,00"/>
        <filter val="27,78"/>
        <filter val="28,57"/>
        <filter val="29"/>
        <filter val="30,00"/>
        <filter val="300,00"/>
        <filter val="303,03"/>
        <filter val="321,97"/>
        <filter val="37,04"/>
        <filter val="398,00"/>
        <filter val="400,00"/>
        <filter val="413,33"/>
        <filter val="42,35"/>
        <filter val="48,00"/>
        <filter val="48,15"/>
        <filter val="50,00"/>
        <filter val="500,00"/>
        <filter val="52,50"/>
        <filter val="560,00"/>
        <filter val="6 200,00"/>
        <filter val="60,00"/>
        <filter val="600,00"/>
        <filter val="61,30"/>
        <filter val="7,69"/>
        <filter val="70,00"/>
        <filter val="72,00"/>
        <filter val="75,00"/>
        <filter val="800,00"/>
        <filter val="81,00"/>
        <filter val="9,26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1" t="s">
        <v>870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872</v>
      </c>
      <c r="C6" s="51" t="s">
        <v>873</v>
      </c>
      <c r="D6" s="51" t="s">
        <v>874</v>
      </c>
      <c r="E6" s="51" t="s">
        <v>46</v>
      </c>
    </row>
    <row r="7" spans="2:8" x14ac:dyDescent="0.2">
      <c r="B7" s="51" t="s">
        <v>875</v>
      </c>
      <c r="C7" s="51" t="s">
        <v>876</v>
      </c>
      <c r="D7" s="51" t="s">
        <v>877</v>
      </c>
      <c r="E7" s="51" t="s">
        <v>46</v>
      </c>
    </row>
    <row r="8" spans="2:8" x14ac:dyDescent="0.2">
      <c r="B8" s="51" t="s">
        <v>878</v>
      </c>
      <c r="C8" s="51" t="s">
        <v>879</v>
      </c>
      <c r="D8" s="51" t="s">
        <v>880</v>
      </c>
      <c r="E8" s="51" t="s">
        <v>46</v>
      </c>
    </row>
    <row r="10" spans="2:8" x14ac:dyDescent="0.2">
      <c r="B10" s="51" t="s">
        <v>881</v>
      </c>
      <c r="C10" s="51" t="s">
        <v>873</v>
      </c>
      <c r="D10" s="51" t="s">
        <v>46</v>
      </c>
      <c r="E10" s="51" t="s">
        <v>46</v>
      </c>
    </row>
    <row r="12" spans="2:8" x14ac:dyDescent="0.2">
      <c r="B12" s="51" t="s">
        <v>882</v>
      </c>
      <c r="C12" s="51" t="s">
        <v>876</v>
      </c>
      <c r="D12" s="51" t="s">
        <v>46</v>
      </c>
      <c r="E12" s="51" t="s">
        <v>46</v>
      </c>
    </row>
    <row r="14" spans="2:8" x14ac:dyDescent="0.2">
      <c r="B14" s="51" t="s">
        <v>883</v>
      </c>
      <c r="C14" s="51" t="s">
        <v>879</v>
      </c>
      <c r="D14" s="51" t="s">
        <v>46</v>
      </c>
      <c r="E14" s="51" t="s">
        <v>46</v>
      </c>
    </row>
    <row r="16" spans="2:8" x14ac:dyDescent="0.2">
      <c r="B16" s="51" t="s">
        <v>884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885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886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887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888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889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891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892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893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894</v>
      </c>
      <c r="C26" s="51" t="s">
        <v>46</v>
      </c>
      <c r="D26" s="51" t="s">
        <v>46</v>
      </c>
      <c r="E26" s="51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2026-07-24T15:22:05Z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