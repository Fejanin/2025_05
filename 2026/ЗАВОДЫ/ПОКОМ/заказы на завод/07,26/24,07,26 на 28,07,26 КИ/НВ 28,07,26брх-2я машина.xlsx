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70967B-64D5-4DB7-87B8-E52D350E285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Y534" i="1"/>
  <c r="X534" i="1"/>
  <c r="BP533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N517" i="1"/>
  <c r="BM517" i="1"/>
  <c r="Z517" i="1"/>
  <c r="Y517" i="1"/>
  <c r="BP517" i="1" s="1"/>
  <c r="P517" i="1"/>
  <c r="BO516" i="1"/>
  <c r="BM516" i="1"/>
  <c r="Y516" i="1"/>
  <c r="P516" i="1"/>
  <c r="BO515" i="1"/>
  <c r="BM515" i="1"/>
  <c r="Z515" i="1"/>
  <c r="Y515" i="1"/>
  <c r="BN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M503" i="1"/>
  <c r="Z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M497" i="1"/>
  <c r="Z497" i="1"/>
  <c r="Y497" i="1"/>
  <c r="BP497" i="1" s="1"/>
  <c r="P497" i="1"/>
  <c r="BO496" i="1"/>
  <c r="BM496" i="1"/>
  <c r="Y496" i="1"/>
  <c r="P496" i="1"/>
  <c r="BP495" i="1"/>
  <c r="BO495" i="1"/>
  <c r="BM495" i="1"/>
  <c r="Z495" i="1"/>
  <c r="Y495" i="1"/>
  <c r="BN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N487" i="1"/>
  <c r="BM487" i="1"/>
  <c r="Y487" i="1"/>
  <c r="BP487" i="1" s="1"/>
  <c r="P487" i="1"/>
  <c r="X485" i="1"/>
  <c r="X484" i="1"/>
  <c r="BO483" i="1"/>
  <c r="BM483" i="1"/>
  <c r="Y483" i="1"/>
  <c r="P483" i="1"/>
  <c r="X480" i="1"/>
  <c r="X479" i="1"/>
  <c r="BP478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Z472" i="1"/>
  <c r="Y472" i="1"/>
  <c r="BP472" i="1" s="1"/>
  <c r="P472" i="1"/>
  <c r="BO471" i="1"/>
  <c r="BM471" i="1"/>
  <c r="Y471" i="1"/>
  <c r="P471" i="1"/>
  <c r="BP470" i="1"/>
  <c r="BO470" i="1"/>
  <c r="BM470" i="1"/>
  <c r="Z470" i="1"/>
  <c r="Y470" i="1"/>
  <c r="BN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Z462" i="1"/>
  <c r="Y462" i="1"/>
  <c r="BP462" i="1" s="1"/>
  <c r="P462" i="1"/>
  <c r="BO461" i="1"/>
  <c r="BM461" i="1"/>
  <c r="Y461" i="1"/>
  <c r="P461" i="1"/>
  <c r="BO460" i="1"/>
  <c r="BM460" i="1"/>
  <c r="Y460" i="1"/>
  <c r="Y463" i="1" s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N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N439" i="1" s="1"/>
  <c r="P439" i="1"/>
  <c r="X437" i="1"/>
  <c r="X436" i="1"/>
  <c r="BO435" i="1"/>
  <c r="BN435" i="1"/>
  <c r="BM435" i="1"/>
  <c r="Y435" i="1"/>
  <c r="BP435" i="1" s="1"/>
  <c r="P435" i="1"/>
  <c r="BO434" i="1"/>
  <c r="BM434" i="1"/>
  <c r="Y434" i="1"/>
  <c r="P434" i="1"/>
  <c r="BP433" i="1"/>
  <c r="BO433" i="1"/>
  <c r="BN433" i="1"/>
  <c r="BM433" i="1"/>
  <c r="Y433" i="1"/>
  <c r="Z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P425" i="1"/>
  <c r="BO425" i="1"/>
  <c r="BM425" i="1"/>
  <c r="Z425" i="1"/>
  <c r="Y425" i="1"/>
  <c r="BN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Y415" i="1"/>
  <c r="BN415" i="1" s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N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BN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N381" i="1" s="1"/>
  <c r="P381" i="1"/>
  <c r="X379" i="1"/>
  <c r="X378" i="1"/>
  <c r="BO377" i="1"/>
  <c r="BM377" i="1"/>
  <c r="Z377" i="1"/>
  <c r="Y377" i="1"/>
  <c r="BP377" i="1" s="1"/>
  <c r="P377" i="1"/>
  <c r="BO376" i="1"/>
  <c r="BM376" i="1"/>
  <c r="Y376" i="1"/>
  <c r="P376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P363" i="1"/>
  <c r="BO363" i="1"/>
  <c r="BM363" i="1"/>
  <c r="Y363" i="1"/>
  <c r="BN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Z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M336" i="1"/>
  <c r="Z336" i="1"/>
  <c r="Y336" i="1"/>
  <c r="BN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N329" i="1"/>
  <c r="BM329" i="1"/>
  <c r="Y329" i="1"/>
  <c r="BP329" i="1" s="1"/>
  <c r="P329" i="1"/>
  <c r="BO328" i="1"/>
  <c r="BM328" i="1"/>
  <c r="Y328" i="1"/>
  <c r="P328" i="1"/>
  <c r="BO327" i="1"/>
  <c r="BM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M320" i="1"/>
  <c r="Y320" i="1"/>
  <c r="BN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P304" i="1"/>
  <c r="BO304" i="1"/>
  <c r="BN304" i="1"/>
  <c r="BM304" i="1"/>
  <c r="Y304" i="1"/>
  <c r="Z304" i="1" s="1"/>
  <c r="P304" i="1"/>
  <c r="BO303" i="1"/>
  <c r="BM303" i="1"/>
  <c r="Y303" i="1"/>
  <c r="P303" i="1"/>
  <c r="BP302" i="1"/>
  <c r="BO302" i="1"/>
  <c r="BM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N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X266" i="1"/>
  <c r="BP265" i="1"/>
  <c r="BO265" i="1"/>
  <c r="BM265" i="1"/>
  <c r="Y265" i="1"/>
  <c r="Y266" i="1" s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M241" i="1"/>
  <c r="Z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N235" i="1"/>
  <c r="BM235" i="1"/>
  <c r="Y235" i="1"/>
  <c r="BP235" i="1" s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M227" i="1"/>
  <c r="Z227" i="1"/>
  <c r="Y227" i="1"/>
  <c r="BN227" i="1" s="1"/>
  <c r="P227" i="1"/>
  <c r="BO226" i="1"/>
  <c r="BM226" i="1"/>
  <c r="Y226" i="1"/>
  <c r="P226" i="1"/>
  <c r="BO225" i="1"/>
  <c r="BM225" i="1"/>
  <c r="Y225" i="1"/>
  <c r="BN225" i="1" s="1"/>
  <c r="P225" i="1"/>
  <c r="BO224" i="1"/>
  <c r="BM224" i="1"/>
  <c r="Y224" i="1"/>
  <c r="P224" i="1"/>
  <c r="BO223" i="1"/>
  <c r="BM223" i="1"/>
  <c r="Y223" i="1"/>
  <c r="P223" i="1"/>
  <c r="X221" i="1"/>
  <c r="Y220" i="1"/>
  <c r="X220" i="1"/>
  <c r="BP219" i="1"/>
  <c r="BO219" i="1"/>
  <c r="BN219" i="1"/>
  <c r="BM219" i="1"/>
  <c r="Y219" i="1"/>
  <c r="Z219" i="1" s="1"/>
  <c r="Z220" i="1" s="1"/>
  <c r="P219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M210" i="1"/>
  <c r="Z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O198" i="1"/>
  <c r="BM198" i="1"/>
  <c r="Y198" i="1"/>
  <c r="BN198" i="1" s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M192" i="1"/>
  <c r="Z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O185" i="1"/>
  <c r="BM185" i="1"/>
  <c r="Y185" i="1"/>
  <c r="P185" i="1"/>
  <c r="BP184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O178" i="1"/>
  <c r="BM178" i="1"/>
  <c r="Z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N172" i="1"/>
  <c r="BM172" i="1"/>
  <c r="Y172" i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Y156" i="1"/>
  <c r="Z156" i="1" s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M141" i="1"/>
  <c r="Y141" i="1"/>
  <c r="BN141" i="1" s="1"/>
  <c r="P141" i="1"/>
  <c r="BO140" i="1"/>
  <c r="BM140" i="1"/>
  <c r="Y140" i="1"/>
  <c r="P140" i="1"/>
  <c r="BO139" i="1"/>
  <c r="BM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N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Z132" i="1"/>
  <c r="Y132" i="1"/>
  <c r="BN132" i="1" s="1"/>
  <c r="P132" i="1"/>
  <c r="X129" i="1"/>
  <c r="X128" i="1"/>
  <c r="BO127" i="1"/>
  <c r="BM127" i="1"/>
  <c r="Y127" i="1"/>
  <c r="BN127" i="1" s="1"/>
  <c r="P127" i="1"/>
  <c r="X125" i="1"/>
  <c r="X124" i="1"/>
  <c r="BP123" i="1"/>
  <c r="BO123" i="1"/>
  <c r="BN123" i="1"/>
  <c r="BM123" i="1"/>
  <c r="Y123" i="1"/>
  <c r="Z123" i="1" s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N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Y73" i="1"/>
  <c r="Z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P54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103" i="1" l="1"/>
  <c r="Y128" i="1"/>
  <c r="Z149" i="1"/>
  <c r="Z243" i="1"/>
  <c r="Z389" i="1"/>
  <c r="Z427" i="1"/>
  <c r="BP439" i="1"/>
  <c r="BN214" i="1"/>
  <c r="BN149" i="1"/>
  <c r="Z186" i="1"/>
  <c r="BN243" i="1"/>
  <c r="BN427" i="1"/>
  <c r="Z541" i="1"/>
  <c r="Z61" i="1"/>
  <c r="Z96" i="1"/>
  <c r="Z182" i="1"/>
  <c r="Z233" i="1"/>
  <c r="Z289" i="1"/>
  <c r="Z327" i="1"/>
  <c r="BN365" i="1"/>
  <c r="Z383" i="1"/>
  <c r="BP389" i="1"/>
  <c r="BN103" i="1"/>
  <c r="BN186" i="1"/>
  <c r="Y464" i="1"/>
  <c r="BN472" i="1"/>
  <c r="BN497" i="1"/>
  <c r="BN519" i="1"/>
  <c r="BN541" i="1"/>
  <c r="Z225" i="1"/>
  <c r="Z281" i="1"/>
  <c r="BN289" i="1"/>
  <c r="BN383" i="1"/>
  <c r="Z460" i="1"/>
  <c r="BN489" i="1"/>
  <c r="BP515" i="1"/>
  <c r="Z65" i="1"/>
  <c r="Z22" i="1"/>
  <c r="BN61" i="1"/>
  <c r="BN96" i="1"/>
  <c r="Z54" i="1"/>
  <c r="BP65" i="1"/>
  <c r="Z139" i="1"/>
  <c r="BN178" i="1"/>
  <c r="BP233" i="1"/>
  <c r="Z320" i="1"/>
  <c r="BP327" i="1"/>
  <c r="BN377" i="1"/>
  <c r="Z415" i="1"/>
  <c r="Z509" i="1"/>
  <c r="Z533" i="1"/>
  <c r="Z534" i="1" s="1"/>
  <c r="Z90" i="1"/>
  <c r="Y203" i="1"/>
  <c r="BN229" i="1"/>
  <c r="BN281" i="1"/>
  <c r="BN22" i="1"/>
  <c r="BP225" i="1"/>
  <c r="BN441" i="1"/>
  <c r="BP460" i="1"/>
  <c r="Y490" i="1"/>
  <c r="BN533" i="1"/>
  <c r="BP415" i="1"/>
  <c r="BP509" i="1"/>
  <c r="Y199" i="1"/>
  <c r="Z265" i="1"/>
  <c r="BN275" i="1"/>
  <c r="Z363" i="1"/>
  <c r="Y442" i="1"/>
  <c r="BN429" i="1"/>
  <c r="D560" i="1"/>
  <c r="Z134" i="1"/>
  <c r="Z235" i="1"/>
  <c r="BN265" i="1"/>
  <c r="Z287" i="1"/>
  <c r="Z329" i="1"/>
  <c r="Z381" i="1"/>
  <c r="Z487" i="1"/>
  <c r="Z141" i="1"/>
  <c r="Y79" i="1"/>
  <c r="BP287" i="1"/>
  <c r="BP381" i="1"/>
  <c r="Z439" i="1"/>
  <c r="Y526" i="1"/>
  <c r="X554" i="1"/>
  <c r="BN283" i="1"/>
  <c r="BP345" i="1"/>
  <c r="BP375" i="1"/>
  <c r="BN462" i="1"/>
  <c r="Y32" i="1"/>
  <c r="Y92" i="1"/>
  <c r="Z302" i="1"/>
  <c r="BN371" i="1"/>
  <c r="BP445" i="1"/>
  <c r="BN456" i="1"/>
  <c r="J9" i="1"/>
  <c r="BN28" i="1"/>
  <c r="Z42" i="1"/>
  <c r="BP42" i="1"/>
  <c r="Z52" i="1"/>
  <c r="BP52" i="1"/>
  <c r="Z59" i="1"/>
  <c r="BP59" i="1"/>
  <c r="BN63" i="1"/>
  <c r="BN71" i="1"/>
  <c r="BN77" i="1"/>
  <c r="Z88" i="1"/>
  <c r="BP88" i="1"/>
  <c r="BP139" i="1"/>
  <c r="Z147" i="1"/>
  <c r="BP182" i="1"/>
  <c r="BN395" i="1"/>
  <c r="BP395" i="1"/>
  <c r="Z395" i="1"/>
  <c r="BN468" i="1"/>
  <c r="BP468" i="1"/>
  <c r="Z468" i="1"/>
  <c r="Y531" i="1"/>
  <c r="Y530" i="1"/>
  <c r="BN529" i="1"/>
  <c r="BP529" i="1"/>
  <c r="Z529" i="1"/>
  <c r="Z530" i="1" s="1"/>
  <c r="Y539" i="1"/>
  <c r="Y538" i="1"/>
  <c r="BN537" i="1"/>
  <c r="BP537" i="1"/>
  <c r="Z537" i="1"/>
  <c r="Z538" i="1" s="1"/>
  <c r="F10" i="1"/>
  <c r="BP98" i="1"/>
  <c r="Z98" i="1"/>
  <c r="Y117" i="1"/>
  <c r="BP113" i="1"/>
  <c r="Z113" i="1"/>
  <c r="BN115" i="1"/>
  <c r="Y129" i="1"/>
  <c r="BP127" i="1"/>
  <c r="Z127" i="1"/>
  <c r="Z128" i="1" s="1"/>
  <c r="BP132" i="1"/>
  <c r="Y174" i="1"/>
  <c r="BP172" i="1"/>
  <c r="Z172" i="1"/>
  <c r="BP198" i="1"/>
  <c r="Y237" i="1"/>
  <c r="BN223" i="1"/>
  <c r="BP223" i="1"/>
  <c r="Z223" i="1"/>
  <c r="BN269" i="1"/>
  <c r="BP269" i="1"/>
  <c r="Z269" i="1"/>
  <c r="BN285" i="1"/>
  <c r="BP285" i="1"/>
  <c r="Z285" i="1"/>
  <c r="BN358" i="1"/>
  <c r="BP358" i="1"/>
  <c r="Z358" i="1"/>
  <c r="Z28" i="1"/>
  <c r="Z63" i="1"/>
  <c r="Z71" i="1"/>
  <c r="Z77" i="1"/>
  <c r="BP77" i="1"/>
  <c r="BN88" i="1"/>
  <c r="BP154" i="1"/>
  <c r="Z198" i="1"/>
  <c r="BN343" i="1"/>
  <c r="BP343" i="1"/>
  <c r="Z343" i="1"/>
  <c r="BN351" i="1"/>
  <c r="BP351" i="1"/>
  <c r="Z351" i="1"/>
  <c r="BN373" i="1"/>
  <c r="BP373" i="1"/>
  <c r="Z373" i="1"/>
  <c r="BN423" i="1"/>
  <c r="BP423" i="1"/>
  <c r="Z423" i="1"/>
  <c r="BN501" i="1"/>
  <c r="BP501" i="1"/>
  <c r="Z501" i="1"/>
  <c r="BN507" i="1"/>
  <c r="BP507" i="1"/>
  <c r="Z507" i="1"/>
  <c r="Z510" i="1" s="1"/>
  <c r="Y521" i="1"/>
  <c r="BN513" i="1"/>
  <c r="BP513" i="1"/>
  <c r="Z513" i="1"/>
  <c r="F9" i="1"/>
  <c r="C560" i="1"/>
  <c r="BN98" i="1"/>
  <c r="BP105" i="1"/>
  <c r="Z105" i="1"/>
  <c r="Z115" i="1"/>
  <c r="BP121" i="1"/>
  <c r="Z121" i="1"/>
  <c r="BP147" i="1"/>
  <c r="Z154" i="1"/>
  <c r="BP167" i="1"/>
  <c r="Z167" i="1"/>
  <c r="BP180" i="1"/>
  <c r="Z180" i="1"/>
  <c r="BN208" i="1"/>
  <c r="BP208" i="1"/>
  <c r="Z208" i="1"/>
  <c r="BN231" i="1"/>
  <c r="BP231" i="1"/>
  <c r="Z231" i="1"/>
  <c r="BN367" i="1"/>
  <c r="BP367" i="1"/>
  <c r="Z367" i="1"/>
  <c r="BN452" i="1"/>
  <c r="BP452" i="1"/>
  <c r="Z452" i="1"/>
  <c r="Y485" i="1"/>
  <c r="Y484" i="1"/>
  <c r="BN483" i="1"/>
  <c r="BP483" i="1"/>
  <c r="Z483" i="1"/>
  <c r="Z484" i="1" s="1"/>
  <c r="S560" i="1"/>
  <c r="Y100" i="1"/>
  <c r="Z214" i="1"/>
  <c r="Z229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BN460" i="1"/>
  <c r="Y491" i="1"/>
  <c r="Z489" i="1"/>
  <c r="Z499" i="1"/>
  <c r="Z519" i="1"/>
  <c r="Y359" i="1"/>
  <c r="Y385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215" i="1" l="1"/>
  <c r="Z378" i="1"/>
  <c r="Z174" i="1"/>
  <c r="Z79" i="1"/>
  <c r="Z417" i="1"/>
  <c r="Z24" i="1"/>
  <c r="Z504" i="1"/>
  <c r="Z308" i="1"/>
  <c r="Z92" i="1"/>
  <c r="Z368" i="1"/>
  <c r="Z143" i="1"/>
  <c r="Z474" i="1"/>
  <c r="Z277" i="1"/>
  <c r="Y552" i="1"/>
  <c r="Z520" i="1"/>
  <c r="Z237" i="1"/>
  <c r="Z117" i="1"/>
  <c r="Z67" i="1"/>
  <c r="Y551" i="1"/>
  <c r="Y553" i="1" s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Y554" i="1"/>
  <c r="X553" i="1"/>
  <c r="Z347" i="1"/>
  <c r="Z194" i="1"/>
  <c r="Z169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<sst xmlns="http://schemas.openxmlformats.org/spreadsheetml/2006/main" count="2502" uniqueCount="908">
  <si>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</si>
  <si>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</si>
  <si>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</si>
  <si>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</si>
  <si>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</si>
  <si>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</si>
  <si>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</si>
  <si>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</si>
  <si>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</si>
  <si>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</si>
  <si>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</si>
  <si>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</si>
  <si>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</si>
  <si>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</si>
  <si>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</si>
  <si>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</si>
  <si>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</si>
  <si>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</si>
  <si>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</si>
  <si>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</si>
  <si>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</si>
  <si>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</si>
  <si>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</si>
  <si>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</si>
  <si>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</si>
  <si>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</si>
  <si>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</si>
  <si>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</si>
  <si>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</si>
  <si>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</si>
  <si>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</si>
  <si>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</si>
  <si>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</si>
  <si>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</si>
  <si>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</si>
  <si>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</si>
  <si>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</si>
  <si>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</si>
  <si>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</si>
  <si>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</si>
  <si>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</si>
  <si>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</si>
  <si>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</si>
  <si>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</si>
  <si>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</si>
  <si>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</si>
  <si>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</si>
  <si>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</si>
  <si>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</si>
  <si>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</si>
  <si>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</si>
  <si>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</si>
  <si>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</si>
  <si>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</si>
  <si>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</si>
  <si>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</si>
  <si>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</si>
  <si>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</si>
  <si>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</si>
  <si>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</si>
  <si>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</si>
  <si>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</si>
  <si>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</si>
  <si>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</si>
  <si>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</si>
  <si>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</si>
  <si>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</si>
  <si>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</si>
  <si>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</si>
  <si>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</si>
  <si>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</si>
  <si>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</si>
  <si>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</si>
  <si>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</si>
  <si>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</si>
  <si>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</si>
  <si>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</si>
  <si>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</si>
  <si>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</si>
  <si>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</si>
  <si>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</si>
  <si>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</si>
  <si>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</si>
  <si>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</si>
  <si>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</si>
  <si>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</si>
  <si>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</si>
  <si>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</si>
  <si>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</si>
  <si>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</si>
  <si>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</si>
  <si>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</si>
  <si>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</si>
  <si>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</si>
  <si>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</si>
  <si>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</si>
  <si>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</si>
  <si>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</si>
  <si>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</si>
  <si>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</si>
  <si>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</si>
  <si>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</si>
  <si>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</si>
  <si>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</si>
  <si>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</si>
  <si>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</si>
  <si>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</si>
  <si>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</si>
  <si>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</si>
  <si>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</si>
  <si>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</si>
  <si>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</si>
  <si>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</si>
  <si>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</si>
  <si>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</si>
  <si>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</si>
  <si>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</si>
  <si>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</si>
  <si>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</si>
  <si>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</si>
  <si>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</si>
  <si>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</si>
  <si>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</si>
  <si>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</si>
  <si>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</si>
  <si>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</si>
  <si>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</si>
  <si>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</si>
  <si>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</si>
  <si>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</si>
  <si>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</si>
  <si>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</si>
  <si>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</si>
  <si>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</si>
  <si>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</si>
  <si>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</si>
  <si>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</si>
  <si>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</si>
  <si>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</si>
  <si>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</si>
  <si>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</si>
  <si>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</si>
  <si>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</si>
  <si>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</si>
  <si>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</si>
  <si>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</si>
  <si>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</si>
  <si>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</si>
  <si>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</si>
  <si>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</si>
  <si>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</si>
  <si>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</si>
  <si>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</si>
  <si>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</si>
  <si>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</si>
  <si>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</si>
  <si>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</si>
  <si>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</si>
  <si>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</si>
  <si>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</si>
  <si>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</si>
  <si>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</si>
  <si>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</si>
  <si>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</si>
  <si>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</si>
  <si>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</si>
  <si>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</si>
  <si>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</si>
  <si>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</si>
  <si>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</si>
  <si>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</si>
  <si>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</si>
  <si>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</si>
  <si>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</si>
  <si>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</si>
  <si>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</si>
  <si>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</si>
  <si>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</si>
  <si>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</si>
  <si>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</si>
  <si>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</si>
  <si>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</si>
  <si>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</si>
  <si>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</si>
  <si>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</si>
  <si>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</si>
  <si>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</si>
  <si>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</si>
  <si>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</si>
  <si>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</si>
  <si>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</si>
  <si>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</si>
  <si>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</si>
  <si>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</si>
  <si>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</si>
  <si>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</si>
  <si>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</si>
  <si>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</si>
  <si>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</si>
  <si>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</si>
  <si>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</si>
  <si>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</si>
  <si>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</si>
  <si>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</si>
  <si>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</si>
  <si>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</si>
  <si>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</si>
  <si>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</si>
  <si>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</si>
  <si>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</si>
  <si>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</si>
  <si>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</si>
  <si>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</si>
  <si>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</si>
  <si>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</si>
  <si>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</si>
  <si>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</si>
  <si>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</si>
  <si>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</si>
  <si>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</si>
  <si>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</si>
  <si>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</si>
  <si>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</si>
  <si>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</si>
  <si>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</si>
  <si>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</si>
  <si>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</si>
  <si>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</si>
  <si>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</si>
  <si>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</si>
  <si>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</si>
  <si>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</si>
  <si>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</si>
  <si>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</si>
  <si>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</si>
  <si>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</si>
  <si>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</si>
  <si>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</si>
  <si>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</si>
  <si>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</si>
  <si>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</si>
  <si>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</si>
  <si>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</si>
  <si>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</si>
  <si>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</si>
  <si>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</si>
  <si>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</si>
  <si>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</si>
  <si>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</si>
  <si>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</si>
  <si>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</si>
  <si>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</si>
  <si>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</si>
  <si>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</si>
  <si>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</si>
  <si>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</si>
  <si>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</si>
  <si>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</si>
  <si>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</si>
  <si>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</si>
  <si>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</si>
  <si>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</si>
  <si>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</si>
  <si>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</si>
  <si>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</si>
  <si>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</si>
  <si>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</si>
  <si>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</si>
  <si>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</si>
  <si>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</si>
  <si>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</si>
  <si>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</si>
  <si>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</si>
  <si>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</si>
  <si>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</si>
  <si>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</si>
  <si>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</si>
  <si>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</si>
  <si>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</si>
  <si>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</si>
  <si>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</si>
  <si>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</si>
  <si>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</si>
  <si>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</si>
  <si>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</si>
  <si>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</si>
  <si>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</si>
  <si>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</si>
  <si>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</si>
  <si>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</si>
  <si>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</si>
  <si>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</si>
  <si>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</si>
  <si>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</si>
  <si>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</si>
  <si>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</si>
  <si>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</si>
  <si>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</si>
  <si>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</si>
  <si>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</si>
  <si>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</si>
  <si>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</si>
  <si>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</si>
  <si>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</si>
  <si>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</si>
  <si>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</si>
  <si>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</si>
  <si>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</si>
  <si>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</si>
  <si>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</si>
  <si>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</si>
  <si>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</si>
  <si>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</si>
  <si>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</si>
  <si>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</si>
  <si>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</si>
  <si>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</si>
  <si>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</si>
  <si>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</si>
  <si>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</si>
  <si>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</si>
  <si>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</si>
  <si>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</si>
  <si>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</si>
  <si>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</si>
  <si>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</si>
  <si>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</si>
  <si>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</si>
  <si>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</si>
  <si>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</si>
  <si>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</si>
  <si>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</si>
  <si>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</si>
  <si>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</si>
  <si>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</si>
  <si>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</si>
  <si>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</si>
  <si>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</si>
  <si>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</si>
  <si>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</si>
  <si>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</si>
  <si>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</si>
  <si>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</si>
  <si>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</si>
  <si>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</si>
  <si>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</si>
  <si>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</si>
  <si>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</si>
  <si>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</si>
  <si>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</si>
  <si>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</si>
  <si>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</si>
  <si>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</si>
  <si>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</si>
  <si>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</si>
  <si>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</si>
  <si>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</si>
  <si>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</si>
  <si>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</si>
  <si>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</si>
  <si>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</si>
  <si>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</si>
  <si>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</si>
  <si>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</si>
  <si>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</si>
  <si>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</si>
  <si>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</si>
  <si>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</si>
  <si>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</si>
  <si>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</si>
  <si>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</si>
  <si>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</si>
  <si>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</si>
  <si>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</si>
  <si>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</si>
  <si>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</si>
  <si>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</si>
  <si>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</si>
  <si>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</si>
  <si>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</si>
  <si>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</si>
  <si>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</si>
  <si>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</si>
  <si>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</si>
  <si>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</si>
  <si>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</si>
  <si>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</si>
  <si>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</si>
  <si>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</si>
  <si>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</si>
  <si>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</si>
  <si>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</si>
  <si>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</si>
  <si>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</si>
  <si>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</si>
  <si>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</si>
  <si>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</si>
  <si>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</si>
  <si>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</si>
  <si>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</si>
  <si>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</si>
  <si>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</si>
  <si>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</si>
  <si>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</si>
  <si>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</si>
  <si>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</si>
  <si>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</si>
  <si>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</si>
  <si>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</si>
  <si>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</si>
  <si>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</si>
  <si>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</si>
  <si>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</si>
  <si>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</si>
  <si>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</si>
  <si>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</si>
  <si>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</si>
  <si>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</si>
  <si>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</si>
  <si>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</si>
  <si>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</si>
  <si>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</si>
  <si>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</si>
  <si>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</si>
  <si>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</si>
  <si>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</si>
  <si>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</si>
  <si>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</si>
  <si>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</si>
  <si>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</si>
  <si>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</si>
  <si>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</si>
  <si>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</si>
  <si>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</si>
  <si>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</si>
  <si>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</si>
  <si>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</si>
  <si>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</si>
  <si>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</si>
  <si>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</si>
  <si>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</si>
  <si>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</si>
  <si>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</si>
  <si>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</si>
  <si>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</si>
  <si>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</si>
  <si>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</si>
  <si>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</si>
  <si>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</si>
  <si>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</si>
  <si>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</si>
  <si>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</si>
  <si>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</si>
  <si>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</si>
  <si>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</si>
  <si>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</si>
  <si>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</si>
  <si>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</si>
  <si>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</si>
  <si>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</si>
  <si>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</si>
  <si>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</si>
  <si>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</si>
  <si>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</si>
  <si>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</si>
  <si>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</si>
  <si>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</si>
  <si>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</si>
  <si>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</si>
  <si>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</si>
  <si>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</si>
  <si>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</si>
  <si>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</si>
  <si>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</si>
  <si>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</si>
  <si>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</si>
  <si>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</si>
  <si>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</si>
  <si>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</si>
  <si>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</si>
  <si>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</si>
  <si>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</si>
  <si>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</si>
  <si>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</si>
  <si>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</si>
  <si>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</si>
  <si>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</si>
  <si>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</si>
  <si>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</si>
  <si>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</si>
  <si>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</si>
  <si>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</si>
  <si>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</si>
  <si>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</si>
  <si>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</si>
  <si>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</si>
  <si>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</si>
  <si>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</si>
  <si>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</si>
  <si>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</si>
  <si>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</si>
  <si>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</si>
  <si>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</si>
  <si>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</si>
  <si>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</si>
  <si>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</si>
  <si>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</si>
  <si>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</si>
  <si>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</si>
  <si>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</si>
  <si>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</si>
  <si>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</si>
  <si>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</si>
  <si>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</si>
  <si>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</si>
  <si>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</si>
  <si>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</si>
  <si>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</si>
  <si>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</si>
  <si>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</si>
  <si>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</si>
  <si>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</si>
  <si>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</si>
  <si>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</si>
  <si>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</si>
  <si>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</si>
  <si>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</si>
  <si>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</si>
  <si>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</si>
  <si>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</si>
  <si>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</si>
  <si>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</si>
  <si>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</si>
  <si>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</si>
  <si>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</si>
  <si>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</si>
  <si>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</si>
  <si>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</si>
  <si>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</si>
  <si>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</si>
  <si>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</si>
  <si>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</si>
  <si>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</si>
  <si>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</si>
  <si>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</si>
  <si>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</si>
  <si>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</si>
  <si>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</si>
  <si>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</si>
  <si>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</si>
  <si>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</si>
  <si>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</si>
  <si>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</si>
  <si>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</si>
  <si>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</si>
  <si>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</si>
  <si>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</si>
  <si>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</si>
  <si>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</si>
  <si>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</si>
  <si>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</si>
  <si>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</si>
  <si>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</si>
  <si>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</si>
  <si>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</si>
  <si>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</si>
  <si>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</si>
  <si>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</si>
  <si>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</si>
  <si>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</si>
  <si>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</si>
  <si>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</si>
  <si>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</si>
  <si>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</si>
  <si>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</si>
  <si>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</si>
  <si>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</si>
  <si>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</si>
  <si>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</si>
  <si>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</si>
  <si>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</si>
  <si>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</si>
  <si>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</si>
  <si>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</si>
  <si>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</si>
  <si>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</si>
  <si>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</si>
  <si>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</si>
  <si>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</si>
  <si>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</si>
  <si>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</si>
  <si>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</si>
  <si>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</si>
  <si>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</si>
  <si>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</si>
  <si>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</si>
  <si>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</si>
  <si>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</si>
  <si>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</si>
  <si>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</si>
  <si>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</si>
  <si>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</si>
  <si>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</si>
  <si>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</si>
  <si>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</si>
  <si>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</si>
  <si>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</si>
  <si>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</si>
  <si>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</si>
  <si>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</si>
  <si>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</si>
  <si>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</si>
  <si>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</si>
  <si>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</si>
  <si>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</si>
  <si>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</si>
  <si>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</si>
  <si>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</si>
  <si>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</si>
  <si>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</si>
  <si>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</si>
  <si>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</si>
  <si>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</si>
  <si>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</si>
  <si>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</si>
  <si>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</si>
  <si>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</si>
  <si>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</si>
  <si>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</si>
  <si>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</si>
  <si>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</si>
  <si>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</si>
  <si>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</si>
  <si>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</si>
  <si>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</si>
  <si>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</si>
  <si>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</si>
  <si>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</si>
  <si>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</si>
  <si>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</si>
  <si>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</si>
  <si>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</si>
  <si>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</si>
  <si>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</si>
  <si>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</si>
  <si>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</si>
  <si>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</si>
  <si>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</si>
  <si>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</si>
  <si>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</si>
  <si>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</si>
  <si>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</si>
  <si>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</si>
  <si>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</si>
  <si>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</si>
  <si>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</si>
  <si>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</si>
  <si>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</si>
  <si>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</si>
  <si>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</si>
  <si>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</si>
  <si>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</si>
  <si>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</si>
  <si>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</si>
  <si>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</si>
  <si>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</si>
  <si>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</si>
  <si>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</si>
  <si>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</si>
  <si>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</si>
  <si>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</si>
  <si>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</si>
  <si>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</si>
  <si>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</si>
  <si>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</si>
  <si>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</si>
  <si>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</si>
  <si>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</si>
  <si>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</si>
  <si>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</si>
  <si>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</si>
  <si>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</si>
  <si>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</si>
  <si>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</si>
  <si>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</si>
  <si>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</si>
  <si>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</si>
  <si>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</si>
  <si>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</si>
  <si>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</si>
  <si>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</si>
  <si>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</si>
  <si>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</si>
  <si>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</si>
  <si>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</si>
  <si>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</si>
  <si>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</si>
  <si>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</si>
  <si>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</si>
  <si>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</si>
  <si>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</si>
  <si>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</si>
  <si>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</si>
  <si>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</si>
  <si>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</si>
  <si>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</si>
  <si>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</si>
  <si>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</si>
  <si>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</si>
  <si>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</si>
  <si>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</si>
  <si>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</si>
  <si>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</si>
  <si>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</si>
  <si>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</si>
  <si>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</si>
  <si>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</si>
  <si>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</si>
  <si>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</si>
  <si>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</si>
  <si>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</si>
  <si>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</si>
  <si>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</si>
  <si>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</si>
  <si>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</si>
  <si>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</si>
  <si>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</si>
  <si>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</si>
  <si>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</si>
  <si>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</si>
  <si>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</si>
  <si>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</si>
  <si>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</si>
  <si>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</si>
  <si>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</si>
  <si>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</si>
  <si>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</si>
  <si>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</si>
  <si>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</si>
  <si>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</si>
  <si>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</si>
  <si>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</si>
  <si>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</si>
  <si>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</si>
  <si>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</si>
  <si>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</si>
  <si>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</si>
  <si>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</si>
  <si>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</si>
  <si>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</si>
  <si>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</si>
  <si>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</si>
  <si>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</si>
  <si>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</si>
  <si>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</si>
  <si>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</si>
  <si>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</si>
  <si>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</si>
  <si>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</si>
  <si>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</si>
  <si>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</si>
  <si>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</si>
  <si>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</si>
  <si>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</si>
  <si>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</si>
  <si>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</si>
  <si>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</si>
  <si>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</si>
  <si>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</si>
  <si>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</si>
  <si>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</si>
  <si>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</si>
  <si>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</si>
  <si>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</si>
  <si>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</si>
  <si>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</si>
  <si>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</si>
  <si>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</si>
  <si>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</si>
  <si>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</si>
  <si>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</si>
  <si>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</si>
  <si>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</si>
  <si>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</si>
  <si>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</si>
  <si>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</si>
  <si>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</si>
  <si>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</si>
  <si>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</si>
  <si>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</si>
  <si>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</si>
  <si>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</si>
  <si>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</si>
  <si>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</si>
  <si>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</si>
  <si>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</si>
  <si>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</si>
  <si>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</si>
  <si>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</si>
  <si>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</si>
  <si>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</si>
  <si>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</si>
  <si>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</si>
  <si>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</si>
  <si>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</si>
  <si>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</si>
  <si>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</si>
  <si>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</si>
  <si>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</si>
  <si>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</si>
  <si>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</si>
  <si>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</si>
  <si>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</si>
  <si>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</si>
  <si>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</si>
  <si>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</si>
  <si>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</si>
  <si>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</si>
  <si>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</si>
  <si>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</si>
  <si>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</si>
  <si>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</si>
  <si>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</si>
  <si>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</si>
  <si>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</si>
  <si>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</si>
  <si>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</si>
  <si>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</si>
  <si>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</si>
  <si>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</si>
  <si>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</si>
  <si>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</si>
  <si>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</si>
  <si>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</si>
  <si>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</si>
  <si>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</si>
  <si>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</si>
  <si>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</si>
  <si>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</si>
  <si>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</si>
  <si>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</si>
  <si>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</si>
  <si>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</si>
  <si>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</si>
  <si>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</si>
  <si>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</si>
  <si>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</si>
  <si>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</si>
  <si>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</si>
  <si>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</si>
  <si>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</si>
  <si>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</si>
  <si>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</si>
  <si>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</si>
  <si>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</si>
  <si>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</si>
  <si>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</si>
  <si>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</si>
  <si>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</si>
  <si>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</si>
  <si>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</si>
  <si>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</si>
  <si>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</si>
  <si>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</si>
  <si>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</si>
  <si>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</si>
  <si>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</si>
  <si>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</si>
  <si>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</si>
  <si>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</si>
  <si>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</si>
  <si>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</si>
  <si>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</si>
  <si>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</si>
  <si>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</si>
  <si>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</si>
  <si>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</si>
  <si>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</si>
  <si>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</si>
  <si>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</si>
  <si>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</si>
  <si>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</si>
  <si>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</si>
  <si>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</si>
  <si>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</si>
  <si>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</si>
  <si>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</si>
  <si>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</si>
  <si>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</si>
  <si>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</si>
  <si>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</si>
  <si>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</si>
  <si>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</si>
  <si>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</si>
  <si>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</si>
  <si>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</si>
  <si>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</si>
  <si>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</si>
  <si>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</si>
  <si>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</si>
  <si>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</si>
  <si>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</si>
  <si>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</si>
  <si>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</si>
  <si>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</si>
  <si>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</si>
  <si>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</si>
  <si>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28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</si>
</sst>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46231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868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Вторник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0.41666666666666669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281</v>
      </c>
      <c r="Y51" s="628">
        <f>IFERROR(IF(X51="",0,CEILING((X51/$H51),1)*$H51),"")</f>
        <v>291.60000000000002</v>
      </c>
      <c r="Z51" s="36">
        <f>IFERROR(IF(Y51=0,"",ROUNDUP(Y51/H51,0)*0.01898),"")</f>
        <v>0.51246000000000003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291.6675925925926</v>
      </c>
      <c r="BN51" s="64">
        <f>IFERROR(Y51*I51/H51,"0")</f>
        <v>302.67000000000007</v>
      </c>
      <c r="BO51" s="64">
        <f>IFERROR(1/J51*(X51/H51),"0")</f>
        <v>0.4065393518518518</v>
      </c>
      <c r="BP51" s="64">
        <f>IFERROR(1/J51*(Y51/H51),"0")</f>
        <v>0.421875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26.018518518518515</v>
      </c>
      <c r="Y55" s="629">
        <f>IFERROR(Y51/H51,"0")+IFERROR(Y52/H52,"0")+IFERROR(Y53/H53,"0")+IFERROR(Y54/H54,"0")</f>
        <v>27</v>
      </c>
      <c r="Z55" s="629">
        <f>IFERROR(IF(Z51="",0,Z51),"0")+IFERROR(IF(Z52="",0,Z52),"0")+IFERROR(IF(Z53="",0,Z53),"0")+IFERROR(IF(Z54="",0,Z54),"0")</f>
        <v>0.51246000000000003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281</v>
      </c>
      <c r="Y56" s="629">
        <f>IFERROR(SUM(Y51:Y54),"0")</f>
        <v>291.60000000000002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15</v>
      </c>
      <c r="Y59" s="628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15.549107142857142</v>
      </c>
      <c r="BN59" s="64">
        <f t="shared" ref="BN59:BN66" si="2">IFERROR(Y59*I59/H59,"0")</f>
        <v>23.22</v>
      </c>
      <c r="BO59" s="64">
        <f t="shared" ref="BO59:BO66" si="3">IFERROR(1/J59*(X59/H59),"0")</f>
        <v>2.0926339285714288E-2</v>
      </c>
      <c r="BP59" s="64">
        <f t="shared" ref="BP59:BP66" si="4">IFERROR(1/J59*(Y59/H59),"0")</f>
        <v>3.125E-2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1.3392857142857144</v>
      </c>
      <c r="Y67" s="629">
        <f>IFERROR(Y59/H59,"0")+IFERROR(Y60/H60,"0")+IFERROR(Y61/H61,"0")+IFERROR(Y62/H62,"0")+IFERROR(Y63/H63,"0")+IFERROR(Y64/H64,"0")+IFERROR(Y65/H65,"0")+IFERROR(Y66/H66,"0")</f>
        <v>2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3.7960000000000001E-2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15</v>
      </c>
      <c r="Y68" s="629">
        <f>IFERROR(SUM(Y59:Y66),"0")</f>
        <v>22.4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42</v>
      </c>
      <c r="Y82" s="628">
        <f>IFERROR(IF(X82="",0,CEILING((X82/$H82),1)*$H82),"")</f>
        <v>46.8</v>
      </c>
      <c r="Z82" s="36">
        <f>IFERROR(IF(Y82=0,"",ROUNDUP(Y82/H82,0)*0.01898),"")</f>
        <v>0.11388000000000001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44.207692307692312</v>
      </c>
      <c r="BN82" s="64">
        <f>IFERROR(Y82*I82/H82,"0")</f>
        <v>49.260000000000005</v>
      </c>
      <c r="BO82" s="64">
        <f>IFERROR(1/J82*(X82/H82),"0")</f>
        <v>8.4134615384615391E-2</v>
      </c>
      <c r="BP82" s="64">
        <f>IFERROR(1/J82*(Y82/H82),"0")</f>
        <v>9.375E-2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5.384615384615385</v>
      </c>
      <c r="Y84" s="629">
        <f>IFERROR(Y82/H82,"0")+IFERROR(Y83/H83,"0")</f>
        <v>6</v>
      </c>
      <c r="Z84" s="629">
        <f>IFERROR(IF(Z82="",0,Z82),"0")+IFERROR(IF(Z83="",0,Z83),"0")</f>
        <v>0.11388000000000001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42</v>
      </c>
      <c r="Y85" s="629">
        <f>IFERROR(SUM(Y82:Y83),"0")</f>
        <v>46.8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283</v>
      </c>
      <c r="Y97" s="628">
        <f>IFERROR(IF(X97="",0,CEILING((X97/$H97),1)*$H97),"")</f>
        <v>283.5</v>
      </c>
      <c r="Z97" s="36">
        <f>IFERROR(IF(Y97=0,"",ROUNDUP(Y97/H97,0)*0.00651),"")</f>
        <v>0.68354999999999999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309.4133333333333</v>
      </c>
      <c r="BN97" s="64">
        <f>IFERROR(Y97*I97/H97,"0")</f>
        <v>309.95999999999998</v>
      </c>
      <c r="BO97" s="64">
        <f>IFERROR(1/J97*(X97/H97),"0")</f>
        <v>0.57590557590557589</v>
      </c>
      <c r="BP97" s="64">
        <f>IFERROR(1/J97*(Y97/H97),"0")</f>
        <v>0.57692307692307698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104.81481481481481</v>
      </c>
      <c r="Y99" s="629">
        <f>IFERROR(Y95/H95,"0")+IFERROR(Y96/H96,"0")+IFERROR(Y97/H97,"0")+IFERROR(Y98/H98,"0")</f>
        <v>105</v>
      </c>
      <c r="Z99" s="629">
        <f>IFERROR(IF(Z95="",0,Z95),"0")+IFERROR(IF(Z96="",0,Z96),"0")+IFERROR(IF(Z97="",0,Z97),"0")+IFERROR(IF(Z98="",0,Z98),"0")</f>
        <v>0.68354999999999999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283</v>
      </c>
      <c r="Y100" s="629">
        <f>IFERROR(SUM(Y95:Y98),"0")</f>
        <v>283.5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99</v>
      </c>
      <c r="Y103" s="628">
        <f t="shared" ref="Y103:Y108" si="5">IFERROR(IF(X103="",0,CEILING((X103/$H103),1)*$H103),"")</f>
        <v>108</v>
      </c>
      <c r="Z103" s="36">
        <f>IFERROR(IF(Y103=0,"",ROUNDUP(Y103/H103,0)*0.01898),"")</f>
        <v>0.1898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102.75833333333334</v>
      </c>
      <c r="BN103" s="64">
        <f t="shared" ref="BN103:BN108" si="7">IFERROR(Y103*I103/H103,"0")</f>
        <v>112.1</v>
      </c>
      <c r="BO103" s="64">
        <f t="shared" ref="BO103:BO108" si="8">IFERROR(1/J103*(X103/H103),"0")</f>
        <v>0.14322916666666666</v>
      </c>
      <c r="BP103" s="64">
        <f t="shared" ref="BP103:BP108" si="9">IFERROR(1/J103*(Y103/H103),"0")</f>
        <v>0.15625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9.1666666666666661</v>
      </c>
      <c r="Y109" s="629">
        <f>IFERROR(Y103/H103,"0")+IFERROR(Y104/H104,"0")+IFERROR(Y105/H105,"0")+IFERROR(Y106/H106,"0")+IFERROR(Y107/H107,"0")+IFERROR(Y108/H108,"0")</f>
        <v>10</v>
      </c>
      <c r="Z109" s="629">
        <f>IFERROR(IF(Z103="",0,Z103),"0")+IFERROR(IF(Z104="",0,Z104),"0")+IFERROR(IF(Z105="",0,Z105),"0")+IFERROR(IF(Z106="",0,Z106),"0")+IFERROR(IF(Z107="",0,Z107),"0")+IFERROR(IF(Z108="",0,Z108),"0")</f>
        <v>0.1898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99</v>
      </c>
      <c r="Y110" s="629">
        <f>IFERROR(SUM(Y103:Y108),"0")</f>
        <v>108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43</v>
      </c>
      <c r="Y112" s="628">
        <f>IFERROR(IF(X112="",0,CEILING((X112/$H112),1)*$H112),"")</f>
        <v>43.2</v>
      </c>
      <c r="Z112" s="36">
        <f>IFERROR(IF(Y112=0,"",ROUNDUP(Y112/H112,0)*0.01898),"")</f>
        <v>7.5920000000000001E-2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44.632407407407406</v>
      </c>
      <c r="BN112" s="64">
        <f>IFERROR(Y112*I112/H112,"0")</f>
        <v>44.84</v>
      </c>
      <c r="BO112" s="64">
        <f>IFERROR(1/J112*(X112/H112),"0")</f>
        <v>6.2210648148148147E-2</v>
      </c>
      <c r="BP112" s="64">
        <f>IFERROR(1/J112*(Y112/H112),"0")</f>
        <v>6.25E-2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3</v>
      </c>
      <c r="Y116" s="628">
        <f>IFERROR(IF(X116="",0,CEILING((X116/$H116),1)*$H116),"")</f>
        <v>4.8</v>
      </c>
      <c r="Z116" s="36">
        <f>IFERROR(IF(Y116=0,"",ROUNDUP(Y116/H116,0)*0.00651),"")</f>
        <v>1.302E-2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3.2250000000000001</v>
      </c>
      <c r="BN116" s="64">
        <f>IFERROR(Y116*I116/H116,"0")</f>
        <v>5.16</v>
      </c>
      <c r="BO116" s="64">
        <f>IFERROR(1/J116*(X116/H116),"0")</f>
        <v>6.8681318681318689E-3</v>
      </c>
      <c r="BP116" s="64">
        <f>IFERROR(1/J116*(Y116/H116),"0")</f>
        <v>1.098901098901099E-2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5.231481481481481</v>
      </c>
      <c r="Y117" s="629">
        <f>IFERROR(Y112/H112,"0")+IFERROR(Y113/H113,"0")+IFERROR(Y114/H114,"0")+IFERROR(Y115/H115,"0")+IFERROR(Y116/H116,"0")</f>
        <v>6</v>
      </c>
      <c r="Z117" s="629">
        <f>IFERROR(IF(Z112="",0,Z112),"0")+IFERROR(IF(Z113="",0,Z113),"0")+IFERROR(IF(Z114="",0,Z114),"0")+IFERROR(IF(Z115="",0,Z115),"0")+IFERROR(IF(Z116="",0,Z116),"0")</f>
        <v>8.8940000000000005E-2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46</v>
      </c>
      <c r="Y118" s="629">
        <f>IFERROR(SUM(Y112:Y116),"0")</f>
        <v>48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43</v>
      </c>
      <c r="Y134" s="628">
        <f>IFERROR(IF(X134="",0,CEILING((X134/$H134),1)*$H134),"")</f>
        <v>44.800000000000004</v>
      </c>
      <c r="Z134" s="36">
        <f>IFERROR(IF(Y134=0,"",ROUNDUP(Y134/H134,0)*0.00651),"")</f>
        <v>9.1139999999999999E-2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45.418749999999996</v>
      </c>
      <c r="BN134" s="64">
        <f>IFERROR(Y134*I134/H134,"0")</f>
        <v>47.32</v>
      </c>
      <c r="BO134" s="64">
        <f>IFERROR(1/J134*(X134/H134),"0")</f>
        <v>7.3832417582417584E-2</v>
      </c>
      <c r="BP134" s="64">
        <f>IFERROR(1/J134*(Y134/H134),"0")</f>
        <v>7.6923076923076927E-2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13.4375</v>
      </c>
      <c r="Y136" s="629">
        <f>IFERROR(Y132/H132,"0")+IFERROR(Y133/H133,"0")+IFERROR(Y134/H134,"0")+IFERROR(Y135/H135,"0")</f>
        <v>14</v>
      </c>
      <c r="Z136" s="629">
        <f>IFERROR(IF(Z132="",0,Z132),"0")+IFERROR(IF(Z133="",0,Z133),"0")+IFERROR(IF(Z134="",0,Z134),"0")+IFERROR(IF(Z135="",0,Z135),"0")</f>
        <v>9.1139999999999999E-2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43</v>
      </c>
      <c r="Y137" s="629">
        <f>IFERROR(SUM(Y132:Y135),"0")</f>
        <v>44.800000000000004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22</v>
      </c>
      <c r="Y141" s="628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7.8571428571428577</v>
      </c>
      <c r="Y143" s="629">
        <f>IFERROR(Y139/H139,"0")+IFERROR(Y140/H140,"0")+IFERROR(Y141/H141,"0")+IFERROR(Y142/H142,"0")</f>
        <v>8</v>
      </c>
      <c r="Z143" s="629">
        <f>IFERROR(IF(Z139="",0,Z139),"0")+IFERROR(IF(Z140="",0,Z140),"0")+IFERROR(IF(Z141="",0,Z141),"0")+IFERROR(IF(Z142="",0,Z142),"0")</f>
        <v>5.2080000000000001E-2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22</v>
      </c>
      <c r="Y144" s="629">
        <f>IFERROR(SUM(Y139:Y142),"0")</f>
        <v>22.4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22</v>
      </c>
      <c r="Y148" s="628">
        <f>IFERROR(IF(X148="",0,CEILING((X148/$H148),1)*$H148),"")</f>
        <v>23.76</v>
      </c>
      <c r="Z148" s="36">
        <f>IFERROR(IF(Y148=0,"",ROUNDUP(Y148/H148,0)*0.00651),"")</f>
        <v>5.8590000000000003E-2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24.233333333333331</v>
      </c>
      <c r="BN148" s="64">
        <f>IFERROR(Y148*I148/H148,"0")</f>
        <v>26.172000000000001</v>
      </c>
      <c r="BO148" s="64">
        <f>IFERROR(1/J148*(X148/H148),"0")</f>
        <v>4.5787545787545784E-2</v>
      </c>
      <c r="BP148" s="64">
        <f>IFERROR(1/J148*(Y148/H148),"0")</f>
        <v>4.9450549450549455E-2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8.3333333333333321</v>
      </c>
      <c r="Y150" s="629">
        <f>IFERROR(Y146/H146,"0")+IFERROR(Y147/H147,"0")+IFERROR(Y148/H148,"0")+IFERROR(Y149/H149,"0")</f>
        <v>9</v>
      </c>
      <c r="Z150" s="629">
        <f>IFERROR(IF(Z146="",0,Z146),"0")+IFERROR(IF(Z147="",0,Z147),"0")+IFERROR(IF(Z148="",0,Z148),"0")+IFERROR(IF(Z149="",0,Z149),"0")</f>
        <v>5.8590000000000003E-2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22</v>
      </c>
      <c r="Y151" s="629">
        <f>IFERROR(SUM(Y146:Y149),"0")</f>
        <v>23.76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109</v>
      </c>
      <c r="Y179" s="628">
        <f t="shared" si="10"/>
        <v>112</v>
      </c>
      <c r="Z179" s="36">
        <f>IFERROR(IF(Y179=0,"",ROUNDUP(Y179/H179,0)*0.00902),"")</f>
        <v>0.28864000000000001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114.91714285714285</v>
      </c>
      <c r="BN179" s="64">
        <f t="shared" si="12"/>
        <v>118.08</v>
      </c>
      <c r="BO179" s="64">
        <f t="shared" si="13"/>
        <v>0.23593073593073594</v>
      </c>
      <c r="BP179" s="64">
        <f t="shared" si="14"/>
        <v>0.24242424242424243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165</v>
      </c>
      <c r="Y180" s="628">
        <f t="shared" si="10"/>
        <v>168</v>
      </c>
      <c r="Z180" s="36">
        <f>IFERROR(IF(Y180=0,"",ROUNDUP(Y180/H180,0)*0.00902),"")</f>
        <v>0.43296000000000001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173.95714285714286</v>
      </c>
      <c r="BN180" s="64">
        <f t="shared" si="12"/>
        <v>177.11999999999998</v>
      </c>
      <c r="BO180" s="64">
        <f t="shared" si="13"/>
        <v>0.35714285714285715</v>
      </c>
      <c r="BP180" s="64">
        <f t="shared" si="14"/>
        <v>0.36363636363636365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67</v>
      </c>
      <c r="Y182" s="628">
        <f t="shared" si="10"/>
        <v>67.2</v>
      </c>
      <c r="Z182" s="36">
        <f>IFERROR(IF(Y182=0,"",ROUNDUP(Y182/H182,0)*0.00502),"")</f>
        <v>0.20080000000000001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70.988095238095241</v>
      </c>
      <c r="BN182" s="64">
        <f t="shared" si="12"/>
        <v>71.200000000000017</v>
      </c>
      <c r="BO182" s="64">
        <f t="shared" si="13"/>
        <v>0.17043142043142046</v>
      </c>
      <c r="BP182" s="64">
        <f t="shared" si="14"/>
        <v>0.17094017094017094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3</v>
      </c>
      <c r="Y183" s="628">
        <f t="shared" si="10"/>
        <v>3.6</v>
      </c>
      <c r="Z183" s="36">
        <f>IFERROR(IF(Y183=0,"",ROUNDUP(Y183/H183,0)*0.00417),"")</f>
        <v>1.668E-2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3.7</v>
      </c>
      <c r="BN183" s="64">
        <f t="shared" si="12"/>
        <v>4.4400000000000004</v>
      </c>
      <c r="BO183" s="64">
        <f t="shared" si="13"/>
        <v>9.9206349206349183E-3</v>
      </c>
      <c r="BP183" s="64">
        <f t="shared" si="14"/>
        <v>1.1904761904761904E-2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115</v>
      </c>
      <c r="Y185" s="628">
        <f t="shared" si="10"/>
        <v>115.92</v>
      </c>
      <c r="Z185" s="36">
        <f>IFERROR(IF(Y185=0,"",ROUNDUP(Y185/H185,0)*0.00502),"")</f>
        <v>0.34638000000000002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121.84523809523812</v>
      </c>
      <c r="BN185" s="64">
        <f t="shared" si="12"/>
        <v>122.82000000000001</v>
      </c>
      <c r="BO185" s="64">
        <f t="shared" si="13"/>
        <v>0.29253154253154257</v>
      </c>
      <c r="BP185" s="64">
        <f t="shared" si="14"/>
        <v>0.29487179487179488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71</v>
      </c>
      <c r="Y187" s="628">
        <f t="shared" si="10"/>
        <v>72.239999999999995</v>
      </c>
      <c r="Z187" s="36">
        <f>IFERROR(IF(Y187=0,"",ROUNDUP(Y187/H187,0)*0.00502),"")</f>
        <v>0.21586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75.226190476190482</v>
      </c>
      <c r="BN187" s="64">
        <f t="shared" si="12"/>
        <v>76.540000000000006</v>
      </c>
      <c r="BO187" s="64">
        <f t="shared" si="13"/>
        <v>0.18060643060643064</v>
      </c>
      <c r="BP187" s="64">
        <f t="shared" si="14"/>
        <v>0.18376068376068377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232.21428571428572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236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1.50132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530</v>
      </c>
      <c r="Y189" s="629">
        <f>IFERROR(SUM(Y177:Y187),"0")</f>
        <v>538.96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1</v>
      </c>
      <c r="Y226" s="628">
        <f t="shared" si="21"/>
        <v>1.6</v>
      </c>
      <c r="Z226" s="36">
        <f>IFERROR(IF(Y226=0,"",ROUNDUP(Y226/H226,0)*0.00556),"")</f>
        <v>1.112E-2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1.1625000000000001</v>
      </c>
      <c r="BN226" s="64">
        <f t="shared" si="23"/>
        <v>1.86</v>
      </c>
      <c r="BO226" s="64">
        <f t="shared" si="24"/>
        <v>4.96031746031746E-3</v>
      </c>
      <c r="BP226" s="64">
        <f t="shared" si="25"/>
        <v>7.9365079365079361E-3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86</v>
      </c>
      <c r="Y227" s="628">
        <f t="shared" si="21"/>
        <v>86.100000000000009</v>
      </c>
      <c r="Z227" s="36">
        <f t="shared" ref="Z227:Z232" si="26">IFERROR(IF(Y227=0,"",ROUNDUP(Y227/H227,0)*0.00502),"")</f>
        <v>0.20582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91.323809523809516</v>
      </c>
      <c r="BN227" s="64">
        <f t="shared" si="23"/>
        <v>91.43</v>
      </c>
      <c r="BO227" s="64">
        <f t="shared" si="24"/>
        <v>0.17501017501017502</v>
      </c>
      <c r="BP227" s="64">
        <f t="shared" si="25"/>
        <v>0.17521367521367523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20</v>
      </c>
      <c r="Y232" s="628">
        <f t="shared" si="21"/>
        <v>21.6</v>
      </c>
      <c r="Z232" s="36">
        <f t="shared" si="26"/>
        <v>6.0240000000000002E-2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21.444444444444446</v>
      </c>
      <c r="BN232" s="64">
        <f t="shared" si="23"/>
        <v>23.16</v>
      </c>
      <c r="BO232" s="64">
        <f t="shared" si="24"/>
        <v>4.7483380816714153E-2</v>
      </c>
      <c r="BP232" s="64">
        <f t="shared" si="25"/>
        <v>5.1282051282051287E-2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2</v>
      </c>
      <c r="Y233" s="628">
        <f t="shared" si="21"/>
        <v>2.4000000000000004</v>
      </c>
      <c r="Z233" s="36">
        <f>IFERROR(IF(Y233=0,"",ROUNDUP(Y233/H233,0)*0.00417),"")</f>
        <v>1.251E-2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2.5249999999999999</v>
      </c>
      <c r="BN233" s="64">
        <f t="shared" si="23"/>
        <v>3.0300000000000002</v>
      </c>
      <c r="BO233" s="64">
        <f t="shared" si="24"/>
        <v>7.4404761904761901E-3</v>
      </c>
      <c r="BP233" s="64">
        <f t="shared" si="25"/>
        <v>8.9285714285714298E-3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184</v>
      </c>
      <c r="Y234" s="628">
        <f t="shared" si="21"/>
        <v>184.8</v>
      </c>
      <c r="Z234" s="36">
        <f>IFERROR(IF(Y234=0,"",ROUNDUP(Y234/H234,0)*0.00502),"")</f>
        <v>0.44176000000000004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192.76190476190476</v>
      </c>
      <c r="BN234" s="64">
        <f t="shared" si="23"/>
        <v>193.60000000000002</v>
      </c>
      <c r="BO234" s="64">
        <f t="shared" si="24"/>
        <v>0.37444037444037448</v>
      </c>
      <c r="BP234" s="64">
        <f t="shared" si="25"/>
        <v>0.37606837606837612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143.4325396825397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146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0.73145000000000004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293</v>
      </c>
      <c r="Y238" s="629">
        <f>IFERROR(SUM(Y223:Y236),"0")</f>
        <v>296.5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3</v>
      </c>
      <c r="Y249" s="628">
        <f>IFERROR(IF(X249="",0,CEILING((X249/$H249),1)*$H249),"")</f>
        <v>3.7800000000000002</v>
      </c>
      <c r="Z249" s="36">
        <f>IFERROR(IF(Y249=0,"",ROUNDUP(Y249/H249,0)*0.0059),"")</f>
        <v>1.77E-2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3.4523809523809521</v>
      </c>
      <c r="BN249" s="64">
        <f>IFERROR(Y249*I249/H249,"0")</f>
        <v>4.3499999999999996</v>
      </c>
      <c r="BO249" s="64">
        <f>IFERROR(1/J249*(X249/H249),"0")</f>
        <v>1.1022927689594356E-2</v>
      </c>
      <c r="BP249" s="64">
        <f>IFERROR(1/J249*(Y249/H249),"0")</f>
        <v>1.3888888888888888E-2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1</v>
      </c>
      <c r="Y250" s="628">
        <f>IFERROR(IF(X250="",0,CEILING((X250/$H250),1)*$H250),"")</f>
        <v>1.26</v>
      </c>
      <c r="Z250" s="36">
        <f>IFERROR(IF(Y250=0,"",ROUNDUP(Y250/H250,0)*0.0059),"")</f>
        <v>5.8999999999999999E-3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1.1507936507936507</v>
      </c>
      <c r="BN250" s="64">
        <f>IFERROR(Y250*I250/H250,"0")</f>
        <v>1.45</v>
      </c>
      <c r="BO250" s="64">
        <f>IFERROR(1/J250*(X250/H250),"0")</f>
        <v>3.6743092298647849E-3</v>
      </c>
      <c r="BP250" s="64">
        <f>IFERROR(1/J250*(Y250/H250),"0")</f>
        <v>4.6296296296296294E-3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3.1746031746031744</v>
      </c>
      <c r="Y251" s="629">
        <f>IFERROR(Y248/H248,"0")+IFERROR(Y249/H249,"0")+IFERROR(Y250/H250,"0")</f>
        <v>4</v>
      </c>
      <c r="Z251" s="629">
        <f>IFERROR(IF(Z248="",0,Z248),"0")+IFERROR(IF(Z249="",0,Z249),"0")+IFERROR(IF(Z250="",0,Z250),"0")</f>
        <v>2.3599999999999999E-2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4</v>
      </c>
      <c r="Y252" s="629">
        <f>IFERROR(SUM(Y248:Y250),"0")</f>
        <v>5.04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1</v>
      </c>
      <c r="Y254" s="628">
        <f>IFERROR(IF(X254="",0,CEILING((X254/$H254),1)*$H254),"")</f>
        <v>1.26</v>
      </c>
      <c r="Z254" s="36">
        <f>IFERROR(IF(Y254=0,"",ROUNDUP(Y254/H254,0)*0.0059),"")</f>
        <v>5.8999999999999999E-3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1.1507936507936507</v>
      </c>
      <c r="BN254" s="64">
        <f>IFERROR(Y254*I254/H254,"0")</f>
        <v>1.45</v>
      </c>
      <c r="BO254" s="64">
        <f>IFERROR(1/J254*(X254/H254),"0")</f>
        <v>3.6743092298647849E-3</v>
      </c>
      <c r="BP254" s="64">
        <f>IFERROR(1/J254*(Y254/H254),"0")</f>
        <v>4.6296296296296294E-3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0.79365079365079361</v>
      </c>
      <c r="Y255" s="629">
        <f>IFERROR(Y254/H254,"0")</f>
        <v>1</v>
      </c>
      <c r="Z255" s="629">
        <f>IFERROR(IF(Z254="",0,Z254),"0")</f>
        <v>5.8999999999999999E-3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1</v>
      </c>
      <c r="Y256" s="629">
        <f>IFERROR(SUM(Y254:Y254),"0")</f>
        <v>1.26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229</v>
      </c>
      <c r="Y270" s="628">
        <f t="shared" si="27"/>
        <v>232.20000000000002</v>
      </c>
      <c r="Z270" s="36">
        <f>IFERROR(IF(Y270=0,"",ROUNDUP(Y270/H270,0)*0.00902),"")</f>
        <v>0.38785999999999998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237.05740740740737</v>
      </c>
      <c r="BN270" s="64">
        <f t="shared" si="29"/>
        <v>240.37</v>
      </c>
      <c r="BO270" s="64">
        <f t="shared" si="30"/>
        <v>0.32126823793490461</v>
      </c>
      <c r="BP270" s="64">
        <f t="shared" si="31"/>
        <v>0.32575757575757575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353</v>
      </c>
      <c r="Y271" s="628">
        <f t="shared" si="27"/>
        <v>356.40000000000003</v>
      </c>
      <c r="Z271" s="36">
        <f>IFERROR(IF(Y271=0,"",ROUNDUP(Y271/H271,0)*0.00902),"")</f>
        <v>0.59532000000000007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365.42037037037034</v>
      </c>
      <c r="BN271" s="64">
        <f t="shared" si="29"/>
        <v>368.94</v>
      </c>
      <c r="BO271" s="64">
        <f t="shared" si="30"/>
        <v>0.49523007856341189</v>
      </c>
      <c r="BP271" s="64">
        <f t="shared" si="31"/>
        <v>0.5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43</v>
      </c>
      <c r="Y276" s="628">
        <f t="shared" si="27"/>
        <v>43.2</v>
      </c>
      <c r="Z276" s="36">
        <f>IFERROR(IF(Y276=0,"",ROUNDUP(Y276/H276,0)*0.00502),"")</f>
        <v>0.12048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45.388888888888893</v>
      </c>
      <c r="BN276" s="64">
        <f t="shared" si="29"/>
        <v>45.6</v>
      </c>
      <c r="BO276" s="64">
        <f t="shared" si="30"/>
        <v>0.10208926875593544</v>
      </c>
      <c r="BP276" s="64">
        <f t="shared" si="31"/>
        <v>0.10256410256410257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131.66666666666666</v>
      </c>
      <c r="Y277" s="629">
        <f>IFERROR(Y269/H269,"0")+IFERROR(Y270/H270,"0")+IFERROR(Y271/H271,"0")+IFERROR(Y272/H272,"0")+IFERROR(Y273/H273,"0")+IFERROR(Y274/H274,"0")+IFERROR(Y275/H275,"0")+IFERROR(Y276/H276,"0")</f>
        <v>133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1.1036600000000001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625</v>
      </c>
      <c r="Y278" s="629">
        <f>IFERROR(SUM(Y269:Y276),"0")</f>
        <v>631.80000000000007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62</v>
      </c>
      <c r="Y280" s="628">
        <f t="shared" ref="Y280:Y291" si="32">IFERROR(IF(X280="",0,CEILING((X280/$H280),1)*$H280),"")</f>
        <v>64.8</v>
      </c>
      <c r="Z280" s="36">
        <f>IFERROR(IF(Y280=0,"",ROUNDUP(Y280/H280,0)*0.01898),"")</f>
        <v>0.15184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65.781234567901237</v>
      </c>
      <c r="BN280" s="64">
        <f t="shared" ref="BN280:BN291" si="34">IFERROR(Y280*I280/H280,"0")</f>
        <v>68.751999999999995</v>
      </c>
      <c r="BO280" s="64">
        <f t="shared" ref="BO280:BO291" si="35">IFERROR(1/J280*(X280/H280),"0")</f>
        <v>0.11959876543209877</v>
      </c>
      <c r="BP280" s="64">
        <f t="shared" ref="BP280:BP291" si="36">IFERROR(1/J280*(Y280/H280),"0")</f>
        <v>0.125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7</v>
      </c>
      <c r="Y281" s="628">
        <f t="shared" si="32"/>
        <v>8.1</v>
      </c>
      <c r="Z281" s="36">
        <f>IFERROR(IF(Y281=0,"",ROUNDUP(Y281/H281,0)*0.01898),"")</f>
        <v>1.898E-2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7.4113580246913591</v>
      </c>
      <c r="BN281" s="64">
        <f t="shared" si="34"/>
        <v>8.5760000000000005</v>
      </c>
      <c r="BO281" s="64">
        <f t="shared" si="35"/>
        <v>1.3503086419753087E-2</v>
      </c>
      <c r="BP281" s="64">
        <f t="shared" si="36"/>
        <v>1.5625E-2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154</v>
      </c>
      <c r="Y283" s="628">
        <f t="shared" si="32"/>
        <v>156</v>
      </c>
      <c r="Z283" s="36">
        <f>IFERROR(IF(Y283=0,"",ROUNDUP(Y283/H283,0)*0.00651),"")</f>
        <v>0.42315000000000003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171.32500000000002</v>
      </c>
      <c r="BN283" s="64">
        <f t="shared" si="34"/>
        <v>173.55</v>
      </c>
      <c r="BO283" s="64">
        <f t="shared" si="35"/>
        <v>0.35256410256410264</v>
      </c>
      <c r="BP283" s="64">
        <f t="shared" si="36"/>
        <v>0.35714285714285715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715</v>
      </c>
      <c r="Y286" s="628">
        <f t="shared" si="32"/>
        <v>715.19999999999993</v>
      </c>
      <c r="Z286" s="36">
        <f>IFERROR(IF(Y286=0,"",ROUNDUP(Y286/H286,0)*0.00651),"")</f>
        <v>1.93998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790.07500000000005</v>
      </c>
      <c r="BN286" s="64">
        <f t="shared" si="34"/>
        <v>790.29600000000005</v>
      </c>
      <c r="BO286" s="64">
        <f t="shared" si="35"/>
        <v>1.6369047619047621</v>
      </c>
      <c r="BP286" s="64">
        <f t="shared" si="36"/>
        <v>1.6373626373626375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324</v>
      </c>
      <c r="Y288" s="628">
        <f t="shared" si="32"/>
        <v>324</v>
      </c>
      <c r="Z288" s="36">
        <f>IFERROR(IF(Y288=0,"",ROUNDUP(Y288/H288,0)*0.00651),"")</f>
        <v>0.87885000000000002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358.02000000000004</v>
      </c>
      <c r="BN288" s="64">
        <f t="shared" si="34"/>
        <v>358.02000000000004</v>
      </c>
      <c r="BO288" s="64">
        <f t="shared" si="35"/>
        <v>0.74175824175824179</v>
      </c>
      <c r="BP288" s="64">
        <f t="shared" si="36"/>
        <v>0.74175824175824179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80</v>
      </c>
      <c r="Y289" s="628">
        <f t="shared" si="32"/>
        <v>81.599999999999994</v>
      </c>
      <c r="Z289" s="36">
        <f>IFERROR(IF(Y289=0,"",ROUNDUP(Y289/H289,0)*0.00651),"")</f>
        <v>0.22134000000000001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88.40000000000002</v>
      </c>
      <c r="BN289" s="64">
        <f t="shared" si="34"/>
        <v>90.168000000000006</v>
      </c>
      <c r="BO289" s="64">
        <f t="shared" si="35"/>
        <v>0.18315018315018317</v>
      </c>
      <c r="BP289" s="64">
        <f t="shared" si="36"/>
        <v>0.18681318681318682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196</v>
      </c>
      <c r="Y290" s="628">
        <f t="shared" si="32"/>
        <v>196.79999999999998</v>
      </c>
      <c r="Z290" s="36">
        <f>IFERROR(IF(Y290=0,"",ROUNDUP(Y290/H290,0)*0.00651),"")</f>
        <v>0.53381999999999996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217.07</v>
      </c>
      <c r="BN290" s="64">
        <f t="shared" si="34"/>
        <v>217.95599999999999</v>
      </c>
      <c r="BO290" s="64">
        <f t="shared" si="35"/>
        <v>0.44871794871794879</v>
      </c>
      <c r="BP290" s="64">
        <f t="shared" si="36"/>
        <v>0.45054945054945056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620.60185185185185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623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4.1679599999999999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1538</v>
      </c>
      <c r="Y293" s="629">
        <f>IFERROR(SUM(Y280:Y291),"0")</f>
        <v>1546.4999999999998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6</v>
      </c>
      <c r="Y295" s="628">
        <f>IFERROR(IF(X295="",0,CEILING((X295/$H295),1)*$H295),"")</f>
        <v>7.1999999999999993</v>
      </c>
      <c r="Z295" s="36">
        <f>IFERROR(IF(Y295=0,"",ROUNDUP(Y295/H295,0)*0.00651),"")</f>
        <v>1.9529999999999999E-2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6.6300000000000008</v>
      </c>
      <c r="BN295" s="64">
        <f>IFERROR(Y295*I295/H295,"0")</f>
        <v>7.9560000000000004</v>
      </c>
      <c r="BO295" s="64">
        <f>IFERROR(1/J295*(X295/H295),"0")</f>
        <v>1.3736263736263738E-2</v>
      </c>
      <c r="BP295" s="64">
        <f>IFERROR(1/J295*(Y295/H295),"0")</f>
        <v>1.6483516483516484E-2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19</v>
      </c>
      <c r="Y296" s="628">
        <f>IFERROR(IF(X296="",0,CEILING((X296/$H296),1)*$H296),"")</f>
        <v>19.2</v>
      </c>
      <c r="Z296" s="36">
        <f>IFERROR(IF(Y296=0,"",ROUNDUP(Y296/H296,0)*0.00651),"")</f>
        <v>5.2080000000000001E-2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20.995000000000005</v>
      </c>
      <c r="BN296" s="64">
        <f>IFERROR(Y296*I296/H296,"0")</f>
        <v>21.216000000000001</v>
      </c>
      <c r="BO296" s="64">
        <f>IFERROR(1/J296*(X296/H296),"0")</f>
        <v>4.3498168498168503E-2</v>
      </c>
      <c r="BP296" s="64">
        <f>IFERROR(1/J296*(Y296/H296),"0")</f>
        <v>4.3956043956043959E-2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10.416666666666668</v>
      </c>
      <c r="Y297" s="629">
        <f>IFERROR(Y295/H295,"0")+IFERROR(Y296/H296,"0")</f>
        <v>11</v>
      </c>
      <c r="Z297" s="629">
        <f>IFERROR(IF(Z295="",0,Z295),"0")+IFERROR(IF(Z296="",0,Z296),"0")</f>
        <v>7.1610000000000007E-2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25</v>
      </c>
      <c r="Y298" s="629">
        <f>IFERROR(SUM(Y295:Y296),"0")</f>
        <v>26.4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1</v>
      </c>
      <c r="Y315" s="628">
        <f>IFERROR(IF(X315="",0,CEILING((X315/$H315),1)*$H315),"")</f>
        <v>1.8</v>
      </c>
      <c r="Z315" s="36">
        <f>IFERROR(IF(Y315=0,"",ROUNDUP(Y315/H315,0)*0.0059),"")</f>
        <v>5.8999999999999999E-3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1.0972222222222223</v>
      </c>
      <c r="BN315" s="64">
        <f>IFERROR(Y315*I315/H315,"0")</f>
        <v>1.9750000000000001</v>
      </c>
      <c r="BO315" s="64">
        <f>IFERROR(1/J315*(X315/H315),"0")</f>
        <v>2.5720164609053498E-3</v>
      </c>
      <c r="BP315" s="64">
        <f>IFERROR(1/J315*(Y315/H315),"0")</f>
        <v>4.6296296296296294E-3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0.55555555555555558</v>
      </c>
      <c r="Y316" s="629">
        <f>IFERROR(Y315/H315,"0")</f>
        <v>1</v>
      </c>
      <c r="Z316" s="629">
        <f>IFERROR(IF(Z315="",0,Z315),"0")</f>
        <v>5.8999999999999999E-3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1</v>
      </c>
      <c r="Y317" s="629">
        <f>IFERROR(SUM(Y315:Y315),"0")</f>
        <v>1.8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160</v>
      </c>
      <c r="Y337" s="628">
        <f>IFERROR(IF(X337="",0,CEILING((X337/$H337),1)*$H337),"")</f>
        <v>160.79999999999998</v>
      </c>
      <c r="Z337" s="36">
        <f>IFERROR(IF(Y337=0,"",ROUNDUP(Y337/H337,0)*0.00651),"")</f>
        <v>0.43617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172</v>
      </c>
      <c r="BN337" s="64">
        <f>IFERROR(Y337*I337/H337,"0")</f>
        <v>172.85999999999999</v>
      </c>
      <c r="BO337" s="64">
        <f>IFERROR(1/J337*(X337/H337),"0")</f>
        <v>0.36630036630036633</v>
      </c>
      <c r="BP337" s="64">
        <f>IFERROR(1/J337*(Y337/H337),"0")</f>
        <v>0.36813186813186816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66.666666666666671</v>
      </c>
      <c r="Y338" s="629">
        <f>IFERROR(Y335/H335,"0")+IFERROR(Y336/H336,"0")+IFERROR(Y337/H337,"0")</f>
        <v>67</v>
      </c>
      <c r="Z338" s="629">
        <f>IFERROR(IF(Z335="",0,Z335),"0")+IFERROR(IF(Z336="",0,Z336),"0")+IFERROR(IF(Z337="",0,Z337),"0")</f>
        <v>0.43617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160</v>
      </c>
      <c r="Y339" s="629">
        <f>IFERROR(SUM(Y335:Y337),"0")</f>
        <v>160.79999999999998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109</v>
      </c>
      <c r="Y356" s="628">
        <f>IFERROR(IF(X356="",0,CEILING((X356/$H356),1)*$H356),"")</f>
        <v>109.2</v>
      </c>
      <c r="Z356" s="36">
        <f>IFERROR(IF(Y356=0,"",ROUNDUP(Y356/H356,0)*0.01898),"")</f>
        <v>0.26572000000000001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114.72948717948719</v>
      </c>
      <c r="BN356" s="64">
        <f>IFERROR(Y356*I356/H356,"0")</f>
        <v>114.94000000000003</v>
      </c>
      <c r="BO356" s="64">
        <f>IFERROR(1/J356*(X356/H356),"0")</f>
        <v>0.21834935897435898</v>
      </c>
      <c r="BP356" s="64">
        <f>IFERROR(1/J356*(Y356/H356),"0")</f>
        <v>0.21875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102</v>
      </c>
      <c r="Y357" s="628">
        <f>IFERROR(IF(X357="",0,CEILING((X357/$H357),1)*$H357),"")</f>
        <v>109.2</v>
      </c>
      <c r="Z357" s="36">
        <f>IFERROR(IF(Y357=0,"",ROUNDUP(Y357/H357,0)*0.01898),"")</f>
        <v>0.26572000000000001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107.36153846153847</v>
      </c>
      <c r="BN357" s="64">
        <f>IFERROR(Y357*I357/H357,"0")</f>
        <v>114.94000000000003</v>
      </c>
      <c r="BO357" s="64">
        <f>IFERROR(1/J357*(X357/H357),"0")</f>
        <v>0.20432692307692307</v>
      </c>
      <c r="BP357" s="64">
        <f>IFERROR(1/J357*(Y357/H357),"0")</f>
        <v>0.21875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27.051282051282051</v>
      </c>
      <c r="Y359" s="629">
        <f>IFERROR(Y356/H356,"0")+IFERROR(Y357/H357,"0")+IFERROR(Y358/H358,"0")</f>
        <v>28</v>
      </c>
      <c r="Z359" s="629">
        <f>IFERROR(IF(Z356="",0,Z356),"0")+IFERROR(IF(Z357="",0,Z357),"0")+IFERROR(IF(Z358="",0,Z358),"0")</f>
        <v>0.53144000000000002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211</v>
      </c>
      <c r="Y360" s="629">
        <f>IFERROR(SUM(Y356:Y358),"0")</f>
        <v>218.4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67</v>
      </c>
      <c r="Y389" s="628">
        <f>IFERROR(IF(X389="",0,CEILING((X389/$H389),1)*$H389),"")</f>
        <v>70.2</v>
      </c>
      <c r="Z389" s="36">
        <f>IFERROR(IF(Y389=0,"",ROUNDUP(Y389/H389,0)*0.01898),"")</f>
        <v>0.17082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71.243333333333325</v>
      </c>
      <c r="BN389" s="64">
        <f>IFERROR(Y389*I389/H389,"0")</f>
        <v>74.646000000000015</v>
      </c>
      <c r="BO389" s="64">
        <f>IFERROR(1/J389*(X389/H389),"0")</f>
        <v>0.13421474358974358</v>
      </c>
      <c r="BP389" s="64">
        <f>IFERROR(1/J389*(Y389/H389),"0")</f>
        <v>0.140625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134</v>
      </c>
      <c r="Y390" s="628">
        <f>IFERROR(IF(X390="",0,CEILING((X390/$H390),1)*$H390),"")</f>
        <v>134.4</v>
      </c>
      <c r="Z390" s="36">
        <f>IFERROR(IF(Y390=0,"",ROUNDUP(Y390/H390,0)*0.01898),"")</f>
        <v>0.30368000000000001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141.8804761904762</v>
      </c>
      <c r="BN390" s="64">
        <f>IFERROR(Y390*I390/H390,"0")</f>
        <v>142.304</v>
      </c>
      <c r="BO390" s="64">
        <f>IFERROR(1/J390*(X390/H390),"0")</f>
        <v>0.24925595238095238</v>
      </c>
      <c r="BP390" s="64">
        <f>IFERROR(1/J390*(Y390/H390),"0")</f>
        <v>0.25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24.54212454212454</v>
      </c>
      <c r="Y391" s="629">
        <f>IFERROR(Y388/H388,"0")+IFERROR(Y389/H389,"0")+IFERROR(Y390/H390,"0")</f>
        <v>25</v>
      </c>
      <c r="Z391" s="629">
        <f>IFERROR(IF(Z388="",0,Z388),"0")+IFERROR(IF(Z389="",0,Z389),"0")+IFERROR(IF(Z390="",0,Z390),"0")</f>
        <v>0.47450000000000003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201</v>
      </c>
      <c r="Y392" s="629">
        <f>IFERROR(SUM(Y388:Y390),"0")</f>
        <v>204.60000000000002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47</v>
      </c>
      <c r="Y394" s="628">
        <f>IFERROR(IF(X394="",0,CEILING((X394/$H394),1)*$H394),"")</f>
        <v>48.64</v>
      </c>
      <c r="Z394" s="36">
        <f>IFERROR(IF(Y394=0,"",ROUNDUP(Y394/H394,0)*0.00902),"")</f>
        <v>0.14432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51.174342105263158</v>
      </c>
      <c r="BN394" s="64">
        <f>IFERROR(Y394*I394/H394,"0")</f>
        <v>52.96</v>
      </c>
      <c r="BO394" s="64">
        <f>IFERROR(1/J394*(X394/H394),"0")</f>
        <v>0.11712519936204148</v>
      </c>
      <c r="BP394" s="64">
        <f>IFERROR(1/J394*(Y394/H394),"0")</f>
        <v>0.12121212121212122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10</v>
      </c>
      <c r="Y397" s="628">
        <f>IFERROR(IF(X397="",0,CEILING((X397/$H397),1)*$H397),"")</f>
        <v>10.199999999999999</v>
      </c>
      <c r="Z397" s="36">
        <f>IFERROR(IF(Y397=0,"",ROUNDUP(Y397/H397,0)*0.00651),"")</f>
        <v>2.6040000000000001E-2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11.294117647058822</v>
      </c>
      <c r="BN397" s="64">
        <f>IFERROR(Y397*I397/H397,"0")</f>
        <v>11.52</v>
      </c>
      <c r="BO397" s="64">
        <f>IFERROR(1/J397*(X397/H397),"0")</f>
        <v>2.1547080370609786E-2</v>
      </c>
      <c r="BP397" s="64">
        <f>IFERROR(1/J397*(Y397/H397),"0")</f>
        <v>2.197802197802198E-2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19.382094943240453</v>
      </c>
      <c r="Y398" s="629">
        <f>IFERROR(Y394/H394,"0")+IFERROR(Y395/H395,"0")+IFERROR(Y396/H396,"0")+IFERROR(Y397/H397,"0")</f>
        <v>20</v>
      </c>
      <c r="Z398" s="629">
        <f>IFERROR(IF(Z394="",0,Z394),"0")+IFERROR(IF(Z395="",0,Z395),"0")+IFERROR(IF(Z396="",0,Z396),"0")+IFERROR(IF(Z397="",0,Z397),"0")</f>
        <v>0.17036000000000001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57</v>
      </c>
      <c r="Y399" s="629">
        <f>IFERROR(SUM(Y394:Y397),"0")</f>
        <v>58.84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1</v>
      </c>
      <c r="Y403" s="628">
        <f>IFERROR(IF(X403="",0,CEILING((X403/$H403),1)*$H403),"")</f>
        <v>2</v>
      </c>
      <c r="Z403" s="36">
        <f>IFERROR(IF(Y403=0,"",ROUNDUP(Y403/H403,0)*0.00474),"")</f>
        <v>4.7400000000000003E-3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1.1200000000000001</v>
      </c>
      <c r="BN403" s="64">
        <f>IFERROR(Y403*I403/H403,"0")</f>
        <v>2.2400000000000002</v>
      </c>
      <c r="BO403" s="64">
        <f>IFERROR(1/J403*(X403/H403),"0")</f>
        <v>2.1008403361344537E-3</v>
      </c>
      <c r="BP403" s="64">
        <f>IFERROR(1/J403*(Y403/H403),"0")</f>
        <v>4.2016806722689074E-3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0.5</v>
      </c>
      <c r="Y404" s="629">
        <f>IFERROR(Y401/H401,"0")+IFERROR(Y402/H402,"0")+IFERROR(Y403/H403,"0")</f>
        <v>1</v>
      </c>
      <c r="Z404" s="629">
        <f>IFERROR(IF(Z401="",0,Z401),"0")+IFERROR(IF(Z402="",0,Z402),"0")+IFERROR(IF(Z403="",0,Z403),"0")</f>
        <v>4.7400000000000003E-3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1</v>
      </c>
      <c r="Y405" s="629">
        <f>IFERROR(SUM(Y401:Y403),"0")</f>
        <v>2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82</v>
      </c>
      <c r="Y415" s="628">
        <f>IFERROR(IF(X415="",0,CEILING((X415/$H415),1)*$H415),"")</f>
        <v>84</v>
      </c>
      <c r="Z415" s="36">
        <f>IFERROR(IF(Y415=0,"",ROUNDUP(Y415/H415,0)*0.00651),"")</f>
        <v>0.26040000000000002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91.839999999999989</v>
      </c>
      <c r="BN415" s="64">
        <f>IFERROR(Y415*I415/H415,"0")</f>
        <v>94.079999999999984</v>
      </c>
      <c r="BO415" s="64">
        <f>IFERROR(1/J415*(X415/H415),"0")</f>
        <v>0.21454735740450026</v>
      </c>
      <c r="BP415" s="64">
        <f>IFERROR(1/J415*(Y415/H415),"0")</f>
        <v>0.2197802197802198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3</v>
      </c>
      <c r="Y416" s="628">
        <f>IFERROR(IF(X416="",0,CEILING((X416/$H416),1)*$H416),"")</f>
        <v>4.2</v>
      </c>
      <c r="Z416" s="36">
        <f>IFERROR(IF(Y416=0,"",ROUNDUP(Y416/H416,0)*0.00651),"")</f>
        <v>1.302E-2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3.3428571428571425</v>
      </c>
      <c r="BN416" s="64">
        <f>IFERROR(Y416*I416/H416,"0")</f>
        <v>4.68</v>
      </c>
      <c r="BO416" s="64">
        <f>IFERROR(1/J416*(X416/H416),"0")</f>
        <v>7.849293563579279E-3</v>
      </c>
      <c r="BP416" s="64">
        <f>IFERROR(1/J416*(Y416/H416),"0")</f>
        <v>1.098901098901099E-2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40.476190476190474</v>
      </c>
      <c r="Y417" s="629">
        <f>IFERROR(Y414/H414,"0")+IFERROR(Y415/H415,"0")+IFERROR(Y416/H416,"0")</f>
        <v>42</v>
      </c>
      <c r="Z417" s="629">
        <f>IFERROR(IF(Z414="",0,Z414),"0")+IFERROR(IF(Z415="",0,Z415),"0")+IFERROR(IF(Z416="",0,Z416),"0")</f>
        <v>0.27342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85</v>
      </c>
      <c r="Y418" s="629">
        <f>IFERROR(SUM(Y414:Y416),"0")</f>
        <v>88.2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26</v>
      </c>
      <c r="Y422" s="628">
        <f t="shared" ref="Y422:Y429" si="47">IFERROR(IF(X422="",0,CEILING((X422/$H422),1)*$H422),"")</f>
        <v>30</v>
      </c>
      <c r="Z422" s="36">
        <f>IFERROR(IF(Y422=0,"",ROUNDUP(Y422/H422,0)*0.02175),"")</f>
        <v>4.3499999999999997E-2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26.814666666666668</v>
      </c>
      <c r="BN422" s="64">
        <f t="shared" ref="BN422:BN429" si="49">IFERROR(Y422*I422/H422,"0")</f>
        <v>30.94</v>
      </c>
      <c r="BO422" s="64">
        <f t="shared" ref="BO422:BO429" si="50">IFERROR(1/J422*(X422/H422),"0")</f>
        <v>3.6111111111111108E-2</v>
      </c>
      <c r="BP422" s="64">
        <f t="shared" ref="BP422:BP429" si="51">IFERROR(1/J422*(Y422/H422),"0")</f>
        <v>4.1666666666666664E-2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1814</v>
      </c>
      <c r="Y423" s="628">
        <f t="shared" si="47"/>
        <v>1815</v>
      </c>
      <c r="Z423" s="36">
        <f>IFERROR(IF(Y423=0,"",ROUNDUP(Y423/H423,0)*0.02175),"")</f>
        <v>2.6317499999999998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1870.8386666666668</v>
      </c>
      <c r="BN423" s="64">
        <f t="shared" si="49"/>
        <v>1871.8700000000001</v>
      </c>
      <c r="BO423" s="64">
        <f t="shared" si="50"/>
        <v>2.5194444444444444</v>
      </c>
      <c r="BP423" s="64">
        <f t="shared" si="51"/>
        <v>2.520833333333333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1079</v>
      </c>
      <c r="Y424" s="628">
        <f t="shared" si="47"/>
        <v>1080</v>
      </c>
      <c r="Z424" s="36">
        <f>IFERROR(IF(Y424=0,"",ROUNDUP(Y424/H424,0)*0.02175),"")</f>
        <v>1.5659999999999998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1112.8086666666668</v>
      </c>
      <c r="BN424" s="64">
        <f t="shared" si="49"/>
        <v>1113.8400000000001</v>
      </c>
      <c r="BO424" s="64">
        <f t="shared" si="50"/>
        <v>1.4986111111111111</v>
      </c>
      <c r="BP424" s="64">
        <f t="shared" si="51"/>
        <v>1.5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938</v>
      </c>
      <c r="Y425" s="628">
        <f t="shared" si="47"/>
        <v>945</v>
      </c>
      <c r="Z425" s="36">
        <f>IFERROR(IF(Y425=0,"",ROUNDUP(Y425/H425,0)*0.02175),"")</f>
        <v>1.37025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967.39066666666668</v>
      </c>
      <c r="BN425" s="64">
        <f t="shared" si="49"/>
        <v>974.61000000000013</v>
      </c>
      <c r="BO425" s="64">
        <f t="shared" si="50"/>
        <v>1.3027777777777776</v>
      </c>
      <c r="BP425" s="64">
        <f t="shared" si="51"/>
        <v>1.3125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257.13333333333333</v>
      </c>
      <c r="Y430" s="629">
        <f>IFERROR(Y422/H422,"0")+IFERROR(Y423/H423,"0")+IFERROR(Y424/H424,"0")+IFERROR(Y425/H425,"0")+IFERROR(Y426/H426,"0")+IFERROR(Y427/H427,"0")+IFERROR(Y428/H428,"0")+IFERROR(Y429/H429,"0")</f>
        <v>258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5.6114999999999995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3857</v>
      </c>
      <c r="Y431" s="629">
        <f>IFERROR(SUM(Y422:Y429),"0")</f>
        <v>3870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2764</v>
      </c>
      <c r="Y433" s="628">
        <f>IFERROR(IF(X433="",0,CEILING((X433/$H433),1)*$H433),"")</f>
        <v>2775</v>
      </c>
      <c r="Z433" s="36">
        <f>IFERROR(IF(Y433=0,"",ROUNDUP(Y433/H433,0)*0.02175),"")</f>
        <v>4.0237499999999997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2850.6053333333334</v>
      </c>
      <c r="BN433" s="64">
        <f>IFERROR(Y433*I433/H433,"0")</f>
        <v>2861.95</v>
      </c>
      <c r="BO433" s="64">
        <f>IFERROR(1/J433*(X433/H433),"0")</f>
        <v>3.838888888888889</v>
      </c>
      <c r="BP433" s="64">
        <f>IFERROR(1/J433*(Y433/H433),"0")</f>
        <v>3.8541666666666665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184.26666666666668</v>
      </c>
      <c r="Y436" s="629">
        <f>IFERROR(Y433/H433,"0")+IFERROR(Y434/H434,"0")+IFERROR(Y435/H435,"0")</f>
        <v>185</v>
      </c>
      <c r="Z436" s="629">
        <f>IFERROR(IF(Z433="",0,Z433),"0")+IFERROR(IF(Z434="",0,Z434),"0")+IFERROR(IF(Z435="",0,Z435),"0")</f>
        <v>4.0237499999999997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2764</v>
      </c>
      <c r="Y437" s="629">
        <f>IFERROR(SUM(Y433:Y435),"0")</f>
        <v>2775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40</v>
      </c>
      <c r="Y440" s="628">
        <f>IFERROR(IF(X440="",0,CEILING((X440/$H440),1)*$H440),"")</f>
        <v>45</v>
      </c>
      <c r="Z440" s="36">
        <f>IFERROR(IF(Y440=0,"",ROUNDUP(Y440/H440,0)*0.01898),"")</f>
        <v>9.4899999999999998E-2</v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42.195555555555558</v>
      </c>
      <c r="BN440" s="64">
        <f>IFERROR(Y440*I440/H440,"0")</f>
        <v>47.47</v>
      </c>
      <c r="BO440" s="64">
        <f>IFERROR(1/J440*(X440/H440),"0")</f>
        <v>6.9444444444444448E-2</v>
      </c>
      <c r="BP440" s="64">
        <f>IFERROR(1/J440*(Y440/H440),"0")</f>
        <v>7.8125E-2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4.4444444444444446</v>
      </c>
      <c r="Y442" s="629">
        <f>IFERROR(Y439/H439,"0")+IFERROR(Y440/H440,"0")+IFERROR(Y441/H441,"0")</f>
        <v>5</v>
      </c>
      <c r="Z442" s="629">
        <f>IFERROR(IF(Z439="",0,Z439),"0")+IFERROR(IF(Z440="",0,Z440),"0")+IFERROR(IF(Z441="",0,Z441),"0")</f>
        <v>9.4899999999999998E-2</v>
      </c>
      <c r="AA442" s="630"/>
      <c r="AB442" s="630"/>
      <c r="AC442" s="630"/>
    </row>
    <row r="443" spans="1:68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40</v>
      </c>
      <c r="Y443" s="629">
        <f>IFERROR(SUM(Y439:Y441),"0")</f>
        <v>45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136</v>
      </c>
      <c r="Y446" s="628">
        <f>IFERROR(IF(X446="",0,CEILING((X446/$H446),1)*$H446),"")</f>
        <v>144</v>
      </c>
      <c r="Z446" s="36">
        <f>IFERROR(IF(Y446=0,"",ROUNDUP(Y446/H446,0)*0.01898),"")</f>
        <v>0.30368000000000001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143.46488888888888</v>
      </c>
      <c r="BN446" s="64">
        <f>IFERROR(Y446*I446/H446,"0")</f>
        <v>151.904</v>
      </c>
      <c r="BO446" s="64">
        <f>IFERROR(1/J446*(X446/H446),"0")</f>
        <v>0.2361111111111111</v>
      </c>
      <c r="BP446" s="64">
        <f>IFERROR(1/J446*(Y446/H446),"0")</f>
        <v>0.25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15.111111111111111</v>
      </c>
      <c r="Y447" s="629">
        <f>IFERROR(Y445/H445,"0")+IFERROR(Y446/H446,"0")</f>
        <v>16</v>
      </c>
      <c r="Z447" s="629">
        <f>IFERROR(IF(Z445="",0,Z445),"0")+IFERROR(IF(Z446="",0,Z446),"0")</f>
        <v>0.30368000000000001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136</v>
      </c>
      <c r="Y448" s="629">
        <f>IFERROR(SUM(Y445:Y446),"0")</f>
        <v>144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1700</v>
      </c>
      <c r="Y460" s="628">
        <f>IFERROR(IF(X460="",0,CEILING((X460/$H460),1)*$H460),"")</f>
        <v>1701</v>
      </c>
      <c r="Z460" s="36">
        <f>IFERROR(IF(Y460=0,"",ROUNDUP(Y460/H460,0)*0.01898),"")</f>
        <v>3.5872199999999999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1793.3111111111111</v>
      </c>
      <c r="BN460" s="64">
        <f>IFERROR(Y460*I460/H460,"0")</f>
        <v>1794.366</v>
      </c>
      <c r="BO460" s="64">
        <f>IFERROR(1/J460*(X460/H460),"0")</f>
        <v>2.9513888888888888</v>
      </c>
      <c r="BP460" s="64">
        <f>IFERROR(1/J460*(Y460/H460),"0")</f>
        <v>2.953125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67</v>
      </c>
      <c r="Y461" s="628">
        <f>IFERROR(IF(X461="",0,CEILING((X461/$H461),1)*$H461),"")</f>
        <v>67.2</v>
      </c>
      <c r="Z461" s="36">
        <f>IFERROR(IF(Y461=0,"",ROUNDUP(Y461/H461,0)*0.00651),"")</f>
        <v>0.18228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74.37</v>
      </c>
      <c r="BN461" s="64">
        <f>IFERROR(Y461*I461/H461,"0")</f>
        <v>74.592000000000013</v>
      </c>
      <c r="BO461" s="64">
        <f>IFERROR(1/J461*(X461/H461),"0")</f>
        <v>0.1533882783882784</v>
      </c>
      <c r="BP461" s="64">
        <f>IFERROR(1/J461*(Y461/H461),"0")</f>
        <v>0.15384615384615388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216.80555555555554</v>
      </c>
      <c r="Y463" s="629">
        <f>IFERROR(Y460/H460,"0")+IFERROR(Y461/H461,"0")+IFERROR(Y462/H462,"0")</f>
        <v>217</v>
      </c>
      <c r="Z463" s="629">
        <f>IFERROR(IF(Z460="",0,Z460),"0")+IFERROR(IF(Z461="",0,Z461),"0")+IFERROR(IF(Z462="",0,Z462),"0")</f>
        <v>3.7694999999999999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1767</v>
      </c>
      <c r="Y464" s="629">
        <f>IFERROR(SUM(Y460:Y462),"0")</f>
        <v>1768.2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126</v>
      </c>
      <c r="Y498" s="628">
        <f t="shared" si="57"/>
        <v>126.72</v>
      </c>
      <c r="Z498" s="36">
        <f t="shared" si="58"/>
        <v>0.28704000000000002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134.35227272727272</v>
      </c>
      <c r="BN498" s="64">
        <f t="shared" si="60"/>
        <v>135.11999999999998</v>
      </c>
      <c r="BO498" s="64">
        <f t="shared" si="61"/>
        <v>0.22945804195804198</v>
      </c>
      <c r="BP498" s="64">
        <f t="shared" si="62"/>
        <v>0.23076923076923078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339</v>
      </c>
      <c r="Y500" s="628">
        <f t="shared" si="57"/>
        <v>343.2</v>
      </c>
      <c r="Z500" s="36">
        <f t="shared" si="58"/>
        <v>0.77739999999999998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361.47159090909088</v>
      </c>
      <c r="BN500" s="64">
        <f t="shared" si="60"/>
        <v>365.95</v>
      </c>
      <c r="BO500" s="64">
        <f t="shared" si="61"/>
        <v>0.61735139860139865</v>
      </c>
      <c r="BP500" s="64">
        <f t="shared" si="62"/>
        <v>0.625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75</v>
      </c>
      <c r="Y503" s="628">
        <f t="shared" si="57"/>
        <v>76.8</v>
      </c>
      <c r="Z503" s="36">
        <f>IFERROR(IF(Y503=0,"",ROUNDUP(Y503/H503,0)*0.00902),"")</f>
        <v>0.14432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107.96875</v>
      </c>
      <c r="BN503" s="64">
        <f t="shared" si="60"/>
        <v>110.56</v>
      </c>
      <c r="BO503" s="64">
        <f t="shared" si="61"/>
        <v>0.11837121212121213</v>
      </c>
      <c r="BP503" s="64">
        <f t="shared" si="62"/>
        <v>0.12121212121212122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103.69318181818181</v>
      </c>
      <c r="Y504" s="629">
        <f>IFERROR(Y495/H495,"0")+IFERROR(Y496/H496,"0")+IFERROR(Y497/H497,"0")+IFERROR(Y498/H498,"0")+IFERROR(Y499/H499,"0")+IFERROR(Y500/H500,"0")+IFERROR(Y501/H501,"0")+IFERROR(Y502/H502,"0")+IFERROR(Y503/H503,"0")</f>
        <v>105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1.2087600000000001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540</v>
      </c>
      <c r="Y505" s="629">
        <f>IFERROR(SUM(Y495:Y503),"0")</f>
        <v>546.71999999999991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434</v>
      </c>
      <c r="Y507" s="628">
        <f>IFERROR(IF(X507="",0,CEILING((X507/$H507),1)*$H507),"")</f>
        <v>438.24</v>
      </c>
      <c r="Z507" s="36">
        <f>IFERROR(IF(Y507=0,"",ROUNDUP(Y507/H507,0)*0.01196),"")</f>
        <v>0.99268000000000001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462.76893939393938</v>
      </c>
      <c r="BN507" s="64">
        <f>IFERROR(Y507*I507/H507,"0")</f>
        <v>467.29</v>
      </c>
      <c r="BO507" s="64">
        <f>IFERROR(1/J507*(X507/H507),"0")</f>
        <v>0.79035547785547777</v>
      </c>
      <c r="BP507" s="64">
        <f>IFERROR(1/J507*(Y507/H507),"0")</f>
        <v>0.79807692307692313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74</v>
      </c>
      <c r="Y509" s="628">
        <f>IFERROR(IF(X509="",0,CEILING((X509/$H509),1)*$H509),"")</f>
        <v>76.8</v>
      </c>
      <c r="Z509" s="36">
        <f>IFERROR(IF(Y509=0,"",ROUNDUP(Y509/H509,0)*0.00902),"")</f>
        <v>0.14432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106.52916666666668</v>
      </c>
      <c r="BN509" s="64">
        <f>IFERROR(Y509*I509/H509,"0")</f>
        <v>110.56</v>
      </c>
      <c r="BO509" s="64">
        <f>IFERROR(1/J509*(X509/H509),"0")</f>
        <v>0.11679292929292931</v>
      </c>
      <c r="BP509" s="64">
        <f>IFERROR(1/J509*(Y509/H509),"0")</f>
        <v>0.12121212121212122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97.61363636363636</v>
      </c>
      <c r="Y510" s="629">
        <f>IFERROR(Y507/H507,"0")+IFERROR(Y508/H508,"0")+IFERROR(Y509/H509,"0")</f>
        <v>99</v>
      </c>
      <c r="Z510" s="629">
        <f>IFERROR(IF(Z507="",0,Z507),"0")+IFERROR(IF(Z508="",0,Z508),"0")+IFERROR(IF(Z509="",0,Z509),"0")</f>
        <v>1.137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508</v>
      </c>
      <c r="Y511" s="629">
        <f>IFERROR(SUM(Y507:Y509),"0")</f>
        <v>515.04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51</v>
      </c>
      <c r="Y514" s="628">
        <f t="shared" si="63"/>
        <v>52.800000000000004</v>
      </c>
      <c r="Z514" s="36">
        <f>IFERROR(IF(Y514=0,"",ROUNDUP(Y514/H514,0)*0.01196),"")</f>
        <v>0.1196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54.380681818181813</v>
      </c>
      <c r="BN514" s="64">
        <f t="shared" si="65"/>
        <v>56.3</v>
      </c>
      <c r="BO514" s="64">
        <f t="shared" si="66"/>
        <v>9.2875874125874128E-2</v>
      </c>
      <c r="BP514" s="64">
        <f t="shared" si="67"/>
        <v>9.6153846153846159E-2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9.6590909090909083</v>
      </c>
      <c r="Y520" s="629">
        <f>IFERROR(Y513/H513,"0")+IFERROR(Y514/H514,"0")+IFERROR(Y515/H515,"0")+IFERROR(Y516/H516,"0")+IFERROR(Y517/H517,"0")+IFERROR(Y518/H518,"0")+IFERROR(Y519/H519,"0")</f>
        <v>10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0.1196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51</v>
      </c>
      <c r="Y521" s="629">
        <f>IFERROR(SUM(Y513:Y519),"0")</f>
        <v>52.800000000000004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250</v>
      </c>
      <c r="Y537" s="628">
        <f>IFERROR(IF(X537="",0,CEILING((X537/$H537),1)*$H537),"")</f>
        <v>252</v>
      </c>
      <c r="Z537" s="36">
        <f>IFERROR(IF(Y537=0,"",ROUNDUP(Y537/H537,0)*0.01898),"")</f>
        <v>0.53144000000000002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263.72222222222223</v>
      </c>
      <c r="BN537" s="64">
        <f>IFERROR(Y537*I537/H537,"0")</f>
        <v>265.83199999999999</v>
      </c>
      <c r="BO537" s="64">
        <f>IFERROR(1/J537*(X537/H537),"0")</f>
        <v>0.43402777777777779</v>
      </c>
      <c r="BP537" s="64">
        <f>IFERROR(1/J537*(Y537/H537),"0")</f>
        <v>0.4375</v>
      </c>
    </row>
    <row r="538" spans="1:68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27.777777777777779</v>
      </c>
      <c r="Y538" s="629">
        <f>IFERROR(Y537/H537,"0")</f>
        <v>28</v>
      </c>
      <c r="Z538" s="629">
        <f>IFERROR(IF(Z537="",0,Z537),"0")</f>
        <v>0.53144000000000002</v>
      </c>
      <c r="AA538" s="630"/>
      <c r="AB538" s="630"/>
      <c r="AC538" s="630"/>
    </row>
    <row r="539" spans="1:68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250</v>
      </c>
      <c r="Y539" s="629">
        <f>IFERROR(SUM(Y537:Y537),"0")</f>
        <v>252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14498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14641.119999999999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15294.467513078625</v>
      </c>
      <c r="Y551" s="629">
        <f>IFERROR(SUM(BN22:BN547),"0")</f>
        <v>15447.475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25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15919.467513078625</v>
      </c>
      <c r="Y553" s="629">
        <f>GrossWeightTotalR+PalletQtyTotalR*25</f>
        <v>16072.475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2419.5623355359817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2448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28.130559999999999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291.60000000000002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69.199999999999989</v>
      </c>
      <c r="F560" s="46">
        <f>IFERROR(Y88*1,"0")+IFERROR(Y89*1,"0")+IFERROR(Y90*1,"0")+IFERROR(Y91*1,"0")+IFERROR(Y95*1,"0")+IFERROR(Y96*1,"0")+IFERROR(Y97*1,"0")+IFERROR(Y98*1,"0")</f>
        <v>283.5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156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90.960000000000008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538.96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302.79999999999995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2204.6999999999998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1.8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160.79999999999998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218.4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265.44</v>
      </c>
      <c r="U560" s="46">
        <f>IFERROR(Y414*1,"0")+IFERROR(Y415*1,"0")+IFERROR(Y416*1,"0")</f>
        <v>88.2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6834</v>
      </c>
      <c r="W560" s="46">
        <f>IFERROR(Y451*1,"0")+IFERROR(Y452*1,"0")+IFERROR(Y456*1,"0")+IFERROR(Y460*1,"0")+IFERROR(Y461*1,"0")+IFERROR(Y462*1,"0")</f>
        <v>1768.2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1114.56</v>
      </c>
      <c r="AA560" s="46">
        <f>IFERROR(Y525*1,"0")+IFERROR(Y529*1,"0")+IFERROR(Y533*1,"0")+IFERROR(Y537*1,"0")+IFERROR(Y541*1,"0")+IFERROR(Y542*1,"0")</f>
        <v>252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0"/>
        <filter val="0,56"/>
        <filter val="0,79"/>
        <filter val="1 079,00"/>
        <filter val="1 538,00"/>
        <filter val="1 700,00"/>
        <filter val="1 767,00"/>
        <filter val="1 814,00"/>
        <filter val="1,00"/>
        <filter val="1,34"/>
        <filter val="10,00"/>
        <filter val="10,42"/>
        <filter val="102,00"/>
        <filter val="103,69"/>
        <filter val="104,81"/>
        <filter val="109,00"/>
        <filter val="115,00"/>
        <filter val="126,00"/>
        <filter val="13,44"/>
        <filter val="131,67"/>
        <filter val="134,00"/>
        <filter val="136,00"/>
        <filter val="14 498,00"/>
        <filter val="143,43"/>
        <filter val="15 294,47"/>
        <filter val="15 919,47"/>
        <filter val="15,00"/>
        <filter val="15,11"/>
        <filter val="154,00"/>
        <filter val="160,00"/>
        <filter val="165,00"/>
        <filter val="184,00"/>
        <filter val="184,27"/>
        <filter val="19,00"/>
        <filter val="19,38"/>
        <filter val="196,00"/>
        <filter val="2 419,56"/>
        <filter val="2 764,00"/>
        <filter val="2,00"/>
        <filter val="20,00"/>
        <filter val="201,00"/>
        <filter val="211,00"/>
        <filter val="216,81"/>
        <filter val="22,00"/>
        <filter val="229,00"/>
        <filter val="232,21"/>
        <filter val="24,54"/>
        <filter val="25"/>
        <filter val="25,00"/>
        <filter val="250,00"/>
        <filter val="257,13"/>
        <filter val="26,00"/>
        <filter val="26,02"/>
        <filter val="27,05"/>
        <filter val="27,78"/>
        <filter val="281,00"/>
        <filter val="283,00"/>
        <filter val="293,00"/>
        <filter val="3 857,00"/>
        <filter val="3,00"/>
        <filter val="3,17"/>
        <filter val="324,00"/>
        <filter val="339,00"/>
        <filter val="353,00"/>
        <filter val="4,00"/>
        <filter val="4,44"/>
        <filter val="40,00"/>
        <filter val="40,48"/>
        <filter val="42,00"/>
        <filter val="43,00"/>
        <filter val="434,00"/>
        <filter val="46,00"/>
        <filter val="47,00"/>
        <filter val="5,23"/>
        <filter val="5,38"/>
        <filter val="508,00"/>
        <filter val="51,00"/>
        <filter val="530,00"/>
        <filter val="540,00"/>
        <filter val="57,00"/>
        <filter val="6,00"/>
        <filter val="62,00"/>
        <filter val="620,60"/>
        <filter val="625,00"/>
        <filter val="66,67"/>
        <filter val="67,00"/>
        <filter val="7,00"/>
        <filter val="7,86"/>
        <filter val="71,00"/>
        <filter val="715,00"/>
        <filter val="74,00"/>
        <filter val="75,00"/>
        <filter val="8,33"/>
        <filter val="80,00"/>
        <filter val="82,00"/>
        <filter val="85,00"/>
        <filter val="86,00"/>
        <filter val="9,17"/>
        <filter val="9,66"/>
        <filter val="938,00"/>
        <filter val="97,61"/>
        <filter val="99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