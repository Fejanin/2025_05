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F72791-9A5F-417B-A7F0-0B4CB6609F3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N457" i="2"/>
  <c r="BM457" i="2"/>
  <c r="Z457" i="2"/>
  <c r="Z458" i="2" s="1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N402" i="2"/>
  <c r="BM402" i="2"/>
  <c r="Z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N290" i="2"/>
  <c r="BM290" i="2"/>
  <c r="Z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Z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Z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P193" i="2"/>
  <c r="BO193" i="2"/>
  <c r="BM193" i="2"/>
  <c r="Y193" i="2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P183" i="2"/>
  <c r="BO183" i="2"/>
  <c r="BM183" i="2"/>
  <c r="Y183" i="2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Y158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Y137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Z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F561" i="2" s="1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Z157" i="2" l="1"/>
  <c r="BP187" i="2"/>
  <c r="BP202" i="2"/>
  <c r="Z244" i="2"/>
  <c r="Z264" i="2"/>
  <c r="BN264" i="2"/>
  <c r="Z280" i="2"/>
  <c r="Z304" i="2"/>
  <c r="BN304" i="2"/>
  <c r="Z328" i="2"/>
  <c r="Z22" i="2"/>
  <c r="BN28" i="2"/>
  <c r="Z35" i="2"/>
  <c r="Z36" i="2" s="1"/>
  <c r="Y37" i="2"/>
  <c r="Z59" i="2"/>
  <c r="BN61" i="2"/>
  <c r="BN77" i="2"/>
  <c r="Z113" i="2"/>
  <c r="BN115" i="2"/>
  <c r="BP127" i="2"/>
  <c r="Y128" i="2"/>
  <c r="Z132" i="2"/>
  <c r="BN132" i="2"/>
  <c r="Z134" i="2"/>
  <c r="BN148" i="2"/>
  <c r="BP185" i="2"/>
  <c r="BN186" i="2"/>
  <c r="BN226" i="2"/>
  <c r="BN259" i="2"/>
  <c r="BP273" i="2"/>
  <c r="BN274" i="2"/>
  <c r="BP283" i="2"/>
  <c r="BN284" i="2"/>
  <c r="BP363" i="2"/>
  <c r="BN368" i="2"/>
  <c r="BN383" i="2"/>
  <c r="BN396" i="2"/>
  <c r="BN441" i="2"/>
  <c r="BN463" i="2"/>
  <c r="BN473" i="2"/>
  <c r="BN515" i="2"/>
  <c r="BN517" i="2"/>
  <c r="BN30" i="2"/>
  <c r="Z31" i="2"/>
  <c r="BP35" i="2"/>
  <c r="Z43" i="2"/>
  <c r="BN72" i="2"/>
  <c r="Y79" i="2"/>
  <c r="BN82" i="2"/>
  <c r="Z90" i="2"/>
  <c r="BN106" i="2"/>
  <c r="BN120" i="2"/>
  <c r="BN155" i="2"/>
  <c r="Z156" i="2"/>
  <c r="Z173" i="2"/>
  <c r="Z182" i="2"/>
  <c r="Z185" i="2"/>
  <c r="Z192" i="2"/>
  <c r="BN209" i="2"/>
  <c r="BN214" i="2"/>
  <c r="Z231" i="2"/>
  <c r="BN231" i="2"/>
  <c r="BN235" i="2"/>
  <c r="Y262" i="2"/>
  <c r="Z270" i="2"/>
  <c r="Z273" i="2"/>
  <c r="Z283" i="2"/>
  <c r="BN288" i="2"/>
  <c r="Z302" i="2"/>
  <c r="Y323" i="2"/>
  <c r="Z336" i="2"/>
  <c r="Z346" i="2"/>
  <c r="BN351" i="2"/>
  <c r="Z356" i="2"/>
  <c r="Y360" i="2"/>
  <c r="BN358" i="2"/>
  <c r="Z363" i="2"/>
  <c r="Z364" i="2"/>
  <c r="BN364" i="2"/>
  <c r="BN374" i="2"/>
  <c r="BN389" i="2"/>
  <c r="BN416" i="2"/>
  <c r="Z425" i="2"/>
  <c r="BP428" i="2"/>
  <c r="BN429" i="2"/>
  <c r="BN446" i="2"/>
  <c r="Y458" i="2"/>
  <c r="BN470" i="2"/>
  <c r="Z472" i="2"/>
  <c r="BN472" i="2"/>
  <c r="BN498" i="2"/>
  <c r="Z504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Z292" i="2" s="1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338" i="2"/>
  <c r="Z277" i="2"/>
  <c r="Z215" i="2"/>
  <c r="Z464" i="2"/>
  <c r="Z150" i="2"/>
  <c r="Z117" i="2"/>
  <c r="Z24" i="2"/>
  <c r="Z411" i="2"/>
  <c r="Z158" i="2"/>
  <c r="Z174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<sst xmlns="http://schemas.openxmlformats.org/spreadsheetml/2006/main" count="4194" uniqueCount="891">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</sst>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46230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800</v>
      </c>
      <c r="Y424" s="55">
        <f t="shared" si="52"/>
        <v>810</v>
      </c>
      <c r="Z424" s="41">
        <f>IFERROR(IF(Y424=0,"",ROUNDUP(Y424/H424,0)*0.02175),"")</f>
        <v>1.1744999999999999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825.06666666666672</v>
      </c>
      <c r="BN424" s="78">
        <f t="shared" si="54"/>
        <v>835.38</v>
      </c>
      <c r="BO424" s="78">
        <f t="shared" si="55"/>
        <v>1.1111111111111112</v>
      </c>
      <c r="BP424" s="78">
        <f t="shared" si="56"/>
        <v>1.125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800</v>
      </c>
      <c r="Y426" s="55">
        <f t="shared" si="52"/>
        <v>810</v>
      </c>
      <c r="Z426" s="41">
        <f>IFERROR(IF(Y426=0,"",ROUNDUP(Y426/H426,0)*0.02175),"")</f>
        <v>1.1744999999999999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825.06666666666672</v>
      </c>
      <c r="BN426" s="78">
        <f t="shared" si="54"/>
        <v>835.38</v>
      </c>
      <c r="BO426" s="78">
        <f t="shared" si="55"/>
        <v>1.1111111111111112</v>
      </c>
      <c r="BP426" s="78">
        <f t="shared" si="56"/>
        <v>1.125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200</v>
      </c>
      <c r="Y427" s="55">
        <f t="shared" si="52"/>
        <v>210</v>
      </c>
      <c r="Z427" s="41">
        <f>IFERROR(IF(Y427=0,"",ROUNDUP(Y427/H427,0)*0.02175),"")</f>
        <v>0.30449999999999999</v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206.26666666666668</v>
      </c>
      <c r="BN427" s="78">
        <f t="shared" si="54"/>
        <v>216.58</v>
      </c>
      <c r="BO427" s="78">
        <f t="shared" si="55"/>
        <v>0.27777777777777779</v>
      </c>
      <c r="BP427" s="78">
        <f t="shared" si="56"/>
        <v>0.29166666666666663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120</v>
      </c>
      <c r="Y431" s="43">
        <f>IFERROR(Y423/H423,"0")+IFERROR(Y424/H424,"0")+IFERROR(Y425/H425,"0")+IFERROR(Y426/H426,"0")+IFERROR(Y427/H427,"0")+IFERROR(Y428/H428,"0")+IFERROR(Y429/H429,"0")+IFERROR(Y430/H430,"0")</f>
        <v>122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2.6534999999999997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1800</v>
      </c>
      <c r="Y432" s="43">
        <f>IFERROR(SUM(Y423:Y430),"0")</f>
        <v>1830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1800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1830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1856.4</v>
      </c>
      <c r="Y552" s="43">
        <f>IFERROR(SUM(BN22:BN548),"0")</f>
        <v>1887.34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</v>
      </c>
      <c r="Y553" s="44">
        <f>ROUNDUP(SUM(BP22:BP548),0)</f>
        <v>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1931.4</v>
      </c>
      <c r="Y554" s="43">
        <f>GrossWeightTotalR+PalletQtyTotalR*25</f>
        <v>1962.34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120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122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2.6534999999999997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1830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00,00"/>
        <filter val="1 856,40"/>
        <filter val="1 931,40"/>
        <filter val="120,00"/>
        <filter val="200,00"/>
        <filter val="3"/>
        <filter val="8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2026-07-27T05:51:56Z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