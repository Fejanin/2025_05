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B8697F4-4449-4C5C-A5A1-C94EA9ECF624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O541" i="1"/>
  <c r="BN541" i="1"/>
  <c r="BM541" i="1"/>
  <c r="Y541" i="1"/>
  <c r="BP541" i="1" s="1"/>
  <c r="P541" i="1"/>
  <c r="X539" i="1"/>
  <c r="X538" i="1"/>
  <c r="BO537" i="1"/>
  <c r="BM537" i="1"/>
  <c r="Y537" i="1"/>
  <c r="P537" i="1"/>
  <c r="X535" i="1"/>
  <c r="Y534" i="1"/>
  <c r="X534" i="1"/>
  <c r="BO533" i="1"/>
  <c r="BN533" i="1"/>
  <c r="BM533" i="1"/>
  <c r="Y533" i="1"/>
  <c r="Y535" i="1" s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Y527" i="1" s="1"/>
  <c r="P525" i="1"/>
  <c r="X521" i="1"/>
  <c r="X520" i="1"/>
  <c r="BO519" i="1"/>
  <c r="BN519" i="1"/>
  <c r="BM519" i="1"/>
  <c r="Y519" i="1"/>
  <c r="BP519" i="1" s="1"/>
  <c r="P519" i="1"/>
  <c r="BO518" i="1"/>
  <c r="BM518" i="1"/>
  <c r="Y518" i="1"/>
  <c r="P518" i="1"/>
  <c r="BO517" i="1"/>
  <c r="BM517" i="1"/>
  <c r="Y517" i="1"/>
  <c r="BP517" i="1" s="1"/>
  <c r="P517" i="1"/>
  <c r="BO516" i="1"/>
  <c r="BM516" i="1"/>
  <c r="Y516" i="1"/>
  <c r="P516" i="1"/>
  <c r="BP515" i="1"/>
  <c r="BO515" i="1"/>
  <c r="BN515" i="1"/>
  <c r="BM515" i="1"/>
  <c r="Y515" i="1"/>
  <c r="Z515" i="1" s="1"/>
  <c r="P515" i="1"/>
  <c r="BO514" i="1"/>
  <c r="BM514" i="1"/>
  <c r="Y514" i="1"/>
  <c r="P514" i="1"/>
  <c r="BO513" i="1"/>
  <c r="BM513" i="1"/>
  <c r="Y513" i="1"/>
  <c r="P513" i="1"/>
  <c r="X511" i="1"/>
  <c r="X510" i="1"/>
  <c r="BO509" i="1"/>
  <c r="BM509" i="1"/>
  <c r="Y509" i="1"/>
  <c r="BP509" i="1" s="1"/>
  <c r="P509" i="1"/>
  <c r="BO508" i="1"/>
  <c r="BM508" i="1"/>
  <c r="Y508" i="1"/>
  <c r="P508" i="1"/>
  <c r="BO507" i="1"/>
  <c r="BM507" i="1"/>
  <c r="Y507" i="1"/>
  <c r="P507" i="1"/>
  <c r="X505" i="1"/>
  <c r="X504" i="1"/>
  <c r="BP503" i="1"/>
  <c r="BO503" i="1"/>
  <c r="BM503" i="1"/>
  <c r="Y503" i="1"/>
  <c r="BN503" i="1" s="1"/>
  <c r="P503" i="1"/>
  <c r="BO502" i="1"/>
  <c r="BM502" i="1"/>
  <c r="Y502" i="1"/>
  <c r="P502" i="1"/>
  <c r="BO501" i="1"/>
  <c r="BM501" i="1"/>
  <c r="Y501" i="1"/>
  <c r="P501" i="1"/>
  <c r="BO500" i="1"/>
  <c r="BM500" i="1"/>
  <c r="Y500" i="1"/>
  <c r="P500" i="1"/>
  <c r="BO499" i="1"/>
  <c r="BN499" i="1"/>
  <c r="BM499" i="1"/>
  <c r="Y499" i="1"/>
  <c r="BP499" i="1" s="1"/>
  <c r="P499" i="1"/>
  <c r="BO498" i="1"/>
  <c r="BM498" i="1"/>
  <c r="Y498" i="1"/>
  <c r="P498" i="1"/>
  <c r="BO497" i="1"/>
  <c r="BN497" i="1"/>
  <c r="BM497" i="1"/>
  <c r="Y497" i="1"/>
  <c r="BP497" i="1" s="1"/>
  <c r="P497" i="1"/>
  <c r="BO496" i="1"/>
  <c r="BM496" i="1"/>
  <c r="Y496" i="1"/>
  <c r="P496" i="1"/>
  <c r="BP495" i="1"/>
  <c r="BO495" i="1"/>
  <c r="BN495" i="1"/>
  <c r="BM495" i="1"/>
  <c r="Y495" i="1"/>
  <c r="Z495" i="1" s="1"/>
  <c r="P495" i="1"/>
  <c r="X491" i="1"/>
  <c r="X490" i="1"/>
  <c r="BO489" i="1"/>
  <c r="BN489" i="1"/>
  <c r="BM489" i="1"/>
  <c r="Y489" i="1"/>
  <c r="BP489" i="1" s="1"/>
  <c r="P489" i="1"/>
  <c r="BO488" i="1"/>
  <c r="BM488" i="1"/>
  <c r="Y488" i="1"/>
  <c r="Y490" i="1" s="1"/>
  <c r="P488" i="1"/>
  <c r="BO487" i="1"/>
  <c r="BN487" i="1"/>
  <c r="BM487" i="1"/>
  <c r="Y487" i="1"/>
  <c r="P487" i="1"/>
  <c r="X485" i="1"/>
  <c r="X484" i="1"/>
  <c r="BO483" i="1"/>
  <c r="BM483" i="1"/>
  <c r="Y483" i="1"/>
  <c r="P483" i="1"/>
  <c r="X480" i="1"/>
  <c r="X479" i="1"/>
  <c r="BP478" i="1"/>
  <c r="BO478" i="1"/>
  <c r="BM478" i="1"/>
  <c r="Y478" i="1"/>
  <c r="BN478" i="1" s="1"/>
  <c r="P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BP472" i="1" s="1"/>
  <c r="P472" i="1"/>
  <c r="BO471" i="1"/>
  <c r="BM471" i="1"/>
  <c r="Y471" i="1"/>
  <c r="P471" i="1"/>
  <c r="BP470" i="1"/>
  <c r="BO470" i="1"/>
  <c r="BM470" i="1"/>
  <c r="Y470" i="1"/>
  <c r="BN470" i="1" s="1"/>
  <c r="P470" i="1"/>
  <c r="BO469" i="1"/>
  <c r="BM469" i="1"/>
  <c r="Y469" i="1"/>
  <c r="P469" i="1"/>
  <c r="BO468" i="1"/>
  <c r="BM468" i="1"/>
  <c r="Y468" i="1"/>
  <c r="P468" i="1"/>
  <c r="X464" i="1"/>
  <c r="X463" i="1"/>
  <c r="BO462" i="1"/>
  <c r="BM462" i="1"/>
  <c r="Z462" i="1"/>
  <c r="Y462" i="1"/>
  <c r="BP462" i="1" s="1"/>
  <c r="P462" i="1"/>
  <c r="BO461" i="1"/>
  <c r="BM461" i="1"/>
  <c r="Y461" i="1"/>
  <c r="P461" i="1"/>
  <c r="BO460" i="1"/>
  <c r="BM460" i="1"/>
  <c r="Y460" i="1"/>
  <c r="P460" i="1"/>
  <c r="X458" i="1"/>
  <c r="Y457" i="1"/>
  <c r="X457" i="1"/>
  <c r="BO456" i="1"/>
  <c r="BN456" i="1"/>
  <c r="BM456" i="1"/>
  <c r="Y456" i="1"/>
  <c r="Y458" i="1" s="1"/>
  <c r="P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Y447" i="1" s="1"/>
  <c r="P445" i="1"/>
  <c r="X443" i="1"/>
  <c r="X442" i="1"/>
  <c r="BO441" i="1"/>
  <c r="BN441" i="1"/>
  <c r="BM441" i="1"/>
  <c r="Y441" i="1"/>
  <c r="BP441" i="1" s="1"/>
  <c r="P441" i="1"/>
  <c r="BO440" i="1"/>
  <c r="BM440" i="1"/>
  <c r="Y440" i="1"/>
  <c r="Y442" i="1" s="1"/>
  <c r="P440" i="1"/>
  <c r="BP439" i="1"/>
  <c r="BO439" i="1"/>
  <c r="BN439" i="1"/>
  <c r="BM439" i="1"/>
  <c r="Z439" i="1"/>
  <c r="Y439" i="1"/>
  <c r="P439" i="1"/>
  <c r="X437" i="1"/>
  <c r="X436" i="1"/>
  <c r="BO435" i="1"/>
  <c r="BM435" i="1"/>
  <c r="Y435" i="1"/>
  <c r="BP435" i="1" s="1"/>
  <c r="P435" i="1"/>
  <c r="BO434" i="1"/>
  <c r="BM434" i="1"/>
  <c r="Y434" i="1"/>
  <c r="P434" i="1"/>
  <c r="BO433" i="1"/>
  <c r="BM433" i="1"/>
  <c r="Y433" i="1"/>
  <c r="BN433" i="1" s="1"/>
  <c r="P433" i="1"/>
  <c r="X431" i="1"/>
  <c r="X430" i="1"/>
  <c r="BO429" i="1"/>
  <c r="BN429" i="1"/>
  <c r="BM429" i="1"/>
  <c r="Y429" i="1"/>
  <c r="BP429" i="1" s="1"/>
  <c r="P429" i="1"/>
  <c r="BO428" i="1"/>
  <c r="BM428" i="1"/>
  <c r="Y428" i="1"/>
  <c r="P428" i="1"/>
  <c r="BO427" i="1"/>
  <c r="BM427" i="1"/>
  <c r="Y427" i="1"/>
  <c r="BP427" i="1" s="1"/>
  <c r="P427" i="1"/>
  <c r="BO426" i="1"/>
  <c r="BM426" i="1"/>
  <c r="Y426" i="1"/>
  <c r="P426" i="1"/>
  <c r="BO425" i="1"/>
  <c r="BM425" i="1"/>
  <c r="Z425" i="1"/>
  <c r="Y425" i="1"/>
  <c r="BN425" i="1" s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M415" i="1"/>
  <c r="Y415" i="1"/>
  <c r="BN415" i="1" s="1"/>
  <c r="P415" i="1"/>
  <c r="BO414" i="1"/>
  <c r="BM414" i="1"/>
  <c r="Y414" i="1"/>
  <c r="P414" i="1"/>
  <c r="X411" i="1"/>
  <c r="X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P407" i="1"/>
  <c r="X405" i="1"/>
  <c r="X404" i="1"/>
  <c r="BO403" i="1"/>
  <c r="BM403" i="1"/>
  <c r="Y403" i="1"/>
  <c r="P403" i="1"/>
  <c r="BO402" i="1"/>
  <c r="BM402" i="1"/>
  <c r="Y402" i="1"/>
  <c r="BP402" i="1" s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BP396" i="1" s="1"/>
  <c r="P396" i="1"/>
  <c r="BO395" i="1"/>
  <c r="BM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O389" i="1"/>
  <c r="BM389" i="1"/>
  <c r="Y389" i="1"/>
  <c r="BP389" i="1" s="1"/>
  <c r="P389" i="1"/>
  <c r="BO388" i="1"/>
  <c r="BN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BP383" i="1" s="1"/>
  <c r="P383" i="1"/>
  <c r="BO382" i="1"/>
  <c r="BN382" i="1"/>
  <c r="BM382" i="1"/>
  <c r="Y382" i="1"/>
  <c r="BP382" i="1" s="1"/>
  <c r="P382" i="1"/>
  <c r="BO381" i="1"/>
  <c r="BM381" i="1"/>
  <c r="Y381" i="1"/>
  <c r="P381" i="1"/>
  <c r="X379" i="1"/>
  <c r="X378" i="1"/>
  <c r="BO377" i="1"/>
  <c r="BM377" i="1"/>
  <c r="Y377" i="1"/>
  <c r="BP377" i="1" s="1"/>
  <c r="P377" i="1"/>
  <c r="BO376" i="1"/>
  <c r="BM376" i="1"/>
  <c r="Y376" i="1"/>
  <c r="P376" i="1"/>
  <c r="BO375" i="1"/>
  <c r="BM375" i="1"/>
  <c r="Y375" i="1"/>
  <c r="BP375" i="1" s="1"/>
  <c r="P375" i="1"/>
  <c r="BO374" i="1"/>
  <c r="BM374" i="1"/>
  <c r="Y374" i="1"/>
  <c r="BP374" i="1" s="1"/>
  <c r="P374" i="1"/>
  <c r="BO373" i="1"/>
  <c r="BM373" i="1"/>
  <c r="Y373" i="1"/>
  <c r="BP373" i="1" s="1"/>
  <c r="P373" i="1"/>
  <c r="BO372" i="1"/>
  <c r="BM372" i="1"/>
  <c r="Z372" i="1"/>
  <c r="Y372" i="1"/>
  <c r="BP372" i="1" s="1"/>
  <c r="P372" i="1"/>
  <c r="BO371" i="1"/>
  <c r="BM371" i="1"/>
  <c r="Y371" i="1"/>
  <c r="P371" i="1"/>
  <c r="X369" i="1"/>
  <c r="X368" i="1"/>
  <c r="BO367" i="1"/>
  <c r="BM367" i="1"/>
  <c r="Y367" i="1"/>
  <c r="BP367" i="1" s="1"/>
  <c r="P367" i="1"/>
  <c r="BO366" i="1"/>
  <c r="BN366" i="1"/>
  <c r="BM366" i="1"/>
  <c r="Y366" i="1"/>
  <c r="BP366" i="1" s="1"/>
  <c r="P366" i="1"/>
  <c r="BO365" i="1"/>
  <c r="BM365" i="1"/>
  <c r="Y365" i="1"/>
  <c r="BP365" i="1" s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X360" i="1"/>
  <c r="X359" i="1"/>
  <c r="BO358" i="1"/>
  <c r="BM358" i="1"/>
  <c r="Y358" i="1"/>
  <c r="BP358" i="1" s="1"/>
  <c r="P358" i="1"/>
  <c r="BO357" i="1"/>
  <c r="BN357" i="1"/>
  <c r="BM357" i="1"/>
  <c r="Y357" i="1"/>
  <c r="BP357" i="1" s="1"/>
  <c r="P357" i="1"/>
  <c r="BO356" i="1"/>
  <c r="BM356" i="1"/>
  <c r="Y356" i="1"/>
  <c r="P356" i="1"/>
  <c r="X353" i="1"/>
  <c r="X352" i="1"/>
  <c r="BO351" i="1"/>
  <c r="BM351" i="1"/>
  <c r="Y351" i="1"/>
  <c r="P351" i="1"/>
  <c r="BO350" i="1"/>
  <c r="BM350" i="1"/>
  <c r="Y350" i="1"/>
  <c r="P350" i="1"/>
  <c r="X348" i="1"/>
  <c r="X347" i="1"/>
  <c r="BP346" i="1"/>
  <c r="BO346" i="1"/>
  <c r="BM346" i="1"/>
  <c r="Z346" i="1"/>
  <c r="Y346" i="1"/>
  <c r="BN346" i="1" s="1"/>
  <c r="P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BP342" i="1" s="1"/>
  <c r="P342" i="1"/>
  <c r="X339" i="1"/>
  <c r="X338" i="1"/>
  <c r="BO337" i="1"/>
  <c r="BM337" i="1"/>
  <c r="Y337" i="1"/>
  <c r="P337" i="1"/>
  <c r="BO336" i="1"/>
  <c r="BM336" i="1"/>
  <c r="Y336" i="1"/>
  <c r="Y338" i="1" s="1"/>
  <c r="P336" i="1"/>
  <c r="BO335" i="1"/>
  <c r="BN335" i="1"/>
  <c r="BM335" i="1"/>
  <c r="Y335" i="1"/>
  <c r="BP335" i="1" s="1"/>
  <c r="P335" i="1"/>
  <c r="X332" i="1"/>
  <c r="X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BP328" i="1" s="1"/>
  <c r="P328" i="1"/>
  <c r="BO327" i="1"/>
  <c r="BM327" i="1"/>
  <c r="Y327" i="1"/>
  <c r="P327" i="1"/>
  <c r="BO326" i="1"/>
  <c r="BM326" i="1"/>
  <c r="Z326" i="1"/>
  <c r="Y326" i="1"/>
  <c r="BP326" i="1" s="1"/>
  <c r="P326" i="1"/>
  <c r="X323" i="1"/>
  <c r="X322" i="1"/>
  <c r="BO321" i="1"/>
  <c r="BM321" i="1"/>
  <c r="Y321" i="1"/>
  <c r="BP321" i="1" s="1"/>
  <c r="P321" i="1"/>
  <c r="BO320" i="1"/>
  <c r="BM320" i="1"/>
  <c r="Y320" i="1"/>
  <c r="P320" i="1"/>
  <c r="BO319" i="1"/>
  <c r="BM319" i="1"/>
  <c r="Y319" i="1"/>
  <c r="BP319" i="1" s="1"/>
  <c r="P319" i="1"/>
  <c r="X317" i="1"/>
  <c r="X316" i="1"/>
  <c r="BO315" i="1"/>
  <c r="BM315" i="1"/>
  <c r="Y315" i="1"/>
  <c r="P315" i="1"/>
  <c r="X313" i="1"/>
  <c r="Y312" i="1"/>
  <c r="X312" i="1"/>
  <c r="BP311" i="1"/>
  <c r="BO311" i="1"/>
  <c r="BM311" i="1"/>
  <c r="Z311" i="1"/>
  <c r="Z312" i="1" s="1"/>
  <c r="Y311" i="1"/>
  <c r="Y313" i="1" s="1"/>
  <c r="P311" i="1"/>
  <c r="X309" i="1"/>
  <c r="X308" i="1"/>
  <c r="BO307" i="1"/>
  <c r="BN307" i="1"/>
  <c r="BM307" i="1"/>
  <c r="Y307" i="1"/>
  <c r="BP307" i="1" s="1"/>
  <c r="P307" i="1"/>
  <c r="BO306" i="1"/>
  <c r="BM306" i="1"/>
  <c r="Y306" i="1"/>
  <c r="BP306" i="1" s="1"/>
  <c r="P306" i="1"/>
  <c r="BO305" i="1"/>
  <c r="BN305" i="1"/>
  <c r="BM305" i="1"/>
  <c r="Y305" i="1"/>
  <c r="BP305" i="1" s="1"/>
  <c r="P305" i="1"/>
  <c r="BO304" i="1"/>
  <c r="BM304" i="1"/>
  <c r="Y304" i="1"/>
  <c r="BP304" i="1" s="1"/>
  <c r="P304" i="1"/>
  <c r="BP303" i="1"/>
  <c r="BO303" i="1"/>
  <c r="BM303" i="1"/>
  <c r="Z303" i="1"/>
  <c r="Y303" i="1"/>
  <c r="BN303" i="1" s="1"/>
  <c r="P303" i="1"/>
  <c r="BO302" i="1"/>
  <c r="BM302" i="1"/>
  <c r="Y302" i="1"/>
  <c r="P302" i="1"/>
  <c r="BO301" i="1"/>
  <c r="BM301" i="1"/>
  <c r="Y301" i="1"/>
  <c r="P301" i="1"/>
  <c r="X298" i="1"/>
  <c r="X297" i="1"/>
  <c r="BO296" i="1"/>
  <c r="BM296" i="1"/>
  <c r="Z296" i="1"/>
  <c r="Y296" i="1"/>
  <c r="BP296" i="1" s="1"/>
  <c r="P296" i="1"/>
  <c r="BO295" i="1"/>
  <c r="BM295" i="1"/>
  <c r="Y295" i="1"/>
  <c r="Y297" i="1" s="1"/>
  <c r="P295" i="1"/>
  <c r="X293" i="1"/>
  <c r="X292" i="1"/>
  <c r="BO291" i="1"/>
  <c r="BM291" i="1"/>
  <c r="Y291" i="1"/>
  <c r="P291" i="1"/>
  <c r="BO290" i="1"/>
  <c r="BN290" i="1"/>
  <c r="BM290" i="1"/>
  <c r="Y290" i="1"/>
  <c r="BP290" i="1" s="1"/>
  <c r="P290" i="1"/>
  <c r="BO289" i="1"/>
  <c r="BM289" i="1"/>
  <c r="Y289" i="1"/>
  <c r="P289" i="1"/>
  <c r="BP288" i="1"/>
  <c r="BO288" i="1"/>
  <c r="BN288" i="1"/>
  <c r="BM288" i="1"/>
  <c r="Y288" i="1"/>
  <c r="Z288" i="1" s="1"/>
  <c r="P288" i="1"/>
  <c r="BO287" i="1"/>
  <c r="BM287" i="1"/>
  <c r="Y287" i="1"/>
  <c r="P287" i="1"/>
  <c r="BP286" i="1"/>
  <c r="BO286" i="1"/>
  <c r="BM286" i="1"/>
  <c r="Z286" i="1"/>
  <c r="Y286" i="1"/>
  <c r="BN286" i="1" s="1"/>
  <c r="P286" i="1"/>
  <c r="BO285" i="1"/>
  <c r="BM285" i="1"/>
  <c r="Y285" i="1"/>
  <c r="P285" i="1"/>
  <c r="BO284" i="1"/>
  <c r="BM284" i="1"/>
  <c r="Y284" i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O280" i="1"/>
  <c r="BM280" i="1"/>
  <c r="Y280" i="1"/>
  <c r="BP280" i="1" s="1"/>
  <c r="P280" i="1"/>
  <c r="X278" i="1"/>
  <c r="X277" i="1"/>
  <c r="BO276" i="1"/>
  <c r="BN276" i="1"/>
  <c r="BM276" i="1"/>
  <c r="Y276" i="1"/>
  <c r="P276" i="1"/>
  <c r="BO275" i="1"/>
  <c r="BM275" i="1"/>
  <c r="Y275" i="1"/>
  <c r="P275" i="1"/>
  <c r="BO274" i="1"/>
  <c r="BN274" i="1"/>
  <c r="BM274" i="1"/>
  <c r="Z274" i="1"/>
  <c r="Y274" i="1"/>
  <c r="BP274" i="1" s="1"/>
  <c r="P274" i="1"/>
  <c r="BO273" i="1"/>
  <c r="BM273" i="1"/>
  <c r="Y273" i="1"/>
  <c r="P273" i="1"/>
  <c r="BO272" i="1"/>
  <c r="BM272" i="1"/>
  <c r="Y272" i="1"/>
  <c r="BN272" i="1" s="1"/>
  <c r="P272" i="1"/>
  <c r="BO271" i="1"/>
  <c r="BM271" i="1"/>
  <c r="Y271" i="1"/>
  <c r="P271" i="1"/>
  <c r="BO270" i="1"/>
  <c r="BM270" i="1"/>
  <c r="Y270" i="1"/>
  <c r="BN270" i="1" s="1"/>
  <c r="P270" i="1"/>
  <c r="BO269" i="1"/>
  <c r="BM269" i="1"/>
  <c r="Y269" i="1"/>
  <c r="P269" i="1"/>
  <c r="X267" i="1"/>
  <c r="X266" i="1"/>
  <c r="BO265" i="1"/>
  <c r="BM265" i="1"/>
  <c r="Y265" i="1"/>
  <c r="P265" i="1"/>
  <c r="BP264" i="1"/>
  <c r="BO264" i="1"/>
  <c r="BM264" i="1"/>
  <c r="Z264" i="1"/>
  <c r="Y264" i="1"/>
  <c r="BN264" i="1" s="1"/>
  <c r="P264" i="1"/>
  <c r="X262" i="1"/>
  <c r="X261" i="1"/>
  <c r="BO260" i="1"/>
  <c r="BN260" i="1"/>
  <c r="BM260" i="1"/>
  <c r="Y260" i="1"/>
  <c r="P260" i="1"/>
  <c r="BO259" i="1"/>
  <c r="BM259" i="1"/>
  <c r="Y259" i="1"/>
  <c r="Y261" i="1" s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BP250" i="1" s="1"/>
  <c r="P250" i="1"/>
  <c r="BP249" i="1"/>
  <c r="BO249" i="1"/>
  <c r="BN249" i="1"/>
  <c r="BM249" i="1"/>
  <c r="Y249" i="1"/>
  <c r="Z249" i="1" s="1"/>
  <c r="P249" i="1"/>
  <c r="BO248" i="1"/>
  <c r="BM248" i="1"/>
  <c r="Y248" i="1"/>
  <c r="P248" i="1"/>
  <c r="X246" i="1"/>
  <c r="X245" i="1"/>
  <c r="BO244" i="1"/>
  <c r="BM244" i="1"/>
  <c r="Y244" i="1"/>
  <c r="BP244" i="1" s="1"/>
  <c r="P244" i="1"/>
  <c r="BO243" i="1"/>
  <c r="BN243" i="1"/>
  <c r="BM243" i="1"/>
  <c r="Y243" i="1"/>
  <c r="P243" i="1"/>
  <c r="BO242" i="1"/>
  <c r="BM242" i="1"/>
  <c r="Y242" i="1"/>
  <c r="BP242" i="1" s="1"/>
  <c r="P242" i="1"/>
  <c r="BO241" i="1"/>
  <c r="BN241" i="1"/>
  <c r="BM241" i="1"/>
  <c r="Y241" i="1"/>
  <c r="BP241" i="1" s="1"/>
  <c r="P241" i="1"/>
  <c r="BO240" i="1"/>
  <c r="BM240" i="1"/>
  <c r="Y240" i="1"/>
  <c r="P240" i="1"/>
  <c r="X238" i="1"/>
  <c r="X237" i="1"/>
  <c r="BO236" i="1"/>
  <c r="BM236" i="1"/>
  <c r="Y236" i="1"/>
  <c r="BP236" i="1" s="1"/>
  <c r="P236" i="1"/>
  <c r="BO235" i="1"/>
  <c r="BM235" i="1"/>
  <c r="Y235" i="1"/>
  <c r="BN235" i="1" s="1"/>
  <c r="P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P231" i="1"/>
  <c r="BO231" i="1"/>
  <c r="BM231" i="1"/>
  <c r="Y231" i="1"/>
  <c r="BN231" i="1" s="1"/>
  <c r="P231" i="1"/>
  <c r="BO230" i="1"/>
  <c r="BM230" i="1"/>
  <c r="Y230" i="1"/>
  <c r="BP230" i="1" s="1"/>
  <c r="P230" i="1"/>
  <c r="BO229" i="1"/>
  <c r="BM229" i="1"/>
  <c r="Z229" i="1"/>
  <c r="Y229" i="1"/>
  <c r="BN229" i="1" s="1"/>
  <c r="P229" i="1"/>
  <c r="BO228" i="1"/>
  <c r="BM228" i="1"/>
  <c r="Y228" i="1"/>
  <c r="BP228" i="1" s="1"/>
  <c r="P228" i="1"/>
  <c r="BO227" i="1"/>
  <c r="BM227" i="1"/>
  <c r="Y227" i="1"/>
  <c r="BN227" i="1" s="1"/>
  <c r="P227" i="1"/>
  <c r="BO226" i="1"/>
  <c r="BM226" i="1"/>
  <c r="Y226" i="1"/>
  <c r="BP226" i="1" s="1"/>
  <c r="P226" i="1"/>
  <c r="BO225" i="1"/>
  <c r="BN225" i="1"/>
  <c r="BM225" i="1"/>
  <c r="Z225" i="1"/>
  <c r="Y225" i="1"/>
  <c r="BP225" i="1" s="1"/>
  <c r="P225" i="1"/>
  <c r="BO224" i="1"/>
  <c r="BM224" i="1"/>
  <c r="Y224" i="1"/>
  <c r="BP224" i="1" s="1"/>
  <c r="P224" i="1"/>
  <c r="BP223" i="1"/>
  <c r="BO223" i="1"/>
  <c r="BM223" i="1"/>
  <c r="Y223" i="1"/>
  <c r="BN223" i="1" s="1"/>
  <c r="P223" i="1"/>
  <c r="X221" i="1"/>
  <c r="Y220" i="1"/>
  <c r="X220" i="1"/>
  <c r="BO219" i="1"/>
  <c r="BM219" i="1"/>
  <c r="Y219" i="1"/>
  <c r="P219" i="1"/>
  <c r="X216" i="1"/>
  <c r="X215" i="1"/>
  <c r="BO214" i="1"/>
  <c r="BM214" i="1"/>
  <c r="Z214" i="1"/>
  <c r="Y214" i="1"/>
  <c r="BN214" i="1" s="1"/>
  <c r="P214" i="1"/>
  <c r="BO213" i="1"/>
  <c r="BM213" i="1"/>
  <c r="Y213" i="1"/>
  <c r="BP213" i="1" s="1"/>
  <c r="P213" i="1"/>
  <c r="BO212" i="1"/>
  <c r="BM212" i="1"/>
  <c r="Y212" i="1"/>
  <c r="BN212" i="1" s="1"/>
  <c r="P212" i="1"/>
  <c r="BO211" i="1"/>
  <c r="BM211" i="1"/>
  <c r="Y211" i="1"/>
  <c r="BP211" i="1" s="1"/>
  <c r="P211" i="1"/>
  <c r="BO210" i="1"/>
  <c r="BM210" i="1"/>
  <c r="Z210" i="1"/>
  <c r="Y210" i="1"/>
  <c r="BP210" i="1" s="1"/>
  <c r="P210" i="1"/>
  <c r="BO209" i="1"/>
  <c r="BM209" i="1"/>
  <c r="Y209" i="1"/>
  <c r="P209" i="1"/>
  <c r="BO208" i="1"/>
  <c r="BM208" i="1"/>
  <c r="Z208" i="1"/>
  <c r="Y208" i="1"/>
  <c r="BN208" i="1" s="1"/>
  <c r="P208" i="1"/>
  <c r="X204" i="1"/>
  <c r="X203" i="1"/>
  <c r="BO202" i="1"/>
  <c r="BM202" i="1"/>
  <c r="Y202" i="1"/>
  <c r="Y203" i="1" s="1"/>
  <c r="P202" i="1"/>
  <c r="X200" i="1"/>
  <c r="X199" i="1"/>
  <c r="BO198" i="1"/>
  <c r="BM198" i="1"/>
  <c r="Z198" i="1"/>
  <c r="Y198" i="1"/>
  <c r="BN198" i="1" s="1"/>
  <c r="P198" i="1"/>
  <c r="BO197" i="1"/>
  <c r="BM197" i="1"/>
  <c r="Y197" i="1"/>
  <c r="Y199" i="1" s="1"/>
  <c r="P197" i="1"/>
  <c r="X195" i="1"/>
  <c r="X194" i="1"/>
  <c r="BO193" i="1"/>
  <c r="BM193" i="1"/>
  <c r="Y193" i="1"/>
  <c r="BP193" i="1" s="1"/>
  <c r="P193" i="1"/>
  <c r="BO192" i="1"/>
  <c r="BM192" i="1"/>
  <c r="Y192" i="1"/>
  <c r="BN192" i="1" s="1"/>
  <c r="P192" i="1"/>
  <c r="BO191" i="1"/>
  <c r="BM191" i="1"/>
  <c r="Y191" i="1"/>
  <c r="P191" i="1"/>
  <c r="X189" i="1"/>
  <c r="X188" i="1"/>
  <c r="BO187" i="1"/>
  <c r="BM187" i="1"/>
  <c r="Y187" i="1"/>
  <c r="BP187" i="1" s="1"/>
  <c r="P187" i="1"/>
  <c r="BO186" i="1"/>
  <c r="BM186" i="1"/>
  <c r="Y186" i="1"/>
  <c r="BP186" i="1" s="1"/>
  <c r="P186" i="1"/>
  <c r="BO185" i="1"/>
  <c r="BM185" i="1"/>
  <c r="Y185" i="1"/>
  <c r="BP185" i="1" s="1"/>
  <c r="P185" i="1"/>
  <c r="BP184" i="1"/>
  <c r="BO184" i="1"/>
  <c r="BM184" i="1"/>
  <c r="Y184" i="1"/>
  <c r="BN184" i="1" s="1"/>
  <c r="P184" i="1"/>
  <c r="BO183" i="1"/>
  <c r="BM183" i="1"/>
  <c r="Y183" i="1"/>
  <c r="BP183" i="1" s="1"/>
  <c r="P183" i="1"/>
  <c r="BO182" i="1"/>
  <c r="BM182" i="1"/>
  <c r="Y182" i="1"/>
  <c r="BN182" i="1" s="1"/>
  <c r="P182" i="1"/>
  <c r="BO181" i="1"/>
  <c r="BM181" i="1"/>
  <c r="Y181" i="1"/>
  <c r="BP181" i="1" s="1"/>
  <c r="P181" i="1"/>
  <c r="BO180" i="1"/>
  <c r="BM180" i="1"/>
  <c r="Y180" i="1"/>
  <c r="P180" i="1"/>
  <c r="BO179" i="1"/>
  <c r="BM179" i="1"/>
  <c r="Y179" i="1"/>
  <c r="BP179" i="1" s="1"/>
  <c r="P179" i="1"/>
  <c r="BO178" i="1"/>
  <c r="BN178" i="1"/>
  <c r="BM178" i="1"/>
  <c r="Y178" i="1"/>
  <c r="BP178" i="1" s="1"/>
  <c r="P178" i="1"/>
  <c r="BO177" i="1"/>
  <c r="BM177" i="1"/>
  <c r="Y177" i="1"/>
  <c r="P177" i="1"/>
  <c r="X175" i="1"/>
  <c r="X174" i="1"/>
  <c r="BO173" i="1"/>
  <c r="BM173" i="1"/>
  <c r="Y173" i="1"/>
  <c r="P173" i="1"/>
  <c r="BO172" i="1"/>
  <c r="BN172" i="1"/>
  <c r="BM172" i="1"/>
  <c r="Y172" i="1"/>
  <c r="X170" i="1"/>
  <c r="X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P166" i="1"/>
  <c r="X163" i="1"/>
  <c r="X162" i="1"/>
  <c r="BO161" i="1"/>
  <c r="BM161" i="1"/>
  <c r="Y161" i="1"/>
  <c r="Y163" i="1" s="1"/>
  <c r="P161" i="1"/>
  <c r="X159" i="1"/>
  <c r="X158" i="1"/>
  <c r="BO157" i="1"/>
  <c r="BM157" i="1"/>
  <c r="Y157" i="1"/>
  <c r="BP157" i="1" s="1"/>
  <c r="P157" i="1"/>
  <c r="BO156" i="1"/>
  <c r="BN156" i="1"/>
  <c r="BM156" i="1"/>
  <c r="Z156" i="1"/>
  <c r="Y156" i="1"/>
  <c r="BP156" i="1" s="1"/>
  <c r="P156" i="1"/>
  <c r="BO155" i="1"/>
  <c r="BM155" i="1"/>
  <c r="Y155" i="1"/>
  <c r="P155" i="1"/>
  <c r="BO154" i="1"/>
  <c r="BM154" i="1"/>
  <c r="Y154" i="1"/>
  <c r="BN154" i="1" s="1"/>
  <c r="P154" i="1"/>
  <c r="X151" i="1"/>
  <c r="X150" i="1"/>
  <c r="BO149" i="1"/>
  <c r="BM149" i="1"/>
  <c r="Z149" i="1"/>
  <c r="Y149" i="1"/>
  <c r="BP149" i="1" s="1"/>
  <c r="P149" i="1"/>
  <c r="BO148" i="1"/>
  <c r="BM148" i="1"/>
  <c r="Y148" i="1"/>
  <c r="BP148" i="1" s="1"/>
  <c r="P148" i="1"/>
  <c r="BO147" i="1"/>
  <c r="BM147" i="1"/>
  <c r="Y147" i="1"/>
  <c r="BN147" i="1" s="1"/>
  <c r="P147" i="1"/>
  <c r="BO146" i="1"/>
  <c r="BM146" i="1"/>
  <c r="Y146" i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BO139" i="1"/>
  <c r="BN139" i="1"/>
  <c r="BM139" i="1"/>
  <c r="Z139" i="1"/>
  <c r="Y139" i="1"/>
  <c r="P139" i="1"/>
  <c r="X137" i="1"/>
  <c r="X136" i="1"/>
  <c r="BO135" i="1"/>
  <c r="BM135" i="1"/>
  <c r="Y135" i="1"/>
  <c r="BN135" i="1" s="1"/>
  <c r="P135" i="1"/>
  <c r="BO134" i="1"/>
  <c r="BM134" i="1"/>
  <c r="Y134" i="1"/>
  <c r="BP134" i="1" s="1"/>
  <c r="P134" i="1"/>
  <c r="BO133" i="1"/>
  <c r="BM133" i="1"/>
  <c r="Y133" i="1"/>
  <c r="BP133" i="1" s="1"/>
  <c r="P133" i="1"/>
  <c r="BO132" i="1"/>
  <c r="BM132" i="1"/>
  <c r="Y132" i="1"/>
  <c r="P132" i="1"/>
  <c r="X129" i="1"/>
  <c r="X128" i="1"/>
  <c r="BO127" i="1"/>
  <c r="BM127" i="1"/>
  <c r="Y127" i="1"/>
  <c r="Y129" i="1" s="1"/>
  <c r="P127" i="1"/>
  <c r="X125" i="1"/>
  <c r="X124" i="1"/>
  <c r="BO123" i="1"/>
  <c r="BM123" i="1"/>
  <c r="Y123" i="1"/>
  <c r="BP123" i="1" s="1"/>
  <c r="P123" i="1"/>
  <c r="BO122" i="1"/>
  <c r="BM122" i="1"/>
  <c r="Y122" i="1"/>
  <c r="BP122" i="1" s="1"/>
  <c r="P122" i="1"/>
  <c r="BO121" i="1"/>
  <c r="BM121" i="1"/>
  <c r="Y121" i="1"/>
  <c r="P121" i="1"/>
  <c r="BO120" i="1"/>
  <c r="BM120" i="1"/>
  <c r="Y120" i="1"/>
  <c r="BP120" i="1" s="1"/>
  <c r="P120" i="1"/>
  <c r="X118" i="1"/>
  <c r="X117" i="1"/>
  <c r="BO116" i="1"/>
  <c r="BM116" i="1"/>
  <c r="Y116" i="1"/>
  <c r="BP116" i="1" s="1"/>
  <c r="P116" i="1"/>
  <c r="BO115" i="1"/>
  <c r="BM115" i="1"/>
  <c r="Y115" i="1"/>
  <c r="BP115" i="1" s="1"/>
  <c r="P115" i="1"/>
  <c r="BO114" i="1"/>
  <c r="BN114" i="1"/>
  <c r="BM114" i="1"/>
  <c r="Y114" i="1"/>
  <c r="BP114" i="1" s="1"/>
  <c r="P114" i="1"/>
  <c r="BO113" i="1"/>
  <c r="BM113" i="1"/>
  <c r="Y113" i="1"/>
  <c r="P113" i="1"/>
  <c r="BO112" i="1"/>
  <c r="BM112" i="1"/>
  <c r="Y112" i="1"/>
  <c r="Y118" i="1" s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N106" i="1" s="1"/>
  <c r="P106" i="1"/>
  <c r="BO105" i="1"/>
  <c r="BM105" i="1"/>
  <c r="Y105" i="1"/>
  <c r="BP105" i="1" s="1"/>
  <c r="P105" i="1"/>
  <c r="BP104" i="1"/>
  <c r="BO104" i="1"/>
  <c r="BM104" i="1"/>
  <c r="Z104" i="1"/>
  <c r="Y104" i="1"/>
  <c r="BN104" i="1" s="1"/>
  <c r="P104" i="1"/>
  <c r="BO103" i="1"/>
  <c r="BM103" i="1"/>
  <c r="Y103" i="1"/>
  <c r="P103" i="1"/>
  <c r="X100" i="1"/>
  <c r="X99" i="1"/>
  <c r="BO98" i="1"/>
  <c r="BM98" i="1"/>
  <c r="Y98" i="1"/>
  <c r="BP98" i="1" s="1"/>
  <c r="P98" i="1"/>
  <c r="BO97" i="1"/>
  <c r="BM97" i="1"/>
  <c r="Y97" i="1"/>
  <c r="BN97" i="1" s="1"/>
  <c r="P97" i="1"/>
  <c r="BO96" i="1"/>
  <c r="BM96" i="1"/>
  <c r="Y96" i="1"/>
  <c r="Y100" i="1" s="1"/>
  <c r="P96" i="1"/>
  <c r="BO95" i="1"/>
  <c r="BN95" i="1"/>
  <c r="BM95" i="1"/>
  <c r="Z95" i="1"/>
  <c r="Y95" i="1"/>
  <c r="BP95" i="1" s="1"/>
  <c r="P95" i="1"/>
  <c r="X93" i="1"/>
  <c r="X92" i="1"/>
  <c r="BO91" i="1"/>
  <c r="BM91" i="1"/>
  <c r="Y91" i="1"/>
  <c r="BN91" i="1" s="1"/>
  <c r="P91" i="1"/>
  <c r="BO90" i="1"/>
  <c r="BM90" i="1"/>
  <c r="Y90" i="1"/>
  <c r="BP90" i="1" s="1"/>
  <c r="P90" i="1"/>
  <c r="BO89" i="1"/>
  <c r="BM89" i="1"/>
  <c r="Z89" i="1"/>
  <c r="Y89" i="1"/>
  <c r="BP89" i="1" s="1"/>
  <c r="P89" i="1"/>
  <c r="BO88" i="1"/>
  <c r="BM88" i="1"/>
  <c r="Y88" i="1"/>
  <c r="P88" i="1"/>
  <c r="X85" i="1"/>
  <c r="X84" i="1"/>
  <c r="BO83" i="1"/>
  <c r="BM83" i="1"/>
  <c r="Y83" i="1"/>
  <c r="P83" i="1"/>
  <c r="BO82" i="1"/>
  <c r="BM82" i="1"/>
  <c r="Y82" i="1"/>
  <c r="P82" i="1"/>
  <c r="X80" i="1"/>
  <c r="X79" i="1"/>
  <c r="BO78" i="1"/>
  <c r="BN78" i="1"/>
  <c r="BM78" i="1"/>
  <c r="Z78" i="1"/>
  <c r="Y78" i="1"/>
  <c r="BP78" i="1" s="1"/>
  <c r="P78" i="1"/>
  <c r="BO77" i="1"/>
  <c r="BM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P71" i="1"/>
  <c r="BP70" i="1"/>
  <c r="BO70" i="1"/>
  <c r="BN70" i="1"/>
  <c r="BM70" i="1"/>
  <c r="Y70" i="1"/>
  <c r="Z70" i="1" s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O63" i="1"/>
  <c r="BM63" i="1"/>
  <c r="Y63" i="1"/>
  <c r="BP63" i="1" s="1"/>
  <c r="P63" i="1"/>
  <c r="BO62" i="1"/>
  <c r="BM62" i="1"/>
  <c r="Y62" i="1"/>
  <c r="BN62" i="1" s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N53" i="1" s="1"/>
  <c r="P53" i="1"/>
  <c r="BO52" i="1"/>
  <c r="BM52" i="1"/>
  <c r="Y52" i="1"/>
  <c r="P52" i="1"/>
  <c r="BO51" i="1"/>
  <c r="BM51" i="1"/>
  <c r="Y51" i="1"/>
  <c r="BN51" i="1" s="1"/>
  <c r="P51" i="1"/>
  <c r="X47" i="1"/>
  <c r="X46" i="1"/>
  <c r="BO45" i="1"/>
  <c r="BM45" i="1"/>
  <c r="Y45" i="1"/>
  <c r="BN45" i="1" s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N31" i="1" s="1"/>
  <c r="P31" i="1"/>
  <c r="BO30" i="1"/>
  <c r="BM30" i="1"/>
  <c r="Y30" i="1"/>
  <c r="BP30" i="1" s="1"/>
  <c r="P30" i="1"/>
  <c r="BO29" i="1"/>
  <c r="BM29" i="1"/>
  <c r="Y29" i="1"/>
  <c r="BN29" i="1" s="1"/>
  <c r="P29" i="1"/>
  <c r="BO28" i="1"/>
  <c r="BM28" i="1"/>
  <c r="Y28" i="1"/>
  <c r="P28" i="1"/>
  <c r="BP27" i="1"/>
  <c r="BO27" i="1"/>
  <c r="BN27" i="1"/>
  <c r="BM27" i="1"/>
  <c r="Y27" i="1"/>
  <c r="Z27" i="1" s="1"/>
  <c r="P27" i="1"/>
  <c r="X25" i="1"/>
  <c r="X24" i="1"/>
  <c r="BO23" i="1"/>
  <c r="BM23" i="1"/>
  <c r="Y23" i="1"/>
  <c r="BN23" i="1" s="1"/>
  <c r="P23" i="1"/>
  <c r="BO22" i="1"/>
  <c r="BM22" i="1"/>
  <c r="Y22" i="1"/>
  <c r="P22" i="1"/>
  <c r="H10" i="1"/>
  <c r="A9" i="1"/>
  <c r="A10" i="1" s="1"/>
  <c r="D7" i="1"/>
  <c r="Q6" i="1"/>
  <c r="P2" i="1"/>
  <c r="BP31" i="1" l="1"/>
  <c r="BP51" i="1"/>
  <c r="Z64" i="1"/>
  <c r="Z120" i="1"/>
  <c r="Z280" i="1"/>
  <c r="Y526" i="1"/>
  <c r="Z415" i="1"/>
  <c r="BN435" i="1"/>
  <c r="Z470" i="1"/>
  <c r="BN517" i="1"/>
  <c r="Y56" i="1"/>
  <c r="BN64" i="1"/>
  <c r="BN120" i="1"/>
  <c r="BN280" i="1"/>
  <c r="Y32" i="1"/>
  <c r="Y75" i="1"/>
  <c r="Z114" i="1"/>
  <c r="Z192" i="1"/>
  <c r="Y436" i="1"/>
  <c r="B560" i="1"/>
  <c r="Z108" i="1"/>
  <c r="Y125" i="1"/>
  <c r="Z186" i="1"/>
  <c r="BP192" i="1"/>
  <c r="BN210" i="1"/>
  <c r="Z233" i="1"/>
  <c r="BN296" i="1"/>
  <c r="Z319" i="1"/>
  <c r="BN326" i="1"/>
  <c r="BN342" i="1"/>
  <c r="Z445" i="1"/>
  <c r="BN462" i="1"/>
  <c r="BN89" i="1"/>
  <c r="Y143" i="1"/>
  <c r="BN149" i="1"/>
  <c r="BN202" i="1"/>
  <c r="BN372" i="1"/>
  <c r="BN408" i="1"/>
  <c r="Z478" i="1"/>
  <c r="BN108" i="1"/>
  <c r="BN186" i="1"/>
  <c r="BN233" i="1"/>
  <c r="BN319" i="1"/>
  <c r="Y398" i="1"/>
  <c r="BP425" i="1"/>
  <c r="X552" i="1"/>
  <c r="Z178" i="1"/>
  <c r="Y347" i="1"/>
  <c r="BP445" i="1"/>
  <c r="Y84" i="1"/>
  <c r="Z133" i="1"/>
  <c r="Y150" i="1"/>
  <c r="BP139" i="1"/>
  <c r="Z241" i="1"/>
  <c r="Z272" i="1"/>
  <c r="BN282" i="1"/>
  <c r="Z305" i="1"/>
  <c r="BN311" i="1"/>
  <c r="Y322" i="1"/>
  <c r="BN402" i="1"/>
  <c r="Z509" i="1"/>
  <c r="BN133" i="1"/>
  <c r="BN472" i="1"/>
  <c r="BN509" i="1"/>
  <c r="BP272" i="1"/>
  <c r="Z503" i="1"/>
  <c r="Z31" i="1"/>
  <c r="Z51" i="1"/>
  <c r="Z147" i="1"/>
  <c r="Z184" i="1"/>
  <c r="Z231" i="1"/>
  <c r="BN328" i="1"/>
  <c r="Y418" i="1"/>
  <c r="BN427" i="1"/>
  <c r="Y79" i="1"/>
  <c r="BP208" i="1"/>
  <c r="BN374" i="1"/>
  <c r="Y453" i="1"/>
  <c r="BN525" i="1"/>
  <c r="Y175" i="1"/>
  <c r="Y195" i="1"/>
  <c r="Z223" i="1"/>
  <c r="BN321" i="1"/>
  <c r="BP154" i="1"/>
  <c r="BP212" i="1"/>
  <c r="Z212" i="1"/>
  <c r="BP243" i="1"/>
  <c r="Z243" i="1"/>
  <c r="BN284" i="1"/>
  <c r="BP284" i="1"/>
  <c r="Z284" i="1"/>
  <c r="Y317" i="1"/>
  <c r="Y316" i="1"/>
  <c r="BN315" i="1"/>
  <c r="BP315" i="1"/>
  <c r="Z315" i="1"/>
  <c r="Z316" i="1" s="1"/>
  <c r="BN330" i="1"/>
  <c r="BP330" i="1"/>
  <c r="Z330" i="1"/>
  <c r="BN384" i="1"/>
  <c r="BP384" i="1"/>
  <c r="Z384" i="1"/>
  <c r="BN460" i="1"/>
  <c r="BP460" i="1"/>
  <c r="Z460" i="1"/>
  <c r="BN507" i="1"/>
  <c r="BP507" i="1"/>
  <c r="Z507" i="1"/>
  <c r="Y531" i="1"/>
  <c r="Y530" i="1"/>
  <c r="BN529" i="1"/>
  <c r="BP529" i="1"/>
  <c r="Z529" i="1"/>
  <c r="Z530" i="1" s="1"/>
  <c r="X551" i="1"/>
  <c r="X553" i="1" s="1"/>
  <c r="Z23" i="1"/>
  <c r="BP23" i="1"/>
  <c r="Y33" i="1"/>
  <c r="Z29" i="1"/>
  <c r="BP29" i="1"/>
  <c r="Z35" i="1"/>
  <c r="Z36" i="1" s="1"/>
  <c r="BP35" i="1"/>
  <c r="BN41" i="1"/>
  <c r="Y46" i="1"/>
  <c r="Z45" i="1"/>
  <c r="BP45" i="1"/>
  <c r="Z53" i="1"/>
  <c r="BP53" i="1"/>
  <c r="E560" i="1"/>
  <c r="Z62" i="1"/>
  <c r="BP62" i="1"/>
  <c r="BN66" i="1"/>
  <c r="BN72" i="1"/>
  <c r="Z82" i="1"/>
  <c r="BP82" i="1"/>
  <c r="F560" i="1"/>
  <c r="Z91" i="1"/>
  <c r="BP91" i="1"/>
  <c r="Y99" i="1"/>
  <c r="Z97" i="1"/>
  <c r="BP97" i="1"/>
  <c r="G560" i="1"/>
  <c r="Z106" i="1"/>
  <c r="BP106" i="1"/>
  <c r="Z112" i="1"/>
  <c r="BP112" i="1"/>
  <c r="BN116" i="1"/>
  <c r="BN122" i="1"/>
  <c r="H560" i="1"/>
  <c r="Z135" i="1"/>
  <c r="BP135" i="1"/>
  <c r="BP147" i="1"/>
  <c r="Z154" i="1"/>
  <c r="J560" i="1"/>
  <c r="BP167" i="1"/>
  <c r="Z167" i="1"/>
  <c r="BP180" i="1"/>
  <c r="Z180" i="1"/>
  <c r="BP214" i="1"/>
  <c r="BP219" i="1"/>
  <c r="Z219" i="1"/>
  <c r="Z220" i="1" s="1"/>
  <c r="BP276" i="1"/>
  <c r="Z276" i="1"/>
  <c r="BN376" i="1"/>
  <c r="BP376" i="1"/>
  <c r="Z376" i="1"/>
  <c r="BN395" i="1"/>
  <c r="BP395" i="1"/>
  <c r="Z395" i="1"/>
  <c r="BN423" i="1"/>
  <c r="BP423" i="1"/>
  <c r="Z423" i="1"/>
  <c r="BN468" i="1"/>
  <c r="BP468" i="1"/>
  <c r="Z468" i="1"/>
  <c r="Y521" i="1"/>
  <c r="BN513" i="1"/>
  <c r="BP513" i="1"/>
  <c r="Z513" i="1"/>
  <c r="BP182" i="1"/>
  <c r="BP227" i="1"/>
  <c r="Z227" i="1"/>
  <c r="BP235" i="1"/>
  <c r="Z235" i="1"/>
  <c r="BP260" i="1"/>
  <c r="Z260" i="1"/>
  <c r="BP270" i="1"/>
  <c r="BN301" i="1"/>
  <c r="BP301" i="1"/>
  <c r="Z301" i="1"/>
  <c r="BN344" i="1"/>
  <c r="BP344" i="1"/>
  <c r="Z344" i="1"/>
  <c r="Y352" i="1"/>
  <c r="BN350" i="1"/>
  <c r="BP350" i="1"/>
  <c r="Z350" i="1"/>
  <c r="BN452" i="1"/>
  <c r="BP452" i="1"/>
  <c r="Z452" i="1"/>
  <c r="Y539" i="1"/>
  <c r="Y538" i="1"/>
  <c r="BN537" i="1"/>
  <c r="BP537" i="1"/>
  <c r="Z537" i="1"/>
  <c r="Z538" i="1" s="1"/>
  <c r="X550" i="1"/>
  <c r="BN35" i="1"/>
  <c r="Y36" i="1"/>
  <c r="Z41" i="1"/>
  <c r="Z66" i="1"/>
  <c r="Y74" i="1"/>
  <c r="Z72" i="1"/>
  <c r="BN82" i="1"/>
  <c r="Y85" i="1"/>
  <c r="BN112" i="1"/>
  <c r="Y117" i="1"/>
  <c r="Z116" i="1"/>
  <c r="Y124" i="1"/>
  <c r="Z122" i="1"/>
  <c r="BN167" i="1"/>
  <c r="Y174" i="1"/>
  <c r="BP172" i="1"/>
  <c r="Z172" i="1"/>
  <c r="BN180" i="1"/>
  <c r="Z182" i="1"/>
  <c r="BP198" i="1"/>
  <c r="Y204" i="1"/>
  <c r="BP202" i="1"/>
  <c r="Z202" i="1"/>
  <c r="Z203" i="1" s="1"/>
  <c r="BN219" i="1"/>
  <c r="BP229" i="1"/>
  <c r="Z270" i="1"/>
  <c r="BN337" i="1"/>
  <c r="BP337" i="1"/>
  <c r="Z337" i="1"/>
  <c r="BP390" i="1"/>
  <c r="BN390" i="1"/>
  <c r="Z390" i="1"/>
  <c r="Y485" i="1"/>
  <c r="Y484" i="1"/>
  <c r="BN483" i="1"/>
  <c r="BP483" i="1"/>
  <c r="Z483" i="1"/>
  <c r="Z484" i="1" s="1"/>
  <c r="BN501" i="1"/>
  <c r="BP501" i="1"/>
  <c r="Z501" i="1"/>
  <c r="Y293" i="1"/>
  <c r="Y331" i="1"/>
  <c r="S560" i="1"/>
  <c r="Y385" i="1"/>
  <c r="Y391" i="1"/>
  <c r="Y405" i="1"/>
  <c r="Y144" i="1"/>
  <c r="Y159" i="1"/>
  <c r="Y189" i="1"/>
  <c r="Y215" i="1"/>
  <c r="Y246" i="1"/>
  <c r="Y251" i="1"/>
  <c r="Z282" i="1"/>
  <c r="Z290" i="1"/>
  <c r="Z307" i="1"/>
  <c r="Y323" i="1"/>
  <c r="Z321" i="1"/>
  <c r="Z328" i="1"/>
  <c r="Z335" i="1"/>
  <c r="Z342" i="1"/>
  <c r="Z357" i="1"/>
  <c r="T560" i="1"/>
  <c r="Z366" i="1"/>
  <c r="Y379" i="1"/>
  <c r="Z374" i="1"/>
  <c r="Z382" i="1"/>
  <c r="Z388" i="1"/>
  <c r="BP388" i="1"/>
  <c r="Z402" i="1"/>
  <c r="Z429" i="1"/>
  <c r="Y437" i="1"/>
  <c r="Z435" i="1"/>
  <c r="BN445" i="1"/>
  <c r="Y491" i="1"/>
  <c r="Z489" i="1"/>
  <c r="Z499" i="1"/>
  <c r="Z519" i="1"/>
  <c r="Y238" i="1"/>
  <c r="Y353" i="1"/>
  <c r="Z408" i="1"/>
  <c r="Z427" i="1"/>
  <c r="Z433" i="1"/>
  <c r="BP433" i="1"/>
  <c r="Z441" i="1"/>
  <c r="Z456" i="1"/>
  <c r="Z457" i="1" s="1"/>
  <c r="BP456" i="1"/>
  <c r="Y463" i="1"/>
  <c r="Z472" i="1"/>
  <c r="Z487" i="1"/>
  <c r="BP487" i="1"/>
  <c r="Z497" i="1"/>
  <c r="Z517" i="1"/>
  <c r="Z525" i="1"/>
  <c r="Z526" i="1" s="1"/>
  <c r="BP525" i="1"/>
  <c r="Z533" i="1"/>
  <c r="Z534" i="1" s="1"/>
  <c r="BP533" i="1"/>
  <c r="Z541" i="1"/>
  <c r="F9" i="1"/>
  <c r="J9" i="1"/>
  <c r="F10" i="1"/>
  <c r="Z22" i="1"/>
  <c r="Z24" i="1" s="1"/>
  <c r="BN22" i="1"/>
  <c r="BP22" i="1"/>
  <c r="X554" i="1"/>
  <c r="Y25" i="1"/>
  <c r="Z28" i="1"/>
  <c r="BN28" i="1"/>
  <c r="BP28" i="1"/>
  <c r="Z30" i="1"/>
  <c r="BN30" i="1"/>
  <c r="C560" i="1"/>
  <c r="Z42" i="1"/>
  <c r="BN42" i="1"/>
  <c r="BP42" i="1"/>
  <c r="Z44" i="1"/>
  <c r="BN44" i="1"/>
  <c r="Y47" i="1"/>
  <c r="D560" i="1"/>
  <c r="Z52" i="1"/>
  <c r="BN52" i="1"/>
  <c r="BP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Z74" i="1" s="1"/>
  <c r="BN71" i="1"/>
  <c r="BP71" i="1"/>
  <c r="Z73" i="1"/>
  <c r="BN73" i="1"/>
  <c r="Z77" i="1"/>
  <c r="Z79" i="1" s="1"/>
  <c r="BN77" i="1"/>
  <c r="BP77" i="1"/>
  <c r="Y80" i="1"/>
  <c r="Z83" i="1"/>
  <c r="Z84" i="1" s="1"/>
  <c r="BN83" i="1"/>
  <c r="BP83" i="1"/>
  <c r="Z88" i="1"/>
  <c r="BN88" i="1"/>
  <c r="BP88" i="1"/>
  <c r="Z90" i="1"/>
  <c r="BN90" i="1"/>
  <c r="Y93" i="1"/>
  <c r="Z96" i="1"/>
  <c r="BN96" i="1"/>
  <c r="BP96" i="1"/>
  <c r="Z98" i="1"/>
  <c r="BN98" i="1"/>
  <c r="Z103" i="1"/>
  <c r="BN103" i="1"/>
  <c r="BP103" i="1"/>
  <c r="Z105" i="1"/>
  <c r="BN105" i="1"/>
  <c r="Z107" i="1"/>
  <c r="BN107" i="1"/>
  <c r="Y110" i="1"/>
  <c r="Z113" i="1"/>
  <c r="BN113" i="1"/>
  <c r="BP113" i="1"/>
  <c r="Z115" i="1"/>
  <c r="BN115" i="1"/>
  <c r="Z121" i="1"/>
  <c r="BN121" i="1"/>
  <c r="BP121" i="1"/>
  <c r="Z123" i="1"/>
  <c r="BN123" i="1"/>
  <c r="Z127" i="1"/>
  <c r="Z128" i="1" s="1"/>
  <c r="BN127" i="1"/>
  <c r="BP127" i="1"/>
  <c r="Y128" i="1"/>
  <c r="Z132" i="1"/>
  <c r="BN132" i="1"/>
  <c r="BP132" i="1"/>
  <c r="Z134" i="1"/>
  <c r="BN134" i="1"/>
  <c r="Y137" i="1"/>
  <c r="Z140" i="1"/>
  <c r="BN140" i="1"/>
  <c r="BP140" i="1"/>
  <c r="Z142" i="1"/>
  <c r="BN142" i="1"/>
  <c r="Z146" i="1"/>
  <c r="BN146" i="1"/>
  <c r="BP146" i="1"/>
  <c r="Z148" i="1"/>
  <c r="BN148" i="1"/>
  <c r="Y151" i="1"/>
  <c r="I560" i="1"/>
  <c r="Z155" i="1"/>
  <c r="BN155" i="1"/>
  <c r="BP155" i="1"/>
  <c r="Z157" i="1"/>
  <c r="BN157" i="1"/>
  <c r="Y158" i="1"/>
  <c r="Z161" i="1"/>
  <c r="Z162" i="1" s="1"/>
  <c r="BN161" i="1"/>
  <c r="BP161" i="1"/>
  <c r="Y162" i="1"/>
  <c r="Z166" i="1"/>
  <c r="BN166" i="1"/>
  <c r="BP166" i="1"/>
  <c r="Z168" i="1"/>
  <c r="BN168" i="1"/>
  <c r="Y169" i="1"/>
  <c r="Z173" i="1"/>
  <c r="Z174" i="1" s="1"/>
  <c r="BN173" i="1"/>
  <c r="BP173" i="1"/>
  <c r="Z177" i="1"/>
  <c r="BN177" i="1"/>
  <c r="BP177" i="1"/>
  <c r="Z179" i="1"/>
  <c r="BN179" i="1"/>
  <c r="Z181" i="1"/>
  <c r="BN181" i="1"/>
  <c r="Z183" i="1"/>
  <c r="BN183" i="1"/>
  <c r="Z185" i="1"/>
  <c r="BN185" i="1"/>
  <c r="Z187" i="1"/>
  <c r="BN187" i="1"/>
  <c r="Y188" i="1"/>
  <c r="Z191" i="1"/>
  <c r="BN191" i="1"/>
  <c r="BP191" i="1"/>
  <c r="Z193" i="1"/>
  <c r="BN193" i="1"/>
  <c r="Y194" i="1"/>
  <c r="Z197" i="1"/>
  <c r="Z199" i="1" s="1"/>
  <c r="BN197" i="1"/>
  <c r="BP197" i="1"/>
  <c r="Y200" i="1"/>
  <c r="K560" i="1"/>
  <c r="Z209" i="1"/>
  <c r="BN209" i="1"/>
  <c r="BP209" i="1"/>
  <c r="Z211" i="1"/>
  <c r="BN211" i="1"/>
  <c r="Z213" i="1"/>
  <c r="BN213" i="1"/>
  <c r="Y216" i="1"/>
  <c r="L560" i="1"/>
  <c r="Y221" i="1"/>
  <c r="Z224" i="1"/>
  <c r="BN224" i="1"/>
  <c r="Z226" i="1"/>
  <c r="BN226" i="1"/>
  <c r="Z228" i="1"/>
  <c r="BN228" i="1"/>
  <c r="Z230" i="1"/>
  <c r="BN230" i="1"/>
  <c r="Z232" i="1"/>
  <c r="BN232" i="1"/>
  <c r="Z234" i="1"/>
  <c r="BN234" i="1"/>
  <c r="Z236" i="1"/>
  <c r="BN236" i="1"/>
  <c r="Y237" i="1"/>
  <c r="Z240" i="1"/>
  <c r="BN240" i="1"/>
  <c r="BP240" i="1"/>
  <c r="Z242" i="1"/>
  <c r="BN242" i="1"/>
  <c r="Z244" i="1"/>
  <c r="BN244" i="1"/>
  <c r="Y245" i="1"/>
  <c r="Z248" i="1"/>
  <c r="Z251" i="1" s="1"/>
  <c r="BN248" i="1"/>
  <c r="BP248" i="1"/>
  <c r="Z250" i="1"/>
  <c r="BN250" i="1"/>
  <c r="Y252" i="1"/>
  <c r="Y255" i="1"/>
  <c r="BP254" i="1"/>
  <c r="BN254" i="1"/>
  <c r="Z254" i="1"/>
  <c r="Z255" i="1" s="1"/>
  <c r="Y256" i="1"/>
  <c r="M560" i="1"/>
  <c r="Y262" i="1"/>
  <c r="BP259" i="1"/>
  <c r="BN259" i="1"/>
  <c r="Z259" i="1"/>
  <c r="Z261" i="1" s="1"/>
  <c r="Y266" i="1"/>
  <c r="BP271" i="1"/>
  <c r="BN271" i="1"/>
  <c r="Z271" i="1"/>
  <c r="BP275" i="1"/>
  <c r="BN275" i="1"/>
  <c r="Z275" i="1"/>
  <c r="Y292" i="1"/>
  <c r="BP283" i="1"/>
  <c r="BN283" i="1"/>
  <c r="Z283" i="1"/>
  <c r="BP287" i="1"/>
  <c r="BN287" i="1"/>
  <c r="Z287" i="1"/>
  <c r="BP291" i="1"/>
  <c r="BN291" i="1"/>
  <c r="Z291" i="1"/>
  <c r="Y298" i="1"/>
  <c r="BP295" i="1"/>
  <c r="BN295" i="1"/>
  <c r="Z295" i="1"/>
  <c r="Z297" i="1" s="1"/>
  <c r="O560" i="1"/>
  <c r="H9" i="1"/>
  <c r="Y24" i="1"/>
  <c r="Y67" i="1"/>
  <c r="Y92" i="1"/>
  <c r="Y109" i="1"/>
  <c r="Y136" i="1"/>
  <c r="Y170" i="1"/>
  <c r="BP265" i="1"/>
  <c r="BN265" i="1"/>
  <c r="Z265" i="1"/>
  <c r="Z266" i="1" s="1"/>
  <c r="Y267" i="1"/>
  <c r="Y278" i="1"/>
  <c r="BP269" i="1"/>
  <c r="BN269" i="1"/>
  <c r="Z269" i="1"/>
  <c r="BP273" i="1"/>
  <c r="BN273" i="1"/>
  <c r="Z273" i="1"/>
  <c r="Y277" i="1"/>
  <c r="BP281" i="1"/>
  <c r="BN281" i="1"/>
  <c r="Z281" i="1"/>
  <c r="BP285" i="1"/>
  <c r="BN285" i="1"/>
  <c r="Z285" i="1"/>
  <c r="BP289" i="1"/>
  <c r="BN289" i="1"/>
  <c r="Z289" i="1"/>
  <c r="Y308" i="1"/>
  <c r="BP302" i="1"/>
  <c r="BN302" i="1"/>
  <c r="Z302" i="1"/>
  <c r="Z304" i="1"/>
  <c r="BN304" i="1"/>
  <c r="Z306" i="1"/>
  <c r="BN306" i="1"/>
  <c r="Y309" i="1"/>
  <c r="Z320" i="1"/>
  <c r="Z322" i="1" s="1"/>
  <c r="BN320" i="1"/>
  <c r="BP320" i="1"/>
  <c r="P560" i="1"/>
  <c r="Z327" i="1"/>
  <c r="BN327" i="1"/>
  <c r="BP327" i="1"/>
  <c r="Z329" i="1"/>
  <c r="BN329" i="1"/>
  <c r="Y332" i="1"/>
  <c r="Q560" i="1"/>
  <c r="Z336" i="1"/>
  <c r="Z338" i="1" s="1"/>
  <c r="BN336" i="1"/>
  <c r="BP336" i="1"/>
  <c r="Y339" i="1"/>
  <c r="R560" i="1"/>
  <c r="Z343" i="1"/>
  <c r="BN343" i="1"/>
  <c r="BP343" i="1"/>
  <c r="Z345" i="1"/>
  <c r="BN345" i="1"/>
  <c r="Y348" i="1"/>
  <c r="Z351" i="1"/>
  <c r="Z352" i="1" s="1"/>
  <c r="BN351" i="1"/>
  <c r="BP351" i="1"/>
  <c r="Z356" i="1"/>
  <c r="BN356" i="1"/>
  <c r="BP356" i="1"/>
  <c r="Z358" i="1"/>
  <c r="BN358" i="1"/>
  <c r="Y359" i="1"/>
  <c r="Z363" i="1"/>
  <c r="BN363" i="1"/>
  <c r="BP363" i="1"/>
  <c r="Z365" i="1"/>
  <c r="BN365" i="1"/>
  <c r="Z367" i="1"/>
  <c r="BN367" i="1"/>
  <c r="Y368" i="1"/>
  <c r="Z371" i="1"/>
  <c r="BN371" i="1"/>
  <c r="BP371" i="1"/>
  <c r="Z373" i="1"/>
  <c r="BN373" i="1"/>
  <c r="Z375" i="1"/>
  <c r="BN375" i="1"/>
  <c r="Z377" i="1"/>
  <c r="BN377" i="1"/>
  <c r="Y378" i="1"/>
  <c r="Z381" i="1"/>
  <c r="BN381" i="1"/>
  <c r="BP381" i="1"/>
  <c r="Z383" i="1"/>
  <c r="BN383" i="1"/>
  <c r="Y386" i="1"/>
  <c r="Z389" i="1"/>
  <c r="Z391" i="1" s="1"/>
  <c r="BN389" i="1"/>
  <c r="Y392" i="1"/>
  <c r="BP403" i="1"/>
  <c r="BN403" i="1"/>
  <c r="Z403" i="1"/>
  <c r="Y410" i="1"/>
  <c r="BP407" i="1"/>
  <c r="BN407" i="1"/>
  <c r="Z407" i="1"/>
  <c r="BP416" i="1"/>
  <c r="BN416" i="1"/>
  <c r="Z416" i="1"/>
  <c r="V560" i="1"/>
  <c r="Y431" i="1"/>
  <c r="BP422" i="1"/>
  <c r="BN422" i="1"/>
  <c r="Z422" i="1"/>
  <c r="BP426" i="1"/>
  <c r="BN426" i="1"/>
  <c r="Z426" i="1"/>
  <c r="Y430" i="1"/>
  <c r="BP434" i="1"/>
  <c r="BN434" i="1"/>
  <c r="Z434" i="1"/>
  <c r="Z436" i="1" s="1"/>
  <c r="Y443" i="1"/>
  <c r="BP446" i="1"/>
  <c r="BN446" i="1"/>
  <c r="Z446" i="1"/>
  <c r="Z447" i="1" s="1"/>
  <c r="Y448" i="1"/>
  <c r="Y454" i="1"/>
  <c r="BP451" i="1"/>
  <c r="BN451" i="1"/>
  <c r="Z451" i="1"/>
  <c r="Y464" i="1"/>
  <c r="BP469" i="1"/>
  <c r="BN469" i="1"/>
  <c r="Z469" i="1"/>
  <c r="BP473" i="1"/>
  <c r="BN473" i="1"/>
  <c r="Z473" i="1"/>
  <c r="Y475" i="1"/>
  <c r="Y480" i="1"/>
  <c r="BP477" i="1"/>
  <c r="BN477" i="1"/>
  <c r="Z477" i="1"/>
  <c r="Y479" i="1"/>
  <c r="BP516" i="1"/>
  <c r="BN516" i="1"/>
  <c r="Z516" i="1"/>
  <c r="Y520" i="1"/>
  <c r="BP542" i="1"/>
  <c r="BN542" i="1"/>
  <c r="Z542" i="1"/>
  <c r="Z543" i="1" s="1"/>
  <c r="Y544" i="1"/>
  <c r="AB560" i="1"/>
  <c r="Y548" i="1"/>
  <c r="BP547" i="1"/>
  <c r="BN547" i="1"/>
  <c r="Z547" i="1"/>
  <c r="Z548" i="1" s="1"/>
  <c r="Y549" i="1"/>
  <c r="W560" i="1"/>
  <c r="Y360" i="1"/>
  <c r="Y369" i="1"/>
  <c r="Z394" i="1"/>
  <c r="BN394" i="1"/>
  <c r="BP394" i="1"/>
  <c r="Z396" i="1"/>
  <c r="BN396" i="1"/>
  <c r="BP397" i="1"/>
  <c r="BN397" i="1"/>
  <c r="Z397" i="1"/>
  <c r="Y399" i="1"/>
  <c r="Y404" i="1"/>
  <c r="BP401" i="1"/>
  <c r="BN401" i="1"/>
  <c r="Z401" i="1"/>
  <c r="BP409" i="1"/>
  <c r="BN409" i="1"/>
  <c r="Z409" i="1"/>
  <c r="Y411" i="1"/>
  <c r="U560" i="1"/>
  <c r="Y417" i="1"/>
  <c r="BP414" i="1"/>
  <c r="BN414" i="1"/>
  <c r="Z414" i="1"/>
  <c r="Z417" i="1" s="1"/>
  <c r="BP424" i="1"/>
  <c r="BN424" i="1"/>
  <c r="Z424" i="1"/>
  <c r="BP428" i="1"/>
  <c r="BN428" i="1"/>
  <c r="Z428" i="1"/>
  <c r="BP440" i="1"/>
  <c r="BN440" i="1"/>
  <c r="Z440" i="1"/>
  <c r="Z442" i="1" s="1"/>
  <c r="BP461" i="1"/>
  <c r="BN461" i="1"/>
  <c r="Z461" i="1"/>
  <c r="Z463" i="1" s="1"/>
  <c r="BP496" i="1"/>
  <c r="BN496" i="1"/>
  <c r="Z496" i="1"/>
  <c r="BP500" i="1"/>
  <c r="BN500" i="1"/>
  <c r="Z500" i="1"/>
  <c r="Y504" i="1"/>
  <c r="BP508" i="1"/>
  <c r="BN508" i="1"/>
  <c r="Z508" i="1"/>
  <c r="Z510" i="1" s="1"/>
  <c r="Y510" i="1"/>
  <c r="AA560" i="1"/>
  <c r="X560" i="1"/>
  <c r="Y474" i="1"/>
  <c r="BP471" i="1"/>
  <c r="BN471" i="1"/>
  <c r="Z471" i="1"/>
  <c r="BP488" i="1"/>
  <c r="BN488" i="1"/>
  <c r="Z488" i="1"/>
  <c r="Z560" i="1"/>
  <c r="BP498" i="1"/>
  <c r="BN498" i="1"/>
  <c r="Z498" i="1"/>
  <c r="BP502" i="1"/>
  <c r="BN502" i="1"/>
  <c r="Z502" i="1"/>
  <c r="Y511" i="1"/>
  <c r="BP514" i="1"/>
  <c r="BN514" i="1"/>
  <c r="Z514" i="1"/>
  <c r="BP518" i="1"/>
  <c r="BN518" i="1"/>
  <c r="Z518" i="1"/>
  <c r="Y543" i="1"/>
  <c r="Y560" i="1"/>
  <c r="Y505" i="1"/>
  <c r="Z237" i="1" l="1"/>
  <c r="Z46" i="1"/>
  <c r="Z194" i="1"/>
  <c r="Z150" i="1"/>
  <c r="Z124" i="1"/>
  <c r="Z92" i="1"/>
  <c r="Z347" i="1"/>
  <c r="Z143" i="1"/>
  <c r="Z117" i="1"/>
  <c r="Z308" i="1"/>
  <c r="Z479" i="1"/>
  <c r="Z490" i="1"/>
  <c r="Z404" i="1"/>
  <c r="Z453" i="1"/>
  <c r="Z385" i="1"/>
  <c r="Z55" i="1"/>
  <c r="Z474" i="1"/>
  <c r="Z359" i="1"/>
  <c r="Z277" i="1"/>
  <c r="Z245" i="1"/>
  <c r="Z520" i="1"/>
  <c r="Z504" i="1"/>
  <c r="Z378" i="1"/>
  <c r="Z368" i="1"/>
  <c r="Z331" i="1"/>
  <c r="Z292" i="1"/>
  <c r="Z215" i="1"/>
  <c r="Z188" i="1"/>
  <c r="Z158" i="1"/>
  <c r="Z99" i="1"/>
  <c r="Z67" i="1"/>
  <c r="Z32" i="1"/>
  <c r="Y550" i="1"/>
  <c r="Y552" i="1"/>
  <c r="Z398" i="1"/>
  <c r="Z430" i="1"/>
  <c r="Z410" i="1"/>
  <c r="Y554" i="1"/>
  <c r="Z169" i="1"/>
  <c r="Z136" i="1"/>
  <c r="Z555" i="1" s="1"/>
  <c r="Z109" i="1"/>
  <c r="Y551" i="1"/>
  <c r="Y553" i="1" l="1"/>
</calcChain>
</file>

<file path=xl/sharedStrings.xml><?xml version="1.0" encoding="utf-8"?>
<sst xmlns="http://schemas.openxmlformats.org/spreadsheetml/2006/main" count="2502" uniqueCount="908">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</sst>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6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2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30" sqref="AA30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699" t="s">
        <v>0</v>
      </c>
      <c r="E1" s="674"/>
      <c r="F1" s="674"/>
      <c r="G1" s="12" t="s">
        <v>1</v>
      </c>
      <c r="H1" s="69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14" t="s">
        <v>8</v>
      </c>
      <c r="B5" s="715"/>
      <c r="C5" s="716"/>
      <c r="D5" s="704"/>
      <c r="E5" s="705"/>
      <c r="F5" s="941" t="s">
        <v>9</v>
      </c>
      <c r="G5" s="716"/>
      <c r="H5" s="704" t="s">
        <v>907</v>
      </c>
      <c r="I5" s="897"/>
      <c r="J5" s="897"/>
      <c r="K5" s="897"/>
      <c r="L5" s="897"/>
      <c r="M5" s="705"/>
      <c r="N5" s="58"/>
      <c r="P5" s="24" t="s">
        <v>10</v>
      </c>
      <c r="Q5" s="942">
        <v>46230</v>
      </c>
      <c r="R5" s="761"/>
      <c r="T5" s="824" t="s">
        <v>11</v>
      </c>
      <c r="U5" s="771"/>
      <c r="V5" s="825" t="s">
        <v>12</v>
      </c>
      <c r="W5" s="761"/>
      <c r="AB5" s="51"/>
      <c r="AC5" s="51"/>
      <c r="AD5" s="51"/>
      <c r="AE5" s="51"/>
    </row>
    <row r="6" spans="1:32" s="621" customFormat="1" ht="24" customHeight="1" x14ac:dyDescent="0.2">
      <c r="A6" s="714" t="s">
        <v>13</v>
      </c>
      <c r="B6" s="715"/>
      <c r="C6" s="716"/>
      <c r="D6" s="902" t="s">
        <v>880</v>
      </c>
      <c r="E6" s="903"/>
      <c r="F6" s="903"/>
      <c r="G6" s="903"/>
      <c r="H6" s="903"/>
      <c r="I6" s="903"/>
      <c r="J6" s="903"/>
      <c r="K6" s="903"/>
      <c r="L6" s="903"/>
      <c r="M6" s="761"/>
      <c r="N6" s="59"/>
      <c r="P6" s="24" t="s">
        <v>14</v>
      </c>
      <c r="Q6" s="943" t="str">
        <f>IF(Q5=0," ",CHOOSE(WEEKDAY(Q5,2),"Понедельник","Вторник","Среда","Четверг","Пятница","Суббота","Воскресенье"))</f>
        <v>Понедельник</v>
      </c>
      <c r="R6" s="640"/>
      <c r="T6" s="831" t="s">
        <v>15</v>
      </c>
      <c r="U6" s="771"/>
      <c r="V6" s="876" t="s">
        <v>16</v>
      </c>
      <c r="W6" s="683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4" t="str">
        <f>IFERROR(VLOOKUP(DeliveryAddress,Table,3,0),1)</f>
        <v>5</v>
      </c>
      <c r="E7" s="685"/>
      <c r="F7" s="685"/>
      <c r="G7" s="685"/>
      <c r="H7" s="685"/>
      <c r="I7" s="685"/>
      <c r="J7" s="685"/>
      <c r="K7" s="685"/>
      <c r="L7" s="685"/>
      <c r="M7" s="686"/>
      <c r="N7" s="60"/>
      <c r="P7" s="24"/>
      <c r="Q7" s="42"/>
      <c r="R7" s="42"/>
      <c r="T7" s="632"/>
      <c r="U7" s="771"/>
      <c r="V7" s="877"/>
      <c r="W7" s="878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51"/>
      <c r="C8" s="652"/>
      <c r="D8" s="693"/>
      <c r="E8" s="694"/>
      <c r="F8" s="694"/>
      <c r="G8" s="694"/>
      <c r="H8" s="694"/>
      <c r="I8" s="694"/>
      <c r="J8" s="694"/>
      <c r="K8" s="694"/>
      <c r="L8" s="694"/>
      <c r="M8" s="695"/>
      <c r="N8" s="61"/>
      <c r="P8" s="24" t="s">
        <v>18</v>
      </c>
      <c r="Q8" s="757">
        <v>0.41666666666666669</v>
      </c>
      <c r="R8" s="686"/>
      <c r="T8" s="632"/>
      <c r="U8" s="771"/>
      <c r="V8" s="877"/>
      <c r="W8" s="878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779"/>
      <c r="E9" s="656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19"/>
      <c r="P9" s="26" t="s">
        <v>19</v>
      </c>
      <c r="Q9" s="754"/>
      <c r="R9" s="755"/>
      <c r="T9" s="632"/>
      <c r="U9" s="771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779"/>
      <c r="E10" s="656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62" t="str">
        <f>IFERROR(VLOOKUP($D$10,Proxy,2,FALSE),"")</f>
        <v/>
      </c>
      <c r="I10" s="632"/>
      <c r="J10" s="632"/>
      <c r="K10" s="632"/>
      <c r="L10" s="632"/>
      <c r="M10" s="632"/>
      <c r="N10" s="620"/>
      <c r="P10" s="26" t="s">
        <v>20</v>
      </c>
      <c r="Q10" s="832"/>
      <c r="R10" s="833"/>
      <c r="U10" s="24" t="s">
        <v>21</v>
      </c>
      <c r="V10" s="682" t="s">
        <v>22</v>
      </c>
      <c r="W10" s="683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15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15" t="s">
        <v>27</v>
      </c>
      <c r="B12" s="715"/>
      <c r="C12" s="715"/>
      <c r="D12" s="715"/>
      <c r="E12" s="715"/>
      <c r="F12" s="715"/>
      <c r="G12" s="715"/>
      <c r="H12" s="715"/>
      <c r="I12" s="715"/>
      <c r="J12" s="715"/>
      <c r="K12" s="715"/>
      <c r="L12" s="715"/>
      <c r="M12" s="716"/>
      <c r="N12" s="62"/>
      <c r="P12" s="24" t="s">
        <v>28</v>
      </c>
      <c r="Q12" s="757"/>
      <c r="R12" s="686"/>
      <c r="S12" s="23"/>
      <c r="U12" s="24"/>
      <c r="V12" s="674"/>
      <c r="W12" s="632"/>
      <c r="AB12" s="51"/>
      <c r="AC12" s="51"/>
      <c r="AD12" s="51"/>
      <c r="AE12" s="51"/>
    </row>
    <row r="13" spans="1:32" s="621" customFormat="1" ht="23.25" customHeight="1" x14ac:dyDescent="0.2">
      <c r="A13" s="815" t="s">
        <v>29</v>
      </c>
      <c r="B13" s="715"/>
      <c r="C13" s="715"/>
      <c r="D13" s="715"/>
      <c r="E13" s="715"/>
      <c r="F13" s="715"/>
      <c r="G13" s="715"/>
      <c r="H13" s="715"/>
      <c r="I13" s="715"/>
      <c r="J13" s="715"/>
      <c r="K13" s="715"/>
      <c r="L13" s="715"/>
      <c r="M13" s="716"/>
      <c r="N13" s="62"/>
      <c r="O13" s="26"/>
      <c r="P13" s="26" t="s">
        <v>30</v>
      </c>
      <c r="Q13" s="915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15" t="s">
        <v>31</v>
      </c>
      <c r="B14" s="715"/>
      <c r="C14" s="715"/>
      <c r="D14" s="715"/>
      <c r="E14" s="715"/>
      <c r="F14" s="715"/>
      <c r="G14" s="715"/>
      <c r="H14" s="715"/>
      <c r="I14" s="715"/>
      <c r="J14" s="715"/>
      <c r="K14" s="715"/>
      <c r="L14" s="715"/>
      <c r="M14" s="71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5" t="s">
        <v>32</v>
      </c>
      <c r="B15" s="715"/>
      <c r="C15" s="715"/>
      <c r="D15" s="715"/>
      <c r="E15" s="715"/>
      <c r="F15" s="715"/>
      <c r="G15" s="715"/>
      <c r="H15" s="715"/>
      <c r="I15" s="715"/>
      <c r="J15" s="715"/>
      <c r="K15" s="715"/>
      <c r="L15" s="715"/>
      <c r="M15" s="716"/>
      <c r="N15" s="63"/>
      <c r="P15" s="790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1"/>
      <c r="Q16" s="791"/>
      <c r="R16" s="791"/>
      <c r="S16" s="791"/>
      <c r="T16" s="7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58" t="s">
        <v>36</v>
      </c>
      <c r="D17" s="680" t="s">
        <v>37</v>
      </c>
      <c r="E17" s="746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45"/>
      <c r="R17" s="745"/>
      <c r="S17" s="745"/>
      <c r="T17" s="746"/>
      <c r="U17" s="988" t="s">
        <v>49</v>
      </c>
      <c r="V17" s="716"/>
      <c r="W17" s="680" t="s">
        <v>50</v>
      </c>
      <c r="X17" s="680" t="s">
        <v>51</v>
      </c>
      <c r="Y17" s="989" t="s">
        <v>52</v>
      </c>
      <c r="Z17" s="890" t="s">
        <v>53</v>
      </c>
      <c r="AA17" s="860" t="s">
        <v>54</v>
      </c>
      <c r="AB17" s="860" t="s">
        <v>55</v>
      </c>
      <c r="AC17" s="860" t="s">
        <v>56</v>
      </c>
      <c r="AD17" s="860" t="s">
        <v>57</v>
      </c>
      <c r="AE17" s="936"/>
      <c r="AF17" s="937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47"/>
      <c r="E18" s="749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47"/>
      <c r="Q18" s="748"/>
      <c r="R18" s="748"/>
      <c r="S18" s="748"/>
      <c r="T18" s="749"/>
      <c r="U18" s="67" t="s">
        <v>59</v>
      </c>
      <c r="V18" s="67" t="s">
        <v>60</v>
      </c>
      <c r="W18" s="681"/>
      <c r="X18" s="681"/>
      <c r="Y18" s="990"/>
      <c r="Z18" s="891"/>
      <c r="AA18" s="861"/>
      <c r="AB18" s="861"/>
      <c r="AC18" s="861"/>
      <c r="AD18" s="938"/>
      <c r="AE18" s="939"/>
      <c r="AF18" s="940"/>
      <c r="AG18" s="66"/>
      <c r="BD18" s="65"/>
    </row>
    <row r="19" spans="1:68" ht="27.75" hidden="1" customHeight="1" x14ac:dyDescent="0.2">
      <c r="A19" s="660" t="s">
        <v>61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48"/>
      <c r="AB19" s="48"/>
      <c r="AC19" s="48"/>
    </row>
    <row r="20" spans="1:68" ht="16.5" hidden="1" customHeight="1" x14ac:dyDescent="0.25">
      <c r="A20" s="657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22"/>
      <c r="AB20" s="622"/>
      <c r="AC20" s="622"/>
    </row>
    <row r="21" spans="1:68" ht="14.25" hidden="1" customHeight="1" x14ac:dyDescent="0.25">
      <c r="A21" s="654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23"/>
      <c r="AB21" s="623"/>
      <c r="AC21" s="623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9">
        <v>4680115886643</v>
      </c>
      <c r="E22" s="640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5"/>
      <c r="R22" s="635"/>
      <c r="S22" s="635"/>
      <c r="T22" s="636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9">
        <v>4680115889071</v>
      </c>
      <c r="E23" s="640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5"/>
      <c r="R23" s="635"/>
      <c r="S23" s="635"/>
      <c r="T23" s="636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1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50" t="s">
        <v>72</v>
      </c>
      <c r="Q24" s="651"/>
      <c r="R24" s="651"/>
      <c r="S24" s="651"/>
      <c r="T24" s="651"/>
      <c r="U24" s="651"/>
      <c r="V24" s="652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hidden="1" x14ac:dyDescent="0.2">
      <c r="A25" s="632"/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3"/>
      <c r="P25" s="650" t="s">
        <v>72</v>
      </c>
      <c r="Q25" s="651"/>
      <c r="R25" s="651"/>
      <c r="S25" s="651"/>
      <c r="T25" s="651"/>
      <c r="U25" s="651"/>
      <c r="V25" s="652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hidden="1" customHeight="1" x14ac:dyDescent="0.25">
      <c r="A26" s="654" t="s">
        <v>74</v>
      </c>
      <c r="B26" s="632"/>
      <c r="C26" s="632"/>
      <c r="D26" s="632"/>
      <c r="E26" s="632"/>
      <c r="F26" s="632"/>
      <c r="G26" s="632"/>
      <c r="H26" s="632"/>
      <c r="I26" s="632"/>
      <c r="J26" s="632"/>
      <c r="K26" s="632"/>
      <c r="L26" s="632"/>
      <c r="M26" s="632"/>
      <c r="N26" s="632"/>
      <c r="O26" s="632"/>
      <c r="P26" s="632"/>
      <c r="Q26" s="632"/>
      <c r="R26" s="632"/>
      <c r="S26" s="632"/>
      <c r="T26" s="632"/>
      <c r="U26" s="632"/>
      <c r="V26" s="632"/>
      <c r="W26" s="632"/>
      <c r="X26" s="632"/>
      <c r="Y26" s="632"/>
      <c r="Z26" s="632"/>
      <c r="AA26" s="623"/>
      <c r="AB26" s="623"/>
      <c r="AC26" s="623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9">
        <v>4680115885912</v>
      </c>
      <c r="E27" s="640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5"/>
      <c r="R27" s="635"/>
      <c r="S27" s="635"/>
      <c r="T27" s="636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9">
        <v>4607091388237</v>
      </c>
      <c r="E28" s="640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7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5"/>
      <c r="R28" s="635"/>
      <c r="S28" s="635"/>
      <c r="T28" s="636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39">
        <v>4680115887350</v>
      </c>
      <c r="E29" s="640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5"/>
      <c r="R29" s="635"/>
      <c r="S29" s="635"/>
      <c r="T29" s="636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9">
        <v>4680115885905</v>
      </c>
      <c r="E30" s="640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5"/>
      <c r="R30" s="635"/>
      <c r="S30" s="635"/>
      <c r="T30" s="636"/>
      <c r="U30" s="34"/>
      <c r="V30" s="34"/>
      <c r="W30" s="35" t="s">
        <v>67</v>
      </c>
      <c r="X30" s="627">
        <v>2</v>
      </c>
      <c r="Y30" s="628">
        <f>IFERROR(IF(X30="",0,CEILING((X30/$H30),1)*$H30),"")</f>
        <v>3.6</v>
      </c>
      <c r="Z30" s="36">
        <f>IFERROR(IF(Y30=0,"",ROUNDUP(Y30/H30,0)*0.00651),"")</f>
        <v>1.302E-2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3.5333333333333332</v>
      </c>
      <c r="BN30" s="64">
        <f>IFERROR(Y30*I30/H30,"0")</f>
        <v>6.36</v>
      </c>
      <c r="BO30" s="64">
        <f>IFERROR(1/J30*(X30/H30),"0")</f>
        <v>6.1050061050061059E-3</v>
      </c>
      <c r="BP30" s="64">
        <f>IFERROR(1/J30*(Y30/H30),"0")</f>
        <v>1.098901098901099E-2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9">
        <v>4680115887619</v>
      </c>
      <c r="E31" s="640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5"/>
      <c r="R31" s="635"/>
      <c r="S31" s="635"/>
      <c r="T31" s="636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31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50" t="s">
        <v>72</v>
      </c>
      <c r="Q32" s="651"/>
      <c r="R32" s="651"/>
      <c r="S32" s="651"/>
      <c r="T32" s="651"/>
      <c r="U32" s="651"/>
      <c r="V32" s="652"/>
      <c r="W32" s="37" t="s">
        <v>73</v>
      </c>
      <c r="X32" s="629">
        <f>IFERROR(X27/H27,"0")+IFERROR(X28/H28,"0")+IFERROR(X29/H29,"0")+IFERROR(X30/H30,"0")+IFERROR(X31/H31,"0")</f>
        <v>1.1111111111111112</v>
      </c>
      <c r="Y32" s="629">
        <f>IFERROR(Y27/H27,"0")+IFERROR(Y28/H28,"0")+IFERROR(Y29/H29,"0")+IFERROR(Y30/H30,"0")+IFERROR(Y31/H31,"0")</f>
        <v>2</v>
      </c>
      <c r="Z32" s="629">
        <f>IFERROR(IF(Z27="",0,Z27),"0")+IFERROR(IF(Z28="",0,Z28),"0")+IFERROR(IF(Z29="",0,Z29),"0")+IFERROR(IF(Z30="",0,Z30),"0")+IFERROR(IF(Z31="",0,Z31),"0")</f>
        <v>1.302E-2</v>
      </c>
      <c r="AA32" s="630"/>
      <c r="AB32" s="630"/>
      <c r="AC32" s="630"/>
    </row>
    <row r="33" spans="1:68" x14ac:dyDescent="0.2">
      <c r="A33" s="632"/>
      <c r="B33" s="632"/>
      <c r="C33" s="632"/>
      <c r="D33" s="632"/>
      <c r="E33" s="632"/>
      <c r="F33" s="632"/>
      <c r="G33" s="632"/>
      <c r="H33" s="632"/>
      <c r="I33" s="632"/>
      <c r="J33" s="632"/>
      <c r="K33" s="632"/>
      <c r="L33" s="632"/>
      <c r="M33" s="632"/>
      <c r="N33" s="632"/>
      <c r="O33" s="633"/>
      <c r="P33" s="650" t="s">
        <v>72</v>
      </c>
      <c r="Q33" s="651"/>
      <c r="R33" s="651"/>
      <c r="S33" s="651"/>
      <c r="T33" s="651"/>
      <c r="U33" s="651"/>
      <c r="V33" s="652"/>
      <c r="W33" s="37" t="s">
        <v>67</v>
      </c>
      <c r="X33" s="629">
        <f>IFERROR(SUM(X27:X31),"0")</f>
        <v>2</v>
      </c>
      <c r="Y33" s="629">
        <f>IFERROR(SUM(Y27:Y31),"0")</f>
        <v>3.6</v>
      </c>
      <c r="Z33" s="37"/>
      <c r="AA33" s="630"/>
      <c r="AB33" s="630"/>
      <c r="AC33" s="630"/>
    </row>
    <row r="34" spans="1:68" ht="14.25" hidden="1" customHeight="1" x14ac:dyDescent="0.25">
      <c r="A34" s="654" t="s">
        <v>92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23"/>
      <c r="AB34" s="623"/>
      <c r="AC34" s="623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39">
        <v>4607091388503</v>
      </c>
      <c r="E35" s="640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8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5"/>
      <c r="R35" s="635"/>
      <c r="S35" s="635"/>
      <c r="T35" s="636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1"/>
      <c r="B36" s="632"/>
      <c r="C36" s="632"/>
      <c r="D36" s="632"/>
      <c r="E36" s="632"/>
      <c r="F36" s="632"/>
      <c r="G36" s="632"/>
      <c r="H36" s="632"/>
      <c r="I36" s="632"/>
      <c r="J36" s="632"/>
      <c r="K36" s="632"/>
      <c r="L36" s="632"/>
      <c r="M36" s="632"/>
      <c r="N36" s="632"/>
      <c r="O36" s="633"/>
      <c r="P36" s="650" t="s">
        <v>72</v>
      </c>
      <c r="Q36" s="651"/>
      <c r="R36" s="651"/>
      <c r="S36" s="651"/>
      <c r="T36" s="651"/>
      <c r="U36" s="651"/>
      <c r="V36" s="652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hidden="1" x14ac:dyDescent="0.2">
      <c r="A37" s="632"/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3"/>
      <c r="P37" s="650" t="s">
        <v>72</v>
      </c>
      <c r="Q37" s="651"/>
      <c r="R37" s="651"/>
      <c r="S37" s="651"/>
      <c r="T37" s="651"/>
      <c r="U37" s="651"/>
      <c r="V37" s="652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hidden="1" customHeight="1" x14ac:dyDescent="0.2">
      <c r="A38" s="660" t="s">
        <v>98</v>
      </c>
      <c r="B38" s="661"/>
      <c r="C38" s="661"/>
      <c r="D38" s="661"/>
      <c r="E38" s="661"/>
      <c r="F38" s="661"/>
      <c r="G38" s="661"/>
      <c r="H38" s="661"/>
      <c r="I38" s="661"/>
      <c r="J38" s="661"/>
      <c r="K38" s="661"/>
      <c r="L38" s="661"/>
      <c r="M38" s="661"/>
      <c r="N38" s="661"/>
      <c r="O38" s="661"/>
      <c r="P38" s="661"/>
      <c r="Q38" s="661"/>
      <c r="R38" s="661"/>
      <c r="S38" s="661"/>
      <c r="T38" s="661"/>
      <c r="U38" s="661"/>
      <c r="V38" s="661"/>
      <c r="W38" s="661"/>
      <c r="X38" s="661"/>
      <c r="Y38" s="661"/>
      <c r="Z38" s="661"/>
      <c r="AA38" s="48"/>
      <c r="AB38" s="48"/>
      <c r="AC38" s="48"/>
    </row>
    <row r="39" spans="1:68" ht="16.5" hidden="1" customHeight="1" x14ac:dyDescent="0.25">
      <c r="A39" s="657" t="s">
        <v>99</v>
      </c>
      <c r="B39" s="632"/>
      <c r="C39" s="632"/>
      <c r="D39" s="632"/>
      <c r="E39" s="632"/>
      <c r="F39" s="632"/>
      <c r="G39" s="632"/>
      <c r="H39" s="632"/>
      <c r="I39" s="632"/>
      <c r="J39" s="632"/>
      <c r="K39" s="632"/>
      <c r="L39" s="632"/>
      <c r="M39" s="632"/>
      <c r="N39" s="632"/>
      <c r="O39" s="632"/>
      <c r="P39" s="632"/>
      <c r="Q39" s="632"/>
      <c r="R39" s="632"/>
      <c r="S39" s="632"/>
      <c r="T39" s="632"/>
      <c r="U39" s="632"/>
      <c r="V39" s="632"/>
      <c r="W39" s="632"/>
      <c r="X39" s="632"/>
      <c r="Y39" s="632"/>
      <c r="Z39" s="632"/>
      <c r="AA39" s="622"/>
      <c r="AB39" s="622"/>
      <c r="AC39" s="622"/>
    </row>
    <row r="40" spans="1:68" ht="14.25" hidden="1" customHeight="1" x14ac:dyDescent="0.25">
      <c r="A40" s="654" t="s">
        <v>74</v>
      </c>
      <c r="B40" s="632"/>
      <c r="C40" s="632"/>
      <c r="D40" s="632"/>
      <c r="E40" s="632"/>
      <c r="F40" s="632"/>
      <c r="G40" s="632"/>
      <c r="H40" s="632"/>
      <c r="I40" s="632"/>
      <c r="J40" s="632"/>
      <c r="K40" s="632"/>
      <c r="L40" s="632"/>
      <c r="M40" s="632"/>
      <c r="N40" s="632"/>
      <c r="O40" s="632"/>
      <c r="P40" s="632"/>
      <c r="Q40" s="632"/>
      <c r="R40" s="632"/>
      <c r="S40" s="632"/>
      <c r="T40" s="632"/>
      <c r="U40" s="632"/>
      <c r="V40" s="632"/>
      <c r="W40" s="632"/>
      <c r="X40" s="632"/>
      <c r="Y40" s="632"/>
      <c r="Z40" s="632"/>
      <c r="AA40" s="623"/>
      <c r="AB40" s="623"/>
      <c r="AC40" s="623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39">
        <v>4680115889354</v>
      </c>
      <c r="E41" s="640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5"/>
      <c r="R41" s="635"/>
      <c r="S41" s="635"/>
      <c r="T41" s="636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39">
        <v>4680115888463</v>
      </c>
      <c r="E42" s="640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5"/>
      <c r="R42" s="635"/>
      <c r="S42" s="635"/>
      <c r="T42" s="636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39">
        <v>4680115888494</v>
      </c>
      <c r="E43" s="640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5"/>
      <c r="R43" s="635"/>
      <c r="S43" s="635"/>
      <c r="T43" s="636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39">
        <v>4680115888272</v>
      </c>
      <c r="E44" s="640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5"/>
      <c r="R44" s="635"/>
      <c r="S44" s="635"/>
      <c r="T44" s="636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39">
        <v>4680115888364</v>
      </c>
      <c r="E45" s="640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6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5"/>
      <c r="R45" s="635"/>
      <c r="S45" s="635"/>
      <c r="T45" s="636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1"/>
      <c r="B46" s="632"/>
      <c r="C46" s="632"/>
      <c r="D46" s="632"/>
      <c r="E46" s="632"/>
      <c r="F46" s="632"/>
      <c r="G46" s="632"/>
      <c r="H46" s="632"/>
      <c r="I46" s="632"/>
      <c r="J46" s="632"/>
      <c r="K46" s="632"/>
      <c r="L46" s="632"/>
      <c r="M46" s="632"/>
      <c r="N46" s="632"/>
      <c r="O46" s="633"/>
      <c r="P46" s="650" t="s">
        <v>72</v>
      </c>
      <c r="Q46" s="651"/>
      <c r="R46" s="651"/>
      <c r="S46" s="651"/>
      <c r="T46" s="651"/>
      <c r="U46" s="651"/>
      <c r="V46" s="652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hidden="1" x14ac:dyDescent="0.2">
      <c r="A47" s="632"/>
      <c r="B47" s="632"/>
      <c r="C47" s="632"/>
      <c r="D47" s="632"/>
      <c r="E47" s="632"/>
      <c r="F47" s="632"/>
      <c r="G47" s="632"/>
      <c r="H47" s="632"/>
      <c r="I47" s="632"/>
      <c r="J47" s="632"/>
      <c r="K47" s="632"/>
      <c r="L47" s="632"/>
      <c r="M47" s="632"/>
      <c r="N47" s="632"/>
      <c r="O47" s="633"/>
      <c r="P47" s="650" t="s">
        <v>72</v>
      </c>
      <c r="Q47" s="651"/>
      <c r="R47" s="651"/>
      <c r="S47" s="651"/>
      <c r="T47" s="651"/>
      <c r="U47" s="651"/>
      <c r="V47" s="652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hidden="1" customHeight="1" x14ac:dyDescent="0.2">
      <c r="A48" s="660" t="s">
        <v>115</v>
      </c>
      <c r="B48" s="661"/>
      <c r="C48" s="661"/>
      <c r="D48" s="661"/>
      <c r="E48" s="661"/>
      <c r="F48" s="661"/>
      <c r="G48" s="661"/>
      <c r="H48" s="661"/>
      <c r="I48" s="661"/>
      <c r="J48" s="661"/>
      <c r="K48" s="661"/>
      <c r="L48" s="661"/>
      <c r="M48" s="661"/>
      <c r="N48" s="661"/>
      <c r="O48" s="661"/>
      <c r="P48" s="661"/>
      <c r="Q48" s="661"/>
      <c r="R48" s="661"/>
      <c r="S48" s="661"/>
      <c r="T48" s="661"/>
      <c r="U48" s="661"/>
      <c r="V48" s="661"/>
      <c r="W48" s="661"/>
      <c r="X48" s="661"/>
      <c r="Y48" s="661"/>
      <c r="Z48" s="661"/>
      <c r="AA48" s="48"/>
      <c r="AB48" s="48"/>
      <c r="AC48" s="48"/>
    </row>
    <row r="49" spans="1:68" ht="16.5" hidden="1" customHeight="1" x14ac:dyDescent="0.25">
      <c r="A49" s="657" t="s">
        <v>116</v>
      </c>
      <c r="B49" s="632"/>
      <c r="C49" s="632"/>
      <c r="D49" s="632"/>
      <c r="E49" s="632"/>
      <c r="F49" s="632"/>
      <c r="G49" s="632"/>
      <c r="H49" s="632"/>
      <c r="I49" s="632"/>
      <c r="J49" s="632"/>
      <c r="K49" s="632"/>
      <c r="L49" s="632"/>
      <c r="M49" s="632"/>
      <c r="N49" s="632"/>
      <c r="O49" s="632"/>
      <c r="P49" s="632"/>
      <c r="Q49" s="632"/>
      <c r="R49" s="632"/>
      <c r="S49" s="632"/>
      <c r="T49" s="632"/>
      <c r="U49" s="632"/>
      <c r="V49" s="632"/>
      <c r="W49" s="632"/>
      <c r="X49" s="632"/>
      <c r="Y49" s="632"/>
      <c r="Z49" s="632"/>
      <c r="AA49" s="622"/>
      <c r="AB49" s="622"/>
      <c r="AC49" s="622"/>
    </row>
    <row r="50" spans="1:68" ht="14.25" hidden="1" customHeight="1" x14ac:dyDescent="0.25">
      <c r="A50" s="654" t="s">
        <v>117</v>
      </c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2"/>
      <c r="P50" s="632"/>
      <c r="Q50" s="632"/>
      <c r="R50" s="632"/>
      <c r="S50" s="632"/>
      <c r="T50" s="632"/>
      <c r="U50" s="632"/>
      <c r="V50" s="632"/>
      <c r="W50" s="632"/>
      <c r="X50" s="632"/>
      <c r="Y50" s="632"/>
      <c r="Z50" s="632"/>
      <c r="AA50" s="623"/>
      <c r="AB50" s="623"/>
      <c r="AC50" s="623"/>
    </row>
    <row r="51" spans="1:68" ht="16.5" hidden="1" customHeight="1" x14ac:dyDescent="0.25">
      <c r="A51" s="54" t="s">
        <v>118</v>
      </c>
      <c r="B51" s="54" t="s">
        <v>119</v>
      </c>
      <c r="C51" s="31">
        <v>4301011380</v>
      </c>
      <c r="D51" s="639">
        <v>4607091385670</v>
      </c>
      <c r="E51" s="640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9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5"/>
      <c r="R51" s="635"/>
      <c r="S51" s="635"/>
      <c r="T51" s="636"/>
      <c r="U51" s="34"/>
      <c r="V51" s="34"/>
      <c r="W51" s="35" t="s">
        <v>67</v>
      </c>
      <c r="X51" s="627">
        <v>0</v>
      </c>
      <c r="Y51" s="628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39">
        <v>4680115887725</v>
      </c>
      <c r="E52" s="640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5"/>
      <c r="R52" s="635"/>
      <c r="S52" s="635"/>
      <c r="T52" s="636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39">
        <v>4607091385687</v>
      </c>
      <c r="E53" s="640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5"/>
      <c r="R53" s="635"/>
      <c r="S53" s="635"/>
      <c r="T53" s="636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130</v>
      </c>
      <c r="B54" s="54" t="s">
        <v>131</v>
      </c>
      <c r="C54" s="31">
        <v>4301011565</v>
      </c>
      <c r="D54" s="639">
        <v>4680115882539</v>
      </c>
      <c r="E54" s="640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5"/>
      <c r="R54" s="635"/>
      <c r="S54" s="635"/>
      <c r="T54" s="636"/>
      <c r="U54" s="34"/>
      <c r="V54" s="34"/>
      <c r="W54" s="35" t="s">
        <v>67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31"/>
      <c r="B55" s="632"/>
      <c r="C55" s="632"/>
      <c r="D55" s="632"/>
      <c r="E55" s="632"/>
      <c r="F55" s="632"/>
      <c r="G55" s="632"/>
      <c r="H55" s="632"/>
      <c r="I55" s="632"/>
      <c r="J55" s="632"/>
      <c r="K55" s="632"/>
      <c r="L55" s="632"/>
      <c r="M55" s="632"/>
      <c r="N55" s="632"/>
      <c r="O55" s="633"/>
      <c r="P55" s="650" t="s">
        <v>72</v>
      </c>
      <c r="Q55" s="651"/>
      <c r="R55" s="651"/>
      <c r="S55" s="651"/>
      <c r="T55" s="651"/>
      <c r="U55" s="651"/>
      <c r="V55" s="652"/>
      <c r="W55" s="37" t="s">
        <v>73</v>
      </c>
      <c r="X55" s="629">
        <f>IFERROR(X51/H51,"0")+IFERROR(X52/H52,"0")+IFERROR(X53/H53,"0")+IFERROR(X54/H54,"0")</f>
        <v>0</v>
      </c>
      <c r="Y55" s="629">
        <f>IFERROR(Y51/H51,"0")+IFERROR(Y52/H52,"0")+IFERROR(Y53/H53,"0")+IFERROR(Y54/H54,"0")</f>
        <v>0</v>
      </c>
      <c r="Z55" s="629">
        <f>IFERROR(IF(Z51="",0,Z51),"0")+IFERROR(IF(Z52="",0,Z52),"0")+IFERROR(IF(Z53="",0,Z53),"0")+IFERROR(IF(Z54="",0,Z54),"0")</f>
        <v>0</v>
      </c>
      <c r="AA55" s="630"/>
      <c r="AB55" s="630"/>
      <c r="AC55" s="630"/>
    </row>
    <row r="56" spans="1:68" hidden="1" x14ac:dyDescent="0.2">
      <c r="A56" s="632"/>
      <c r="B56" s="632"/>
      <c r="C56" s="632"/>
      <c r="D56" s="632"/>
      <c r="E56" s="632"/>
      <c r="F56" s="632"/>
      <c r="G56" s="632"/>
      <c r="H56" s="632"/>
      <c r="I56" s="632"/>
      <c r="J56" s="632"/>
      <c r="K56" s="632"/>
      <c r="L56" s="632"/>
      <c r="M56" s="632"/>
      <c r="N56" s="632"/>
      <c r="O56" s="633"/>
      <c r="P56" s="650" t="s">
        <v>72</v>
      </c>
      <c r="Q56" s="651"/>
      <c r="R56" s="651"/>
      <c r="S56" s="651"/>
      <c r="T56" s="651"/>
      <c r="U56" s="651"/>
      <c r="V56" s="652"/>
      <c r="W56" s="37" t="s">
        <v>67</v>
      </c>
      <c r="X56" s="629">
        <f>IFERROR(SUM(X51:X54),"0")</f>
        <v>0</v>
      </c>
      <c r="Y56" s="629">
        <f>IFERROR(SUM(Y51:Y54),"0")</f>
        <v>0</v>
      </c>
      <c r="Z56" s="37"/>
      <c r="AA56" s="630"/>
      <c r="AB56" s="630"/>
      <c r="AC56" s="630"/>
    </row>
    <row r="57" spans="1:68" ht="16.5" hidden="1" customHeight="1" x14ac:dyDescent="0.25">
      <c r="A57" s="657" t="s">
        <v>132</v>
      </c>
      <c r="B57" s="632"/>
      <c r="C57" s="632"/>
      <c r="D57" s="632"/>
      <c r="E57" s="632"/>
      <c r="F57" s="632"/>
      <c r="G57" s="632"/>
      <c r="H57" s="632"/>
      <c r="I57" s="632"/>
      <c r="J57" s="632"/>
      <c r="K57" s="632"/>
      <c r="L57" s="632"/>
      <c r="M57" s="632"/>
      <c r="N57" s="632"/>
      <c r="O57" s="632"/>
      <c r="P57" s="632"/>
      <c r="Q57" s="632"/>
      <c r="R57" s="632"/>
      <c r="S57" s="632"/>
      <c r="T57" s="632"/>
      <c r="U57" s="632"/>
      <c r="V57" s="632"/>
      <c r="W57" s="632"/>
      <c r="X57" s="632"/>
      <c r="Y57" s="632"/>
      <c r="Z57" s="632"/>
      <c r="AA57" s="622"/>
      <c r="AB57" s="622"/>
      <c r="AC57" s="622"/>
    </row>
    <row r="58" spans="1:68" ht="14.25" hidden="1" customHeight="1" x14ac:dyDescent="0.25">
      <c r="A58" s="654" t="s">
        <v>117</v>
      </c>
      <c r="B58" s="632"/>
      <c r="C58" s="632"/>
      <c r="D58" s="632"/>
      <c r="E58" s="632"/>
      <c r="F58" s="632"/>
      <c r="G58" s="632"/>
      <c r="H58" s="632"/>
      <c r="I58" s="632"/>
      <c r="J58" s="632"/>
      <c r="K58" s="632"/>
      <c r="L58" s="632"/>
      <c r="M58" s="632"/>
      <c r="N58" s="632"/>
      <c r="O58" s="632"/>
      <c r="P58" s="632"/>
      <c r="Q58" s="632"/>
      <c r="R58" s="632"/>
      <c r="S58" s="632"/>
      <c r="T58" s="632"/>
      <c r="U58" s="632"/>
      <c r="V58" s="632"/>
      <c r="W58" s="632"/>
      <c r="X58" s="632"/>
      <c r="Y58" s="632"/>
      <c r="Z58" s="632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9">
        <v>4680115885882</v>
      </c>
      <c r="E59" s="640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5"/>
      <c r="R59" s="635"/>
      <c r="S59" s="635"/>
      <c r="T59" s="636"/>
      <c r="U59" s="34"/>
      <c r="V59" s="34"/>
      <c r="W59" s="35" t="s">
        <v>67</v>
      </c>
      <c r="X59" s="627">
        <v>17</v>
      </c>
      <c r="Y59" s="628">
        <f t="shared" ref="Y59:Y66" si="0">IFERROR(IF(X59="",0,CEILING((X59/$H59),1)*$H59),"")</f>
        <v>22.4</v>
      </c>
      <c r="Z59" s="36">
        <f>IFERROR(IF(Y59=0,"",ROUNDUP(Y59/H59,0)*0.01898),"")</f>
        <v>3.7960000000000001E-2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17.622321428571428</v>
      </c>
      <c r="BN59" s="64">
        <f t="shared" ref="BN59:BN66" si="2">IFERROR(Y59*I59/H59,"0")</f>
        <v>23.22</v>
      </c>
      <c r="BO59" s="64">
        <f t="shared" ref="BO59:BO66" si="3">IFERROR(1/J59*(X59/H59),"0")</f>
        <v>2.371651785714286E-2</v>
      </c>
      <c r="BP59" s="64">
        <f t="shared" ref="BP59:BP66" si="4">IFERROR(1/J59*(Y59/H59),"0")</f>
        <v>3.125E-2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39">
        <v>4680115885882</v>
      </c>
      <c r="E60" s="640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5"/>
      <c r="R60" s="635"/>
      <c r="S60" s="635"/>
      <c r="T60" s="636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9">
        <v>4680115881426</v>
      </c>
      <c r="E61" s="640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5"/>
      <c r="R61" s="635"/>
      <c r="S61" s="635"/>
      <c r="T61" s="636"/>
      <c r="U61" s="34"/>
      <c r="V61" s="34"/>
      <c r="W61" s="35" t="s">
        <v>67</v>
      </c>
      <c r="X61" s="627">
        <v>158</v>
      </c>
      <c r="Y61" s="628">
        <f t="shared" si="0"/>
        <v>162</v>
      </c>
      <c r="Z61" s="36">
        <f>IFERROR(IF(Y61=0,"",ROUNDUP(Y61/H61,0)*0.01898),"")</f>
        <v>0.28470000000000001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163.99814814814815</v>
      </c>
      <c r="BN61" s="64">
        <f t="shared" si="2"/>
        <v>168.15</v>
      </c>
      <c r="BO61" s="64">
        <f t="shared" si="3"/>
        <v>0.22858796296296294</v>
      </c>
      <c r="BP61" s="64">
        <f t="shared" si="4"/>
        <v>0.23437499999999997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39">
        <v>4680115880283</v>
      </c>
      <c r="E62" s="640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7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5"/>
      <c r="R62" s="635"/>
      <c r="S62" s="635"/>
      <c r="T62" s="636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141</v>
      </c>
      <c r="B63" s="54" t="s">
        <v>144</v>
      </c>
      <c r="C63" s="31">
        <v>4301012259</v>
      </c>
      <c r="D63" s="639">
        <v>4680115880283</v>
      </c>
      <c r="E63" s="640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5"/>
      <c r="R63" s="635"/>
      <c r="S63" s="635"/>
      <c r="T63" s="636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39">
        <v>4680115881525</v>
      </c>
      <c r="E64" s="640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5"/>
      <c r="R64" s="635"/>
      <c r="S64" s="635"/>
      <c r="T64" s="636"/>
      <c r="U64" s="34"/>
      <c r="V64" s="34"/>
      <c r="W64" s="35" t="s">
        <v>67</v>
      </c>
      <c r="X64" s="627">
        <v>7</v>
      </c>
      <c r="Y64" s="628">
        <f t="shared" si="0"/>
        <v>8</v>
      </c>
      <c r="Z64" s="36">
        <f>IFERROR(IF(Y64=0,"",ROUNDUP(Y64/H64,0)*0.00902),"")</f>
        <v>1.804E-2</v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7.3325000000000005</v>
      </c>
      <c r="BN64" s="64">
        <f t="shared" si="2"/>
        <v>8.3800000000000008</v>
      </c>
      <c r="BO64" s="64">
        <f t="shared" si="3"/>
        <v>1.3257575757575758E-2</v>
      </c>
      <c r="BP64" s="64">
        <f t="shared" si="4"/>
        <v>1.5151515151515152E-2</v>
      </c>
    </row>
    <row r="65" spans="1:68" ht="27" hidden="1" customHeight="1" x14ac:dyDescent="0.25">
      <c r="A65" s="54" t="s">
        <v>148</v>
      </c>
      <c r="B65" s="54" t="s">
        <v>149</v>
      </c>
      <c r="C65" s="31">
        <v>4301012165</v>
      </c>
      <c r="D65" s="639">
        <v>4680115885899</v>
      </c>
      <c r="E65" s="640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5"/>
      <c r="R65" s="635"/>
      <c r="S65" s="635"/>
      <c r="T65" s="636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9">
        <v>4680115881419</v>
      </c>
      <c r="E66" s="640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97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5"/>
      <c r="R66" s="635"/>
      <c r="S66" s="635"/>
      <c r="T66" s="636"/>
      <c r="U66" s="34"/>
      <c r="V66" s="34"/>
      <c r="W66" s="35" t="s">
        <v>67</v>
      </c>
      <c r="X66" s="627">
        <v>32</v>
      </c>
      <c r="Y66" s="628">
        <f t="shared" si="0"/>
        <v>36</v>
      </c>
      <c r="Z66" s="36">
        <f>IFERROR(IF(Y66=0,"",ROUNDUP(Y66/H66,0)*0.00902),"")</f>
        <v>7.2160000000000002E-2</v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33.351111111111116</v>
      </c>
      <c r="BN66" s="64">
        <f t="shared" si="2"/>
        <v>37.520000000000003</v>
      </c>
      <c r="BO66" s="64">
        <f t="shared" si="3"/>
        <v>5.387205387205387E-2</v>
      </c>
      <c r="BP66" s="64">
        <f t="shared" si="4"/>
        <v>6.0606060606060608E-2</v>
      </c>
    </row>
    <row r="67" spans="1:68" x14ac:dyDescent="0.2">
      <c r="A67" s="631"/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3"/>
      <c r="P67" s="650" t="s">
        <v>72</v>
      </c>
      <c r="Q67" s="651"/>
      <c r="R67" s="651"/>
      <c r="S67" s="651"/>
      <c r="T67" s="651"/>
      <c r="U67" s="651"/>
      <c r="V67" s="652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25.008597883597883</v>
      </c>
      <c r="Y67" s="629">
        <f>IFERROR(Y59/H59,"0")+IFERROR(Y60/H60,"0")+IFERROR(Y61/H61,"0")+IFERROR(Y62/H62,"0")+IFERROR(Y63/H63,"0")+IFERROR(Y64/H64,"0")+IFERROR(Y65/H65,"0")+IFERROR(Y66/H66,"0")</f>
        <v>27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0.41286</v>
      </c>
      <c r="AA67" s="630"/>
      <c r="AB67" s="630"/>
      <c r="AC67" s="630"/>
    </row>
    <row r="68" spans="1:68" x14ac:dyDescent="0.2">
      <c r="A68" s="632"/>
      <c r="B68" s="632"/>
      <c r="C68" s="632"/>
      <c r="D68" s="632"/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33"/>
      <c r="P68" s="650" t="s">
        <v>72</v>
      </c>
      <c r="Q68" s="651"/>
      <c r="R68" s="651"/>
      <c r="S68" s="651"/>
      <c r="T68" s="651"/>
      <c r="U68" s="651"/>
      <c r="V68" s="652"/>
      <c r="W68" s="37" t="s">
        <v>67</v>
      </c>
      <c r="X68" s="629">
        <f>IFERROR(SUM(X59:X66),"0")</f>
        <v>214</v>
      </c>
      <c r="Y68" s="629">
        <f>IFERROR(SUM(Y59:Y66),"0")</f>
        <v>228.4</v>
      </c>
      <c r="Z68" s="37"/>
      <c r="AA68" s="630"/>
      <c r="AB68" s="630"/>
      <c r="AC68" s="630"/>
    </row>
    <row r="69" spans="1:68" ht="14.25" hidden="1" customHeight="1" x14ac:dyDescent="0.25">
      <c r="A69" s="654" t="s">
        <v>153</v>
      </c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2"/>
      <c r="P69" s="632"/>
      <c r="Q69" s="632"/>
      <c r="R69" s="632"/>
      <c r="S69" s="632"/>
      <c r="T69" s="632"/>
      <c r="U69" s="632"/>
      <c r="V69" s="632"/>
      <c r="W69" s="632"/>
      <c r="X69" s="632"/>
      <c r="Y69" s="632"/>
      <c r="Z69" s="632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9">
        <v>4680115881440</v>
      </c>
      <c r="E70" s="640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5"/>
      <c r="R70" s="635"/>
      <c r="S70" s="635"/>
      <c r="T70" s="636"/>
      <c r="U70" s="34"/>
      <c r="V70" s="34"/>
      <c r="W70" s="35" t="s">
        <v>67</v>
      </c>
      <c r="X70" s="627">
        <v>81</v>
      </c>
      <c r="Y70" s="628">
        <f>IFERROR(IF(X70="",0,CEILING((X70/$H70),1)*$H70),"")</f>
        <v>86.4</v>
      </c>
      <c r="Z70" s="36">
        <f>IFERROR(IF(Y70=0,"",ROUNDUP(Y70/H70,0)*0.01898),"")</f>
        <v>0.15184</v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84.075000000000003</v>
      </c>
      <c r="BN70" s="64">
        <f>IFERROR(Y70*I70/H70,"0")</f>
        <v>89.68</v>
      </c>
      <c r="BO70" s="64">
        <f>IFERROR(1/J70*(X70/H70),"0")</f>
        <v>0.11718749999999999</v>
      </c>
      <c r="BP70" s="64">
        <f>IFERROR(1/J70*(Y70/H70),"0")</f>
        <v>0.125</v>
      </c>
    </row>
    <row r="71" spans="1:68" ht="16.5" hidden="1" customHeight="1" x14ac:dyDescent="0.25">
      <c r="A71" s="54" t="s">
        <v>157</v>
      </c>
      <c r="B71" s="54" t="s">
        <v>158</v>
      </c>
      <c r="C71" s="31">
        <v>4301020358</v>
      </c>
      <c r="D71" s="639">
        <v>4680115885950</v>
      </c>
      <c r="E71" s="640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5"/>
      <c r="R71" s="635"/>
      <c r="S71" s="635"/>
      <c r="T71" s="636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159</v>
      </c>
      <c r="B72" s="54" t="s">
        <v>160</v>
      </c>
      <c r="C72" s="31">
        <v>4301020371</v>
      </c>
      <c r="D72" s="639">
        <v>4680115887688</v>
      </c>
      <c r="E72" s="640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5"/>
      <c r="R72" s="635"/>
      <c r="S72" s="635"/>
      <c r="T72" s="636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162</v>
      </c>
      <c r="B73" s="54" t="s">
        <v>163</v>
      </c>
      <c r="C73" s="31">
        <v>4301020296</v>
      </c>
      <c r="D73" s="639">
        <v>4680115881433</v>
      </c>
      <c r="E73" s="640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4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5"/>
      <c r="R73" s="635"/>
      <c r="S73" s="635"/>
      <c r="T73" s="636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50" t="s">
        <v>72</v>
      </c>
      <c r="Q74" s="651"/>
      <c r="R74" s="651"/>
      <c r="S74" s="651"/>
      <c r="T74" s="651"/>
      <c r="U74" s="651"/>
      <c r="V74" s="652"/>
      <c r="W74" s="37" t="s">
        <v>73</v>
      </c>
      <c r="X74" s="629">
        <f>IFERROR(X70/H70,"0")+IFERROR(X71/H71,"0")+IFERROR(X72/H72,"0")+IFERROR(X73/H73,"0")</f>
        <v>7.4999999999999991</v>
      </c>
      <c r="Y74" s="629">
        <f>IFERROR(Y70/H70,"0")+IFERROR(Y71/H71,"0")+IFERROR(Y72/H72,"0")+IFERROR(Y73/H73,"0")</f>
        <v>8</v>
      </c>
      <c r="Z74" s="629">
        <f>IFERROR(IF(Z70="",0,Z70),"0")+IFERROR(IF(Z71="",0,Z71),"0")+IFERROR(IF(Z72="",0,Z72),"0")+IFERROR(IF(Z73="",0,Z73),"0")</f>
        <v>0.15184</v>
      </c>
      <c r="AA74" s="630"/>
      <c r="AB74" s="630"/>
      <c r="AC74" s="630"/>
    </row>
    <row r="75" spans="1:68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50" t="s">
        <v>72</v>
      </c>
      <c r="Q75" s="651"/>
      <c r="R75" s="651"/>
      <c r="S75" s="651"/>
      <c r="T75" s="651"/>
      <c r="U75" s="651"/>
      <c r="V75" s="652"/>
      <c r="W75" s="37" t="s">
        <v>67</v>
      </c>
      <c r="X75" s="629">
        <f>IFERROR(SUM(X70:X73),"0")</f>
        <v>81</v>
      </c>
      <c r="Y75" s="629">
        <f>IFERROR(SUM(Y70:Y73),"0")</f>
        <v>86.4</v>
      </c>
      <c r="Z75" s="37"/>
      <c r="AA75" s="630"/>
      <c r="AB75" s="630"/>
      <c r="AC75" s="630"/>
    </row>
    <row r="76" spans="1:68" ht="14.25" hidden="1" customHeight="1" x14ac:dyDescent="0.25">
      <c r="A76" s="654" t="s">
        <v>74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23"/>
      <c r="AB76" s="623"/>
      <c r="AC76" s="623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39">
        <v>4680115884311</v>
      </c>
      <c r="E77" s="640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9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5"/>
      <c r="R77" s="635"/>
      <c r="S77" s="635"/>
      <c r="T77" s="636"/>
      <c r="U77" s="34"/>
      <c r="V77" s="34"/>
      <c r="W77" s="35" t="s">
        <v>67</v>
      </c>
      <c r="X77" s="627">
        <v>24</v>
      </c>
      <c r="Y77" s="628">
        <f>IFERROR(IF(X77="",0,CEILING((X77/$H77),1)*$H77),"")</f>
        <v>25.2</v>
      </c>
      <c r="Z77" s="36">
        <f>IFERROR(IF(Y77=0,"",ROUNDUP(Y77/H77,0)*0.00651),"")</f>
        <v>9.1139999999999999E-2</v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27.279999999999998</v>
      </c>
      <c r="BN77" s="64">
        <f>IFERROR(Y77*I77/H77,"0")</f>
        <v>28.643999999999998</v>
      </c>
      <c r="BO77" s="64">
        <f>IFERROR(1/J77*(X77/H77),"0")</f>
        <v>7.3260073260073263E-2</v>
      </c>
      <c r="BP77" s="64">
        <f>IFERROR(1/J77*(Y77/H77),"0")</f>
        <v>7.6923076923076927E-2</v>
      </c>
    </row>
    <row r="78" spans="1:68" ht="27" hidden="1" customHeight="1" x14ac:dyDescent="0.25">
      <c r="A78" s="54" t="s">
        <v>167</v>
      </c>
      <c r="B78" s="54" t="s">
        <v>168</v>
      </c>
      <c r="C78" s="31">
        <v>4301051929</v>
      </c>
      <c r="D78" s="639">
        <v>4680115884403</v>
      </c>
      <c r="E78" s="640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5"/>
      <c r="R78" s="635"/>
      <c r="S78" s="635"/>
      <c r="T78" s="636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31"/>
      <c r="B79" s="632"/>
      <c r="C79" s="632"/>
      <c r="D79" s="632"/>
      <c r="E79" s="632"/>
      <c r="F79" s="632"/>
      <c r="G79" s="632"/>
      <c r="H79" s="632"/>
      <c r="I79" s="632"/>
      <c r="J79" s="632"/>
      <c r="K79" s="632"/>
      <c r="L79" s="632"/>
      <c r="M79" s="632"/>
      <c r="N79" s="632"/>
      <c r="O79" s="633"/>
      <c r="P79" s="650" t="s">
        <v>72</v>
      </c>
      <c r="Q79" s="651"/>
      <c r="R79" s="651"/>
      <c r="S79" s="651"/>
      <c r="T79" s="651"/>
      <c r="U79" s="651"/>
      <c r="V79" s="652"/>
      <c r="W79" s="37" t="s">
        <v>73</v>
      </c>
      <c r="X79" s="629">
        <f>IFERROR(X77/H77,"0")+IFERROR(X78/H78,"0")</f>
        <v>13.333333333333332</v>
      </c>
      <c r="Y79" s="629">
        <f>IFERROR(Y77/H77,"0")+IFERROR(Y78/H78,"0")</f>
        <v>14</v>
      </c>
      <c r="Z79" s="629">
        <f>IFERROR(IF(Z77="",0,Z77),"0")+IFERROR(IF(Z78="",0,Z78),"0")</f>
        <v>9.1139999999999999E-2</v>
      </c>
      <c r="AA79" s="630"/>
      <c r="AB79" s="630"/>
      <c r="AC79" s="630"/>
    </row>
    <row r="80" spans="1:68" x14ac:dyDescent="0.2">
      <c r="A80" s="632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50" t="s">
        <v>72</v>
      </c>
      <c r="Q80" s="651"/>
      <c r="R80" s="651"/>
      <c r="S80" s="651"/>
      <c r="T80" s="651"/>
      <c r="U80" s="651"/>
      <c r="V80" s="652"/>
      <c r="W80" s="37" t="s">
        <v>67</v>
      </c>
      <c r="X80" s="629">
        <f>IFERROR(SUM(X77:X78),"0")</f>
        <v>24</v>
      </c>
      <c r="Y80" s="629">
        <f>IFERROR(SUM(Y77:Y78),"0")</f>
        <v>25.2</v>
      </c>
      <c r="Z80" s="37"/>
      <c r="AA80" s="630"/>
      <c r="AB80" s="630"/>
      <c r="AC80" s="630"/>
    </row>
    <row r="81" spans="1:68" ht="14.25" hidden="1" customHeight="1" x14ac:dyDescent="0.25">
      <c r="A81" s="654" t="s">
        <v>170</v>
      </c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2"/>
      <c r="P81" s="632"/>
      <c r="Q81" s="632"/>
      <c r="R81" s="632"/>
      <c r="S81" s="632"/>
      <c r="T81" s="632"/>
      <c r="U81" s="632"/>
      <c r="V81" s="632"/>
      <c r="W81" s="632"/>
      <c r="X81" s="632"/>
      <c r="Y81" s="632"/>
      <c r="Z81" s="632"/>
      <c r="AA81" s="623"/>
      <c r="AB81" s="623"/>
      <c r="AC81" s="623"/>
    </row>
    <row r="82" spans="1:68" ht="27" hidden="1" customHeight="1" x14ac:dyDescent="0.25">
      <c r="A82" s="54" t="s">
        <v>171</v>
      </c>
      <c r="B82" s="54" t="s">
        <v>172</v>
      </c>
      <c r="C82" s="31">
        <v>4301060455</v>
      </c>
      <c r="D82" s="639">
        <v>4680115881532</v>
      </c>
      <c r="E82" s="640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5"/>
      <c r="R82" s="635"/>
      <c r="S82" s="635"/>
      <c r="T82" s="636"/>
      <c r="U82" s="34"/>
      <c r="V82" s="34"/>
      <c r="W82" s="35" t="s">
        <v>67</v>
      </c>
      <c r="X82" s="627">
        <v>0</v>
      </c>
      <c r="Y82" s="628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4301060351</v>
      </c>
      <c r="D83" s="639">
        <v>4680115881464</v>
      </c>
      <c r="E83" s="640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5"/>
      <c r="R83" s="635"/>
      <c r="S83" s="635"/>
      <c r="T83" s="636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31"/>
      <c r="B84" s="632"/>
      <c r="C84" s="632"/>
      <c r="D84" s="632"/>
      <c r="E84" s="632"/>
      <c r="F84" s="632"/>
      <c r="G84" s="632"/>
      <c r="H84" s="632"/>
      <c r="I84" s="632"/>
      <c r="J84" s="632"/>
      <c r="K84" s="632"/>
      <c r="L84" s="632"/>
      <c r="M84" s="632"/>
      <c r="N84" s="632"/>
      <c r="O84" s="633"/>
      <c r="P84" s="650" t="s">
        <v>72</v>
      </c>
      <c r="Q84" s="651"/>
      <c r="R84" s="651"/>
      <c r="S84" s="651"/>
      <c r="T84" s="651"/>
      <c r="U84" s="651"/>
      <c r="V84" s="652"/>
      <c r="W84" s="37" t="s">
        <v>73</v>
      </c>
      <c r="X84" s="629">
        <f>IFERROR(X82/H82,"0")+IFERROR(X83/H83,"0")</f>
        <v>0</v>
      </c>
      <c r="Y84" s="629">
        <f>IFERROR(Y82/H82,"0")+IFERROR(Y83/H83,"0")</f>
        <v>0</v>
      </c>
      <c r="Z84" s="629">
        <f>IFERROR(IF(Z82="",0,Z82),"0")+IFERROR(IF(Z83="",0,Z83),"0")</f>
        <v>0</v>
      </c>
      <c r="AA84" s="630"/>
      <c r="AB84" s="630"/>
      <c r="AC84" s="630"/>
    </row>
    <row r="85" spans="1:68" hidden="1" x14ac:dyDescent="0.2">
      <c r="A85" s="632"/>
      <c r="B85" s="632"/>
      <c r="C85" s="632"/>
      <c r="D85" s="632"/>
      <c r="E85" s="632"/>
      <c r="F85" s="632"/>
      <c r="G85" s="632"/>
      <c r="H85" s="632"/>
      <c r="I85" s="632"/>
      <c r="J85" s="632"/>
      <c r="K85" s="632"/>
      <c r="L85" s="632"/>
      <c r="M85" s="632"/>
      <c r="N85" s="632"/>
      <c r="O85" s="633"/>
      <c r="P85" s="650" t="s">
        <v>72</v>
      </c>
      <c r="Q85" s="651"/>
      <c r="R85" s="651"/>
      <c r="S85" s="651"/>
      <c r="T85" s="651"/>
      <c r="U85" s="651"/>
      <c r="V85" s="652"/>
      <c r="W85" s="37" t="s">
        <v>67</v>
      </c>
      <c r="X85" s="629">
        <f>IFERROR(SUM(X82:X83),"0")</f>
        <v>0</v>
      </c>
      <c r="Y85" s="629">
        <f>IFERROR(SUM(Y82:Y83),"0")</f>
        <v>0</v>
      </c>
      <c r="Z85" s="37"/>
      <c r="AA85" s="630"/>
      <c r="AB85" s="630"/>
      <c r="AC85" s="630"/>
    </row>
    <row r="86" spans="1:68" ht="16.5" hidden="1" customHeight="1" x14ac:dyDescent="0.25">
      <c r="A86" s="657" t="s">
        <v>177</v>
      </c>
      <c r="B86" s="632"/>
      <c r="C86" s="632"/>
      <c r="D86" s="632"/>
      <c r="E86" s="632"/>
      <c r="F86" s="632"/>
      <c r="G86" s="632"/>
      <c r="H86" s="632"/>
      <c r="I86" s="632"/>
      <c r="J86" s="632"/>
      <c r="K86" s="632"/>
      <c r="L86" s="632"/>
      <c r="M86" s="632"/>
      <c r="N86" s="632"/>
      <c r="O86" s="632"/>
      <c r="P86" s="632"/>
      <c r="Q86" s="632"/>
      <c r="R86" s="632"/>
      <c r="S86" s="632"/>
      <c r="T86" s="632"/>
      <c r="U86" s="632"/>
      <c r="V86" s="632"/>
      <c r="W86" s="632"/>
      <c r="X86" s="632"/>
      <c r="Y86" s="632"/>
      <c r="Z86" s="632"/>
      <c r="AA86" s="622"/>
      <c r="AB86" s="622"/>
      <c r="AC86" s="622"/>
    </row>
    <row r="87" spans="1:68" ht="14.25" hidden="1" customHeight="1" x14ac:dyDescent="0.25">
      <c r="A87" s="654" t="s">
        <v>117</v>
      </c>
      <c r="B87" s="632"/>
      <c r="C87" s="632"/>
      <c r="D87" s="632"/>
      <c r="E87" s="632"/>
      <c r="F87" s="632"/>
      <c r="G87" s="632"/>
      <c r="H87" s="632"/>
      <c r="I87" s="632"/>
      <c r="J87" s="632"/>
      <c r="K87" s="632"/>
      <c r="L87" s="632"/>
      <c r="M87" s="632"/>
      <c r="N87" s="632"/>
      <c r="O87" s="632"/>
      <c r="P87" s="632"/>
      <c r="Q87" s="632"/>
      <c r="R87" s="632"/>
      <c r="S87" s="632"/>
      <c r="T87" s="632"/>
      <c r="U87" s="632"/>
      <c r="V87" s="632"/>
      <c r="W87" s="632"/>
      <c r="X87" s="632"/>
      <c r="Y87" s="632"/>
      <c r="Z87" s="632"/>
      <c r="AA87" s="623"/>
      <c r="AB87" s="623"/>
      <c r="AC87" s="623"/>
    </row>
    <row r="88" spans="1:68" ht="27" hidden="1" customHeight="1" x14ac:dyDescent="0.25">
      <c r="A88" s="54" t="s">
        <v>178</v>
      </c>
      <c r="B88" s="54" t="s">
        <v>179</v>
      </c>
      <c r="C88" s="31">
        <v>4301011468</v>
      </c>
      <c r="D88" s="639">
        <v>4680115881327</v>
      </c>
      <c r="E88" s="640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9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5"/>
      <c r="R88" s="635"/>
      <c r="S88" s="635"/>
      <c r="T88" s="636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4301011261</v>
      </c>
      <c r="D89" s="639">
        <v>4680115887732</v>
      </c>
      <c r="E89" s="640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5"/>
      <c r="R89" s="635"/>
      <c r="S89" s="635"/>
      <c r="T89" s="636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39">
        <v>4680115881518</v>
      </c>
      <c r="E90" s="640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4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5"/>
      <c r="R90" s="635"/>
      <c r="S90" s="635"/>
      <c r="T90" s="636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9">
        <v>4680115881303</v>
      </c>
      <c r="E91" s="640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5"/>
      <c r="R91" s="635"/>
      <c r="S91" s="635"/>
      <c r="T91" s="636"/>
      <c r="U91" s="34"/>
      <c r="V91" s="34"/>
      <c r="W91" s="35" t="s">
        <v>67</v>
      </c>
      <c r="X91" s="627">
        <v>5</v>
      </c>
      <c r="Y91" s="628">
        <f>IFERROR(IF(X91="",0,CEILING((X91/$H91),1)*$H91),"")</f>
        <v>9</v>
      </c>
      <c r="Z91" s="36">
        <f>IFERROR(IF(Y91=0,"",ROUNDUP(Y91/H91,0)*0.00902),"")</f>
        <v>1.804E-2</v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5.2111111111111121</v>
      </c>
      <c r="BN91" s="64">
        <f>IFERROR(Y91*I91/H91,"0")</f>
        <v>9.3800000000000008</v>
      </c>
      <c r="BO91" s="64">
        <f>IFERROR(1/J91*(X91/H91),"0")</f>
        <v>8.4175084175084174E-3</v>
      </c>
      <c r="BP91" s="64">
        <f>IFERROR(1/J91*(Y91/H91),"0")</f>
        <v>1.5151515151515152E-2</v>
      </c>
    </row>
    <row r="92" spans="1:68" x14ac:dyDescent="0.2">
      <c r="A92" s="631"/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3"/>
      <c r="P92" s="650" t="s">
        <v>72</v>
      </c>
      <c r="Q92" s="651"/>
      <c r="R92" s="651"/>
      <c r="S92" s="651"/>
      <c r="T92" s="651"/>
      <c r="U92" s="651"/>
      <c r="V92" s="652"/>
      <c r="W92" s="37" t="s">
        <v>73</v>
      </c>
      <c r="X92" s="629">
        <f>IFERROR(X88/H88,"0")+IFERROR(X89/H89,"0")+IFERROR(X90/H90,"0")+IFERROR(X91/H91,"0")</f>
        <v>1.1111111111111112</v>
      </c>
      <c r="Y92" s="629">
        <f>IFERROR(Y88/H88,"0")+IFERROR(Y89/H89,"0")+IFERROR(Y90/H90,"0")+IFERROR(Y91/H91,"0")</f>
        <v>2</v>
      </c>
      <c r="Z92" s="629">
        <f>IFERROR(IF(Z88="",0,Z88),"0")+IFERROR(IF(Z89="",0,Z89),"0")+IFERROR(IF(Z90="",0,Z90),"0")+IFERROR(IF(Z91="",0,Z91),"0")</f>
        <v>1.804E-2</v>
      </c>
      <c r="AA92" s="630"/>
      <c r="AB92" s="630"/>
      <c r="AC92" s="630"/>
    </row>
    <row r="93" spans="1:68" x14ac:dyDescent="0.2">
      <c r="A93" s="632"/>
      <c r="B93" s="632"/>
      <c r="C93" s="632"/>
      <c r="D93" s="632"/>
      <c r="E93" s="632"/>
      <c r="F93" s="632"/>
      <c r="G93" s="632"/>
      <c r="H93" s="632"/>
      <c r="I93" s="632"/>
      <c r="J93" s="632"/>
      <c r="K93" s="632"/>
      <c r="L93" s="632"/>
      <c r="M93" s="632"/>
      <c r="N93" s="632"/>
      <c r="O93" s="633"/>
      <c r="P93" s="650" t="s">
        <v>72</v>
      </c>
      <c r="Q93" s="651"/>
      <c r="R93" s="651"/>
      <c r="S93" s="651"/>
      <c r="T93" s="651"/>
      <c r="U93" s="651"/>
      <c r="V93" s="652"/>
      <c r="W93" s="37" t="s">
        <v>67</v>
      </c>
      <c r="X93" s="629">
        <f>IFERROR(SUM(X88:X91),"0")</f>
        <v>5</v>
      </c>
      <c r="Y93" s="629">
        <f>IFERROR(SUM(Y88:Y91),"0")</f>
        <v>9</v>
      </c>
      <c r="Z93" s="37"/>
      <c r="AA93" s="630"/>
      <c r="AB93" s="630"/>
      <c r="AC93" s="630"/>
    </row>
    <row r="94" spans="1:68" ht="14.25" hidden="1" customHeight="1" x14ac:dyDescent="0.25">
      <c r="A94" s="654" t="s">
        <v>74</v>
      </c>
      <c r="B94" s="632"/>
      <c r="C94" s="632"/>
      <c r="D94" s="632"/>
      <c r="E94" s="632"/>
      <c r="F94" s="632"/>
      <c r="G94" s="632"/>
      <c r="H94" s="632"/>
      <c r="I94" s="632"/>
      <c r="J94" s="632"/>
      <c r="K94" s="632"/>
      <c r="L94" s="632"/>
      <c r="M94" s="632"/>
      <c r="N94" s="632"/>
      <c r="O94" s="632"/>
      <c r="P94" s="632"/>
      <c r="Q94" s="632"/>
      <c r="R94" s="632"/>
      <c r="S94" s="632"/>
      <c r="T94" s="632"/>
      <c r="U94" s="632"/>
      <c r="V94" s="632"/>
      <c r="W94" s="632"/>
      <c r="X94" s="632"/>
      <c r="Y94" s="632"/>
      <c r="Z94" s="632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9">
        <v>4607091386967</v>
      </c>
      <c r="E95" s="640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9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5"/>
      <c r="R95" s="635"/>
      <c r="S95" s="635"/>
      <c r="T95" s="636"/>
      <c r="U95" s="34"/>
      <c r="V95" s="34"/>
      <c r="W95" s="35" t="s">
        <v>67</v>
      </c>
      <c r="X95" s="627">
        <v>270</v>
      </c>
      <c r="Y95" s="628">
        <f>IFERROR(IF(X95="",0,CEILING((X95/$H95),1)*$H95),"")</f>
        <v>275.39999999999998</v>
      </c>
      <c r="Z95" s="36">
        <f>IFERROR(IF(Y95=0,"",ROUNDUP(Y95/H95,0)*0.01898),"")</f>
        <v>0.64532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286.46666666666664</v>
      </c>
      <c r="BN95" s="64">
        <f>IFERROR(Y95*I95/H95,"0")</f>
        <v>292.19599999999997</v>
      </c>
      <c r="BO95" s="64">
        <f>IFERROR(1/J95*(X95/H95),"0")</f>
        <v>0.52083333333333337</v>
      </c>
      <c r="BP95" s="64">
        <f>IFERROR(1/J95*(Y95/H95),"0")</f>
        <v>0.53125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4301051788</v>
      </c>
      <c r="D96" s="639">
        <v>4680115884953</v>
      </c>
      <c r="E96" s="640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4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5"/>
      <c r="R96" s="635"/>
      <c r="S96" s="635"/>
      <c r="T96" s="636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9">
        <v>4607091385731</v>
      </c>
      <c r="E97" s="640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5"/>
      <c r="R97" s="635"/>
      <c r="S97" s="635"/>
      <c r="T97" s="636"/>
      <c r="U97" s="34"/>
      <c r="V97" s="34"/>
      <c r="W97" s="35" t="s">
        <v>67</v>
      </c>
      <c r="X97" s="627">
        <v>47</v>
      </c>
      <c r="Y97" s="628">
        <f>IFERROR(IF(X97="",0,CEILING((X97/$H97),1)*$H97),"")</f>
        <v>48.6</v>
      </c>
      <c r="Z97" s="36">
        <f>IFERROR(IF(Y97=0,"",ROUNDUP(Y97/H97,0)*0.00651),"")</f>
        <v>0.11718000000000001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51.386666666666663</v>
      </c>
      <c r="BN97" s="64">
        <f>IFERROR(Y97*I97/H97,"0")</f>
        <v>53.135999999999996</v>
      </c>
      <c r="BO97" s="64">
        <f>IFERROR(1/J97*(X97/H97),"0")</f>
        <v>9.5645095645095643E-2</v>
      </c>
      <c r="BP97" s="64">
        <f>IFERROR(1/J97*(Y97/H97),"0")</f>
        <v>9.8901098901098911E-2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39">
        <v>4680115880894</v>
      </c>
      <c r="E98" s="640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5"/>
      <c r="R98" s="635"/>
      <c r="S98" s="635"/>
      <c r="T98" s="636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31"/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3"/>
      <c r="P99" s="650" t="s">
        <v>72</v>
      </c>
      <c r="Q99" s="651"/>
      <c r="R99" s="651"/>
      <c r="S99" s="651"/>
      <c r="T99" s="651"/>
      <c r="U99" s="651"/>
      <c r="V99" s="652"/>
      <c r="W99" s="37" t="s">
        <v>73</v>
      </c>
      <c r="X99" s="629">
        <f>IFERROR(X95/H95,"0")+IFERROR(X96/H96,"0")+IFERROR(X97/H97,"0")+IFERROR(X98/H98,"0")</f>
        <v>50.74074074074074</v>
      </c>
      <c r="Y99" s="629">
        <f>IFERROR(Y95/H95,"0")+IFERROR(Y96/H96,"0")+IFERROR(Y97/H97,"0")+IFERROR(Y98/H98,"0")</f>
        <v>52</v>
      </c>
      <c r="Z99" s="629">
        <f>IFERROR(IF(Z95="",0,Z95),"0")+IFERROR(IF(Z96="",0,Z96),"0")+IFERROR(IF(Z97="",0,Z97),"0")+IFERROR(IF(Z98="",0,Z98),"0")</f>
        <v>0.76249999999999996</v>
      </c>
      <c r="AA99" s="630"/>
      <c r="AB99" s="630"/>
      <c r="AC99" s="630"/>
    </row>
    <row r="100" spans="1:68" x14ac:dyDescent="0.2">
      <c r="A100" s="632"/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3"/>
      <c r="P100" s="650" t="s">
        <v>72</v>
      </c>
      <c r="Q100" s="651"/>
      <c r="R100" s="651"/>
      <c r="S100" s="651"/>
      <c r="T100" s="651"/>
      <c r="U100" s="651"/>
      <c r="V100" s="652"/>
      <c r="W100" s="37" t="s">
        <v>67</v>
      </c>
      <c r="X100" s="629">
        <f>IFERROR(SUM(X95:X98),"0")</f>
        <v>317</v>
      </c>
      <c r="Y100" s="629">
        <f>IFERROR(SUM(Y95:Y98),"0")</f>
        <v>324</v>
      </c>
      <c r="Z100" s="37"/>
      <c r="AA100" s="630"/>
      <c r="AB100" s="630"/>
      <c r="AC100" s="630"/>
    </row>
    <row r="101" spans="1:68" ht="16.5" hidden="1" customHeight="1" x14ac:dyDescent="0.25">
      <c r="A101" s="657" t="s">
        <v>198</v>
      </c>
      <c r="B101" s="632"/>
      <c r="C101" s="632"/>
      <c r="D101" s="632"/>
      <c r="E101" s="632"/>
      <c r="F101" s="632"/>
      <c r="G101" s="632"/>
      <c r="H101" s="632"/>
      <c r="I101" s="632"/>
      <c r="J101" s="632"/>
      <c r="K101" s="632"/>
      <c r="L101" s="632"/>
      <c r="M101" s="632"/>
      <c r="N101" s="632"/>
      <c r="O101" s="632"/>
      <c r="P101" s="632"/>
      <c r="Q101" s="632"/>
      <c r="R101" s="632"/>
      <c r="S101" s="632"/>
      <c r="T101" s="632"/>
      <c r="U101" s="632"/>
      <c r="V101" s="632"/>
      <c r="W101" s="632"/>
      <c r="X101" s="632"/>
      <c r="Y101" s="632"/>
      <c r="Z101" s="632"/>
      <c r="AA101" s="622"/>
      <c r="AB101" s="622"/>
      <c r="AC101" s="622"/>
    </row>
    <row r="102" spans="1:68" ht="14.25" hidden="1" customHeight="1" x14ac:dyDescent="0.25">
      <c r="A102" s="654" t="s">
        <v>117</v>
      </c>
      <c r="B102" s="632"/>
      <c r="C102" s="632"/>
      <c r="D102" s="632"/>
      <c r="E102" s="632"/>
      <c r="F102" s="632"/>
      <c r="G102" s="632"/>
      <c r="H102" s="632"/>
      <c r="I102" s="632"/>
      <c r="J102" s="632"/>
      <c r="K102" s="632"/>
      <c r="L102" s="632"/>
      <c r="M102" s="632"/>
      <c r="N102" s="632"/>
      <c r="O102" s="632"/>
      <c r="P102" s="632"/>
      <c r="Q102" s="632"/>
      <c r="R102" s="632"/>
      <c r="S102" s="632"/>
      <c r="T102" s="632"/>
      <c r="U102" s="632"/>
      <c r="V102" s="632"/>
      <c r="W102" s="632"/>
      <c r="X102" s="632"/>
      <c r="Y102" s="632"/>
      <c r="Z102" s="632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9">
        <v>4680115882133</v>
      </c>
      <c r="E103" s="640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5"/>
      <c r="R103" s="635"/>
      <c r="S103" s="635"/>
      <c r="T103" s="636"/>
      <c r="U103" s="34"/>
      <c r="V103" s="34"/>
      <c r="W103" s="35" t="s">
        <v>67</v>
      </c>
      <c r="X103" s="627">
        <v>62</v>
      </c>
      <c r="Y103" s="628">
        <f t="shared" ref="Y103:Y108" si="5">IFERROR(IF(X103="",0,CEILING((X103/$H103),1)*$H103),"")</f>
        <v>64.800000000000011</v>
      </c>
      <c r="Z103" s="36">
        <f>IFERROR(IF(Y103=0,"",ROUNDUP(Y103/H103,0)*0.01898),"")</f>
        <v>0.11388000000000001</v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64.353703703703715</v>
      </c>
      <c r="BN103" s="64">
        <f t="shared" ref="BN103:BN108" si="7">IFERROR(Y103*I103/H103,"0")</f>
        <v>67.260000000000005</v>
      </c>
      <c r="BO103" s="64">
        <f t="shared" ref="BO103:BO108" si="8">IFERROR(1/J103*(X103/H103),"0")</f>
        <v>8.969907407407407E-2</v>
      </c>
      <c r="BP103" s="64">
        <f t="shared" ref="BP103:BP108" si="9">IFERROR(1/J103*(Y103/H103),"0")</f>
        <v>9.3750000000000014E-2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39">
        <v>4680115887718</v>
      </c>
      <c r="E104" s="640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5"/>
      <c r="R104" s="635"/>
      <c r="S104" s="635"/>
      <c r="T104" s="636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39">
        <v>4680115887718</v>
      </c>
      <c r="E105" s="640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7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5"/>
      <c r="R105" s="635"/>
      <c r="S105" s="635"/>
      <c r="T105" s="636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39">
        <v>4680115880269</v>
      </c>
      <c r="E106" s="640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5"/>
      <c r="R106" s="635"/>
      <c r="S106" s="635"/>
      <c r="T106" s="636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208</v>
      </c>
      <c r="B107" s="54" t="s">
        <v>209</v>
      </c>
      <c r="C107" s="31">
        <v>4301011415</v>
      </c>
      <c r="D107" s="639">
        <v>4680115880429</v>
      </c>
      <c r="E107" s="640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5"/>
      <c r="R107" s="635"/>
      <c r="S107" s="635"/>
      <c r="T107" s="636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4301011462</v>
      </c>
      <c r="D108" s="639">
        <v>4680115881457</v>
      </c>
      <c r="E108" s="640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5"/>
      <c r="R108" s="635"/>
      <c r="S108" s="635"/>
      <c r="T108" s="636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31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50" t="s">
        <v>72</v>
      </c>
      <c r="Q109" s="651"/>
      <c r="R109" s="651"/>
      <c r="S109" s="651"/>
      <c r="T109" s="651"/>
      <c r="U109" s="651"/>
      <c r="V109" s="652"/>
      <c r="W109" s="37" t="s">
        <v>73</v>
      </c>
      <c r="X109" s="629">
        <f>IFERROR(X103/H103,"0")+IFERROR(X104/H104,"0")+IFERROR(X105/H105,"0")+IFERROR(X106/H106,"0")+IFERROR(X107/H107,"0")+IFERROR(X108/H108,"0")</f>
        <v>5.7407407407407405</v>
      </c>
      <c r="Y109" s="629">
        <f>IFERROR(Y103/H103,"0")+IFERROR(Y104/H104,"0")+IFERROR(Y105/H105,"0")+IFERROR(Y106/H106,"0")+IFERROR(Y107/H107,"0")+IFERROR(Y108/H108,"0")</f>
        <v>6.0000000000000009</v>
      </c>
      <c r="Z109" s="629">
        <f>IFERROR(IF(Z103="",0,Z103),"0")+IFERROR(IF(Z104="",0,Z104),"0")+IFERROR(IF(Z105="",0,Z105),"0")+IFERROR(IF(Z106="",0,Z106),"0")+IFERROR(IF(Z107="",0,Z107),"0")+IFERROR(IF(Z108="",0,Z108),"0")</f>
        <v>0.11388000000000001</v>
      </c>
      <c r="AA109" s="630"/>
      <c r="AB109" s="630"/>
      <c r="AC109" s="630"/>
    </row>
    <row r="110" spans="1:68" x14ac:dyDescent="0.2">
      <c r="A110" s="632"/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3"/>
      <c r="P110" s="650" t="s">
        <v>72</v>
      </c>
      <c r="Q110" s="651"/>
      <c r="R110" s="651"/>
      <c r="S110" s="651"/>
      <c r="T110" s="651"/>
      <c r="U110" s="651"/>
      <c r="V110" s="652"/>
      <c r="W110" s="37" t="s">
        <v>67</v>
      </c>
      <c r="X110" s="629">
        <f>IFERROR(SUM(X103:X108),"0")</f>
        <v>62</v>
      </c>
      <c r="Y110" s="629">
        <f>IFERROR(SUM(Y103:Y108),"0")</f>
        <v>64.800000000000011</v>
      </c>
      <c r="Z110" s="37"/>
      <c r="AA110" s="630"/>
      <c r="AB110" s="630"/>
      <c r="AC110" s="630"/>
    </row>
    <row r="111" spans="1:68" ht="14.25" hidden="1" customHeight="1" x14ac:dyDescent="0.25">
      <c r="A111" s="654" t="s">
        <v>153</v>
      </c>
      <c r="B111" s="632"/>
      <c r="C111" s="632"/>
      <c r="D111" s="632"/>
      <c r="E111" s="632"/>
      <c r="F111" s="632"/>
      <c r="G111" s="632"/>
      <c r="H111" s="632"/>
      <c r="I111" s="632"/>
      <c r="J111" s="632"/>
      <c r="K111" s="632"/>
      <c r="L111" s="632"/>
      <c r="M111" s="632"/>
      <c r="N111" s="632"/>
      <c r="O111" s="632"/>
      <c r="P111" s="632"/>
      <c r="Q111" s="632"/>
      <c r="R111" s="632"/>
      <c r="S111" s="632"/>
      <c r="T111" s="632"/>
      <c r="U111" s="632"/>
      <c r="V111" s="632"/>
      <c r="W111" s="632"/>
      <c r="X111" s="632"/>
      <c r="Y111" s="632"/>
      <c r="Z111" s="632"/>
      <c r="AA111" s="623"/>
      <c r="AB111" s="623"/>
      <c r="AC111" s="623"/>
    </row>
    <row r="112" spans="1:68" ht="27" hidden="1" customHeight="1" x14ac:dyDescent="0.25">
      <c r="A112" s="54" t="s">
        <v>212</v>
      </c>
      <c r="B112" s="54" t="s">
        <v>213</v>
      </c>
      <c r="C112" s="31">
        <v>4301020391</v>
      </c>
      <c r="D112" s="639">
        <v>4680115881488</v>
      </c>
      <c r="E112" s="640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5"/>
      <c r="R112" s="635"/>
      <c r="S112" s="635"/>
      <c r="T112" s="636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215</v>
      </c>
      <c r="B113" s="54" t="s">
        <v>216</v>
      </c>
      <c r="C113" s="31">
        <v>4301020186</v>
      </c>
      <c r="D113" s="639">
        <v>4680115887664</v>
      </c>
      <c r="E113" s="640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5"/>
      <c r="R113" s="635"/>
      <c r="S113" s="635"/>
      <c r="T113" s="636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215</v>
      </c>
      <c r="B114" s="54" t="s">
        <v>219</v>
      </c>
      <c r="C114" s="31">
        <v>4301020430</v>
      </c>
      <c r="D114" s="639">
        <v>4680115887664</v>
      </c>
      <c r="E114" s="640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5"/>
      <c r="R114" s="635"/>
      <c r="S114" s="635"/>
      <c r="T114" s="636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220</v>
      </c>
      <c r="B115" s="54" t="s">
        <v>221</v>
      </c>
      <c r="C115" s="31">
        <v>4301020393</v>
      </c>
      <c r="D115" s="639">
        <v>4680115882775</v>
      </c>
      <c r="E115" s="640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5"/>
      <c r="R115" s="635"/>
      <c r="S115" s="635"/>
      <c r="T115" s="636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222</v>
      </c>
      <c r="B116" s="54" t="s">
        <v>223</v>
      </c>
      <c r="C116" s="31">
        <v>4301020392</v>
      </c>
      <c r="D116" s="639">
        <v>4680115880658</v>
      </c>
      <c r="E116" s="640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5"/>
      <c r="R116" s="635"/>
      <c r="S116" s="635"/>
      <c r="T116" s="636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631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50" t="s">
        <v>72</v>
      </c>
      <c r="Q117" s="651"/>
      <c r="R117" s="651"/>
      <c r="S117" s="651"/>
      <c r="T117" s="651"/>
      <c r="U117" s="651"/>
      <c r="V117" s="652"/>
      <c r="W117" s="37" t="s">
        <v>73</v>
      </c>
      <c r="X117" s="629">
        <f>IFERROR(X112/H112,"0")+IFERROR(X113/H113,"0")+IFERROR(X114/H114,"0")+IFERROR(X115/H115,"0")+IFERROR(X116/H116,"0")</f>
        <v>0</v>
      </c>
      <c r="Y117" s="629">
        <f>IFERROR(Y112/H112,"0")+IFERROR(Y113/H113,"0")+IFERROR(Y114/H114,"0")+IFERROR(Y115/H115,"0")+IFERROR(Y116/H116,"0")</f>
        <v>0</v>
      </c>
      <c r="Z117" s="629">
        <f>IFERROR(IF(Z112="",0,Z112),"0")+IFERROR(IF(Z113="",0,Z113),"0")+IFERROR(IF(Z114="",0,Z114),"0")+IFERROR(IF(Z115="",0,Z115),"0")+IFERROR(IF(Z116="",0,Z116),"0")</f>
        <v>0</v>
      </c>
      <c r="AA117" s="630"/>
      <c r="AB117" s="630"/>
      <c r="AC117" s="630"/>
    </row>
    <row r="118" spans="1:68" hidden="1" x14ac:dyDescent="0.2">
      <c r="A118" s="632"/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3"/>
      <c r="P118" s="650" t="s">
        <v>72</v>
      </c>
      <c r="Q118" s="651"/>
      <c r="R118" s="651"/>
      <c r="S118" s="651"/>
      <c r="T118" s="651"/>
      <c r="U118" s="651"/>
      <c r="V118" s="652"/>
      <c r="W118" s="37" t="s">
        <v>67</v>
      </c>
      <c r="X118" s="629">
        <f>IFERROR(SUM(X112:X116),"0")</f>
        <v>0</v>
      </c>
      <c r="Y118" s="629">
        <f>IFERROR(SUM(Y112:Y116),"0")</f>
        <v>0</v>
      </c>
      <c r="Z118" s="37"/>
      <c r="AA118" s="630"/>
      <c r="AB118" s="630"/>
      <c r="AC118" s="630"/>
    </row>
    <row r="119" spans="1:68" ht="14.25" hidden="1" customHeight="1" x14ac:dyDescent="0.25">
      <c r="A119" s="654" t="s">
        <v>74</v>
      </c>
      <c r="B119" s="632"/>
      <c r="C119" s="632"/>
      <c r="D119" s="632"/>
      <c r="E119" s="632"/>
      <c r="F119" s="632"/>
      <c r="G119" s="632"/>
      <c r="H119" s="632"/>
      <c r="I119" s="632"/>
      <c r="J119" s="632"/>
      <c r="K119" s="632"/>
      <c r="L119" s="632"/>
      <c r="M119" s="632"/>
      <c r="N119" s="632"/>
      <c r="O119" s="632"/>
      <c r="P119" s="632"/>
      <c r="Q119" s="632"/>
      <c r="R119" s="632"/>
      <c r="S119" s="632"/>
      <c r="T119" s="632"/>
      <c r="U119" s="632"/>
      <c r="V119" s="632"/>
      <c r="W119" s="632"/>
      <c r="X119" s="632"/>
      <c r="Y119" s="632"/>
      <c r="Z119" s="632"/>
      <c r="AA119" s="623"/>
      <c r="AB119" s="623"/>
      <c r="AC119" s="623"/>
    </row>
    <row r="120" spans="1:68" ht="27" hidden="1" customHeight="1" x14ac:dyDescent="0.25">
      <c r="A120" s="54" t="s">
        <v>224</v>
      </c>
      <c r="B120" s="54" t="s">
        <v>225</v>
      </c>
      <c r="C120" s="31">
        <v>4301051724</v>
      </c>
      <c r="D120" s="639">
        <v>4607091385168</v>
      </c>
      <c r="E120" s="640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5"/>
      <c r="R120" s="635"/>
      <c r="S120" s="635"/>
      <c r="T120" s="636"/>
      <c r="U120" s="34"/>
      <c r="V120" s="34"/>
      <c r="W120" s="35" t="s">
        <v>67</v>
      </c>
      <c r="X120" s="627">
        <v>0</v>
      </c>
      <c r="Y120" s="628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227</v>
      </c>
      <c r="B121" s="54" t="s">
        <v>228</v>
      </c>
      <c r="C121" s="31">
        <v>4301051730</v>
      </c>
      <c r="D121" s="639">
        <v>4607091383256</v>
      </c>
      <c r="E121" s="640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5"/>
      <c r="R121" s="635"/>
      <c r="S121" s="635"/>
      <c r="T121" s="636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hidden="1" customHeight="1" x14ac:dyDescent="0.25">
      <c r="A122" s="54" t="s">
        <v>229</v>
      </c>
      <c r="B122" s="54" t="s">
        <v>230</v>
      </c>
      <c r="C122" s="31">
        <v>4301051721</v>
      </c>
      <c r="D122" s="639">
        <v>4607091385748</v>
      </c>
      <c r="E122" s="640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5"/>
      <c r="R122" s="635"/>
      <c r="S122" s="635"/>
      <c r="T122" s="636"/>
      <c r="U122" s="34"/>
      <c r="V122" s="34"/>
      <c r="W122" s="35" t="s">
        <v>67</v>
      </c>
      <c r="X122" s="627">
        <v>0</v>
      </c>
      <c r="Y122" s="62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hidden="1" customHeight="1" x14ac:dyDescent="0.25">
      <c r="A123" s="54" t="s">
        <v>231</v>
      </c>
      <c r="B123" s="54" t="s">
        <v>232</v>
      </c>
      <c r="C123" s="31">
        <v>4301051740</v>
      </c>
      <c r="D123" s="639">
        <v>4680115884533</v>
      </c>
      <c r="E123" s="640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5"/>
      <c r="R123" s="635"/>
      <c r="S123" s="635"/>
      <c r="T123" s="636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631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50" t="s">
        <v>72</v>
      </c>
      <c r="Q124" s="651"/>
      <c r="R124" s="651"/>
      <c r="S124" s="651"/>
      <c r="T124" s="651"/>
      <c r="U124" s="651"/>
      <c r="V124" s="652"/>
      <c r="W124" s="37" t="s">
        <v>73</v>
      </c>
      <c r="X124" s="629">
        <f>IFERROR(X120/H120,"0")+IFERROR(X121/H121,"0")+IFERROR(X122/H122,"0")+IFERROR(X123/H123,"0")</f>
        <v>0</v>
      </c>
      <c r="Y124" s="629">
        <f>IFERROR(Y120/H120,"0")+IFERROR(Y121/H121,"0")+IFERROR(Y122/H122,"0")+IFERROR(Y123/H123,"0")</f>
        <v>0</v>
      </c>
      <c r="Z124" s="629">
        <f>IFERROR(IF(Z120="",0,Z120),"0")+IFERROR(IF(Z121="",0,Z121),"0")+IFERROR(IF(Z122="",0,Z122),"0")+IFERROR(IF(Z123="",0,Z123),"0")</f>
        <v>0</v>
      </c>
      <c r="AA124" s="630"/>
      <c r="AB124" s="630"/>
      <c r="AC124" s="630"/>
    </row>
    <row r="125" spans="1:68" hidden="1" x14ac:dyDescent="0.2">
      <c r="A125" s="632"/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3"/>
      <c r="P125" s="650" t="s">
        <v>72</v>
      </c>
      <c r="Q125" s="651"/>
      <c r="R125" s="651"/>
      <c r="S125" s="651"/>
      <c r="T125" s="651"/>
      <c r="U125" s="651"/>
      <c r="V125" s="652"/>
      <c r="W125" s="37" t="s">
        <v>67</v>
      </c>
      <c r="X125" s="629">
        <f>IFERROR(SUM(X120:X123),"0")</f>
        <v>0</v>
      </c>
      <c r="Y125" s="629">
        <f>IFERROR(SUM(Y120:Y123),"0")</f>
        <v>0</v>
      </c>
      <c r="Z125" s="37"/>
      <c r="AA125" s="630"/>
      <c r="AB125" s="630"/>
      <c r="AC125" s="630"/>
    </row>
    <row r="126" spans="1:68" ht="14.25" hidden="1" customHeight="1" x14ac:dyDescent="0.25">
      <c r="A126" s="654" t="s">
        <v>170</v>
      </c>
      <c r="B126" s="632"/>
      <c r="C126" s="632"/>
      <c r="D126" s="632"/>
      <c r="E126" s="632"/>
      <c r="F126" s="632"/>
      <c r="G126" s="632"/>
      <c r="H126" s="632"/>
      <c r="I126" s="632"/>
      <c r="J126" s="632"/>
      <c r="K126" s="632"/>
      <c r="L126" s="632"/>
      <c r="M126" s="632"/>
      <c r="N126" s="632"/>
      <c r="O126" s="632"/>
      <c r="P126" s="632"/>
      <c r="Q126" s="632"/>
      <c r="R126" s="632"/>
      <c r="S126" s="632"/>
      <c r="T126" s="632"/>
      <c r="U126" s="632"/>
      <c r="V126" s="632"/>
      <c r="W126" s="632"/>
      <c r="X126" s="632"/>
      <c r="Y126" s="632"/>
      <c r="Z126" s="632"/>
      <c r="AA126" s="623"/>
      <c r="AB126" s="623"/>
      <c r="AC126" s="623"/>
    </row>
    <row r="127" spans="1:68" ht="16.5" hidden="1" customHeight="1" x14ac:dyDescent="0.25">
      <c r="A127" s="54" t="s">
        <v>234</v>
      </c>
      <c r="B127" s="54" t="s">
        <v>235</v>
      </c>
      <c r="C127" s="31">
        <v>4301060317</v>
      </c>
      <c r="D127" s="639">
        <v>4680115880238</v>
      </c>
      <c r="E127" s="640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5"/>
      <c r="R127" s="635"/>
      <c r="S127" s="635"/>
      <c r="T127" s="636"/>
      <c r="U127" s="34"/>
      <c r="V127" s="34"/>
      <c r="W127" s="35" t="s">
        <v>67</v>
      </c>
      <c r="X127" s="627">
        <v>0</v>
      </c>
      <c r="Y127" s="62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31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50" t="s">
        <v>72</v>
      </c>
      <c r="Q128" s="651"/>
      <c r="R128" s="651"/>
      <c r="S128" s="651"/>
      <c r="T128" s="651"/>
      <c r="U128" s="651"/>
      <c r="V128" s="652"/>
      <c r="W128" s="37" t="s">
        <v>73</v>
      </c>
      <c r="X128" s="629">
        <f>IFERROR(X127/H127,"0")</f>
        <v>0</v>
      </c>
      <c r="Y128" s="629">
        <f>IFERROR(Y127/H127,"0")</f>
        <v>0</v>
      </c>
      <c r="Z128" s="629">
        <f>IFERROR(IF(Z127="",0,Z127),"0")</f>
        <v>0</v>
      </c>
      <c r="AA128" s="630"/>
      <c r="AB128" s="630"/>
      <c r="AC128" s="630"/>
    </row>
    <row r="129" spans="1:68" hidden="1" x14ac:dyDescent="0.2">
      <c r="A129" s="632"/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3"/>
      <c r="P129" s="650" t="s">
        <v>72</v>
      </c>
      <c r="Q129" s="651"/>
      <c r="R129" s="651"/>
      <c r="S129" s="651"/>
      <c r="T129" s="651"/>
      <c r="U129" s="651"/>
      <c r="V129" s="652"/>
      <c r="W129" s="37" t="s">
        <v>67</v>
      </c>
      <c r="X129" s="629">
        <f>IFERROR(SUM(X127:X127),"0")</f>
        <v>0</v>
      </c>
      <c r="Y129" s="629">
        <f>IFERROR(SUM(Y127:Y127),"0")</f>
        <v>0</v>
      </c>
      <c r="Z129" s="37"/>
      <c r="AA129" s="630"/>
      <c r="AB129" s="630"/>
      <c r="AC129" s="630"/>
    </row>
    <row r="130" spans="1:68" ht="16.5" hidden="1" customHeight="1" x14ac:dyDescent="0.25">
      <c r="A130" s="657" t="s">
        <v>237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22"/>
      <c r="AB130" s="622"/>
      <c r="AC130" s="622"/>
    </row>
    <row r="131" spans="1:68" ht="14.25" hidden="1" customHeight="1" x14ac:dyDescent="0.25">
      <c r="A131" s="654" t="s">
        <v>117</v>
      </c>
      <c r="B131" s="632"/>
      <c r="C131" s="632"/>
      <c r="D131" s="632"/>
      <c r="E131" s="632"/>
      <c r="F131" s="632"/>
      <c r="G131" s="632"/>
      <c r="H131" s="632"/>
      <c r="I131" s="632"/>
      <c r="J131" s="632"/>
      <c r="K131" s="632"/>
      <c r="L131" s="632"/>
      <c r="M131" s="632"/>
      <c r="N131" s="632"/>
      <c r="O131" s="632"/>
      <c r="P131" s="632"/>
      <c r="Q131" s="632"/>
      <c r="R131" s="632"/>
      <c r="S131" s="632"/>
      <c r="T131" s="632"/>
      <c r="U131" s="632"/>
      <c r="V131" s="632"/>
      <c r="W131" s="632"/>
      <c r="X131" s="632"/>
      <c r="Y131" s="632"/>
      <c r="Z131" s="632"/>
      <c r="AA131" s="623"/>
      <c r="AB131" s="623"/>
      <c r="AC131" s="623"/>
    </row>
    <row r="132" spans="1:68" ht="27" hidden="1" customHeight="1" x14ac:dyDescent="0.25">
      <c r="A132" s="54" t="s">
        <v>238</v>
      </c>
      <c r="B132" s="54" t="s">
        <v>239</v>
      </c>
      <c r="C132" s="31">
        <v>4301012347</v>
      </c>
      <c r="D132" s="639">
        <v>4680115888784</v>
      </c>
      <c r="E132" s="640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5"/>
      <c r="R132" s="635"/>
      <c r="S132" s="635"/>
      <c r="T132" s="636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243</v>
      </c>
      <c r="B133" s="54" t="s">
        <v>244</v>
      </c>
      <c r="C133" s="31">
        <v>4301012350</v>
      </c>
      <c r="D133" s="639">
        <v>4680115888845</v>
      </c>
      <c r="E133" s="640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2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5"/>
      <c r="R133" s="635"/>
      <c r="S133" s="635"/>
      <c r="T133" s="636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245</v>
      </c>
      <c r="B134" s="54" t="s">
        <v>246</v>
      </c>
      <c r="C134" s="31">
        <v>4301011562</v>
      </c>
      <c r="D134" s="639">
        <v>4680115882577</v>
      </c>
      <c r="E134" s="640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5"/>
      <c r="R134" s="635"/>
      <c r="S134" s="635"/>
      <c r="T134" s="636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245</v>
      </c>
      <c r="B135" s="54" t="s">
        <v>248</v>
      </c>
      <c r="C135" s="31">
        <v>4301011564</v>
      </c>
      <c r="D135" s="639">
        <v>4680115882577</v>
      </c>
      <c r="E135" s="640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5"/>
      <c r="R135" s="635"/>
      <c r="S135" s="635"/>
      <c r="T135" s="636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31"/>
      <c r="B136" s="632"/>
      <c r="C136" s="632"/>
      <c r="D136" s="632"/>
      <c r="E136" s="632"/>
      <c r="F136" s="632"/>
      <c r="G136" s="632"/>
      <c r="H136" s="632"/>
      <c r="I136" s="632"/>
      <c r="J136" s="632"/>
      <c r="K136" s="632"/>
      <c r="L136" s="632"/>
      <c r="M136" s="632"/>
      <c r="N136" s="632"/>
      <c r="O136" s="633"/>
      <c r="P136" s="650" t="s">
        <v>72</v>
      </c>
      <c r="Q136" s="651"/>
      <c r="R136" s="651"/>
      <c r="S136" s="651"/>
      <c r="T136" s="651"/>
      <c r="U136" s="651"/>
      <c r="V136" s="652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hidden="1" x14ac:dyDescent="0.2">
      <c r="A137" s="632"/>
      <c r="B137" s="632"/>
      <c r="C137" s="632"/>
      <c r="D137" s="632"/>
      <c r="E137" s="632"/>
      <c r="F137" s="632"/>
      <c r="G137" s="632"/>
      <c r="H137" s="632"/>
      <c r="I137" s="632"/>
      <c r="J137" s="632"/>
      <c r="K137" s="632"/>
      <c r="L137" s="632"/>
      <c r="M137" s="632"/>
      <c r="N137" s="632"/>
      <c r="O137" s="633"/>
      <c r="P137" s="650" t="s">
        <v>72</v>
      </c>
      <c r="Q137" s="651"/>
      <c r="R137" s="651"/>
      <c r="S137" s="651"/>
      <c r="T137" s="651"/>
      <c r="U137" s="651"/>
      <c r="V137" s="652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hidden="1" customHeight="1" x14ac:dyDescent="0.25">
      <c r="A138" s="654" t="s">
        <v>62</v>
      </c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2"/>
      <c r="P138" s="632"/>
      <c r="Q138" s="632"/>
      <c r="R138" s="632"/>
      <c r="S138" s="632"/>
      <c r="T138" s="632"/>
      <c r="U138" s="632"/>
      <c r="V138" s="632"/>
      <c r="W138" s="632"/>
      <c r="X138" s="632"/>
      <c r="Y138" s="632"/>
      <c r="Z138" s="632"/>
      <c r="AA138" s="623"/>
      <c r="AB138" s="623"/>
      <c r="AC138" s="623"/>
    </row>
    <row r="139" spans="1:68" ht="16.5" hidden="1" customHeight="1" x14ac:dyDescent="0.25">
      <c r="A139" s="54" t="s">
        <v>249</v>
      </c>
      <c r="B139" s="54" t="s">
        <v>250</v>
      </c>
      <c r="C139" s="31">
        <v>4301031506</v>
      </c>
      <c r="D139" s="639">
        <v>4680115888913</v>
      </c>
      <c r="E139" s="640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5"/>
      <c r="R139" s="635"/>
      <c r="S139" s="635"/>
      <c r="T139" s="636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hidden="1" customHeight="1" x14ac:dyDescent="0.25">
      <c r="A140" s="54" t="s">
        <v>252</v>
      </c>
      <c r="B140" s="54" t="s">
        <v>253</v>
      </c>
      <c r="C140" s="31">
        <v>4301031504</v>
      </c>
      <c r="D140" s="639">
        <v>4680115888920</v>
      </c>
      <c r="E140" s="640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2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5"/>
      <c r="R140" s="635"/>
      <c r="S140" s="635"/>
      <c r="T140" s="636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5"/>
      <c r="R141" s="635"/>
      <c r="S141" s="635"/>
      <c r="T141" s="636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5"/>
      <c r="R142" s="635"/>
      <c r="S142" s="635"/>
      <c r="T142" s="636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50" t="s">
        <v>72</v>
      </c>
      <c r="Q143" s="651"/>
      <c r="R143" s="651"/>
      <c r="S143" s="651"/>
      <c r="T143" s="651"/>
      <c r="U143" s="651"/>
      <c r="V143" s="652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hidden="1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50" t="s">
        <v>72</v>
      </c>
      <c r="Q144" s="651"/>
      <c r="R144" s="651"/>
      <c r="S144" s="651"/>
      <c r="T144" s="651"/>
      <c r="U144" s="651"/>
      <c r="V144" s="652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hidden="1" customHeight="1" x14ac:dyDescent="0.25">
      <c r="A145" s="654" t="s">
        <v>74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23"/>
      <c r="AB145" s="623"/>
      <c r="AC145" s="623"/>
    </row>
    <row r="146" spans="1:68" ht="16.5" hidden="1" customHeight="1" x14ac:dyDescent="0.25">
      <c r="A146" s="54" t="s">
        <v>258</v>
      </c>
      <c r="B146" s="54" t="s">
        <v>259</v>
      </c>
      <c r="C146" s="31">
        <v>4301052218</v>
      </c>
      <c r="D146" s="639">
        <v>4680115888937</v>
      </c>
      <c r="E146" s="640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48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5"/>
      <c r="R146" s="635"/>
      <c r="S146" s="635"/>
      <c r="T146" s="636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260</v>
      </c>
      <c r="B147" s="54" t="s">
        <v>261</v>
      </c>
      <c r="C147" s="31">
        <v>4301052219</v>
      </c>
      <c r="D147" s="639">
        <v>4680115888944</v>
      </c>
      <c r="E147" s="640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4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5"/>
      <c r="R147" s="635"/>
      <c r="S147" s="635"/>
      <c r="T147" s="636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262</v>
      </c>
      <c r="B148" s="54" t="s">
        <v>263</v>
      </c>
      <c r="C148" s="31">
        <v>4301051476</v>
      </c>
      <c r="D148" s="639">
        <v>4680115882584</v>
      </c>
      <c r="E148" s="640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5"/>
      <c r="R148" s="635"/>
      <c r="S148" s="635"/>
      <c r="T148" s="636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hidden="1" customHeight="1" x14ac:dyDescent="0.25">
      <c r="A149" s="54" t="s">
        <v>262</v>
      </c>
      <c r="B149" s="54" t="s">
        <v>264</v>
      </c>
      <c r="C149" s="31">
        <v>4301051477</v>
      </c>
      <c r="D149" s="639">
        <v>4680115882584</v>
      </c>
      <c r="E149" s="640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5"/>
      <c r="R149" s="635"/>
      <c r="S149" s="635"/>
      <c r="T149" s="636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31"/>
      <c r="B150" s="632"/>
      <c r="C150" s="632"/>
      <c r="D150" s="632"/>
      <c r="E150" s="632"/>
      <c r="F150" s="632"/>
      <c r="G150" s="632"/>
      <c r="H150" s="632"/>
      <c r="I150" s="632"/>
      <c r="J150" s="632"/>
      <c r="K150" s="632"/>
      <c r="L150" s="632"/>
      <c r="M150" s="632"/>
      <c r="N150" s="632"/>
      <c r="O150" s="633"/>
      <c r="P150" s="650" t="s">
        <v>72</v>
      </c>
      <c r="Q150" s="651"/>
      <c r="R150" s="651"/>
      <c r="S150" s="651"/>
      <c r="T150" s="651"/>
      <c r="U150" s="651"/>
      <c r="V150" s="652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hidden="1" x14ac:dyDescent="0.2">
      <c r="A151" s="632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50" t="s">
        <v>72</v>
      </c>
      <c r="Q151" s="651"/>
      <c r="R151" s="651"/>
      <c r="S151" s="651"/>
      <c r="T151" s="651"/>
      <c r="U151" s="651"/>
      <c r="V151" s="652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hidden="1" customHeight="1" x14ac:dyDescent="0.25">
      <c r="A152" s="657" t="s">
        <v>265</v>
      </c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2"/>
      <c r="P152" s="632"/>
      <c r="Q152" s="632"/>
      <c r="R152" s="632"/>
      <c r="S152" s="632"/>
      <c r="T152" s="632"/>
      <c r="U152" s="632"/>
      <c r="V152" s="632"/>
      <c r="W152" s="632"/>
      <c r="X152" s="632"/>
      <c r="Y152" s="632"/>
      <c r="Z152" s="632"/>
      <c r="AA152" s="622"/>
      <c r="AB152" s="622"/>
      <c r="AC152" s="622"/>
    </row>
    <row r="153" spans="1:68" ht="14.25" hidden="1" customHeight="1" x14ac:dyDescent="0.25">
      <c r="A153" s="654" t="s">
        <v>74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23"/>
      <c r="AB153" s="623"/>
      <c r="AC153" s="623"/>
    </row>
    <row r="154" spans="1:68" ht="27" hidden="1" customHeight="1" x14ac:dyDescent="0.25">
      <c r="A154" s="54" t="s">
        <v>266</v>
      </c>
      <c r="B154" s="54" t="s">
        <v>267</v>
      </c>
      <c r="C154" s="31">
        <v>4301052254</v>
      </c>
      <c r="D154" s="639">
        <v>4680115888203</v>
      </c>
      <c r="E154" s="640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5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5"/>
      <c r="R154" s="635"/>
      <c r="S154" s="635"/>
      <c r="T154" s="636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269</v>
      </c>
      <c r="B155" s="54" t="s">
        <v>270</v>
      </c>
      <c r="C155" s="31">
        <v>4301052172</v>
      </c>
      <c r="D155" s="639">
        <v>4680115888180</v>
      </c>
      <c r="E155" s="640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5"/>
      <c r="R155" s="635"/>
      <c r="S155" s="635"/>
      <c r="T155" s="636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272</v>
      </c>
      <c r="B156" s="54" t="s">
        <v>273</v>
      </c>
      <c r="C156" s="31">
        <v>4301052173</v>
      </c>
      <c r="D156" s="639">
        <v>4680115888197</v>
      </c>
      <c r="E156" s="640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9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5"/>
      <c r="R156" s="635"/>
      <c r="S156" s="635"/>
      <c r="T156" s="636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275</v>
      </c>
      <c r="B157" s="54" t="s">
        <v>276</v>
      </c>
      <c r="C157" s="31">
        <v>4301052175</v>
      </c>
      <c r="D157" s="639">
        <v>4680115888210</v>
      </c>
      <c r="E157" s="640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5"/>
      <c r="R157" s="635"/>
      <c r="S157" s="635"/>
      <c r="T157" s="636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31"/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3"/>
      <c r="P158" s="650" t="s">
        <v>72</v>
      </c>
      <c r="Q158" s="651"/>
      <c r="R158" s="651"/>
      <c r="S158" s="651"/>
      <c r="T158" s="651"/>
      <c r="U158" s="651"/>
      <c r="V158" s="652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hidden="1" x14ac:dyDescent="0.2">
      <c r="A159" s="632"/>
      <c r="B159" s="632"/>
      <c r="C159" s="632"/>
      <c r="D159" s="632"/>
      <c r="E159" s="632"/>
      <c r="F159" s="632"/>
      <c r="G159" s="632"/>
      <c r="H159" s="632"/>
      <c r="I159" s="632"/>
      <c r="J159" s="632"/>
      <c r="K159" s="632"/>
      <c r="L159" s="632"/>
      <c r="M159" s="632"/>
      <c r="N159" s="632"/>
      <c r="O159" s="633"/>
      <c r="P159" s="650" t="s">
        <v>72</v>
      </c>
      <c r="Q159" s="651"/>
      <c r="R159" s="651"/>
      <c r="S159" s="651"/>
      <c r="T159" s="651"/>
      <c r="U159" s="651"/>
      <c r="V159" s="652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hidden="1" customHeight="1" x14ac:dyDescent="0.25">
      <c r="A160" s="654" t="s">
        <v>92</v>
      </c>
      <c r="B160" s="632"/>
      <c r="C160" s="632"/>
      <c r="D160" s="632"/>
      <c r="E160" s="632"/>
      <c r="F160" s="632"/>
      <c r="G160" s="632"/>
      <c r="H160" s="632"/>
      <c r="I160" s="632"/>
      <c r="J160" s="632"/>
      <c r="K160" s="632"/>
      <c r="L160" s="632"/>
      <c r="M160" s="632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623"/>
      <c r="AB160" s="623"/>
      <c r="AC160" s="623"/>
    </row>
    <row r="161" spans="1:68" ht="27" hidden="1" customHeight="1" x14ac:dyDescent="0.25">
      <c r="A161" s="54" t="s">
        <v>278</v>
      </c>
      <c r="B161" s="54" t="s">
        <v>279</v>
      </c>
      <c r="C161" s="31">
        <v>4301032067</v>
      </c>
      <c r="D161" s="639">
        <v>4680115889132</v>
      </c>
      <c r="E161" s="640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5"/>
      <c r="R161" s="635"/>
      <c r="S161" s="635"/>
      <c r="T161" s="636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31"/>
      <c r="B162" s="632"/>
      <c r="C162" s="632"/>
      <c r="D162" s="632"/>
      <c r="E162" s="632"/>
      <c r="F162" s="632"/>
      <c r="G162" s="632"/>
      <c r="H162" s="632"/>
      <c r="I162" s="632"/>
      <c r="J162" s="632"/>
      <c r="K162" s="632"/>
      <c r="L162" s="632"/>
      <c r="M162" s="632"/>
      <c r="N162" s="632"/>
      <c r="O162" s="633"/>
      <c r="P162" s="650" t="s">
        <v>72</v>
      </c>
      <c r="Q162" s="651"/>
      <c r="R162" s="651"/>
      <c r="S162" s="651"/>
      <c r="T162" s="651"/>
      <c r="U162" s="651"/>
      <c r="V162" s="652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hidden="1" x14ac:dyDescent="0.2">
      <c r="A163" s="632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50" t="s">
        <v>72</v>
      </c>
      <c r="Q163" s="651"/>
      <c r="R163" s="651"/>
      <c r="S163" s="651"/>
      <c r="T163" s="651"/>
      <c r="U163" s="651"/>
      <c r="V163" s="652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hidden="1" customHeight="1" x14ac:dyDescent="0.25">
      <c r="A164" s="657" t="s">
        <v>115</v>
      </c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2"/>
      <c r="P164" s="632"/>
      <c r="Q164" s="632"/>
      <c r="R164" s="632"/>
      <c r="S164" s="632"/>
      <c r="T164" s="632"/>
      <c r="U164" s="632"/>
      <c r="V164" s="632"/>
      <c r="W164" s="632"/>
      <c r="X164" s="632"/>
      <c r="Y164" s="632"/>
      <c r="Z164" s="632"/>
      <c r="AA164" s="622"/>
      <c r="AB164" s="622"/>
      <c r="AC164" s="622"/>
    </row>
    <row r="165" spans="1:68" ht="14.25" hidden="1" customHeight="1" x14ac:dyDescent="0.25">
      <c r="A165" s="654" t="s">
        <v>117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23"/>
      <c r="AB165" s="623"/>
      <c r="AC165" s="623"/>
    </row>
    <row r="166" spans="1:68" ht="16.5" hidden="1" customHeight="1" x14ac:dyDescent="0.25">
      <c r="A166" s="54" t="s">
        <v>283</v>
      </c>
      <c r="B166" s="54" t="s">
        <v>284</v>
      </c>
      <c r="C166" s="31">
        <v>4301012344</v>
      </c>
      <c r="D166" s="639">
        <v>4680115888876</v>
      </c>
      <c r="E166" s="640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2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5"/>
      <c r="R166" s="635"/>
      <c r="S166" s="635"/>
      <c r="T166" s="636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286</v>
      </c>
      <c r="B167" s="54" t="s">
        <v>287</v>
      </c>
      <c r="C167" s="31">
        <v>4301012244</v>
      </c>
      <c r="D167" s="639">
        <v>4680115887374</v>
      </c>
      <c r="E167" s="640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5"/>
      <c r="R167" s="635"/>
      <c r="S167" s="635"/>
      <c r="T167" s="636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hidden="1" customHeight="1" x14ac:dyDescent="0.25">
      <c r="A168" s="54" t="s">
        <v>289</v>
      </c>
      <c r="B168" s="54" t="s">
        <v>290</v>
      </c>
      <c r="C168" s="31">
        <v>4301011705</v>
      </c>
      <c r="D168" s="639">
        <v>4607091384604</v>
      </c>
      <c r="E168" s="640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3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5"/>
      <c r="R168" s="635"/>
      <c r="S168" s="635"/>
      <c r="T168" s="636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31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50" t="s">
        <v>72</v>
      </c>
      <c r="Q169" s="651"/>
      <c r="R169" s="651"/>
      <c r="S169" s="651"/>
      <c r="T169" s="651"/>
      <c r="U169" s="651"/>
      <c r="V169" s="652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hidden="1" x14ac:dyDescent="0.2">
      <c r="A170" s="632"/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3"/>
      <c r="P170" s="650" t="s">
        <v>72</v>
      </c>
      <c r="Q170" s="651"/>
      <c r="R170" s="651"/>
      <c r="S170" s="651"/>
      <c r="T170" s="651"/>
      <c r="U170" s="651"/>
      <c r="V170" s="652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hidden="1" customHeight="1" x14ac:dyDescent="0.25">
      <c r="A171" s="654" t="s">
        <v>153</v>
      </c>
      <c r="B171" s="632"/>
      <c r="C171" s="632"/>
      <c r="D171" s="632"/>
      <c r="E171" s="632"/>
      <c r="F171" s="632"/>
      <c r="G171" s="632"/>
      <c r="H171" s="632"/>
      <c r="I171" s="632"/>
      <c r="J171" s="632"/>
      <c r="K171" s="632"/>
      <c r="L171" s="632"/>
      <c r="M171" s="632"/>
      <c r="N171" s="632"/>
      <c r="O171" s="632"/>
      <c r="P171" s="632"/>
      <c r="Q171" s="632"/>
      <c r="R171" s="632"/>
      <c r="S171" s="632"/>
      <c r="T171" s="632"/>
      <c r="U171" s="632"/>
      <c r="V171" s="632"/>
      <c r="W171" s="632"/>
      <c r="X171" s="632"/>
      <c r="Y171" s="632"/>
      <c r="Z171" s="632"/>
      <c r="AA171" s="623"/>
      <c r="AB171" s="623"/>
      <c r="AC171" s="623"/>
    </row>
    <row r="172" spans="1:68" ht="16.5" hidden="1" customHeight="1" x14ac:dyDescent="0.25">
      <c r="A172" s="54" t="s">
        <v>292</v>
      </c>
      <c r="B172" s="54" t="s">
        <v>293</v>
      </c>
      <c r="C172" s="31">
        <v>4301020439</v>
      </c>
      <c r="D172" s="639">
        <v>4680115889491</v>
      </c>
      <c r="E172" s="640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6" t="s">
        <v>294</v>
      </c>
      <c r="Q172" s="635"/>
      <c r="R172" s="635"/>
      <c r="S172" s="635"/>
      <c r="T172" s="636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296</v>
      </c>
      <c r="B173" s="54" t="s">
        <v>297</v>
      </c>
      <c r="C173" s="31">
        <v>4301020410</v>
      </c>
      <c r="D173" s="639">
        <v>4680115887695</v>
      </c>
      <c r="E173" s="640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5"/>
      <c r="R173" s="635"/>
      <c r="S173" s="635"/>
      <c r="T173" s="636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31"/>
      <c r="B174" s="632"/>
      <c r="C174" s="632"/>
      <c r="D174" s="632"/>
      <c r="E174" s="632"/>
      <c r="F174" s="632"/>
      <c r="G174" s="632"/>
      <c r="H174" s="632"/>
      <c r="I174" s="632"/>
      <c r="J174" s="632"/>
      <c r="K174" s="632"/>
      <c r="L174" s="632"/>
      <c r="M174" s="632"/>
      <c r="N174" s="632"/>
      <c r="O174" s="633"/>
      <c r="P174" s="650" t="s">
        <v>72</v>
      </c>
      <c r="Q174" s="651"/>
      <c r="R174" s="651"/>
      <c r="S174" s="651"/>
      <c r="T174" s="651"/>
      <c r="U174" s="651"/>
      <c r="V174" s="652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hidden="1" x14ac:dyDescent="0.2">
      <c r="A175" s="632"/>
      <c r="B175" s="632"/>
      <c r="C175" s="632"/>
      <c r="D175" s="632"/>
      <c r="E175" s="632"/>
      <c r="F175" s="632"/>
      <c r="G175" s="632"/>
      <c r="H175" s="632"/>
      <c r="I175" s="632"/>
      <c r="J175" s="632"/>
      <c r="K175" s="632"/>
      <c r="L175" s="632"/>
      <c r="M175" s="632"/>
      <c r="N175" s="632"/>
      <c r="O175" s="633"/>
      <c r="P175" s="650" t="s">
        <v>72</v>
      </c>
      <c r="Q175" s="651"/>
      <c r="R175" s="651"/>
      <c r="S175" s="651"/>
      <c r="T175" s="651"/>
      <c r="U175" s="651"/>
      <c r="V175" s="652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hidden="1" customHeight="1" x14ac:dyDescent="0.25">
      <c r="A176" s="654" t="s">
        <v>62</v>
      </c>
      <c r="B176" s="632"/>
      <c r="C176" s="632"/>
      <c r="D176" s="632"/>
      <c r="E176" s="632"/>
      <c r="F176" s="632"/>
      <c r="G176" s="632"/>
      <c r="H176" s="632"/>
      <c r="I176" s="632"/>
      <c r="J176" s="632"/>
      <c r="K176" s="632"/>
      <c r="L176" s="632"/>
      <c r="M176" s="632"/>
      <c r="N176" s="632"/>
      <c r="O176" s="632"/>
      <c r="P176" s="632"/>
      <c r="Q176" s="632"/>
      <c r="R176" s="632"/>
      <c r="S176" s="632"/>
      <c r="T176" s="632"/>
      <c r="U176" s="632"/>
      <c r="V176" s="632"/>
      <c r="W176" s="632"/>
      <c r="X176" s="632"/>
      <c r="Y176" s="632"/>
      <c r="Z176" s="632"/>
      <c r="AA176" s="623"/>
      <c r="AB176" s="623"/>
      <c r="AC176" s="623"/>
    </row>
    <row r="177" spans="1:68" ht="27" hidden="1" customHeight="1" x14ac:dyDescent="0.25">
      <c r="A177" s="54" t="s">
        <v>299</v>
      </c>
      <c r="B177" s="54" t="s">
        <v>300</v>
      </c>
      <c r="C177" s="31">
        <v>4301031496</v>
      </c>
      <c r="D177" s="639">
        <v>4680115887428</v>
      </c>
      <c r="E177" s="640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89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5"/>
      <c r="R177" s="635"/>
      <c r="S177" s="635"/>
      <c r="T177" s="636"/>
      <c r="U177" s="34"/>
      <c r="V177" s="34"/>
      <c r="W177" s="35" t="s">
        <v>67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4301031509</v>
      </c>
      <c r="D178" s="639">
        <v>4680115889170</v>
      </c>
      <c r="E178" s="640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8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5"/>
      <c r="R178" s="635"/>
      <c r="S178" s="635"/>
      <c r="T178" s="636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305</v>
      </c>
      <c r="B179" s="54" t="s">
        <v>306</v>
      </c>
      <c r="C179" s="31">
        <v>4301031498</v>
      </c>
      <c r="D179" s="639">
        <v>4680115887398</v>
      </c>
      <c r="E179" s="640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9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5"/>
      <c r="R179" s="635"/>
      <c r="S179" s="635"/>
      <c r="T179" s="636"/>
      <c r="U179" s="34"/>
      <c r="V179" s="34"/>
      <c r="W179" s="35" t="s">
        <v>67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308</v>
      </c>
      <c r="B180" s="54" t="s">
        <v>309</v>
      </c>
      <c r="C180" s="31">
        <v>4301031497</v>
      </c>
      <c r="D180" s="639">
        <v>4680115887336</v>
      </c>
      <c r="E180" s="640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5"/>
      <c r="R180" s="635"/>
      <c r="S180" s="635"/>
      <c r="T180" s="636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customHeight="1" x14ac:dyDescent="0.25">
      <c r="A181" s="54" t="s">
        <v>311</v>
      </c>
      <c r="B181" s="54" t="s">
        <v>312</v>
      </c>
      <c r="C181" s="31">
        <v>4301032049</v>
      </c>
      <c r="D181" s="639">
        <v>4680115887787</v>
      </c>
      <c r="E181" s="640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5"/>
      <c r="R181" s="635"/>
      <c r="S181" s="635"/>
      <c r="T181" s="636"/>
      <c r="U181" s="34"/>
      <c r="V181" s="34"/>
      <c r="W181" s="35" t="s">
        <v>67</v>
      </c>
      <c r="X181" s="627">
        <v>4</v>
      </c>
      <c r="Y181" s="628">
        <f t="shared" si="10"/>
        <v>4.5</v>
      </c>
      <c r="Z181" s="36">
        <f>IFERROR(IF(Y181=0,"",ROUNDUP(Y181/H181,0)*0.00417),"")</f>
        <v>2.085E-2</v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4.9333333333333336</v>
      </c>
      <c r="BN181" s="64">
        <f t="shared" si="12"/>
        <v>5.55</v>
      </c>
      <c r="BO181" s="64">
        <f t="shared" si="13"/>
        <v>1.3227513227513227E-2</v>
      </c>
      <c r="BP181" s="64">
        <f t="shared" si="14"/>
        <v>1.488095238095238E-2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9">
        <v>4680115887503</v>
      </c>
      <c r="E182" s="640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5"/>
      <c r="R182" s="635"/>
      <c r="S182" s="635"/>
      <c r="T182" s="636"/>
      <c r="U182" s="34"/>
      <c r="V182" s="34"/>
      <c r="W182" s="35" t="s">
        <v>67</v>
      </c>
      <c r="X182" s="627">
        <v>13</v>
      </c>
      <c r="Y182" s="628">
        <f t="shared" si="10"/>
        <v>13.44</v>
      </c>
      <c r="Z182" s="36">
        <f>IFERROR(IF(Y182=0,"",ROUNDUP(Y182/H182,0)*0.00502),"")</f>
        <v>4.0160000000000001E-2</v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13.773809523809526</v>
      </c>
      <c r="BN182" s="64">
        <f t="shared" si="12"/>
        <v>14.239999999999998</v>
      </c>
      <c r="BO182" s="64">
        <f t="shared" si="13"/>
        <v>3.3068783068783074E-2</v>
      </c>
      <c r="BP182" s="64">
        <f t="shared" si="14"/>
        <v>3.4188034188034191E-2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4301031389</v>
      </c>
      <c r="D183" s="639">
        <v>4680115887763</v>
      </c>
      <c r="E183" s="640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5"/>
      <c r="R183" s="635"/>
      <c r="S183" s="635"/>
      <c r="T183" s="636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hidden="1" customHeight="1" x14ac:dyDescent="0.25">
      <c r="A184" s="54" t="s">
        <v>316</v>
      </c>
      <c r="B184" s="54" t="s">
        <v>319</v>
      </c>
      <c r="C184" s="31">
        <v>4301031510</v>
      </c>
      <c r="D184" s="639">
        <v>4680115887763</v>
      </c>
      <c r="E184" s="640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5"/>
      <c r="R184" s="635"/>
      <c r="S184" s="635"/>
      <c r="T184" s="636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9">
        <v>4680115887480</v>
      </c>
      <c r="E185" s="640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5"/>
      <c r="R185" s="635"/>
      <c r="S185" s="635"/>
      <c r="T185" s="636"/>
      <c r="U185" s="34"/>
      <c r="V185" s="34"/>
      <c r="W185" s="35" t="s">
        <v>67</v>
      </c>
      <c r="X185" s="627">
        <v>5</v>
      </c>
      <c r="Y185" s="628">
        <f t="shared" si="10"/>
        <v>5.04</v>
      </c>
      <c r="Z185" s="36">
        <f>IFERROR(IF(Y185=0,"",ROUNDUP(Y185/H185,0)*0.00502),"")</f>
        <v>1.506E-2</v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5.2976190476190483</v>
      </c>
      <c r="BN185" s="64">
        <f t="shared" si="12"/>
        <v>5.34</v>
      </c>
      <c r="BO185" s="64">
        <f t="shared" si="13"/>
        <v>1.2718762718762721E-2</v>
      </c>
      <c r="BP185" s="64">
        <f t="shared" si="14"/>
        <v>1.2820512820512822E-2</v>
      </c>
    </row>
    <row r="186" spans="1:68" ht="27" customHeight="1" x14ac:dyDescent="0.25">
      <c r="A186" s="54" t="s">
        <v>322</v>
      </c>
      <c r="B186" s="54" t="s">
        <v>323</v>
      </c>
      <c r="C186" s="31">
        <v>4301031434</v>
      </c>
      <c r="D186" s="639">
        <v>4680115888067</v>
      </c>
      <c r="E186" s="640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5"/>
      <c r="R186" s="635"/>
      <c r="S186" s="635"/>
      <c r="T186" s="636"/>
      <c r="U186" s="34"/>
      <c r="V186" s="34"/>
      <c r="W186" s="35" t="s">
        <v>67</v>
      </c>
      <c r="X186" s="627">
        <v>4</v>
      </c>
      <c r="Y186" s="628">
        <f t="shared" si="10"/>
        <v>4.5</v>
      </c>
      <c r="Z186" s="36">
        <f>IFERROR(IF(Y186=0,"",ROUNDUP(Y186/H186,0)*0.00417),"")</f>
        <v>2.085E-2</v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4.4444444444444446</v>
      </c>
      <c r="BN186" s="64">
        <f t="shared" si="12"/>
        <v>5</v>
      </c>
      <c r="BO186" s="64">
        <f t="shared" si="13"/>
        <v>1.3227513227513227E-2</v>
      </c>
      <c r="BP186" s="64">
        <f t="shared" si="14"/>
        <v>1.488095238095238E-2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9">
        <v>4680115887435</v>
      </c>
      <c r="E187" s="640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3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5"/>
      <c r="R187" s="635"/>
      <c r="S187" s="635"/>
      <c r="T187" s="636"/>
      <c r="U187" s="34"/>
      <c r="V187" s="34"/>
      <c r="W187" s="35" t="s">
        <v>67</v>
      </c>
      <c r="X187" s="627">
        <v>47</v>
      </c>
      <c r="Y187" s="628">
        <f t="shared" si="10"/>
        <v>47.04</v>
      </c>
      <c r="Z187" s="36">
        <f>IFERROR(IF(Y187=0,"",ROUNDUP(Y187/H187,0)*0.00502),"")</f>
        <v>0.14056000000000002</v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49.797619047619044</v>
      </c>
      <c r="BN187" s="64">
        <f t="shared" si="12"/>
        <v>49.84</v>
      </c>
      <c r="BO187" s="64">
        <f t="shared" si="13"/>
        <v>0.11955636955636957</v>
      </c>
      <c r="BP187" s="64">
        <f t="shared" si="14"/>
        <v>0.11965811965811968</v>
      </c>
    </row>
    <row r="188" spans="1:68" x14ac:dyDescent="0.2">
      <c r="A188" s="631"/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3"/>
      <c r="P188" s="650" t="s">
        <v>72</v>
      </c>
      <c r="Q188" s="651"/>
      <c r="R188" s="651"/>
      <c r="S188" s="651"/>
      <c r="T188" s="651"/>
      <c r="U188" s="651"/>
      <c r="V188" s="652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47.579365079365083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49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0.23748000000000002</v>
      </c>
      <c r="AA188" s="630"/>
      <c r="AB188" s="630"/>
      <c r="AC188" s="630"/>
    </row>
    <row r="189" spans="1:68" x14ac:dyDescent="0.2">
      <c r="A189" s="632"/>
      <c r="B189" s="632"/>
      <c r="C189" s="632"/>
      <c r="D189" s="632"/>
      <c r="E189" s="632"/>
      <c r="F189" s="632"/>
      <c r="G189" s="632"/>
      <c r="H189" s="632"/>
      <c r="I189" s="632"/>
      <c r="J189" s="632"/>
      <c r="K189" s="632"/>
      <c r="L189" s="632"/>
      <c r="M189" s="632"/>
      <c r="N189" s="632"/>
      <c r="O189" s="633"/>
      <c r="P189" s="650" t="s">
        <v>72</v>
      </c>
      <c r="Q189" s="651"/>
      <c r="R189" s="651"/>
      <c r="S189" s="651"/>
      <c r="T189" s="651"/>
      <c r="U189" s="651"/>
      <c r="V189" s="652"/>
      <c r="W189" s="37" t="s">
        <v>67</v>
      </c>
      <c r="X189" s="629">
        <f>IFERROR(SUM(X177:X187),"0")</f>
        <v>73</v>
      </c>
      <c r="Y189" s="629">
        <f>IFERROR(SUM(Y177:Y187),"0")</f>
        <v>74.52</v>
      </c>
      <c r="Z189" s="37"/>
      <c r="AA189" s="630"/>
      <c r="AB189" s="630"/>
      <c r="AC189" s="630"/>
    </row>
    <row r="190" spans="1:68" ht="14.25" hidden="1" customHeight="1" x14ac:dyDescent="0.25">
      <c r="A190" s="654" t="s">
        <v>74</v>
      </c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2"/>
      <c r="P190" s="632"/>
      <c r="Q190" s="632"/>
      <c r="R190" s="632"/>
      <c r="S190" s="632"/>
      <c r="T190" s="632"/>
      <c r="U190" s="632"/>
      <c r="V190" s="632"/>
      <c r="W190" s="632"/>
      <c r="X190" s="632"/>
      <c r="Y190" s="632"/>
      <c r="Z190" s="632"/>
      <c r="AA190" s="623"/>
      <c r="AB190" s="623"/>
      <c r="AC190" s="623"/>
    </row>
    <row r="191" spans="1:68" ht="16.5" hidden="1" customHeight="1" x14ac:dyDescent="0.25">
      <c r="A191" s="54" t="s">
        <v>327</v>
      </c>
      <c r="B191" s="54" t="s">
        <v>328</v>
      </c>
      <c r="C191" s="31">
        <v>4301052193</v>
      </c>
      <c r="D191" s="639">
        <v>4680115888395</v>
      </c>
      <c r="E191" s="640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3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5"/>
      <c r="R191" s="635"/>
      <c r="S191" s="635"/>
      <c r="T191" s="636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330</v>
      </c>
      <c r="B192" s="54" t="s">
        <v>331</v>
      </c>
      <c r="C192" s="31">
        <v>4301052191</v>
      </c>
      <c r="D192" s="639">
        <v>4680115888371</v>
      </c>
      <c r="E192" s="640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4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5"/>
      <c r="R192" s="635"/>
      <c r="S192" s="635"/>
      <c r="T192" s="636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333</v>
      </c>
      <c r="B193" s="54" t="s">
        <v>334</v>
      </c>
      <c r="C193" s="31">
        <v>4301052064</v>
      </c>
      <c r="D193" s="639">
        <v>4680115887459</v>
      </c>
      <c r="E193" s="640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5"/>
      <c r="R193" s="635"/>
      <c r="S193" s="635"/>
      <c r="T193" s="636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50" t="s">
        <v>72</v>
      </c>
      <c r="Q194" s="651"/>
      <c r="R194" s="651"/>
      <c r="S194" s="651"/>
      <c r="T194" s="651"/>
      <c r="U194" s="651"/>
      <c r="V194" s="652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50" t="s">
        <v>72</v>
      </c>
      <c r="Q195" s="651"/>
      <c r="R195" s="651"/>
      <c r="S195" s="651"/>
      <c r="T195" s="651"/>
      <c r="U195" s="651"/>
      <c r="V195" s="652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hidden="1" customHeight="1" x14ac:dyDescent="0.25">
      <c r="A196" s="654" t="s">
        <v>92</v>
      </c>
      <c r="B196" s="632"/>
      <c r="C196" s="632"/>
      <c r="D196" s="632"/>
      <c r="E196" s="632"/>
      <c r="F196" s="632"/>
      <c r="G196" s="632"/>
      <c r="H196" s="632"/>
      <c r="I196" s="632"/>
      <c r="J196" s="632"/>
      <c r="K196" s="632"/>
      <c r="L196" s="632"/>
      <c r="M196" s="632"/>
      <c r="N196" s="632"/>
      <c r="O196" s="632"/>
      <c r="P196" s="632"/>
      <c r="Q196" s="632"/>
      <c r="R196" s="632"/>
      <c r="S196" s="632"/>
      <c r="T196" s="632"/>
      <c r="U196" s="632"/>
      <c r="V196" s="632"/>
      <c r="W196" s="632"/>
      <c r="X196" s="632"/>
      <c r="Y196" s="632"/>
      <c r="Z196" s="632"/>
      <c r="AA196" s="623"/>
      <c r="AB196" s="623"/>
      <c r="AC196" s="623"/>
    </row>
    <row r="197" spans="1:68" ht="16.5" hidden="1" customHeight="1" x14ac:dyDescent="0.25">
      <c r="A197" s="54" t="s">
        <v>336</v>
      </c>
      <c r="B197" s="54" t="s">
        <v>337</v>
      </c>
      <c r="C197" s="31">
        <v>4301032058</v>
      </c>
      <c r="D197" s="639">
        <v>4680115889026</v>
      </c>
      <c r="E197" s="640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5"/>
      <c r="R197" s="635"/>
      <c r="S197" s="635"/>
      <c r="T197" s="636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340</v>
      </c>
      <c r="B198" s="54" t="s">
        <v>341</v>
      </c>
      <c r="C198" s="31">
        <v>4301032057</v>
      </c>
      <c r="D198" s="639">
        <v>4680115889088</v>
      </c>
      <c r="E198" s="640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30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5"/>
      <c r="R198" s="635"/>
      <c r="S198" s="635"/>
      <c r="T198" s="636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31"/>
      <c r="B199" s="632"/>
      <c r="C199" s="632"/>
      <c r="D199" s="632"/>
      <c r="E199" s="632"/>
      <c r="F199" s="632"/>
      <c r="G199" s="632"/>
      <c r="H199" s="632"/>
      <c r="I199" s="632"/>
      <c r="J199" s="632"/>
      <c r="K199" s="632"/>
      <c r="L199" s="632"/>
      <c r="M199" s="632"/>
      <c r="N199" s="632"/>
      <c r="O199" s="633"/>
      <c r="P199" s="650" t="s">
        <v>72</v>
      </c>
      <c r="Q199" s="651"/>
      <c r="R199" s="651"/>
      <c r="S199" s="651"/>
      <c r="T199" s="651"/>
      <c r="U199" s="651"/>
      <c r="V199" s="652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hidden="1" x14ac:dyDescent="0.2">
      <c r="A200" s="632"/>
      <c r="B200" s="632"/>
      <c r="C200" s="632"/>
      <c r="D200" s="632"/>
      <c r="E200" s="632"/>
      <c r="F200" s="632"/>
      <c r="G200" s="632"/>
      <c r="H200" s="632"/>
      <c r="I200" s="632"/>
      <c r="J200" s="632"/>
      <c r="K200" s="632"/>
      <c r="L200" s="632"/>
      <c r="M200" s="632"/>
      <c r="N200" s="632"/>
      <c r="O200" s="633"/>
      <c r="P200" s="650" t="s">
        <v>72</v>
      </c>
      <c r="Q200" s="651"/>
      <c r="R200" s="651"/>
      <c r="S200" s="651"/>
      <c r="T200" s="651"/>
      <c r="U200" s="651"/>
      <c r="V200" s="652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hidden="1" customHeight="1" x14ac:dyDescent="0.25">
      <c r="A201" s="654" t="s">
        <v>343</v>
      </c>
      <c r="B201" s="632"/>
      <c r="C201" s="632"/>
      <c r="D201" s="632"/>
      <c r="E201" s="632"/>
      <c r="F201" s="632"/>
      <c r="G201" s="632"/>
      <c r="H201" s="632"/>
      <c r="I201" s="632"/>
      <c r="J201" s="632"/>
      <c r="K201" s="632"/>
      <c r="L201" s="632"/>
      <c r="M201" s="632"/>
      <c r="N201" s="632"/>
      <c r="O201" s="632"/>
      <c r="P201" s="632"/>
      <c r="Q201" s="632"/>
      <c r="R201" s="632"/>
      <c r="S201" s="632"/>
      <c r="T201" s="632"/>
      <c r="U201" s="632"/>
      <c r="V201" s="632"/>
      <c r="W201" s="632"/>
      <c r="X201" s="632"/>
      <c r="Y201" s="632"/>
      <c r="Z201" s="632"/>
      <c r="AA201" s="623"/>
      <c r="AB201" s="623"/>
      <c r="AC201" s="623"/>
    </row>
    <row r="202" spans="1:68" ht="27" hidden="1" customHeight="1" x14ac:dyDescent="0.25">
      <c r="A202" s="54" t="s">
        <v>344</v>
      </c>
      <c r="B202" s="54" t="s">
        <v>345</v>
      </c>
      <c r="C202" s="31">
        <v>4301041009</v>
      </c>
      <c r="D202" s="639">
        <v>4680115889033</v>
      </c>
      <c r="E202" s="640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5"/>
      <c r="R202" s="635"/>
      <c r="S202" s="635"/>
      <c r="T202" s="636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hidden="1" x14ac:dyDescent="0.2">
      <c r="A203" s="631"/>
      <c r="B203" s="632"/>
      <c r="C203" s="632"/>
      <c r="D203" s="632"/>
      <c r="E203" s="632"/>
      <c r="F203" s="632"/>
      <c r="G203" s="632"/>
      <c r="H203" s="632"/>
      <c r="I203" s="632"/>
      <c r="J203" s="632"/>
      <c r="K203" s="632"/>
      <c r="L203" s="632"/>
      <c r="M203" s="632"/>
      <c r="N203" s="632"/>
      <c r="O203" s="633"/>
      <c r="P203" s="650" t="s">
        <v>72</v>
      </c>
      <c r="Q203" s="651"/>
      <c r="R203" s="651"/>
      <c r="S203" s="651"/>
      <c r="T203" s="651"/>
      <c r="U203" s="651"/>
      <c r="V203" s="652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hidden="1" x14ac:dyDescent="0.2">
      <c r="A204" s="632"/>
      <c r="B204" s="632"/>
      <c r="C204" s="632"/>
      <c r="D204" s="632"/>
      <c r="E204" s="632"/>
      <c r="F204" s="632"/>
      <c r="G204" s="632"/>
      <c r="H204" s="632"/>
      <c r="I204" s="632"/>
      <c r="J204" s="632"/>
      <c r="K204" s="632"/>
      <c r="L204" s="632"/>
      <c r="M204" s="632"/>
      <c r="N204" s="632"/>
      <c r="O204" s="633"/>
      <c r="P204" s="650" t="s">
        <v>72</v>
      </c>
      <c r="Q204" s="651"/>
      <c r="R204" s="651"/>
      <c r="S204" s="651"/>
      <c r="T204" s="651"/>
      <c r="U204" s="651"/>
      <c r="V204" s="652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hidden="1" customHeight="1" x14ac:dyDescent="0.2">
      <c r="A205" s="660" t="s">
        <v>347</v>
      </c>
      <c r="B205" s="661"/>
      <c r="C205" s="661"/>
      <c r="D205" s="661"/>
      <c r="E205" s="661"/>
      <c r="F205" s="661"/>
      <c r="G205" s="661"/>
      <c r="H205" s="661"/>
      <c r="I205" s="661"/>
      <c r="J205" s="661"/>
      <c r="K205" s="661"/>
      <c r="L205" s="661"/>
      <c r="M205" s="661"/>
      <c r="N205" s="661"/>
      <c r="O205" s="661"/>
      <c r="P205" s="661"/>
      <c r="Q205" s="661"/>
      <c r="R205" s="661"/>
      <c r="S205" s="661"/>
      <c r="T205" s="661"/>
      <c r="U205" s="661"/>
      <c r="V205" s="661"/>
      <c r="W205" s="661"/>
      <c r="X205" s="661"/>
      <c r="Y205" s="661"/>
      <c r="Z205" s="661"/>
      <c r="AA205" s="48"/>
      <c r="AB205" s="48"/>
      <c r="AC205" s="48"/>
    </row>
    <row r="206" spans="1:68" ht="16.5" hidden="1" customHeight="1" x14ac:dyDescent="0.25">
      <c r="A206" s="657" t="s">
        <v>348</v>
      </c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2"/>
      <c r="P206" s="632"/>
      <c r="Q206" s="632"/>
      <c r="R206" s="632"/>
      <c r="S206" s="632"/>
      <c r="T206" s="632"/>
      <c r="U206" s="632"/>
      <c r="V206" s="632"/>
      <c r="W206" s="632"/>
      <c r="X206" s="632"/>
      <c r="Y206" s="632"/>
      <c r="Z206" s="632"/>
      <c r="AA206" s="622"/>
      <c r="AB206" s="622"/>
      <c r="AC206" s="622"/>
    </row>
    <row r="207" spans="1:68" ht="14.25" hidden="1" customHeight="1" x14ac:dyDescent="0.25">
      <c r="A207" s="654" t="s">
        <v>117</v>
      </c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2"/>
      <c r="P207" s="632"/>
      <c r="Q207" s="632"/>
      <c r="R207" s="632"/>
      <c r="S207" s="632"/>
      <c r="T207" s="632"/>
      <c r="U207" s="632"/>
      <c r="V207" s="632"/>
      <c r="W207" s="632"/>
      <c r="X207" s="632"/>
      <c r="Y207" s="632"/>
      <c r="Z207" s="632"/>
      <c r="AA207" s="623"/>
      <c r="AB207" s="623"/>
      <c r="AC207" s="623"/>
    </row>
    <row r="208" spans="1:68" ht="27" hidden="1" customHeight="1" x14ac:dyDescent="0.25">
      <c r="A208" s="54" t="s">
        <v>349</v>
      </c>
      <c r="B208" s="54" t="s">
        <v>350</v>
      </c>
      <c r="C208" s="31">
        <v>4301011223</v>
      </c>
      <c r="D208" s="639">
        <v>4607091383423</v>
      </c>
      <c r="E208" s="640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67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5"/>
      <c r="R208" s="635"/>
      <c r="S208" s="635"/>
      <c r="T208" s="636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4301012340</v>
      </c>
      <c r="D209" s="639">
        <v>4680115888760</v>
      </c>
      <c r="E209" s="640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5"/>
      <c r="R209" s="635"/>
      <c r="S209" s="635"/>
      <c r="T209" s="636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hidden="1" customHeight="1" x14ac:dyDescent="0.25">
      <c r="A210" s="54" t="s">
        <v>354</v>
      </c>
      <c r="B210" s="54" t="s">
        <v>355</v>
      </c>
      <c r="C210" s="31">
        <v>4301012341</v>
      </c>
      <c r="D210" s="639">
        <v>4680115888807</v>
      </c>
      <c r="E210" s="640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5"/>
      <c r="R210" s="635"/>
      <c r="S210" s="635"/>
      <c r="T210" s="636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hidden="1" customHeight="1" x14ac:dyDescent="0.25">
      <c r="A211" s="54" t="s">
        <v>357</v>
      </c>
      <c r="B211" s="54" t="s">
        <v>358</v>
      </c>
      <c r="C211" s="31">
        <v>4301012342</v>
      </c>
      <c r="D211" s="639">
        <v>4680115888852</v>
      </c>
      <c r="E211" s="640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1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5"/>
      <c r="R211" s="635"/>
      <c r="S211" s="635"/>
      <c r="T211" s="636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hidden="1" customHeight="1" x14ac:dyDescent="0.25">
      <c r="A212" s="54" t="s">
        <v>360</v>
      </c>
      <c r="B212" s="54" t="s">
        <v>361</v>
      </c>
      <c r="C212" s="31">
        <v>4301012370</v>
      </c>
      <c r="D212" s="639">
        <v>4680115886957</v>
      </c>
      <c r="E212" s="640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0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5"/>
      <c r="R212" s="635"/>
      <c r="S212" s="635"/>
      <c r="T212" s="636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hidden="1" customHeight="1" x14ac:dyDescent="0.25">
      <c r="A213" s="54" t="s">
        <v>363</v>
      </c>
      <c r="B213" s="54" t="s">
        <v>364</v>
      </c>
      <c r="C213" s="31">
        <v>4301012098</v>
      </c>
      <c r="D213" s="639">
        <v>4680115885660</v>
      </c>
      <c r="E213" s="640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6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5"/>
      <c r="R213" s="635"/>
      <c r="S213" s="635"/>
      <c r="T213" s="636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hidden="1" customHeight="1" x14ac:dyDescent="0.25">
      <c r="A214" s="54" t="s">
        <v>366</v>
      </c>
      <c r="B214" s="54" t="s">
        <v>367</v>
      </c>
      <c r="C214" s="31">
        <v>4301012369</v>
      </c>
      <c r="D214" s="639">
        <v>4680115886773</v>
      </c>
      <c r="E214" s="640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8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5"/>
      <c r="R214" s="635"/>
      <c r="S214" s="635"/>
      <c r="T214" s="636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hidden="1" x14ac:dyDescent="0.2">
      <c r="A215" s="631"/>
      <c r="B215" s="632"/>
      <c r="C215" s="632"/>
      <c r="D215" s="632"/>
      <c r="E215" s="632"/>
      <c r="F215" s="632"/>
      <c r="G215" s="632"/>
      <c r="H215" s="632"/>
      <c r="I215" s="632"/>
      <c r="J215" s="632"/>
      <c r="K215" s="632"/>
      <c r="L215" s="632"/>
      <c r="M215" s="632"/>
      <c r="N215" s="632"/>
      <c r="O215" s="633"/>
      <c r="P215" s="650" t="s">
        <v>72</v>
      </c>
      <c r="Q215" s="651"/>
      <c r="R215" s="651"/>
      <c r="S215" s="651"/>
      <c r="T215" s="651"/>
      <c r="U215" s="651"/>
      <c r="V215" s="652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hidden="1" x14ac:dyDescent="0.2">
      <c r="A216" s="632"/>
      <c r="B216" s="632"/>
      <c r="C216" s="632"/>
      <c r="D216" s="632"/>
      <c r="E216" s="632"/>
      <c r="F216" s="632"/>
      <c r="G216" s="632"/>
      <c r="H216" s="632"/>
      <c r="I216" s="632"/>
      <c r="J216" s="632"/>
      <c r="K216" s="632"/>
      <c r="L216" s="632"/>
      <c r="M216" s="632"/>
      <c r="N216" s="632"/>
      <c r="O216" s="633"/>
      <c r="P216" s="650" t="s">
        <v>72</v>
      </c>
      <c r="Q216" s="651"/>
      <c r="R216" s="651"/>
      <c r="S216" s="651"/>
      <c r="T216" s="651"/>
      <c r="U216" s="651"/>
      <c r="V216" s="652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hidden="1" customHeight="1" x14ac:dyDescent="0.25">
      <c r="A217" s="657" t="s">
        <v>369</v>
      </c>
      <c r="B217" s="632"/>
      <c r="C217" s="632"/>
      <c r="D217" s="632"/>
      <c r="E217" s="632"/>
      <c r="F217" s="632"/>
      <c r="G217" s="632"/>
      <c r="H217" s="632"/>
      <c r="I217" s="632"/>
      <c r="J217" s="632"/>
      <c r="K217" s="632"/>
      <c r="L217" s="632"/>
      <c r="M217" s="632"/>
      <c r="N217" s="632"/>
      <c r="O217" s="632"/>
      <c r="P217" s="632"/>
      <c r="Q217" s="632"/>
      <c r="R217" s="632"/>
      <c r="S217" s="632"/>
      <c r="T217" s="632"/>
      <c r="U217" s="632"/>
      <c r="V217" s="632"/>
      <c r="W217" s="632"/>
      <c r="X217" s="632"/>
      <c r="Y217" s="632"/>
      <c r="Z217" s="632"/>
      <c r="AA217" s="622"/>
      <c r="AB217" s="622"/>
      <c r="AC217" s="622"/>
    </row>
    <row r="218" spans="1:68" ht="14.25" hidden="1" customHeight="1" x14ac:dyDescent="0.25">
      <c r="A218" s="654" t="s">
        <v>153</v>
      </c>
      <c r="B218" s="632"/>
      <c r="C218" s="632"/>
      <c r="D218" s="632"/>
      <c r="E218" s="632"/>
      <c r="F218" s="632"/>
      <c r="G218" s="632"/>
      <c r="H218" s="632"/>
      <c r="I218" s="632"/>
      <c r="J218" s="632"/>
      <c r="K218" s="632"/>
      <c r="L218" s="632"/>
      <c r="M218" s="632"/>
      <c r="N218" s="632"/>
      <c r="O218" s="632"/>
      <c r="P218" s="632"/>
      <c r="Q218" s="632"/>
      <c r="R218" s="632"/>
      <c r="S218" s="632"/>
      <c r="T218" s="632"/>
      <c r="U218" s="632"/>
      <c r="V218" s="632"/>
      <c r="W218" s="632"/>
      <c r="X218" s="632"/>
      <c r="Y218" s="632"/>
      <c r="Z218" s="632"/>
      <c r="AA218" s="623"/>
      <c r="AB218" s="623"/>
      <c r="AC218" s="623"/>
    </row>
    <row r="219" spans="1:68" ht="27" hidden="1" customHeight="1" x14ac:dyDescent="0.25">
      <c r="A219" s="54" t="s">
        <v>370</v>
      </c>
      <c r="B219" s="54" t="s">
        <v>371</v>
      </c>
      <c r="C219" s="31">
        <v>4301020323</v>
      </c>
      <c r="D219" s="639">
        <v>4680115886223</v>
      </c>
      <c r="E219" s="640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5"/>
      <c r="R219" s="635"/>
      <c r="S219" s="635"/>
      <c r="T219" s="636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631"/>
      <c r="B220" s="632"/>
      <c r="C220" s="632"/>
      <c r="D220" s="632"/>
      <c r="E220" s="632"/>
      <c r="F220" s="632"/>
      <c r="G220" s="632"/>
      <c r="H220" s="632"/>
      <c r="I220" s="632"/>
      <c r="J220" s="632"/>
      <c r="K220" s="632"/>
      <c r="L220" s="632"/>
      <c r="M220" s="632"/>
      <c r="N220" s="632"/>
      <c r="O220" s="633"/>
      <c r="P220" s="650" t="s">
        <v>72</v>
      </c>
      <c r="Q220" s="651"/>
      <c r="R220" s="651"/>
      <c r="S220" s="651"/>
      <c r="T220" s="651"/>
      <c r="U220" s="651"/>
      <c r="V220" s="652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hidden="1" x14ac:dyDescent="0.2">
      <c r="A221" s="632"/>
      <c r="B221" s="632"/>
      <c r="C221" s="632"/>
      <c r="D221" s="632"/>
      <c r="E221" s="632"/>
      <c r="F221" s="632"/>
      <c r="G221" s="632"/>
      <c r="H221" s="632"/>
      <c r="I221" s="632"/>
      <c r="J221" s="632"/>
      <c r="K221" s="632"/>
      <c r="L221" s="632"/>
      <c r="M221" s="632"/>
      <c r="N221" s="632"/>
      <c r="O221" s="633"/>
      <c r="P221" s="650" t="s">
        <v>72</v>
      </c>
      <c r="Q221" s="651"/>
      <c r="R221" s="651"/>
      <c r="S221" s="651"/>
      <c r="T221" s="651"/>
      <c r="U221" s="651"/>
      <c r="V221" s="652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hidden="1" customHeight="1" x14ac:dyDescent="0.25">
      <c r="A222" s="654" t="s">
        <v>62</v>
      </c>
      <c r="B222" s="632"/>
      <c r="C222" s="632"/>
      <c r="D222" s="632"/>
      <c r="E222" s="632"/>
      <c r="F222" s="632"/>
      <c r="G222" s="632"/>
      <c r="H222" s="632"/>
      <c r="I222" s="632"/>
      <c r="J222" s="632"/>
      <c r="K222" s="632"/>
      <c r="L222" s="632"/>
      <c r="M222" s="632"/>
      <c r="N222" s="632"/>
      <c r="O222" s="632"/>
      <c r="P222" s="632"/>
      <c r="Q222" s="632"/>
      <c r="R222" s="632"/>
      <c r="S222" s="632"/>
      <c r="T222" s="632"/>
      <c r="U222" s="632"/>
      <c r="V222" s="632"/>
      <c r="W222" s="632"/>
      <c r="X222" s="632"/>
      <c r="Y222" s="632"/>
      <c r="Z222" s="632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9">
        <v>4680115880993</v>
      </c>
      <c r="E223" s="640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5"/>
      <c r="R223" s="635"/>
      <c r="S223" s="635"/>
      <c r="T223" s="636"/>
      <c r="U223" s="34"/>
      <c r="V223" s="34"/>
      <c r="W223" s="35" t="s">
        <v>67</v>
      </c>
      <c r="X223" s="627">
        <v>16</v>
      </c>
      <c r="Y223" s="628">
        <f t="shared" ref="Y223:Y236" si="21">IFERROR(IF(X223="",0,CEILING((X223/$H223),1)*$H223),"")</f>
        <v>16.8</v>
      </c>
      <c r="Z223" s="36">
        <f>IFERROR(IF(Y223=0,"",ROUNDUP(Y223/H223,0)*0.00902),"")</f>
        <v>3.6080000000000001E-2</v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16.952380952380953</v>
      </c>
      <c r="BN223" s="64">
        <f t="shared" ref="BN223:BN236" si="23">IFERROR(Y223*I223/H223,"0")</f>
        <v>17.8</v>
      </c>
      <c r="BO223" s="64">
        <f t="shared" ref="BO223:BO236" si="24">IFERROR(1/J223*(X223/H223),"0")</f>
        <v>2.886002886002886E-2</v>
      </c>
      <c r="BP223" s="64">
        <f t="shared" ref="BP223:BP236" si="25">IFERROR(1/J223*(Y223/H223),"0")</f>
        <v>3.0303030303030304E-2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4301031204</v>
      </c>
      <c r="D224" s="639">
        <v>4680115881761</v>
      </c>
      <c r="E224" s="640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5"/>
      <c r="R224" s="635"/>
      <c r="S224" s="635"/>
      <c r="T224" s="636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hidden="1" customHeight="1" x14ac:dyDescent="0.25">
      <c r="A225" s="54" t="s">
        <v>379</v>
      </c>
      <c r="B225" s="54" t="s">
        <v>380</v>
      </c>
      <c r="C225" s="31">
        <v>4301031201</v>
      </c>
      <c r="D225" s="639">
        <v>4680115881563</v>
      </c>
      <c r="E225" s="640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90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5"/>
      <c r="R225" s="635"/>
      <c r="S225" s="635"/>
      <c r="T225" s="636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hidden="1" customHeight="1" x14ac:dyDescent="0.25">
      <c r="A226" s="54" t="s">
        <v>382</v>
      </c>
      <c r="B226" s="54" t="s">
        <v>383</v>
      </c>
      <c r="C226" s="31">
        <v>4301031447</v>
      </c>
      <c r="D226" s="639">
        <v>4680115887565</v>
      </c>
      <c r="E226" s="640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5"/>
      <c r="R226" s="635"/>
      <c r="S226" s="635"/>
      <c r="T226" s="636"/>
      <c r="U226" s="34"/>
      <c r="V226" s="34"/>
      <c r="W226" s="35" t="s">
        <v>67</v>
      </c>
      <c r="X226" s="627">
        <v>0</v>
      </c>
      <c r="Y226" s="628">
        <f t="shared" si="21"/>
        <v>0</v>
      </c>
      <c r="Z226" s="36" t="str">
        <f>IFERROR(IF(Y226=0,"",ROUNDUP(Y226/H226,0)*0.00556),"")</f>
        <v/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4301031199</v>
      </c>
      <c r="D227" s="639">
        <v>4680115880986</v>
      </c>
      <c r="E227" s="640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5"/>
      <c r="R227" s="635"/>
      <c r="S227" s="635"/>
      <c r="T227" s="636"/>
      <c r="U227" s="34"/>
      <c r="V227" s="34"/>
      <c r="W227" s="35" t="s">
        <v>67</v>
      </c>
      <c r="X227" s="627">
        <v>0</v>
      </c>
      <c r="Y227" s="628">
        <f t="shared" si="21"/>
        <v>0</v>
      </c>
      <c r="Z227" s="36" t="str">
        <f t="shared" ref="Z227:Z232" si="26">IFERROR(IF(Y227=0,"",ROUNDUP(Y227/H227,0)*0.00502),"")</f>
        <v/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4301031443</v>
      </c>
      <c r="D228" s="639">
        <v>4680115887213</v>
      </c>
      <c r="E228" s="640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5"/>
      <c r="R228" s="635"/>
      <c r="S228" s="635"/>
      <c r="T228" s="636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4301031205</v>
      </c>
      <c r="D229" s="639">
        <v>4680115881785</v>
      </c>
      <c r="E229" s="640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5"/>
      <c r="R229" s="635"/>
      <c r="S229" s="635"/>
      <c r="T229" s="636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4301031499</v>
      </c>
      <c r="D230" s="639">
        <v>4680115888432</v>
      </c>
      <c r="E230" s="640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5"/>
      <c r="R230" s="635"/>
      <c r="S230" s="635"/>
      <c r="T230" s="636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395</v>
      </c>
      <c r="B231" s="54" t="s">
        <v>396</v>
      </c>
      <c r="C231" s="31">
        <v>4301031427</v>
      </c>
      <c r="D231" s="639">
        <v>4680115888104</v>
      </c>
      <c r="E231" s="640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5"/>
      <c r="R231" s="635"/>
      <c r="S231" s="635"/>
      <c r="T231" s="636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9">
        <v>4680115886537</v>
      </c>
      <c r="E232" s="640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5"/>
      <c r="R232" s="635"/>
      <c r="S232" s="635"/>
      <c r="T232" s="636"/>
      <c r="U232" s="34"/>
      <c r="V232" s="34"/>
      <c r="W232" s="35" t="s">
        <v>67</v>
      </c>
      <c r="X232" s="627">
        <v>6</v>
      </c>
      <c r="Y232" s="628">
        <f t="shared" si="21"/>
        <v>7.2</v>
      </c>
      <c r="Z232" s="36">
        <f t="shared" si="26"/>
        <v>2.0080000000000001E-2</v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6.4333333333333336</v>
      </c>
      <c r="BN232" s="64">
        <f t="shared" si="23"/>
        <v>7.7199999999999989</v>
      </c>
      <c r="BO232" s="64">
        <f t="shared" si="24"/>
        <v>1.4245014245014245E-2</v>
      </c>
      <c r="BP232" s="64">
        <f t="shared" si="25"/>
        <v>1.7094017094017096E-2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4301031279</v>
      </c>
      <c r="D233" s="639">
        <v>4680115887596</v>
      </c>
      <c r="E233" s="640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5"/>
      <c r="R233" s="635"/>
      <c r="S233" s="635"/>
      <c r="T233" s="636"/>
      <c r="U233" s="34"/>
      <c r="V233" s="34"/>
      <c r="W233" s="35" t="s">
        <v>67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9">
        <v>4680115881679</v>
      </c>
      <c r="E234" s="640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9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5"/>
      <c r="R234" s="635"/>
      <c r="S234" s="635"/>
      <c r="T234" s="636"/>
      <c r="U234" s="34"/>
      <c r="V234" s="34"/>
      <c r="W234" s="35" t="s">
        <v>67</v>
      </c>
      <c r="X234" s="627">
        <v>25</v>
      </c>
      <c r="Y234" s="628">
        <f t="shared" si="21"/>
        <v>25.200000000000003</v>
      </c>
      <c r="Z234" s="36">
        <f>IFERROR(IF(Y234=0,"",ROUNDUP(Y234/H234,0)*0.00502),"")</f>
        <v>6.0240000000000002E-2</v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26.190476190476193</v>
      </c>
      <c r="BN234" s="64">
        <f t="shared" si="23"/>
        <v>26.400000000000006</v>
      </c>
      <c r="BO234" s="64">
        <f t="shared" si="24"/>
        <v>5.0875050875050884E-2</v>
      </c>
      <c r="BP234" s="64">
        <f t="shared" si="25"/>
        <v>5.1282051282051287E-2</v>
      </c>
    </row>
    <row r="235" spans="1:68" ht="27" hidden="1" customHeight="1" x14ac:dyDescent="0.25">
      <c r="A235" s="54" t="s">
        <v>406</v>
      </c>
      <c r="B235" s="54" t="s">
        <v>407</v>
      </c>
      <c r="C235" s="31">
        <v>4301031158</v>
      </c>
      <c r="D235" s="639">
        <v>4680115880191</v>
      </c>
      <c r="E235" s="640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5"/>
      <c r="R235" s="635"/>
      <c r="S235" s="635"/>
      <c r="T235" s="636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408</v>
      </c>
      <c r="B236" s="54" t="s">
        <v>409</v>
      </c>
      <c r="C236" s="31">
        <v>4301031245</v>
      </c>
      <c r="D236" s="639">
        <v>4680115883963</v>
      </c>
      <c r="E236" s="640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5"/>
      <c r="R236" s="635"/>
      <c r="S236" s="635"/>
      <c r="T236" s="636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31"/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3"/>
      <c r="P237" s="650" t="s">
        <v>72</v>
      </c>
      <c r="Q237" s="651"/>
      <c r="R237" s="651"/>
      <c r="S237" s="651"/>
      <c r="T237" s="651"/>
      <c r="U237" s="651"/>
      <c r="V237" s="652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19.047619047619047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20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0.1164</v>
      </c>
      <c r="AA237" s="630"/>
      <c r="AB237" s="630"/>
      <c r="AC237" s="630"/>
    </row>
    <row r="238" spans="1:68" x14ac:dyDescent="0.2">
      <c r="A238" s="632"/>
      <c r="B238" s="632"/>
      <c r="C238" s="632"/>
      <c r="D238" s="632"/>
      <c r="E238" s="632"/>
      <c r="F238" s="632"/>
      <c r="G238" s="632"/>
      <c r="H238" s="632"/>
      <c r="I238" s="632"/>
      <c r="J238" s="632"/>
      <c r="K238" s="632"/>
      <c r="L238" s="632"/>
      <c r="M238" s="632"/>
      <c r="N238" s="632"/>
      <c r="O238" s="633"/>
      <c r="P238" s="650" t="s">
        <v>72</v>
      </c>
      <c r="Q238" s="651"/>
      <c r="R238" s="651"/>
      <c r="S238" s="651"/>
      <c r="T238" s="651"/>
      <c r="U238" s="651"/>
      <c r="V238" s="652"/>
      <c r="W238" s="37" t="s">
        <v>67</v>
      </c>
      <c r="X238" s="629">
        <f>IFERROR(SUM(X223:X236),"0")</f>
        <v>47</v>
      </c>
      <c r="Y238" s="629">
        <f>IFERROR(SUM(Y223:Y236),"0")</f>
        <v>49.2</v>
      </c>
      <c r="Z238" s="37"/>
      <c r="AA238" s="630"/>
      <c r="AB238" s="630"/>
      <c r="AC238" s="630"/>
    </row>
    <row r="239" spans="1:68" ht="14.25" hidden="1" customHeight="1" x14ac:dyDescent="0.25">
      <c r="A239" s="654" t="s">
        <v>74</v>
      </c>
      <c r="B239" s="632"/>
      <c r="C239" s="632"/>
      <c r="D239" s="632"/>
      <c r="E239" s="632"/>
      <c r="F239" s="632"/>
      <c r="G239" s="632"/>
      <c r="H239" s="632"/>
      <c r="I239" s="632"/>
      <c r="J239" s="632"/>
      <c r="K239" s="632"/>
      <c r="L239" s="632"/>
      <c r="M239" s="632"/>
      <c r="N239" s="632"/>
      <c r="O239" s="632"/>
      <c r="P239" s="632"/>
      <c r="Q239" s="632"/>
      <c r="R239" s="632"/>
      <c r="S239" s="632"/>
      <c r="T239" s="632"/>
      <c r="U239" s="632"/>
      <c r="V239" s="632"/>
      <c r="W239" s="632"/>
      <c r="X239" s="632"/>
      <c r="Y239" s="632"/>
      <c r="Z239" s="632"/>
      <c r="AA239" s="623"/>
      <c r="AB239" s="623"/>
      <c r="AC239" s="623"/>
    </row>
    <row r="240" spans="1:68" ht="16.5" hidden="1" customHeight="1" x14ac:dyDescent="0.25">
      <c r="A240" s="54" t="s">
        <v>411</v>
      </c>
      <c r="B240" s="54" t="s">
        <v>412</v>
      </c>
      <c r="C240" s="31">
        <v>4301052209</v>
      </c>
      <c r="D240" s="639">
        <v>4680115888692</v>
      </c>
      <c r="E240" s="640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5"/>
      <c r="R240" s="635"/>
      <c r="S240" s="635"/>
      <c r="T240" s="636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414</v>
      </c>
      <c r="B241" s="54" t="s">
        <v>415</v>
      </c>
      <c r="C241" s="31">
        <v>4301052213</v>
      </c>
      <c r="D241" s="639">
        <v>4680115888722</v>
      </c>
      <c r="E241" s="640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5"/>
      <c r="R241" s="635"/>
      <c r="S241" s="635"/>
      <c r="T241" s="636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417</v>
      </c>
      <c r="B242" s="54" t="s">
        <v>418</v>
      </c>
      <c r="C242" s="31">
        <v>4301052177</v>
      </c>
      <c r="D242" s="639">
        <v>4680115888951</v>
      </c>
      <c r="E242" s="640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5"/>
      <c r="R242" s="635"/>
      <c r="S242" s="635"/>
      <c r="T242" s="636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hidden="1" customHeight="1" x14ac:dyDescent="0.25">
      <c r="A243" s="54" t="s">
        <v>420</v>
      </c>
      <c r="B243" s="54" t="s">
        <v>421</v>
      </c>
      <c r="C243" s="31">
        <v>4301052178</v>
      </c>
      <c r="D243" s="639">
        <v>4680115888975</v>
      </c>
      <c r="E243" s="640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5"/>
      <c r="R243" s="635"/>
      <c r="S243" s="635"/>
      <c r="T243" s="636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423</v>
      </c>
      <c r="B244" s="54" t="s">
        <v>424</v>
      </c>
      <c r="C244" s="31">
        <v>4301052176</v>
      </c>
      <c r="D244" s="639">
        <v>4680115888982</v>
      </c>
      <c r="E244" s="640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4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5"/>
      <c r="R244" s="635"/>
      <c r="S244" s="635"/>
      <c r="T244" s="636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50" t="s">
        <v>72</v>
      </c>
      <c r="Q245" s="651"/>
      <c r="R245" s="651"/>
      <c r="S245" s="651"/>
      <c r="T245" s="651"/>
      <c r="U245" s="651"/>
      <c r="V245" s="652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hidden="1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50" t="s">
        <v>72</v>
      </c>
      <c r="Q246" s="651"/>
      <c r="R246" s="651"/>
      <c r="S246" s="651"/>
      <c r="T246" s="651"/>
      <c r="U246" s="651"/>
      <c r="V246" s="652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hidden="1" customHeight="1" x14ac:dyDescent="0.25">
      <c r="A247" s="654" t="s">
        <v>92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23"/>
      <c r="AB247" s="623"/>
      <c r="AC247" s="623"/>
    </row>
    <row r="248" spans="1:68" ht="27" hidden="1" customHeight="1" x14ac:dyDescent="0.25">
      <c r="A248" s="54" t="s">
        <v>425</v>
      </c>
      <c r="B248" s="54" t="s">
        <v>426</v>
      </c>
      <c r="C248" s="31">
        <v>4301032053</v>
      </c>
      <c r="D248" s="639">
        <v>4680115886780</v>
      </c>
      <c r="E248" s="640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5"/>
      <c r="R248" s="635"/>
      <c r="S248" s="635"/>
      <c r="T248" s="636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428</v>
      </c>
      <c r="B249" s="54" t="s">
        <v>429</v>
      </c>
      <c r="C249" s="31">
        <v>4301032051</v>
      </c>
      <c r="D249" s="639">
        <v>4680115886742</v>
      </c>
      <c r="E249" s="640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5"/>
      <c r="R249" s="635"/>
      <c r="S249" s="635"/>
      <c r="T249" s="636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431</v>
      </c>
      <c r="B250" s="54" t="s">
        <v>432</v>
      </c>
      <c r="C250" s="31">
        <v>4301032052</v>
      </c>
      <c r="D250" s="639">
        <v>4680115886766</v>
      </c>
      <c r="E250" s="640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5"/>
      <c r="R250" s="635"/>
      <c r="S250" s="635"/>
      <c r="T250" s="636"/>
      <c r="U250" s="34"/>
      <c r="V250" s="34"/>
      <c r="W250" s="35" t="s">
        <v>67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50" t="s">
        <v>72</v>
      </c>
      <c r="Q251" s="651"/>
      <c r="R251" s="651"/>
      <c r="S251" s="651"/>
      <c r="T251" s="651"/>
      <c r="U251" s="651"/>
      <c r="V251" s="652"/>
      <c r="W251" s="37" t="s">
        <v>73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hidden="1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50" t="s">
        <v>72</v>
      </c>
      <c r="Q252" s="651"/>
      <c r="R252" s="651"/>
      <c r="S252" s="651"/>
      <c r="T252" s="651"/>
      <c r="U252" s="651"/>
      <c r="V252" s="652"/>
      <c r="W252" s="37" t="s">
        <v>67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hidden="1" customHeight="1" x14ac:dyDescent="0.25">
      <c r="A253" s="654" t="s">
        <v>433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9">
        <v>4680115886797</v>
      </c>
      <c r="E254" s="640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5"/>
      <c r="R254" s="635"/>
      <c r="S254" s="635"/>
      <c r="T254" s="636"/>
      <c r="U254" s="34"/>
      <c r="V254" s="34"/>
      <c r="W254" s="35" t="s">
        <v>67</v>
      </c>
      <c r="X254" s="627">
        <v>1</v>
      </c>
      <c r="Y254" s="628">
        <f>IFERROR(IF(X254="",0,CEILING((X254/$H254),1)*$H254),"")</f>
        <v>1.26</v>
      </c>
      <c r="Z254" s="36">
        <f>IFERROR(IF(Y254=0,"",ROUNDUP(Y254/H254,0)*0.0059),"")</f>
        <v>5.8999999999999999E-3</v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1.1507936507936507</v>
      </c>
      <c r="BN254" s="64">
        <f>IFERROR(Y254*I254/H254,"0")</f>
        <v>1.45</v>
      </c>
      <c r="BO254" s="64">
        <f>IFERROR(1/J254*(X254/H254),"0")</f>
        <v>3.6743092298647849E-3</v>
      </c>
      <c r="BP254" s="64">
        <f>IFERROR(1/J254*(Y254/H254),"0")</f>
        <v>4.6296296296296294E-3</v>
      </c>
    </row>
    <row r="255" spans="1:68" x14ac:dyDescent="0.2">
      <c r="A255" s="631"/>
      <c r="B255" s="632"/>
      <c r="C255" s="632"/>
      <c r="D255" s="632"/>
      <c r="E255" s="632"/>
      <c r="F255" s="632"/>
      <c r="G255" s="632"/>
      <c r="H255" s="632"/>
      <c r="I255" s="632"/>
      <c r="J255" s="632"/>
      <c r="K255" s="632"/>
      <c r="L255" s="632"/>
      <c r="M255" s="632"/>
      <c r="N255" s="632"/>
      <c r="O255" s="633"/>
      <c r="P255" s="650" t="s">
        <v>72</v>
      </c>
      <c r="Q255" s="651"/>
      <c r="R255" s="651"/>
      <c r="S255" s="651"/>
      <c r="T255" s="651"/>
      <c r="U255" s="651"/>
      <c r="V255" s="652"/>
      <c r="W255" s="37" t="s">
        <v>73</v>
      </c>
      <c r="X255" s="629">
        <f>IFERROR(X254/H254,"0")</f>
        <v>0.79365079365079361</v>
      </c>
      <c r="Y255" s="629">
        <f>IFERROR(Y254/H254,"0")</f>
        <v>1</v>
      </c>
      <c r="Z255" s="629">
        <f>IFERROR(IF(Z254="",0,Z254),"0")</f>
        <v>5.8999999999999999E-3</v>
      </c>
      <c r="AA255" s="630"/>
      <c r="AB255" s="630"/>
      <c r="AC255" s="630"/>
    </row>
    <row r="256" spans="1:68" x14ac:dyDescent="0.2">
      <c r="A256" s="632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50" t="s">
        <v>72</v>
      </c>
      <c r="Q256" s="651"/>
      <c r="R256" s="651"/>
      <c r="S256" s="651"/>
      <c r="T256" s="651"/>
      <c r="U256" s="651"/>
      <c r="V256" s="652"/>
      <c r="W256" s="37" t="s">
        <v>67</v>
      </c>
      <c r="X256" s="629">
        <f>IFERROR(SUM(X254:X254),"0")</f>
        <v>1</v>
      </c>
      <c r="Y256" s="629">
        <f>IFERROR(SUM(Y254:Y254),"0")</f>
        <v>1.26</v>
      </c>
      <c r="Z256" s="37"/>
      <c r="AA256" s="630"/>
      <c r="AB256" s="630"/>
      <c r="AC256" s="630"/>
    </row>
    <row r="257" spans="1:68" ht="16.5" hidden="1" customHeight="1" x14ac:dyDescent="0.25">
      <c r="A257" s="657" t="s">
        <v>436</v>
      </c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2"/>
      <c r="P257" s="632"/>
      <c r="Q257" s="632"/>
      <c r="R257" s="632"/>
      <c r="S257" s="632"/>
      <c r="T257" s="632"/>
      <c r="U257" s="632"/>
      <c r="V257" s="632"/>
      <c r="W257" s="632"/>
      <c r="X257" s="632"/>
      <c r="Y257" s="632"/>
      <c r="Z257" s="632"/>
      <c r="AA257" s="622"/>
      <c r="AB257" s="622"/>
      <c r="AC257" s="622"/>
    </row>
    <row r="258" spans="1:68" ht="14.25" hidden="1" customHeight="1" x14ac:dyDescent="0.25">
      <c r="A258" s="654" t="s">
        <v>117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23"/>
      <c r="AB258" s="623"/>
      <c r="AC258" s="623"/>
    </row>
    <row r="259" spans="1:68" ht="27" hidden="1" customHeight="1" x14ac:dyDescent="0.25">
      <c r="A259" s="54" t="s">
        <v>437</v>
      </c>
      <c r="B259" s="54" t="s">
        <v>438</v>
      </c>
      <c r="C259" s="31">
        <v>4301011450</v>
      </c>
      <c r="D259" s="639">
        <v>4680115881402</v>
      </c>
      <c r="E259" s="640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0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5"/>
      <c r="R259" s="635"/>
      <c r="S259" s="635"/>
      <c r="T259" s="636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440</v>
      </c>
      <c r="B260" s="54" t="s">
        <v>441</v>
      </c>
      <c r="C260" s="31">
        <v>4301011768</v>
      </c>
      <c r="D260" s="639">
        <v>4680115881396</v>
      </c>
      <c r="E260" s="640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5"/>
      <c r="R260" s="635"/>
      <c r="S260" s="635"/>
      <c r="T260" s="636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31"/>
      <c r="B261" s="632"/>
      <c r="C261" s="632"/>
      <c r="D261" s="632"/>
      <c r="E261" s="632"/>
      <c r="F261" s="632"/>
      <c r="G261" s="632"/>
      <c r="H261" s="632"/>
      <c r="I261" s="632"/>
      <c r="J261" s="632"/>
      <c r="K261" s="632"/>
      <c r="L261" s="632"/>
      <c r="M261" s="632"/>
      <c r="N261" s="632"/>
      <c r="O261" s="633"/>
      <c r="P261" s="650" t="s">
        <v>72</v>
      </c>
      <c r="Q261" s="651"/>
      <c r="R261" s="651"/>
      <c r="S261" s="651"/>
      <c r="T261" s="651"/>
      <c r="U261" s="651"/>
      <c r="V261" s="652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hidden="1" x14ac:dyDescent="0.2">
      <c r="A262" s="632"/>
      <c r="B262" s="632"/>
      <c r="C262" s="632"/>
      <c r="D262" s="632"/>
      <c r="E262" s="632"/>
      <c r="F262" s="632"/>
      <c r="G262" s="632"/>
      <c r="H262" s="632"/>
      <c r="I262" s="632"/>
      <c r="J262" s="632"/>
      <c r="K262" s="632"/>
      <c r="L262" s="632"/>
      <c r="M262" s="632"/>
      <c r="N262" s="632"/>
      <c r="O262" s="633"/>
      <c r="P262" s="650" t="s">
        <v>72</v>
      </c>
      <c r="Q262" s="651"/>
      <c r="R262" s="651"/>
      <c r="S262" s="651"/>
      <c r="T262" s="651"/>
      <c r="U262" s="651"/>
      <c r="V262" s="652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hidden="1" customHeight="1" x14ac:dyDescent="0.25">
      <c r="A263" s="654" t="s">
        <v>153</v>
      </c>
      <c r="B263" s="632"/>
      <c r="C263" s="632"/>
      <c r="D263" s="632"/>
      <c r="E263" s="632"/>
      <c r="F263" s="632"/>
      <c r="G263" s="632"/>
      <c r="H263" s="632"/>
      <c r="I263" s="632"/>
      <c r="J263" s="632"/>
      <c r="K263" s="632"/>
      <c r="L263" s="632"/>
      <c r="M263" s="632"/>
      <c r="N263" s="632"/>
      <c r="O263" s="632"/>
      <c r="P263" s="632"/>
      <c r="Q263" s="632"/>
      <c r="R263" s="632"/>
      <c r="S263" s="632"/>
      <c r="T263" s="632"/>
      <c r="U263" s="632"/>
      <c r="V263" s="632"/>
      <c r="W263" s="632"/>
      <c r="X263" s="632"/>
      <c r="Y263" s="632"/>
      <c r="Z263" s="632"/>
      <c r="AA263" s="623"/>
      <c r="AB263" s="623"/>
      <c r="AC263" s="623"/>
    </row>
    <row r="264" spans="1:68" ht="16.5" hidden="1" customHeight="1" x14ac:dyDescent="0.25">
      <c r="A264" s="54" t="s">
        <v>442</v>
      </c>
      <c r="B264" s="54" t="s">
        <v>443</v>
      </c>
      <c r="C264" s="31">
        <v>4301020261</v>
      </c>
      <c r="D264" s="639">
        <v>4680115882935</v>
      </c>
      <c r="E264" s="640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5"/>
      <c r="R264" s="635"/>
      <c r="S264" s="635"/>
      <c r="T264" s="636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445</v>
      </c>
      <c r="B265" s="54" t="s">
        <v>446</v>
      </c>
      <c r="C265" s="31">
        <v>4301020220</v>
      </c>
      <c r="D265" s="639">
        <v>4680115880764</v>
      </c>
      <c r="E265" s="640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5"/>
      <c r="R265" s="635"/>
      <c r="S265" s="635"/>
      <c r="T265" s="636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31"/>
      <c r="B266" s="632"/>
      <c r="C266" s="632"/>
      <c r="D266" s="632"/>
      <c r="E266" s="632"/>
      <c r="F266" s="632"/>
      <c r="G266" s="632"/>
      <c r="H266" s="632"/>
      <c r="I266" s="632"/>
      <c r="J266" s="632"/>
      <c r="K266" s="632"/>
      <c r="L266" s="632"/>
      <c r="M266" s="632"/>
      <c r="N266" s="632"/>
      <c r="O266" s="633"/>
      <c r="P266" s="650" t="s">
        <v>72</v>
      </c>
      <c r="Q266" s="651"/>
      <c r="R266" s="651"/>
      <c r="S266" s="651"/>
      <c r="T266" s="651"/>
      <c r="U266" s="651"/>
      <c r="V266" s="652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hidden="1" x14ac:dyDescent="0.2">
      <c r="A267" s="632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50" t="s">
        <v>72</v>
      </c>
      <c r="Q267" s="651"/>
      <c r="R267" s="651"/>
      <c r="S267" s="651"/>
      <c r="T267" s="651"/>
      <c r="U267" s="651"/>
      <c r="V267" s="652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hidden="1" customHeight="1" x14ac:dyDescent="0.25">
      <c r="A268" s="654" t="s">
        <v>62</v>
      </c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2"/>
      <c r="P268" s="632"/>
      <c r="Q268" s="632"/>
      <c r="R268" s="632"/>
      <c r="S268" s="632"/>
      <c r="T268" s="632"/>
      <c r="U268" s="632"/>
      <c r="V268" s="632"/>
      <c r="W268" s="632"/>
      <c r="X268" s="632"/>
      <c r="Y268" s="632"/>
      <c r="Z268" s="632"/>
      <c r="AA268" s="623"/>
      <c r="AB268" s="623"/>
      <c r="AC268" s="623"/>
    </row>
    <row r="269" spans="1:68" ht="27" hidden="1" customHeight="1" x14ac:dyDescent="0.25">
      <c r="A269" s="54" t="s">
        <v>447</v>
      </c>
      <c r="B269" s="54" t="s">
        <v>448</v>
      </c>
      <c r="C269" s="31">
        <v>4301031224</v>
      </c>
      <c r="D269" s="639">
        <v>4680115882683</v>
      </c>
      <c r="E269" s="640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8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5"/>
      <c r="R269" s="635"/>
      <c r="S269" s="635"/>
      <c r="T269" s="636"/>
      <c r="U269" s="34"/>
      <c r="V269" s="34"/>
      <c r="W269" s="35" t="s">
        <v>67</v>
      </c>
      <c r="X269" s="627">
        <v>0</v>
      </c>
      <c r="Y269" s="628">
        <f t="shared" ref="Y269:Y276" si="27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0</v>
      </c>
      <c r="BN269" s="64">
        <f t="shared" ref="BN269:BN276" si="29">IFERROR(Y269*I269/H269,"0")</f>
        <v>0</v>
      </c>
      <c r="BO269" s="64">
        <f t="shared" ref="BO269:BO276" si="30">IFERROR(1/J269*(X269/H269),"0")</f>
        <v>0</v>
      </c>
      <c r="BP269" s="64">
        <f t="shared" ref="BP269:BP276" si="31">IFERROR(1/J269*(Y269/H269),"0")</f>
        <v>0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9">
        <v>4680115882690</v>
      </c>
      <c r="E270" s="640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5"/>
      <c r="R270" s="635"/>
      <c r="S270" s="635"/>
      <c r="T270" s="636"/>
      <c r="U270" s="34"/>
      <c r="V270" s="34"/>
      <c r="W270" s="35" t="s">
        <v>67</v>
      </c>
      <c r="X270" s="627">
        <v>5</v>
      </c>
      <c r="Y270" s="628">
        <f t="shared" si="27"/>
        <v>5.4</v>
      </c>
      <c r="Z270" s="36">
        <f>IFERROR(IF(Y270=0,"",ROUNDUP(Y270/H270,0)*0.00902),"")</f>
        <v>9.0200000000000002E-3</v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5.1759259259259256</v>
      </c>
      <c r="BN270" s="64">
        <f t="shared" si="29"/>
        <v>5.59</v>
      </c>
      <c r="BO270" s="64">
        <f t="shared" si="30"/>
        <v>7.0145903479236806E-3</v>
      </c>
      <c r="BP270" s="64">
        <f t="shared" si="31"/>
        <v>7.575757575757576E-3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9">
        <v>4680115882669</v>
      </c>
      <c r="E271" s="640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5"/>
      <c r="R271" s="635"/>
      <c r="S271" s="635"/>
      <c r="T271" s="636"/>
      <c r="U271" s="34"/>
      <c r="V271" s="34"/>
      <c r="W271" s="35" t="s">
        <v>67</v>
      </c>
      <c r="X271" s="627">
        <v>50</v>
      </c>
      <c r="Y271" s="628">
        <f t="shared" si="27"/>
        <v>54</v>
      </c>
      <c r="Z271" s="36">
        <f>IFERROR(IF(Y271=0,"",ROUNDUP(Y271/H271,0)*0.00902),"")</f>
        <v>9.0200000000000002E-2</v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51.759259259259252</v>
      </c>
      <c r="BN271" s="64">
        <f t="shared" si="29"/>
        <v>55.9</v>
      </c>
      <c r="BO271" s="64">
        <f t="shared" si="30"/>
        <v>7.0145903479236812E-2</v>
      </c>
      <c r="BP271" s="64">
        <f t="shared" si="31"/>
        <v>7.575757575757576E-2</v>
      </c>
    </row>
    <row r="272" spans="1:68" ht="27" hidden="1" customHeight="1" x14ac:dyDescent="0.25">
      <c r="A272" s="54" t="s">
        <v>456</v>
      </c>
      <c r="B272" s="54" t="s">
        <v>457</v>
      </c>
      <c r="C272" s="31">
        <v>4301031221</v>
      </c>
      <c r="D272" s="639">
        <v>4680115882676</v>
      </c>
      <c r="E272" s="640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5"/>
      <c r="R272" s="635"/>
      <c r="S272" s="635"/>
      <c r="T272" s="636"/>
      <c r="U272" s="34"/>
      <c r="V272" s="34"/>
      <c r="W272" s="35" t="s">
        <v>67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9">
        <v>4680115884014</v>
      </c>
      <c r="E273" s="640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5"/>
      <c r="R273" s="635"/>
      <c r="S273" s="635"/>
      <c r="T273" s="636"/>
      <c r="U273" s="34"/>
      <c r="V273" s="34"/>
      <c r="W273" s="35" t="s">
        <v>67</v>
      </c>
      <c r="X273" s="627">
        <v>24</v>
      </c>
      <c r="Y273" s="628">
        <f t="shared" si="27"/>
        <v>25.2</v>
      </c>
      <c r="Z273" s="36">
        <f>IFERROR(IF(Y273=0,"",ROUNDUP(Y273/H273,0)*0.00502),"")</f>
        <v>7.0280000000000009E-2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25.733333333333334</v>
      </c>
      <c r="BN273" s="64">
        <f t="shared" si="29"/>
        <v>27.019999999999996</v>
      </c>
      <c r="BO273" s="64">
        <f t="shared" si="30"/>
        <v>5.6980056980056981E-2</v>
      </c>
      <c r="BP273" s="64">
        <f t="shared" si="31"/>
        <v>5.9829059829059839E-2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9">
        <v>4680115884007</v>
      </c>
      <c r="E274" s="640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5"/>
      <c r="R274" s="635"/>
      <c r="S274" s="635"/>
      <c r="T274" s="636"/>
      <c r="U274" s="34"/>
      <c r="V274" s="34"/>
      <c r="W274" s="35" t="s">
        <v>67</v>
      </c>
      <c r="X274" s="627">
        <v>11</v>
      </c>
      <c r="Y274" s="628">
        <f t="shared" si="27"/>
        <v>12.6</v>
      </c>
      <c r="Z274" s="36">
        <f>IFERROR(IF(Y274=0,"",ROUNDUP(Y274/H274,0)*0.00502),"")</f>
        <v>3.5140000000000005E-2</v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11.611111111111111</v>
      </c>
      <c r="BN274" s="64">
        <f t="shared" si="29"/>
        <v>13.299999999999999</v>
      </c>
      <c r="BO274" s="64">
        <f t="shared" si="30"/>
        <v>2.6115859449192782E-2</v>
      </c>
      <c r="BP274" s="64">
        <f t="shared" si="31"/>
        <v>2.9914529914529919E-2</v>
      </c>
    </row>
    <row r="275" spans="1:68" ht="27" hidden="1" customHeight="1" x14ac:dyDescent="0.25">
      <c r="A275" s="54" t="s">
        <v>463</v>
      </c>
      <c r="B275" s="54" t="s">
        <v>464</v>
      </c>
      <c r="C275" s="31">
        <v>4301031229</v>
      </c>
      <c r="D275" s="639">
        <v>4680115884038</v>
      </c>
      <c r="E275" s="640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5"/>
      <c r="R275" s="635"/>
      <c r="S275" s="635"/>
      <c r="T275" s="636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hidden="1" customHeight="1" x14ac:dyDescent="0.25">
      <c r="A276" s="54" t="s">
        <v>465</v>
      </c>
      <c r="B276" s="54" t="s">
        <v>466</v>
      </c>
      <c r="C276" s="31">
        <v>4301031225</v>
      </c>
      <c r="D276" s="639">
        <v>4680115884021</v>
      </c>
      <c r="E276" s="640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87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5"/>
      <c r="R276" s="635"/>
      <c r="S276" s="635"/>
      <c r="T276" s="636"/>
      <c r="U276" s="34"/>
      <c r="V276" s="34"/>
      <c r="W276" s="35" t="s">
        <v>67</v>
      </c>
      <c r="X276" s="627">
        <v>0</v>
      </c>
      <c r="Y276" s="628">
        <f t="shared" si="27"/>
        <v>0</v>
      </c>
      <c r="Z276" s="36" t="str">
        <f>IFERROR(IF(Y276=0,"",ROUNDUP(Y276/H276,0)*0.00502),"")</f>
        <v/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0</v>
      </c>
      <c r="BN276" s="64">
        <f t="shared" si="29"/>
        <v>0</v>
      </c>
      <c r="BO276" s="64">
        <f t="shared" si="30"/>
        <v>0</v>
      </c>
      <c r="BP276" s="64">
        <f t="shared" si="31"/>
        <v>0</v>
      </c>
    </row>
    <row r="277" spans="1:68" x14ac:dyDescent="0.2">
      <c r="A277" s="631"/>
      <c r="B277" s="632"/>
      <c r="C277" s="632"/>
      <c r="D277" s="632"/>
      <c r="E277" s="632"/>
      <c r="F277" s="632"/>
      <c r="G277" s="632"/>
      <c r="H277" s="632"/>
      <c r="I277" s="632"/>
      <c r="J277" s="632"/>
      <c r="K277" s="632"/>
      <c r="L277" s="632"/>
      <c r="M277" s="632"/>
      <c r="N277" s="632"/>
      <c r="O277" s="633"/>
      <c r="P277" s="650" t="s">
        <v>72</v>
      </c>
      <c r="Q277" s="651"/>
      <c r="R277" s="651"/>
      <c r="S277" s="651"/>
      <c r="T277" s="651"/>
      <c r="U277" s="651"/>
      <c r="V277" s="652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29.62962962962963</v>
      </c>
      <c r="Y277" s="629">
        <f>IFERROR(Y269/H269,"0")+IFERROR(Y270/H270,"0")+IFERROR(Y271/H271,"0")+IFERROR(Y272/H272,"0")+IFERROR(Y273/H273,"0")+IFERROR(Y274/H274,"0")+IFERROR(Y275/H275,"0")+IFERROR(Y276/H276,"0")</f>
        <v>32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0.20464000000000002</v>
      </c>
      <c r="AA277" s="630"/>
      <c r="AB277" s="630"/>
      <c r="AC277" s="630"/>
    </row>
    <row r="278" spans="1:68" x14ac:dyDescent="0.2">
      <c r="A278" s="632"/>
      <c r="B278" s="632"/>
      <c r="C278" s="632"/>
      <c r="D278" s="632"/>
      <c r="E278" s="632"/>
      <c r="F278" s="632"/>
      <c r="G278" s="632"/>
      <c r="H278" s="632"/>
      <c r="I278" s="632"/>
      <c r="J278" s="632"/>
      <c r="K278" s="632"/>
      <c r="L278" s="632"/>
      <c r="M278" s="632"/>
      <c r="N278" s="632"/>
      <c r="O278" s="633"/>
      <c r="P278" s="650" t="s">
        <v>72</v>
      </c>
      <c r="Q278" s="651"/>
      <c r="R278" s="651"/>
      <c r="S278" s="651"/>
      <c r="T278" s="651"/>
      <c r="U278" s="651"/>
      <c r="V278" s="652"/>
      <c r="W278" s="37" t="s">
        <v>67</v>
      </c>
      <c r="X278" s="629">
        <f>IFERROR(SUM(X269:X276),"0")</f>
        <v>90</v>
      </c>
      <c r="Y278" s="629">
        <f>IFERROR(SUM(Y269:Y276),"0")</f>
        <v>97.199999999999989</v>
      </c>
      <c r="Z278" s="37"/>
      <c r="AA278" s="630"/>
      <c r="AB278" s="630"/>
      <c r="AC278" s="630"/>
    </row>
    <row r="279" spans="1:68" ht="14.25" hidden="1" customHeight="1" x14ac:dyDescent="0.25">
      <c r="A279" s="654" t="s">
        <v>74</v>
      </c>
      <c r="B279" s="632"/>
      <c r="C279" s="632"/>
      <c r="D279" s="632"/>
      <c r="E279" s="632"/>
      <c r="F279" s="632"/>
      <c r="G279" s="632"/>
      <c r="H279" s="632"/>
      <c r="I279" s="632"/>
      <c r="J279" s="632"/>
      <c r="K279" s="632"/>
      <c r="L279" s="632"/>
      <c r="M279" s="632"/>
      <c r="N279" s="632"/>
      <c r="O279" s="632"/>
      <c r="P279" s="632"/>
      <c r="Q279" s="632"/>
      <c r="R279" s="632"/>
      <c r="S279" s="632"/>
      <c r="T279" s="632"/>
      <c r="U279" s="632"/>
      <c r="V279" s="632"/>
      <c r="W279" s="632"/>
      <c r="X279" s="632"/>
      <c r="Y279" s="632"/>
      <c r="Z279" s="632"/>
      <c r="AA279" s="623"/>
      <c r="AB279" s="623"/>
      <c r="AC279" s="623"/>
    </row>
    <row r="280" spans="1:68" ht="27" hidden="1" customHeight="1" x14ac:dyDescent="0.25">
      <c r="A280" s="54" t="s">
        <v>467</v>
      </c>
      <c r="B280" s="54" t="s">
        <v>468</v>
      </c>
      <c r="C280" s="31">
        <v>4301051408</v>
      </c>
      <c r="D280" s="639">
        <v>4680115881594</v>
      </c>
      <c r="E280" s="640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5"/>
      <c r="R280" s="635"/>
      <c r="S280" s="635"/>
      <c r="T280" s="636"/>
      <c r="U280" s="34"/>
      <c r="V280" s="34"/>
      <c r="W280" s="35" t="s">
        <v>67</v>
      </c>
      <c r="X280" s="627">
        <v>0</v>
      </c>
      <c r="Y280" s="628">
        <f t="shared" ref="Y280:Y291" si="32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0</v>
      </c>
      <c r="BN280" s="64">
        <f t="shared" ref="BN280:BN291" si="34">IFERROR(Y280*I280/H280,"0")</f>
        <v>0</v>
      </c>
      <c r="BO280" s="64">
        <f t="shared" ref="BO280:BO291" si="35">IFERROR(1/J280*(X280/H280),"0")</f>
        <v>0</v>
      </c>
      <c r="BP280" s="64">
        <f t="shared" ref="BP280:BP291" si="36">IFERROR(1/J280*(Y280/H280),"0")</f>
        <v>0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9">
        <v>4680115881617</v>
      </c>
      <c r="E281" s="640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5"/>
      <c r="R281" s="635"/>
      <c r="S281" s="635"/>
      <c r="T281" s="636"/>
      <c r="U281" s="34"/>
      <c r="V281" s="34"/>
      <c r="W281" s="35" t="s">
        <v>67</v>
      </c>
      <c r="X281" s="627">
        <v>44</v>
      </c>
      <c r="Y281" s="628">
        <f t="shared" si="32"/>
        <v>48.599999999999994</v>
      </c>
      <c r="Z281" s="36">
        <f>IFERROR(IF(Y281=0,"",ROUNDUP(Y281/H281,0)*0.01898),"")</f>
        <v>0.11388000000000001</v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46.585679012345686</v>
      </c>
      <c r="BN281" s="64">
        <f t="shared" si="34"/>
        <v>51.455999999999996</v>
      </c>
      <c r="BO281" s="64">
        <f t="shared" si="35"/>
        <v>8.4876543209876545E-2</v>
      </c>
      <c r="BP281" s="64">
        <f t="shared" si="36"/>
        <v>9.375E-2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4301051656</v>
      </c>
      <c r="D282" s="639">
        <v>4680115880573</v>
      </c>
      <c r="E282" s="640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5"/>
      <c r="R282" s="635"/>
      <c r="S282" s="635"/>
      <c r="T282" s="636"/>
      <c r="U282" s="34"/>
      <c r="V282" s="34"/>
      <c r="W282" s="35" t="s">
        <v>67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9">
        <v>4680115882195</v>
      </c>
      <c r="E283" s="640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5"/>
      <c r="R283" s="635"/>
      <c r="S283" s="635"/>
      <c r="T283" s="636"/>
      <c r="U283" s="34"/>
      <c r="V283" s="34"/>
      <c r="W283" s="35" t="s">
        <v>67</v>
      </c>
      <c r="X283" s="627">
        <v>241</v>
      </c>
      <c r="Y283" s="628">
        <f t="shared" si="32"/>
        <v>242.39999999999998</v>
      </c>
      <c r="Z283" s="36">
        <f>IFERROR(IF(Y283=0,"",ROUNDUP(Y283/H283,0)*0.00651),"")</f>
        <v>0.65751000000000004</v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268.11250000000001</v>
      </c>
      <c r="BN283" s="64">
        <f t="shared" si="34"/>
        <v>269.67</v>
      </c>
      <c r="BO283" s="64">
        <f t="shared" si="35"/>
        <v>0.55173992673992678</v>
      </c>
      <c r="BP283" s="64">
        <f t="shared" si="36"/>
        <v>0.55494505494505497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4301051752</v>
      </c>
      <c r="D284" s="639">
        <v>4680115882607</v>
      </c>
      <c r="E284" s="640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4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5"/>
      <c r="R284" s="635"/>
      <c r="S284" s="635"/>
      <c r="T284" s="636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4301052143</v>
      </c>
      <c r="D285" s="639">
        <v>4680115882607</v>
      </c>
      <c r="E285" s="640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5"/>
      <c r="R285" s="635"/>
      <c r="S285" s="635"/>
      <c r="T285" s="636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9">
        <v>4680115880092</v>
      </c>
      <c r="E286" s="640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3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5"/>
      <c r="R286" s="635"/>
      <c r="S286" s="635"/>
      <c r="T286" s="636"/>
      <c r="U286" s="34"/>
      <c r="V286" s="34"/>
      <c r="W286" s="35" t="s">
        <v>67</v>
      </c>
      <c r="X286" s="627">
        <v>557</v>
      </c>
      <c r="Y286" s="628">
        <f t="shared" si="32"/>
        <v>559.19999999999993</v>
      </c>
      <c r="Z286" s="36">
        <f>IFERROR(IF(Y286=0,"",ROUNDUP(Y286/H286,0)*0.00651),"")</f>
        <v>1.5168300000000001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615.48500000000001</v>
      </c>
      <c r="BN286" s="64">
        <f t="shared" si="34"/>
        <v>617.91600000000005</v>
      </c>
      <c r="BO286" s="64">
        <f t="shared" si="35"/>
        <v>1.2751831501831503</v>
      </c>
      <c r="BP286" s="64">
        <f t="shared" si="36"/>
        <v>1.2802197802197801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4301052214</v>
      </c>
      <c r="D287" s="639">
        <v>4680115889064</v>
      </c>
      <c r="E287" s="640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2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5"/>
      <c r="R287" s="635"/>
      <c r="S287" s="635"/>
      <c r="T287" s="636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9">
        <v>4680115880221</v>
      </c>
      <c r="E288" s="640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5"/>
      <c r="R288" s="635"/>
      <c r="S288" s="635"/>
      <c r="T288" s="636"/>
      <c r="U288" s="34"/>
      <c r="V288" s="34"/>
      <c r="W288" s="35" t="s">
        <v>67</v>
      </c>
      <c r="X288" s="627">
        <v>438</v>
      </c>
      <c r="Y288" s="628">
        <f t="shared" si="32"/>
        <v>439.2</v>
      </c>
      <c r="Z288" s="36">
        <f>IFERROR(IF(Y288=0,"",ROUNDUP(Y288/H288,0)*0.00651),"")</f>
        <v>1.19133</v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483.99</v>
      </c>
      <c r="BN288" s="64">
        <f t="shared" si="34"/>
        <v>485.31599999999997</v>
      </c>
      <c r="BO288" s="64">
        <f t="shared" si="35"/>
        <v>1.0027472527472527</v>
      </c>
      <c r="BP288" s="64">
        <f t="shared" si="36"/>
        <v>1.0054945054945055</v>
      </c>
    </row>
    <row r="289" spans="1:68" ht="27" hidden="1" customHeight="1" x14ac:dyDescent="0.25">
      <c r="A289" s="54" t="s">
        <v>489</v>
      </c>
      <c r="B289" s="54" t="s">
        <v>490</v>
      </c>
      <c r="C289" s="31">
        <v>4301051945</v>
      </c>
      <c r="D289" s="639">
        <v>4680115880504</v>
      </c>
      <c r="E289" s="640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5"/>
      <c r="R289" s="635"/>
      <c r="S289" s="635"/>
      <c r="T289" s="636"/>
      <c r="U289" s="34"/>
      <c r="V289" s="34"/>
      <c r="W289" s="35" t="s">
        <v>67</v>
      </c>
      <c r="X289" s="627">
        <v>0</v>
      </c>
      <c r="Y289" s="628">
        <f t="shared" si="32"/>
        <v>0</v>
      </c>
      <c r="Z289" s="36" t="str">
        <f>IFERROR(IF(Y289=0,"",ROUNDUP(Y289/H289,0)*0.00651),"")</f>
        <v/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0</v>
      </c>
      <c r="BN289" s="64">
        <f t="shared" si="34"/>
        <v>0</v>
      </c>
      <c r="BO289" s="64">
        <f t="shared" si="35"/>
        <v>0</v>
      </c>
      <c r="BP289" s="64">
        <f t="shared" si="36"/>
        <v>0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9">
        <v>4680115882164</v>
      </c>
      <c r="E290" s="640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5"/>
      <c r="R290" s="635"/>
      <c r="S290" s="635"/>
      <c r="T290" s="636"/>
      <c r="U290" s="34"/>
      <c r="V290" s="34"/>
      <c r="W290" s="35" t="s">
        <v>67</v>
      </c>
      <c r="X290" s="627">
        <v>83</v>
      </c>
      <c r="Y290" s="628">
        <f t="shared" si="32"/>
        <v>84</v>
      </c>
      <c r="Z290" s="36">
        <f>IFERROR(IF(Y290=0,"",ROUNDUP(Y290/H290,0)*0.00651),"")</f>
        <v>0.22785</v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91.922499999999999</v>
      </c>
      <c r="BN290" s="64">
        <f t="shared" si="34"/>
        <v>93.03</v>
      </c>
      <c r="BO290" s="64">
        <f t="shared" si="35"/>
        <v>0.19001831501831504</v>
      </c>
      <c r="BP290" s="64">
        <f t="shared" si="36"/>
        <v>0.19230769230769232</v>
      </c>
    </row>
    <row r="291" spans="1:68" ht="27" hidden="1" customHeight="1" x14ac:dyDescent="0.25">
      <c r="A291" s="54" t="s">
        <v>495</v>
      </c>
      <c r="B291" s="54" t="s">
        <v>496</v>
      </c>
      <c r="C291" s="31">
        <v>4301052180</v>
      </c>
      <c r="D291" s="639">
        <v>4680115888340</v>
      </c>
      <c r="E291" s="640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5"/>
      <c r="R291" s="635"/>
      <c r="S291" s="635"/>
      <c r="T291" s="636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31"/>
      <c r="B292" s="632"/>
      <c r="C292" s="632"/>
      <c r="D292" s="632"/>
      <c r="E292" s="632"/>
      <c r="F292" s="632"/>
      <c r="G292" s="632"/>
      <c r="H292" s="632"/>
      <c r="I292" s="632"/>
      <c r="J292" s="632"/>
      <c r="K292" s="632"/>
      <c r="L292" s="632"/>
      <c r="M292" s="632"/>
      <c r="N292" s="632"/>
      <c r="O292" s="633"/>
      <c r="P292" s="650" t="s">
        <v>72</v>
      </c>
      <c r="Q292" s="651"/>
      <c r="R292" s="651"/>
      <c r="S292" s="651"/>
      <c r="T292" s="651"/>
      <c r="U292" s="651"/>
      <c r="V292" s="652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555.01543209876547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558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3.7073999999999998</v>
      </c>
      <c r="AA292" s="630"/>
      <c r="AB292" s="630"/>
      <c r="AC292" s="630"/>
    </row>
    <row r="293" spans="1:68" x14ac:dyDescent="0.2">
      <c r="A293" s="632"/>
      <c r="B293" s="632"/>
      <c r="C293" s="632"/>
      <c r="D293" s="632"/>
      <c r="E293" s="632"/>
      <c r="F293" s="632"/>
      <c r="G293" s="632"/>
      <c r="H293" s="632"/>
      <c r="I293" s="632"/>
      <c r="J293" s="632"/>
      <c r="K293" s="632"/>
      <c r="L293" s="632"/>
      <c r="M293" s="632"/>
      <c r="N293" s="632"/>
      <c r="O293" s="633"/>
      <c r="P293" s="650" t="s">
        <v>72</v>
      </c>
      <c r="Q293" s="651"/>
      <c r="R293" s="651"/>
      <c r="S293" s="651"/>
      <c r="T293" s="651"/>
      <c r="U293" s="651"/>
      <c r="V293" s="652"/>
      <c r="W293" s="37" t="s">
        <v>67</v>
      </c>
      <c r="X293" s="629">
        <f>IFERROR(SUM(X280:X291),"0")</f>
        <v>1363</v>
      </c>
      <c r="Y293" s="629">
        <f>IFERROR(SUM(Y280:Y291),"0")</f>
        <v>1373.3999999999999</v>
      </c>
      <c r="Z293" s="37"/>
      <c r="AA293" s="630"/>
      <c r="AB293" s="630"/>
      <c r="AC293" s="630"/>
    </row>
    <row r="294" spans="1:68" ht="14.25" hidden="1" customHeight="1" x14ac:dyDescent="0.25">
      <c r="A294" s="654" t="s">
        <v>170</v>
      </c>
      <c r="B294" s="632"/>
      <c r="C294" s="632"/>
      <c r="D294" s="632"/>
      <c r="E294" s="632"/>
      <c r="F294" s="632"/>
      <c r="G294" s="632"/>
      <c r="H294" s="632"/>
      <c r="I294" s="632"/>
      <c r="J294" s="632"/>
      <c r="K294" s="632"/>
      <c r="L294" s="632"/>
      <c r="M294" s="632"/>
      <c r="N294" s="632"/>
      <c r="O294" s="632"/>
      <c r="P294" s="632"/>
      <c r="Q294" s="632"/>
      <c r="R294" s="632"/>
      <c r="S294" s="632"/>
      <c r="T294" s="632"/>
      <c r="U294" s="632"/>
      <c r="V294" s="632"/>
      <c r="W294" s="632"/>
      <c r="X294" s="632"/>
      <c r="Y294" s="632"/>
      <c r="Z294" s="632"/>
      <c r="AA294" s="623"/>
      <c r="AB294" s="623"/>
      <c r="AC294" s="623"/>
    </row>
    <row r="295" spans="1:68" ht="27" hidden="1" customHeight="1" x14ac:dyDescent="0.25">
      <c r="A295" s="54" t="s">
        <v>498</v>
      </c>
      <c r="B295" s="54" t="s">
        <v>499</v>
      </c>
      <c r="C295" s="31">
        <v>4301060463</v>
      </c>
      <c r="D295" s="639">
        <v>4680115880818</v>
      </c>
      <c r="E295" s="640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5"/>
      <c r="R295" s="635"/>
      <c r="S295" s="635"/>
      <c r="T295" s="636"/>
      <c r="U295" s="34"/>
      <c r="V295" s="34"/>
      <c r="W295" s="35" t="s">
        <v>67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501</v>
      </c>
      <c r="B296" s="54" t="s">
        <v>502</v>
      </c>
      <c r="C296" s="31">
        <v>4301060389</v>
      </c>
      <c r="D296" s="639">
        <v>4680115880801</v>
      </c>
      <c r="E296" s="640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5"/>
      <c r="R296" s="635"/>
      <c r="S296" s="635"/>
      <c r="T296" s="636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idden="1" x14ac:dyDescent="0.2">
      <c r="A297" s="631"/>
      <c r="B297" s="632"/>
      <c r="C297" s="632"/>
      <c r="D297" s="632"/>
      <c r="E297" s="632"/>
      <c r="F297" s="632"/>
      <c r="G297" s="632"/>
      <c r="H297" s="632"/>
      <c r="I297" s="632"/>
      <c r="J297" s="632"/>
      <c r="K297" s="632"/>
      <c r="L297" s="632"/>
      <c r="M297" s="632"/>
      <c r="N297" s="632"/>
      <c r="O297" s="633"/>
      <c r="P297" s="650" t="s">
        <v>72</v>
      </c>
      <c r="Q297" s="651"/>
      <c r="R297" s="651"/>
      <c r="S297" s="651"/>
      <c r="T297" s="651"/>
      <c r="U297" s="651"/>
      <c r="V297" s="652"/>
      <c r="W297" s="37" t="s">
        <v>73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hidden="1" x14ac:dyDescent="0.2">
      <c r="A298" s="632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50" t="s">
        <v>72</v>
      </c>
      <c r="Q298" s="651"/>
      <c r="R298" s="651"/>
      <c r="S298" s="651"/>
      <c r="T298" s="651"/>
      <c r="U298" s="651"/>
      <c r="V298" s="652"/>
      <c r="W298" s="37" t="s">
        <v>67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hidden="1" customHeight="1" x14ac:dyDescent="0.25">
      <c r="A299" s="657" t="s">
        <v>504</v>
      </c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2"/>
      <c r="P299" s="632"/>
      <c r="Q299" s="632"/>
      <c r="R299" s="632"/>
      <c r="S299" s="632"/>
      <c r="T299" s="632"/>
      <c r="U299" s="632"/>
      <c r="V299" s="632"/>
      <c r="W299" s="632"/>
      <c r="X299" s="632"/>
      <c r="Y299" s="632"/>
      <c r="Z299" s="632"/>
      <c r="AA299" s="622"/>
      <c r="AB299" s="622"/>
      <c r="AC299" s="622"/>
    </row>
    <row r="300" spans="1:68" ht="14.25" hidden="1" customHeight="1" x14ac:dyDescent="0.25">
      <c r="A300" s="654" t="s">
        <v>117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23"/>
      <c r="AB300" s="623"/>
      <c r="AC300" s="623"/>
    </row>
    <row r="301" spans="1:68" ht="27" hidden="1" customHeight="1" x14ac:dyDescent="0.25">
      <c r="A301" s="54" t="s">
        <v>505</v>
      </c>
      <c r="B301" s="54" t="s">
        <v>506</v>
      </c>
      <c r="C301" s="31">
        <v>4301011826</v>
      </c>
      <c r="D301" s="639">
        <v>4680115884137</v>
      </c>
      <c r="E301" s="640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5"/>
      <c r="R301" s="635"/>
      <c r="S301" s="635"/>
      <c r="T301" s="636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4301011724</v>
      </c>
      <c r="D302" s="639">
        <v>4680115884236</v>
      </c>
      <c r="E302" s="640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5"/>
      <c r="R302" s="635"/>
      <c r="S302" s="635"/>
      <c r="T302" s="636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4301011721</v>
      </c>
      <c r="D303" s="639">
        <v>4680115884175</v>
      </c>
      <c r="E303" s="640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5"/>
      <c r="R303" s="635"/>
      <c r="S303" s="635"/>
      <c r="T303" s="636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4301011824</v>
      </c>
      <c r="D304" s="639">
        <v>4680115884144</v>
      </c>
      <c r="E304" s="640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5"/>
      <c r="R304" s="635"/>
      <c r="S304" s="635"/>
      <c r="T304" s="636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hidden="1" customHeight="1" x14ac:dyDescent="0.25">
      <c r="A305" s="54" t="s">
        <v>515</v>
      </c>
      <c r="B305" s="54" t="s">
        <v>516</v>
      </c>
      <c r="C305" s="31">
        <v>4301012149</v>
      </c>
      <c r="D305" s="639">
        <v>4680115886551</v>
      </c>
      <c r="E305" s="640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5"/>
      <c r="R305" s="635"/>
      <c r="S305" s="635"/>
      <c r="T305" s="636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hidden="1" customHeight="1" x14ac:dyDescent="0.25">
      <c r="A306" s="54" t="s">
        <v>518</v>
      </c>
      <c r="B306" s="54" t="s">
        <v>519</v>
      </c>
      <c r="C306" s="31">
        <v>4301012228</v>
      </c>
      <c r="D306" s="639">
        <v>4680115887282</v>
      </c>
      <c r="E306" s="640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5"/>
      <c r="R306" s="635"/>
      <c r="S306" s="635"/>
      <c r="T306" s="636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hidden="1" customHeight="1" x14ac:dyDescent="0.25">
      <c r="A307" s="54" t="s">
        <v>521</v>
      </c>
      <c r="B307" s="54" t="s">
        <v>522</v>
      </c>
      <c r="C307" s="31">
        <v>4301011722</v>
      </c>
      <c r="D307" s="639">
        <v>4680115884205</v>
      </c>
      <c r="E307" s="640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5"/>
      <c r="R307" s="635"/>
      <c r="S307" s="635"/>
      <c r="T307" s="636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hidden="1" x14ac:dyDescent="0.2">
      <c r="A308" s="631"/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3"/>
      <c r="P308" s="650" t="s">
        <v>72</v>
      </c>
      <c r="Q308" s="651"/>
      <c r="R308" s="651"/>
      <c r="S308" s="651"/>
      <c r="T308" s="651"/>
      <c r="U308" s="651"/>
      <c r="V308" s="652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hidden="1" x14ac:dyDescent="0.2">
      <c r="A309" s="632"/>
      <c r="B309" s="632"/>
      <c r="C309" s="632"/>
      <c r="D309" s="632"/>
      <c r="E309" s="632"/>
      <c r="F309" s="632"/>
      <c r="G309" s="632"/>
      <c r="H309" s="632"/>
      <c r="I309" s="632"/>
      <c r="J309" s="632"/>
      <c r="K309" s="632"/>
      <c r="L309" s="632"/>
      <c r="M309" s="632"/>
      <c r="N309" s="632"/>
      <c r="O309" s="633"/>
      <c r="P309" s="650" t="s">
        <v>72</v>
      </c>
      <c r="Q309" s="651"/>
      <c r="R309" s="651"/>
      <c r="S309" s="651"/>
      <c r="T309" s="651"/>
      <c r="U309" s="651"/>
      <c r="V309" s="652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hidden="1" customHeight="1" x14ac:dyDescent="0.25">
      <c r="A310" s="654" t="s">
        <v>153</v>
      </c>
      <c r="B310" s="632"/>
      <c r="C310" s="632"/>
      <c r="D310" s="632"/>
      <c r="E310" s="632"/>
      <c r="F310" s="632"/>
      <c r="G310" s="632"/>
      <c r="H310" s="632"/>
      <c r="I310" s="632"/>
      <c r="J310" s="632"/>
      <c r="K310" s="632"/>
      <c r="L310" s="632"/>
      <c r="M310" s="632"/>
      <c r="N310" s="632"/>
      <c r="O310" s="632"/>
      <c r="P310" s="632"/>
      <c r="Q310" s="632"/>
      <c r="R310" s="632"/>
      <c r="S310" s="632"/>
      <c r="T310" s="632"/>
      <c r="U310" s="632"/>
      <c r="V310" s="632"/>
      <c r="W310" s="632"/>
      <c r="X310" s="632"/>
      <c r="Y310" s="632"/>
      <c r="Z310" s="632"/>
      <c r="AA310" s="623"/>
      <c r="AB310" s="623"/>
      <c r="AC310" s="623"/>
    </row>
    <row r="311" spans="1:68" ht="27" hidden="1" customHeight="1" x14ac:dyDescent="0.25">
      <c r="A311" s="54" t="s">
        <v>523</v>
      </c>
      <c r="B311" s="54" t="s">
        <v>524</v>
      </c>
      <c r="C311" s="31">
        <v>4301020377</v>
      </c>
      <c r="D311" s="639">
        <v>4680115885981</v>
      </c>
      <c r="E311" s="640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5"/>
      <c r="R311" s="635"/>
      <c r="S311" s="635"/>
      <c r="T311" s="636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1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50" t="s">
        <v>72</v>
      </c>
      <c r="Q312" s="651"/>
      <c r="R312" s="651"/>
      <c r="S312" s="651"/>
      <c r="T312" s="651"/>
      <c r="U312" s="651"/>
      <c r="V312" s="652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hidden="1" x14ac:dyDescent="0.2">
      <c r="A313" s="632"/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3"/>
      <c r="P313" s="650" t="s">
        <v>72</v>
      </c>
      <c r="Q313" s="651"/>
      <c r="R313" s="651"/>
      <c r="S313" s="651"/>
      <c r="T313" s="651"/>
      <c r="U313" s="651"/>
      <c r="V313" s="652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hidden="1" customHeight="1" x14ac:dyDescent="0.25">
      <c r="A314" s="654" t="s">
        <v>526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9">
        <v>4680115886803</v>
      </c>
      <c r="E315" s="640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5"/>
      <c r="R315" s="635"/>
      <c r="S315" s="635"/>
      <c r="T315" s="636"/>
      <c r="U315" s="34"/>
      <c r="V315" s="34"/>
      <c r="W315" s="35" t="s">
        <v>67</v>
      </c>
      <c r="X315" s="627">
        <v>6</v>
      </c>
      <c r="Y315" s="628">
        <f>IFERROR(IF(X315="",0,CEILING((X315/$H315),1)*$H315),"")</f>
        <v>7.2</v>
      </c>
      <c r="Z315" s="36">
        <f>IFERROR(IF(Y315=0,"",ROUNDUP(Y315/H315,0)*0.0059),"")</f>
        <v>2.3599999999999999E-2</v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6.5833333333333339</v>
      </c>
      <c r="BN315" s="64">
        <f>IFERROR(Y315*I315/H315,"0")</f>
        <v>7.9</v>
      </c>
      <c r="BO315" s="64">
        <f>IFERROR(1/J315*(X315/H315),"0")</f>
        <v>1.5432098765432096E-2</v>
      </c>
      <c r="BP315" s="64">
        <f>IFERROR(1/J315*(Y315/H315),"0")</f>
        <v>1.8518518518518517E-2</v>
      </c>
    </row>
    <row r="316" spans="1:68" x14ac:dyDescent="0.2">
      <c r="A316" s="631"/>
      <c r="B316" s="632"/>
      <c r="C316" s="632"/>
      <c r="D316" s="632"/>
      <c r="E316" s="632"/>
      <c r="F316" s="632"/>
      <c r="G316" s="632"/>
      <c r="H316" s="632"/>
      <c r="I316" s="632"/>
      <c r="J316" s="632"/>
      <c r="K316" s="632"/>
      <c r="L316" s="632"/>
      <c r="M316" s="632"/>
      <c r="N316" s="632"/>
      <c r="O316" s="633"/>
      <c r="P316" s="650" t="s">
        <v>72</v>
      </c>
      <c r="Q316" s="651"/>
      <c r="R316" s="651"/>
      <c r="S316" s="651"/>
      <c r="T316" s="651"/>
      <c r="U316" s="651"/>
      <c r="V316" s="652"/>
      <c r="W316" s="37" t="s">
        <v>73</v>
      </c>
      <c r="X316" s="629">
        <f>IFERROR(X315/H315,"0")</f>
        <v>3.333333333333333</v>
      </c>
      <c r="Y316" s="629">
        <f>IFERROR(Y315/H315,"0")</f>
        <v>4</v>
      </c>
      <c r="Z316" s="629">
        <f>IFERROR(IF(Z315="",0,Z315),"0")</f>
        <v>2.3599999999999999E-2</v>
      </c>
      <c r="AA316" s="630"/>
      <c r="AB316" s="630"/>
      <c r="AC316" s="630"/>
    </row>
    <row r="317" spans="1:68" x14ac:dyDescent="0.2">
      <c r="A317" s="632"/>
      <c r="B317" s="632"/>
      <c r="C317" s="632"/>
      <c r="D317" s="632"/>
      <c r="E317" s="632"/>
      <c r="F317" s="632"/>
      <c r="G317" s="632"/>
      <c r="H317" s="632"/>
      <c r="I317" s="632"/>
      <c r="J317" s="632"/>
      <c r="K317" s="632"/>
      <c r="L317" s="632"/>
      <c r="M317" s="632"/>
      <c r="N317" s="632"/>
      <c r="O317" s="633"/>
      <c r="P317" s="650" t="s">
        <v>72</v>
      </c>
      <c r="Q317" s="651"/>
      <c r="R317" s="651"/>
      <c r="S317" s="651"/>
      <c r="T317" s="651"/>
      <c r="U317" s="651"/>
      <c r="V317" s="652"/>
      <c r="W317" s="37" t="s">
        <v>67</v>
      </c>
      <c r="X317" s="629">
        <f>IFERROR(SUM(X315:X315),"0")</f>
        <v>6</v>
      </c>
      <c r="Y317" s="629">
        <f>IFERROR(SUM(Y315:Y315),"0")</f>
        <v>7.2</v>
      </c>
      <c r="Z317" s="37"/>
      <c r="AA317" s="630"/>
      <c r="AB317" s="630"/>
      <c r="AC317" s="630"/>
    </row>
    <row r="318" spans="1:68" ht="14.25" hidden="1" customHeight="1" x14ac:dyDescent="0.25">
      <c r="A318" s="654" t="s">
        <v>343</v>
      </c>
      <c r="B318" s="632"/>
      <c r="C318" s="632"/>
      <c r="D318" s="632"/>
      <c r="E318" s="632"/>
      <c r="F318" s="632"/>
      <c r="G318" s="632"/>
      <c r="H318" s="632"/>
      <c r="I318" s="632"/>
      <c r="J318" s="632"/>
      <c r="K318" s="632"/>
      <c r="L318" s="632"/>
      <c r="M318" s="632"/>
      <c r="N318" s="632"/>
      <c r="O318" s="632"/>
      <c r="P318" s="632"/>
      <c r="Q318" s="632"/>
      <c r="R318" s="632"/>
      <c r="S318" s="632"/>
      <c r="T318" s="632"/>
      <c r="U318" s="632"/>
      <c r="V318" s="632"/>
      <c r="W318" s="632"/>
      <c r="X318" s="632"/>
      <c r="Y318" s="632"/>
      <c r="Z318" s="632"/>
      <c r="AA318" s="623"/>
      <c r="AB318" s="623"/>
      <c r="AC318" s="623"/>
    </row>
    <row r="319" spans="1:68" ht="27" hidden="1" customHeight="1" x14ac:dyDescent="0.25">
      <c r="A319" s="54" t="s">
        <v>530</v>
      </c>
      <c r="B319" s="54" t="s">
        <v>531</v>
      </c>
      <c r="C319" s="31">
        <v>4301041004</v>
      </c>
      <c r="D319" s="639">
        <v>4680115886704</v>
      </c>
      <c r="E319" s="640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5"/>
      <c r="R319" s="635"/>
      <c r="S319" s="635"/>
      <c r="T319" s="636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533</v>
      </c>
      <c r="B320" s="54" t="s">
        <v>534</v>
      </c>
      <c r="C320" s="31">
        <v>4301041008</v>
      </c>
      <c r="D320" s="639">
        <v>4680115886681</v>
      </c>
      <c r="E320" s="640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5"/>
      <c r="R320" s="635"/>
      <c r="S320" s="635"/>
      <c r="T320" s="636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535</v>
      </c>
      <c r="B321" s="54" t="s">
        <v>536</v>
      </c>
      <c r="C321" s="31">
        <v>4301041007</v>
      </c>
      <c r="D321" s="639">
        <v>4680115886735</v>
      </c>
      <c r="E321" s="640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5"/>
      <c r="R321" s="635"/>
      <c r="S321" s="635"/>
      <c r="T321" s="636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31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50" t="s">
        <v>72</v>
      </c>
      <c r="Q322" s="651"/>
      <c r="R322" s="651"/>
      <c r="S322" s="651"/>
      <c r="T322" s="651"/>
      <c r="U322" s="651"/>
      <c r="V322" s="652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hidden="1" x14ac:dyDescent="0.2">
      <c r="A323" s="632"/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3"/>
      <c r="P323" s="650" t="s">
        <v>72</v>
      </c>
      <c r="Q323" s="651"/>
      <c r="R323" s="651"/>
      <c r="S323" s="651"/>
      <c r="T323" s="651"/>
      <c r="U323" s="651"/>
      <c r="V323" s="652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hidden="1" customHeight="1" x14ac:dyDescent="0.25">
      <c r="A324" s="657" t="s">
        <v>537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22"/>
      <c r="AB324" s="622"/>
      <c r="AC324" s="622"/>
    </row>
    <row r="325" spans="1:68" ht="14.25" hidden="1" customHeight="1" x14ac:dyDescent="0.25">
      <c r="A325" s="654" t="s">
        <v>117</v>
      </c>
      <c r="B325" s="632"/>
      <c r="C325" s="632"/>
      <c r="D325" s="632"/>
      <c r="E325" s="632"/>
      <c r="F325" s="632"/>
      <c r="G325" s="632"/>
      <c r="H325" s="632"/>
      <c r="I325" s="632"/>
      <c r="J325" s="632"/>
      <c r="K325" s="632"/>
      <c r="L325" s="632"/>
      <c r="M325" s="632"/>
      <c r="N325" s="632"/>
      <c r="O325" s="632"/>
      <c r="P325" s="632"/>
      <c r="Q325" s="632"/>
      <c r="R325" s="632"/>
      <c r="S325" s="632"/>
      <c r="T325" s="632"/>
      <c r="U325" s="632"/>
      <c r="V325" s="632"/>
      <c r="W325" s="632"/>
      <c r="X325" s="632"/>
      <c r="Y325" s="632"/>
      <c r="Z325" s="632"/>
      <c r="AA325" s="623"/>
      <c r="AB325" s="623"/>
      <c r="AC325" s="623"/>
    </row>
    <row r="326" spans="1:68" ht="27" hidden="1" customHeight="1" x14ac:dyDescent="0.25">
      <c r="A326" s="54" t="s">
        <v>538</v>
      </c>
      <c r="B326" s="54" t="s">
        <v>539</v>
      </c>
      <c r="C326" s="31">
        <v>4301011855</v>
      </c>
      <c r="D326" s="639">
        <v>4680115885837</v>
      </c>
      <c r="E326" s="640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5"/>
      <c r="R326" s="635"/>
      <c r="S326" s="635"/>
      <c r="T326" s="636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541</v>
      </c>
      <c r="B327" s="54" t="s">
        <v>542</v>
      </c>
      <c r="C327" s="31">
        <v>4301012234</v>
      </c>
      <c r="D327" s="639">
        <v>4680115887237</v>
      </c>
      <c r="E327" s="640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96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5"/>
      <c r="R327" s="635"/>
      <c r="S327" s="635"/>
      <c r="T327" s="636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544</v>
      </c>
      <c r="B328" s="54" t="s">
        <v>545</v>
      </c>
      <c r="C328" s="31">
        <v>4301011850</v>
      </c>
      <c r="D328" s="639">
        <v>4680115885806</v>
      </c>
      <c r="E328" s="640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5"/>
      <c r="R328" s="635"/>
      <c r="S328" s="635"/>
      <c r="T328" s="636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547</v>
      </c>
      <c r="B329" s="54" t="s">
        <v>548</v>
      </c>
      <c r="C329" s="31">
        <v>4301011852</v>
      </c>
      <c r="D329" s="639">
        <v>4680115885844</v>
      </c>
      <c r="E329" s="640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7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5"/>
      <c r="R329" s="635"/>
      <c r="S329" s="635"/>
      <c r="T329" s="636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550</v>
      </c>
      <c r="B330" s="54" t="s">
        <v>551</v>
      </c>
      <c r="C330" s="31">
        <v>4301011851</v>
      </c>
      <c r="D330" s="639">
        <v>4680115885820</v>
      </c>
      <c r="E330" s="640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5"/>
      <c r="R330" s="635"/>
      <c r="S330" s="635"/>
      <c r="T330" s="636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31"/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3"/>
      <c r="P331" s="650" t="s">
        <v>72</v>
      </c>
      <c r="Q331" s="651"/>
      <c r="R331" s="651"/>
      <c r="S331" s="651"/>
      <c r="T331" s="651"/>
      <c r="U331" s="651"/>
      <c r="V331" s="652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hidden="1" x14ac:dyDescent="0.2">
      <c r="A332" s="632"/>
      <c r="B332" s="632"/>
      <c r="C332" s="632"/>
      <c r="D332" s="632"/>
      <c r="E332" s="632"/>
      <c r="F332" s="632"/>
      <c r="G332" s="632"/>
      <c r="H332" s="632"/>
      <c r="I332" s="632"/>
      <c r="J332" s="632"/>
      <c r="K332" s="632"/>
      <c r="L332" s="632"/>
      <c r="M332" s="632"/>
      <c r="N332" s="632"/>
      <c r="O332" s="633"/>
      <c r="P332" s="650" t="s">
        <v>72</v>
      </c>
      <c r="Q332" s="651"/>
      <c r="R332" s="651"/>
      <c r="S332" s="651"/>
      <c r="T332" s="651"/>
      <c r="U332" s="651"/>
      <c r="V332" s="652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hidden="1" customHeight="1" x14ac:dyDescent="0.25">
      <c r="A333" s="657" t="s">
        <v>553</v>
      </c>
      <c r="B333" s="632"/>
      <c r="C333" s="632"/>
      <c r="D333" s="632"/>
      <c r="E333" s="632"/>
      <c r="F333" s="632"/>
      <c r="G333" s="632"/>
      <c r="H333" s="632"/>
      <c r="I333" s="632"/>
      <c r="J333" s="632"/>
      <c r="K333" s="632"/>
      <c r="L333" s="632"/>
      <c r="M333" s="632"/>
      <c r="N333" s="632"/>
      <c r="O333" s="632"/>
      <c r="P333" s="632"/>
      <c r="Q333" s="632"/>
      <c r="R333" s="632"/>
      <c r="S333" s="632"/>
      <c r="T333" s="632"/>
      <c r="U333" s="632"/>
      <c r="V333" s="632"/>
      <c r="W333" s="632"/>
      <c r="X333" s="632"/>
      <c r="Y333" s="632"/>
      <c r="Z333" s="632"/>
      <c r="AA333" s="622"/>
      <c r="AB333" s="622"/>
      <c r="AC333" s="622"/>
    </row>
    <row r="334" spans="1:68" ht="14.25" hidden="1" customHeight="1" x14ac:dyDescent="0.25">
      <c r="A334" s="654" t="s">
        <v>74</v>
      </c>
      <c r="B334" s="632"/>
      <c r="C334" s="632"/>
      <c r="D334" s="632"/>
      <c r="E334" s="632"/>
      <c r="F334" s="632"/>
      <c r="G334" s="632"/>
      <c r="H334" s="632"/>
      <c r="I334" s="632"/>
      <c r="J334" s="632"/>
      <c r="K334" s="632"/>
      <c r="L334" s="632"/>
      <c r="M334" s="632"/>
      <c r="N334" s="632"/>
      <c r="O334" s="632"/>
      <c r="P334" s="632"/>
      <c r="Q334" s="632"/>
      <c r="R334" s="632"/>
      <c r="S334" s="632"/>
      <c r="T334" s="632"/>
      <c r="U334" s="632"/>
      <c r="V334" s="632"/>
      <c r="W334" s="632"/>
      <c r="X334" s="632"/>
      <c r="Y334" s="632"/>
      <c r="Z334" s="632"/>
      <c r="AA334" s="623"/>
      <c r="AB334" s="623"/>
      <c r="AC334" s="623"/>
    </row>
    <row r="335" spans="1:68" ht="27" hidden="1" customHeight="1" x14ac:dyDescent="0.25">
      <c r="A335" s="54" t="s">
        <v>554</v>
      </c>
      <c r="B335" s="54" t="s">
        <v>555</v>
      </c>
      <c r="C335" s="31">
        <v>4301051893</v>
      </c>
      <c r="D335" s="639">
        <v>4680115886186</v>
      </c>
      <c r="E335" s="640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5"/>
      <c r="R335" s="635"/>
      <c r="S335" s="635"/>
      <c r="T335" s="636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9">
        <v>4680115881228</v>
      </c>
      <c r="E336" s="640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5"/>
      <c r="R336" s="635"/>
      <c r="S336" s="635"/>
      <c r="T336" s="636"/>
      <c r="U336" s="34"/>
      <c r="V336" s="34"/>
      <c r="W336" s="35" t="s">
        <v>67</v>
      </c>
      <c r="X336" s="627">
        <v>120</v>
      </c>
      <c r="Y336" s="628">
        <f>IFERROR(IF(X336="",0,CEILING((X336/$H336),1)*$H336),"")</f>
        <v>120</v>
      </c>
      <c r="Z336" s="36">
        <f>IFERROR(IF(Y336=0,"",ROUNDUP(Y336/H336,0)*0.00651),"")</f>
        <v>0.32550000000000001</v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132.60000000000002</v>
      </c>
      <c r="BN336" s="64">
        <f>IFERROR(Y336*I336/H336,"0")</f>
        <v>132.60000000000002</v>
      </c>
      <c r="BO336" s="64">
        <f>IFERROR(1/J336*(X336/H336),"0")</f>
        <v>0.27472527472527475</v>
      </c>
      <c r="BP336" s="64">
        <f>IFERROR(1/J336*(Y336/H336),"0")</f>
        <v>0.27472527472527475</v>
      </c>
    </row>
    <row r="337" spans="1:68" ht="27" hidden="1" customHeight="1" x14ac:dyDescent="0.25">
      <c r="A337" s="54" t="s">
        <v>560</v>
      </c>
      <c r="B337" s="54" t="s">
        <v>561</v>
      </c>
      <c r="C337" s="31">
        <v>4301051388</v>
      </c>
      <c r="D337" s="639">
        <v>4680115881211</v>
      </c>
      <c r="E337" s="640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5"/>
      <c r="R337" s="635"/>
      <c r="S337" s="635"/>
      <c r="T337" s="636"/>
      <c r="U337" s="34"/>
      <c r="V337" s="34"/>
      <c r="W337" s="35" t="s">
        <v>67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31"/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3"/>
      <c r="P338" s="650" t="s">
        <v>72</v>
      </c>
      <c r="Q338" s="651"/>
      <c r="R338" s="651"/>
      <c r="S338" s="651"/>
      <c r="T338" s="651"/>
      <c r="U338" s="651"/>
      <c r="V338" s="652"/>
      <c r="W338" s="37" t="s">
        <v>73</v>
      </c>
      <c r="X338" s="629">
        <f>IFERROR(X335/H335,"0")+IFERROR(X336/H336,"0")+IFERROR(X337/H337,"0")</f>
        <v>50</v>
      </c>
      <c r="Y338" s="629">
        <f>IFERROR(Y335/H335,"0")+IFERROR(Y336/H336,"0")+IFERROR(Y337/H337,"0")</f>
        <v>50</v>
      </c>
      <c r="Z338" s="629">
        <f>IFERROR(IF(Z335="",0,Z335),"0")+IFERROR(IF(Z336="",0,Z336),"0")+IFERROR(IF(Z337="",0,Z337),"0")</f>
        <v>0.32550000000000001</v>
      </c>
      <c r="AA338" s="630"/>
      <c r="AB338" s="630"/>
      <c r="AC338" s="630"/>
    </row>
    <row r="339" spans="1:68" x14ac:dyDescent="0.2">
      <c r="A339" s="632"/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3"/>
      <c r="P339" s="650" t="s">
        <v>72</v>
      </c>
      <c r="Q339" s="651"/>
      <c r="R339" s="651"/>
      <c r="S339" s="651"/>
      <c r="T339" s="651"/>
      <c r="U339" s="651"/>
      <c r="V339" s="652"/>
      <c r="W339" s="37" t="s">
        <v>67</v>
      </c>
      <c r="X339" s="629">
        <f>IFERROR(SUM(X335:X337),"0")</f>
        <v>120</v>
      </c>
      <c r="Y339" s="629">
        <f>IFERROR(SUM(Y335:Y337),"0")</f>
        <v>120</v>
      </c>
      <c r="Z339" s="37"/>
      <c r="AA339" s="630"/>
      <c r="AB339" s="630"/>
      <c r="AC339" s="630"/>
    </row>
    <row r="340" spans="1:68" ht="16.5" hidden="1" customHeight="1" x14ac:dyDescent="0.25">
      <c r="A340" s="657" t="s">
        <v>562</v>
      </c>
      <c r="B340" s="632"/>
      <c r="C340" s="632"/>
      <c r="D340" s="632"/>
      <c r="E340" s="632"/>
      <c r="F340" s="632"/>
      <c r="G340" s="632"/>
      <c r="H340" s="632"/>
      <c r="I340" s="632"/>
      <c r="J340" s="632"/>
      <c r="K340" s="632"/>
      <c r="L340" s="632"/>
      <c r="M340" s="632"/>
      <c r="N340" s="632"/>
      <c r="O340" s="632"/>
      <c r="P340" s="632"/>
      <c r="Q340" s="632"/>
      <c r="R340" s="632"/>
      <c r="S340" s="632"/>
      <c r="T340" s="632"/>
      <c r="U340" s="632"/>
      <c r="V340" s="632"/>
      <c r="W340" s="632"/>
      <c r="X340" s="632"/>
      <c r="Y340" s="632"/>
      <c r="Z340" s="632"/>
      <c r="AA340" s="622"/>
      <c r="AB340" s="622"/>
      <c r="AC340" s="622"/>
    </row>
    <row r="341" spans="1:68" ht="14.25" hidden="1" customHeight="1" x14ac:dyDescent="0.25">
      <c r="A341" s="654" t="s">
        <v>62</v>
      </c>
      <c r="B341" s="632"/>
      <c r="C341" s="632"/>
      <c r="D341" s="632"/>
      <c r="E341" s="632"/>
      <c r="F341" s="632"/>
      <c r="G341" s="632"/>
      <c r="H341" s="632"/>
      <c r="I341" s="632"/>
      <c r="J341" s="632"/>
      <c r="K341" s="632"/>
      <c r="L341" s="632"/>
      <c r="M341" s="632"/>
      <c r="N341" s="632"/>
      <c r="O341" s="632"/>
      <c r="P341" s="632"/>
      <c r="Q341" s="632"/>
      <c r="R341" s="632"/>
      <c r="S341" s="632"/>
      <c r="T341" s="632"/>
      <c r="U341" s="632"/>
      <c r="V341" s="632"/>
      <c r="W341" s="632"/>
      <c r="X341" s="632"/>
      <c r="Y341" s="632"/>
      <c r="Z341" s="632"/>
      <c r="AA341" s="623"/>
      <c r="AB341" s="623"/>
      <c r="AC341" s="623"/>
    </row>
    <row r="342" spans="1:68" ht="27" hidden="1" customHeight="1" x14ac:dyDescent="0.25">
      <c r="A342" s="54" t="s">
        <v>563</v>
      </c>
      <c r="B342" s="54" t="s">
        <v>564</v>
      </c>
      <c r="C342" s="31">
        <v>4301031445</v>
      </c>
      <c r="D342" s="639">
        <v>4680115888319</v>
      </c>
      <c r="E342" s="640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4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5"/>
      <c r="R342" s="635"/>
      <c r="S342" s="635"/>
      <c r="T342" s="636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565</v>
      </c>
      <c r="B343" s="54" t="s">
        <v>566</v>
      </c>
      <c r="C343" s="31">
        <v>4301031502</v>
      </c>
      <c r="D343" s="639">
        <v>4680115884700</v>
      </c>
      <c r="E343" s="640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6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5"/>
      <c r="R343" s="635"/>
      <c r="S343" s="635"/>
      <c r="T343" s="636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568</v>
      </c>
      <c r="B344" s="54" t="s">
        <v>569</v>
      </c>
      <c r="C344" s="31">
        <v>4301031307</v>
      </c>
      <c r="D344" s="639">
        <v>4680115880344</v>
      </c>
      <c r="E344" s="640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5"/>
      <c r="R344" s="635"/>
      <c r="S344" s="635"/>
      <c r="T344" s="636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571</v>
      </c>
      <c r="B345" s="54" t="s">
        <v>572</v>
      </c>
      <c r="C345" s="31">
        <v>4301031501</v>
      </c>
      <c r="D345" s="639">
        <v>4680115886919</v>
      </c>
      <c r="E345" s="640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5"/>
      <c r="R345" s="635"/>
      <c r="S345" s="635"/>
      <c r="T345" s="636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574</v>
      </c>
      <c r="B346" s="54" t="s">
        <v>575</v>
      </c>
      <c r="C346" s="31">
        <v>4301031246</v>
      </c>
      <c r="D346" s="639">
        <v>4680115883970</v>
      </c>
      <c r="E346" s="640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5"/>
      <c r="R346" s="635"/>
      <c r="S346" s="635"/>
      <c r="T346" s="636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31"/>
      <c r="B347" s="632"/>
      <c r="C347" s="632"/>
      <c r="D347" s="632"/>
      <c r="E347" s="632"/>
      <c r="F347" s="632"/>
      <c r="G347" s="632"/>
      <c r="H347" s="632"/>
      <c r="I347" s="632"/>
      <c r="J347" s="632"/>
      <c r="K347" s="632"/>
      <c r="L347" s="632"/>
      <c r="M347" s="632"/>
      <c r="N347" s="632"/>
      <c r="O347" s="633"/>
      <c r="P347" s="650" t="s">
        <v>72</v>
      </c>
      <c r="Q347" s="651"/>
      <c r="R347" s="651"/>
      <c r="S347" s="651"/>
      <c r="T347" s="651"/>
      <c r="U347" s="651"/>
      <c r="V347" s="652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hidden="1" x14ac:dyDescent="0.2">
      <c r="A348" s="632"/>
      <c r="B348" s="632"/>
      <c r="C348" s="632"/>
      <c r="D348" s="632"/>
      <c r="E348" s="632"/>
      <c r="F348" s="632"/>
      <c r="G348" s="632"/>
      <c r="H348" s="632"/>
      <c r="I348" s="632"/>
      <c r="J348" s="632"/>
      <c r="K348" s="632"/>
      <c r="L348" s="632"/>
      <c r="M348" s="632"/>
      <c r="N348" s="632"/>
      <c r="O348" s="633"/>
      <c r="P348" s="650" t="s">
        <v>72</v>
      </c>
      <c r="Q348" s="651"/>
      <c r="R348" s="651"/>
      <c r="S348" s="651"/>
      <c r="T348" s="651"/>
      <c r="U348" s="651"/>
      <c r="V348" s="652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hidden="1" customHeight="1" x14ac:dyDescent="0.25">
      <c r="A349" s="654" t="s">
        <v>74</v>
      </c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2"/>
      <c r="P349" s="632"/>
      <c r="Q349" s="632"/>
      <c r="R349" s="632"/>
      <c r="S349" s="632"/>
      <c r="T349" s="632"/>
      <c r="U349" s="632"/>
      <c r="V349" s="632"/>
      <c r="W349" s="632"/>
      <c r="X349" s="632"/>
      <c r="Y349" s="632"/>
      <c r="Z349" s="632"/>
      <c r="AA349" s="623"/>
      <c r="AB349" s="623"/>
      <c r="AC349" s="623"/>
    </row>
    <row r="350" spans="1:68" ht="27" hidden="1" customHeight="1" x14ac:dyDescent="0.25">
      <c r="A350" s="54" t="s">
        <v>577</v>
      </c>
      <c r="B350" s="54" t="s">
        <v>578</v>
      </c>
      <c r="C350" s="31">
        <v>4301051782</v>
      </c>
      <c r="D350" s="639">
        <v>4680115884618</v>
      </c>
      <c r="E350" s="640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5"/>
      <c r="R350" s="635"/>
      <c r="S350" s="635"/>
      <c r="T350" s="636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580</v>
      </c>
      <c r="B351" s="54" t="s">
        <v>581</v>
      </c>
      <c r="C351" s="31">
        <v>4301052057</v>
      </c>
      <c r="D351" s="639">
        <v>4680115887114</v>
      </c>
      <c r="E351" s="640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5"/>
      <c r="R351" s="635"/>
      <c r="S351" s="635"/>
      <c r="T351" s="636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31"/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3"/>
      <c r="P352" s="650" t="s">
        <v>72</v>
      </c>
      <c r="Q352" s="651"/>
      <c r="R352" s="651"/>
      <c r="S352" s="651"/>
      <c r="T352" s="651"/>
      <c r="U352" s="651"/>
      <c r="V352" s="652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hidden="1" x14ac:dyDescent="0.2">
      <c r="A353" s="632"/>
      <c r="B353" s="632"/>
      <c r="C353" s="632"/>
      <c r="D353" s="632"/>
      <c r="E353" s="632"/>
      <c r="F353" s="632"/>
      <c r="G353" s="632"/>
      <c r="H353" s="632"/>
      <c r="I353" s="632"/>
      <c r="J353" s="632"/>
      <c r="K353" s="632"/>
      <c r="L353" s="632"/>
      <c r="M353" s="632"/>
      <c r="N353" s="632"/>
      <c r="O353" s="633"/>
      <c r="P353" s="650" t="s">
        <v>72</v>
      </c>
      <c r="Q353" s="651"/>
      <c r="R353" s="651"/>
      <c r="S353" s="651"/>
      <c r="T353" s="651"/>
      <c r="U353" s="651"/>
      <c r="V353" s="652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hidden="1" customHeight="1" x14ac:dyDescent="0.25">
      <c r="A354" s="657" t="s">
        <v>583</v>
      </c>
      <c r="B354" s="632"/>
      <c r="C354" s="632"/>
      <c r="D354" s="632"/>
      <c r="E354" s="632"/>
      <c r="F354" s="632"/>
      <c r="G354" s="632"/>
      <c r="H354" s="632"/>
      <c r="I354" s="632"/>
      <c r="J354" s="632"/>
      <c r="K354" s="632"/>
      <c r="L354" s="632"/>
      <c r="M354" s="632"/>
      <c r="N354" s="632"/>
      <c r="O354" s="632"/>
      <c r="P354" s="632"/>
      <c r="Q354" s="632"/>
      <c r="R354" s="632"/>
      <c r="S354" s="632"/>
      <c r="T354" s="632"/>
      <c r="U354" s="632"/>
      <c r="V354" s="632"/>
      <c r="W354" s="632"/>
      <c r="X354" s="632"/>
      <c r="Y354" s="632"/>
      <c r="Z354" s="632"/>
      <c r="AA354" s="622"/>
      <c r="AB354" s="622"/>
      <c r="AC354" s="622"/>
    </row>
    <row r="355" spans="1:68" ht="14.25" hidden="1" customHeight="1" x14ac:dyDescent="0.25">
      <c r="A355" s="654" t="s">
        <v>117</v>
      </c>
      <c r="B355" s="632"/>
      <c r="C355" s="632"/>
      <c r="D355" s="632"/>
      <c r="E355" s="632"/>
      <c r="F355" s="632"/>
      <c r="G355" s="632"/>
      <c r="H355" s="632"/>
      <c r="I355" s="632"/>
      <c r="J355" s="632"/>
      <c r="K355" s="632"/>
      <c r="L355" s="632"/>
      <c r="M355" s="632"/>
      <c r="N355" s="632"/>
      <c r="O355" s="632"/>
      <c r="P355" s="632"/>
      <c r="Q355" s="632"/>
      <c r="R355" s="632"/>
      <c r="S355" s="632"/>
      <c r="T355" s="632"/>
      <c r="U355" s="632"/>
      <c r="V355" s="632"/>
      <c r="W355" s="632"/>
      <c r="X355" s="632"/>
      <c r="Y355" s="632"/>
      <c r="Z355" s="632"/>
      <c r="AA355" s="623"/>
      <c r="AB355" s="623"/>
      <c r="AC355" s="623"/>
    </row>
    <row r="356" spans="1:68" ht="27" customHeight="1" x14ac:dyDescent="0.25">
      <c r="A356" s="54" t="s">
        <v>584</v>
      </c>
      <c r="B356" s="54" t="s">
        <v>585</v>
      </c>
      <c r="C356" s="31">
        <v>4301012324</v>
      </c>
      <c r="D356" s="639">
        <v>4680115887947</v>
      </c>
      <c r="E356" s="640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5"/>
      <c r="R356" s="635"/>
      <c r="S356" s="635"/>
      <c r="T356" s="636"/>
      <c r="U356" s="34"/>
      <c r="V356" s="34"/>
      <c r="W356" s="35" t="s">
        <v>67</v>
      </c>
      <c r="X356" s="627">
        <v>68</v>
      </c>
      <c r="Y356" s="628">
        <f>IFERROR(IF(X356="",0,CEILING((X356/$H356),1)*$H356),"")</f>
        <v>70.2</v>
      </c>
      <c r="Z356" s="36">
        <f>IFERROR(IF(Y356=0,"",ROUNDUP(Y356/H356,0)*0.01898),"")</f>
        <v>0.17082</v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71.574358974358987</v>
      </c>
      <c r="BN356" s="64">
        <f>IFERROR(Y356*I356/H356,"0")</f>
        <v>73.890000000000015</v>
      </c>
      <c r="BO356" s="64">
        <f>IFERROR(1/J356*(X356/H356),"0")</f>
        <v>0.13621794871794873</v>
      </c>
      <c r="BP356" s="64">
        <f>IFERROR(1/J356*(Y356/H356),"0")</f>
        <v>0.140625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9">
        <v>4680115887978</v>
      </c>
      <c r="E357" s="640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5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5"/>
      <c r="R357" s="635"/>
      <c r="S357" s="635"/>
      <c r="T357" s="636"/>
      <c r="U357" s="34"/>
      <c r="V357" s="34"/>
      <c r="W357" s="35" t="s">
        <v>67</v>
      </c>
      <c r="X357" s="627">
        <v>85</v>
      </c>
      <c r="Y357" s="628">
        <f>IFERROR(IF(X357="",0,CEILING((X357/$H357),1)*$H357),"")</f>
        <v>85.8</v>
      </c>
      <c r="Z357" s="36">
        <f>IFERROR(IF(Y357=0,"",ROUNDUP(Y357/H357,0)*0.01898),"")</f>
        <v>0.20877999999999999</v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89.46794871794873</v>
      </c>
      <c r="BN357" s="64">
        <f>IFERROR(Y357*I357/H357,"0")</f>
        <v>90.31</v>
      </c>
      <c r="BO357" s="64">
        <f>IFERROR(1/J357*(X357/H357),"0")</f>
        <v>0.1702724358974359</v>
      </c>
      <c r="BP357" s="64">
        <f>IFERROR(1/J357*(Y357/H357),"0")</f>
        <v>0.171875</v>
      </c>
    </row>
    <row r="358" spans="1:68" ht="27" hidden="1" customHeight="1" x14ac:dyDescent="0.25">
      <c r="A358" s="54" t="s">
        <v>589</v>
      </c>
      <c r="B358" s="54" t="s">
        <v>590</v>
      </c>
      <c r="C358" s="31">
        <v>4301012327</v>
      </c>
      <c r="D358" s="639">
        <v>4680115887992</v>
      </c>
      <c r="E358" s="640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5"/>
      <c r="R358" s="635"/>
      <c r="S358" s="635"/>
      <c r="T358" s="636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31"/>
      <c r="B359" s="632"/>
      <c r="C359" s="632"/>
      <c r="D359" s="632"/>
      <c r="E359" s="632"/>
      <c r="F359" s="632"/>
      <c r="G359" s="632"/>
      <c r="H359" s="632"/>
      <c r="I359" s="632"/>
      <c r="J359" s="632"/>
      <c r="K359" s="632"/>
      <c r="L359" s="632"/>
      <c r="M359" s="632"/>
      <c r="N359" s="632"/>
      <c r="O359" s="633"/>
      <c r="P359" s="650" t="s">
        <v>72</v>
      </c>
      <c r="Q359" s="651"/>
      <c r="R359" s="651"/>
      <c r="S359" s="651"/>
      <c r="T359" s="651"/>
      <c r="U359" s="651"/>
      <c r="V359" s="652"/>
      <c r="W359" s="37" t="s">
        <v>73</v>
      </c>
      <c r="X359" s="629">
        <f>IFERROR(X356/H356,"0")+IFERROR(X357/H357,"0")+IFERROR(X358/H358,"0")</f>
        <v>19.615384615384617</v>
      </c>
      <c r="Y359" s="629">
        <f>IFERROR(Y356/H356,"0")+IFERROR(Y357/H357,"0")+IFERROR(Y358/H358,"0")</f>
        <v>20</v>
      </c>
      <c r="Z359" s="629">
        <f>IFERROR(IF(Z356="",0,Z356),"0")+IFERROR(IF(Z357="",0,Z357),"0")+IFERROR(IF(Z358="",0,Z358),"0")</f>
        <v>0.37959999999999999</v>
      </c>
      <c r="AA359" s="630"/>
      <c r="AB359" s="630"/>
      <c r="AC359" s="630"/>
    </row>
    <row r="360" spans="1:68" x14ac:dyDescent="0.2">
      <c r="A360" s="632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50" t="s">
        <v>72</v>
      </c>
      <c r="Q360" s="651"/>
      <c r="R360" s="651"/>
      <c r="S360" s="651"/>
      <c r="T360" s="651"/>
      <c r="U360" s="651"/>
      <c r="V360" s="652"/>
      <c r="W360" s="37" t="s">
        <v>67</v>
      </c>
      <c r="X360" s="629">
        <f>IFERROR(SUM(X356:X358),"0")</f>
        <v>153</v>
      </c>
      <c r="Y360" s="629">
        <f>IFERROR(SUM(Y356:Y358),"0")</f>
        <v>156</v>
      </c>
      <c r="Z360" s="37"/>
      <c r="AA360" s="630"/>
      <c r="AB360" s="630"/>
      <c r="AC360" s="630"/>
    </row>
    <row r="361" spans="1:68" ht="16.5" hidden="1" customHeight="1" x14ac:dyDescent="0.25">
      <c r="A361" s="657" t="s">
        <v>592</v>
      </c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2"/>
      <c r="P361" s="632"/>
      <c r="Q361" s="632"/>
      <c r="R361" s="632"/>
      <c r="S361" s="632"/>
      <c r="T361" s="632"/>
      <c r="U361" s="632"/>
      <c r="V361" s="632"/>
      <c r="W361" s="632"/>
      <c r="X361" s="632"/>
      <c r="Y361" s="632"/>
      <c r="Z361" s="632"/>
      <c r="AA361" s="622"/>
      <c r="AB361" s="622"/>
      <c r="AC361" s="622"/>
    </row>
    <row r="362" spans="1:68" ht="14.25" hidden="1" customHeight="1" x14ac:dyDescent="0.25">
      <c r="A362" s="654" t="s">
        <v>117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23"/>
      <c r="AB362" s="623"/>
      <c r="AC362" s="623"/>
    </row>
    <row r="363" spans="1:68" ht="27" hidden="1" customHeight="1" x14ac:dyDescent="0.25">
      <c r="A363" s="54" t="s">
        <v>593</v>
      </c>
      <c r="B363" s="54" t="s">
        <v>594</v>
      </c>
      <c r="C363" s="31">
        <v>4301012235</v>
      </c>
      <c r="D363" s="639">
        <v>4680115887190</v>
      </c>
      <c r="E363" s="640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5"/>
      <c r="R363" s="635"/>
      <c r="S363" s="635"/>
      <c r="T363" s="636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hidden="1" customHeight="1" x14ac:dyDescent="0.25">
      <c r="A364" s="54" t="s">
        <v>596</v>
      </c>
      <c r="B364" s="54" t="s">
        <v>597</v>
      </c>
      <c r="C364" s="31">
        <v>4301012233</v>
      </c>
      <c r="D364" s="639">
        <v>4680115887138</v>
      </c>
      <c r="E364" s="640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5"/>
      <c r="R364" s="635"/>
      <c r="S364" s="635"/>
      <c r="T364" s="636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4301012016</v>
      </c>
      <c r="D365" s="639">
        <v>4680115885554</v>
      </c>
      <c r="E365" s="640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5"/>
      <c r="R365" s="635"/>
      <c r="S365" s="635"/>
      <c r="T365" s="636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602</v>
      </c>
      <c r="B366" s="54" t="s">
        <v>603</v>
      </c>
      <c r="C366" s="31">
        <v>4301012236</v>
      </c>
      <c r="D366" s="639">
        <v>4680115887220</v>
      </c>
      <c r="E366" s="640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5"/>
      <c r="R366" s="635"/>
      <c r="S366" s="635"/>
      <c r="T366" s="636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604</v>
      </c>
      <c r="B367" s="54" t="s">
        <v>605</v>
      </c>
      <c r="C367" s="31">
        <v>4301011859</v>
      </c>
      <c r="D367" s="639">
        <v>4680115885608</v>
      </c>
      <c r="E367" s="640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5"/>
      <c r="R367" s="635"/>
      <c r="S367" s="635"/>
      <c r="T367" s="636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631"/>
      <c r="B368" s="632"/>
      <c r="C368" s="632"/>
      <c r="D368" s="632"/>
      <c r="E368" s="632"/>
      <c r="F368" s="632"/>
      <c r="G368" s="632"/>
      <c r="H368" s="632"/>
      <c r="I368" s="632"/>
      <c r="J368" s="632"/>
      <c r="K368" s="632"/>
      <c r="L368" s="632"/>
      <c r="M368" s="632"/>
      <c r="N368" s="632"/>
      <c r="O368" s="633"/>
      <c r="P368" s="650" t="s">
        <v>72</v>
      </c>
      <c r="Q368" s="651"/>
      <c r="R368" s="651"/>
      <c r="S368" s="651"/>
      <c r="T368" s="651"/>
      <c r="U368" s="651"/>
      <c r="V368" s="652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hidden="1" x14ac:dyDescent="0.2">
      <c r="A369" s="632"/>
      <c r="B369" s="632"/>
      <c r="C369" s="632"/>
      <c r="D369" s="632"/>
      <c r="E369" s="632"/>
      <c r="F369" s="632"/>
      <c r="G369" s="632"/>
      <c r="H369" s="632"/>
      <c r="I369" s="632"/>
      <c r="J369" s="632"/>
      <c r="K369" s="632"/>
      <c r="L369" s="632"/>
      <c r="M369" s="632"/>
      <c r="N369" s="632"/>
      <c r="O369" s="633"/>
      <c r="P369" s="650" t="s">
        <v>72</v>
      </c>
      <c r="Q369" s="651"/>
      <c r="R369" s="651"/>
      <c r="S369" s="651"/>
      <c r="T369" s="651"/>
      <c r="U369" s="651"/>
      <c r="V369" s="652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hidden="1" customHeight="1" x14ac:dyDescent="0.25">
      <c r="A370" s="654" t="s">
        <v>62</v>
      </c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2"/>
      <c r="P370" s="632"/>
      <c r="Q370" s="632"/>
      <c r="R370" s="632"/>
      <c r="S370" s="632"/>
      <c r="T370" s="632"/>
      <c r="U370" s="632"/>
      <c r="V370" s="632"/>
      <c r="W370" s="632"/>
      <c r="X370" s="632"/>
      <c r="Y370" s="632"/>
      <c r="Z370" s="632"/>
      <c r="AA370" s="623"/>
      <c r="AB370" s="623"/>
      <c r="AC370" s="623"/>
    </row>
    <row r="371" spans="1:68" ht="27" hidden="1" customHeight="1" x14ac:dyDescent="0.25">
      <c r="A371" s="54" t="s">
        <v>607</v>
      </c>
      <c r="B371" s="54" t="s">
        <v>608</v>
      </c>
      <c r="C371" s="31">
        <v>4301030878</v>
      </c>
      <c r="D371" s="639">
        <v>4607091387193</v>
      </c>
      <c r="E371" s="640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5"/>
      <c r="R371" s="635"/>
      <c r="S371" s="635"/>
      <c r="T371" s="636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hidden="1" customHeight="1" x14ac:dyDescent="0.25">
      <c r="A372" s="54" t="s">
        <v>610</v>
      </c>
      <c r="B372" s="54" t="s">
        <v>611</v>
      </c>
      <c r="C372" s="31">
        <v>4301031153</v>
      </c>
      <c r="D372" s="639">
        <v>4607091387230</v>
      </c>
      <c r="E372" s="640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5"/>
      <c r="R372" s="635"/>
      <c r="S372" s="635"/>
      <c r="T372" s="636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4301031154</v>
      </c>
      <c r="D373" s="639">
        <v>4607091387292</v>
      </c>
      <c r="E373" s="640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5"/>
      <c r="R373" s="635"/>
      <c r="S373" s="635"/>
      <c r="T373" s="636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4301031152</v>
      </c>
      <c r="D374" s="639">
        <v>4607091387285</v>
      </c>
      <c r="E374" s="640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5"/>
      <c r="R374" s="635"/>
      <c r="S374" s="635"/>
      <c r="T374" s="636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4301031305</v>
      </c>
      <c r="D375" s="639">
        <v>4607091389845</v>
      </c>
      <c r="E375" s="640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92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5"/>
      <c r="R375" s="635"/>
      <c r="S375" s="635"/>
      <c r="T375" s="636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hidden="1" customHeight="1" x14ac:dyDescent="0.25">
      <c r="A376" s="54" t="s">
        <v>621</v>
      </c>
      <c r="B376" s="54" t="s">
        <v>622</v>
      </c>
      <c r="C376" s="31">
        <v>4301031460</v>
      </c>
      <c r="D376" s="639">
        <v>4680115887442</v>
      </c>
      <c r="E376" s="640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5"/>
      <c r="R376" s="635"/>
      <c r="S376" s="635"/>
      <c r="T376" s="636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hidden="1" customHeight="1" x14ac:dyDescent="0.25">
      <c r="A377" s="54" t="s">
        <v>623</v>
      </c>
      <c r="B377" s="54" t="s">
        <v>624</v>
      </c>
      <c r="C377" s="31">
        <v>4301031066</v>
      </c>
      <c r="D377" s="639">
        <v>4607091383836</v>
      </c>
      <c r="E377" s="640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5"/>
      <c r="R377" s="635"/>
      <c r="S377" s="635"/>
      <c r="T377" s="636"/>
      <c r="U377" s="34"/>
      <c r="V377" s="34"/>
      <c r="W377" s="35" t="s">
        <v>67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hidden="1" x14ac:dyDescent="0.2">
      <c r="A378" s="631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50" t="s">
        <v>72</v>
      </c>
      <c r="Q378" s="651"/>
      <c r="R378" s="651"/>
      <c r="S378" s="651"/>
      <c r="T378" s="651"/>
      <c r="U378" s="651"/>
      <c r="V378" s="652"/>
      <c r="W378" s="37" t="s">
        <v>73</v>
      </c>
      <c r="X378" s="629">
        <f>IFERROR(X371/H371,"0")+IFERROR(X372/H372,"0")+IFERROR(X373/H373,"0")+IFERROR(X374/H374,"0")+IFERROR(X375/H375,"0")+IFERROR(X376/H376,"0")+IFERROR(X377/H377,"0")</f>
        <v>0</v>
      </c>
      <c r="Y378" s="629">
        <f>IFERROR(Y371/H371,"0")+IFERROR(Y372/H372,"0")+IFERROR(Y373/H373,"0")+IFERROR(Y374/H374,"0")+IFERROR(Y375/H375,"0")+IFERROR(Y376/H376,"0")+IFERROR(Y377/H377,"0")</f>
        <v>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0"/>
      <c r="AB378" s="630"/>
      <c r="AC378" s="630"/>
    </row>
    <row r="379" spans="1:68" hidden="1" x14ac:dyDescent="0.2">
      <c r="A379" s="632"/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3"/>
      <c r="P379" s="650" t="s">
        <v>72</v>
      </c>
      <c r="Q379" s="651"/>
      <c r="R379" s="651"/>
      <c r="S379" s="651"/>
      <c r="T379" s="651"/>
      <c r="U379" s="651"/>
      <c r="V379" s="652"/>
      <c r="W379" s="37" t="s">
        <v>67</v>
      </c>
      <c r="X379" s="629">
        <f>IFERROR(SUM(X371:X377),"0")</f>
        <v>0</v>
      </c>
      <c r="Y379" s="629">
        <f>IFERROR(SUM(Y371:Y377),"0")</f>
        <v>0</v>
      </c>
      <c r="Z379" s="37"/>
      <c r="AA379" s="630"/>
      <c r="AB379" s="630"/>
      <c r="AC379" s="630"/>
    </row>
    <row r="380" spans="1:68" ht="14.25" hidden="1" customHeight="1" x14ac:dyDescent="0.25">
      <c r="A380" s="654" t="s">
        <v>74</v>
      </c>
      <c r="B380" s="632"/>
      <c r="C380" s="632"/>
      <c r="D380" s="632"/>
      <c r="E380" s="632"/>
      <c r="F380" s="632"/>
      <c r="G380" s="632"/>
      <c r="H380" s="632"/>
      <c r="I380" s="632"/>
      <c r="J380" s="632"/>
      <c r="K380" s="632"/>
      <c r="L380" s="632"/>
      <c r="M380" s="632"/>
      <c r="N380" s="632"/>
      <c r="O380" s="632"/>
      <c r="P380" s="632"/>
      <c r="Q380" s="632"/>
      <c r="R380" s="632"/>
      <c r="S380" s="632"/>
      <c r="T380" s="632"/>
      <c r="U380" s="632"/>
      <c r="V380" s="632"/>
      <c r="W380" s="632"/>
      <c r="X380" s="632"/>
      <c r="Y380" s="632"/>
      <c r="Z380" s="632"/>
      <c r="AA380" s="623"/>
      <c r="AB380" s="623"/>
      <c r="AC380" s="623"/>
    </row>
    <row r="381" spans="1:68" ht="27" hidden="1" customHeight="1" x14ac:dyDescent="0.25">
      <c r="A381" s="54" t="s">
        <v>626</v>
      </c>
      <c r="B381" s="54" t="s">
        <v>627</v>
      </c>
      <c r="C381" s="31">
        <v>4301051100</v>
      </c>
      <c r="D381" s="639">
        <v>4607091387766</v>
      </c>
      <c r="E381" s="640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5"/>
      <c r="R381" s="635"/>
      <c r="S381" s="635"/>
      <c r="T381" s="636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629</v>
      </c>
      <c r="B382" s="54" t="s">
        <v>630</v>
      </c>
      <c r="C382" s="31">
        <v>4301051818</v>
      </c>
      <c r="D382" s="639">
        <v>4607091387957</v>
      </c>
      <c r="E382" s="640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5"/>
      <c r="R382" s="635"/>
      <c r="S382" s="635"/>
      <c r="T382" s="636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632</v>
      </c>
      <c r="B383" s="54" t="s">
        <v>633</v>
      </c>
      <c r="C383" s="31">
        <v>4301051819</v>
      </c>
      <c r="D383" s="639">
        <v>4607091387964</v>
      </c>
      <c r="E383" s="640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5"/>
      <c r="R383" s="635"/>
      <c r="S383" s="635"/>
      <c r="T383" s="636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635</v>
      </c>
      <c r="B384" s="54" t="s">
        <v>636</v>
      </c>
      <c r="C384" s="31">
        <v>4301051734</v>
      </c>
      <c r="D384" s="639">
        <v>4680115884588</v>
      </c>
      <c r="E384" s="640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5"/>
      <c r="R384" s="635"/>
      <c r="S384" s="635"/>
      <c r="T384" s="636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631"/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3"/>
      <c r="P385" s="650" t="s">
        <v>72</v>
      </c>
      <c r="Q385" s="651"/>
      <c r="R385" s="651"/>
      <c r="S385" s="651"/>
      <c r="T385" s="651"/>
      <c r="U385" s="651"/>
      <c r="V385" s="652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hidden="1" x14ac:dyDescent="0.2">
      <c r="A386" s="632"/>
      <c r="B386" s="632"/>
      <c r="C386" s="632"/>
      <c r="D386" s="632"/>
      <c r="E386" s="632"/>
      <c r="F386" s="632"/>
      <c r="G386" s="632"/>
      <c r="H386" s="632"/>
      <c r="I386" s="632"/>
      <c r="J386" s="632"/>
      <c r="K386" s="632"/>
      <c r="L386" s="632"/>
      <c r="M386" s="632"/>
      <c r="N386" s="632"/>
      <c r="O386" s="633"/>
      <c r="P386" s="650" t="s">
        <v>72</v>
      </c>
      <c r="Q386" s="651"/>
      <c r="R386" s="651"/>
      <c r="S386" s="651"/>
      <c r="T386" s="651"/>
      <c r="U386" s="651"/>
      <c r="V386" s="652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hidden="1" customHeight="1" x14ac:dyDescent="0.25">
      <c r="A387" s="654" t="s">
        <v>170</v>
      </c>
      <c r="B387" s="632"/>
      <c r="C387" s="632"/>
      <c r="D387" s="632"/>
      <c r="E387" s="632"/>
      <c r="F387" s="632"/>
      <c r="G387" s="632"/>
      <c r="H387" s="632"/>
      <c r="I387" s="632"/>
      <c r="J387" s="632"/>
      <c r="K387" s="632"/>
      <c r="L387" s="632"/>
      <c r="M387" s="632"/>
      <c r="N387" s="632"/>
      <c r="O387" s="632"/>
      <c r="P387" s="632"/>
      <c r="Q387" s="632"/>
      <c r="R387" s="632"/>
      <c r="S387" s="632"/>
      <c r="T387" s="632"/>
      <c r="U387" s="632"/>
      <c r="V387" s="632"/>
      <c r="W387" s="632"/>
      <c r="X387" s="632"/>
      <c r="Y387" s="632"/>
      <c r="Z387" s="632"/>
      <c r="AA387" s="623"/>
      <c r="AB387" s="623"/>
      <c r="AC387" s="623"/>
    </row>
    <row r="388" spans="1:68" ht="27" hidden="1" customHeight="1" x14ac:dyDescent="0.25">
      <c r="A388" s="54" t="s">
        <v>637</v>
      </c>
      <c r="B388" s="54" t="s">
        <v>638</v>
      </c>
      <c r="C388" s="31">
        <v>4301060387</v>
      </c>
      <c r="D388" s="639">
        <v>4607091380880</v>
      </c>
      <c r="E388" s="640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5"/>
      <c r="R388" s="635"/>
      <c r="S388" s="635"/>
      <c r="T388" s="636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9">
        <v>4607091384482</v>
      </c>
      <c r="E389" s="640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5"/>
      <c r="R389" s="635"/>
      <c r="S389" s="635"/>
      <c r="T389" s="636"/>
      <c r="U389" s="34"/>
      <c r="V389" s="34"/>
      <c r="W389" s="35" t="s">
        <v>67</v>
      </c>
      <c r="X389" s="627">
        <v>1202</v>
      </c>
      <c r="Y389" s="628">
        <f>IFERROR(IF(X389="",0,CEILING((X389/$H389),1)*$H389),"")</f>
        <v>1209</v>
      </c>
      <c r="Z389" s="36">
        <f>IFERROR(IF(Y389=0,"",ROUNDUP(Y389/H389,0)*0.01898),"")</f>
        <v>2.9419</v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1278.1266666666668</v>
      </c>
      <c r="BN389" s="64">
        <f>IFERROR(Y389*I389/H389,"0")</f>
        <v>1285.57</v>
      </c>
      <c r="BO389" s="64">
        <f>IFERROR(1/J389*(X389/H389),"0")</f>
        <v>2.4078525641025643</v>
      </c>
      <c r="BP389" s="64">
        <f>IFERROR(1/J389*(Y389/H389),"0")</f>
        <v>2.421875</v>
      </c>
    </row>
    <row r="390" spans="1:68" ht="16.5" hidden="1" customHeight="1" x14ac:dyDescent="0.25">
      <c r="A390" s="54" t="s">
        <v>643</v>
      </c>
      <c r="B390" s="54" t="s">
        <v>644</v>
      </c>
      <c r="C390" s="31">
        <v>4301060484</v>
      </c>
      <c r="D390" s="639">
        <v>4607091380897</v>
      </c>
      <c r="E390" s="640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5"/>
      <c r="R390" s="635"/>
      <c r="S390" s="635"/>
      <c r="T390" s="636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31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50" t="s">
        <v>72</v>
      </c>
      <c r="Q391" s="651"/>
      <c r="R391" s="651"/>
      <c r="S391" s="651"/>
      <c r="T391" s="651"/>
      <c r="U391" s="651"/>
      <c r="V391" s="652"/>
      <c r="W391" s="37" t="s">
        <v>73</v>
      </c>
      <c r="X391" s="629">
        <f>IFERROR(X388/H388,"0")+IFERROR(X389/H389,"0")+IFERROR(X390/H390,"0")</f>
        <v>154.10256410256412</v>
      </c>
      <c r="Y391" s="629">
        <f>IFERROR(Y388/H388,"0")+IFERROR(Y389/H389,"0")+IFERROR(Y390/H390,"0")</f>
        <v>155</v>
      </c>
      <c r="Z391" s="629">
        <f>IFERROR(IF(Z388="",0,Z388),"0")+IFERROR(IF(Z389="",0,Z389),"0")+IFERROR(IF(Z390="",0,Z390),"0")</f>
        <v>2.9419</v>
      </c>
      <c r="AA391" s="630"/>
      <c r="AB391" s="630"/>
      <c r="AC391" s="630"/>
    </row>
    <row r="392" spans="1:68" x14ac:dyDescent="0.2">
      <c r="A392" s="632"/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3"/>
      <c r="P392" s="650" t="s">
        <v>72</v>
      </c>
      <c r="Q392" s="651"/>
      <c r="R392" s="651"/>
      <c r="S392" s="651"/>
      <c r="T392" s="651"/>
      <c r="U392" s="651"/>
      <c r="V392" s="652"/>
      <c r="W392" s="37" t="s">
        <v>67</v>
      </c>
      <c r="X392" s="629">
        <f>IFERROR(SUM(X388:X390),"0")</f>
        <v>1202</v>
      </c>
      <c r="Y392" s="629">
        <f>IFERROR(SUM(Y388:Y390),"0")</f>
        <v>1209</v>
      </c>
      <c r="Z392" s="37"/>
      <c r="AA392" s="630"/>
      <c r="AB392" s="630"/>
      <c r="AC392" s="630"/>
    </row>
    <row r="393" spans="1:68" ht="14.25" hidden="1" customHeight="1" x14ac:dyDescent="0.25">
      <c r="A393" s="654" t="s">
        <v>92</v>
      </c>
      <c r="B393" s="632"/>
      <c r="C393" s="632"/>
      <c r="D393" s="632"/>
      <c r="E393" s="632"/>
      <c r="F393" s="632"/>
      <c r="G393" s="632"/>
      <c r="H393" s="632"/>
      <c r="I393" s="632"/>
      <c r="J393" s="632"/>
      <c r="K393" s="632"/>
      <c r="L393" s="632"/>
      <c r="M393" s="632"/>
      <c r="N393" s="632"/>
      <c r="O393" s="632"/>
      <c r="P393" s="632"/>
      <c r="Q393" s="632"/>
      <c r="R393" s="632"/>
      <c r="S393" s="632"/>
      <c r="T393" s="632"/>
      <c r="U393" s="632"/>
      <c r="V393" s="632"/>
      <c r="W393" s="632"/>
      <c r="X393" s="632"/>
      <c r="Y393" s="632"/>
      <c r="Z393" s="632"/>
      <c r="AA393" s="623"/>
      <c r="AB393" s="623"/>
      <c r="AC393" s="623"/>
    </row>
    <row r="394" spans="1:68" ht="27" hidden="1" customHeight="1" x14ac:dyDescent="0.25">
      <c r="A394" s="54" t="s">
        <v>646</v>
      </c>
      <c r="B394" s="54" t="s">
        <v>647</v>
      </c>
      <c r="C394" s="31">
        <v>4301030235</v>
      </c>
      <c r="D394" s="639">
        <v>4607091388381</v>
      </c>
      <c r="E394" s="640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5"/>
      <c r="R394" s="635"/>
      <c r="S394" s="635"/>
      <c r="T394" s="636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649</v>
      </c>
      <c r="B395" s="54" t="s">
        <v>650</v>
      </c>
      <c r="C395" s="31">
        <v>4301030232</v>
      </c>
      <c r="D395" s="639">
        <v>4607091388374</v>
      </c>
      <c r="E395" s="640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5"/>
      <c r="R395" s="635"/>
      <c r="S395" s="635"/>
      <c r="T395" s="636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651</v>
      </c>
      <c r="B396" s="54" t="s">
        <v>652</v>
      </c>
      <c r="C396" s="31">
        <v>4301032015</v>
      </c>
      <c r="D396" s="639">
        <v>4607091383102</v>
      </c>
      <c r="E396" s="640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5"/>
      <c r="R396" s="635"/>
      <c r="S396" s="635"/>
      <c r="T396" s="636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653</v>
      </c>
      <c r="B397" s="54" t="s">
        <v>654</v>
      </c>
      <c r="C397" s="31">
        <v>4301030233</v>
      </c>
      <c r="D397" s="639">
        <v>4607091388404</v>
      </c>
      <c r="E397" s="640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5"/>
      <c r="R397" s="635"/>
      <c r="S397" s="635"/>
      <c r="T397" s="636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631"/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3"/>
      <c r="P398" s="650" t="s">
        <v>72</v>
      </c>
      <c r="Q398" s="651"/>
      <c r="R398" s="651"/>
      <c r="S398" s="651"/>
      <c r="T398" s="651"/>
      <c r="U398" s="651"/>
      <c r="V398" s="652"/>
      <c r="W398" s="37" t="s">
        <v>73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hidden="1" x14ac:dyDescent="0.2">
      <c r="A399" s="632"/>
      <c r="B399" s="632"/>
      <c r="C399" s="632"/>
      <c r="D399" s="632"/>
      <c r="E399" s="632"/>
      <c r="F399" s="632"/>
      <c r="G399" s="632"/>
      <c r="H399" s="632"/>
      <c r="I399" s="632"/>
      <c r="J399" s="632"/>
      <c r="K399" s="632"/>
      <c r="L399" s="632"/>
      <c r="M399" s="632"/>
      <c r="N399" s="632"/>
      <c r="O399" s="633"/>
      <c r="P399" s="650" t="s">
        <v>72</v>
      </c>
      <c r="Q399" s="651"/>
      <c r="R399" s="651"/>
      <c r="S399" s="651"/>
      <c r="T399" s="651"/>
      <c r="U399" s="651"/>
      <c r="V399" s="652"/>
      <c r="W399" s="37" t="s">
        <v>67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hidden="1" customHeight="1" x14ac:dyDescent="0.25">
      <c r="A400" s="654" t="s">
        <v>655</v>
      </c>
      <c r="B400" s="632"/>
      <c r="C400" s="632"/>
      <c r="D400" s="632"/>
      <c r="E400" s="632"/>
      <c r="F400" s="632"/>
      <c r="G400" s="632"/>
      <c r="H400" s="632"/>
      <c r="I400" s="632"/>
      <c r="J400" s="632"/>
      <c r="K400" s="632"/>
      <c r="L400" s="632"/>
      <c r="M400" s="632"/>
      <c r="N400" s="632"/>
      <c r="O400" s="632"/>
      <c r="P400" s="632"/>
      <c r="Q400" s="632"/>
      <c r="R400" s="632"/>
      <c r="S400" s="632"/>
      <c r="T400" s="632"/>
      <c r="U400" s="632"/>
      <c r="V400" s="632"/>
      <c r="W400" s="632"/>
      <c r="X400" s="632"/>
      <c r="Y400" s="632"/>
      <c r="Z400" s="632"/>
      <c r="AA400" s="623"/>
      <c r="AB400" s="623"/>
      <c r="AC400" s="623"/>
    </row>
    <row r="401" spans="1:68" ht="16.5" hidden="1" customHeight="1" x14ac:dyDescent="0.25">
      <c r="A401" s="54" t="s">
        <v>656</v>
      </c>
      <c r="B401" s="54" t="s">
        <v>657</v>
      </c>
      <c r="C401" s="31">
        <v>4301180007</v>
      </c>
      <c r="D401" s="639">
        <v>4680115881808</v>
      </c>
      <c r="E401" s="640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5"/>
      <c r="R401" s="635"/>
      <c r="S401" s="635"/>
      <c r="T401" s="636"/>
      <c r="U401" s="34"/>
      <c r="V401" s="34"/>
      <c r="W401" s="35" t="s">
        <v>67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660</v>
      </c>
      <c r="B402" s="54" t="s">
        <v>661</v>
      </c>
      <c r="C402" s="31">
        <v>4301180006</v>
      </c>
      <c r="D402" s="639">
        <v>4680115881822</v>
      </c>
      <c r="E402" s="640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5"/>
      <c r="R402" s="635"/>
      <c r="S402" s="635"/>
      <c r="T402" s="636"/>
      <c r="U402" s="34"/>
      <c r="V402" s="34"/>
      <c r="W402" s="35" t="s">
        <v>67</v>
      </c>
      <c r="X402" s="627">
        <v>0</v>
      </c>
      <c r="Y402" s="628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662</v>
      </c>
      <c r="B403" s="54" t="s">
        <v>663</v>
      </c>
      <c r="C403" s="31">
        <v>4301180001</v>
      </c>
      <c r="D403" s="639">
        <v>4680115880016</v>
      </c>
      <c r="E403" s="640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5"/>
      <c r="R403" s="635"/>
      <c r="S403" s="635"/>
      <c r="T403" s="636"/>
      <c r="U403" s="34"/>
      <c r="V403" s="34"/>
      <c r="W403" s="35" t="s">
        <v>67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631"/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3"/>
      <c r="P404" s="650" t="s">
        <v>72</v>
      </c>
      <c r="Q404" s="651"/>
      <c r="R404" s="651"/>
      <c r="S404" s="651"/>
      <c r="T404" s="651"/>
      <c r="U404" s="651"/>
      <c r="V404" s="652"/>
      <c r="W404" s="37" t="s">
        <v>73</v>
      </c>
      <c r="X404" s="629">
        <f>IFERROR(X401/H401,"0")+IFERROR(X402/H402,"0")+IFERROR(X403/H403,"0")</f>
        <v>0</v>
      </c>
      <c r="Y404" s="629">
        <f>IFERROR(Y401/H401,"0")+IFERROR(Y402/H402,"0")+IFERROR(Y403/H403,"0")</f>
        <v>0</v>
      </c>
      <c r="Z404" s="629">
        <f>IFERROR(IF(Z401="",0,Z401),"0")+IFERROR(IF(Z402="",0,Z402),"0")+IFERROR(IF(Z403="",0,Z403),"0")</f>
        <v>0</v>
      </c>
      <c r="AA404" s="630"/>
      <c r="AB404" s="630"/>
      <c r="AC404" s="630"/>
    </row>
    <row r="405" spans="1:68" hidden="1" x14ac:dyDescent="0.2">
      <c r="A405" s="632"/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3"/>
      <c r="P405" s="650" t="s">
        <v>72</v>
      </c>
      <c r="Q405" s="651"/>
      <c r="R405" s="651"/>
      <c r="S405" s="651"/>
      <c r="T405" s="651"/>
      <c r="U405" s="651"/>
      <c r="V405" s="652"/>
      <c r="W405" s="37" t="s">
        <v>67</v>
      </c>
      <c r="X405" s="629">
        <f>IFERROR(SUM(X401:X403),"0")</f>
        <v>0</v>
      </c>
      <c r="Y405" s="629">
        <f>IFERROR(SUM(Y401:Y403),"0")</f>
        <v>0</v>
      </c>
      <c r="Z405" s="37"/>
      <c r="AA405" s="630"/>
      <c r="AB405" s="630"/>
      <c r="AC405" s="630"/>
    </row>
    <row r="406" spans="1:68" ht="14.25" hidden="1" customHeight="1" x14ac:dyDescent="0.25">
      <c r="A406" s="654" t="s">
        <v>664</v>
      </c>
      <c r="B406" s="632"/>
      <c r="C406" s="632"/>
      <c r="D406" s="632"/>
      <c r="E406" s="632"/>
      <c r="F406" s="632"/>
      <c r="G406" s="632"/>
      <c r="H406" s="632"/>
      <c r="I406" s="632"/>
      <c r="J406" s="632"/>
      <c r="K406" s="632"/>
      <c r="L406" s="632"/>
      <c r="M406" s="632"/>
      <c r="N406" s="632"/>
      <c r="O406" s="632"/>
      <c r="P406" s="632"/>
      <c r="Q406" s="632"/>
      <c r="R406" s="632"/>
      <c r="S406" s="632"/>
      <c r="T406" s="632"/>
      <c r="U406" s="632"/>
      <c r="V406" s="632"/>
      <c r="W406" s="632"/>
      <c r="X406" s="632"/>
      <c r="Y406" s="632"/>
      <c r="Z406" s="632"/>
      <c r="AA406" s="623"/>
      <c r="AB406" s="623"/>
      <c r="AC406" s="623"/>
    </row>
    <row r="407" spans="1:68" ht="27" hidden="1" customHeight="1" x14ac:dyDescent="0.25">
      <c r="A407" s="54" t="s">
        <v>665</v>
      </c>
      <c r="B407" s="54" t="s">
        <v>666</v>
      </c>
      <c r="C407" s="31">
        <v>4301220003</v>
      </c>
      <c r="D407" s="639">
        <v>4680115888678</v>
      </c>
      <c r="E407" s="640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5"/>
      <c r="R407" s="635"/>
      <c r="S407" s="635"/>
      <c r="T407" s="636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668</v>
      </c>
      <c r="B408" s="54" t="s">
        <v>669</v>
      </c>
      <c r="C408" s="31">
        <v>4301220001</v>
      </c>
      <c r="D408" s="639">
        <v>4680115888654</v>
      </c>
      <c r="E408" s="640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5"/>
      <c r="R408" s="635"/>
      <c r="S408" s="635"/>
      <c r="T408" s="636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671</v>
      </c>
      <c r="B409" s="54" t="s">
        <v>672</v>
      </c>
      <c r="C409" s="31">
        <v>4301220002</v>
      </c>
      <c r="D409" s="639">
        <v>4680115888753</v>
      </c>
      <c r="E409" s="640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5"/>
      <c r="R409" s="635"/>
      <c r="S409" s="635"/>
      <c r="T409" s="636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631"/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3"/>
      <c r="P410" s="650" t="s">
        <v>72</v>
      </c>
      <c r="Q410" s="651"/>
      <c r="R410" s="651"/>
      <c r="S410" s="651"/>
      <c r="T410" s="651"/>
      <c r="U410" s="651"/>
      <c r="V410" s="652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hidden="1" x14ac:dyDescent="0.2">
      <c r="A411" s="632"/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3"/>
      <c r="P411" s="650" t="s">
        <v>72</v>
      </c>
      <c r="Q411" s="651"/>
      <c r="R411" s="651"/>
      <c r="S411" s="651"/>
      <c r="T411" s="651"/>
      <c r="U411" s="651"/>
      <c r="V411" s="652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hidden="1" customHeight="1" x14ac:dyDescent="0.25">
      <c r="A412" s="657" t="s">
        <v>673</v>
      </c>
      <c r="B412" s="632"/>
      <c r="C412" s="632"/>
      <c r="D412" s="632"/>
      <c r="E412" s="632"/>
      <c r="F412" s="632"/>
      <c r="G412" s="632"/>
      <c r="H412" s="632"/>
      <c r="I412" s="632"/>
      <c r="J412" s="632"/>
      <c r="K412" s="632"/>
      <c r="L412" s="632"/>
      <c r="M412" s="632"/>
      <c r="N412" s="632"/>
      <c r="O412" s="632"/>
      <c r="P412" s="632"/>
      <c r="Q412" s="632"/>
      <c r="R412" s="632"/>
      <c r="S412" s="632"/>
      <c r="T412" s="632"/>
      <c r="U412" s="632"/>
      <c r="V412" s="632"/>
      <c r="W412" s="632"/>
      <c r="X412" s="632"/>
      <c r="Y412" s="632"/>
      <c r="Z412" s="632"/>
      <c r="AA412" s="622"/>
      <c r="AB412" s="622"/>
      <c r="AC412" s="622"/>
    </row>
    <row r="413" spans="1:68" ht="14.25" hidden="1" customHeight="1" x14ac:dyDescent="0.25">
      <c r="A413" s="654" t="s">
        <v>74</v>
      </c>
      <c r="B413" s="632"/>
      <c r="C413" s="632"/>
      <c r="D413" s="632"/>
      <c r="E413" s="632"/>
      <c r="F413" s="632"/>
      <c r="G413" s="632"/>
      <c r="H413" s="632"/>
      <c r="I413" s="632"/>
      <c r="J413" s="632"/>
      <c r="K413" s="632"/>
      <c r="L413" s="632"/>
      <c r="M413" s="632"/>
      <c r="N413" s="632"/>
      <c r="O413" s="632"/>
      <c r="P413" s="632"/>
      <c r="Q413" s="632"/>
      <c r="R413" s="632"/>
      <c r="S413" s="632"/>
      <c r="T413" s="632"/>
      <c r="U413" s="632"/>
      <c r="V413" s="632"/>
      <c r="W413" s="632"/>
      <c r="X413" s="632"/>
      <c r="Y413" s="632"/>
      <c r="Z413" s="632"/>
      <c r="AA413" s="623"/>
      <c r="AB413" s="623"/>
      <c r="AC413" s="623"/>
    </row>
    <row r="414" spans="1:68" ht="27" hidden="1" customHeight="1" x14ac:dyDescent="0.25">
      <c r="A414" s="54" t="s">
        <v>674</v>
      </c>
      <c r="B414" s="54" t="s">
        <v>675</v>
      </c>
      <c r="C414" s="31">
        <v>4301051489</v>
      </c>
      <c r="D414" s="639">
        <v>4607091387919</v>
      </c>
      <c r="E414" s="640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5"/>
      <c r="R414" s="635"/>
      <c r="S414" s="635"/>
      <c r="T414" s="636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9">
        <v>4680115883604</v>
      </c>
      <c r="E415" s="640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5"/>
      <c r="R415" s="635"/>
      <c r="S415" s="635"/>
      <c r="T415" s="636"/>
      <c r="U415" s="34"/>
      <c r="V415" s="34"/>
      <c r="W415" s="35" t="s">
        <v>67</v>
      </c>
      <c r="X415" s="627">
        <v>137</v>
      </c>
      <c r="Y415" s="628">
        <f>IFERROR(IF(X415="",0,CEILING((X415/$H415),1)*$H415),"")</f>
        <v>138.6</v>
      </c>
      <c r="Z415" s="36">
        <f>IFERROR(IF(Y415=0,"",ROUNDUP(Y415/H415,0)*0.00651),"")</f>
        <v>0.42965999999999999</v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153.44</v>
      </c>
      <c r="BN415" s="64">
        <f>IFERROR(Y415*I415/H415,"0")</f>
        <v>155.23199999999997</v>
      </c>
      <c r="BO415" s="64">
        <f>IFERROR(1/J415*(X415/H415),"0")</f>
        <v>0.35845107273678706</v>
      </c>
      <c r="BP415" s="64">
        <f>IFERROR(1/J415*(Y415/H415),"0")</f>
        <v>0.36263736263736268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9">
        <v>4680115883567</v>
      </c>
      <c r="E416" s="640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5"/>
      <c r="R416" s="635"/>
      <c r="S416" s="635"/>
      <c r="T416" s="636"/>
      <c r="U416" s="34"/>
      <c r="V416" s="34"/>
      <c r="W416" s="35" t="s">
        <v>67</v>
      </c>
      <c r="X416" s="627">
        <v>6</v>
      </c>
      <c r="Y416" s="628">
        <f>IFERROR(IF(X416="",0,CEILING((X416/$H416),1)*$H416),"")</f>
        <v>6.3000000000000007</v>
      </c>
      <c r="Z416" s="36">
        <f>IFERROR(IF(Y416=0,"",ROUNDUP(Y416/H416,0)*0.00651),"")</f>
        <v>1.9529999999999999E-2</v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6.6857142857142851</v>
      </c>
      <c r="BN416" s="64">
        <f>IFERROR(Y416*I416/H416,"0")</f>
        <v>7.0200000000000005</v>
      </c>
      <c r="BO416" s="64">
        <f>IFERROR(1/J416*(X416/H416),"0")</f>
        <v>1.5698587127158558E-2</v>
      </c>
      <c r="BP416" s="64">
        <f>IFERROR(1/J416*(Y416/H416),"0")</f>
        <v>1.6483516483516484E-2</v>
      </c>
    </row>
    <row r="417" spans="1:68" x14ac:dyDescent="0.2">
      <c r="A417" s="631"/>
      <c r="B417" s="632"/>
      <c r="C417" s="632"/>
      <c r="D417" s="632"/>
      <c r="E417" s="632"/>
      <c r="F417" s="632"/>
      <c r="G417" s="632"/>
      <c r="H417" s="632"/>
      <c r="I417" s="632"/>
      <c r="J417" s="632"/>
      <c r="K417" s="632"/>
      <c r="L417" s="632"/>
      <c r="M417" s="632"/>
      <c r="N417" s="632"/>
      <c r="O417" s="633"/>
      <c r="P417" s="650" t="s">
        <v>72</v>
      </c>
      <c r="Q417" s="651"/>
      <c r="R417" s="651"/>
      <c r="S417" s="651"/>
      <c r="T417" s="651"/>
      <c r="U417" s="651"/>
      <c r="V417" s="652"/>
      <c r="W417" s="37" t="s">
        <v>73</v>
      </c>
      <c r="X417" s="629">
        <f>IFERROR(X414/H414,"0")+IFERROR(X415/H415,"0")+IFERROR(X416/H416,"0")</f>
        <v>68.095238095238102</v>
      </c>
      <c r="Y417" s="629">
        <f>IFERROR(Y414/H414,"0")+IFERROR(Y415/H415,"0")+IFERROR(Y416/H416,"0")</f>
        <v>69</v>
      </c>
      <c r="Z417" s="629">
        <f>IFERROR(IF(Z414="",0,Z414),"0")+IFERROR(IF(Z415="",0,Z415),"0")+IFERROR(IF(Z416="",0,Z416),"0")</f>
        <v>0.44918999999999998</v>
      </c>
      <c r="AA417" s="630"/>
      <c r="AB417" s="630"/>
      <c r="AC417" s="630"/>
    </row>
    <row r="418" spans="1:68" x14ac:dyDescent="0.2">
      <c r="A418" s="632"/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3"/>
      <c r="P418" s="650" t="s">
        <v>72</v>
      </c>
      <c r="Q418" s="651"/>
      <c r="R418" s="651"/>
      <c r="S418" s="651"/>
      <c r="T418" s="651"/>
      <c r="U418" s="651"/>
      <c r="V418" s="652"/>
      <c r="W418" s="37" t="s">
        <v>67</v>
      </c>
      <c r="X418" s="629">
        <f>IFERROR(SUM(X414:X416),"0")</f>
        <v>143</v>
      </c>
      <c r="Y418" s="629">
        <f>IFERROR(SUM(Y414:Y416),"0")</f>
        <v>144.9</v>
      </c>
      <c r="Z418" s="37"/>
      <c r="AA418" s="630"/>
      <c r="AB418" s="630"/>
      <c r="AC418" s="630"/>
    </row>
    <row r="419" spans="1:68" ht="27.75" hidden="1" customHeight="1" x14ac:dyDescent="0.2">
      <c r="A419" s="660" t="s">
        <v>683</v>
      </c>
      <c r="B419" s="661"/>
      <c r="C419" s="661"/>
      <c r="D419" s="661"/>
      <c r="E419" s="661"/>
      <c r="F419" s="661"/>
      <c r="G419" s="661"/>
      <c r="H419" s="661"/>
      <c r="I419" s="661"/>
      <c r="J419" s="661"/>
      <c r="K419" s="661"/>
      <c r="L419" s="661"/>
      <c r="M419" s="661"/>
      <c r="N419" s="661"/>
      <c r="O419" s="661"/>
      <c r="P419" s="661"/>
      <c r="Q419" s="661"/>
      <c r="R419" s="661"/>
      <c r="S419" s="661"/>
      <c r="T419" s="661"/>
      <c r="U419" s="661"/>
      <c r="V419" s="661"/>
      <c r="W419" s="661"/>
      <c r="X419" s="661"/>
      <c r="Y419" s="661"/>
      <c r="Z419" s="661"/>
      <c r="AA419" s="48"/>
      <c r="AB419" s="48"/>
      <c r="AC419" s="48"/>
    </row>
    <row r="420" spans="1:68" ht="16.5" hidden="1" customHeight="1" x14ac:dyDescent="0.25">
      <c r="A420" s="657" t="s">
        <v>684</v>
      </c>
      <c r="B420" s="632"/>
      <c r="C420" s="632"/>
      <c r="D420" s="632"/>
      <c r="E420" s="632"/>
      <c r="F420" s="632"/>
      <c r="G420" s="632"/>
      <c r="H420" s="632"/>
      <c r="I420" s="632"/>
      <c r="J420" s="632"/>
      <c r="K420" s="632"/>
      <c r="L420" s="632"/>
      <c r="M420" s="632"/>
      <c r="N420" s="632"/>
      <c r="O420" s="632"/>
      <c r="P420" s="632"/>
      <c r="Q420" s="632"/>
      <c r="R420" s="632"/>
      <c r="S420" s="632"/>
      <c r="T420" s="632"/>
      <c r="U420" s="632"/>
      <c r="V420" s="632"/>
      <c r="W420" s="632"/>
      <c r="X420" s="632"/>
      <c r="Y420" s="632"/>
      <c r="Z420" s="632"/>
      <c r="AA420" s="622"/>
      <c r="AB420" s="622"/>
      <c r="AC420" s="622"/>
    </row>
    <row r="421" spans="1:68" ht="14.25" hidden="1" customHeight="1" x14ac:dyDescent="0.25">
      <c r="A421" s="654" t="s">
        <v>117</v>
      </c>
      <c r="B421" s="632"/>
      <c r="C421" s="632"/>
      <c r="D421" s="632"/>
      <c r="E421" s="632"/>
      <c r="F421" s="632"/>
      <c r="G421" s="632"/>
      <c r="H421" s="632"/>
      <c r="I421" s="632"/>
      <c r="J421" s="632"/>
      <c r="K421" s="632"/>
      <c r="L421" s="632"/>
      <c r="M421" s="632"/>
      <c r="N421" s="632"/>
      <c r="O421" s="632"/>
      <c r="P421" s="632"/>
      <c r="Q421" s="632"/>
      <c r="R421" s="632"/>
      <c r="S421" s="632"/>
      <c r="T421" s="632"/>
      <c r="U421" s="632"/>
      <c r="V421" s="632"/>
      <c r="W421" s="632"/>
      <c r="X421" s="632"/>
      <c r="Y421" s="632"/>
      <c r="Z421" s="632"/>
      <c r="AA421" s="623"/>
      <c r="AB421" s="623"/>
      <c r="AC421" s="623"/>
    </row>
    <row r="422" spans="1:68" ht="27" hidden="1" customHeight="1" x14ac:dyDescent="0.25">
      <c r="A422" s="54" t="s">
        <v>685</v>
      </c>
      <c r="B422" s="54" t="s">
        <v>686</v>
      </c>
      <c r="C422" s="31">
        <v>4301012332</v>
      </c>
      <c r="D422" s="639">
        <v>4680115888401</v>
      </c>
      <c r="E422" s="640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5"/>
      <c r="R422" s="635"/>
      <c r="S422" s="635"/>
      <c r="T422" s="636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hidden="1" customHeight="1" x14ac:dyDescent="0.25">
      <c r="A423" s="54" t="s">
        <v>688</v>
      </c>
      <c r="B423" s="54" t="s">
        <v>689</v>
      </c>
      <c r="C423" s="31">
        <v>4301011869</v>
      </c>
      <c r="D423" s="639">
        <v>4680115884847</v>
      </c>
      <c r="E423" s="640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3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5"/>
      <c r="R423" s="635"/>
      <c r="S423" s="635"/>
      <c r="T423" s="636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9">
        <v>4680115884854</v>
      </c>
      <c r="E424" s="640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5"/>
      <c r="R424" s="635"/>
      <c r="S424" s="635"/>
      <c r="T424" s="636"/>
      <c r="U424" s="34"/>
      <c r="V424" s="34"/>
      <c r="W424" s="35" t="s">
        <v>67</v>
      </c>
      <c r="X424" s="627">
        <v>355</v>
      </c>
      <c r="Y424" s="628">
        <f t="shared" si="47"/>
        <v>360</v>
      </c>
      <c r="Z424" s="36">
        <f>IFERROR(IF(Y424=0,"",ROUNDUP(Y424/H424,0)*0.02175),"")</f>
        <v>0.52200000000000002</v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366.12333333333333</v>
      </c>
      <c r="BN424" s="64">
        <f t="shared" si="49"/>
        <v>371.28</v>
      </c>
      <c r="BO424" s="64">
        <f t="shared" si="50"/>
        <v>0.49305555555555558</v>
      </c>
      <c r="BP424" s="64">
        <f t="shared" si="51"/>
        <v>0.5</v>
      </c>
    </row>
    <row r="425" spans="1:68" ht="27" hidden="1" customHeight="1" x14ac:dyDescent="0.25">
      <c r="A425" s="54" t="s">
        <v>694</v>
      </c>
      <c r="B425" s="54" t="s">
        <v>695</v>
      </c>
      <c r="C425" s="31">
        <v>4301011867</v>
      </c>
      <c r="D425" s="639">
        <v>4680115884830</v>
      </c>
      <c r="E425" s="640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5"/>
      <c r="R425" s="635"/>
      <c r="S425" s="635"/>
      <c r="T425" s="636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hidden="1" customHeight="1" x14ac:dyDescent="0.25">
      <c r="A426" s="54" t="s">
        <v>697</v>
      </c>
      <c r="B426" s="54" t="s">
        <v>698</v>
      </c>
      <c r="C426" s="31">
        <v>4301012356</v>
      </c>
      <c r="D426" s="639">
        <v>4680115889231</v>
      </c>
      <c r="E426" s="640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5"/>
      <c r="R426" s="635"/>
      <c r="S426" s="635"/>
      <c r="T426" s="636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hidden="1" customHeight="1" x14ac:dyDescent="0.25">
      <c r="A427" s="54" t="s">
        <v>700</v>
      </c>
      <c r="B427" s="54" t="s">
        <v>701</v>
      </c>
      <c r="C427" s="31">
        <v>4301011433</v>
      </c>
      <c r="D427" s="639">
        <v>4680115882638</v>
      </c>
      <c r="E427" s="640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5"/>
      <c r="R427" s="635"/>
      <c r="S427" s="635"/>
      <c r="T427" s="636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hidden="1" customHeight="1" x14ac:dyDescent="0.25">
      <c r="A428" s="54" t="s">
        <v>703</v>
      </c>
      <c r="B428" s="54" t="s">
        <v>704</v>
      </c>
      <c r="C428" s="31">
        <v>4301011952</v>
      </c>
      <c r="D428" s="639">
        <v>4680115884922</v>
      </c>
      <c r="E428" s="640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5"/>
      <c r="R428" s="635"/>
      <c r="S428" s="635"/>
      <c r="T428" s="636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hidden="1" customHeight="1" x14ac:dyDescent="0.25">
      <c r="A429" s="54" t="s">
        <v>706</v>
      </c>
      <c r="B429" s="54" t="s">
        <v>707</v>
      </c>
      <c r="C429" s="31">
        <v>4301011868</v>
      </c>
      <c r="D429" s="639">
        <v>4680115884861</v>
      </c>
      <c r="E429" s="640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5"/>
      <c r="R429" s="635"/>
      <c r="S429" s="635"/>
      <c r="T429" s="636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31"/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3"/>
      <c r="P430" s="650" t="s">
        <v>72</v>
      </c>
      <c r="Q430" s="651"/>
      <c r="R430" s="651"/>
      <c r="S430" s="651"/>
      <c r="T430" s="651"/>
      <c r="U430" s="651"/>
      <c r="V430" s="652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23.666666666666668</v>
      </c>
      <c r="Y430" s="629">
        <f>IFERROR(Y422/H422,"0")+IFERROR(Y423/H423,"0")+IFERROR(Y424/H424,"0")+IFERROR(Y425/H425,"0")+IFERROR(Y426/H426,"0")+IFERROR(Y427/H427,"0")+IFERROR(Y428/H428,"0")+IFERROR(Y429/H429,"0")</f>
        <v>24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0.52200000000000002</v>
      </c>
      <c r="AA430" s="630"/>
      <c r="AB430" s="630"/>
      <c r="AC430" s="630"/>
    </row>
    <row r="431" spans="1:68" x14ac:dyDescent="0.2">
      <c r="A431" s="632"/>
      <c r="B431" s="632"/>
      <c r="C431" s="632"/>
      <c r="D431" s="632"/>
      <c r="E431" s="632"/>
      <c r="F431" s="632"/>
      <c r="G431" s="632"/>
      <c r="H431" s="632"/>
      <c r="I431" s="632"/>
      <c r="J431" s="632"/>
      <c r="K431" s="632"/>
      <c r="L431" s="632"/>
      <c r="M431" s="632"/>
      <c r="N431" s="632"/>
      <c r="O431" s="633"/>
      <c r="P431" s="650" t="s">
        <v>72</v>
      </c>
      <c r="Q431" s="651"/>
      <c r="R431" s="651"/>
      <c r="S431" s="651"/>
      <c r="T431" s="651"/>
      <c r="U431" s="651"/>
      <c r="V431" s="652"/>
      <c r="W431" s="37" t="s">
        <v>67</v>
      </c>
      <c r="X431" s="629">
        <f>IFERROR(SUM(X422:X429),"0")</f>
        <v>355</v>
      </c>
      <c r="Y431" s="629">
        <f>IFERROR(SUM(Y422:Y429),"0")</f>
        <v>360</v>
      </c>
      <c r="Z431" s="37"/>
      <c r="AA431" s="630"/>
      <c r="AB431" s="630"/>
      <c r="AC431" s="630"/>
    </row>
    <row r="432" spans="1:68" ht="14.25" hidden="1" customHeight="1" x14ac:dyDescent="0.25">
      <c r="A432" s="654" t="s">
        <v>153</v>
      </c>
      <c r="B432" s="632"/>
      <c r="C432" s="632"/>
      <c r="D432" s="632"/>
      <c r="E432" s="632"/>
      <c r="F432" s="632"/>
      <c r="G432" s="632"/>
      <c r="H432" s="632"/>
      <c r="I432" s="632"/>
      <c r="J432" s="632"/>
      <c r="K432" s="632"/>
      <c r="L432" s="632"/>
      <c r="M432" s="632"/>
      <c r="N432" s="632"/>
      <c r="O432" s="632"/>
      <c r="P432" s="632"/>
      <c r="Q432" s="632"/>
      <c r="R432" s="632"/>
      <c r="S432" s="632"/>
      <c r="T432" s="632"/>
      <c r="U432" s="632"/>
      <c r="V432" s="632"/>
      <c r="W432" s="632"/>
      <c r="X432" s="632"/>
      <c r="Y432" s="632"/>
      <c r="Z432" s="632"/>
      <c r="AA432" s="623"/>
      <c r="AB432" s="623"/>
      <c r="AC432" s="623"/>
    </row>
    <row r="433" spans="1:68" ht="27" hidden="1" customHeight="1" x14ac:dyDescent="0.25">
      <c r="A433" s="54" t="s">
        <v>709</v>
      </c>
      <c r="B433" s="54" t="s">
        <v>710</v>
      </c>
      <c r="C433" s="31">
        <v>4301020178</v>
      </c>
      <c r="D433" s="639">
        <v>4607091383980</v>
      </c>
      <c r="E433" s="640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5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5"/>
      <c r="R433" s="635"/>
      <c r="S433" s="635"/>
      <c r="T433" s="636"/>
      <c r="U433" s="34"/>
      <c r="V433" s="34"/>
      <c r="W433" s="35" t="s">
        <v>67</v>
      </c>
      <c r="X433" s="627">
        <v>0</v>
      </c>
      <c r="Y433" s="628">
        <f>IFERROR(IF(X433="",0,CEILING((X433/$H433),1)*$H433),"")</f>
        <v>0</v>
      </c>
      <c r="Z433" s="36" t="str">
        <f>IFERROR(IF(Y433=0,"",ROUNDUP(Y433/H433,0)*0.02175),"")</f>
        <v/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27" customHeight="1" x14ac:dyDescent="0.25">
      <c r="A434" s="54" t="s">
        <v>712</v>
      </c>
      <c r="B434" s="54" t="s">
        <v>713</v>
      </c>
      <c r="C434" s="31">
        <v>4301020355</v>
      </c>
      <c r="D434" s="639">
        <v>4680115888425</v>
      </c>
      <c r="E434" s="640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5"/>
      <c r="R434" s="635"/>
      <c r="S434" s="635"/>
      <c r="T434" s="636"/>
      <c r="U434" s="34"/>
      <c r="V434" s="34"/>
      <c r="W434" s="35" t="s">
        <v>67</v>
      </c>
      <c r="X434" s="627">
        <v>30</v>
      </c>
      <c r="Y434" s="628">
        <f>IFERROR(IF(X434="",0,CEILING((X434/$H434),1)*$H434),"")</f>
        <v>30</v>
      </c>
      <c r="Z434" s="36">
        <f>IFERROR(IF(Y434=0,"",ROUNDUP(Y434/H434,0)*0.02175),"")</f>
        <v>4.3499999999999997E-2</v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30.94</v>
      </c>
      <c r="BN434" s="64">
        <f>IFERROR(Y434*I434/H434,"0")</f>
        <v>30.94</v>
      </c>
      <c r="BO434" s="64">
        <f>IFERROR(1/J434*(X434/H434),"0")</f>
        <v>4.1666666666666664E-2</v>
      </c>
      <c r="BP434" s="64">
        <f>IFERROR(1/J434*(Y434/H434),"0")</f>
        <v>4.1666666666666664E-2</v>
      </c>
    </row>
    <row r="435" spans="1:68" ht="27" hidden="1" customHeight="1" x14ac:dyDescent="0.25">
      <c r="A435" s="54" t="s">
        <v>715</v>
      </c>
      <c r="B435" s="54" t="s">
        <v>716</v>
      </c>
      <c r="C435" s="31">
        <v>4301020179</v>
      </c>
      <c r="D435" s="639">
        <v>4607091384178</v>
      </c>
      <c r="E435" s="640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5"/>
      <c r="R435" s="635"/>
      <c r="S435" s="635"/>
      <c r="T435" s="636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31"/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3"/>
      <c r="P436" s="650" t="s">
        <v>72</v>
      </c>
      <c r="Q436" s="651"/>
      <c r="R436" s="651"/>
      <c r="S436" s="651"/>
      <c r="T436" s="651"/>
      <c r="U436" s="651"/>
      <c r="V436" s="652"/>
      <c r="W436" s="37" t="s">
        <v>73</v>
      </c>
      <c r="X436" s="629">
        <f>IFERROR(X433/H433,"0")+IFERROR(X434/H434,"0")+IFERROR(X435/H435,"0")</f>
        <v>2</v>
      </c>
      <c r="Y436" s="629">
        <f>IFERROR(Y433/H433,"0")+IFERROR(Y434/H434,"0")+IFERROR(Y435/H435,"0")</f>
        <v>2</v>
      </c>
      <c r="Z436" s="629">
        <f>IFERROR(IF(Z433="",0,Z433),"0")+IFERROR(IF(Z434="",0,Z434),"0")+IFERROR(IF(Z435="",0,Z435),"0")</f>
        <v>4.3499999999999997E-2</v>
      </c>
      <c r="AA436" s="630"/>
      <c r="AB436" s="630"/>
      <c r="AC436" s="630"/>
    </row>
    <row r="437" spans="1:68" x14ac:dyDescent="0.2">
      <c r="A437" s="632"/>
      <c r="B437" s="632"/>
      <c r="C437" s="632"/>
      <c r="D437" s="632"/>
      <c r="E437" s="632"/>
      <c r="F437" s="632"/>
      <c r="G437" s="632"/>
      <c r="H437" s="632"/>
      <c r="I437" s="632"/>
      <c r="J437" s="632"/>
      <c r="K437" s="632"/>
      <c r="L437" s="632"/>
      <c r="M437" s="632"/>
      <c r="N437" s="632"/>
      <c r="O437" s="633"/>
      <c r="P437" s="650" t="s">
        <v>72</v>
      </c>
      <c r="Q437" s="651"/>
      <c r="R437" s="651"/>
      <c r="S437" s="651"/>
      <c r="T437" s="651"/>
      <c r="U437" s="651"/>
      <c r="V437" s="652"/>
      <c r="W437" s="37" t="s">
        <v>67</v>
      </c>
      <c r="X437" s="629">
        <f>IFERROR(SUM(X433:X435),"0")</f>
        <v>30</v>
      </c>
      <c r="Y437" s="629">
        <f>IFERROR(SUM(Y433:Y435),"0")</f>
        <v>30</v>
      </c>
      <c r="Z437" s="37"/>
      <c r="AA437" s="630"/>
      <c r="AB437" s="630"/>
      <c r="AC437" s="630"/>
    </row>
    <row r="438" spans="1:68" ht="14.25" hidden="1" customHeight="1" x14ac:dyDescent="0.25">
      <c r="A438" s="654" t="s">
        <v>74</v>
      </c>
      <c r="B438" s="632"/>
      <c r="C438" s="632"/>
      <c r="D438" s="632"/>
      <c r="E438" s="632"/>
      <c r="F438" s="632"/>
      <c r="G438" s="632"/>
      <c r="H438" s="632"/>
      <c r="I438" s="632"/>
      <c r="J438" s="632"/>
      <c r="K438" s="632"/>
      <c r="L438" s="632"/>
      <c r="M438" s="632"/>
      <c r="N438" s="632"/>
      <c r="O438" s="632"/>
      <c r="P438" s="632"/>
      <c r="Q438" s="632"/>
      <c r="R438" s="632"/>
      <c r="S438" s="632"/>
      <c r="T438" s="632"/>
      <c r="U438" s="632"/>
      <c r="V438" s="632"/>
      <c r="W438" s="632"/>
      <c r="X438" s="632"/>
      <c r="Y438" s="632"/>
      <c r="Z438" s="632"/>
      <c r="AA438" s="623"/>
      <c r="AB438" s="623"/>
      <c r="AC438" s="623"/>
    </row>
    <row r="439" spans="1:68" ht="27" hidden="1" customHeight="1" x14ac:dyDescent="0.25">
      <c r="A439" s="54" t="s">
        <v>718</v>
      </c>
      <c r="B439" s="54" t="s">
        <v>719</v>
      </c>
      <c r="C439" s="31">
        <v>4301051903</v>
      </c>
      <c r="D439" s="639">
        <v>4607091383928</v>
      </c>
      <c r="E439" s="640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5"/>
      <c r="R439" s="635"/>
      <c r="S439" s="635"/>
      <c r="T439" s="636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hidden="1" customHeight="1" x14ac:dyDescent="0.25">
      <c r="A440" s="54" t="s">
        <v>721</v>
      </c>
      <c r="B440" s="54" t="s">
        <v>722</v>
      </c>
      <c r="C440" s="31">
        <v>4301051897</v>
      </c>
      <c r="D440" s="639">
        <v>4607091384260</v>
      </c>
      <c r="E440" s="640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5"/>
      <c r="R440" s="635"/>
      <c r="S440" s="635"/>
      <c r="T440" s="636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724</v>
      </c>
      <c r="B441" s="54" t="s">
        <v>725</v>
      </c>
      <c r="C441" s="31">
        <v>4301052220</v>
      </c>
      <c r="D441" s="639">
        <v>4680115889538</v>
      </c>
      <c r="E441" s="640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5"/>
      <c r="R441" s="635"/>
      <c r="S441" s="635"/>
      <c r="T441" s="636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idden="1" x14ac:dyDescent="0.2">
      <c r="A442" s="631"/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3"/>
      <c r="P442" s="650" t="s">
        <v>72</v>
      </c>
      <c r="Q442" s="651"/>
      <c r="R442" s="651"/>
      <c r="S442" s="651"/>
      <c r="T442" s="651"/>
      <c r="U442" s="651"/>
      <c r="V442" s="652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hidden="1" x14ac:dyDescent="0.2">
      <c r="A443" s="632"/>
      <c r="B443" s="632"/>
      <c r="C443" s="632"/>
      <c r="D443" s="632"/>
      <c r="E443" s="632"/>
      <c r="F443" s="632"/>
      <c r="G443" s="632"/>
      <c r="H443" s="632"/>
      <c r="I443" s="632"/>
      <c r="J443" s="632"/>
      <c r="K443" s="632"/>
      <c r="L443" s="632"/>
      <c r="M443" s="632"/>
      <c r="N443" s="632"/>
      <c r="O443" s="633"/>
      <c r="P443" s="650" t="s">
        <v>72</v>
      </c>
      <c r="Q443" s="651"/>
      <c r="R443" s="651"/>
      <c r="S443" s="651"/>
      <c r="T443" s="651"/>
      <c r="U443" s="651"/>
      <c r="V443" s="652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hidden="1" customHeight="1" x14ac:dyDescent="0.25">
      <c r="A444" s="654" t="s">
        <v>170</v>
      </c>
      <c r="B444" s="632"/>
      <c r="C444" s="632"/>
      <c r="D444" s="632"/>
      <c r="E444" s="632"/>
      <c r="F444" s="632"/>
      <c r="G444" s="632"/>
      <c r="H444" s="632"/>
      <c r="I444" s="632"/>
      <c r="J444" s="632"/>
      <c r="K444" s="632"/>
      <c r="L444" s="632"/>
      <c r="M444" s="632"/>
      <c r="N444" s="632"/>
      <c r="O444" s="632"/>
      <c r="P444" s="632"/>
      <c r="Q444" s="632"/>
      <c r="R444" s="632"/>
      <c r="S444" s="632"/>
      <c r="T444" s="632"/>
      <c r="U444" s="632"/>
      <c r="V444" s="632"/>
      <c r="W444" s="632"/>
      <c r="X444" s="632"/>
      <c r="Y444" s="632"/>
      <c r="Z444" s="632"/>
      <c r="AA444" s="623"/>
      <c r="AB444" s="623"/>
      <c r="AC444" s="623"/>
    </row>
    <row r="445" spans="1:68" ht="27" hidden="1" customHeight="1" x14ac:dyDescent="0.25">
      <c r="A445" s="54" t="s">
        <v>727</v>
      </c>
      <c r="B445" s="54" t="s">
        <v>728</v>
      </c>
      <c r="C445" s="31">
        <v>4301060537</v>
      </c>
      <c r="D445" s="639">
        <v>4680115889545</v>
      </c>
      <c r="E445" s="640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4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5"/>
      <c r="R445" s="635"/>
      <c r="S445" s="635"/>
      <c r="T445" s="636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730</v>
      </c>
      <c r="B446" s="54" t="s">
        <v>731</v>
      </c>
      <c r="C446" s="31">
        <v>4301060524</v>
      </c>
      <c r="D446" s="639">
        <v>4607091384673</v>
      </c>
      <c r="E446" s="640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5"/>
      <c r="R446" s="635"/>
      <c r="S446" s="635"/>
      <c r="T446" s="636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31"/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3"/>
      <c r="P447" s="650" t="s">
        <v>72</v>
      </c>
      <c r="Q447" s="651"/>
      <c r="R447" s="651"/>
      <c r="S447" s="651"/>
      <c r="T447" s="651"/>
      <c r="U447" s="651"/>
      <c r="V447" s="652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hidden="1" x14ac:dyDescent="0.2">
      <c r="A448" s="632"/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3"/>
      <c r="P448" s="650" t="s">
        <v>72</v>
      </c>
      <c r="Q448" s="651"/>
      <c r="R448" s="651"/>
      <c r="S448" s="651"/>
      <c r="T448" s="651"/>
      <c r="U448" s="651"/>
      <c r="V448" s="652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hidden="1" customHeight="1" x14ac:dyDescent="0.25">
      <c r="A449" s="657" t="s">
        <v>733</v>
      </c>
      <c r="B449" s="632"/>
      <c r="C449" s="632"/>
      <c r="D449" s="632"/>
      <c r="E449" s="632"/>
      <c r="F449" s="632"/>
      <c r="G449" s="632"/>
      <c r="H449" s="632"/>
      <c r="I449" s="632"/>
      <c r="J449" s="632"/>
      <c r="K449" s="632"/>
      <c r="L449" s="632"/>
      <c r="M449" s="632"/>
      <c r="N449" s="632"/>
      <c r="O449" s="632"/>
      <c r="P449" s="632"/>
      <c r="Q449" s="632"/>
      <c r="R449" s="632"/>
      <c r="S449" s="632"/>
      <c r="T449" s="632"/>
      <c r="U449" s="632"/>
      <c r="V449" s="632"/>
      <c r="W449" s="632"/>
      <c r="X449" s="632"/>
      <c r="Y449" s="632"/>
      <c r="Z449" s="632"/>
      <c r="AA449" s="622"/>
      <c r="AB449" s="622"/>
      <c r="AC449" s="622"/>
    </row>
    <row r="450" spans="1:68" ht="14.25" hidden="1" customHeight="1" x14ac:dyDescent="0.25">
      <c r="A450" s="654" t="s">
        <v>117</v>
      </c>
      <c r="B450" s="632"/>
      <c r="C450" s="632"/>
      <c r="D450" s="632"/>
      <c r="E450" s="632"/>
      <c r="F450" s="632"/>
      <c r="G450" s="632"/>
      <c r="H450" s="632"/>
      <c r="I450" s="632"/>
      <c r="J450" s="632"/>
      <c r="K450" s="632"/>
      <c r="L450" s="632"/>
      <c r="M450" s="632"/>
      <c r="N450" s="632"/>
      <c r="O450" s="632"/>
      <c r="P450" s="632"/>
      <c r="Q450" s="632"/>
      <c r="R450" s="632"/>
      <c r="S450" s="632"/>
      <c r="T450" s="632"/>
      <c r="U450" s="632"/>
      <c r="V450" s="632"/>
      <c r="W450" s="632"/>
      <c r="X450" s="632"/>
      <c r="Y450" s="632"/>
      <c r="Z450" s="632"/>
      <c r="AA450" s="623"/>
      <c r="AB450" s="623"/>
      <c r="AC450" s="623"/>
    </row>
    <row r="451" spans="1:68" ht="27" hidden="1" customHeight="1" x14ac:dyDescent="0.25">
      <c r="A451" s="54" t="s">
        <v>734</v>
      </c>
      <c r="B451" s="54" t="s">
        <v>735</v>
      </c>
      <c r="C451" s="31">
        <v>4301011875</v>
      </c>
      <c r="D451" s="639">
        <v>4680115884885</v>
      </c>
      <c r="E451" s="640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5"/>
      <c r="R451" s="635"/>
      <c r="S451" s="635"/>
      <c r="T451" s="636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hidden="1" customHeight="1" x14ac:dyDescent="0.25">
      <c r="A452" s="54" t="s">
        <v>737</v>
      </c>
      <c r="B452" s="54" t="s">
        <v>738</v>
      </c>
      <c r="C452" s="31">
        <v>4301011871</v>
      </c>
      <c r="D452" s="639">
        <v>4680115884908</v>
      </c>
      <c r="E452" s="640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5"/>
      <c r="R452" s="635"/>
      <c r="S452" s="635"/>
      <c r="T452" s="636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31"/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3"/>
      <c r="P453" s="650" t="s">
        <v>72</v>
      </c>
      <c r="Q453" s="651"/>
      <c r="R453" s="651"/>
      <c r="S453" s="651"/>
      <c r="T453" s="651"/>
      <c r="U453" s="651"/>
      <c r="V453" s="652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hidden="1" x14ac:dyDescent="0.2">
      <c r="A454" s="632"/>
      <c r="B454" s="632"/>
      <c r="C454" s="632"/>
      <c r="D454" s="632"/>
      <c r="E454" s="632"/>
      <c r="F454" s="632"/>
      <c r="G454" s="632"/>
      <c r="H454" s="632"/>
      <c r="I454" s="632"/>
      <c r="J454" s="632"/>
      <c r="K454" s="632"/>
      <c r="L454" s="632"/>
      <c r="M454" s="632"/>
      <c r="N454" s="632"/>
      <c r="O454" s="633"/>
      <c r="P454" s="650" t="s">
        <v>72</v>
      </c>
      <c r="Q454" s="651"/>
      <c r="R454" s="651"/>
      <c r="S454" s="651"/>
      <c r="T454" s="651"/>
      <c r="U454" s="651"/>
      <c r="V454" s="652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hidden="1" customHeight="1" x14ac:dyDescent="0.25">
      <c r="A455" s="654" t="s">
        <v>62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623"/>
      <c r="AB455" s="623"/>
      <c r="AC455" s="623"/>
    </row>
    <row r="456" spans="1:68" ht="27" hidden="1" customHeight="1" x14ac:dyDescent="0.25">
      <c r="A456" s="54" t="s">
        <v>739</v>
      </c>
      <c r="B456" s="54" t="s">
        <v>740</v>
      </c>
      <c r="C456" s="31">
        <v>4301031457</v>
      </c>
      <c r="D456" s="639">
        <v>4607091384802</v>
      </c>
      <c r="E456" s="640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5"/>
      <c r="R456" s="635"/>
      <c r="S456" s="635"/>
      <c r="T456" s="636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31"/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3"/>
      <c r="P457" s="650" t="s">
        <v>72</v>
      </c>
      <c r="Q457" s="651"/>
      <c r="R457" s="651"/>
      <c r="S457" s="651"/>
      <c r="T457" s="651"/>
      <c r="U457" s="651"/>
      <c r="V457" s="652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hidden="1" x14ac:dyDescent="0.2">
      <c r="A458" s="632"/>
      <c r="B458" s="632"/>
      <c r="C458" s="632"/>
      <c r="D458" s="632"/>
      <c r="E458" s="632"/>
      <c r="F458" s="632"/>
      <c r="G458" s="632"/>
      <c r="H458" s="632"/>
      <c r="I458" s="632"/>
      <c r="J458" s="632"/>
      <c r="K458" s="632"/>
      <c r="L458" s="632"/>
      <c r="M458" s="632"/>
      <c r="N458" s="632"/>
      <c r="O458" s="633"/>
      <c r="P458" s="650" t="s">
        <v>72</v>
      </c>
      <c r="Q458" s="651"/>
      <c r="R458" s="651"/>
      <c r="S458" s="651"/>
      <c r="T458" s="651"/>
      <c r="U458" s="651"/>
      <c r="V458" s="652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hidden="1" customHeight="1" x14ac:dyDescent="0.25">
      <c r="A459" s="654" t="s">
        <v>74</v>
      </c>
      <c r="B459" s="632"/>
      <c r="C459" s="632"/>
      <c r="D459" s="632"/>
      <c r="E459" s="632"/>
      <c r="F459" s="632"/>
      <c r="G459" s="632"/>
      <c r="H459" s="632"/>
      <c r="I459" s="632"/>
      <c r="J459" s="632"/>
      <c r="K459" s="632"/>
      <c r="L459" s="632"/>
      <c r="M459" s="632"/>
      <c r="N459" s="632"/>
      <c r="O459" s="632"/>
      <c r="P459" s="632"/>
      <c r="Q459" s="632"/>
      <c r="R459" s="632"/>
      <c r="S459" s="632"/>
      <c r="T459" s="632"/>
      <c r="U459" s="632"/>
      <c r="V459" s="632"/>
      <c r="W459" s="632"/>
      <c r="X459" s="632"/>
      <c r="Y459" s="632"/>
      <c r="Z459" s="632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9">
        <v>4607091384246</v>
      </c>
      <c r="E460" s="640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5"/>
      <c r="R460" s="635"/>
      <c r="S460" s="635"/>
      <c r="T460" s="636"/>
      <c r="U460" s="34"/>
      <c r="V460" s="34"/>
      <c r="W460" s="35" t="s">
        <v>67</v>
      </c>
      <c r="X460" s="627">
        <v>2275</v>
      </c>
      <c r="Y460" s="628">
        <f>IFERROR(IF(X460="",0,CEILING((X460/$H460),1)*$H460),"")</f>
        <v>2277</v>
      </c>
      <c r="Z460" s="36">
        <f>IFERROR(IF(Y460=0,"",ROUNDUP(Y460/H460,0)*0.01898),"")</f>
        <v>4.8019400000000001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2399.8722222222223</v>
      </c>
      <c r="BN460" s="64">
        <f>IFERROR(Y460*I460/H460,"0")</f>
        <v>2401.982</v>
      </c>
      <c r="BO460" s="64">
        <f>IFERROR(1/J460*(X460/H460),"0")</f>
        <v>3.9496527777777777</v>
      </c>
      <c r="BP460" s="64">
        <f>IFERROR(1/J460*(Y460/H460),"0")</f>
        <v>3.953125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9">
        <v>4607091384253</v>
      </c>
      <c r="E461" s="640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9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5"/>
      <c r="R461" s="635"/>
      <c r="S461" s="635"/>
      <c r="T461" s="636"/>
      <c r="U461" s="34"/>
      <c r="V461" s="34"/>
      <c r="W461" s="35" t="s">
        <v>67</v>
      </c>
      <c r="X461" s="627">
        <v>121</v>
      </c>
      <c r="Y461" s="628">
        <f>IFERROR(IF(X461="",0,CEILING((X461/$H461),1)*$H461),"")</f>
        <v>122.39999999999999</v>
      </c>
      <c r="Z461" s="36">
        <f>IFERROR(IF(Y461=0,"",ROUNDUP(Y461/H461,0)*0.00651),"")</f>
        <v>0.33201000000000003</v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134.31</v>
      </c>
      <c r="BN461" s="64">
        <f>IFERROR(Y461*I461/H461,"0")</f>
        <v>135.864</v>
      </c>
      <c r="BO461" s="64">
        <f>IFERROR(1/J461*(X461/H461),"0")</f>
        <v>0.27701465201465209</v>
      </c>
      <c r="BP461" s="64">
        <f>IFERROR(1/J461*(Y461/H461),"0")</f>
        <v>0.28021978021978022</v>
      </c>
    </row>
    <row r="462" spans="1:68" ht="27" hidden="1" customHeight="1" x14ac:dyDescent="0.25">
      <c r="A462" s="54" t="s">
        <v>745</v>
      </c>
      <c r="B462" s="54" t="s">
        <v>747</v>
      </c>
      <c r="C462" s="31">
        <v>4301052069</v>
      </c>
      <c r="D462" s="639">
        <v>4607091384253</v>
      </c>
      <c r="E462" s="640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8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5"/>
      <c r="R462" s="635"/>
      <c r="S462" s="635"/>
      <c r="T462" s="636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31"/>
      <c r="B463" s="632"/>
      <c r="C463" s="632"/>
      <c r="D463" s="632"/>
      <c r="E463" s="632"/>
      <c r="F463" s="632"/>
      <c r="G463" s="632"/>
      <c r="H463" s="632"/>
      <c r="I463" s="632"/>
      <c r="J463" s="632"/>
      <c r="K463" s="632"/>
      <c r="L463" s="632"/>
      <c r="M463" s="632"/>
      <c r="N463" s="632"/>
      <c r="O463" s="633"/>
      <c r="P463" s="650" t="s">
        <v>72</v>
      </c>
      <c r="Q463" s="651"/>
      <c r="R463" s="651"/>
      <c r="S463" s="651"/>
      <c r="T463" s="651"/>
      <c r="U463" s="651"/>
      <c r="V463" s="652"/>
      <c r="W463" s="37" t="s">
        <v>73</v>
      </c>
      <c r="X463" s="629">
        <f>IFERROR(X460/H460,"0")+IFERROR(X461/H461,"0")+IFERROR(X462/H462,"0")</f>
        <v>303.19444444444446</v>
      </c>
      <c r="Y463" s="629">
        <f>IFERROR(Y460/H460,"0")+IFERROR(Y461/H461,"0")+IFERROR(Y462/H462,"0")</f>
        <v>304</v>
      </c>
      <c r="Z463" s="629">
        <f>IFERROR(IF(Z460="",0,Z460),"0")+IFERROR(IF(Z461="",0,Z461),"0")+IFERROR(IF(Z462="",0,Z462),"0")</f>
        <v>5.1339500000000005</v>
      </c>
      <c r="AA463" s="630"/>
      <c r="AB463" s="630"/>
      <c r="AC463" s="630"/>
    </row>
    <row r="464" spans="1:68" x14ac:dyDescent="0.2">
      <c r="A464" s="632"/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3"/>
      <c r="P464" s="650" t="s">
        <v>72</v>
      </c>
      <c r="Q464" s="651"/>
      <c r="R464" s="651"/>
      <c r="S464" s="651"/>
      <c r="T464" s="651"/>
      <c r="U464" s="651"/>
      <c r="V464" s="652"/>
      <c r="W464" s="37" t="s">
        <v>67</v>
      </c>
      <c r="X464" s="629">
        <f>IFERROR(SUM(X460:X462),"0")</f>
        <v>2396</v>
      </c>
      <c r="Y464" s="629">
        <f>IFERROR(SUM(Y460:Y462),"0")</f>
        <v>2399.4</v>
      </c>
      <c r="Z464" s="37"/>
      <c r="AA464" s="630"/>
      <c r="AB464" s="630"/>
      <c r="AC464" s="630"/>
    </row>
    <row r="465" spans="1:68" ht="27.75" hidden="1" customHeight="1" x14ac:dyDescent="0.2">
      <c r="A465" s="660" t="s">
        <v>749</v>
      </c>
      <c r="B465" s="661"/>
      <c r="C465" s="661"/>
      <c r="D465" s="661"/>
      <c r="E465" s="661"/>
      <c r="F465" s="661"/>
      <c r="G465" s="661"/>
      <c r="H465" s="661"/>
      <c r="I465" s="661"/>
      <c r="J465" s="661"/>
      <c r="K465" s="661"/>
      <c r="L465" s="661"/>
      <c r="M465" s="661"/>
      <c r="N465" s="661"/>
      <c r="O465" s="661"/>
      <c r="P465" s="661"/>
      <c r="Q465" s="661"/>
      <c r="R465" s="661"/>
      <c r="S465" s="661"/>
      <c r="T465" s="661"/>
      <c r="U465" s="661"/>
      <c r="V465" s="661"/>
      <c r="W465" s="661"/>
      <c r="X465" s="661"/>
      <c r="Y465" s="661"/>
      <c r="Z465" s="661"/>
      <c r="AA465" s="48"/>
      <c r="AB465" s="48"/>
      <c r="AC465" s="48"/>
    </row>
    <row r="466" spans="1:68" ht="16.5" hidden="1" customHeight="1" x14ac:dyDescent="0.25">
      <c r="A466" s="657" t="s">
        <v>750</v>
      </c>
      <c r="B466" s="632"/>
      <c r="C466" s="632"/>
      <c r="D466" s="632"/>
      <c r="E466" s="632"/>
      <c r="F466" s="632"/>
      <c r="G466" s="632"/>
      <c r="H466" s="632"/>
      <c r="I466" s="632"/>
      <c r="J466" s="632"/>
      <c r="K466" s="632"/>
      <c r="L466" s="632"/>
      <c r="M466" s="632"/>
      <c r="N466" s="632"/>
      <c r="O466" s="632"/>
      <c r="P466" s="632"/>
      <c r="Q466" s="632"/>
      <c r="R466" s="632"/>
      <c r="S466" s="632"/>
      <c r="T466" s="632"/>
      <c r="U466" s="632"/>
      <c r="V466" s="632"/>
      <c r="W466" s="632"/>
      <c r="X466" s="632"/>
      <c r="Y466" s="632"/>
      <c r="Z466" s="632"/>
      <c r="AA466" s="622"/>
      <c r="AB466" s="622"/>
      <c r="AC466" s="622"/>
    </row>
    <row r="467" spans="1:68" ht="14.25" hidden="1" customHeight="1" x14ac:dyDescent="0.25">
      <c r="A467" s="654" t="s">
        <v>62</v>
      </c>
      <c r="B467" s="632"/>
      <c r="C467" s="632"/>
      <c r="D467" s="632"/>
      <c r="E467" s="632"/>
      <c r="F467" s="632"/>
      <c r="G467" s="632"/>
      <c r="H467" s="632"/>
      <c r="I467" s="632"/>
      <c r="J467" s="632"/>
      <c r="K467" s="632"/>
      <c r="L467" s="632"/>
      <c r="M467" s="632"/>
      <c r="N467" s="632"/>
      <c r="O467" s="632"/>
      <c r="P467" s="632"/>
      <c r="Q467" s="632"/>
      <c r="R467" s="632"/>
      <c r="S467" s="632"/>
      <c r="T467" s="632"/>
      <c r="U467" s="632"/>
      <c r="V467" s="632"/>
      <c r="W467" s="632"/>
      <c r="X467" s="632"/>
      <c r="Y467" s="632"/>
      <c r="Z467" s="632"/>
      <c r="AA467" s="623"/>
      <c r="AB467" s="623"/>
      <c r="AC467" s="623"/>
    </row>
    <row r="468" spans="1:68" ht="27" hidden="1" customHeight="1" x14ac:dyDescent="0.25">
      <c r="A468" s="54" t="s">
        <v>751</v>
      </c>
      <c r="B468" s="54" t="s">
        <v>752</v>
      </c>
      <c r="C468" s="31">
        <v>4301031405</v>
      </c>
      <c r="D468" s="639">
        <v>4680115886100</v>
      </c>
      <c r="E468" s="640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6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5"/>
      <c r="R468" s="635"/>
      <c r="S468" s="635"/>
      <c r="T468" s="636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hidden="1" customHeight="1" x14ac:dyDescent="0.25">
      <c r="A469" s="54" t="s">
        <v>754</v>
      </c>
      <c r="B469" s="54" t="s">
        <v>755</v>
      </c>
      <c r="C469" s="31">
        <v>4301031402</v>
      </c>
      <c r="D469" s="639">
        <v>4680115886124</v>
      </c>
      <c r="E469" s="640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5"/>
      <c r="R469" s="635"/>
      <c r="S469" s="635"/>
      <c r="T469" s="636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hidden="1" customHeight="1" x14ac:dyDescent="0.25">
      <c r="A470" s="54" t="s">
        <v>757</v>
      </c>
      <c r="B470" s="54" t="s">
        <v>758</v>
      </c>
      <c r="C470" s="31">
        <v>4301031362</v>
      </c>
      <c r="D470" s="639">
        <v>4607091384338</v>
      </c>
      <c r="E470" s="640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5"/>
      <c r="R470" s="635"/>
      <c r="S470" s="635"/>
      <c r="T470" s="636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hidden="1" customHeight="1" x14ac:dyDescent="0.25">
      <c r="A471" s="54" t="s">
        <v>759</v>
      </c>
      <c r="B471" s="54" t="s">
        <v>760</v>
      </c>
      <c r="C471" s="31">
        <v>4301031364</v>
      </c>
      <c r="D471" s="639">
        <v>4680115883161</v>
      </c>
      <c r="E471" s="640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5"/>
      <c r="R471" s="635"/>
      <c r="S471" s="635"/>
      <c r="T471" s="636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hidden="1" customHeight="1" x14ac:dyDescent="0.25">
      <c r="A472" s="54" t="s">
        <v>762</v>
      </c>
      <c r="B472" s="54" t="s">
        <v>763</v>
      </c>
      <c r="C472" s="31">
        <v>4301031358</v>
      </c>
      <c r="D472" s="639">
        <v>4607091389531</v>
      </c>
      <c r="E472" s="640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5"/>
      <c r="R472" s="635"/>
      <c r="S472" s="635"/>
      <c r="T472" s="636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hidden="1" customHeight="1" x14ac:dyDescent="0.25">
      <c r="A473" s="54" t="s">
        <v>765</v>
      </c>
      <c r="B473" s="54" t="s">
        <v>766</v>
      </c>
      <c r="C473" s="31">
        <v>4301031360</v>
      </c>
      <c r="D473" s="639">
        <v>4607091384345</v>
      </c>
      <c r="E473" s="640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5"/>
      <c r="R473" s="635"/>
      <c r="S473" s="635"/>
      <c r="T473" s="636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hidden="1" x14ac:dyDescent="0.2">
      <c r="A474" s="631"/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3"/>
      <c r="P474" s="650" t="s">
        <v>72</v>
      </c>
      <c r="Q474" s="651"/>
      <c r="R474" s="651"/>
      <c r="S474" s="651"/>
      <c r="T474" s="651"/>
      <c r="U474" s="651"/>
      <c r="V474" s="652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hidden="1" x14ac:dyDescent="0.2">
      <c r="A475" s="632"/>
      <c r="B475" s="632"/>
      <c r="C475" s="632"/>
      <c r="D475" s="632"/>
      <c r="E475" s="632"/>
      <c r="F475" s="632"/>
      <c r="G475" s="632"/>
      <c r="H475" s="632"/>
      <c r="I475" s="632"/>
      <c r="J475" s="632"/>
      <c r="K475" s="632"/>
      <c r="L475" s="632"/>
      <c r="M475" s="632"/>
      <c r="N475" s="632"/>
      <c r="O475" s="633"/>
      <c r="P475" s="650" t="s">
        <v>72</v>
      </c>
      <c r="Q475" s="651"/>
      <c r="R475" s="651"/>
      <c r="S475" s="651"/>
      <c r="T475" s="651"/>
      <c r="U475" s="651"/>
      <c r="V475" s="652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hidden="1" customHeight="1" x14ac:dyDescent="0.25">
      <c r="A476" s="654" t="s">
        <v>74</v>
      </c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2"/>
      <c r="P476" s="632"/>
      <c r="Q476" s="632"/>
      <c r="R476" s="632"/>
      <c r="S476" s="632"/>
      <c r="T476" s="632"/>
      <c r="U476" s="632"/>
      <c r="V476" s="632"/>
      <c r="W476" s="632"/>
      <c r="X476" s="632"/>
      <c r="Y476" s="632"/>
      <c r="Z476" s="632"/>
      <c r="AA476" s="623"/>
      <c r="AB476" s="623"/>
      <c r="AC476" s="623"/>
    </row>
    <row r="477" spans="1:68" ht="27" hidden="1" customHeight="1" x14ac:dyDescent="0.25">
      <c r="A477" s="54" t="s">
        <v>767</v>
      </c>
      <c r="B477" s="54" t="s">
        <v>768</v>
      </c>
      <c r="C477" s="31">
        <v>4301051284</v>
      </c>
      <c r="D477" s="639">
        <v>4607091384352</v>
      </c>
      <c r="E477" s="640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4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5"/>
      <c r="R477" s="635"/>
      <c r="S477" s="635"/>
      <c r="T477" s="636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770</v>
      </c>
      <c r="B478" s="54" t="s">
        <v>771</v>
      </c>
      <c r="C478" s="31">
        <v>4301051431</v>
      </c>
      <c r="D478" s="639">
        <v>4607091389654</v>
      </c>
      <c r="E478" s="640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6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5"/>
      <c r="R478" s="635"/>
      <c r="S478" s="635"/>
      <c r="T478" s="636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631"/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3"/>
      <c r="P479" s="650" t="s">
        <v>72</v>
      </c>
      <c r="Q479" s="651"/>
      <c r="R479" s="651"/>
      <c r="S479" s="651"/>
      <c r="T479" s="651"/>
      <c r="U479" s="651"/>
      <c r="V479" s="652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hidden="1" x14ac:dyDescent="0.2">
      <c r="A480" s="632"/>
      <c r="B480" s="632"/>
      <c r="C480" s="632"/>
      <c r="D480" s="632"/>
      <c r="E480" s="632"/>
      <c r="F480" s="632"/>
      <c r="G480" s="632"/>
      <c r="H480" s="632"/>
      <c r="I480" s="632"/>
      <c r="J480" s="632"/>
      <c r="K480" s="632"/>
      <c r="L480" s="632"/>
      <c r="M480" s="632"/>
      <c r="N480" s="632"/>
      <c r="O480" s="633"/>
      <c r="P480" s="650" t="s">
        <v>72</v>
      </c>
      <c r="Q480" s="651"/>
      <c r="R480" s="651"/>
      <c r="S480" s="651"/>
      <c r="T480" s="651"/>
      <c r="U480" s="651"/>
      <c r="V480" s="652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hidden="1" customHeight="1" x14ac:dyDescent="0.25">
      <c r="A481" s="657" t="s">
        <v>773</v>
      </c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2"/>
      <c r="P481" s="632"/>
      <c r="Q481" s="632"/>
      <c r="R481" s="632"/>
      <c r="S481" s="632"/>
      <c r="T481" s="632"/>
      <c r="U481" s="632"/>
      <c r="V481" s="632"/>
      <c r="W481" s="632"/>
      <c r="X481" s="632"/>
      <c r="Y481" s="632"/>
      <c r="Z481" s="632"/>
      <c r="AA481" s="622"/>
      <c r="AB481" s="622"/>
      <c r="AC481" s="622"/>
    </row>
    <row r="482" spans="1:68" ht="14.25" hidden="1" customHeight="1" x14ac:dyDescent="0.25">
      <c r="A482" s="654" t="s">
        <v>153</v>
      </c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2"/>
      <c r="P482" s="632"/>
      <c r="Q482" s="632"/>
      <c r="R482" s="632"/>
      <c r="S482" s="632"/>
      <c r="T482" s="632"/>
      <c r="U482" s="632"/>
      <c r="V482" s="632"/>
      <c r="W482" s="632"/>
      <c r="X482" s="632"/>
      <c r="Y482" s="632"/>
      <c r="Z482" s="632"/>
      <c r="AA482" s="623"/>
      <c r="AB482" s="623"/>
      <c r="AC482" s="623"/>
    </row>
    <row r="483" spans="1:68" ht="27" hidden="1" customHeight="1" x14ac:dyDescent="0.25">
      <c r="A483" s="54" t="s">
        <v>774</v>
      </c>
      <c r="B483" s="54" t="s">
        <v>775</v>
      </c>
      <c r="C483" s="31">
        <v>4301020416</v>
      </c>
      <c r="D483" s="639">
        <v>4680115885240</v>
      </c>
      <c r="E483" s="640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5"/>
      <c r="R483" s="635"/>
      <c r="S483" s="635"/>
      <c r="T483" s="636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631"/>
      <c r="B484" s="632"/>
      <c r="C484" s="632"/>
      <c r="D484" s="632"/>
      <c r="E484" s="632"/>
      <c r="F484" s="632"/>
      <c r="G484" s="632"/>
      <c r="H484" s="632"/>
      <c r="I484" s="632"/>
      <c r="J484" s="632"/>
      <c r="K484" s="632"/>
      <c r="L484" s="632"/>
      <c r="M484" s="632"/>
      <c r="N484" s="632"/>
      <c r="O484" s="633"/>
      <c r="P484" s="650" t="s">
        <v>72</v>
      </c>
      <c r="Q484" s="651"/>
      <c r="R484" s="651"/>
      <c r="S484" s="651"/>
      <c r="T484" s="651"/>
      <c r="U484" s="651"/>
      <c r="V484" s="652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hidden="1" x14ac:dyDescent="0.2">
      <c r="A485" s="632"/>
      <c r="B485" s="632"/>
      <c r="C485" s="632"/>
      <c r="D485" s="632"/>
      <c r="E485" s="632"/>
      <c r="F485" s="632"/>
      <c r="G485" s="632"/>
      <c r="H485" s="632"/>
      <c r="I485" s="632"/>
      <c r="J485" s="632"/>
      <c r="K485" s="632"/>
      <c r="L485" s="632"/>
      <c r="M485" s="632"/>
      <c r="N485" s="632"/>
      <c r="O485" s="633"/>
      <c r="P485" s="650" t="s">
        <v>72</v>
      </c>
      <c r="Q485" s="651"/>
      <c r="R485" s="651"/>
      <c r="S485" s="651"/>
      <c r="T485" s="651"/>
      <c r="U485" s="651"/>
      <c r="V485" s="652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hidden="1" customHeight="1" x14ac:dyDescent="0.25">
      <c r="A486" s="654" t="s">
        <v>62</v>
      </c>
      <c r="B486" s="632"/>
      <c r="C486" s="632"/>
      <c r="D486" s="632"/>
      <c r="E486" s="632"/>
      <c r="F486" s="632"/>
      <c r="G486" s="632"/>
      <c r="H486" s="632"/>
      <c r="I486" s="632"/>
      <c r="J486" s="632"/>
      <c r="K486" s="632"/>
      <c r="L486" s="632"/>
      <c r="M486" s="632"/>
      <c r="N486" s="632"/>
      <c r="O486" s="632"/>
      <c r="P486" s="632"/>
      <c r="Q486" s="632"/>
      <c r="R486" s="632"/>
      <c r="S486" s="632"/>
      <c r="T486" s="632"/>
      <c r="U486" s="632"/>
      <c r="V486" s="632"/>
      <c r="W486" s="632"/>
      <c r="X486" s="632"/>
      <c r="Y486" s="632"/>
      <c r="Z486" s="632"/>
      <c r="AA486" s="623"/>
      <c r="AB486" s="623"/>
      <c r="AC486" s="623"/>
    </row>
    <row r="487" spans="1:68" ht="27" hidden="1" customHeight="1" x14ac:dyDescent="0.25">
      <c r="A487" s="54" t="s">
        <v>777</v>
      </c>
      <c r="B487" s="54" t="s">
        <v>778</v>
      </c>
      <c r="C487" s="31">
        <v>4301031407</v>
      </c>
      <c r="D487" s="639">
        <v>4680115886094</v>
      </c>
      <c r="E487" s="640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5"/>
      <c r="R487" s="635"/>
      <c r="S487" s="635"/>
      <c r="T487" s="636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780</v>
      </c>
      <c r="B488" s="54" t="s">
        <v>781</v>
      </c>
      <c r="C488" s="31">
        <v>4301031373</v>
      </c>
      <c r="D488" s="639">
        <v>4680115880771</v>
      </c>
      <c r="E488" s="640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0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5"/>
      <c r="R488" s="635"/>
      <c r="S488" s="635"/>
      <c r="T488" s="636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783</v>
      </c>
      <c r="B489" s="54" t="s">
        <v>784</v>
      </c>
      <c r="C489" s="31">
        <v>4301031359</v>
      </c>
      <c r="D489" s="639">
        <v>4607091389500</v>
      </c>
      <c r="E489" s="640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5"/>
      <c r="R489" s="635"/>
      <c r="S489" s="635"/>
      <c r="T489" s="636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31"/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3"/>
      <c r="P490" s="650" t="s">
        <v>72</v>
      </c>
      <c r="Q490" s="651"/>
      <c r="R490" s="651"/>
      <c r="S490" s="651"/>
      <c r="T490" s="651"/>
      <c r="U490" s="651"/>
      <c r="V490" s="652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hidden="1" x14ac:dyDescent="0.2">
      <c r="A491" s="632"/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3"/>
      <c r="P491" s="650" t="s">
        <v>72</v>
      </c>
      <c r="Q491" s="651"/>
      <c r="R491" s="651"/>
      <c r="S491" s="651"/>
      <c r="T491" s="651"/>
      <c r="U491" s="651"/>
      <c r="V491" s="652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hidden="1" customHeight="1" x14ac:dyDescent="0.2">
      <c r="A492" s="660" t="s">
        <v>785</v>
      </c>
      <c r="B492" s="661"/>
      <c r="C492" s="661"/>
      <c r="D492" s="661"/>
      <c r="E492" s="661"/>
      <c r="F492" s="661"/>
      <c r="G492" s="661"/>
      <c r="H492" s="661"/>
      <c r="I492" s="661"/>
      <c r="J492" s="661"/>
      <c r="K492" s="661"/>
      <c r="L492" s="661"/>
      <c r="M492" s="661"/>
      <c r="N492" s="661"/>
      <c r="O492" s="661"/>
      <c r="P492" s="661"/>
      <c r="Q492" s="661"/>
      <c r="R492" s="661"/>
      <c r="S492" s="661"/>
      <c r="T492" s="661"/>
      <c r="U492" s="661"/>
      <c r="V492" s="661"/>
      <c r="W492" s="661"/>
      <c r="X492" s="661"/>
      <c r="Y492" s="661"/>
      <c r="Z492" s="661"/>
      <c r="AA492" s="48"/>
      <c r="AB492" s="48"/>
      <c r="AC492" s="48"/>
    </row>
    <row r="493" spans="1:68" ht="16.5" hidden="1" customHeight="1" x14ac:dyDescent="0.25">
      <c r="A493" s="657" t="s">
        <v>785</v>
      </c>
      <c r="B493" s="632"/>
      <c r="C493" s="632"/>
      <c r="D493" s="632"/>
      <c r="E493" s="632"/>
      <c r="F493" s="632"/>
      <c r="G493" s="632"/>
      <c r="H493" s="632"/>
      <c r="I493" s="632"/>
      <c r="J493" s="632"/>
      <c r="K493" s="632"/>
      <c r="L493" s="632"/>
      <c r="M493" s="632"/>
      <c r="N493" s="632"/>
      <c r="O493" s="632"/>
      <c r="P493" s="632"/>
      <c r="Q493" s="632"/>
      <c r="R493" s="632"/>
      <c r="S493" s="632"/>
      <c r="T493" s="632"/>
      <c r="U493" s="632"/>
      <c r="V493" s="632"/>
      <c r="W493" s="632"/>
      <c r="X493" s="632"/>
      <c r="Y493" s="632"/>
      <c r="Z493" s="632"/>
      <c r="AA493" s="622"/>
      <c r="AB493" s="622"/>
      <c r="AC493" s="622"/>
    </row>
    <row r="494" spans="1:68" ht="14.25" hidden="1" customHeight="1" x14ac:dyDescent="0.25">
      <c r="A494" s="654" t="s">
        <v>117</v>
      </c>
      <c r="B494" s="632"/>
      <c r="C494" s="632"/>
      <c r="D494" s="632"/>
      <c r="E494" s="632"/>
      <c r="F494" s="632"/>
      <c r="G494" s="632"/>
      <c r="H494" s="632"/>
      <c r="I494" s="632"/>
      <c r="J494" s="632"/>
      <c r="K494" s="632"/>
      <c r="L494" s="632"/>
      <c r="M494" s="632"/>
      <c r="N494" s="632"/>
      <c r="O494" s="632"/>
      <c r="P494" s="632"/>
      <c r="Q494" s="632"/>
      <c r="R494" s="632"/>
      <c r="S494" s="632"/>
      <c r="T494" s="632"/>
      <c r="U494" s="632"/>
      <c r="V494" s="632"/>
      <c r="W494" s="632"/>
      <c r="X494" s="632"/>
      <c r="Y494" s="632"/>
      <c r="Z494" s="632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9">
        <v>4607091389067</v>
      </c>
      <c r="E495" s="640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5"/>
      <c r="R495" s="635"/>
      <c r="S495" s="635"/>
      <c r="T495" s="636"/>
      <c r="U495" s="34"/>
      <c r="V495" s="34"/>
      <c r="W495" s="35" t="s">
        <v>67</v>
      </c>
      <c r="X495" s="627">
        <v>127</v>
      </c>
      <c r="Y495" s="628">
        <f t="shared" ref="Y495:Y503" si="57">IFERROR(IF(X495="",0,CEILING((X495/$H495),1)*$H495),"")</f>
        <v>132</v>
      </c>
      <c r="Z495" s="36">
        <f t="shared" ref="Z495:Z500" si="58">IFERROR(IF(Y495=0,"",ROUNDUP(Y495/H495,0)*0.01196),"")</f>
        <v>0.29899999999999999</v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135.41856060606059</v>
      </c>
      <c r="BN495" s="64">
        <f t="shared" ref="BN495:BN503" si="60">IFERROR(Y495*I495/H495,"0")</f>
        <v>140.75</v>
      </c>
      <c r="BO495" s="64">
        <f t="shared" ref="BO495:BO503" si="61">IFERROR(1/J495*(X495/H495),"0")</f>
        <v>0.23127913752913754</v>
      </c>
      <c r="BP495" s="64">
        <f t="shared" ref="BP495:BP503" si="62">IFERROR(1/J495*(Y495/H495),"0")</f>
        <v>0.24038461538461539</v>
      </c>
    </row>
    <row r="496" spans="1:68" ht="16.5" hidden="1" customHeight="1" x14ac:dyDescent="0.25">
      <c r="A496" s="54" t="s">
        <v>788</v>
      </c>
      <c r="B496" s="54" t="s">
        <v>789</v>
      </c>
      <c r="C496" s="31">
        <v>4301012380</v>
      </c>
      <c r="D496" s="639">
        <v>4680115889576</v>
      </c>
      <c r="E496" s="640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2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5"/>
      <c r="R496" s="635"/>
      <c r="S496" s="635"/>
      <c r="T496" s="636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hidden="1" customHeight="1" x14ac:dyDescent="0.25">
      <c r="A497" s="54" t="s">
        <v>791</v>
      </c>
      <c r="B497" s="54" t="s">
        <v>792</v>
      </c>
      <c r="C497" s="31">
        <v>4301011961</v>
      </c>
      <c r="D497" s="639">
        <v>4680115885271</v>
      </c>
      <c r="E497" s="640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5"/>
      <c r="R497" s="635"/>
      <c r="S497" s="635"/>
      <c r="T497" s="636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9">
        <v>4680115885226</v>
      </c>
      <c r="E498" s="640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5"/>
      <c r="R498" s="635"/>
      <c r="S498" s="635"/>
      <c r="T498" s="636"/>
      <c r="U498" s="34"/>
      <c r="V498" s="34"/>
      <c r="W498" s="35" t="s">
        <v>67</v>
      </c>
      <c r="X498" s="627">
        <v>1015</v>
      </c>
      <c r="Y498" s="628">
        <f t="shared" si="57"/>
        <v>1019.0400000000001</v>
      </c>
      <c r="Z498" s="36">
        <f t="shared" si="58"/>
        <v>2.3082799999999999</v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1082.282196969697</v>
      </c>
      <c r="BN498" s="64">
        <f t="shared" si="60"/>
        <v>1086.5899999999999</v>
      </c>
      <c r="BO498" s="64">
        <f t="shared" si="61"/>
        <v>1.8484120046620047</v>
      </c>
      <c r="BP498" s="64">
        <f t="shared" si="62"/>
        <v>1.8557692307692308</v>
      </c>
    </row>
    <row r="499" spans="1:68" ht="16.5" hidden="1" customHeight="1" x14ac:dyDescent="0.25">
      <c r="A499" s="54" t="s">
        <v>797</v>
      </c>
      <c r="B499" s="54" t="s">
        <v>798</v>
      </c>
      <c r="C499" s="31">
        <v>4301011797</v>
      </c>
      <c r="D499" s="639">
        <v>4680115884502</v>
      </c>
      <c r="E499" s="640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5"/>
      <c r="R499" s="635"/>
      <c r="S499" s="635"/>
      <c r="T499" s="636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hidden="1" customHeight="1" x14ac:dyDescent="0.25">
      <c r="A500" s="54" t="s">
        <v>800</v>
      </c>
      <c r="B500" s="54" t="s">
        <v>801</v>
      </c>
      <c r="C500" s="31">
        <v>4301011771</v>
      </c>
      <c r="D500" s="639">
        <v>4607091389104</v>
      </c>
      <c r="E500" s="640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5"/>
      <c r="R500" s="635"/>
      <c r="S500" s="635"/>
      <c r="T500" s="636"/>
      <c r="U500" s="34"/>
      <c r="V500" s="34"/>
      <c r="W500" s="35" t="s">
        <v>67</v>
      </c>
      <c r="X500" s="627">
        <v>0</v>
      </c>
      <c r="Y500" s="628">
        <f t="shared" si="57"/>
        <v>0</v>
      </c>
      <c r="Z500" s="36" t="str">
        <f t="shared" si="58"/>
        <v/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0</v>
      </c>
      <c r="BN500" s="64">
        <f t="shared" si="60"/>
        <v>0</v>
      </c>
      <c r="BO500" s="64">
        <f t="shared" si="61"/>
        <v>0</v>
      </c>
      <c r="BP500" s="64">
        <f t="shared" si="62"/>
        <v>0</v>
      </c>
    </row>
    <row r="501" spans="1:68" ht="27" hidden="1" customHeight="1" x14ac:dyDescent="0.25">
      <c r="A501" s="54" t="s">
        <v>803</v>
      </c>
      <c r="B501" s="54" t="s">
        <v>804</v>
      </c>
      <c r="C501" s="31">
        <v>4301012125</v>
      </c>
      <c r="D501" s="639">
        <v>4680115886391</v>
      </c>
      <c r="E501" s="640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5"/>
      <c r="R501" s="635"/>
      <c r="S501" s="635"/>
      <c r="T501" s="636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hidden="1" customHeight="1" x14ac:dyDescent="0.25">
      <c r="A502" s="54" t="s">
        <v>805</v>
      </c>
      <c r="B502" s="54" t="s">
        <v>806</v>
      </c>
      <c r="C502" s="31">
        <v>4301012048</v>
      </c>
      <c r="D502" s="639">
        <v>4680115880603</v>
      </c>
      <c r="E502" s="640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6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5"/>
      <c r="R502" s="635"/>
      <c r="S502" s="635"/>
      <c r="T502" s="636"/>
      <c r="U502" s="34"/>
      <c r="V502" s="34"/>
      <c r="W502" s="35" t="s">
        <v>67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9">
        <v>4607091389982</v>
      </c>
      <c r="E503" s="640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5"/>
      <c r="R503" s="635"/>
      <c r="S503" s="635"/>
      <c r="T503" s="636"/>
      <c r="U503" s="34"/>
      <c r="V503" s="34"/>
      <c r="W503" s="35" t="s">
        <v>67</v>
      </c>
      <c r="X503" s="627">
        <v>96</v>
      </c>
      <c r="Y503" s="628">
        <f t="shared" si="57"/>
        <v>96</v>
      </c>
      <c r="Z503" s="36">
        <f>IFERROR(IF(Y503=0,"",ROUNDUP(Y503/H503,0)*0.00902),"")</f>
        <v>0.1804</v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138.20000000000002</v>
      </c>
      <c r="BN503" s="64">
        <f t="shared" si="60"/>
        <v>138.20000000000002</v>
      </c>
      <c r="BO503" s="64">
        <f t="shared" si="61"/>
        <v>0.15151515151515152</v>
      </c>
      <c r="BP503" s="64">
        <f t="shared" si="62"/>
        <v>0.15151515151515152</v>
      </c>
    </row>
    <row r="504" spans="1:68" x14ac:dyDescent="0.2">
      <c r="A504" s="631"/>
      <c r="B504" s="632"/>
      <c r="C504" s="632"/>
      <c r="D504" s="632"/>
      <c r="E504" s="632"/>
      <c r="F504" s="632"/>
      <c r="G504" s="632"/>
      <c r="H504" s="632"/>
      <c r="I504" s="632"/>
      <c r="J504" s="632"/>
      <c r="K504" s="632"/>
      <c r="L504" s="632"/>
      <c r="M504" s="632"/>
      <c r="N504" s="632"/>
      <c r="O504" s="633"/>
      <c r="P504" s="650" t="s">
        <v>72</v>
      </c>
      <c r="Q504" s="651"/>
      <c r="R504" s="651"/>
      <c r="S504" s="651"/>
      <c r="T504" s="651"/>
      <c r="U504" s="651"/>
      <c r="V504" s="652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236.28787878787878</v>
      </c>
      <c r="Y504" s="629">
        <f>IFERROR(Y495/H495,"0")+IFERROR(Y496/H496,"0")+IFERROR(Y497/H497,"0")+IFERROR(Y498/H498,"0")+IFERROR(Y499/H499,"0")+IFERROR(Y500/H500,"0")+IFERROR(Y501/H501,"0")+IFERROR(Y502/H502,"0")+IFERROR(Y503/H503,"0")</f>
        <v>238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2.7876799999999999</v>
      </c>
      <c r="AA504" s="630"/>
      <c r="AB504" s="630"/>
      <c r="AC504" s="630"/>
    </row>
    <row r="505" spans="1:68" x14ac:dyDescent="0.2">
      <c r="A505" s="632"/>
      <c r="B505" s="632"/>
      <c r="C505" s="632"/>
      <c r="D505" s="632"/>
      <c r="E505" s="632"/>
      <c r="F505" s="632"/>
      <c r="G505" s="632"/>
      <c r="H505" s="632"/>
      <c r="I505" s="632"/>
      <c r="J505" s="632"/>
      <c r="K505" s="632"/>
      <c r="L505" s="632"/>
      <c r="M505" s="632"/>
      <c r="N505" s="632"/>
      <c r="O505" s="633"/>
      <c r="P505" s="650" t="s">
        <v>72</v>
      </c>
      <c r="Q505" s="651"/>
      <c r="R505" s="651"/>
      <c r="S505" s="651"/>
      <c r="T505" s="651"/>
      <c r="U505" s="651"/>
      <c r="V505" s="652"/>
      <c r="W505" s="37" t="s">
        <v>67</v>
      </c>
      <c r="X505" s="629">
        <f>IFERROR(SUM(X495:X503),"0")</f>
        <v>1238</v>
      </c>
      <c r="Y505" s="629">
        <f>IFERROR(SUM(Y495:Y503),"0")</f>
        <v>1247.04</v>
      </c>
      <c r="Z505" s="37"/>
      <c r="AA505" s="630"/>
      <c r="AB505" s="630"/>
      <c r="AC505" s="630"/>
    </row>
    <row r="506" spans="1:68" ht="14.25" hidden="1" customHeight="1" x14ac:dyDescent="0.25">
      <c r="A506" s="654" t="s">
        <v>153</v>
      </c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2"/>
      <c r="P506" s="632"/>
      <c r="Q506" s="632"/>
      <c r="R506" s="632"/>
      <c r="S506" s="632"/>
      <c r="T506" s="632"/>
      <c r="U506" s="632"/>
      <c r="V506" s="632"/>
      <c r="W506" s="632"/>
      <c r="X506" s="632"/>
      <c r="Y506" s="632"/>
      <c r="Z506" s="632"/>
      <c r="AA506" s="623"/>
      <c r="AB506" s="623"/>
      <c r="AC506" s="623"/>
    </row>
    <row r="507" spans="1:68" ht="16.5" hidden="1" customHeight="1" x14ac:dyDescent="0.25">
      <c r="A507" s="54" t="s">
        <v>809</v>
      </c>
      <c r="B507" s="54" t="s">
        <v>810</v>
      </c>
      <c r="C507" s="31">
        <v>4301020334</v>
      </c>
      <c r="D507" s="639">
        <v>4607091388930</v>
      </c>
      <c r="E507" s="640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5"/>
      <c r="R507" s="635"/>
      <c r="S507" s="635"/>
      <c r="T507" s="636"/>
      <c r="U507" s="34"/>
      <c r="V507" s="34"/>
      <c r="W507" s="35" t="s">
        <v>67</v>
      </c>
      <c r="X507" s="627">
        <v>0</v>
      </c>
      <c r="Y507" s="628">
        <f>IFERROR(IF(X507="",0,CEILING((X507/$H507),1)*$H507),"")</f>
        <v>0</v>
      </c>
      <c r="Z507" s="36" t="str">
        <f>IFERROR(IF(Y507=0,"",ROUNDUP(Y507/H507,0)*0.01196),"")</f>
        <v/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812</v>
      </c>
      <c r="B508" s="54" t="s">
        <v>813</v>
      </c>
      <c r="C508" s="31">
        <v>4301020374</v>
      </c>
      <c r="D508" s="639">
        <v>4680115886407</v>
      </c>
      <c r="E508" s="640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2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5"/>
      <c r="R508" s="635"/>
      <c r="S508" s="635"/>
      <c r="T508" s="636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hidden="1" customHeight="1" x14ac:dyDescent="0.25">
      <c r="A509" s="54" t="s">
        <v>814</v>
      </c>
      <c r="B509" s="54" t="s">
        <v>815</v>
      </c>
      <c r="C509" s="31">
        <v>4301020385</v>
      </c>
      <c r="D509" s="639">
        <v>4680115880054</v>
      </c>
      <c r="E509" s="640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5"/>
      <c r="R509" s="635"/>
      <c r="S509" s="635"/>
      <c r="T509" s="636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hidden="1" x14ac:dyDescent="0.2">
      <c r="A510" s="631"/>
      <c r="B510" s="632"/>
      <c r="C510" s="632"/>
      <c r="D510" s="632"/>
      <c r="E510" s="632"/>
      <c r="F510" s="632"/>
      <c r="G510" s="632"/>
      <c r="H510" s="632"/>
      <c r="I510" s="632"/>
      <c r="J510" s="632"/>
      <c r="K510" s="632"/>
      <c r="L510" s="632"/>
      <c r="M510" s="632"/>
      <c r="N510" s="632"/>
      <c r="O510" s="633"/>
      <c r="P510" s="650" t="s">
        <v>72</v>
      </c>
      <c r="Q510" s="651"/>
      <c r="R510" s="651"/>
      <c r="S510" s="651"/>
      <c r="T510" s="651"/>
      <c r="U510" s="651"/>
      <c r="V510" s="652"/>
      <c r="W510" s="37" t="s">
        <v>73</v>
      </c>
      <c r="X510" s="629">
        <f>IFERROR(X507/H507,"0")+IFERROR(X508/H508,"0")+IFERROR(X509/H509,"0")</f>
        <v>0</v>
      </c>
      <c r="Y510" s="629">
        <f>IFERROR(Y507/H507,"0")+IFERROR(Y508/H508,"0")+IFERROR(Y509/H509,"0")</f>
        <v>0</v>
      </c>
      <c r="Z510" s="629">
        <f>IFERROR(IF(Z507="",0,Z507),"0")+IFERROR(IF(Z508="",0,Z508),"0")+IFERROR(IF(Z509="",0,Z509),"0")</f>
        <v>0</v>
      </c>
      <c r="AA510" s="630"/>
      <c r="AB510" s="630"/>
      <c r="AC510" s="630"/>
    </row>
    <row r="511" spans="1:68" hidden="1" x14ac:dyDescent="0.2">
      <c r="A511" s="632"/>
      <c r="B511" s="632"/>
      <c r="C511" s="632"/>
      <c r="D511" s="632"/>
      <c r="E511" s="632"/>
      <c r="F511" s="632"/>
      <c r="G511" s="632"/>
      <c r="H511" s="632"/>
      <c r="I511" s="632"/>
      <c r="J511" s="632"/>
      <c r="K511" s="632"/>
      <c r="L511" s="632"/>
      <c r="M511" s="632"/>
      <c r="N511" s="632"/>
      <c r="O511" s="633"/>
      <c r="P511" s="650" t="s">
        <v>72</v>
      </c>
      <c r="Q511" s="651"/>
      <c r="R511" s="651"/>
      <c r="S511" s="651"/>
      <c r="T511" s="651"/>
      <c r="U511" s="651"/>
      <c r="V511" s="652"/>
      <c r="W511" s="37" t="s">
        <v>67</v>
      </c>
      <c r="X511" s="629">
        <f>IFERROR(SUM(X507:X509),"0")</f>
        <v>0</v>
      </c>
      <c r="Y511" s="629">
        <f>IFERROR(SUM(Y507:Y509),"0")</f>
        <v>0</v>
      </c>
      <c r="Z511" s="37"/>
      <c r="AA511" s="630"/>
      <c r="AB511" s="630"/>
      <c r="AC511" s="630"/>
    </row>
    <row r="512" spans="1:68" ht="14.25" hidden="1" customHeight="1" x14ac:dyDescent="0.25">
      <c r="A512" s="654" t="s">
        <v>62</v>
      </c>
      <c r="B512" s="632"/>
      <c r="C512" s="632"/>
      <c r="D512" s="632"/>
      <c r="E512" s="632"/>
      <c r="F512" s="632"/>
      <c r="G512" s="632"/>
      <c r="H512" s="632"/>
      <c r="I512" s="632"/>
      <c r="J512" s="632"/>
      <c r="K512" s="632"/>
      <c r="L512" s="632"/>
      <c r="M512" s="632"/>
      <c r="N512" s="632"/>
      <c r="O512" s="632"/>
      <c r="P512" s="632"/>
      <c r="Q512" s="632"/>
      <c r="R512" s="632"/>
      <c r="S512" s="632"/>
      <c r="T512" s="632"/>
      <c r="U512" s="632"/>
      <c r="V512" s="632"/>
      <c r="W512" s="632"/>
      <c r="X512" s="632"/>
      <c r="Y512" s="632"/>
      <c r="Z512" s="632"/>
      <c r="AA512" s="623"/>
      <c r="AB512" s="623"/>
      <c r="AC512" s="623"/>
    </row>
    <row r="513" spans="1:68" ht="27" hidden="1" customHeight="1" x14ac:dyDescent="0.25">
      <c r="A513" s="54" t="s">
        <v>816</v>
      </c>
      <c r="B513" s="54" t="s">
        <v>817</v>
      </c>
      <c r="C513" s="31">
        <v>4301031349</v>
      </c>
      <c r="D513" s="639">
        <v>4680115883116</v>
      </c>
      <c r="E513" s="640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5"/>
      <c r="R513" s="635"/>
      <c r="S513" s="635"/>
      <c r="T513" s="636"/>
      <c r="U513" s="34"/>
      <c r="V513" s="34"/>
      <c r="W513" s="35" t="s">
        <v>67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hidden="1" customHeight="1" x14ac:dyDescent="0.25">
      <c r="A514" s="54" t="s">
        <v>819</v>
      </c>
      <c r="B514" s="54" t="s">
        <v>820</v>
      </c>
      <c r="C514" s="31">
        <v>4301031350</v>
      </c>
      <c r="D514" s="639">
        <v>4680115883093</v>
      </c>
      <c r="E514" s="640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0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5"/>
      <c r="R514" s="635"/>
      <c r="S514" s="635"/>
      <c r="T514" s="636"/>
      <c r="U514" s="34"/>
      <c r="V514" s="34"/>
      <c r="W514" s="35" t="s">
        <v>67</v>
      </c>
      <c r="X514" s="627">
        <v>0</v>
      </c>
      <c r="Y514" s="628">
        <f t="shared" si="63"/>
        <v>0</v>
      </c>
      <c r="Z514" s="36" t="str">
        <f>IFERROR(IF(Y514=0,"",ROUNDUP(Y514/H514,0)*0.01196),"")</f>
        <v/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0</v>
      </c>
      <c r="BN514" s="64">
        <f t="shared" si="65"/>
        <v>0</v>
      </c>
      <c r="BO514" s="64">
        <f t="shared" si="66"/>
        <v>0</v>
      </c>
      <c r="BP514" s="64">
        <f t="shared" si="67"/>
        <v>0</v>
      </c>
    </row>
    <row r="515" spans="1:68" ht="27" hidden="1" customHeight="1" x14ac:dyDescent="0.25">
      <c r="A515" s="54" t="s">
        <v>822</v>
      </c>
      <c r="B515" s="54" t="s">
        <v>823</v>
      </c>
      <c r="C515" s="31">
        <v>4301031353</v>
      </c>
      <c r="D515" s="639">
        <v>4680115883109</v>
      </c>
      <c r="E515" s="640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5"/>
      <c r="R515" s="635"/>
      <c r="S515" s="635"/>
      <c r="T515" s="636"/>
      <c r="U515" s="34"/>
      <c r="V515" s="34"/>
      <c r="W515" s="35" t="s">
        <v>67</v>
      </c>
      <c r="X515" s="627">
        <v>0</v>
      </c>
      <c r="Y515" s="628">
        <f t="shared" si="63"/>
        <v>0</v>
      </c>
      <c r="Z515" s="36" t="str">
        <f>IFERROR(IF(Y515=0,"",ROUNDUP(Y515/H515,0)*0.01196),"")</f>
        <v/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0</v>
      </c>
      <c r="BN515" s="64">
        <f t="shared" si="65"/>
        <v>0</v>
      </c>
      <c r="BO515" s="64">
        <f t="shared" si="66"/>
        <v>0</v>
      </c>
      <c r="BP515" s="64">
        <f t="shared" si="67"/>
        <v>0</v>
      </c>
    </row>
    <row r="516" spans="1:68" ht="27" hidden="1" customHeight="1" x14ac:dyDescent="0.25">
      <c r="A516" s="54" t="s">
        <v>825</v>
      </c>
      <c r="B516" s="54" t="s">
        <v>826</v>
      </c>
      <c r="C516" s="31">
        <v>4301031419</v>
      </c>
      <c r="D516" s="639">
        <v>4680115882072</v>
      </c>
      <c r="E516" s="640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5"/>
      <c r="R516" s="635"/>
      <c r="S516" s="635"/>
      <c r="T516" s="636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hidden="1" customHeight="1" x14ac:dyDescent="0.25">
      <c r="A517" s="54" t="s">
        <v>827</v>
      </c>
      <c r="B517" s="54" t="s">
        <v>828</v>
      </c>
      <c r="C517" s="31">
        <v>4301031352</v>
      </c>
      <c r="D517" s="639">
        <v>4680115882102</v>
      </c>
      <c r="E517" s="640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5"/>
      <c r="R517" s="635"/>
      <c r="S517" s="635"/>
      <c r="T517" s="636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hidden="1" customHeight="1" x14ac:dyDescent="0.25">
      <c r="A518" s="54" t="s">
        <v>827</v>
      </c>
      <c r="B518" s="54" t="s">
        <v>829</v>
      </c>
      <c r="C518" s="31">
        <v>4301031418</v>
      </c>
      <c r="D518" s="639">
        <v>4680115882102</v>
      </c>
      <c r="E518" s="640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5"/>
      <c r="R518" s="635"/>
      <c r="S518" s="635"/>
      <c r="T518" s="636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hidden="1" customHeight="1" x14ac:dyDescent="0.25">
      <c r="A519" s="54" t="s">
        <v>830</v>
      </c>
      <c r="B519" s="54" t="s">
        <v>831</v>
      </c>
      <c r="C519" s="31">
        <v>4301031417</v>
      </c>
      <c r="D519" s="639">
        <v>4680115882096</v>
      </c>
      <c r="E519" s="640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5"/>
      <c r="R519" s="635"/>
      <c r="S519" s="635"/>
      <c r="T519" s="636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hidden="1" x14ac:dyDescent="0.2">
      <c r="A520" s="631"/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3"/>
      <c r="P520" s="650" t="s">
        <v>72</v>
      </c>
      <c r="Q520" s="651"/>
      <c r="R520" s="651"/>
      <c r="S520" s="651"/>
      <c r="T520" s="651"/>
      <c r="U520" s="651"/>
      <c r="V520" s="652"/>
      <c r="W520" s="37" t="s">
        <v>73</v>
      </c>
      <c r="X520" s="629">
        <f>IFERROR(X513/H513,"0")+IFERROR(X514/H514,"0")+IFERROR(X515/H515,"0")+IFERROR(X516/H516,"0")+IFERROR(X517/H517,"0")+IFERROR(X518/H518,"0")+IFERROR(X519/H519,"0")</f>
        <v>0</v>
      </c>
      <c r="Y520" s="629">
        <f>IFERROR(Y513/H513,"0")+IFERROR(Y514/H514,"0")+IFERROR(Y515/H515,"0")+IFERROR(Y516/H516,"0")+IFERROR(Y517/H517,"0")+IFERROR(Y518/H518,"0")+IFERROR(Y519/H519,"0")</f>
        <v>0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30"/>
      <c r="AB520" s="630"/>
      <c r="AC520" s="630"/>
    </row>
    <row r="521" spans="1:68" hidden="1" x14ac:dyDescent="0.2">
      <c r="A521" s="632"/>
      <c r="B521" s="632"/>
      <c r="C521" s="632"/>
      <c r="D521" s="632"/>
      <c r="E521" s="632"/>
      <c r="F521" s="632"/>
      <c r="G521" s="632"/>
      <c r="H521" s="632"/>
      <c r="I521" s="632"/>
      <c r="J521" s="632"/>
      <c r="K521" s="632"/>
      <c r="L521" s="632"/>
      <c r="M521" s="632"/>
      <c r="N521" s="632"/>
      <c r="O521" s="633"/>
      <c r="P521" s="650" t="s">
        <v>72</v>
      </c>
      <c r="Q521" s="651"/>
      <c r="R521" s="651"/>
      <c r="S521" s="651"/>
      <c r="T521" s="651"/>
      <c r="U521" s="651"/>
      <c r="V521" s="652"/>
      <c r="W521" s="37" t="s">
        <v>67</v>
      </c>
      <c r="X521" s="629">
        <f>IFERROR(SUM(X513:X519),"0")</f>
        <v>0</v>
      </c>
      <c r="Y521" s="629">
        <f>IFERROR(SUM(Y513:Y519),"0")</f>
        <v>0</v>
      </c>
      <c r="Z521" s="37"/>
      <c r="AA521" s="630"/>
      <c r="AB521" s="630"/>
      <c r="AC521" s="630"/>
    </row>
    <row r="522" spans="1:68" ht="27.75" hidden="1" customHeight="1" x14ac:dyDescent="0.2">
      <c r="A522" s="660" t="s">
        <v>832</v>
      </c>
      <c r="B522" s="661"/>
      <c r="C522" s="661"/>
      <c r="D522" s="661"/>
      <c r="E522" s="661"/>
      <c r="F522" s="661"/>
      <c r="G522" s="661"/>
      <c r="H522" s="661"/>
      <c r="I522" s="661"/>
      <c r="J522" s="661"/>
      <c r="K522" s="661"/>
      <c r="L522" s="661"/>
      <c r="M522" s="661"/>
      <c r="N522" s="661"/>
      <c r="O522" s="661"/>
      <c r="P522" s="661"/>
      <c r="Q522" s="661"/>
      <c r="R522" s="661"/>
      <c r="S522" s="661"/>
      <c r="T522" s="661"/>
      <c r="U522" s="661"/>
      <c r="V522" s="661"/>
      <c r="W522" s="661"/>
      <c r="X522" s="661"/>
      <c r="Y522" s="661"/>
      <c r="Z522" s="661"/>
      <c r="AA522" s="48"/>
      <c r="AB522" s="48"/>
      <c r="AC522" s="48"/>
    </row>
    <row r="523" spans="1:68" ht="16.5" hidden="1" customHeight="1" x14ac:dyDescent="0.25">
      <c r="A523" s="657" t="s">
        <v>832</v>
      </c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2"/>
      <c r="P523" s="632"/>
      <c r="Q523" s="632"/>
      <c r="R523" s="632"/>
      <c r="S523" s="632"/>
      <c r="T523" s="632"/>
      <c r="U523" s="632"/>
      <c r="V523" s="632"/>
      <c r="W523" s="632"/>
      <c r="X523" s="632"/>
      <c r="Y523" s="632"/>
      <c r="Z523" s="632"/>
      <c r="AA523" s="622"/>
      <c r="AB523" s="622"/>
      <c r="AC523" s="622"/>
    </row>
    <row r="524" spans="1:68" ht="14.25" hidden="1" customHeight="1" x14ac:dyDescent="0.25">
      <c r="A524" s="654" t="s">
        <v>117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23"/>
      <c r="AB524" s="623"/>
      <c r="AC524" s="623"/>
    </row>
    <row r="525" spans="1:68" ht="27" hidden="1" customHeight="1" x14ac:dyDescent="0.25">
      <c r="A525" s="54" t="s">
        <v>833</v>
      </c>
      <c r="B525" s="54" t="s">
        <v>834</v>
      </c>
      <c r="C525" s="31">
        <v>4301011584</v>
      </c>
      <c r="D525" s="639">
        <v>4640242180564</v>
      </c>
      <c r="E525" s="640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5"/>
      <c r="R525" s="635"/>
      <c r="S525" s="635"/>
      <c r="T525" s="636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50" t="s">
        <v>72</v>
      </c>
      <c r="Q526" s="651"/>
      <c r="R526" s="651"/>
      <c r="S526" s="651"/>
      <c r="T526" s="651"/>
      <c r="U526" s="651"/>
      <c r="V526" s="652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50" t="s">
        <v>72</v>
      </c>
      <c r="Q527" s="651"/>
      <c r="R527" s="651"/>
      <c r="S527" s="651"/>
      <c r="T527" s="651"/>
      <c r="U527" s="651"/>
      <c r="V527" s="652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hidden="1" customHeight="1" x14ac:dyDescent="0.25">
      <c r="A528" s="654" t="s">
        <v>153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23"/>
      <c r="AB528" s="623"/>
      <c r="AC528" s="623"/>
    </row>
    <row r="529" spans="1:68" ht="27" hidden="1" customHeight="1" x14ac:dyDescent="0.25">
      <c r="A529" s="54" t="s">
        <v>836</v>
      </c>
      <c r="B529" s="54" t="s">
        <v>837</v>
      </c>
      <c r="C529" s="31">
        <v>4301020400</v>
      </c>
      <c r="D529" s="639">
        <v>4640242180519</v>
      </c>
      <c r="E529" s="640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5"/>
      <c r="R529" s="635"/>
      <c r="S529" s="635"/>
      <c r="T529" s="636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50" t="s">
        <v>72</v>
      </c>
      <c r="Q530" s="651"/>
      <c r="R530" s="651"/>
      <c r="S530" s="651"/>
      <c r="T530" s="651"/>
      <c r="U530" s="651"/>
      <c r="V530" s="652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50" t="s">
        <v>72</v>
      </c>
      <c r="Q531" s="651"/>
      <c r="R531" s="651"/>
      <c r="S531" s="651"/>
      <c r="T531" s="651"/>
      <c r="U531" s="651"/>
      <c r="V531" s="652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hidden="1" customHeight="1" x14ac:dyDescent="0.25">
      <c r="A532" s="654" t="s">
        <v>62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23"/>
      <c r="AB532" s="623"/>
      <c r="AC532" s="623"/>
    </row>
    <row r="533" spans="1:68" ht="27" hidden="1" customHeight="1" x14ac:dyDescent="0.25">
      <c r="A533" s="54" t="s">
        <v>839</v>
      </c>
      <c r="B533" s="54" t="s">
        <v>840</v>
      </c>
      <c r="C533" s="31">
        <v>4301031500</v>
      </c>
      <c r="D533" s="639">
        <v>4640242180595</v>
      </c>
      <c r="E533" s="640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4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5"/>
      <c r="R533" s="635"/>
      <c r="S533" s="635"/>
      <c r="T533" s="636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50" t="s">
        <v>72</v>
      </c>
      <c r="Q534" s="651"/>
      <c r="R534" s="651"/>
      <c r="S534" s="651"/>
      <c r="T534" s="651"/>
      <c r="U534" s="651"/>
      <c r="V534" s="652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50" t="s">
        <v>72</v>
      </c>
      <c r="Q535" s="651"/>
      <c r="R535" s="651"/>
      <c r="S535" s="651"/>
      <c r="T535" s="651"/>
      <c r="U535" s="651"/>
      <c r="V535" s="652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hidden="1" customHeight="1" x14ac:dyDescent="0.25">
      <c r="A536" s="654" t="s">
        <v>74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23"/>
      <c r="AB536" s="623"/>
      <c r="AC536" s="623"/>
    </row>
    <row r="537" spans="1:68" ht="27" hidden="1" customHeight="1" x14ac:dyDescent="0.25">
      <c r="A537" s="54" t="s">
        <v>842</v>
      </c>
      <c r="B537" s="54" t="s">
        <v>843</v>
      </c>
      <c r="C537" s="31">
        <v>4301052043</v>
      </c>
      <c r="D537" s="639">
        <v>4640242180533</v>
      </c>
      <c r="E537" s="640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5"/>
      <c r="R537" s="635"/>
      <c r="S537" s="635"/>
      <c r="T537" s="636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31"/>
      <c r="B538" s="632"/>
      <c r="C538" s="632"/>
      <c r="D538" s="632"/>
      <c r="E538" s="632"/>
      <c r="F538" s="632"/>
      <c r="G538" s="632"/>
      <c r="H538" s="632"/>
      <c r="I538" s="632"/>
      <c r="J538" s="632"/>
      <c r="K538" s="632"/>
      <c r="L538" s="632"/>
      <c r="M538" s="632"/>
      <c r="N538" s="632"/>
      <c r="O538" s="633"/>
      <c r="P538" s="650" t="s">
        <v>72</v>
      </c>
      <c r="Q538" s="651"/>
      <c r="R538" s="651"/>
      <c r="S538" s="651"/>
      <c r="T538" s="651"/>
      <c r="U538" s="651"/>
      <c r="V538" s="652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hidden="1" x14ac:dyDescent="0.2">
      <c r="A539" s="632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50" t="s">
        <v>72</v>
      </c>
      <c r="Q539" s="651"/>
      <c r="R539" s="651"/>
      <c r="S539" s="651"/>
      <c r="T539" s="651"/>
      <c r="U539" s="651"/>
      <c r="V539" s="652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hidden="1" customHeight="1" x14ac:dyDescent="0.25">
      <c r="A540" s="654" t="s">
        <v>170</v>
      </c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2"/>
      <c r="P540" s="632"/>
      <c r="Q540" s="632"/>
      <c r="R540" s="632"/>
      <c r="S540" s="632"/>
      <c r="T540" s="632"/>
      <c r="U540" s="632"/>
      <c r="V540" s="632"/>
      <c r="W540" s="632"/>
      <c r="X540" s="632"/>
      <c r="Y540" s="632"/>
      <c r="Z540" s="632"/>
      <c r="AA540" s="623"/>
      <c r="AB540" s="623"/>
      <c r="AC540" s="623"/>
    </row>
    <row r="541" spans="1:68" ht="27" hidden="1" customHeight="1" x14ac:dyDescent="0.25">
      <c r="A541" s="54" t="s">
        <v>845</v>
      </c>
      <c r="B541" s="54" t="s">
        <v>846</v>
      </c>
      <c r="C541" s="31">
        <v>4301060535</v>
      </c>
      <c r="D541" s="639">
        <v>4640242180120</v>
      </c>
      <c r="E541" s="640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5"/>
      <c r="R541" s="635"/>
      <c r="S541" s="635"/>
      <c r="T541" s="636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hidden="1" customHeight="1" x14ac:dyDescent="0.25">
      <c r="A542" s="54" t="s">
        <v>848</v>
      </c>
      <c r="B542" s="54" t="s">
        <v>849</v>
      </c>
      <c r="C542" s="31">
        <v>4301060536</v>
      </c>
      <c r="D542" s="639">
        <v>4640242180137</v>
      </c>
      <c r="E542" s="640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5"/>
      <c r="R542" s="635"/>
      <c r="S542" s="635"/>
      <c r="T542" s="636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31"/>
      <c r="B543" s="632"/>
      <c r="C543" s="632"/>
      <c r="D543" s="632"/>
      <c r="E543" s="632"/>
      <c r="F543" s="632"/>
      <c r="G543" s="632"/>
      <c r="H543" s="632"/>
      <c r="I543" s="632"/>
      <c r="J543" s="632"/>
      <c r="K543" s="632"/>
      <c r="L543" s="632"/>
      <c r="M543" s="632"/>
      <c r="N543" s="632"/>
      <c r="O543" s="633"/>
      <c r="P543" s="650" t="s">
        <v>72</v>
      </c>
      <c r="Q543" s="651"/>
      <c r="R543" s="651"/>
      <c r="S543" s="651"/>
      <c r="T543" s="651"/>
      <c r="U543" s="651"/>
      <c r="V543" s="652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hidden="1" x14ac:dyDescent="0.2">
      <c r="A544" s="632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50" t="s">
        <v>72</v>
      </c>
      <c r="Q544" s="651"/>
      <c r="R544" s="651"/>
      <c r="S544" s="651"/>
      <c r="T544" s="651"/>
      <c r="U544" s="651"/>
      <c r="V544" s="652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hidden="1" customHeight="1" x14ac:dyDescent="0.25">
      <c r="A545" s="657" t="s">
        <v>851</v>
      </c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2"/>
      <c r="P545" s="632"/>
      <c r="Q545" s="632"/>
      <c r="R545" s="632"/>
      <c r="S545" s="632"/>
      <c r="T545" s="632"/>
      <c r="U545" s="632"/>
      <c r="V545" s="632"/>
      <c r="W545" s="632"/>
      <c r="X545" s="632"/>
      <c r="Y545" s="632"/>
      <c r="Z545" s="632"/>
      <c r="AA545" s="622"/>
      <c r="AB545" s="622"/>
      <c r="AC545" s="622"/>
    </row>
    <row r="546" spans="1:68" ht="14.25" hidden="1" customHeight="1" x14ac:dyDescent="0.25">
      <c r="A546" s="654" t="s">
        <v>153</v>
      </c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632"/>
      <c r="P546" s="632"/>
      <c r="Q546" s="632"/>
      <c r="R546" s="632"/>
      <c r="S546" s="632"/>
      <c r="T546" s="632"/>
      <c r="U546" s="632"/>
      <c r="V546" s="632"/>
      <c r="W546" s="632"/>
      <c r="X546" s="632"/>
      <c r="Y546" s="632"/>
      <c r="Z546" s="632"/>
      <c r="AA546" s="623"/>
      <c r="AB546" s="623"/>
      <c r="AC546" s="623"/>
    </row>
    <row r="547" spans="1:68" ht="27" hidden="1" customHeight="1" x14ac:dyDescent="0.25">
      <c r="A547" s="54" t="s">
        <v>852</v>
      </c>
      <c r="B547" s="54" t="s">
        <v>853</v>
      </c>
      <c r="C547" s="31">
        <v>4301020428</v>
      </c>
      <c r="D547" s="639">
        <v>4640242180090</v>
      </c>
      <c r="E547" s="640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8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5"/>
      <c r="R547" s="635"/>
      <c r="S547" s="635"/>
      <c r="T547" s="636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31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633"/>
      <c r="P548" s="650" t="s">
        <v>72</v>
      </c>
      <c r="Q548" s="651"/>
      <c r="R548" s="651"/>
      <c r="S548" s="651"/>
      <c r="T548" s="651"/>
      <c r="U548" s="651"/>
      <c r="V548" s="652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hidden="1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633"/>
      <c r="P549" s="650" t="s">
        <v>72</v>
      </c>
      <c r="Q549" s="651"/>
      <c r="R549" s="651"/>
      <c r="S549" s="651"/>
      <c r="T549" s="651"/>
      <c r="U549" s="651"/>
      <c r="V549" s="652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71"/>
      <c r="P550" s="729" t="s">
        <v>855</v>
      </c>
      <c r="Q550" s="715"/>
      <c r="R550" s="715"/>
      <c r="S550" s="715"/>
      <c r="T550" s="715"/>
      <c r="U550" s="715"/>
      <c r="V550" s="716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7922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8010.5199999999995</v>
      </c>
      <c r="Z550" s="37"/>
      <c r="AA550" s="630"/>
      <c r="AB550" s="630"/>
      <c r="AC550" s="630"/>
    </row>
    <row r="551" spans="1:68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71"/>
      <c r="P551" s="729" t="s">
        <v>856</v>
      </c>
      <c r="Q551" s="715"/>
      <c r="R551" s="715"/>
      <c r="S551" s="715"/>
      <c r="T551" s="715"/>
      <c r="U551" s="715"/>
      <c r="V551" s="716"/>
      <c r="W551" s="37" t="s">
        <v>67</v>
      </c>
      <c r="X551" s="629">
        <f>IFERROR(SUM(BM22:BM547),"0")</f>
        <v>8499.584015444434</v>
      </c>
      <c r="Y551" s="629">
        <f>IFERROR(SUM(BN22:BN547),"0")</f>
        <v>8594.5919999999987</v>
      </c>
      <c r="Z551" s="37"/>
      <c r="AA551" s="630"/>
      <c r="AB551" s="630"/>
      <c r="AC551" s="630"/>
    </row>
    <row r="552" spans="1:68" x14ac:dyDescent="0.2">
      <c r="A552" s="632"/>
      <c r="B552" s="632"/>
      <c r="C552" s="632"/>
      <c r="D552" s="632"/>
      <c r="E552" s="632"/>
      <c r="F552" s="632"/>
      <c r="G552" s="632"/>
      <c r="H552" s="632"/>
      <c r="I552" s="632"/>
      <c r="J552" s="632"/>
      <c r="K552" s="632"/>
      <c r="L552" s="632"/>
      <c r="M552" s="632"/>
      <c r="N552" s="632"/>
      <c r="O552" s="771"/>
      <c r="P552" s="729" t="s">
        <v>857</v>
      </c>
      <c r="Q552" s="715"/>
      <c r="R552" s="715"/>
      <c r="S552" s="715"/>
      <c r="T552" s="715"/>
      <c r="U552" s="715"/>
      <c r="V552" s="716"/>
      <c r="W552" s="37" t="s">
        <v>858</v>
      </c>
      <c r="X552" s="38">
        <f>ROUNDUP(SUM(BO22:BO547),0)</f>
        <v>16</v>
      </c>
      <c r="Y552" s="38">
        <f>ROUNDUP(SUM(BP22:BP547),0)</f>
        <v>16</v>
      </c>
      <c r="Z552" s="37"/>
      <c r="AA552" s="630"/>
      <c r="AB552" s="630"/>
      <c r="AC552" s="630"/>
    </row>
    <row r="553" spans="1:68" x14ac:dyDescent="0.2">
      <c r="A553" s="632"/>
      <c r="B553" s="632"/>
      <c r="C553" s="632"/>
      <c r="D553" s="632"/>
      <c r="E553" s="632"/>
      <c r="F553" s="632"/>
      <c r="G553" s="632"/>
      <c r="H553" s="632"/>
      <c r="I553" s="632"/>
      <c r="J553" s="632"/>
      <c r="K553" s="632"/>
      <c r="L553" s="632"/>
      <c r="M553" s="632"/>
      <c r="N553" s="632"/>
      <c r="O553" s="771"/>
      <c r="P553" s="729" t="s">
        <v>859</v>
      </c>
      <c r="Q553" s="715"/>
      <c r="R553" s="715"/>
      <c r="S553" s="715"/>
      <c r="T553" s="715"/>
      <c r="U553" s="715"/>
      <c r="V553" s="716"/>
      <c r="W553" s="37" t="s">
        <v>67</v>
      </c>
      <c r="X553" s="629">
        <f>GrossWeightTotal+PalletQtyTotal*25</f>
        <v>8899.584015444434</v>
      </c>
      <c r="Y553" s="629">
        <f>GrossWeightTotalR+PalletQtyTotalR*25</f>
        <v>8994.5919999999987</v>
      </c>
      <c r="Z553" s="37"/>
      <c r="AA553" s="630"/>
      <c r="AB553" s="630"/>
      <c r="AC553" s="630"/>
    </row>
    <row r="554" spans="1:68" x14ac:dyDescent="0.2">
      <c r="A554" s="632"/>
      <c r="B554" s="632"/>
      <c r="C554" s="632"/>
      <c r="D554" s="632"/>
      <c r="E554" s="632"/>
      <c r="F554" s="632"/>
      <c r="G554" s="632"/>
      <c r="H554" s="632"/>
      <c r="I554" s="632"/>
      <c r="J554" s="632"/>
      <c r="K554" s="632"/>
      <c r="L554" s="632"/>
      <c r="M554" s="632"/>
      <c r="N554" s="632"/>
      <c r="O554" s="771"/>
      <c r="P554" s="729" t="s">
        <v>860</v>
      </c>
      <c r="Q554" s="715"/>
      <c r="R554" s="715"/>
      <c r="S554" s="715"/>
      <c r="T554" s="715"/>
      <c r="U554" s="715"/>
      <c r="V554" s="716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1616.9068416151752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1637</v>
      </c>
      <c r="Z554" s="37"/>
      <c r="AA554" s="630"/>
      <c r="AB554" s="630"/>
      <c r="AC554" s="630"/>
    </row>
    <row r="555" spans="1:68" ht="14.25" hidden="1" customHeight="1" x14ac:dyDescent="0.2">
      <c r="A555" s="632"/>
      <c r="B555" s="632"/>
      <c r="C555" s="632"/>
      <c r="D555" s="632"/>
      <c r="E555" s="632"/>
      <c r="F555" s="632"/>
      <c r="G555" s="632"/>
      <c r="H555" s="632"/>
      <c r="I555" s="632"/>
      <c r="J555" s="632"/>
      <c r="K555" s="632"/>
      <c r="L555" s="632"/>
      <c r="M555" s="632"/>
      <c r="N555" s="632"/>
      <c r="O555" s="771"/>
      <c r="P555" s="729" t="s">
        <v>861</v>
      </c>
      <c r="Q555" s="715"/>
      <c r="R555" s="715"/>
      <c r="S555" s="715"/>
      <c r="T555" s="715"/>
      <c r="U555" s="715"/>
      <c r="V555" s="716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18.442019999999999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7" t="s">
        <v>115</v>
      </c>
      <c r="E557" s="806"/>
      <c r="F557" s="806"/>
      <c r="G557" s="806"/>
      <c r="H557" s="806"/>
      <c r="I557" s="806"/>
      <c r="J557" s="777"/>
      <c r="K557" s="637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77"/>
      <c r="V557" s="637" t="s">
        <v>683</v>
      </c>
      <c r="W557" s="777"/>
      <c r="X557" s="637" t="s">
        <v>749</v>
      </c>
      <c r="Y557" s="777"/>
      <c r="Z557" s="624" t="s">
        <v>785</v>
      </c>
      <c r="AA557" s="637" t="s">
        <v>832</v>
      </c>
      <c r="AB557" s="777"/>
      <c r="AC557" s="52"/>
      <c r="AF557" s="625"/>
    </row>
    <row r="558" spans="1:68" ht="14.25" customHeight="1" thickTop="1" x14ac:dyDescent="0.2">
      <c r="A558" s="772" t="s">
        <v>864</v>
      </c>
      <c r="B558" s="637" t="s">
        <v>61</v>
      </c>
      <c r="C558" s="637" t="s">
        <v>99</v>
      </c>
      <c r="D558" s="637" t="s">
        <v>116</v>
      </c>
      <c r="E558" s="637" t="s">
        <v>132</v>
      </c>
      <c r="F558" s="637" t="s">
        <v>177</v>
      </c>
      <c r="G558" s="637" t="s">
        <v>198</v>
      </c>
      <c r="H558" s="637" t="s">
        <v>237</v>
      </c>
      <c r="I558" s="637" t="s">
        <v>265</v>
      </c>
      <c r="J558" s="637" t="s">
        <v>115</v>
      </c>
      <c r="K558" s="637" t="s">
        <v>348</v>
      </c>
      <c r="L558" s="637" t="s">
        <v>369</v>
      </c>
      <c r="M558" s="637" t="s">
        <v>436</v>
      </c>
      <c r="N558" s="625"/>
      <c r="O558" s="637" t="s">
        <v>504</v>
      </c>
      <c r="P558" s="637" t="s">
        <v>537</v>
      </c>
      <c r="Q558" s="637" t="s">
        <v>553</v>
      </c>
      <c r="R558" s="637" t="s">
        <v>562</v>
      </c>
      <c r="S558" s="637" t="s">
        <v>583</v>
      </c>
      <c r="T558" s="637" t="s">
        <v>592</v>
      </c>
      <c r="U558" s="637" t="s">
        <v>673</v>
      </c>
      <c r="V558" s="637" t="s">
        <v>684</v>
      </c>
      <c r="W558" s="637" t="s">
        <v>733</v>
      </c>
      <c r="X558" s="637" t="s">
        <v>750</v>
      </c>
      <c r="Y558" s="637" t="s">
        <v>773</v>
      </c>
      <c r="Z558" s="637" t="s">
        <v>785</v>
      </c>
      <c r="AA558" s="637" t="s">
        <v>832</v>
      </c>
      <c r="AB558" s="637" t="s">
        <v>851</v>
      </c>
      <c r="AC558" s="52"/>
      <c r="AF558" s="625"/>
    </row>
    <row r="559" spans="1:68" ht="13.5" customHeight="1" thickBot="1" x14ac:dyDescent="0.25">
      <c r="A559" s="773"/>
      <c r="B559" s="638"/>
      <c r="C559" s="638"/>
      <c r="D559" s="638"/>
      <c r="E559" s="638"/>
      <c r="F559" s="638"/>
      <c r="G559" s="638"/>
      <c r="H559" s="638"/>
      <c r="I559" s="638"/>
      <c r="J559" s="638"/>
      <c r="K559" s="638"/>
      <c r="L559" s="638"/>
      <c r="M559" s="638"/>
      <c r="N559" s="625"/>
      <c r="O559" s="638"/>
      <c r="P559" s="638"/>
      <c r="Q559" s="638"/>
      <c r="R559" s="638"/>
      <c r="S559" s="638"/>
      <c r="T559" s="638"/>
      <c r="U559" s="638"/>
      <c r="V559" s="638"/>
      <c r="W559" s="638"/>
      <c r="X559" s="638"/>
      <c r="Y559" s="638"/>
      <c r="Z559" s="638"/>
      <c r="AA559" s="638"/>
      <c r="AB559" s="638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3.6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0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340</v>
      </c>
      <c r="F560" s="46">
        <f>IFERROR(Y88*1,"0")+IFERROR(Y89*1,"0")+IFERROR(Y90*1,"0")+IFERROR(Y91*1,"0")+IFERROR(Y95*1,"0")+IFERROR(Y96*1,"0")+IFERROR(Y97*1,"0")+IFERROR(Y98*1,"0")</f>
        <v>333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64.800000000000011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74.52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50.46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1470.6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7.2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120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156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1209</v>
      </c>
      <c r="U560" s="46">
        <f>IFERROR(Y414*1,"0")+IFERROR(Y415*1,"0")+IFERROR(Y416*1,"0")</f>
        <v>144.9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390</v>
      </c>
      <c r="W560" s="46">
        <f>IFERROR(Y451*1,"0")+IFERROR(Y452*1,"0")+IFERROR(Y456*1,"0")+IFERROR(Y460*1,"0")+IFERROR(Y461*1,"0")+IFERROR(Y462*1,"0")</f>
        <v>2399.4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1247.04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9"/>
        <filter val="1 015,00"/>
        <filter val="1 202,00"/>
        <filter val="1 238,00"/>
        <filter val="1 363,00"/>
        <filter val="1 616,91"/>
        <filter val="1,00"/>
        <filter val="1,11"/>
        <filter val="11,00"/>
        <filter val="120,00"/>
        <filter val="121,00"/>
        <filter val="127,00"/>
        <filter val="13,00"/>
        <filter val="13,33"/>
        <filter val="137,00"/>
        <filter val="143,00"/>
        <filter val="153,00"/>
        <filter val="154,10"/>
        <filter val="158,00"/>
        <filter val="16"/>
        <filter val="16,00"/>
        <filter val="17,00"/>
        <filter val="19,05"/>
        <filter val="19,62"/>
        <filter val="2 275,00"/>
        <filter val="2 396,00"/>
        <filter val="2,00"/>
        <filter val="214,00"/>
        <filter val="23,67"/>
        <filter val="236,29"/>
        <filter val="24,00"/>
        <filter val="241,00"/>
        <filter val="25,00"/>
        <filter val="25,01"/>
        <filter val="270,00"/>
        <filter val="29,63"/>
        <filter val="3,33"/>
        <filter val="30,00"/>
        <filter val="303,19"/>
        <filter val="317,00"/>
        <filter val="32,00"/>
        <filter val="355,00"/>
        <filter val="4,00"/>
        <filter val="438,00"/>
        <filter val="44,00"/>
        <filter val="47,00"/>
        <filter val="47,58"/>
        <filter val="5,00"/>
        <filter val="5,74"/>
        <filter val="50,00"/>
        <filter val="50,74"/>
        <filter val="555,02"/>
        <filter val="557,00"/>
        <filter val="6,00"/>
        <filter val="62,00"/>
        <filter val="68,00"/>
        <filter val="68,10"/>
        <filter val="7 922,00"/>
        <filter val="7,00"/>
        <filter val="7,50"/>
        <filter val="73,00"/>
        <filter val="8 499,58"/>
        <filter val="8 899,58"/>
        <filter val="81,00"/>
        <filter val="83,00"/>
        <filter val="85,00"/>
        <filter val="90,00"/>
        <filter val="96,00"/>
      </filters>
    </filterColumn>
    <filterColumn colId="29" showButton="0"/>
    <filterColumn colId="30" showButton="0"/>
  </autoFilter>
  <mergeCells count="985">
    <mergeCell ref="P443:V443"/>
    <mergeCell ref="A206:Z206"/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D395:E395"/>
    <mergeCell ref="A413:Z413"/>
    <mergeCell ref="W558:W559"/>
    <mergeCell ref="Y558:Y559"/>
    <mergeCell ref="D452:E452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A10:C10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A55:O56"/>
    <mergeCell ref="D133:E133"/>
    <mergeCell ref="D336:E33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P515:T515"/>
    <mergeCell ref="P344:T344"/>
    <mergeCell ref="D265:E265"/>
    <mergeCell ref="P195:V195"/>
    <mergeCell ref="A194:O195"/>
    <mergeCell ref="D27:E27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P509:T509"/>
    <mergeCell ref="P186:T186"/>
    <mergeCell ref="A36:O37"/>
    <mergeCell ref="P82:T82"/>
    <mergeCell ref="P478:T478"/>
    <mergeCell ref="A255:O256"/>
    <mergeCell ref="D172:E172"/>
    <mergeCell ref="P88:T88"/>
    <mergeCell ref="P51:T51"/>
    <mergeCell ref="A143:O144"/>
    <mergeCell ref="P77:T77"/>
    <mergeCell ref="P179:T179"/>
    <mergeCell ref="P446:T446"/>
    <mergeCell ref="P440:T440"/>
    <mergeCell ref="D283:E283"/>
    <mergeCell ref="D112:E112"/>
    <mergeCell ref="A457:O458"/>
    <mergeCell ref="A318:Z318"/>
    <mergeCell ref="P431:V431"/>
    <mergeCell ref="P123:T123"/>
    <mergeCell ref="P408:T408"/>
    <mergeCell ref="P137:V137"/>
    <mergeCell ref="A176:Z176"/>
    <mergeCell ref="A314:Z314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407:E407"/>
    <mergeCell ref="A447:O448"/>
    <mergeCell ref="A385:O386"/>
    <mergeCell ref="A438:Z438"/>
    <mergeCell ref="D321:E321"/>
    <mergeCell ref="P129:V129"/>
    <mergeCell ref="A128:O129"/>
    <mergeCell ref="P439:T439"/>
    <mergeCell ref="D249:E249"/>
    <mergeCell ref="P433:T433"/>
    <mergeCell ref="D276:E276"/>
    <mergeCell ref="A412:Z412"/>
    <mergeCell ref="A257:Z257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V11:W11"/>
    <mergeCell ref="D29:E29"/>
    <mergeCell ref="D23:E23"/>
    <mergeCell ref="N17:N18"/>
    <mergeCell ref="F17:F18"/>
    <mergeCell ref="P107:T107"/>
    <mergeCell ref="A24:O25"/>
    <mergeCell ref="P65:T65"/>
    <mergeCell ref="P364:T364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70:T70"/>
    <mergeCell ref="A20:Z20"/>
    <mergeCell ref="P68:V68"/>
    <mergeCell ref="P327:T327"/>
    <mergeCell ref="D273:E273"/>
    <mergeCell ref="P252:V252"/>
    <mergeCell ref="P156:T156"/>
    <mergeCell ref="P56:V56"/>
    <mergeCell ref="P368:V368"/>
    <mergeCell ref="D185:E185"/>
    <mergeCell ref="P95:T95"/>
    <mergeCell ref="D30:E30"/>
    <mergeCell ref="P66:T66"/>
    <mergeCell ref="D96:E96"/>
    <mergeCell ref="D52:E52"/>
    <mergeCell ref="P375:T375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D202:E202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D513:E513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P505:V505"/>
    <mergeCell ref="A504:O505"/>
    <mergeCell ref="D295:E295"/>
    <mergeCell ref="D178:E178"/>
    <mergeCell ref="A199:O200"/>
    <mergeCell ref="P106:T106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541:E541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301:T301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213:E213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90:T390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A510:O511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404:V404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P229:T229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Q10:R10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A145:Z145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P224:T224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D59:E59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159:V159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P329:T32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D139:E139"/>
    <mergeCell ref="P251:V251"/>
    <mergeCell ref="P118:V118"/>
    <mergeCell ref="A355:Z355"/>
    <mergeCell ref="P110:V110"/>
    <mergeCell ref="D289:E289"/>
    <mergeCell ref="D330:E330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D507:E507"/>
    <mergeCell ref="A421:Z421"/>
    <mergeCell ref="X557:Y557"/>
    <mergeCell ref="A540:Z540"/>
    <mergeCell ref="P513:T513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P403:T403"/>
    <mergeCell ref="D311:E311"/>
    <mergeCell ref="D115:E115"/>
    <mergeCell ref="P182:T182"/>
    <mergeCell ref="D390:E390"/>
    <mergeCell ref="P369:V369"/>
    <mergeCell ref="P347:V347"/>
    <mergeCell ref="D402:E402"/>
    <mergeCell ref="P371:T371"/>
    <mergeCell ref="D401:E401"/>
    <mergeCell ref="P358:T358"/>
    <mergeCell ref="P132:T132"/>
    <mergeCell ref="P75:V75"/>
    <mergeCell ref="P317:V317"/>
    <mergeCell ref="D63:E63"/>
    <mergeCell ref="C17:C18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459:Z459"/>
    <mergeCell ref="D517:E517"/>
    <mergeCell ref="P417:V417"/>
    <mergeCell ref="A534:O535"/>
    <mergeCell ref="P469:T469"/>
    <mergeCell ref="P491:V491"/>
    <mergeCell ref="R558:R559"/>
    <mergeCell ref="A492:Z492"/>
    <mergeCell ref="P418:V418"/>
    <mergeCell ref="A550:O555"/>
    <mergeCell ref="A558:A559"/>
    <mergeCell ref="A442:O443"/>
    <mergeCell ref="P529:T529"/>
    <mergeCell ref="A548:O549"/>
    <mergeCell ref="P538:V538"/>
    <mergeCell ref="P250:T250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P350:T350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A338:O339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537:T537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D103:E103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407:T40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P473:T47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D287:E28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S558:S559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426:E426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D498:E498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A538:O539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2026-07-24T15:08:08Z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