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745A67F-AA46-4CF7-B6D6-E997F59F539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Y535" i="1" s="1"/>
  <c r="P533" i="1"/>
  <c r="X531" i="1"/>
  <c r="X530" i="1"/>
  <c r="BO529" i="1"/>
  <c r="BM529" i="1"/>
  <c r="Y529" i="1"/>
  <c r="P529" i="1"/>
  <c r="X527" i="1"/>
  <c r="Y526" i="1"/>
  <c r="X526" i="1"/>
  <c r="BO525" i="1"/>
  <c r="BN525" i="1"/>
  <c r="BM525" i="1"/>
  <c r="Y525" i="1"/>
  <c r="Y527" i="1" s="1"/>
  <c r="P525" i="1"/>
  <c r="X521" i="1"/>
  <c r="X520" i="1"/>
  <c r="BO519" i="1"/>
  <c r="BN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M515" i="1"/>
  <c r="Y515" i="1"/>
  <c r="BN515" i="1" s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BP509" i="1" s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N503" i="1"/>
  <c r="BM503" i="1"/>
  <c r="Y503" i="1"/>
  <c r="Z503" i="1" s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N499" i="1"/>
  <c r="BM499" i="1"/>
  <c r="Y499" i="1"/>
  <c r="BP499" i="1" s="1"/>
  <c r="P499" i="1"/>
  <c r="BO498" i="1"/>
  <c r="BM498" i="1"/>
  <c r="Y498" i="1"/>
  <c r="P498" i="1"/>
  <c r="BO497" i="1"/>
  <c r="BN497" i="1"/>
  <c r="BM497" i="1"/>
  <c r="Y497" i="1"/>
  <c r="BP497" i="1" s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X490" i="1"/>
  <c r="BO489" i="1"/>
  <c r="BN489" i="1"/>
  <c r="BM489" i="1"/>
  <c r="Y489" i="1"/>
  <c r="BP489" i="1" s="1"/>
  <c r="P489" i="1"/>
  <c r="BO488" i="1"/>
  <c r="BM488" i="1"/>
  <c r="Y488" i="1"/>
  <c r="P488" i="1"/>
  <c r="BO487" i="1"/>
  <c r="BM487" i="1"/>
  <c r="Y487" i="1"/>
  <c r="Y490" i="1" s="1"/>
  <c r="P487" i="1"/>
  <c r="X485" i="1"/>
  <c r="X484" i="1"/>
  <c r="BO483" i="1"/>
  <c r="BM483" i="1"/>
  <c r="Y483" i="1"/>
  <c r="P483" i="1"/>
  <c r="X480" i="1"/>
  <c r="X479" i="1"/>
  <c r="BP478" i="1"/>
  <c r="BO478" i="1"/>
  <c r="BM478" i="1"/>
  <c r="Y478" i="1"/>
  <c r="BN478" i="1" s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O470" i="1"/>
  <c r="BM470" i="1"/>
  <c r="Z470" i="1"/>
  <c r="Y470" i="1"/>
  <c r="BP470" i="1" s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BP462" i="1" s="1"/>
  <c r="P462" i="1"/>
  <c r="BO461" i="1"/>
  <c r="BM461" i="1"/>
  <c r="Y461" i="1"/>
  <c r="Y463" i="1" s="1"/>
  <c r="P461" i="1"/>
  <c r="BO460" i="1"/>
  <c r="BM460" i="1"/>
  <c r="Z460" i="1"/>
  <c r="Y460" i="1"/>
  <c r="BP460" i="1" s="1"/>
  <c r="P460" i="1"/>
  <c r="X458" i="1"/>
  <c r="X457" i="1"/>
  <c r="BO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Z445" i="1"/>
  <c r="Y445" i="1"/>
  <c r="BP445" i="1" s="1"/>
  <c r="P445" i="1"/>
  <c r="X443" i="1"/>
  <c r="Y442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N439" i="1" s="1"/>
  <c r="P439" i="1"/>
  <c r="X437" i="1"/>
  <c r="X436" i="1"/>
  <c r="BO435" i="1"/>
  <c r="BM435" i="1"/>
  <c r="Y435" i="1"/>
  <c r="P435" i="1"/>
  <c r="BO434" i="1"/>
  <c r="BM434" i="1"/>
  <c r="Y434" i="1"/>
  <c r="P434" i="1"/>
  <c r="BO433" i="1"/>
  <c r="BM433" i="1"/>
  <c r="Y433" i="1"/>
  <c r="BN433" i="1" s="1"/>
  <c r="P433" i="1"/>
  <c r="X431" i="1"/>
  <c r="X430" i="1"/>
  <c r="BO429" i="1"/>
  <c r="BM429" i="1"/>
  <c r="Y429" i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O425" i="1"/>
  <c r="BM425" i="1"/>
  <c r="Y425" i="1"/>
  <c r="BP425" i="1" s="1"/>
  <c r="P425" i="1"/>
  <c r="BO424" i="1"/>
  <c r="BM424" i="1"/>
  <c r="Y424" i="1"/>
  <c r="P424" i="1"/>
  <c r="BP423" i="1"/>
  <c r="BO423" i="1"/>
  <c r="BN423" i="1"/>
  <c r="BM423" i="1"/>
  <c r="Y423" i="1"/>
  <c r="Z423" i="1" s="1"/>
  <c r="P423" i="1"/>
  <c r="BO422" i="1"/>
  <c r="BM422" i="1"/>
  <c r="Y422" i="1"/>
  <c r="P422" i="1"/>
  <c r="X418" i="1"/>
  <c r="X417" i="1"/>
  <c r="BO416" i="1"/>
  <c r="BM416" i="1"/>
  <c r="Y416" i="1"/>
  <c r="P416" i="1"/>
  <c r="BO415" i="1"/>
  <c r="BM415" i="1"/>
  <c r="Y415" i="1"/>
  <c r="BP415" i="1" s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P396" i="1"/>
  <c r="BO396" i="1"/>
  <c r="BM396" i="1"/>
  <c r="Y396" i="1"/>
  <c r="BN396" i="1" s="1"/>
  <c r="P396" i="1"/>
  <c r="BO395" i="1"/>
  <c r="BM395" i="1"/>
  <c r="Y395" i="1"/>
  <c r="BP395" i="1" s="1"/>
  <c r="P395" i="1"/>
  <c r="BO394" i="1"/>
  <c r="BM394" i="1"/>
  <c r="Y394" i="1"/>
  <c r="P394" i="1"/>
  <c r="X392" i="1"/>
  <c r="X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O388" i="1"/>
  <c r="BM388" i="1"/>
  <c r="Y388" i="1"/>
  <c r="P388" i="1"/>
  <c r="X386" i="1"/>
  <c r="X385" i="1"/>
  <c r="BO384" i="1"/>
  <c r="BN384" i="1"/>
  <c r="BM384" i="1"/>
  <c r="Z384" i="1"/>
  <c r="Y384" i="1"/>
  <c r="BP384" i="1" s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P376" i="1"/>
  <c r="BO376" i="1"/>
  <c r="BN376" i="1"/>
  <c r="BM376" i="1"/>
  <c r="Y376" i="1"/>
  <c r="Z376" i="1" s="1"/>
  <c r="P376" i="1"/>
  <c r="BO375" i="1"/>
  <c r="BM375" i="1"/>
  <c r="Y375" i="1"/>
  <c r="BP375" i="1" s="1"/>
  <c r="P375" i="1"/>
  <c r="BO374" i="1"/>
  <c r="BM374" i="1"/>
  <c r="Y374" i="1"/>
  <c r="P374" i="1"/>
  <c r="BO373" i="1"/>
  <c r="BM373" i="1"/>
  <c r="Y373" i="1"/>
  <c r="BP373" i="1" s="1"/>
  <c r="P373" i="1"/>
  <c r="BO372" i="1"/>
  <c r="BN372" i="1"/>
  <c r="BM372" i="1"/>
  <c r="Y372" i="1"/>
  <c r="BP372" i="1" s="1"/>
  <c r="P372" i="1"/>
  <c r="BO371" i="1"/>
  <c r="BM371" i="1"/>
  <c r="Y371" i="1"/>
  <c r="P371" i="1"/>
  <c r="X369" i="1"/>
  <c r="X368" i="1"/>
  <c r="BO367" i="1"/>
  <c r="BM367" i="1"/>
  <c r="Y367" i="1"/>
  <c r="BP367" i="1" s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BP364" i="1" s="1"/>
  <c r="P364" i="1"/>
  <c r="BO363" i="1"/>
  <c r="BM363" i="1"/>
  <c r="Y363" i="1"/>
  <c r="P363" i="1"/>
  <c r="X360" i="1"/>
  <c r="X359" i="1"/>
  <c r="BO358" i="1"/>
  <c r="BM358" i="1"/>
  <c r="Y358" i="1"/>
  <c r="BP358" i="1" s="1"/>
  <c r="P358" i="1"/>
  <c r="BO357" i="1"/>
  <c r="BM357" i="1"/>
  <c r="Y357" i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Z350" i="1"/>
  <c r="Y350" i="1"/>
  <c r="P350" i="1"/>
  <c r="X348" i="1"/>
  <c r="X347" i="1"/>
  <c r="BO346" i="1"/>
  <c r="BN346" i="1"/>
  <c r="BM346" i="1"/>
  <c r="Y346" i="1"/>
  <c r="BP346" i="1" s="1"/>
  <c r="P346" i="1"/>
  <c r="BO345" i="1"/>
  <c r="BM345" i="1"/>
  <c r="Y345" i="1"/>
  <c r="BP345" i="1" s="1"/>
  <c r="P345" i="1"/>
  <c r="BO344" i="1"/>
  <c r="BM344" i="1"/>
  <c r="Z344" i="1"/>
  <c r="Y344" i="1"/>
  <c r="BP344" i="1" s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BN337" i="1" s="1"/>
  <c r="P337" i="1"/>
  <c r="BO336" i="1"/>
  <c r="BM336" i="1"/>
  <c r="Y336" i="1"/>
  <c r="P336" i="1"/>
  <c r="BO335" i="1"/>
  <c r="BM335" i="1"/>
  <c r="Y335" i="1"/>
  <c r="P335" i="1"/>
  <c r="X332" i="1"/>
  <c r="X331" i="1"/>
  <c r="BP330" i="1"/>
  <c r="BO330" i="1"/>
  <c r="BM330" i="1"/>
  <c r="Y330" i="1"/>
  <c r="BN330" i="1" s="1"/>
  <c r="P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P327" i="1"/>
  <c r="BO326" i="1"/>
  <c r="BN326" i="1"/>
  <c r="BM326" i="1"/>
  <c r="Y326" i="1"/>
  <c r="BP326" i="1" s="1"/>
  <c r="P326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BN319" i="1" s="1"/>
  <c r="P319" i="1"/>
  <c r="X317" i="1"/>
  <c r="X316" i="1"/>
  <c r="BP315" i="1"/>
  <c r="BO315" i="1"/>
  <c r="BM315" i="1"/>
  <c r="Y315" i="1"/>
  <c r="Y317" i="1" s="1"/>
  <c r="P315" i="1"/>
  <c r="X313" i="1"/>
  <c r="X312" i="1"/>
  <c r="BO311" i="1"/>
  <c r="BN311" i="1"/>
  <c r="BM311" i="1"/>
  <c r="Y311" i="1"/>
  <c r="Y313" i="1" s="1"/>
  <c r="P311" i="1"/>
  <c r="X309" i="1"/>
  <c r="X308" i="1"/>
  <c r="BO307" i="1"/>
  <c r="BM307" i="1"/>
  <c r="Y307" i="1"/>
  <c r="P307" i="1"/>
  <c r="BO306" i="1"/>
  <c r="BM306" i="1"/>
  <c r="Y306" i="1"/>
  <c r="BP306" i="1" s="1"/>
  <c r="P306" i="1"/>
  <c r="BO305" i="1"/>
  <c r="BN305" i="1"/>
  <c r="BM305" i="1"/>
  <c r="Y305" i="1"/>
  <c r="BP305" i="1" s="1"/>
  <c r="P305" i="1"/>
  <c r="BO304" i="1"/>
  <c r="BM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Z301" i="1"/>
  <c r="Y301" i="1"/>
  <c r="BP301" i="1" s="1"/>
  <c r="P301" i="1"/>
  <c r="X298" i="1"/>
  <c r="X297" i="1"/>
  <c r="BO296" i="1"/>
  <c r="BM296" i="1"/>
  <c r="Y296" i="1"/>
  <c r="BP296" i="1" s="1"/>
  <c r="P296" i="1"/>
  <c r="BO295" i="1"/>
  <c r="BM295" i="1"/>
  <c r="Y295" i="1"/>
  <c r="Y297" i="1" s="1"/>
  <c r="P295" i="1"/>
  <c r="X293" i="1"/>
  <c r="X292" i="1"/>
  <c r="BO291" i="1"/>
  <c r="BM291" i="1"/>
  <c r="Y291" i="1"/>
  <c r="BP291" i="1" s="1"/>
  <c r="P291" i="1"/>
  <c r="BO290" i="1"/>
  <c r="BN290" i="1"/>
  <c r="BM290" i="1"/>
  <c r="Y290" i="1"/>
  <c r="BP290" i="1" s="1"/>
  <c r="P290" i="1"/>
  <c r="BO289" i="1"/>
  <c r="BM289" i="1"/>
  <c r="Y289" i="1"/>
  <c r="BP289" i="1" s="1"/>
  <c r="P289" i="1"/>
  <c r="BO288" i="1"/>
  <c r="BM288" i="1"/>
  <c r="Y288" i="1"/>
  <c r="BP288" i="1" s="1"/>
  <c r="P288" i="1"/>
  <c r="BO287" i="1"/>
  <c r="BM287" i="1"/>
  <c r="Y287" i="1"/>
  <c r="BP287" i="1" s="1"/>
  <c r="P287" i="1"/>
  <c r="BP286" i="1"/>
  <c r="BO286" i="1"/>
  <c r="BM286" i="1"/>
  <c r="Y286" i="1"/>
  <c r="BN286" i="1" s="1"/>
  <c r="P286" i="1"/>
  <c r="BO285" i="1"/>
  <c r="BM285" i="1"/>
  <c r="Y285" i="1"/>
  <c r="BP285" i="1" s="1"/>
  <c r="P285" i="1"/>
  <c r="BO284" i="1"/>
  <c r="BM284" i="1"/>
  <c r="Y284" i="1"/>
  <c r="P284" i="1"/>
  <c r="BO283" i="1"/>
  <c r="BM283" i="1"/>
  <c r="Y283" i="1"/>
  <c r="BP283" i="1" s="1"/>
  <c r="P283" i="1"/>
  <c r="BO282" i="1"/>
  <c r="BN282" i="1"/>
  <c r="BM282" i="1"/>
  <c r="Y282" i="1"/>
  <c r="BP282" i="1" s="1"/>
  <c r="P282" i="1"/>
  <c r="BO281" i="1"/>
  <c r="BM281" i="1"/>
  <c r="Y281" i="1"/>
  <c r="BP281" i="1" s="1"/>
  <c r="P281" i="1"/>
  <c r="BO280" i="1"/>
  <c r="BM280" i="1"/>
  <c r="Y280" i="1"/>
  <c r="BP280" i="1" s="1"/>
  <c r="P280" i="1"/>
  <c r="X278" i="1"/>
  <c r="X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Z272" i="1"/>
  <c r="Y272" i="1"/>
  <c r="BN272" i="1" s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X267" i="1"/>
  <c r="X266" i="1"/>
  <c r="BO265" i="1"/>
  <c r="BM265" i="1"/>
  <c r="Y265" i="1"/>
  <c r="P265" i="1"/>
  <c r="BP264" i="1"/>
  <c r="BO264" i="1"/>
  <c r="BM264" i="1"/>
  <c r="Y264" i="1"/>
  <c r="Y266" i="1" s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P250" i="1"/>
  <c r="BO250" i="1"/>
  <c r="BM250" i="1"/>
  <c r="Z250" i="1"/>
  <c r="Y250" i="1"/>
  <c r="BN250" i="1" s="1"/>
  <c r="P250" i="1"/>
  <c r="BO249" i="1"/>
  <c r="BM249" i="1"/>
  <c r="Y249" i="1"/>
  <c r="BP249" i="1" s="1"/>
  <c r="P249" i="1"/>
  <c r="BO248" i="1"/>
  <c r="BM248" i="1"/>
  <c r="Y248" i="1"/>
  <c r="P248" i="1"/>
  <c r="X246" i="1"/>
  <c r="X245" i="1"/>
  <c r="BO244" i="1"/>
  <c r="BM244" i="1"/>
  <c r="Y244" i="1"/>
  <c r="BN244" i="1" s="1"/>
  <c r="P244" i="1"/>
  <c r="BO243" i="1"/>
  <c r="BM243" i="1"/>
  <c r="Y243" i="1"/>
  <c r="BP243" i="1" s="1"/>
  <c r="P243" i="1"/>
  <c r="BO242" i="1"/>
  <c r="BM242" i="1"/>
  <c r="Y242" i="1"/>
  <c r="P242" i="1"/>
  <c r="BO241" i="1"/>
  <c r="BM241" i="1"/>
  <c r="Y241" i="1"/>
  <c r="BP241" i="1" s="1"/>
  <c r="P241" i="1"/>
  <c r="BO240" i="1"/>
  <c r="BN240" i="1"/>
  <c r="BM240" i="1"/>
  <c r="Y240" i="1"/>
  <c r="P240" i="1"/>
  <c r="X238" i="1"/>
  <c r="X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Z230" i="1"/>
  <c r="Y230" i="1"/>
  <c r="BN230" i="1" s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N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Z224" i="1"/>
  <c r="Y224" i="1"/>
  <c r="BP224" i="1" s="1"/>
  <c r="P224" i="1"/>
  <c r="BO223" i="1"/>
  <c r="BM223" i="1"/>
  <c r="Y223" i="1"/>
  <c r="P223" i="1"/>
  <c r="X221" i="1"/>
  <c r="X220" i="1"/>
  <c r="BO219" i="1"/>
  <c r="BM219" i="1"/>
  <c r="Y219" i="1"/>
  <c r="P219" i="1"/>
  <c r="X216" i="1"/>
  <c r="X215" i="1"/>
  <c r="BO214" i="1"/>
  <c r="BM214" i="1"/>
  <c r="Y214" i="1"/>
  <c r="BP214" i="1" s="1"/>
  <c r="P214" i="1"/>
  <c r="BO213" i="1"/>
  <c r="BM213" i="1"/>
  <c r="Y213" i="1"/>
  <c r="BN213" i="1" s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P208" i="1"/>
  <c r="X204" i="1"/>
  <c r="X203" i="1"/>
  <c r="BO202" i="1"/>
  <c r="BM202" i="1"/>
  <c r="Y202" i="1"/>
  <c r="Y204" i="1" s="1"/>
  <c r="P202" i="1"/>
  <c r="X200" i="1"/>
  <c r="X199" i="1"/>
  <c r="BO198" i="1"/>
  <c r="BM198" i="1"/>
  <c r="Y198" i="1"/>
  <c r="P198" i="1"/>
  <c r="BO197" i="1"/>
  <c r="BN197" i="1"/>
  <c r="BM197" i="1"/>
  <c r="Y197" i="1"/>
  <c r="BP197" i="1" s="1"/>
  <c r="P197" i="1"/>
  <c r="X195" i="1"/>
  <c r="X194" i="1"/>
  <c r="BO193" i="1"/>
  <c r="BN193" i="1"/>
  <c r="BM193" i="1"/>
  <c r="Y193" i="1"/>
  <c r="BP193" i="1" s="1"/>
  <c r="P193" i="1"/>
  <c r="BO192" i="1"/>
  <c r="BM192" i="1"/>
  <c r="Y192" i="1"/>
  <c r="P192" i="1"/>
  <c r="BO191" i="1"/>
  <c r="BM191" i="1"/>
  <c r="Z191" i="1"/>
  <c r="Y191" i="1"/>
  <c r="BP191" i="1" s="1"/>
  <c r="P191" i="1"/>
  <c r="X189" i="1"/>
  <c r="X188" i="1"/>
  <c r="BO187" i="1"/>
  <c r="BM187" i="1"/>
  <c r="Y187" i="1"/>
  <c r="BP187" i="1" s="1"/>
  <c r="P187" i="1"/>
  <c r="BO186" i="1"/>
  <c r="BM186" i="1"/>
  <c r="Y186" i="1"/>
  <c r="BP186" i="1" s="1"/>
  <c r="P186" i="1"/>
  <c r="BP185" i="1"/>
  <c r="BO185" i="1"/>
  <c r="BM185" i="1"/>
  <c r="Z185" i="1"/>
  <c r="Y185" i="1"/>
  <c r="BN185" i="1" s="1"/>
  <c r="P185" i="1"/>
  <c r="BO184" i="1"/>
  <c r="BM184" i="1"/>
  <c r="Y184" i="1"/>
  <c r="BP184" i="1" s="1"/>
  <c r="P184" i="1"/>
  <c r="BP183" i="1"/>
  <c r="BO183" i="1"/>
  <c r="BM183" i="1"/>
  <c r="Z183" i="1"/>
  <c r="Y183" i="1"/>
  <c r="BN183" i="1" s="1"/>
  <c r="P183" i="1"/>
  <c r="BO182" i="1"/>
  <c r="BM182" i="1"/>
  <c r="Y182" i="1"/>
  <c r="BP182" i="1" s="1"/>
  <c r="P182" i="1"/>
  <c r="BO181" i="1"/>
  <c r="BM181" i="1"/>
  <c r="Z181" i="1"/>
  <c r="Y181" i="1"/>
  <c r="BN181" i="1" s="1"/>
  <c r="P181" i="1"/>
  <c r="BO180" i="1"/>
  <c r="BM180" i="1"/>
  <c r="Y180" i="1"/>
  <c r="BP180" i="1" s="1"/>
  <c r="P180" i="1"/>
  <c r="BO179" i="1"/>
  <c r="BN179" i="1"/>
  <c r="BM179" i="1"/>
  <c r="Y179" i="1"/>
  <c r="P179" i="1"/>
  <c r="BO178" i="1"/>
  <c r="BM178" i="1"/>
  <c r="Y178" i="1"/>
  <c r="BP178" i="1" s="1"/>
  <c r="P178" i="1"/>
  <c r="BO177" i="1"/>
  <c r="BN177" i="1"/>
  <c r="BM177" i="1"/>
  <c r="Z177" i="1"/>
  <c r="Y177" i="1"/>
  <c r="BP177" i="1" s="1"/>
  <c r="P177" i="1"/>
  <c r="X175" i="1"/>
  <c r="X174" i="1"/>
  <c r="BO173" i="1"/>
  <c r="BM173" i="1"/>
  <c r="Y173" i="1"/>
  <c r="P173" i="1"/>
  <c r="BO172" i="1"/>
  <c r="BM172" i="1"/>
  <c r="Y172" i="1"/>
  <c r="Y174" i="1" s="1"/>
  <c r="X170" i="1"/>
  <c r="X169" i="1"/>
  <c r="BO168" i="1"/>
  <c r="BN168" i="1"/>
  <c r="BM168" i="1"/>
  <c r="Y168" i="1"/>
  <c r="P168" i="1"/>
  <c r="BO167" i="1"/>
  <c r="BM167" i="1"/>
  <c r="Y167" i="1"/>
  <c r="P167" i="1"/>
  <c r="BO166" i="1"/>
  <c r="BM166" i="1"/>
  <c r="Y166" i="1"/>
  <c r="BP166" i="1" s="1"/>
  <c r="P166" i="1"/>
  <c r="X163" i="1"/>
  <c r="X162" i="1"/>
  <c r="BO161" i="1"/>
  <c r="BM161" i="1"/>
  <c r="Y161" i="1"/>
  <c r="Z161" i="1" s="1"/>
  <c r="Z162" i="1" s="1"/>
  <c r="P161" i="1"/>
  <c r="X159" i="1"/>
  <c r="X158" i="1"/>
  <c r="BO157" i="1"/>
  <c r="BM157" i="1"/>
  <c r="Y157" i="1"/>
  <c r="BN157" i="1" s="1"/>
  <c r="P157" i="1"/>
  <c r="BO156" i="1"/>
  <c r="BM156" i="1"/>
  <c r="Y156" i="1"/>
  <c r="BP156" i="1" s="1"/>
  <c r="P156" i="1"/>
  <c r="BO155" i="1"/>
  <c r="BM155" i="1"/>
  <c r="Z155" i="1"/>
  <c r="Y155" i="1"/>
  <c r="BN155" i="1" s="1"/>
  <c r="P155" i="1"/>
  <c r="BO154" i="1"/>
  <c r="BM154" i="1"/>
  <c r="Y154" i="1"/>
  <c r="P154" i="1"/>
  <c r="X151" i="1"/>
  <c r="X150" i="1"/>
  <c r="BO149" i="1"/>
  <c r="BM149" i="1"/>
  <c r="Y149" i="1"/>
  <c r="BP149" i="1" s="1"/>
  <c r="P149" i="1"/>
  <c r="BO148" i="1"/>
  <c r="BM148" i="1"/>
  <c r="Y148" i="1"/>
  <c r="BN148" i="1" s="1"/>
  <c r="P148" i="1"/>
  <c r="BO147" i="1"/>
  <c r="BM147" i="1"/>
  <c r="Y147" i="1"/>
  <c r="P147" i="1"/>
  <c r="BO146" i="1"/>
  <c r="BM146" i="1"/>
  <c r="Z146" i="1"/>
  <c r="Y146" i="1"/>
  <c r="P146" i="1"/>
  <c r="X144" i="1"/>
  <c r="X143" i="1"/>
  <c r="BP142" i="1"/>
  <c r="BO142" i="1"/>
  <c r="BM142" i="1"/>
  <c r="Z142" i="1"/>
  <c r="Y142" i="1"/>
  <c r="BN142" i="1" s="1"/>
  <c r="P142" i="1"/>
  <c r="BO141" i="1"/>
  <c r="BM141" i="1"/>
  <c r="Y141" i="1"/>
  <c r="BP141" i="1" s="1"/>
  <c r="P141" i="1"/>
  <c r="BO140" i="1"/>
  <c r="BM140" i="1"/>
  <c r="Y140" i="1"/>
  <c r="BN140" i="1" s="1"/>
  <c r="P140" i="1"/>
  <c r="BO139" i="1"/>
  <c r="BM139" i="1"/>
  <c r="Y139" i="1"/>
  <c r="P139" i="1"/>
  <c r="X137" i="1"/>
  <c r="X136" i="1"/>
  <c r="BO135" i="1"/>
  <c r="BM135" i="1"/>
  <c r="Y135" i="1"/>
  <c r="BP135" i="1" s="1"/>
  <c r="P135" i="1"/>
  <c r="BO134" i="1"/>
  <c r="BM134" i="1"/>
  <c r="Z134" i="1"/>
  <c r="Y134" i="1"/>
  <c r="BN134" i="1" s="1"/>
  <c r="P134" i="1"/>
  <c r="BO133" i="1"/>
  <c r="BM133" i="1"/>
  <c r="Y133" i="1"/>
  <c r="P133" i="1"/>
  <c r="BO132" i="1"/>
  <c r="BM132" i="1"/>
  <c r="Y132" i="1"/>
  <c r="BN132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N123" i="1" s="1"/>
  <c r="P123" i="1"/>
  <c r="BO122" i="1"/>
  <c r="BM122" i="1"/>
  <c r="Y122" i="1"/>
  <c r="BP122" i="1" s="1"/>
  <c r="P122" i="1"/>
  <c r="BO121" i="1"/>
  <c r="BN121" i="1"/>
  <c r="BM121" i="1"/>
  <c r="Y121" i="1"/>
  <c r="BP121" i="1" s="1"/>
  <c r="P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N107" i="1" s="1"/>
  <c r="P107" i="1"/>
  <c r="BO106" i="1"/>
  <c r="BM106" i="1"/>
  <c r="Y106" i="1"/>
  <c r="BP106" i="1" s="1"/>
  <c r="P106" i="1"/>
  <c r="BP105" i="1"/>
  <c r="BO105" i="1"/>
  <c r="BM105" i="1"/>
  <c r="Z105" i="1"/>
  <c r="Y105" i="1"/>
  <c r="BN105" i="1" s="1"/>
  <c r="P105" i="1"/>
  <c r="BO104" i="1"/>
  <c r="BM104" i="1"/>
  <c r="Y104" i="1"/>
  <c r="P104" i="1"/>
  <c r="BO103" i="1"/>
  <c r="BM103" i="1"/>
  <c r="Y103" i="1"/>
  <c r="BP103" i="1" s="1"/>
  <c r="P103" i="1"/>
  <c r="X100" i="1"/>
  <c r="X99" i="1"/>
  <c r="BP98" i="1"/>
  <c r="BO98" i="1"/>
  <c r="BN98" i="1"/>
  <c r="BM98" i="1"/>
  <c r="Y98" i="1"/>
  <c r="Z98" i="1" s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N90" i="1"/>
  <c r="BM90" i="1"/>
  <c r="Y90" i="1"/>
  <c r="BP90" i="1" s="1"/>
  <c r="P90" i="1"/>
  <c r="BO89" i="1"/>
  <c r="BM89" i="1"/>
  <c r="Y89" i="1"/>
  <c r="P89" i="1"/>
  <c r="BO88" i="1"/>
  <c r="BM88" i="1"/>
  <c r="Y88" i="1"/>
  <c r="BP88" i="1" s="1"/>
  <c r="P88" i="1"/>
  <c r="X85" i="1"/>
  <c r="X84" i="1"/>
  <c r="BP83" i="1"/>
  <c r="BO83" i="1"/>
  <c r="BM83" i="1"/>
  <c r="Y83" i="1"/>
  <c r="BN83" i="1" s="1"/>
  <c r="P83" i="1"/>
  <c r="BO82" i="1"/>
  <c r="BM82" i="1"/>
  <c r="Y82" i="1"/>
  <c r="P82" i="1"/>
  <c r="X80" i="1"/>
  <c r="X79" i="1"/>
  <c r="BO78" i="1"/>
  <c r="BM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N71" i="1" s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P60" i="1"/>
  <c r="BO59" i="1"/>
  <c r="BM59" i="1"/>
  <c r="Y59" i="1"/>
  <c r="BP59" i="1" s="1"/>
  <c r="P59" i="1"/>
  <c r="X56" i="1"/>
  <c r="X55" i="1"/>
  <c r="BO54" i="1"/>
  <c r="BN54" i="1"/>
  <c r="BM54" i="1"/>
  <c r="Z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O44" i="1"/>
  <c r="BM44" i="1"/>
  <c r="Z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P23" i="1"/>
  <c r="BP22" i="1"/>
  <c r="BO22" i="1"/>
  <c r="BM22" i="1"/>
  <c r="Y22" i="1"/>
  <c r="BN22" i="1" s="1"/>
  <c r="P22" i="1"/>
  <c r="H10" i="1"/>
  <c r="A9" i="1"/>
  <c r="F10" i="1" s="1"/>
  <c r="D7" i="1"/>
  <c r="Q6" i="1"/>
  <c r="P2" i="1"/>
  <c r="BN187" i="1" l="1"/>
  <c r="Z288" i="1"/>
  <c r="Y33" i="1"/>
  <c r="Z127" i="1"/>
  <c r="Z128" i="1" s="1"/>
  <c r="Z148" i="1"/>
  <c r="Z166" i="1"/>
  <c r="Z280" i="1"/>
  <c r="BN288" i="1"/>
  <c r="BN415" i="1"/>
  <c r="BN517" i="1"/>
  <c r="Y331" i="1"/>
  <c r="BN470" i="1"/>
  <c r="BN487" i="1"/>
  <c r="Y99" i="1"/>
  <c r="Z121" i="1"/>
  <c r="BN127" i="1"/>
  <c r="BP134" i="1"/>
  <c r="BN166" i="1"/>
  <c r="Z197" i="1"/>
  <c r="Z213" i="1"/>
  <c r="Z232" i="1"/>
  <c r="Z274" i="1"/>
  <c r="BN280" i="1"/>
  <c r="BP148" i="1"/>
  <c r="BN303" i="1"/>
  <c r="Y352" i="1"/>
  <c r="BN445" i="1"/>
  <c r="BP127" i="1"/>
  <c r="BN232" i="1"/>
  <c r="BN274" i="1"/>
  <c r="BN462" i="1"/>
  <c r="BN541" i="1"/>
  <c r="Z65" i="1"/>
  <c r="Z157" i="1"/>
  <c r="BP213" i="1"/>
  <c r="Z244" i="1"/>
  <c r="BN296" i="1"/>
  <c r="Y405" i="1"/>
  <c r="BN408" i="1"/>
  <c r="BN456" i="1"/>
  <c r="Z478" i="1"/>
  <c r="BN44" i="1"/>
  <c r="Y128" i="1"/>
  <c r="Y169" i="1"/>
  <c r="BN191" i="1"/>
  <c r="BN209" i="1"/>
  <c r="BN224" i="1"/>
  <c r="Y322" i="1"/>
  <c r="Y385" i="1"/>
  <c r="BN425" i="1"/>
  <c r="BP350" i="1"/>
  <c r="BN65" i="1"/>
  <c r="Z22" i="1"/>
  <c r="Y84" i="1"/>
  <c r="BP157" i="1"/>
  <c r="Y200" i="1"/>
  <c r="BP244" i="1"/>
  <c r="Z264" i="1"/>
  <c r="Z286" i="1"/>
  <c r="BN344" i="1"/>
  <c r="Y457" i="1"/>
  <c r="Z515" i="1"/>
  <c r="Z73" i="1"/>
  <c r="Z90" i="1"/>
  <c r="Z132" i="1"/>
  <c r="Y143" i="1"/>
  <c r="Y194" i="1"/>
  <c r="Y312" i="1"/>
  <c r="Z337" i="1"/>
  <c r="BN533" i="1"/>
  <c r="I560" i="1"/>
  <c r="BN472" i="1"/>
  <c r="Z509" i="1"/>
  <c r="BN73" i="1"/>
  <c r="Z30" i="1"/>
  <c r="Z83" i="1"/>
  <c r="L560" i="1"/>
  <c r="BN301" i="1"/>
  <c r="BP337" i="1"/>
  <c r="Z396" i="1"/>
  <c r="BN509" i="1"/>
  <c r="Y534" i="1"/>
  <c r="BN234" i="1"/>
  <c r="Y261" i="1"/>
  <c r="BN276" i="1"/>
  <c r="Z315" i="1"/>
  <c r="Z316" i="1" s="1"/>
  <c r="Z330" i="1"/>
  <c r="BN441" i="1"/>
  <c r="BN460" i="1"/>
  <c r="Y25" i="1"/>
  <c r="BP230" i="1"/>
  <c r="BP272" i="1"/>
  <c r="S560" i="1"/>
  <c r="BN364" i="1"/>
  <c r="BN427" i="1"/>
  <c r="X554" i="1"/>
  <c r="BP115" i="1"/>
  <c r="Z115" i="1"/>
  <c r="BP173" i="1"/>
  <c r="Z173" i="1"/>
  <c r="BN321" i="1"/>
  <c r="BP321" i="1"/>
  <c r="Z321" i="1"/>
  <c r="BN366" i="1"/>
  <c r="BP366" i="1"/>
  <c r="Z366" i="1"/>
  <c r="BN382" i="1"/>
  <c r="BP382" i="1"/>
  <c r="Z382" i="1"/>
  <c r="BN429" i="1"/>
  <c r="BP429" i="1"/>
  <c r="Z429" i="1"/>
  <c r="BN468" i="1"/>
  <c r="BP468" i="1"/>
  <c r="Z468" i="1"/>
  <c r="BN507" i="1"/>
  <c r="BP507" i="1"/>
  <c r="Z507" i="1"/>
  <c r="Y531" i="1"/>
  <c r="Y530" i="1"/>
  <c r="BN529" i="1"/>
  <c r="BP529" i="1"/>
  <c r="Z529" i="1"/>
  <c r="Z530" i="1" s="1"/>
  <c r="Z28" i="1"/>
  <c r="BP28" i="1"/>
  <c r="BN42" i="1"/>
  <c r="BN52" i="1"/>
  <c r="BN59" i="1"/>
  <c r="Y68" i="1"/>
  <c r="Z63" i="1"/>
  <c r="BP63" i="1"/>
  <c r="Z71" i="1"/>
  <c r="BP71" i="1"/>
  <c r="Z77" i="1"/>
  <c r="BP77" i="1"/>
  <c r="BN88" i="1"/>
  <c r="Y93" i="1"/>
  <c r="BN96" i="1"/>
  <c r="BN103" i="1"/>
  <c r="Y110" i="1"/>
  <c r="Z107" i="1"/>
  <c r="BP107" i="1"/>
  <c r="BP140" i="1"/>
  <c r="BP155" i="1"/>
  <c r="BN228" i="1"/>
  <c r="BP228" i="1"/>
  <c r="Z228" i="1"/>
  <c r="BN270" i="1"/>
  <c r="BP270" i="1"/>
  <c r="Z270" i="1"/>
  <c r="BN284" i="1"/>
  <c r="BP284" i="1"/>
  <c r="Z284" i="1"/>
  <c r="BN307" i="1"/>
  <c r="BP307" i="1"/>
  <c r="Z307" i="1"/>
  <c r="BN357" i="1"/>
  <c r="BP357" i="1"/>
  <c r="Z357" i="1"/>
  <c r="Y391" i="1"/>
  <c r="BN388" i="1"/>
  <c r="BP388" i="1"/>
  <c r="Z388" i="1"/>
  <c r="Y521" i="1"/>
  <c r="BN513" i="1"/>
  <c r="BP513" i="1"/>
  <c r="Z513" i="1"/>
  <c r="X550" i="1"/>
  <c r="C560" i="1"/>
  <c r="BN115" i="1"/>
  <c r="BP123" i="1"/>
  <c r="Z123" i="1"/>
  <c r="Z140" i="1"/>
  <c r="BP168" i="1"/>
  <c r="Z168" i="1"/>
  <c r="BN173" i="1"/>
  <c r="BP179" i="1"/>
  <c r="Z179" i="1"/>
  <c r="BN242" i="1"/>
  <c r="BP242" i="1"/>
  <c r="Z242" i="1"/>
  <c r="BN248" i="1"/>
  <c r="BP248" i="1"/>
  <c r="Z248" i="1"/>
  <c r="BN394" i="1"/>
  <c r="BP394" i="1"/>
  <c r="Z394" i="1"/>
  <c r="Y539" i="1"/>
  <c r="Y538" i="1"/>
  <c r="BN537" i="1"/>
  <c r="BP537" i="1"/>
  <c r="Z537" i="1"/>
  <c r="Z538" i="1" s="1"/>
  <c r="Z42" i="1"/>
  <c r="Z52" i="1"/>
  <c r="Z59" i="1"/>
  <c r="BN77" i="1"/>
  <c r="Y80" i="1"/>
  <c r="Z88" i="1"/>
  <c r="Z96" i="1"/>
  <c r="Z103" i="1"/>
  <c r="BP132" i="1"/>
  <c r="Y150" i="1"/>
  <c r="BN146" i="1"/>
  <c r="BP146" i="1"/>
  <c r="Y163" i="1"/>
  <c r="Y162" i="1"/>
  <c r="BN161" i="1"/>
  <c r="BP161" i="1"/>
  <c r="BP181" i="1"/>
  <c r="BN211" i="1"/>
  <c r="BP211" i="1"/>
  <c r="Z211" i="1"/>
  <c r="BN236" i="1"/>
  <c r="BP236" i="1"/>
  <c r="Z236" i="1"/>
  <c r="BN328" i="1"/>
  <c r="BP328" i="1"/>
  <c r="Z328" i="1"/>
  <c r="BN335" i="1"/>
  <c r="BP335" i="1"/>
  <c r="Z335" i="1"/>
  <c r="BN342" i="1"/>
  <c r="BP342" i="1"/>
  <c r="Z342" i="1"/>
  <c r="BN374" i="1"/>
  <c r="BP374" i="1"/>
  <c r="Z374" i="1"/>
  <c r="BN402" i="1"/>
  <c r="BP402" i="1"/>
  <c r="Z402" i="1"/>
  <c r="BN435" i="1"/>
  <c r="BP435" i="1"/>
  <c r="Z435" i="1"/>
  <c r="BN452" i="1"/>
  <c r="BP452" i="1"/>
  <c r="Z452" i="1"/>
  <c r="Y485" i="1"/>
  <c r="Y484" i="1"/>
  <c r="BN483" i="1"/>
  <c r="BP483" i="1"/>
  <c r="Z483" i="1"/>
  <c r="Z484" i="1" s="1"/>
  <c r="BN501" i="1"/>
  <c r="BP501" i="1"/>
  <c r="Z501" i="1"/>
  <c r="K560" i="1"/>
  <c r="Y245" i="1"/>
  <c r="Y323" i="1"/>
  <c r="T560" i="1"/>
  <c r="Y379" i="1"/>
  <c r="Y437" i="1"/>
  <c r="Y118" i="1"/>
  <c r="Y124" i="1"/>
  <c r="Y188" i="1"/>
  <c r="Z187" i="1"/>
  <c r="Y195" i="1"/>
  <c r="Z193" i="1"/>
  <c r="Y199" i="1"/>
  <c r="Z209" i="1"/>
  <c r="Y237" i="1"/>
  <c r="Z226" i="1"/>
  <c r="Z234" i="1"/>
  <c r="Z240" i="1"/>
  <c r="BP240" i="1"/>
  <c r="BN264" i="1"/>
  <c r="Z276" i="1"/>
  <c r="Y293" i="1"/>
  <c r="Z282" i="1"/>
  <c r="Z290" i="1"/>
  <c r="Y308" i="1"/>
  <c r="Z305" i="1"/>
  <c r="Z311" i="1"/>
  <c r="Z312" i="1" s="1"/>
  <c r="BP311" i="1"/>
  <c r="BN315" i="1"/>
  <c r="Y316" i="1"/>
  <c r="Z319" i="1"/>
  <c r="BP319" i="1"/>
  <c r="Z326" i="1"/>
  <c r="BN350" i="1"/>
  <c r="Y353" i="1"/>
  <c r="Z364" i="1"/>
  <c r="Z372" i="1"/>
  <c r="Z408" i="1"/>
  <c r="Y418" i="1"/>
  <c r="Z427" i="1"/>
  <c r="Z433" i="1"/>
  <c r="BP433" i="1"/>
  <c r="Y443" i="1"/>
  <c r="Z441" i="1"/>
  <c r="Z456" i="1"/>
  <c r="Z457" i="1" s="1"/>
  <c r="BP456" i="1"/>
  <c r="Y491" i="1"/>
  <c r="Z489" i="1"/>
  <c r="Z499" i="1"/>
  <c r="Z519" i="1"/>
  <c r="Y137" i="1"/>
  <c r="Y151" i="1"/>
  <c r="Z296" i="1"/>
  <c r="O560" i="1"/>
  <c r="Z303" i="1"/>
  <c r="Y338" i="1"/>
  <c r="Y347" i="1"/>
  <c r="Z346" i="1"/>
  <c r="Z415" i="1"/>
  <c r="Z425" i="1"/>
  <c r="Y436" i="1"/>
  <c r="Z439" i="1"/>
  <c r="BP439" i="1"/>
  <c r="Y464" i="1"/>
  <c r="Z462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H9" i="1"/>
  <c r="A10" i="1"/>
  <c r="B560" i="1"/>
  <c r="X551" i="1"/>
  <c r="X552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BN60" i="1"/>
  <c r="BP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BN82" i="1"/>
  <c r="BP82" i="1"/>
  <c r="Y85" i="1"/>
  <c r="F560" i="1"/>
  <c r="Z89" i="1"/>
  <c r="Z92" i="1" s="1"/>
  <c r="BN89" i="1"/>
  <c r="BP89" i="1"/>
  <c r="Z91" i="1"/>
  <c r="BN91" i="1"/>
  <c r="Y92" i="1"/>
  <c r="Z95" i="1"/>
  <c r="BN95" i="1"/>
  <c r="BP95" i="1"/>
  <c r="Z97" i="1"/>
  <c r="BN97" i="1"/>
  <c r="Y100" i="1"/>
  <c r="G560" i="1"/>
  <c r="Z104" i="1"/>
  <c r="BN104" i="1"/>
  <c r="BP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Y117" i="1"/>
  <c r="Z120" i="1"/>
  <c r="BN120" i="1"/>
  <c r="BP120" i="1"/>
  <c r="Z122" i="1"/>
  <c r="BN122" i="1"/>
  <c r="Y125" i="1"/>
  <c r="H560" i="1"/>
  <c r="Z133" i="1"/>
  <c r="BN133" i="1"/>
  <c r="BP133" i="1"/>
  <c r="Z135" i="1"/>
  <c r="BN135" i="1"/>
  <c r="Y136" i="1"/>
  <c r="Z139" i="1"/>
  <c r="BN139" i="1"/>
  <c r="BP139" i="1"/>
  <c r="Z141" i="1"/>
  <c r="BN141" i="1"/>
  <c r="Y144" i="1"/>
  <c r="Z147" i="1"/>
  <c r="Z150" i="1" s="1"/>
  <c r="BN147" i="1"/>
  <c r="BP147" i="1"/>
  <c r="Z149" i="1"/>
  <c r="BN149" i="1"/>
  <c r="Z154" i="1"/>
  <c r="BN154" i="1"/>
  <c r="BP154" i="1"/>
  <c r="Z156" i="1"/>
  <c r="BN156" i="1"/>
  <c r="Y159" i="1"/>
  <c r="J560" i="1"/>
  <c r="Z167" i="1"/>
  <c r="Z169" i="1" s="1"/>
  <c r="BN167" i="1"/>
  <c r="BP167" i="1"/>
  <c r="Y170" i="1"/>
  <c r="Z172" i="1"/>
  <c r="BN172" i="1"/>
  <c r="BP172" i="1"/>
  <c r="Y175" i="1"/>
  <c r="Z178" i="1"/>
  <c r="BN178" i="1"/>
  <c r="Z180" i="1"/>
  <c r="BN180" i="1"/>
  <c r="Z182" i="1"/>
  <c r="BN182" i="1"/>
  <c r="Z184" i="1"/>
  <c r="BN184" i="1"/>
  <c r="Z186" i="1"/>
  <c r="BN186" i="1"/>
  <c r="Y189" i="1"/>
  <c r="Z192" i="1"/>
  <c r="Z194" i="1" s="1"/>
  <c r="BN192" i="1"/>
  <c r="BP192" i="1"/>
  <c r="Z198" i="1"/>
  <c r="BN198" i="1"/>
  <c r="BP198" i="1"/>
  <c r="Z202" i="1"/>
  <c r="Z203" i="1" s="1"/>
  <c r="BN202" i="1"/>
  <c r="BP202" i="1"/>
  <c r="Y203" i="1"/>
  <c r="Z208" i="1"/>
  <c r="BN208" i="1"/>
  <c r="BP208" i="1"/>
  <c r="Z210" i="1"/>
  <c r="BN210" i="1"/>
  <c r="Z212" i="1"/>
  <c r="BN212" i="1"/>
  <c r="Z214" i="1"/>
  <c r="BN214" i="1"/>
  <c r="Y215" i="1"/>
  <c r="Z219" i="1"/>
  <c r="Z220" i="1" s="1"/>
  <c r="BN219" i="1"/>
  <c r="BP219" i="1"/>
  <c r="Y220" i="1"/>
  <c r="Z223" i="1"/>
  <c r="BN223" i="1"/>
  <c r="BP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Y238" i="1"/>
  <c r="Z241" i="1"/>
  <c r="Z245" i="1" s="1"/>
  <c r="BN241" i="1"/>
  <c r="Z243" i="1"/>
  <c r="BN243" i="1"/>
  <c r="Y246" i="1"/>
  <c r="Y251" i="1"/>
  <c r="Z249" i="1"/>
  <c r="Z251" i="1" s="1"/>
  <c r="BN249" i="1"/>
  <c r="BP265" i="1"/>
  <c r="BN265" i="1"/>
  <c r="Z265" i="1"/>
  <c r="Z266" i="1" s="1"/>
  <c r="Y267" i="1"/>
  <c r="Y277" i="1"/>
  <c r="Y278" i="1"/>
  <c r="BP269" i="1"/>
  <c r="BN269" i="1"/>
  <c r="Z269" i="1"/>
  <c r="BP273" i="1"/>
  <c r="BN273" i="1"/>
  <c r="Z273" i="1"/>
  <c r="F9" i="1"/>
  <c r="J9" i="1"/>
  <c r="Y47" i="1"/>
  <c r="Y55" i="1"/>
  <c r="Y158" i="1"/>
  <c r="Y216" i="1"/>
  <c r="Y221" i="1"/>
  <c r="Y252" i="1"/>
  <c r="Y255" i="1"/>
  <c r="BP254" i="1"/>
  <c r="BN254" i="1"/>
  <c r="Z254" i="1"/>
  <c r="Z255" i="1" s="1"/>
  <c r="Y256" i="1"/>
  <c r="M560" i="1"/>
  <c r="Y262" i="1"/>
  <c r="BP259" i="1"/>
  <c r="BN259" i="1"/>
  <c r="Z259" i="1"/>
  <c r="Z261" i="1" s="1"/>
  <c r="BP271" i="1"/>
  <c r="BN271" i="1"/>
  <c r="Z271" i="1"/>
  <c r="Z292" i="1"/>
  <c r="Z275" i="1"/>
  <c r="BN275" i="1"/>
  <c r="Z281" i="1"/>
  <c r="BN281" i="1"/>
  <c r="Z283" i="1"/>
  <c r="BN283" i="1"/>
  <c r="Z285" i="1"/>
  <c r="BN285" i="1"/>
  <c r="Z287" i="1"/>
  <c r="BN287" i="1"/>
  <c r="Z289" i="1"/>
  <c r="BN289" i="1"/>
  <c r="Z291" i="1"/>
  <c r="BN291" i="1"/>
  <c r="Y292" i="1"/>
  <c r="Z295" i="1"/>
  <c r="BN295" i="1"/>
  <c r="BP295" i="1"/>
  <c r="Y298" i="1"/>
  <c r="Z302" i="1"/>
  <c r="Z308" i="1" s="1"/>
  <c r="BN302" i="1"/>
  <c r="BP302" i="1"/>
  <c r="Z304" i="1"/>
  <c r="BN304" i="1"/>
  <c r="Z306" i="1"/>
  <c r="BN306" i="1"/>
  <c r="Y309" i="1"/>
  <c r="Z320" i="1"/>
  <c r="Z322" i="1" s="1"/>
  <c r="BN320" i="1"/>
  <c r="BP320" i="1"/>
  <c r="P560" i="1"/>
  <c r="Z327" i="1"/>
  <c r="BN327" i="1"/>
  <c r="BP327" i="1"/>
  <c r="Z329" i="1"/>
  <c r="BN329" i="1"/>
  <c r="Y332" i="1"/>
  <c r="Q560" i="1"/>
  <c r="Z336" i="1"/>
  <c r="Z338" i="1" s="1"/>
  <c r="BN336" i="1"/>
  <c r="BP336" i="1"/>
  <c r="Y339" i="1"/>
  <c r="R560" i="1"/>
  <c r="Z343" i="1"/>
  <c r="Z347" i="1" s="1"/>
  <c r="BN343" i="1"/>
  <c r="BP343" i="1"/>
  <c r="Z345" i="1"/>
  <c r="BN345" i="1"/>
  <c r="Y348" i="1"/>
  <c r="Z351" i="1"/>
  <c r="Z352" i="1" s="1"/>
  <c r="BN351" i="1"/>
  <c r="BP351" i="1"/>
  <c r="Z356" i="1"/>
  <c r="BN356" i="1"/>
  <c r="BP356" i="1"/>
  <c r="Z358" i="1"/>
  <c r="BN358" i="1"/>
  <c r="Y359" i="1"/>
  <c r="Z363" i="1"/>
  <c r="BN363" i="1"/>
  <c r="BP363" i="1"/>
  <c r="Z365" i="1"/>
  <c r="BN365" i="1"/>
  <c r="Z367" i="1"/>
  <c r="BN367" i="1"/>
  <c r="Y368" i="1"/>
  <c r="Z371" i="1"/>
  <c r="BN371" i="1"/>
  <c r="BP371" i="1"/>
  <c r="Z373" i="1"/>
  <c r="BN373" i="1"/>
  <c r="Z375" i="1"/>
  <c r="BN375" i="1"/>
  <c r="Z377" i="1"/>
  <c r="BN377" i="1"/>
  <c r="Y378" i="1"/>
  <c r="Z381" i="1"/>
  <c r="BN381" i="1"/>
  <c r="BP381" i="1"/>
  <c r="Z383" i="1"/>
  <c r="BN383" i="1"/>
  <c r="Y386" i="1"/>
  <c r="Z389" i="1"/>
  <c r="Z391" i="1" s="1"/>
  <c r="BN389" i="1"/>
  <c r="Y392" i="1"/>
  <c r="Y398" i="1"/>
  <c r="Z395" i="1"/>
  <c r="BN395" i="1"/>
  <c r="BP403" i="1"/>
  <c r="BN403" i="1"/>
  <c r="Z403" i="1"/>
  <c r="Y410" i="1"/>
  <c r="BP407" i="1"/>
  <c r="BN407" i="1"/>
  <c r="Z407" i="1"/>
  <c r="BP416" i="1"/>
  <c r="BN416" i="1"/>
  <c r="Z416" i="1"/>
  <c r="V560" i="1"/>
  <c r="Y431" i="1"/>
  <c r="BP422" i="1"/>
  <c r="BN422" i="1"/>
  <c r="Z422" i="1"/>
  <c r="BP426" i="1"/>
  <c r="BN426" i="1"/>
  <c r="Z426" i="1"/>
  <c r="Y430" i="1"/>
  <c r="Z436" i="1"/>
  <c r="BP434" i="1"/>
  <c r="BN434" i="1"/>
  <c r="Z434" i="1"/>
  <c r="BP446" i="1"/>
  <c r="BN446" i="1"/>
  <c r="Z446" i="1"/>
  <c r="Z447" i="1" s="1"/>
  <c r="Y448" i="1"/>
  <c r="Y454" i="1"/>
  <c r="BP451" i="1"/>
  <c r="BN451" i="1"/>
  <c r="Z451" i="1"/>
  <c r="Z453" i="1" s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BP516" i="1"/>
  <c r="BN516" i="1"/>
  <c r="Z516" i="1"/>
  <c r="Y520" i="1"/>
  <c r="BP542" i="1"/>
  <c r="BN542" i="1"/>
  <c r="Z542" i="1"/>
  <c r="Y544" i="1"/>
  <c r="AB560" i="1"/>
  <c r="Y548" i="1"/>
  <c r="BP547" i="1"/>
  <c r="BN547" i="1"/>
  <c r="Z547" i="1"/>
  <c r="Z548" i="1" s="1"/>
  <c r="Y549" i="1"/>
  <c r="W560" i="1"/>
  <c r="Y360" i="1"/>
  <c r="Y369" i="1"/>
  <c r="BP397" i="1"/>
  <c r="BN397" i="1"/>
  <c r="Z397" i="1"/>
  <c r="Y399" i="1"/>
  <c r="Y404" i="1"/>
  <c r="BP401" i="1"/>
  <c r="BN401" i="1"/>
  <c r="Z401" i="1"/>
  <c r="Z404" i="1" s="1"/>
  <c r="BP409" i="1"/>
  <c r="BN409" i="1"/>
  <c r="Z409" i="1"/>
  <c r="Y411" i="1"/>
  <c r="U560" i="1"/>
  <c r="Y417" i="1"/>
  <c r="BP414" i="1"/>
  <c r="BN414" i="1"/>
  <c r="Z414" i="1"/>
  <c r="BP424" i="1"/>
  <c r="BN424" i="1"/>
  <c r="Z424" i="1"/>
  <c r="BP428" i="1"/>
  <c r="BN428" i="1"/>
  <c r="Z428" i="1"/>
  <c r="BP440" i="1"/>
  <c r="BN440" i="1"/>
  <c r="Z440" i="1"/>
  <c r="Z442" i="1" s="1"/>
  <c r="Y447" i="1"/>
  <c r="Y453" i="1"/>
  <c r="BP461" i="1"/>
  <c r="BN461" i="1"/>
  <c r="Z461" i="1"/>
  <c r="Z463" i="1" s="1"/>
  <c r="BP496" i="1"/>
  <c r="BN496" i="1"/>
  <c r="Z496" i="1"/>
  <c r="BP500" i="1"/>
  <c r="BN500" i="1"/>
  <c r="Z500" i="1"/>
  <c r="Y504" i="1"/>
  <c r="BP508" i="1"/>
  <c r="BN508" i="1"/>
  <c r="Z508" i="1"/>
  <c r="Z510" i="1" s="1"/>
  <c r="Y510" i="1"/>
  <c r="AA56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543" i="1" l="1"/>
  <c r="Z297" i="1"/>
  <c r="Z84" i="1"/>
  <c r="Z331" i="1"/>
  <c r="Z398" i="1"/>
  <c r="Z136" i="1"/>
  <c r="Z174" i="1"/>
  <c r="Z67" i="1"/>
  <c r="Z199" i="1"/>
  <c r="Y552" i="1"/>
  <c r="Z188" i="1"/>
  <c r="Z277" i="1"/>
  <c r="Z237" i="1"/>
  <c r="Z504" i="1"/>
  <c r="Z474" i="1"/>
  <c r="Z520" i="1"/>
  <c r="Y550" i="1"/>
  <c r="Y551" i="1"/>
  <c r="Y553" i="1" s="1"/>
  <c r="Z215" i="1"/>
  <c r="Z158" i="1"/>
  <c r="Z124" i="1"/>
  <c r="Z117" i="1"/>
  <c r="Z109" i="1"/>
  <c r="Z55" i="1"/>
  <c r="Z46" i="1"/>
  <c r="Z417" i="1"/>
  <c r="Z430" i="1"/>
  <c r="Z410" i="1"/>
  <c r="Z385" i="1"/>
  <c r="Z378" i="1"/>
  <c r="Z368" i="1"/>
  <c r="Z359" i="1"/>
  <c r="Z143" i="1"/>
  <c r="Z99" i="1"/>
  <c r="Z74" i="1"/>
  <c r="Y554" i="1"/>
  <c r="Z32" i="1"/>
  <c r="Z555" i="1" s="1"/>
  <c r="X553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<sst xmlns="http://schemas.openxmlformats.org/spreadsheetml/2006/main" count="2502" uniqueCount="908">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</sst>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46230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883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6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0.45833333333333331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37</v>
      </c>
      <c r="Y29" s="628">
        <f>IFERROR(IF(X29="",0,CEILING((X29/$H29),1)*$H29),"")</f>
        <v>37.800000000000004</v>
      </c>
      <c r="Z29" s="36">
        <f>IFERROR(IF(Y29=0,"",ROUNDUP(Y29/H29,0)*0.00651),"")</f>
        <v>0.13671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65.366666666666674</v>
      </c>
      <c r="BN29" s="64">
        <f>IFERROR(Y29*I29/H29,"0")</f>
        <v>66.780000000000015</v>
      </c>
      <c r="BO29" s="64">
        <f>IFERROR(1/J29*(X29/H29),"0")</f>
        <v>0.11294261294261294</v>
      </c>
      <c r="BP29" s="64">
        <f>IFERROR(1/J29*(Y29/H29),"0")</f>
        <v>0.11538461538461542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36</v>
      </c>
      <c r="Y30" s="628">
        <f>IFERROR(IF(X30="",0,CEILING((X30/$H30),1)*$H30),"")</f>
        <v>36</v>
      </c>
      <c r="Z30" s="36">
        <f>IFERROR(IF(Y30=0,"",ROUNDUP(Y30/H30,0)*0.00651),"")</f>
        <v>0.13020000000000001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63.6</v>
      </c>
      <c r="BN30" s="64">
        <f>IFERROR(Y30*I30/H30,"0")</f>
        <v>63.6</v>
      </c>
      <c r="BO30" s="64">
        <f>IFERROR(1/J30*(X30/H30),"0")</f>
        <v>0.1098901098901099</v>
      </c>
      <c r="BP30" s="64">
        <f>IFERROR(1/J30*(Y30/H30),"0")</f>
        <v>0.1098901098901099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40.555555555555557</v>
      </c>
      <c r="Y32" s="629">
        <f>IFERROR(Y27/H27,"0")+IFERROR(Y28/H28,"0")+IFERROR(Y29/H29,"0")+IFERROR(Y30/H30,"0")+IFERROR(Y31/H31,"0")</f>
        <v>41</v>
      </c>
      <c r="Z32" s="629">
        <f>IFERROR(IF(Z27="",0,Z27),"0")+IFERROR(IF(Z28="",0,Z28),"0")+IFERROR(IF(Z29="",0,Z29),"0")+IFERROR(IF(Z30="",0,Z30),"0")+IFERROR(IF(Z31="",0,Z31),"0")</f>
        <v>0.26690999999999998</v>
      </c>
      <c r="AA32" s="630"/>
      <c r="AB32" s="630"/>
      <c r="AC32" s="630"/>
    </row>
    <row r="33" spans="1:68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73</v>
      </c>
      <c r="Y33" s="629">
        <f>IFERROR(SUM(Y27:Y31),"0")</f>
        <v>73.800000000000011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637</v>
      </c>
      <c r="Y51" s="628">
        <f>IFERROR(IF(X51="",0,CEILING((X51/$H51),1)*$H51),"")</f>
        <v>637.20000000000005</v>
      </c>
      <c r="Z51" s="36">
        <f>IFERROR(IF(Y51=0,"",ROUNDUP(Y51/H51,0)*0.01898),"")</f>
        <v>1.11982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661.18240740740737</v>
      </c>
      <c r="BN51" s="64">
        <f>IFERROR(Y51*I51/H51,"0")</f>
        <v>661.39</v>
      </c>
      <c r="BO51" s="64">
        <f>IFERROR(1/J51*(X51/H51),"0")</f>
        <v>0.92158564814814814</v>
      </c>
      <c r="BP51" s="64">
        <f>IFERROR(1/J51*(Y51/H51),"0")</f>
        <v>0.921875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50</v>
      </c>
      <c r="Y54" s="628">
        <f>IFERROR(IF(X54="",0,CEILING((X54/$H54),1)*$H54),"")</f>
        <v>51.800000000000004</v>
      </c>
      <c r="Z54" s="36">
        <f>IFERROR(IF(Y54=0,"",ROUNDUP(Y54/H54,0)*0.00902),"")</f>
        <v>0.12628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52.567567567567565</v>
      </c>
      <c r="BN54" s="64">
        <f>IFERROR(Y54*I54/H54,"0")</f>
        <v>54.46</v>
      </c>
      <c r="BO54" s="64">
        <f>IFERROR(1/J54*(X54/H54),"0")</f>
        <v>0.10237510237510238</v>
      </c>
      <c r="BP54" s="64">
        <f>IFERROR(1/J54*(Y54/H54),"0")</f>
        <v>0.10606060606060606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72.494994994994997</v>
      </c>
      <c r="Y55" s="629">
        <f>IFERROR(Y51/H51,"0")+IFERROR(Y52/H52,"0")+IFERROR(Y53/H53,"0")+IFERROR(Y54/H54,"0")</f>
        <v>73</v>
      </c>
      <c r="Z55" s="629">
        <f>IFERROR(IF(Z51="",0,Z51),"0")+IFERROR(IF(Z52="",0,Z52),"0")+IFERROR(IF(Z53="",0,Z53),"0")+IFERROR(IF(Z54="",0,Z54),"0")</f>
        <v>1.2461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687</v>
      </c>
      <c r="Y56" s="629">
        <f>IFERROR(SUM(Y51:Y54),"0")</f>
        <v>689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113</v>
      </c>
      <c r="Y59" s="628">
        <f t="shared" ref="Y59:Y66" si="0">IFERROR(IF(X59="",0,CEILING((X59/$H59),1)*$H59),"")</f>
        <v>123.19999999999999</v>
      </c>
      <c r="Z59" s="36">
        <f>IFERROR(IF(Y59=0,"",ROUNDUP(Y59/H59,0)*0.01898),"")</f>
        <v>0.20877999999999999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117.13660714285713</v>
      </c>
      <c r="BN59" s="64">
        <f t="shared" ref="BN59:BN66" si="2">IFERROR(Y59*I59/H59,"0")</f>
        <v>127.71</v>
      </c>
      <c r="BO59" s="64">
        <f t="shared" ref="BO59:BO66" si="3">IFERROR(1/J59*(X59/H59),"0")</f>
        <v>0.1576450892857143</v>
      </c>
      <c r="BP59" s="64">
        <f t="shared" ref="BP59:BP66" si="4">IFERROR(1/J59*(Y59/H59),"0")</f>
        <v>0.171875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296</v>
      </c>
      <c r="Y61" s="628">
        <f t="shared" si="0"/>
        <v>302.40000000000003</v>
      </c>
      <c r="Z61" s="36">
        <f>IFERROR(IF(Y61=0,"",ROUNDUP(Y61/H61,0)*0.01898),"")</f>
        <v>0.53144000000000002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307.23703703703706</v>
      </c>
      <c r="BN61" s="64">
        <f t="shared" si="2"/>
        <v>313.88</v>
      </c>
      <c r="BO61" s="64">
        <f t="shared" si="3"/>
        <v>0.4282407407407407</v>
      </c>
      <c r="BP61" s="64">
        <f t="shared" si="4"/>
        <v>0.4375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108</v>
      </c>
      <c r="Y64" s="628">
        <f t="shared" si="0"/>
        <v>108</v>
      </c>
      <c r="Z64" s="36">
        <f>IFERROR(IF(Y64=0,"",ROUNDUP(Y64/H64,0)*0.00902),"")</f>
        <v>0.24354000000000001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113.13000000000001</v>
      </c>
      <c r="BN64" s="64">
        <f t="shared" si="2"/>
        <v>113.13000000000001</v>
      </c>
      <c r="BO64" s="64">
        <f t="shared" si="3"/>
        <v>0.20454545454545456</v>
      </c>
      <c r="BP64" s="64">
        <f t="shared" si="4"/>
        <v>0.20454545454545456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64.496693121693113</v>
      </c>
      <c r="Y67" s="629">
        <f>IFERROR(Y59/H59,"0")+IFERROR(Y60/H60,"0")+IFERROR(Y61/H61,"0")+IFERROR(Y62/H62,"0")+IFERROR(Y63/H63,"0")+IFERROR(Y64/H64,"0")+IFERROR(Y65/H65,"0")+IFERROR(Y66/H66,"0")</f>
        <v>66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0.98375999999999997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517</v>
      </c>
      <c r="Y68" s="629">
        <f>IFERROR(SUM(Y59:Y66),"0")</f>
        <v>533.6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243</v>
      </c>
      <c r="Y70" s="628">
        <f>IFERROR(IF(X70="",0,CEILING((X70/$H70),1)*$H70),"")</f>
        <v>248.4</v>
      </c>
      <c r="Z70" s="36">
        <f>IFERROR(IF(Y70=0,"",ROUNDUP(Y70/H70,0)*0.01898),"")</f>
        <v>0.43653999999999998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252.22499999999999</v>
      </c>
      <c r="BN70" s="64">
        <f>IFERROR(Y70*I70/H70,"0")</f>
        <v>257.83</v>
      </c>
      <c r="BO70" s="64">
        <f>IFERROR(1/J70*(X70/H70),"0")</f>
        <v>0.3515625</v>
      </c>
      <c r="BP70" s="64">
        <f>IFERROR(1/J70*(Y70/H70),"0")</f>
        <v>0.359375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22.5</v>
      </c>
      <c r="Y74" s="629">
        <f>IFERROR(Y70/H70,"0")+IFERROR(Y71/H71,"0")+IFERROR(Y72/H72,"0")+IFERROR(Y73/H73,"0")</f>
        <v>23</v>
      </c>
      <c r="Z74" s="629">
        <f>IFERROR(IF(Z70="",0,Z70),"0")+IFERROR(IF(Z71="",0,Z71),"0")+IFERROR(IF(Z72="",0,Z72),"0")+IFERROR(IF(Z73="",0,Z73),"0")</f>
        <v>0.43653999999999998</v>
      </c>
      <c r="AA74" s="630"/>
      <c r="AB74" s="630"/>
      <c r="AC74" s="630"/>
    </row>
    <row r="75" spans="1:68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243</v>
      </c>
      <c r="Y75" s="629">
        <f>IFERROR(SUM(Y70:Y73),"0")</f>
        <v>248.4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288</v>
      </c>
      <c r="Y82" s="628">
        <f>IFERROR(IF(X82="",0,CEILING((X82/$H82),1)*$H82),"")</f>
        <v>288.59999999999997</v>
      </c>
      <c r="Z82" s="36">
        <f>IFERROR(IF(Y82=0,"",ROUNDUP(Y82/H82,0)*0.01898),"")</f>
        <v>0.70226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303.13846153846163</v>
      </c>
      <c r="BN82" s="64">
        <f>IFERROR(Y82*I82/H82,"0")</f>
        <v>303.77</v>
      </c>
      <c r="BO82" s="64">
        <f>IFERROR(1/J82*(X82/H82),"0")</f>
        <v>0.57692307692307698</v>
      </c>
      <c r="BP82" s="64">
        <f>IFERROR(1/J82*(Y82/H82),"0")</f>
        <v>0.578125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36.923076923076927</v>
      </c>
      <c r="Y84" s="629">
        <f>IFERROR(Y82/H82,"0")+IFERROR(Y83/H83,"0")</f>
        <v>37</v>
      </c>
      <c r="Z84" s="629">
        <f>IFERROR(IF(Z82="",0,Z82),"0")+IFERROR(IF(Z83="",0,Z83),"0")</f>
        <v>0.70226</v>
      </c>
      <c r="AA84" s="630"/>
      <c r="AB84" s="630"/>
      <c r="AC84" s="630"/>
    </row>
    <row r="85" spans="1:68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288</v>
      </c>
      <c r="Y85" s="629">
        <f>IFERROR(SUM(Y82:Y83),"0")</f>
        <v>288.59999999999997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97</v>
      </c>
      <c r="Y88" s="628">
        <f>IFERROR(IF(X88="",0,CEILING((X88/$H88),1)*$H88),"")</f>
        <v>97.2</v>
      </c>
      <c r="Z88" s="36">
        <f>IFERROR(IF(Y88=0,"",ROUNDUP(Y88/H88,0)*0.01898),"")</f>
        <v>0.17082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100.68240740740741</v>
      </c>
      <c r="BN88" s="64">
        <f>IFERROR(Y88*I88/H88,"0")</f>
        <v>100.89</v>
      </c>
      <c r="BO88" s="64">
        <f>IFERROR(1/J88*(X88/H88),"0")</f>
        <v>0.14033564814814814</v>
      </c>
      <c r="BP88" s="64">
        <f>IFERROR(1/J88*(Y88/H88),"0")</f>
        <v>0.140625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90</v>
      </c>
      <c r="Y91" s="628">
        <f>IFERROR(IF(X91="",0,CEILING((X91/$H91),1)*$H91),"")</f>
        <v>90</v>
      </c>
      <c r="Z91" s="36">
        <f>IFERROR(IF(Y91=0,"",ROUNDUP(Y91/H91,0)*0.00902),"")</f>
        <v>0.1804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93.800000000000011</v>
      </c>
      <c r="BN91" s="64">
        <f>IFERROR(Y91*I91/H91,"0")</f>
        <v>93.800000000000011</v>
      </c>
      <c r="BO91" s="64">
        <f>IFERROR(1/J91*(X91/H91),"0")</f>
        <v>0.15151515151515152</v>
      </c>
      <c r="BP91" s="64">
        <f>IFERROR(1/J91*(Y91/H91),"0")</f>
        <v>0.15151515151515152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28.981481481481481</v>
      </c>
      <c r="Y92" s="629">
        <f>IFERROR(Y88/H88,"0")+IFERROR(Y89/H89,"0")+IFERROR(Y90/H90,"0")+IFERROR(Y91/H91,"0")</f>
        <v>29</v>
      </c>
      <c r="Z92" s="629">
        <f>IFERROR(IF(Z88="",0,Z88),"0")+IFERROR(IF(Z89="",0,Z89),"0")+IFERROR(IF(Z90="",0,Z90),"0")+IFERROR(IF(Z91="",0,Z91),"0")</f>
        <v>0.35121999999999998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187</v>
      </c>
      <c r="Y93" s="629">
        <f>IFERROR(SUM(Y88:Y91),"0")</f>
        <v>187.2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355</v>
      </c>
      <c r="Y95" s="628">
        <f>IFERROR(IF(X95="",0,CEILING((X95/$H95),1)*$H95),"")</f>
        <v>356.4</v>
      </c>
      <c r="Z95" s="36">
        <f>IFERROR(IF(Y95=0,"",ROUNDUP(Y95/H95,0)*0.01898),"")</f>
        <v>0.83511999999999997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376.65061728395062</v>
      </c>
      <c r="BN95" s="64">
        <f>IFERROR(Y95*I95/H95,"0")</f>
        <v>378.13599999999997</v>
      </c>
      <c r="BO95" s="64">
        <f>IFERROR(1/J95*(X95/H95),"0")</f>
        <v>0.68479938271604945</v>
      </c>
      <c r="BP95" s="64">
        <f>IFERROR(1/J95*(Y95/H95),"0")</f>
        <v>0.6875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122</v>
      </c>
      <c r="Y97" s="628">
        <f>IFERROR(IF(X97="",0,CEILING((X97/$H97),1)*$H97),"")</f>
        <v>124.2</v>
      </c>
      <c r="Z97" s="36">
        <f>IFERROR(IF(Y97=0,"",ROUNDUP(Y97/H97,0)*0.00651),"")</f>
        <v>0.29946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133.38666666666666</v>
      </c>
      <c r="BN97" s="64">
        <f>IFERROR(Y97*I97/H97,"0")</f>
        <v>135.792</v>
      </c>
      <c r="BO97" s="64">
        <f>IFERROR(1/J97*(X97/H97),"0")</f>
        <v>0.24827024827024827</v>
      </c>
      <c r="BP97" s="64">
        <f>IFERROR(1/J97*(Y97/H97),"0")</f>
        <v>0.25274725274725279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89.012345679012356</v>
      </c>
      <c r="Y99" s="629">
        <f>IFERROR(Y95/H95,"0")+IFERROR(Y96/H96,"0")+IFERROR(Y97/H97,"0")+IFERROR(Y98/H98,"0")</f>
        <v>90</v>
      </c>
      <c r="Z99" s="629">
        <f>IFERROR(IF(Z95="",0,Z95),"0")+IFERROR(IF(Z96="",0,Z96),"0")+IFERROR(IF(Z97="",0,Z97),"0")+IFERROR(IF(Z98="",0,Z98),"0")</f>
        <v>1.1345799999999999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477</v>
      </c>
      <c r="Y100" s="629">
        <f>IFERROR(SUM(Y95:Y98),"0")</f>
        <v>480.59999999999997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267</v>
      </c>
      <c r="Y103" s="628">
        <f t="shared" ref="Y103:Y108" si="5">IFERROR(IF(X103="",0,CEILING((X103/$H103),1)*$H103),"")</f>
        <v>270</v>
      </c>
      <c r="Z103" s="36">
        <f>IFERROR(IF(Y103=0,"",ROUNDUP(Y103/H103,0)*0.01898),"")</f>
        <v>0.47450000000000003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277.13611111111112</v>
      </c>
      <c r="BN103" s="64">
        <f t="shared" ref="BN103:BN108" si="7">IFERROR(Y103*I103/H103,"0")</f>
        <v>280.25</v>
      </c>
      <c r="BO103" s="64">
        <f t="shared" ref="BO103:BO108" si="8">IFERROR(1/J103*(X103/H103),"0")</f>
        <v>0.38628472222222221</v>
      </c>
      <c r="BP103" s="64">
        <f t="shared" ref="BP103:BP108" si="9">IFERROR(1/J103*(Y103/H103),"0")</f>
        <v>0.390625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89</v>
      </c>
      <c r="Y107" s="628">
        <f t="shared" si="5"/>
        <v>90</v>
      </c>
      <c r="Z107" s="36">
        <f>IFERROR(IF(Y107=0,"",ROUNDUP(Y107/H107,0)*0.00902),"")</f>
        <v>0.1804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92.75777777777779</v>
      </c>
      <c r="BN107" s="64">
        <f t="shared" si="7"/>
        <v>93.800000000000011</v>
      </c>
      <c r="BO107" s="64">
        <f t="shared" si="8"/>
        <v>0.14983164983164984</v>
      </c>
      <c r="BP107" s="64">
        <f t="shared" si="9"/>
        <v>0.15151515151515152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44.5</v>
      </c>
      <c r="Y109" s="629">
        <f>IFERROR(Y103/H103,"0")+IFERROR(Y104/H104,"0")+IFERROR(Y105/H105,"0")+IFERROR(Y106/H106,"0")+IFERROR(Y107/H107,"0")+IFERROR(Y108/H108,"0")</f>
        <v>45</v>
      </c>
      <c r="Z109" s="629">
        <f>IFERROR(IF(Z103="",0,Z103),"0")+IFERROR(IF(Z104="",0,Z104),"0")+IFERROR(IF(Z105="",0,Z105),"0")+IFERROR(IF(Z106="",0,Z106),"0")+IFERROR(IF(Z107="",0,Z107),"0")+IFERROR(IF(Z108="",0,Z108),"0")</f>
        <v>0.65490000000000004</v>
      </c>
      <c r="AA109" s="630"/>
      <c r="AB109" s="630"/>
      <c r="AC109" s="630"/>
    </row>
    <row r="110" spans="1:68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356</v>
      </c>
      <c r="Y110" s="629">
        <f>IFERROR(SUM(Y103:Y108),"0")</f>
        <v>360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59</v>
      </c>
      <c r="Y112" s="628">
        <f>IFERROR(IF(X112="",0,CEILING((X112/$H112),1)*$H112),"")</f>
        <v>64.800000000000011</v>
      </c>
      <c r="Z112" s="36">
        <f>IFERROR(IF(Y112=0,"",ROUNDUP(Y112/H112,0)*0.01898),"")</f>
        <v>0.11388000000000001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61.239814814814821</v>
      </c>
      <c r="BN112" s="64">
        <f>IFERROR(Y112*I112/H112,"0")</f>
        <v>67.260000000000005</v>
      </c>
      <c r="BO112" s="64">
        <f>IFERROR(1/J112*(X112/H112),"0")</f>
        <v>8.5358796296296294E-2</v>
      </c>
      <c r="BP112" s="64">
        <f>IFERROR(1/J112*(Y112/H112),"0")</f>
        <v>9.3750000000000014E-2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55</v>
      </c>
      <c r="Y116" s="628">
        <f>IFERROR(IF(X116="",0,CEILING((X116/$H116),1)*$H116),"")</f>
        <v>55.199999999999996</v>
      </c>
      <c r="Z116" s="36">
        <f>IFERROR(IF(Y116=0,"",ROUNDUP(Y116/H116,0)*0.00651),"")</f>
        <v>0.14973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59.125000000000007</v>
      </c>
      <c r="BN116" s="64">
        <f>IFERROR(Y116*I116/H116,"0")</f>
        <v>59.34</v>
      </c>
      <c r="BO116" s="64">
        <f>IFERROR(1/J116*(X116/H116),"0")</f>
        <v>0.12591575091575094</v>
      </c>
      <c r="BP116" s="64">
        <f>IFERROR(1/J116*(Y116/H116),"0")</f>
        <v>0.1263736263736264</v>
      </c>
    </row>
    <row r="117" spans="1:68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28.37962962962963</v>
      </c>
      <c r="Y117" s="629">
        <f>IFERROR(Y112/H112,"0")+IFERROR(Y113/H113,"0")+IFERROR(Y114/H114,"0")+IFERROR(Y115/H115,"0")+IFERROR(Y116/H116,"0")</f>
        <v>29</v>
      </c>
      <c r="Z117" s="629">
        <f>IFERROR(IF(Z112="",0,Z112),"0")+IFERROR(IF(Z113="",0,Z113),"0")+IFERROR(IF(Z114="",0,Z114),"0")+IFERROR(IF(Z115="",0,Z115),"0")+IFERROR(IF(Z116="",0,Z116),"0")</f>
        <v>0.26361000000000001</v>
      </c>
      <c r="AA117" s="630"/>
      <c r="AB117" s="630"/>
      <c r="AC117" s="630"/>
    </row>
    <row r="118" spans="1:68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114</v>
      </c>
      <c r="Y118" s="629">
        <f>IFERROR(SUM(Y112:Y116),"0")</f>
        <v>120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264</v>
      </c>
      <c r="Y120" s="628">
        <f>IFERROR(IF(X120="",0,CEILING((X120/$H120),1)*$H120),"")</f>
        <v>267.3</v>
      </c>
      <c r="Z120" s="36">
        <f>IFERROR(IF(Y120=0,"",ROUNDUP(Y120/H120,0)*0.01898),"")</f>
        <v>0.62634000000000001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279.90518518518519</v>
      </c>
      <c r="BN120" s="64">
        <f>IFERROR(Y120*I120/H120,"0")</f>
        <v>283.404</v>
      </c>
      <c r="BO120" s="64">
        <f>IFERROR(1/J120*(X120/H120),"0")</f>
        <v>0.5092592592592593</v>
      </c>
      <c r="BP120" s="64">
        <f>IFERROR(1/J120*(Y120/H120),"0")</f>
        <v>0.515625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205</v>
      </c>
      <c r="Y122" s="628">
        <f>IFERROR(IF(X122="",0,CEILING((X122/$H122),1)*$H122),"")</f>
        <v>205.20000000000002</v>
      </c>
      <c r="Z122" s="36">
        <f>IFERROR(IF(Y122=0,"",ROUNDUP(Y122/H122,0)*0.00651),"")</f>
        <v>0.49476000000000003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224.1333333333333</v>
      </c>
      <c r="BN122" s="64">
        <f>IFERROR(Y122*I122/H122,"0")</f>
        <v>224.352</v>
      </c>
      <c r="BO122" s="64">
        <f>IFERROR(1/J122*(X122/H122),"0")</f>
        <v>0.41717541717541717</v>
      </c>
      <c r="BP122" s="64">
        <f>IFERROR(1/J122*(Y122/H122),"0")</f>
        <v>0.4175824175824176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108.51851851851852</v>
      </c>
      <c r="Y124" s="629">
        <f>IFERROR(Y120/H120,"0")+IFERROR(Y121/H121,"0")+IFERROR(Y122/H122,"0")+IFERROR(Y123/H123,"0")</f>
        <v>109</v>
      </c>
      <c r="Z124" s="629">
        <f>IFERROR(IF(Z120="",0,Z120),"0")+IFERROR(IF(Z121="",0,Z121),"0")+IFERROR(IF(Z122="",0,Z122),"0")+IFERROR(IF(Z123="",0,Z123),"0")</f>
        <v>1.1211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469</v>
      </c>
      <c r="Y125" s="629">
        <f>IFERROR(SUM(Y120:Y123),"0")</f>
        <v>472.5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19</v>
      </c>
      <c r="Y127" s="628">
        <f>IFERROR(IF(X127="",0,CEILING((X127/$H127),1)*$H127),"")</f>
        <v>19.8</v>
      </c>
      <c r="Z127" s="36">
        <f>IFERROR(IF(Y127=0,"",ROUNDUP(Y127/H127,0)*0.00651),"")</f>
        <v>6.5100000000000005E-2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21.475757575757576</v>
      </c>
      <c r="BN127" s="64">
        <f>IFERROR(Y127*I127/H127,"0")</f>
        <v>22.380000000000003</v>
      </c>
      <c r="BO127" s="64">
        <f>IFERROR(1/J127*(X127/H127),"0")</f>
        <v>5.2725052725052735E-2</v>
      </c>
      <c r="BP127" s="64">
        <f>IFERROR(1/J127*(Y127/H127),"0")</f>
        <v>5.4945054945054951E-2</v>
      </c>
    </row>
    <row r="128" spans="1:68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9.5959595959595969</v>
      </c>
      <c r="Y128" s="629">
        <f>IFERROR(Y127/H127,"0")</f>
        <v>10</v>
      </c>
      <c r="Z128" s="629">
        <f>IFERROR(IF(Z127="",0,Z127),"0")</f>
        <v>6.5100000000000005E-2</v>
      </c>
      <c r="AA128" s="630"/>
      <c r="AB128" s="630"/>
      <c r="AC128" s="630"/>
    </row>
    <row r="129" spans="1:68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19</v>
      </c>
      <c r="Y129" s="629">
        <f>IFERROR(SUM(Y127:Y127),"0")</f>
        <v>19.8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7</v>
      </c>
      <c r="Y134" s="628">
        <f>IFERROR(IF(X134="",0,CEILING((X134/$H134),1)*$H134),"")</f>
        <v>9.6000000000000014</v>
      </c>
      <c r="Z134" s="36">
        <f>IFERROR(IF(Y134=0,"",ROUNDUP(Y134/H134,0)*0.00651),"")</f>
        <v>1.9529999999999999E-2</v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7.3937499999999998</v>
      </c>
      <c r="BN134" s="64">
        <f>IFERROR(Y134*I134/H134,"0")</f>
        <v>10.139999999999999</v>
      </c>
      <c r="BO134" s="64">
        <f>IFERROR(1/J134*(X134/H134),"0")</f>
        <v>1.201923076923077E-2</v>
      </c>
      <c r="BP134" s="64">
        <f>IFERROR(1/J134*(Y134/H134),"0")</f>
        <v>1.6483516483516487E-2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2.1875</v>
      </c>
      <c r="Y136" s="629">
        <f>IFERROR(Y132/H132,"0")+IFERROR(Y133/H133,"0")+IFERROR(Y134/H134,"0")+IFERROR(Y135/H135,"0")</f>
        <v>3.0000000000000004</v>
      </c>
      <c r="Z136" s="629">
        <f>IFERROR(IF(Z132="",0,Z132),"0")+IFERROR(IF(Z133="",0,Z133),"0")+IFERROR(IF(Z134="",0,Z134),"0")+IFERROR(IF(Z135="",0,Z135),"0")</f>
        <v>1.9529999999999999E-2</v>
      </c>
      <c r="AA136" s="630"/>
      <c r="AB136" s="630"/>
      <c r="AC136" s="630"/>
    </row>
    <row r="137" spans="1:68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7</v>
      </c>
      <c r="Y137" s="629">
        <f>IFERROR(SUM(Y132:Y135),"0")</f>
        <v>9.6000000000000014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44</v>
      </c>
      <c r="Y141" s="628">
        <f>IFERROR(IF(X141="",0,CEILING((X141/$H141),1)*$H141),"")</f>
        <v>44.8</v>
      </c>
      <c r="Z141" s="36">
        <f>IFERROR(IF(Y141=0,"",ROUNDUP(Y141/H141,0)*0.00651),"")</f>
        <v>0.10416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48.21142857142857</v>
      </c>
      <c r="BN141" s="64">
        <f>IFERROR(Y141*I141/H141,"0")</f>
        <v>49.087999999999994</v>
      </c>
      <c r="BO141" s="64">
        <f>IFERROR(1/J141*(X141/H141),"0")</f>
        <v>8.6342229199372067E-2</v>
      </c>
      <c r="BP141" s="64">
        <f>IFERROR(1/J141*(Y141/H141),"0")</f>
        <v>8.7912087912087919E-2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15.714285714285715</v>
      </c>
      <c r="Y143" s="629">
        <f>IFERROR(Y139/H139,"0")+IFERROR(Y140/H140,"0")+IFERROR(Y141/H141,"0")+IFERROR(Y142/H142,"0")</f>
        <v>16</v>
      </c>
      <c r="Z143" s="629">
        <f>IFERROR(IF(Z139="",0,Z139),"0")+IFERROR(IF(Z140="",0,Z140),"0")+IFERROR(IF(Z141="",0,Z141),"0")+IFERROR(IF(Z142="",0,Z142),"0")</f>
        <v>0.10416</v>
      </c>
      <c r="AA143" s="630"/>
      <c r="AB143" s="630"/>
      <c r="AC143" s="63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44</v>
      </c>
      <c r="Y144" s="629">
        <f>IFERROR(SUM(Y139:Y142),"0")</f>
        <v>44.8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34</v>
      </c>
      <c r="Y148" s="628">
        <f>IFERROR(IF(X148="",0,CEILING((X148/$H148),1)*$H148),"")</f>
        <v>34.32</v>
      </c>
      <c r="Z148" s="36">
        <f>IFERROR(IF(Y148=0,"",ROUNDUP(Y148/H148,0)*0.00651),"")</f>
        <v>8.4629999999999997E-2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37.451515151515153</v>
      </c>
      <c r="BN148" s="64">
        <f>IFERROR(Y148*I148/H148,"0")</f>
        <v>37.803999999999995</v>
      </c>
      <c r="BO148" s="64">
        <f>IFERROR(1/J148*(X148/H148),"0")</f>
        <v>7.0762570762570767E-2</v>
      </c>
      <c r="BP148" s="64">
        <f>IFERROR(1/J148*(Y148/H148),"0")</f>
        <v>7.1428571428571438E-2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12.878787878787879</v>
      </c>
      <c r="Y150" s="629">
        <f>IFERROR(Y146/H146,"0")+IFERROR(Y147/H147,"0")+IFERROR(Y148/H148,"0")+IFERROR(Y149/H149,"0")</f>
        <v>13</v>
      </c>
      <c r="Z150" s="629">
        <f>IFERROR(IF(Z146="",0,Z146),"0")+IFERROR(IF(Z147="",0,Z147),"0")+IFERROR(IF(Z148="",0,Z148),"0")+IFERROR(IF(Z149="",0,Z149),"0")</f>
        <v>8.4629999999999997E-2</v>
      </c>
      <c r="AA150" s="630"/>
      <c r="AB150" s="630"/>
      <c r="AC150" s="630"/>
    </row>
    <row r="151" spans="1:68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34</v>
      </c>
      <c r="Y151" s="629">
        <f>IFERROR(SUM(Y146:Y149),"0")</f>
        <v>34.32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55</v>
      </c>
      <c r="Y167" s="628">
        <f>IFERROR(IF(X167="",0,CEILING((X167/$H167),1)*$H167),"")</f>
        <v>64</v>
      </c>
      <c r="Z167" s="36">
        <f>IFERROR(IF(Y167=0,"",ROUNDUP(Y167/H167,0)*0.01898),"")</f>
        <v>9.4899999999999998E-2</v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56.76171875</v>
      </c>
      <c r="BN167" s="64">
        <f>IFERROR(Y167*I167/H167,"0")</f>
        <v>66.05</v>
      </c>
      <c r="BO167" s="64">
        <f>IFERROR(1/J167*(X167/H167),"0")</f>
        <v>6.7138671875E-2</v>
      </c>
      <c r="BP167" s="64">
        <f>IFERROR(1/J167*(Y167/H167),"0")</f>
        <v>7.8125E-2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4.296875</v>
      </c>
      <c r="Y169" s="629">
        <f>IFERROR(Y166/H166,"0")+IFERROR(Y167/H167,"0")+IFERROR(Y168/H168,"0")</f>
        <v>5</v>
      </c>
      <c r="Z169" s="629">
        <f>IFERROR(IF(Z166="",0,Z166),"0")+IFERROR(IF(Z167="",0,Z167),"0")+IFERROR(IF(Z168="",0,Z168),"0")</f>
        <v>9.4899999999999998E-2</v>
      </c>
      <c r="AA169" s="630"/>
      <c r="AB169" s="630"/>
      <c r="AC169" s="630"/>
    </row>
    <row r="170" spans="1:68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55</v>
      </c>
      <c r="Y170" s="629">
        <f>IFERROR(SUM(Y166:Y168),"0")</f>
        <v>64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230</v>
      </c>
      <c r="Y177" s="628">
        <f t="shared" ref="Y177:Y187" si="10">IFERROR(IF(X177="",0,CEILING((X177/$H177),1)*$H177),"")</f>
        <v>231</v>
      </c>
      <c r="Z177" s="36">
        <f>IFERROR(IF(Y177=0,"",ROUNDUP(Y177/H177,0)*0.00902),"")</f>
        <v>0.59532000000000007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242.48571428571427</v>
      </c>
      <c r="BN177" s="64">
        <f t="shared" ref="BN177:BN187" si="12">IFERROR(Y177*I177/H177,"0")</f>
        <v>243.54</v>
      </c>
      <c r="BO177" s="64">
        <f t="shared" ref="BO177:BO187" si="13">IFERROR(1/J177*(X177/H177),"0")</f>
        <v>0.4978354978354978</v>
      </c>
      <c r="BP177" s="64">
        <f t="shared" ref="BP177:BP187" si="14">IFERROR(1/J177*(Y177/H177),"0")</f>
        <v>0.5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167</v>
      </c>
      <c r="Y179" s="628">
        <f t="shared" si="10"/>
        <v>168</v>
      </c>
      <c r="Z179" s="36">
        <f>IFERROR(IF(Y179=0,"",ROUNDUP(Y179/H179,0)*0.00902),"")</f>
        <v>0.43296000000000001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176.06571428571428</v>
      </c>
      <c r="BN179" s="64">
        <f t="shared" si="12"/>
        <v>177.11999999999998</v>
      </c>
      <c r="BO179" s="64">
        <f t="shared" si="13"/>
        <v>0.3614718614718615</v>
      </c>
      <c r="BP179" s="64">
        <f t="shared" si="14"/>
        <v>0.36363636363636365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253</v>
      </c>
      <c r="Y180" s="628">
        <f t="shared" si="10"/>
        <v>255.5</v>
      </c>
      <c r="Z180" s="36">
        <f>IFERROR(IF(Y180=0,"",ROUNDUP(Y180/H180,0)*0.00902),"")</f>
        <v>0.65846000000000005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266.7342857142857</v>
      </c>
      <c r="BN180" s="64">
        <f t="shared" si="12"/>
        <v>269.37</v>
      </c>
      <c r="BO180" s="64">
        <f t="shared" si="13"/>
        <v>0.54761904761904767</v>
      </c>
      <c r="BP180" s="64">
        <f t="shared" si="14"/>
        <v>0.55303030303030309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41</v>
      </c>
      <c r="Y182" s="628">
        <f t="shared" si="10"/>
        <v>42</v>
      </c>
      <c r="Z182" s="36">
        <f>IFERROR(IF(Y182=0,"",ROUNDUP(Y182/H182,0)*0.00502),"")</f>
        <v>0.1255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43.440476190476197</v>
      </c>
      <c r="BN182" s="64">
        <f t="shared" si="12"/>
        <v>44.500000000000007</v>
      </c>
      <c r="BO182" s="64">
        <f t="shared" si="13"/>
        <v>0.10429385429385431</v>
      </c>
      <c r="BP182" s="64">
        <f t="shared" si="14"/>
        <v>0.10683760683760685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38</v>
      </c>
      <c r="Y187" s="628">
        <f t="shared" si="10"/>
        <v>38.64</v>
      </c>
      <c r="Z187" s="36">
        <f>IFERROR(IF(Y187=0,"",ROUNDUP(Y187/H187,0)*0.00502),"")</f>
        <v>0.11546000000000001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40.261904761904766</v>
      </c>
      <c r="BN187" s="64">
        <f t="shared" si="12"/>
        <v>40.940000000000005</v>
      </c>
      <c r="BO187" s="64">
        <f t="shared" si="13"/>
        <v>9.6662596662596675E-2</v>
      </c>
      <c r="BP187" s="64">
        <f t="shared" si="14"/>
        <v>9.8290598290598302E-2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232.73809523809524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235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1.9277000000000002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729</v>
      </c>
      <c r="Y189" s="629">
        <f>IFERROR(SUM(Y177:Y187),"0")</f>
        <v>735.14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15</v>
      </c>
      <c r="Y223" s="628">
        <f t="shared" ref="Y223:Y236" si="21">IFERROR(IF(X223="",0,CEILING((X223/$H223),1)*$H223),"")</f>
        <v>16.8</v>
      </c>
      <c r="Z223" s="36">
        <f>IFERROR(IF(Y223=0,"",ROUNDUP(Y223/H223,0)*0.00902),"")</f>
        <v>3.6080000000000001E-2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15.892857142857142</v>
      </c>
      <c r="BN223" s="64">
        <f t="shared" ref="BN223:BN236" si="23">IFERROR(Y223*I223/H223,"0")</f>
        <v>17.8</v>
      </c>
      <c r="BO223" s="64">
        <f t="shared" ref="BO223:BO236" si="24">IFERROR(1/J223*(X223/H223),"0")</f>
        <v>2.7056277056277056E-2</v>
      </c>
      <c r="BP223" s="64">
        <f t="shared" ref="BP223:BP236" si="25">IFERROR(1/J223*(Y223/H223),"0")</f>
        <v>3.0303030303030304E-2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71</v>
      </c>
      <c r="Y225" s="628">
        <f t="shared" si="21"/>
        <v>71.400000000000006</v>
      </c>
      <c r="Z225" s="36">
        <f>IFERROR(IF(Y225=0,"",ROUNDUP(Y225/H225,0)*0.00902),"")</f>
        <v>0.15334</v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74.211904761904762</v>
      </c>
      <c r="BN225" s="64">
        <f t="shared" si="23"/>
        <v>74.63000000000001</v>
      </c>
      <c r="BO225" s="64">
        <f t="shared" si="24"/>
        <v>0.12806637806637808</v>
      </c>
      <c r="BP225" s="64">
        <f t="shared" si="25"/>
        <v>0.12878787878787878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17</v>
      </c>
      <c r="Y226" s="628">
        <f t="shared" si="21"/>
        <v>17.600000000000001</v>
      </c>
      <c r="Z226" s="36">
        <f>IFERROR(IF(Y226=0,"",ROUNDUP(Y226/H226,0)*0.00556),"")</f>
        <v>0.12232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19.762499999999999</v>
      </c>
      <c r="BN226" s="64">
        <f t="shared" si="23"/>
        <v>20.46</v>
      </c>
      <c r="BO226" s="64">
        <f t="shared" si="24"/>
        <v>8.4325396825396817E-2</v>
      </c>
      <c r="BP226" s="64">
        <f t="shared" si="25"/>
        <v>8.7301587301587297E-2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101</v>
      </c>
      <c r="Y227" s="628">
        <f t="shared" si="21"/>
        <v>102.9</v>
      </c>
      <c r="Z227" s="36">
        <f t="shared" ref="Z227:Z232" si="26">IFERROR(IF(Y227=0,"",ROUNDUP(Y227/H227,0)*0.00502),"")</f>
        <v>0.24598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107.25238095238095</v>
      </c>
      <c r="BN227" s="64">
        <f t="shared" si="23"/>
        <v>109.27</v>
      </c>
      <c r="BO227" s="64">
        <f t="shared" si="24"/>
        <v>0.20553520553520555</v>
      </c>
      <c r="BP227" s="64">
        <f t="shared" si="25"/>
        <v>0.20940170940170943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59</v>
      </c>
      <c r="Y232" s="628">
        <f t="shared" si="21"/>
        <v>59.4</v>
      </c>
      <c r="Z232" s="36">
        <f t="shared" si="26"/>
        <v>0.16566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63.261111111111106</v>
      </c>
      <c r="BN232" s="64">
        <f t="shared" si="23"/>
        <v>63.69</v>
      </c>
      <c r="BO232" s="64">
        <f t="shared" si="24"/>
        <v>0.14007597340930675</v>
      </c>
      <c r="BP232" s="64">
        <f t="shared" si="25"/>
        <v>0.14102564102564105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19</v>
      </c>
      <c r="Y233" s="628">
        <f t="shared" si="21"/>
        <v>19.200000000000003</v>
      </c>
      <c r="Z233" s="36">
        <f>IFERROR(IF(Y233=0,"",ROUNDUP(Y233/H233,0)*0.00417),"")</f>
        <v>0.10008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23.987500000000001</v>
      </c>
      <c r="BN233" s="64">
        <f t="shared" si="23"/>
        <v>24.240000000000002</v>
      </c>
      <c r="BO233" s="64">
        <f t="shared" si="24"/>
        <v>7.0684523809523808E-2</v>
      </c>
      <c r="BP233" s="64">
        <f t="shared" si="25"/>
        <v>7.1428571428571438E-2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94</v>
      </c>
      <c r="Y234" s="628">
        <f t="shared" si="21"/>
        <v>94.5</v>
      </c>
      <c r="Z234" s="36">
        <f>IFERROR(IF(Y234=0,"",ROUNDUP(Y234/H234,0)*0.00502),"")</f>
        <v>0.22590000000000002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98.476190476190482</v>
      </c>
      <c r="BN234" s="64">
        <f t="shared" si="23"/>
        <v>99</v>
      </c>
      <c r="BO234" s="64">
        <f t="shared" si="24"/>
        <v>0.19129019129019129</v>
      </c>
      <c r="BP234" s="64">
        <f t="shared" si="25"/>
        <v>0.19230769230769232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191.11111111111111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194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1.0493600000000001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376</v>
      </c>
      <c r="Y238" s="629">
        <f>IFERROR(SUM(Y223:Y236),"0")</f>
        <v>381.8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7</v>
      </c>
      <c r="Y254" s="628">
        <f>IFERROR(IF(X254="",0,CEILING((X254/$H254),1)*$H254),"")</f>
        <v>7.5600000000000005</v>
      </c>
      <c r="Z254" s="36">
        <f>IFERROR(IF(Y254=0,"",ROUNDUP(Y254/H254,0)*0.0059),"")</f>
        <v>3.5400000000000001E-2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8.0555555555555554</v>
      </c>
      <c r="BN254" s="64">
        <f>IFERROR(Y254*I254/H254,"0")</f>
        <v>8.6999999999999993</v>
      </c>
      <c r="BO254" s="64">
        <f>IFERROR(1/J254*(X254/H254),"0")</f>
        <v>2.5720164609053495E-2</v>
      </c>
      <c r="BP254" s="64">
        <f>IFERROR(1/J254*(Y254/H254),"0")</f>
        <v>2.7777777777777776E-2</v>
      </c>
    </row>
    <row r="255" spans="1:68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5.5555555555555554</v>
      </c>
      <c r="Y255" s="629">
        <f>IFERROR(Y254/H254,"0")</f>
        <v>6</v>
      </c>
      <c r="Z255" s="629">
        <f>IFERROR(IF(Z254="",0,Z254),"0")</f>
        <v>3.5400000000000001E-2</v>
      </c>
      <c r="AA255" s="630"/>
      <c r="AB255" s="630"/>
      <c r="AC255" s="630"/>
    </row>
    <row r="256" spans="1:68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7</v>
      </c>
      <c r="Y256" s="629">
        <f>IFERROR(SUM(Y254:Y254),"0")</f>
        <v>7.5600000000000005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254</v>
      </c>
      <c r="Y269" s="628">
        <f t="shared" ref="Y269:Y276" si="27">IFERROR(IF(X269="",0,CEILING((X269/$H269),1)*$H269),"")</f>
        <v>259.20000000000005</v>
      </c>
      <c r="Z269" s="36">
        <f>IFERROR(IF(Y269=0,"",ROUNDUP(Y269/H269,0)*0.00902),"")</f>
        <v>0.43296000000000001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262.93703703703699</v>
      </c>
      <c r="BN269" s="64">
        <f t="shared" ref="BN269:BN276" si="29">IFERROR(Y269*I269/H269,"0")</f>
        <v>268.32</v>
      </c>
      <c r="BO269" s="64">
        <f t="shared" ref="BO269:BO276" si="30">IFERROR(1/J269*(X269/H269),"0")</f>
        <v>0.356341189674523</v>
      </c>
      <c r="BP269" s="64">
        <f t="shared" ref="BP269:BP276" si="31">IFERROR(1/J269*(Y269/H269),"0")</f>
        <v>0.3636363636363637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292</v>
      </c>
      <c r="Y270" s="628">
        <f t="shared" si="27"/>
        <v>297</v>
      </c>
      <c r="Z270" s="36">
        <f>IFERROR(IF(Y270=0,"",ROUNDUP(Y270/H270,0)*0.00902),"")</f>
        <v>0.49609999999999999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302.27407407407406</v>
      </c>
      <c r="BN270" s="64">
        <f t="shared" si="29"/>
        <v>307.45</v>
      </c>
      <c r="BO270" s="64">
        <f t="shared" si="30"/>
        <v>0.40965207631874295</v>
      </c>
      <c r="BP270" s="64">
        <f t="shared" si="31"/>
        <v>0.41666666666666663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171</v>
      </c>
      <c r="Y271" s="628">
        <f t="shared" si="27"/>
        <v>172.8</v>
      </c>
      <c r="Z271" s="36">
        <f>IFERROR(IF(Y271=0,"",ROUNDUP(Y271/H271,0)*0.00902),"")</f>
        <v>0.28864000000000001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177.01666666666665</v>
      </c>
      <c r="BN271" s="64">
        <f t="shared" si="29"/>
        <v>178.88</v>
      </c>
      <c r="BO271" s="64">
        <f t="shared" si="30"/>
        <v>0.23989898989898989</v>
      </c>
      <c r="BP271" s="64">
        <f t="shared" si="31"/>
        <v>0.24242424242424243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108</v>
      </c>
      <c r="Y272" s="628">
        <f t="shared" si="27"/>
        <v>108</v>
      </c>
      <c r="Z272" s="36">
        <f>IFERROR(IF(Y272=0,"",ROUNDUP(Y272/H272,0)*0.00902),"")</f>
        <v>0.1804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111.8</v>
      </c>
      <c r="BN272" s="64">
        <f t="shared" si="29"/>
        <v>111.8</v>
      </c>
      <c r="BO272" s="64">
        <f t="shared" si="30"/>
        <v>0.15151515151515152</v>
      </c>
      <c r="BP272" s="64">
        <f t="shared" si="31"/>
        <v>0.15151515151515152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56</v>
      </c>
      <c r="Y273" s="628">
        <f t="shared" si="27"/>
        <v>57.6</v>
      </c>
      <c r="Z273" s="36">
        <f>IFERROR(IF(Y273=0,"",ROUNDUP(Y273/H273,0)*0.00502),"")</f>
        <v>0.16064000000000001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60.044444444444444</v>
      </c>
      <c r="BN273" s="64">
        <f t="shared" si="29"/>
        <v>61.759999999999991</v>
      </c>
      <c r="BO273" s="64">
        <f t="shared" si="30"/>
        <v>0.13295346628679963</v>
      </c>
      <c r="BP273" s="64">
        <f t="shared" si="31"/>
        <v>0.13675213675213677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48</v>
      </c>
      <c r="Y274" s="628">
        <f t="shared" si="27"/>
        <v>48.6</v>
      </c>
      <c r="Z274" s="36">
        <f>IFERROR(IF(Y274=0,"",ROUNDUP(Y274/H274,0)*0.00502),"")</f>
        <v>0.13553999999999999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50.666666666666657</v>
      </c>
      <c r="BN274" s="64">
        <f t="shared" si="29"/>
        <v>51.3</v>
      </c>
      <c r="BO274" s="64">
        <f t="shared" si="30"/>
        <v>0.11396011396011396</v>
      </c>
      <c r="BP274" s="64">
        <f t="shared" si="31"/>
        <v>0.11538461538461539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54</v>
      </c>
      <c r="Y276" s="628">
        <f t="shared" si="27"/>
        <v>54</v>
      </c>
      <c r="Z276" s="36">
        <f>IFERROR(IF(Y276=0,"",ROUNDUP(Y276/H276,0)*0.00502),"")</f>
        <v>0.15060000000000001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56.999999999999993</v>
      </c>
      <c r="BN276" s="64">
        <f t="shared" si="29"/>
        <v>56.999999999999993</v>
      </c>
      <c r="BO276" s="64">
        <f t="shared" si="30"/>
        <v>0.12820512820512822</v>
      </c>
      <c r="BP276" s="64">
        <f t="shared" si="31"/>
        <v>0.12820512820512822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240.55555555555554</v>
      </c>
      <c r="Y277" s="629">
        <f>IFERROR(Y269/H269,"0")+IFERROR(Y270/H270,"0")+IFERROR(Y271/H271,"0")+IFERROR(Y272/H272,"0")+IFERROR(Y273/H273,"0")+IFERROR(Y274/H274,"0")+IFERROR(Y275/H275,"0")+IFERROR(Y276/H276,"0")</f>
        <v>244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1.8448799999999999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983</v>
      </c>
      <c r="Y278" s="629">
        <f>IFERROR(SUM(Y269:Y276),"0")</f>
        <v>997.2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56</v>
      </c>
      <c r="Y280" s="628">
        <f t="shared" ref="Y280:Y291" si="32">IFERROR(IF(X280="",0,CEILING((X280/$H280),1)*$H280),"")</f>
        <v>56.699999999999996</v>
      </c>
      <c r="Z280" s="36">
        <f>IFERROR(IF(Y280=0,"",ROUNDUP(Y280/H280,0)*0.01898),"")</f>
        <v>0.13286000000000001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59.415308641975308</v>
      </c>
      <c r="BN280" s="64">
        <f t="shared" ref="BN280:BN291" si="34">IFERROR(Y280*I280/H280,"0")</f>
        <v>60.157999999999994</v>
      </c>
      <c r="BO280" s="64">
        <f t="shared" ref="BO280:BO291" si="35">IFERROR(1/J280*(X280/H280),"0")</f>
        <v>0.1080246913580247</v>
      </c>
      <c r="BP280" s="64">
        <f t="shared" ref="BP280:BP291" si="36">IFERROR(1/J280*(Y280/H280),"0")</f>
        <v>0.109375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290</v>
      </c>
      <c r="Y282" s="628">
        <f t="shared" si="32"/>
        <v>295.79999999999995</v>
      </c>
      <c r="Z282" s="36">
        <f>IFERROR(IF(Y282=0,"",ROUNDUP(Y282/H282,0)*0.01898),"")</f>
        <v>0.64532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306.4666666666667</v>
      </c>
      <c r="BN282" s="64">
        <f t="shared" si="34"/>
        <v>312.596</v>
      </c>
      <c r="BO282" s="64">
        <f t="shared" si="35"/>
        <v>0.52083333333333337</v>
      </c>
      <c r="BP282" s="64">
        <f t="shared" si="36"/>
        <v>0.53125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175</v>
      </c>
      <c r="Y283" s="628">
        <f t="shared" si="32"/>
        <v>175.2</v>
      </c>
      <c r="Z283" s="36">
        <f>IFERROR(IF(Y283=0,"",ROUNDUP(Y283/H283,0)*0.00651),"")</f>
        <v>0.47522999999999999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194.6875</v>
      </c>
      <c r="BN283" s="64">
        <f t="shared" si="34"/>
        <v>194.90999999999997</v>
      </c>
      <c r="BO283" s="64">
        <f t="shared" si="35"/>
        <v>0.40064102564102572</v>
      </c>
      <c r="BP283" s="64">
        <f t="shared" si="36"/>
        <v>0.40109890109890112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816</v>
      </c>
      <c r="Y286" s="628">
        <f t="shared" si="32"/>
        <v>816</v>
      </c>
      <c r="Z286" s="36">
        <f>IFERROR(IF(Y286=0,"",ROUNDUP(Y286/H286,0)*0.00651),"")</f>
        <v>2.2134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901.68000000000006</v>
      </c>
      <c r="BN286" s="64">
        <f t="shared" si="34"/>
        <v>901.68000000000006</v>
      </c>
      <c r="BO286" s="64">
        <f t="shared" si="35"/>
        <v>1.8681318681318684</v>
      </c>
      <c r="BP286" s="64">
        <f t="shared" si="36"/>
        <v>1.8681318681318684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238</v>
      </c>
      <c r="Y288" s="628">
        <f t="shared" si="32"/>
        <v>240</v>
      </c>
      <c r="Z288" s="36">
        <f>IFERROR(IF(Y288=0,"",ROUNDUP(Y288/H288,0)*0.00651),"")</f>
        <v>0.65100000000000002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262.99</v>
      </c>
      <c r="BN288" s="64">
        <f t="shared" si="34"/>
        <v>265.20000000000005</v>
      </c>
      <c r="BO288" s="64">
        <f t="shared" si="35"/>
        <v>0.54487179487179493</v>
      </c>
      <c r="BP288" s="64">
        <f t="shared" si="36"/>
        <v>0.5494505494505495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150</v>
      </c>
      <c r="Y289" s="628">
        <f t="shared" si="32"/>
        <v>151.19999999999999</v>
      </c>
      <c r="Z289" s="36">
        <f>IFERROR(IF(Y289=0,"",ROUNDUP(Y289/H289,0)*0.00651),"")</f>
        <v>0.41012999999999999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165.75</v>
      </c>
      <c r="BN289" s="64">
        <f t="shared" si="34"/>
        <v>167.07599999999999</v>
      </c>
      <c r="BO289" s="64">
        <f t="shared" si="35"/>
        <v>0.34340659340659341</v>
      </c>
      <c r="BP289" s="64">
        <f t="shared" si="36"/>
        <v>0.3461538461538462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146</v>
      </c>
      <c r="Y290" s="628">
        <f t="shared" si="32"/>
        <v>146.4</v>
      </c>
      <c r="Z290" s="36">
        <f>IFERROR(IF(Y290=0,"",ROUNDUP(Y290/H290,0)*0.00651),"")</f>
        <v>0.39711000000000002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161.69499999999999</v>
      </c>
      <c r="BN290" s="64">
        <f t="shared" si="34"/>
        <v>162.13800000000001</v>
      </c>
      <c r="BO290" s="64">
        <f t="shared" si="35"/>
        <v>0.33424908424908428</v>
      </c>
      <c r="BP290" s="64">
        <f t="shared" si="36"/>
        <v>0.33516483516483525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675.66358024691363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678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4.9250499999999988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1871</v>
      </c>
      <c r="Y293" s="629">
        <f>IFERROR(SUM(Y280:Y291),"0")</f>
        <v>1881.3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51</v>
      </c>
      <c r="Y295" s="628">
        <f>IFERROR(IF(X295="",0,CEILING((X295/$H295),1)*$H295),"")</f>
        <v>52.8</v>
      </c>
      <c r="Z295" s="36">
        <f>IFERROR(IF(Y295=0,"",ROUNDUP(Y295/H295,0)*0.00651),"")</f>
        <v>0.14322000000000001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56.355000000000004</v>
      </c>
      <c r="BN295" s="64">
        <f>IFERROR(Y295*I295/H295,"0")</f>
        <v>58.344000000000001</v>
      </c>
      <c r="BO295" s="64">
        <f>IFERROR(1/J295*(X295/H295),"0")</f>
        <v>0.11675824175824177</v>
      </c>
      <c r="BP295" s="64">
        <f>IFERROR(1/J295*(Y295/H295),"0")</f>
        <v>0.12087912087912089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26</v>
      </c>
      <c r="Y296" s="628">
        <f>IFERROR(IF(X296="",0,CEILING((X296/$H296),1)*$H296),"")</f>
        <v>26.4</v>
      </c>
      <c r="Z296" s="36">
        <f>IFERROR(IF(Y296=0,"",ROUNDUP(Y296/H296,0)*0.00651),"")</f>
        <v>7.1610000000000007E-2</v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28.73</v>
      </c>
      <c r="BN296" s="64">
        <f>IFERROR(Y296*I296/H296,"0")</f>
        <v>29.172000000000001</v>
      </c>
      <c r="BO296" s="64">
        <f>IFERROR(1/J296*(X296/H296),"0")</f>
        <v>5.9523809523809534E-2</v>
      </c>
      <c r="BP296" s="64">
        <f>IFERROR(1/J296*(Y296/H296),"0")</f>
        <v>6.0439560439560447E-2</v>
      </c>
    </row>
    <row r="297" spans="1:68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32.083333333333336</v>
      </c>
      <c r="Y297" s="629">
        <f>IFERROR(Y295/H295,"0")+IFERROR(Y296/H296,"0")</f>
        <v>33</v>
      </c>
      <c r="Z297" s="629">
        <f>IFERROR(IF(Z295="",0,Z295),"0")+IFERROR(IF(Z296="",0,Z296),"0")</f>
        <v>0.21483000000000002</v>
      </c>
      <c r="AA297" s="630"/>
      <c r="AB297" s="630"/>
      <c r="AC297" s="630"/>
    </row>
    <row r="298" spans="1:68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77</v>
      </c>
      <c r="Y298" s="629">
        <f>IFERROR(SUM(Y295:Y296),"0")</f>
        <v>79.199999999999989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20</v>
      </c>
      <c r="Y302" s="628">
        <f t="shared" si="37"/>
        <v>23.2</v>
      </c>
      <c r="Z302" s="36">
        <f>IFERROR(IF(Y302=0,"",ROUNDUP(Y302/H302,0)*0.01898),"")</f>
        <v>3.7960000000000001E-2</v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20.706896551724139</v>
      </c>
      <c r="BN302" s="64">
        <f t="shared" si="39"/>
        <v>24.02</v>
      </c>
      <c r="BO302" s="64">
        <f t="shared" si="40"/>
        <v>2.6939655172413795E-2</v>
      </c>
      <c r="BP302" s="64">
        <f t="shared" si="41"/>
        <v>3.125E-2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1.7241379310344829</v>
      </c>
      <c r="Y308" s="629">
        <f>IFERROR(Y301/H301,"0")+IFERROR(Y302/H302,"0")+IFERROR(Y303/H303,"0")+IFERROR(Y304/H304,"0")+IFERROR(Y305/H305,"0")+IFERROR(Y306/H306,"0")+IFERROR(Y307/H307,"0")</f>
        <v>2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3.7960000000000001E-2</v>
      </c>
      <c r="AA308" s="630"/>
      <c r="AB308" s="630"/>
      <c r="AC308" s="630"/>
    </row>
    <row r="309" spans="1:68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20</v>
      </c>
      <c r="Y309" s="629">
        <f>IFERROR(SUM(Y301:Y307),"0")</f>
        <v>23.2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3</v>
      </c>
      <c r="Y315" s="628">
        <f>IFERROR(IF(X315="",0,CEILING((X315/$H315),1)*$H315),"")</f>
        <v>3.6</v>
      </c>
      <c r="Z315" s="36">
        <f>IFERROR(IF(Y315=0,"",ROUNDUP(Y315/H315,0)*0.0059),"")</f>
        <v>1.18E-2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3.291666666666667</v>
      </c>
      <c r="BN315" s="64">
        <f>IFERROR(Y315*I315/H315,"0")</f>
        <v>3.95</v>
      </c>
      <c r="BO315" s="64">
        <f>IFERROR(1/J315*(X315/H315),"0")</f>
        <v>7.7160493827160481E-3</v>
      </c>
      <c r="BP315" s="64">
        <f>IFERROR(1/J315*(Y315/H315),"0")</f>
        <v>9.2592592592592587E-3</v>
      </c>
    </row>
    <row r="316" spans="1:68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1.6666666666666665</v>
      </c>
      <c r="Y316" s="629">
        <f>IFERROR(Y315/H315,"0")</f>
        <v>2</v>
      </c>
      <c r="Z316" s="629">
        <f>IFERROR(IF(Z315="",0,Z315),"0")</f>
        <v>1.18E-2</v>
      </c>
      <c r="AA316" s="630"/>
      <c r="AB316" s="630"/>
      <c r="AC316" s="630"/>
    </row>
    <row r="317" spans="1:68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3</v>
      </c>
      <c r="Y317" s="629">
        <f>IFERROR(SUM(Y315:Y315),"0")</f>
        <v>3.6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93</v>
      </c>
      <c r="Y336" s="628">
        <f>IFERROR(IF(X336="",0,CEILING((X336/$H336),1)*$H336),"")</f>
        <v>93.6</v>
      </c>
      <c r="Z336" s="36">
        <f>IFERROR(IF(Y336=0,"",ROUNDUP(Y336/H336,0)*0.00651),"")</f>
        <v>0.25389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102.76500000000001</v>
      </c>
      <c r="BN336" s="64">
        <f>IFERROR(Y336*I336/H336,"0")</f>
        <v>103.42800000000001</v>
      </c>
      <c r="BO336" s="64">
        <f>IFERROR(1/J336*(X336/H336),"0")</f>
        <v>0.21291208791208793</v>
      </c>
      <c r="BP336" s="64">
        <f>IFERROR(1/J336*(Y336/H336),"0")</f>
        <v>0.2142857142857143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112</v>
      </c>
      <c r="Y337" s="628">
        <f>IFERROR(IF(X337="",0,CEILING((X337/$H337),1)*$H337),"")</f>
        <v>112.8</v>
      </c>
      <c r="Z337" s="36">
        <f>IFERROR(IF(Y337=0,"",ROUNDUP(Y337/H337,0)*0.00651),"")</f>
        <v>0.30597000000000002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120.40000000000002</v>
      </c>
      <c r="BN337" s="64">
        <f>IFERROR(Y337*I337/H337,"0")</f>
        <v>121.26</v>
      </c>
      <c r="BO337" s="64">
        <f>IFERROR(1/J337*(X337/H337),"0")</f>
        <v>0.25641025641025644</v>
      </c>
      <c r="BP337" s="64">
        <f>IFERROR(1/J337*(Y337/H337),"0")</f>
        <v>0.25824175824175827</v>
      </c>
    </row>
    <row r="338" spans="1:68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85.416666666666671</v>
      </c>
      <c r="Y338" s="629">
        <f>IFERROR(Y335/H335,"0")+IFERROR(Y336/H336,"0")+IFERROR(Y337/H337,"0")</f>
        <v>86</v>
      </c>
      <c r="Z338" s="629">
        <f>IFERROR(IF(Z335="",0,Z335),"0")+IFERROR(IF(Z336="",0,Z336),"0")+IFERROR(IF(Z337="",0,Z337),"0")</f>
        <v>0.55986000000000002</v>
      </c>
      <c r="AA338" s="630"/>
      <c r="AB338" s="630"/>
      <c r="AC338" s="630"/>
    </row>
    <row r="339" spans="1:68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205</v>
      </c>
      <c r="Y339" s="629">
        <f>IFERROR(SUM(Y335:Y337),"0")</f>
        <v>206.39999999999998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294</v>
      </c>
      <c r="Y356" s="628">
        <f>IFERROR(IF(X356="",0,CEILING((X356/$H356),1)*$H356),"")</f>
        <v>296.39999999999998</v>
      </c>
      <c r="Z356" s="36">
        <f>IFERROR(IF(Y356=0,"",ROUNDUP(Y356/H356,0)*0.01898),"")</f>
        <v>0.72123999999999999</v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309.4538461538462</v>
      </c>
      <c r="BN356" s="64">
        <f>IFERROR(Y356*I356/H356,"0")</f>
        <v>311.98</v>
      </c>
      <c r="BO356" s="64">
        <f>IFERROR(1/J356*(X356/H356),"0")</f>
        <v>0.58894230769230771</v>
      </c>
      <c r="BP356" s="64">
        <f>IFERROR(1/J356*(Y356/H356),"0")</f>
        <v>0.59375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116</v>
      </c>
      <c r="Y357" s="628">
        <f>IFERROR(IF(X357="",0,CEILING((X357/$H357),1)*$H357),"")</f>
        <v>117</v>
      </c>
      <c r="Z357" s="36">
        <f>IFERROR(IF(Y357=0,"",ROUNDUP(Y357/H357,0)*0.01898),"")</f>
        <v>0.28470000000000001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122.09743589743591</v>
      </c>
      <c r="BN357" s="64">
        <f>IFERROR(Y357*I357/H357,"0")</f>
        <v>123.15</v>
      </c>
      <c r="BO357" s="64">
        <f>IFERROR(1/J357*(X357/H357),"0")</f>
        <v>0.23237179487179488</v>
      </c>
      <c r="BP357" s="64">
        <f>IFERROR(1/J357*(Y357/H357),"0")</f>
        <v>0.234375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55</v>
      </c>
      <c r="Y358" s="628">
        <f>IFERROR(IF(X358="",0,CEILING((X358/$H358),1)*$H358),"")</f>
        <v>62.4</v>
      </c>
      <c r="Z358" s="36">
        <f>IFERROR(IF(Y358=0,"",ROUNDUP(Y358/H358,0)*0.01898),"")</f>
        <v>0.15184</v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57.891025641025649</v>
      </c>
      <c r="BN358" s="64">
        <f>IFERROR(Y358*I358/H358,"0")</f>
        <v>65.680000000000007</v>
      </c>
      <c r="BO358" s="64">
        <f>IFERROR(1/J358*(X358/H358),"0")</f>
        <v>0.11017628205128205</v>
      </c>
      <c r="BP358" s="64">
        <f>IFERROR(1/J358*(Y358/H358),"0")</f>
        <v>0.125</v>
      </c>
    </row>
    <row r="359" spans="1:68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59.61538461538462</v>
      </c>
      <c r="Y359" s="629">
        <f>IFERROR(Y356/H356,"0")+IFERROR(Y357/H357,"0")+IFERROR(Y358/H358,"0")</f>
        <v>61</v>
      </c>
      <c r="Z359" s="629">
        <f>IFERROR(IF(Z356="",0,Z356),"0")+IFERROR(IF(Z357="",0,Z357),"0")+IFERROR(IF(Z358="",0,Z358),"0")</f>
        <v>1.15778</v>
      </c>
      <c r="AA359" s="630"/>
      <c r="AB359" s="630"/>
      <c r="AC359" s="630"/>
    </row>
    <row r="360" spans="1:68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465</v>
      </c>
      <c r="Y360" s="629">
        <f>IFERROR(SUM(Y356:Y358),"0")</f>
        <v>475.79999999999995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120</v>
      </c>
      <c r="Y372" s="628">
        <f t="shared" si="42"/>
        <v>121.80000000000001</v>
      </c>
      <c r="Z372" s="36">
        <f>IFERROR(IF(Y372=0,"",ROUNDUP(Y372/H372,0)*0.00902),"")</f>
        <v>0.26158000000000003</v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127.14285714285714</v>
      </c>
      <c r="BN372" s="64">
        <f t="shared" si="44"/>
        <v>129.05000000000001</v>
      </c>
      <c r="BO372" s="64">
        <f t="shared" si="45"/>
        <v>0.21645021645021645</v>
      </c>
      <c r="BP372" s="64">
        <f t="shared" si="46"/>
        <v>0.2196969696969697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20</v>
      </c>
      <c r="Y377" s="628">
        <f t="shared" si="42"/>
        <v>21.6</v>
      </c>
      <c r="Z377" s="36">
        <f>IFERROR(IF(Y377=0,"",ROUNDUP(Y377/H377,0)*0.00651),"")</f>
        <v>7.8119999999999995E-2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22.533333333333335</v>
      </c>
      <c r="BN377" s="64">
        <f t="shared" si="44"/>
        <v>24.335999999999999</v>
      </c>
      <c r="BO377" s="64">
        <f t="shared" si="45"/>
        <v>6.1050061050061055E-2</v>
      </c>
      <c r="BP377" s="64">
        <f t="shared" si="46"/>
        <v>6.5934065934065936E-2</v>
      </c>
    </row>
    <row r="378" spans="1:68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39.682539682539684</v>
      </c>
      <c r="Y378" s="629">
        <f>IFERROR(Y371/H371,"0")+IFERROR(Y372/H372,"0")+IFERROR(Y373/H373,"0")+IFERROR(Y374/H374,"0")+IFERROR(Y375/H375,"0")+IFERROR(Y376/H376,"0")+IFERROR(Y377/H377,"0")</f>
        <v>41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0.3397</v>
      </c>
      <c r="AA378" s="630"/>
      <c r="AB378" s="630"/>
      <c r="AC378" s="630"/>
    </row>
    <row r="379" spans="1:68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140</v>
      </c>
      <c r="Y379" s="629">
        <f>IFERROR(SUM(Y371:Y377),"0")</f>
        <v>143.4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199</v>
      </c>
      <c r="Y388" s="628">
        <f>IFERROR(IF(X388="",0,CEILING((X388/$H388),1)*$H388),"")</f>
        <v>201.60000000000002</v>
      </c>
      <c r="Z388" s="36">
        <f>IFERROR(IF(Y388=0,"",ROUNDUP(Y388/H388,0)*0.01898),"")</f>
        <v>0.45552000000000004</v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210.70309523809522</v>
      </c>
      <c r="BN388" s="64">
        <f>IFERROR(Y388*I388/H388,"0")</f>
        <v>213.45600000000002</v>
      </c>
      <c r="BO388" s="64">
        <f>IFERROR(1/J388*(X388/H388),"0")</f>
        <v>0.37016369047619047</v>
      </c>
      <c r="BP388" s="64">
        <f>IFERROR(1/J388*(Y388/H388),"0")</f>
        <v>0.375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1189</v>
      </c>
      <c r="Y389" s="628">
        <f>IFERROR(IF(X389="",0,CEILING((X389/$H389),1)*$H389),"")</f>
        <v>1193.3999999999999</v>
      </c>
      <c r="Z389" s="36">
        <f>IFERROR(IF(Y389=0,"",ROUNDUP(Y389/H389,0)*0.01898),"")</f>
        <v>2.90394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1264.3033333333335</v>
      </c>
      <c r="BN389" s="64">
        <f>IFERROR(Y389*I389/H389,"0")</f>
        <v>1268.982</v>
      </c>
      <c r="BO389" s="64">
        <f>IFERROR(1/J389*(X389/H389),"0")</f>
        <v>2.3818108974358974</v>
      </c>
      <c r="BP389" s="64">
        <f>IFERROR(1/J389*(Y389/H389),"0")</f>
        <v>2.390625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9</v>
      </c>
      <c r="Y390" s="628">
        <f>IFERROR(IF(X390="",0,CEILING((X390/$H390),1)*$H390),"")</f>
        <v>16.8</v>
      </c>
      <c r="Z390" s="36">
        <f>IFERROR(IF(Y390=0,"",ROUNDUP(Y390/H390,0)*0.01898),"")</f>
        <v>3.7960000000000001E-2</v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9.5292857142857148</v>
      </c>
      <c r="BN390" s="64">
        <f>IFERROR(Y390*I390/H390,"0")</f>
        <v>17.788</v>
      </c>
      <c r="BO390" s="64">
        <f>IFERROR(1/J390*(X390/H390),"0")</f>
        <v>1.6741071428571428E-2</v>
      </c>
      <c r="BP390" s="64">
        <f>IFERROR(1/J390*(Y390/H390),"0")</f>
        <v>3.125E-2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177.19780219780219</v>
      </c>
      <c r="Y391" s="629">
        <f>IFERROR(Y388/H388,"0")+IFERROR(Y389/H389,"0")+IFERROR(Y390/H390,"0")</f>
        <v>179</v>
      </c>
      <c r="Z391" s="629">
        <f>IFERROR(IF(Z388="",0,Z388),"0")+IFERROR(IF(Z389="",0,Z389),"0")+IFERROR(IF(Z390="",0,Z390),"0")</f>
        <v>3.3974199999999999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1397</v>
      </c>
      <c r="Y392" s="629">
        <f>IFERROR(SUM(Y388:Y390),"0")</f>
        <v>1411.8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21</v>
      </c>
      <c r="Y396" s="628">
        <f>IFERROR(IF(X396="",0,CEILING((X396/$H396),1)*$H396),"")</f>
        <v>22.95</v>
      </c>
      <c r="Z396" s="36">
        <f>IFERROR(IF(Y396=0,"",ROUNDUP(Y396/H396,0)*0.00651),"")</f>
        <v>5.8590000000000003E-2</v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24.335294117647059</v>
      </c>
      <c r="BN396" s="64">
        <f>IFERROR(Y396*I396/H396,"0")</f>
        <v>26.595000000000002</v>
      </c>
      <c r="BO396" s="64">
        <f>IFERROR(1/J396*(X396/H396),"0")</f>
        <v>4.5248868778280549E-2</v>
      </c>
      <c r="BP396" s="64">
        <f>IFERROR(1/J396*(Y396/H396),"0")</f>
        <v>4.9450549450549455E-2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27</v>
      </c>
      <c r="Y397" s="628">
        <f>IFERROR(IF(X397="",0,CEILING((X397/$H397),1)*$H397),"")</f>
        <v>28.049999999999997</v>
      </c>
      <c r="Z397" s="36">
        <f>IFERROR(IF(Y397=0,"",ROUNDUP(Y397/H397,0)*0.00651),"")</f>
        <v>7.1610000000000007E-2</v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30.494117647058822</v>
      </c>
      <c r="BN397" s="64">
        <f>IFERROR(Y397*I397/H397,"0")</f>
        <v>31.68</v>
      </c>
      <c r="BO397" s="64">
        <f>IFERROR(1/J397*(X397/H397),"0")</f>
        <v>5.8177117000646428E-2</v>
      </c>
      <c r="BP397" s="64">
        <f>IFERROR(1/J397*(Y397/H397),"0")</f>
        <v>6.0439560439560447E-2</v>
      </c>
    </row>
    <row r="398" spans="1:68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18.82352941176471</v>
      </c>
      <c r="Y398" s="629">
        <f>IFERROR(Y394/H394,"0")+IFERROR(Y395/H395,"0")+IFERROR(Y396/H396,"0")+IFERROR(Y397/H397,"0")</f>
        <v>20</v>
      </c>
      <c r="Z398" s="629">
        <f>IFERROR(IF(Z394="",0,Z394),"0")+IFERROR(IF(Z395="",0,Z395),"0")+IFERROR(IF(Z396="",0,Z396),"0")+IFERROR(IF(Z397="",0,Z397),"0")</f>
        <v>0.13020000000000001</v>
      </c>
      <c r="AA398" s="630"/>
      <c r="AB398" s="630"/>
      <c r="AC398" s="630"/>
    </row>
    <row r="399" spans="1:68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48</v>
      </c>
      <c r="Y399" s="629">
        <f>IFERROR(SUM(Y394:Y397),"0")</f>
        <v>51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30</v>
      </c>
      <c r="Y402" s="628">
        <f>IFERROR(IF(X402="",0,CEILING((X402/$H402),1)*$H402),"")</f>
        <v>30</v>
      </c>
      <c r="Z402" s="36">
        <f>IFERROR(IF(Y402=0,"",ROUNDUP(Y402/H402,0)*0.00474),"")</f>
        <v>7.110000000000001E-2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33.6</v>
      </c>
      <c r="BN402" s="64">
        <f>IFERROR(Y402*I402/H402,"0")</f>
        <v>33.6</v>
      </c>
      <c r="BO402" s="64">
        <f>IFERROR(1/J402*(X402/H402),"0")</f>
        <v>6.3025210084033612E-2</v>
      </c>
      <c r="BP402" s="64">
        <f>IFERROR(1/J402*(Y402/H402),"0")</f>
        <v>6.3025210084033612E-2</v>
      </c>
    </row>
    <row r="403" spans="1:68" ht="27" hidden="1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15</v>
      </c>
      <c r="Y404" s="629">
        <f>IFERROR(Y401/H401,"0")+IFERROR(Y402/H402,"0")+IFERROR(Y403/H403,"0")</f>
        <v>15</v>
      </c>
      <c r="Z404" s="629">
        <f>IFERROR(IF(Z401="",0,Z401),"0")+IFERROR(IF(Z402="",0,Z402),"0")+IFERROR(IF(Z403="",0,Z403),"0")</f>
        <v>7.110000000000001E-2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30</v>
      </c>
      <c r="Y405" s="629">
        <f>IFERROR(SUM(Y401:Y403),"0")</f>
        <v>30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92</v>
      </c>
      <c r="Y415" s="628">
        <f>IFERROR(IF(X415="",0,CEILING((X415/$H415),1)*$H415),"")</f>
        <v>92.4</v>
      </c>
      <c r="Z415" s="36">
        <f>IFERROR(IF(Y415=0,"",ROUNDUP(Y415/H415,0)*0.00651),"")</f>
        <v>0.28644000000000003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103.03999999999999</v>
      </c>
      <c r="BN415" s="64">
        <f>IFERROR(Y415*I415/H415,"0")</f>
        <v>103.488</v>
      </c>
      <c r="BO415" s="64">
        <f>IFERROR(1/J415*(X415/H415),"0")</f>
        <v>0.24071166928309787</v>
      </c>
      <c r="BP415" s="64">
        <f>IFERROR(1/J415*(Y415/H415),"0")</f>
        <v>0.24175824175824179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60</v>
      </c>
      <c r="Y416" s="628">
        <f>IFERROR(IF(X416="",0,CEILING((X416/$H416),1)*$H416),"")</f>
        <v>60.900000000000006</v>
      </c>
      <c r="Z416" s="36">
        <f>IFERROR(IF(Y416=0,"",ROUNDUP(Y416/H416,0)*0.00651),"")</f>
        <v>0.18879000000000001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66.857142857142847</v>
      </c>
      <c r="BN416" s="64">
        <f>IFERROR(Y416*I416/H416,"0")</f>
        <v>67.86</v>
      </c>
      <c r="BO416" s="64">
        <f>IFERROR(1/J416*(X416/H416),"0")</f>
        <v>0.15698587127158556</v>
      </c>
      <c r="BP416" s="64">
        <f>IFERROR(1/J416*(Y416/H416),"0")</f>
        <v>0.15934065934065936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72.38095238095238</v>
      </c>
      <c r="Y417" s="629">
        <f>IFERROR(Y414/H414,"0")+IFERROR(Y415/H415,"0")+IFERROR(Y416/H416,"0")</f>
        <v>73</v>
      </c>
      <c r="Z417" s="629">
        <f>IFERROR(IF(Z414="",0,Z414),"0")+IFERROR(IF(Z415="",0,Z415),"0")+IFERROR(IF(Z416="",0,Z416),"0")</f>
        <v>0.47523000000000004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152</v>
      </c>
      <c r="Y418" s="629">
        <f>IFERROR(SUM(Y414:Y416),"0")</f>
        <v>153.30000000000001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199</v>
      </c>
      <c r="Y422" s="628">
        <f t="shared" ref="Y422:Y429" si="47">IFERROR(IF(X422="",0,CEILING((X422/$H422),1)*$H422),"")</f>
        <v>210</v>
      </c>
      <c r="Z422" s="36">
        <f>IFERROR(IF(Y422=0,"",ROUNDUP(Y422/H422,0)*0.02175),"")</f>
        <v>0.30449999999999999</v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205.23533333333336</v>
      </c>
      <c r="BN422" s="64">
        <f t="shared" ref="BN422:BN429" si="49">IFERROR(Y422*I422/H422,"0")</f>
        <v>216.58</v>
      </c>
      <c r="BO422" s="64">
        <f t="shared" ref="BO422:BO429" si="50">IFERROR(1/J422*(X422/H422),"0")</f>
        <v>0.27638888888888891</v>
      </c>
      <c r="BP422" s="64">
        <f t="shared" ref="BP422:BP429" si="51">IFERROR(1/J422*(Y422/H422),"0")</f>
        <v>0.29166666666666663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610</v>
      </c>
      <c r="Y424" s="628">
        <f t="shared" si="47"/>
        <v>615</v>
      </c>
      <c r="Z424" s="36">
        <f>IFERROR(IF(Y424=0,"",ROUNDUP(Y424/H424,0)*0.02175),"")</f>
        <v>0.89174999999999993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629.11333333333334</v>
      </c>
      <c r="BN424" s="64">
        <f t="shared" si="49"/>
        <v>634.2700000000001</v>
      </c>
      <c r="BO424" s="64">
        <f t="shared" si="50"/>
        <v>0.8472222222222221</v>
      </c>
      <c r="BP424" s="64">
        <f t="shared" si="51"/>
        <v>0.85416666666666663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53.93333333333333</v>
      </c>
      <c r="Y430" s="629">
        <f>IFERROR(Y422/H422,"0")+IFERROR(Y423/H423,"0")+IFERROR(Y424/H424,"0")+IFERROR(Y425/H425,"0")+IFERROR(Y426/H426,"0")+IFERROR(Y427/H427,"0")+IFERROR(Y428/H428,"0")+IFERROR(Y429/H429,"0")</f>
        <v>55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1.19625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809</v>
      </c>
      <c r="Y431" s="629">
        <f>IFERROR(SUM(Y422:Y429),"0")</f>
        <v>825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1179</v>
      </c>
      <c r="Y433" s="628">
        <f>IFERROR(IF(X433="",0,CEILING((X433/$H433),1)*$H433),"")</f>
        <v>1185</v>
      </c>
      <c r="Z433" s="36">
        <f>IFERROR(IF(Y433=0,"",ROUNDUP(Y433/H433,0)*0.02175),"")</f>
        <v>1.7182499999999998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1215.942</v>
      </c>
      <c r="BN433" s="64">
        <f>IFERROR(Y433*I433/H433,"0")</f>
        <v>1222.1300000000001</v>
      </c>
      <c r="BO433" s="64">
        <f>IFERROR(1/J433*(X433/H433),"0")</f>
        <v>1.6374999999999997</v>
      </c>
      <c r="BP433" s="64">
        <f>IFERROR(1/J433*(Y433/H433),"0")</f>
        <v>1.6458333333333333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78.599999999999994</v>
      </c>
      <c r="Y436" s="629">
        <f>IFERROR(Y433/H433,"0")+IFERROR(Y434/H434,"0")+IFERROR(Y435/H435,"0")</f>
        <v>79</v>
      </c>
      <c r="Z436" s="629">
        <f>IFERROR(IF(Z433="",0,Z433),"0")+IFERROR(IF(Z434="",0,Z434),"0")+IFERROR(IF(Z435="",0,Z435),"0")</f>
        <v>1.7182499999999998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1179</v>
      </c>
      <c r="Y437" s="629">
        <f>IFERROR(SUM(Y433:Y435),"0")</f>
        <v>1185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165</v>
      </c>
      <c r="Y446" s="628">
        <f>IFERROR(IF(X446="",0,CEILING((X446/$H446),1)*$H446),"")</f>
        <v>171</v>
      </c>
      <c r="Z446" s="36">
        <f>IFERROR(IF(Y446=0,"",ROUNDUP(Y446/H446,0)*0.01898),"")</f>
        <v>0.36062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174.05666666666667</v>
      </c>
      <c r="BN446" s="64">
        <f>IFERROR(Y446*I446/H446,"0")</f>
        <v>180.386</v>
      </c>
      <c r="BO446" s="64">
        <f>IFERROR(1/J446*(X446/H446),"0")</f>
        <v>0.28645833333333331</v>
      </c>
      <c r="BP446" s="64">
        <f>IFERROR(1/J446*(Y446/H446),"0")</f>
        <v>0.296875</v>
      </c>
    </row>
    <row r="447" spans="1:68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18.333333333333332</v>
      </c>
      <c r="Y447" s="629">
        <f>IFERROR(Y445/H445,"0")+IFERROR(Y446/H446,"0")</f>
        <v>19</v>
      </c>
      <c r="Z447" s="629">
        <f>IFERROR(IF(Z445="",0,Z445),"0")+IFERROR(IF(Z446="",0,Z446),"0")</f>
        <v>0.36062</v>
      </c>
      <c r="AA447" s="630"/>
      <c r="AB447" s="630"/>
      <c r="AC447" s="630"/>
    </row>
    <row r="448" spans="1:68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165</v>
      </c>
      <c r="Y448" s="629">
        <f>IFERROR(SUM(Y445:Y446),"0")</f>
        <v>171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1367</v>
      </c>
      <c r="Y460" s="628">
        <f>IFERROR(IF(X460="",0,CEILING((X460/$H460),1)*$H460),"")</f>
        <v>1368</v>
      </c>
      <c r="Z460" s="36">
        <f>IFERROR(IF(Y460=0,"",ROUNDUP(Y460/H460,0)*0.01898),"")</f>
        <v>2.88496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1442.0331111111109</v>
      </c>
      <c r="BN460" s="64">
        <f>IFERROR(Y460*I460/H460,"0")</f>
        <v>1443.088</v>
      </c>
      <c r="BO460" s="64">
        <f>IFERROR(1/J460*(X460/H460),"0")</f>
        <v>2.3732638888888888</v>
      </c>
      <c r="BP460" s="64">
        <f>IFERROR(1/J460*(Y460/H460),"0")</f>
        <v>2.375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11</v>
      </c>
      <c r="Y461" s="628">
        <f>IFERROR(IF(X461="",0,CEILING((X461/$H461),1)*$H461),"")</f>
        <v>12</v>
      </c>
      <c r="Z461" s="36">
        <f>IFERROR(IF(Y461=0,"",ROUNDUP(Y461/H461,0)*0.00651),"")</f>
        <v>3.2550000000000003E-2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12.21</v>
      </c>
      <c r="BN461" s="64">
        <f>IFERROR(Y461*I461/H461,"0")</f>
        <v>13.320000000000002</v>
      </c>
      <c r="BO461" s="64">
        <f>IFERROR(1/J461*(X461/H461),"0")</f>
        <v>2.5183150183150187E-2</v>
      </c>
      <c r="BP461" s="64">
        <f>IFERROR(1/J461*(Y461/H461),"0")</f>
        <v>2.7472527472527476E-2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156.47222222222223</v>
      </c>
      <c r="Y463" s="629">
        <f>IFERROR(Y460/H460,"0")+IFERROR(Y461/H461,"0")+IFERROR(Y462/H462,"0")</f>
        <v>157</v>
      </c>
      <c r="Z463" s="629">
        <f>IFERROR(IF(Z460="",0,Z460),"0")+IFERROR(IF(Z461="",0,Z461),"0")+IFERROR(IF(Z462="",0,Z462),"0")</f>
        <v>2.91751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1378</v>
      </c>
      <c r="Y464" s="629">
        <f>IFERROR(SUM(Y460:Y462),"0")</f>
        <v>1380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89</v>
      </c>
      <c r="Y495" s="628">
        <f t="shared" ref="Y495:Y503" si="57">IFERROR(IF(X495="",0,CEILING((X495/$H495),1)*$H495),"")</f>
        <v>89.76</v>
      </c>
      <c r="Z495" s="36">
        <f t="shared" ref="Z495:Z500" si="58">IFERROR(IF(Y495=0,"",ROUNDUP(Y495/H495,0)*0.01196),"")</f>
        <v>0.20332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94.899621212121204</v>
      </c>
      <c r="BN495" s="64">
        <f t="shared" ref="BN495:BN503" si="60">IFERROR(Y495*I495/H495,"0")</f>
        <v>95.710000000000008</v>
      </c>
      <c r="BO495" s="64">
        <f t="shared" ref="BO495:BO503" si="61">IFERROR(1/J495*(X495/H495),"0")</f>
        <v>0.16207750582750582</v>
      </c>
      <c r="BP495" s="64">
        <f t="shared" ref="BP495:BP503" si="62">IFERROR(1/J495*(Y495/H495),"0")</f>
        <v>0.16346153846153846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22</v>
      </c>
      <c r="Y497" s="628">
        <f t="shared" si="57"/>
        <v>26.400000000000002</v>
      </c>
      <c r="Z497" s="36">
        <f t="shared" si="58"/>
        <v>5.9799999999999999E-2</v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23.458333333333332</v>
      </c>
      <c r="BN497" s="64">
        <f t="shared" si="60"/>
        <v>28.15</v>
      </c>
      <c r="BO497" s="64">
        <f t="shared" si="61"/>
        <v>4.0064102564102561E-2</v>
      </c>
      <c r="BP497" s="64">
        <f t="shared" si="62"/>
        <v>4.807692307692308E-2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308</v>
      </c>
      <c r="Y498" s="628">
        <f t="shared" si="57"/>
        <v>311.52000000000004</v>
      </c>
      <c r="Z498" s="36">
        <f t="shared" si="58"/>
        <v>0.70564000000000004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328.41666666666663</v>
      </c>
      <c r="BN498" s="64">
        <f t="shared" si="60"/>
        <v>332.17</v>
      </c>
      <c r="BO498" s="64">
        <f t="shared" si="61"/>
        <v>0.5608974358974359</v>
      </c>
      <c r="BP498" s="64">
        <f t="shared" si="62"/>
        <v>0.5673076923076924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446</v>
      </c>
      <c r="Y500" s="628">
        <f t="shared" si="57"/>
        <v>448.8</v>
      </c>
      <c r="Z500" s="36">
        <f t="shared" si="58"/>
        <v>1.0165999999999999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475.56439393939394</v>
      </c>
      <c r="BN500" s="64">
        <f t="shared" si="60"/>
        <v>478.55</v>
      </c>
      <c r="BO500" s="64">
        <f t="shared" si="61"/>
        <v>0.81220862470862476</v>
      </c>
      <c r="BP500" s="64">
        <f t="shared" si="62"/>
        <v>0.8173076923076924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70</v>
      </c>
      <c r="Y502" s="628">
        <f t="shared" si="57"/>
        <v>72</v>
      </c>
      <c r="Z502" s="36">
        <f>IFERROR(IF(Y502=0,"",ROUNDUP(Y502/H502,0)*0.00902),"")</f>
        <v>0.1353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100.77083333333333</v>
      </c>
      <c r="BN502" s="64">
        <f t="shared" si="60"/>
        <v>103.65</v>
      </c>
      <c r="BO502" s="64">
        <f t="shared" si="61"/>
        <v>0.11047979797979798</v>
      </c>
      <c r="BP502" s="64">
        <f t="shared" si="62"/>
        <v>0.11363636363636365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14</v>
      </c>
      <c r="Y503" s="628">
        <f t="shared" si="57"/>
        <v>14.399999999999999</v>
      </c>
      <c r="Z503" s="36">
        <f>IFERROR(IF(Y503=0,"",ROUNDUP(Y503/H503,0)*0.00902),"")</f>
        <v>2.7060000000000001E-2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20.154166666666669</v>
      </c>
      <c r="BN503" s="64">
        <f t="shared" si="60"/>
        <v>20.73</v>
      </c>
      <c r="BO503" s="64">
        <f t="shared" si="61"/>
        <v>2.2095959595959599E-2</v>
      </c>
      <c r="BP503" s="64">
        <f t="shared" si="62"/>
        <v>2.2727272727272728E-2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181.32575757575756</v>
      </c>
      <c r="Y504" s="629">
        <f>IFERROR(Y495/H495,"0")+IFERROR(Y496/H496,"0")+IFERROR(Y497/H497,"0")+IFERROR(Y498/H498,"0")+IFERROR(Y499/H499,"0")+IFERROR(Y500/H500,"0")+IFERROR(Y501/H501,"0")+IFERROR(Y502/H502,"0")+IFERROR(Y503/H503,"0")</f>
        <v>184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2.1477200000000001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949</v>
      </c>
      <c r="Y505" s="629">
        <f>IFERROR(SUM(Y495:Y503),"0")</f>
        <v>962.88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356</v>
      </c>
      <c r="Y507" s="628">
        <f>IFERROR(IF(X507="",0,CEILING((X507/$H507),1)*$H507),"")</f>
        <v>359.04</v>
      </c>
      <c r="Z507" s="36">
        <f>IFERROR(IF(Y507=0,"",ROUNDUP(Y507/H507,0)*0.01196),"")</f>
        <v>0.81328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379.59848484848482</v>
      </c>
      <c r="BN507" s="64">
        <f>IFERROR(Y507*I507/H507,"0")</f>
        <v>382.84000000000003</v>
      </c>
      <c r="BO507" s="64">
        <f>IFERROR(1/J507*(X507/H507),"0")</f>
        <v>0.6483100233100233</v>
      </c>
      <c r="BP507" s="64">
        <f>IFERROR(1/J507*(Y507/H507),"0")</f>
        <v>0.65384615384615385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71</v>
      </c>
      <c r="Y509" s="628">
        <f>IFERROR(IF(X509="",0,CEILING((X509/$H509),1)*$H509),"")</f>
        <v>72</v>
      </c>
      <c r="Z509" s="36">
        <f>IFERROR(IF(Y509=0,"",ROUNDUP(Y509/H509,0)*0.00902),"")</f>
        <v>0.1353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102.21041666666667</v>
      </c>
      <c r="BN509" s="64">
        <f>IFERROR(Y509*I509/H509,"0")</f>
        <v>103.65</v>
      </c>
      <c r="BO509" s="64">
        <f>IFERROR(1/J509*(X509/H509),"0")</f>
        <v>0.11205808080808081</v>
      </c>
      <c r="BP509" s="64">
        <f>IFERROR(1/J509*(Y509/H509),"0")</f>
        <v>0.11363636363636365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82.215909090909093</v>
      </c>
      <c r="Y510" s="629">
        <f>IFERROR(Y507/H507,"0")+IFERROR(Y508/H508,"0")+IFERROR(Y509/H509,"0")</f>
        <v>83</v>
      </c>
      <c r="Z510" s="629">
        <f>IFERROR(IF(Z507="",0,Z507),"0")+IFERROR(IF(Z508="",0,Z508),"0")+IFERROR(IF(Z509="",0,Z509),"0")</f>
        <v>0.94857999999999998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427</v>
      </c>
      <c r="Y511" s="629">
        <f>IFERROR(SUM(Y507:Y509),"0")</f>
        <v>431.04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131</v>
      </c>
      <c r="Y513" s="628">
        <f t="shared" ref="Y513:Y519" si="63">IFERROR(IF(X513="",0,CEILING((X513/$H513),1)*$H513),"")</f>
        <v>132</v>
      </c>
      <c r="Z513" s="36">
        <f>IFERROR(IF(Y513=0,"",ROUNDUP(Y513/H513,0)*0.01196),"")</f>
        <v>0.29899999999999999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139.6837121212121</v>
      </c>
      <c r="BN513" s="64">
        <f t="shared" ref="BN513:BN519" si="65">IFERROR(Y513*I513/H513,"0")</f>
        <v>140.75</v>
      </c>
      <c r="BO513" s="64">
        <f t="shared" ref="BO513:BO519" si="66">IFERROR(1/J513*(X513/H513),"0")</f>
        <v>0.23856351981351981</v>
      </c>
      <c r="BP513" s="64">
        <f t="shared" ref="BP513:BP519" si="67">IFERROR(1/J513*(Y513/H513),"0")</f>
        <v>0.24038461538461539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122</v>
      </c>
      <c r="Y514" s="628">
        <f t="shared" si="63"/>
        <v>126.72</v>
      </c>
      <c r="Z514" s="36">
        <f>IFERROR(IF(Y514=0,"",ROUNDUP(Y514/H514,0)*0.01196),"")</f>
        <v>0.28704000000000002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130.08712121212122</v>
      </c>
      <c r="BN514" s="64">
        <f t="shared" si="65"/>
        <v>135.11999999999998</v>
      </c>
      <c r="BO514" s="64">
        <f t="shared" si="66"/>
        <v>0.22217365967365968</v>
      </c>
      <c r="BP514" s="64">
        <f t="shared" si="67"/>
        <v>0.23076923076923078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183</v>
      </c>
      <c r="Y515" s="628">
        <f t="shared" si="63"/>
        <v>184.8</v>
      </c>
      <c r="Z515" s="36">
        <f>IFERROR(IF(Y515=0,"",ROUNDUP(Y515/H515,0)*0.01196),"")</f>
        <v>0.41860000000000003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195.13068181818181</v>
      </c>
      <c r="BN515" s="64">
        <f t="shared" si="65"/>
        <v>197.04999999999998</v>
      </c>
      <c r="BO515" s="64">
        <f t="shared" si="66"/>
        <v>0.33326048951048948</v>
      </c>
      <c r="BP515" s="64">
        <f t="shared" si="67"/>
        <v>0.33653846153846156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8</v>
      </c>
      <c r="Y519" s="628">
        <f t="shared" si="63"/>
        <v>9.6</v>
      </c>
      <c r="Z519" s="36">
        <f>IFERROR(IF(Y519=0,"",ROUNDUP(Y519/H519,0)*0.00902),"")</f>
        <v>1.804E-2</v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11.116666666666667</v>
      </c>
      <c r="BN519" s="64">
        <f t="shared" si="65"/>
        <v>13.34</v>
      </c>
      <c r="BO519" s="64">
        <f t="shared" si="66"/>
        <v>1.2626262626262628E-2</v>
      </c>
      <c r="BP519" s="64">
        <f t="shared" si="67"/>
        <v>1.5151515151515152E-2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84.242424242424235</v>
      </c>
      <c r="Y520" s="629">
        <f>IFERROR(Y513/H513,"0")+IFERROR(Y514/H514,"0")+IFERROR(Y515/H515,"0")+IFERROR(Y516/H516,"0")+IFERROR(Y517/H517,"0")+IFERROR(Y518/H518,"0")+IFERROR(Y519/H519,"0")</f>
        <v>86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1.02268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444</v>
      </c>
      <c r="Y521" s="629">
        <f>IFERROR(SUM(Y513:Y519),"0")</f>
        <v>453.12000000000006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81</v>
      </c>
      <c r="Y537" s="628">
        <f>IFERROR(IF(X537="",0,CEILING((X537/$H537),1)*$H537),"")</f>
        <v>81</v>
      </c>
      <c r="Z537" s="36">
        <f>IFERROR(IF(Y537=0,"",ROUNDUP(Y537/H537,0)*0.01898),"")</f>
        <v>0.17082</v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85.445999999999998</v>
      </c>
      <c r="BN537" s="64">
        <f>IFERROR(Y537*I537/H537,"0")</f>
        <v>85.445999999999998</v>
      </c>
      <c r="BO537" s="64">
        <f>IFERROR(1/J537*(X537/H537),"0")</f>
        <v>0.140625</v>
      </c>
      <c r="BP537" s="64">
        <f>IFERROR(1/J537*(Y537/H537),"0")</f>
        <v>0.140625</v>
      </c>
    </row>
    <row r="538" spans="1:68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9</v>
      </c>
      <c r="Y538" s="629">
        <f>IFERROR(Y537/H537,"0")</f>
        <v>9</v>
      </c>
      <c r="Z538" s="629">
        <f>IFERROR(IF(Z537="",0,Z537),"0")</f>
        <v>0.17082</v>
      </c>
      <c r="AA538" s="630"/>
      <c r="AB538" s="630"/>
      <c r="AC538" s="630"/>
    </row>
    <row r="539" spans="1:68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81</v>
      </c>
      <c r="Y539" s="629">
        <f>IFERROR(SUM(Y537:Y537),"0")</f>
        <v>81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15505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15695.96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16539.363163648315</v>
      </c>
      <c r="Y551" s="629">
        <f>IFERROR(SUM(BN22:BN547),"0")</f>
        <v>16743.312999999998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29</v>
      </c>
      <c r="Y552" s="38">
        <f>ROUNDUP(SUM(BP22:BP547),0)</f>
        <v>29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17264.363163648315</v>
      </c>
      <c r="Y553" s="629">
        <f>GrossWeightTotalR+PalletQtyTotalR*25</f>
        <v>17468.312999999998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3094.3735944843511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3130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34.190000000000005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73.800000000000011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689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1070.5999999999999</v>
      </c>
      <c r="F560" s="46">
        <f>IFERROR(Y88*1,"0")+IFERROR(Y89*1,"0")+IFERROR(Y90*1,"0")+IFERROR(Y91*1,"0")+IFERROR(Y95*1,"0")+IFERROR(Y96*1,"0")+IFERROR(Y97*1,"0")+IFERROR(Y98*1,"0")</f>
        <v>667.8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972.3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88.72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799.14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389.36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2957.7000000000003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26.8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206.39999999999998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475.79999999999995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1636.1999999999998</v>
      </c>
      <c r="U560" s="46">
        <f>IFERROR(Y414*1,"0")+IFERROR(Y415*1,"0")+IFERROR(Y416*1,"0")</f>
        <v>153.30000000000001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2181</v>
      </c>
      <c r="W560" s="46">
        <f>IFERROR(Y451*1,"0")+IFERROR(Y452*1,"0")+IFERROR(Y456*1,"0")+IFERROR(Y460*1,"0")+IFERROR(Y461*1,"0")+IFERROR(Y462*1,"0")</f>
        <v>1380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1847.04</v>
      </c>
      <c r="AA560" s="46">
        <f>IFERROR(Y525*1,"0")+IFERROR(Y529*1,"0")+IFERROR(Y533*1,"0")+IFERROR(Y537*1,"0")+IFERROR(Y541*1,"0")+IFERROR(Y542*1,"0")</f>
        <v>81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9,00"/>
        <filter val="1 189,00"/>
        <filter val="1 367,00"/>
        <filter val="1 378,00"/>
        <filter val="1 397,00"/>
        <filter val="1 871,00"/>
        <filter val="1,67"/>
        <filter val="1,72"/>
        <filter val="101,00"/>
        <filter val="108,00"/>
        <filter val="108,52"/>
        <filter val="11,00"/>
        <filter val="112,00"/>
        <filter val="113,00"/>
        <filter val="114,00"/>
        <filter val="116,00"/>
        <filter val="12,88"/>
        <filter val="120,00"/>
        <filter val="122,00"/>
        <filter val="131,00"/>
        <filter val="14,00"/>
        <filter val="140,00"/>
        <filter val="146,00"/>
        <filter val="15 505,00"/>
        <filter val="15,00"/>
        <filter val="15,71"/>
        <filter val="150,00"/>
        <filter val="152,00"/>
        <filter val="156,47"/>
        <filter val="16 539,36"/>
        <filter val="165,00"/>
        <filter val="167,00"/>
        <filter val="17 264,36"/>
        <filter val="17,00"/>
        <filter val="171,00"/>
        <filter val="175,00"/>
        <filter val="177,20"/>
        <filter val="18,33"/>
        <filter val="18,82"/>
        <filter val="181,33"/>
        <filter val="183,00"/>
        <filter val="187,00"/>
        <filter val="19,00"/>
        <filter val="191,11"/>
        <filter val="199,00"/>
        <filter val="2,19"/>
        <filter val="20,00"/>
        <filter val="205,00"/>
        <filter val="21,00"/>
        <filter val="22,00"/>
        <filter val="22,50"/>
        <filter val="230,00"/>
        <filter val="232,74"/>
        <filter val="238,00"/>
        <filter val="240,56"/>
        <filter val="243,00"/>
        <filter val="253,00"/>
        <filter val="254,00"/>
        <filter val="26,00"/>
        <filter val="264,00"/>
        <filter val="267,00"/>
        <filter val="27,00"/>
        <filter val="28,38"/>
        <filter val="28,98"/>
        <filter val="288,00"/>
        <filter val="29"/>
        <filter val="290,00"/>
        <filter val="292,00"/>
        <filter val="294,00"/>
        <filter val="296,00"/>
        <filter val="3 094,37"/>
        <filter val="3,00"/>
        <filter val="30,00"/>
        <filter val="308,00"/>
        <filter val="32,08"/>
        <filter val="34,00"/>
        <filter val="355,00"/>
        <filter val="356,00"/>
        <filter val="36,00"/>
        <filter val="36,92"/>
        <filter val="37,00"/>
        <filter val="376,00"/>
        <filter val="38,00"/>
        <filter val="39,68"/>
        <filter val="4,30"/>
        <filter val="40,56"/>
        <filter val="41,00"/>
        <filter val="427,00"/>
        <filter val="44,00"/>
        <filter val="44,50"/>
        <filter val="444,00"/>
        <filter val="446,00"/>
        <filter val="465,00"/>
        <filter val="469,00"/>
        <filter val="477,00"/>
        <filter val="48,00"/>
        <filter val="5,56"/>
        <filter val="50,00"/>
        <filter val="51,00"/>
        <filter val="517,00"/>
        <filter val="53,93"/>
        <filter val="54,00"/>
        <filter val="55,00"/>
        <filter val="56,00"/>
        <filter val="59,00"/>
        <filter val="59,62"/>
        <filter val="60,00"/>
        <filter val="610,00"/>
        <filter val="637,00"/>
        <filter val="64,50"/>
        <filter val="675,66"/>
        <filter val="687,00"/>
        <filter val="7,00"/>
        <filter val="70,00"/>
        <filter val="71,00"/>
        <filter val="72,38"/>
        <filter val="72,49"/>
        <filter val="729,00"/>
        <filter val="73,00"/>
        <filter val="77,00"/>
        <filter val="78,60"/>
        <filter val="8,00"/>
        <filter val="809,00"/>
        <filter val="81,00"/>
        <filter val="816,00"/>
        <filter val="82,22"/>
        <filter val="84,24"/>
        <filter val="85,42"/>
        <filter val="89,00"/>
        <filter val="89,01"/>
        <filter val="9,00"/>
        <filter val="9,60"/>
        <filter val="90,00"/>
        <filter val="92,00"/>
        <filter val="93,00"/>
        <filter val="94,00"/>
        <filter val="949,00"/>
        <filter val="97,00"/>
        <filter val="983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2026-07-24T15:09:35Z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