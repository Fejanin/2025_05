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E69B1D-739A-43E2-998D-729D7143D6C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N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Z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Y262" i="2"/>
  <c r="X262" i="2"/>
  <c r="X261" i="2"/>
  <c r="BO260" i="2"/>
  <c r="BN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P231" i="2"/>
  <c r="BO231" i="2"/>
  <c r="BN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N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N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Y79" i="2" l="1"/>
  <c r="BN264" i="2"/>
  <c r="BN446" i="2"/>
  <c r="Y37" i="2"/>
  <c r="Y151" i="2"/>
  <c r="BN288" i="2"/>
  <c r="Y137" i="2"/>
  <c r="Y412" i="2"/>
  <c r="BN30" i="2"/>
  <c r="Z156" i="2"/>
  <c r="BN274" i="2"/>
  <c r="BN364" i="2"/>
  <c r="BN235" i="2"/>
  <c r="BN358" i="2"/>
  <c r="Z356" i="2"/>
  <c r="Y360" i="2"/>
  <c r="Z173" i="2"/>
  <c r="BP187" i="2"/>
  <c r="Z185" i="2"/>
  <c r="Z363" i="2"/>
  <c r="Y323" i="2"/>
  <c r="BN416" i="2"/>
  <c r="BN82" i="2"/>
  <c r="Z270" i="2"/>
  <c r="Z283" i="2"/>
  <c r="BN61" i="2"/>
  <c r="BN389" i="2"/>
  <c r="Y532" i="2"/>
  <c r="BN517" i="2"/>
  <c r="Z504" i="2"/>
  <c r="BN498" i="2"/>
  <c r="BN473" i="2"/>
  <c r="BN472" i="2"/>
  <c r="Z472" i="2"/>
  <c r="BN470" i="2"/>
  <c r="BN463" i="2"/>
  <c r="Z457" i="2"/>
  <c r="Z458" i="2" s="1"/>
  <c r="Y458" i="2"/>
  <c r="BN441" i="2"/>
  <c r="BN429" i="2"/>
  <c r="BP428" i="2"/>
  <c r="Z425" i="2"/>
  <c r="BN424" i="2"/>
  <c r="Z402" i="2"/>
  <c r="BN402" i="2"/>
  <c r="BN396" i="2"/>
  <c r="BN383" i="2"/>
  <c r="BN374" i="2"/>
  <c r="BN373" i="2"/>
  <c r="Z373" i="2"/>
  <c r="BN368" i="2"/>
  <c r="Z364" i="2"/>
  <c r="BP363" i="2"/>
  <c r="BN351" i="2"/>
  <c r="Z346" i="2"/>
  <c r="Z336" i="2"/>
  <c r="Z320" i="2"/>
  <c r="BP304" i="2"/>
  <c r="Z304" i="2"/>
  <c r="Z290" i="2"/>
  <c r="BN290" i="2"/>
  <c r="BN284" i="2"/>
  <c r="BP283" i="2"/>
  <c r="Z280" i="2"/>
  <c r="BP273" i="2"/>
  <c r="Z273" i="2"/>
  <c r="Z264" i="2"/>
  <c r="BN259" i="2"/>
  <c r="Z250" i="2"/>
  <c r="Z244" i="2"/>
  <c r="Z230" i="2"/>
  <c r="BN226" i="2"/>
  <c r="BN209" i="2"/>
  <c r="Y204" i="2"/>
  <c r="Z192" i="2"/>
  <c r="BN186" i="2"/>
  <c r="BP185" i="2"/>
  <c r="Z182" i="2"/>
  <c r="Z167" i="2"/>
  <c r="Z157" i="2"/>
  <c r="Y158" i="2"/>
  <c r="BN148" i="2"/>
  <c r="Z134" i="2"/>
  <c r="Z132" i="2"/>
  <c r="BN132" i="2"/>
  <c r="Y128" i="2"/>
  <c r="BP127" i="2"/>
  <c r="Z122" i="2"/>
  <c r="BN120" i="2"/>
  <c r="BN115" i="2"/>
  <c r="Z113" i="2"/>
  <c r="BN106" i="2"/>
  <c r="F561" i="2"/>
  <c r="BN77" i="2"/>
  <c r="BN72" i="2"/>
  <c r="Z59" i="2"/>
  <c r="Y55" i="2"/>
  <c r="BP35" i="2"/>
  <c r="Z35" i="2"/>
  <c r="Z36" i="2" s="1"/>
  <c r="Z31" i="2"/>
  <c r="X555" i="2"/>
  <c r="BN28" i="2"/>
  <c r="Z2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24" i="2" s="1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58" i="2" l="1"/>
  <c r="Z245" i="2"/>
  <c r="Z117" i="2"/>
  <c r="Z359" i="2"/>
  <c r="Z174" i="2"/>
  <c r="Z464" i="2"/>
  <c r="Z544" i="2"/>
  <c r="Z411" i="2"/>
  <c r="Z405" i="2"/>
  <c r="Z338" i="2"/>
  <c r="Z322" i="2"/>
  <c r="Z292" i="2"/>
  <c r="Z277" i="2"/>
  <c r="Z215" i="2"/>
  <c r="Z150" i="2"/>
  <c r="Z32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<sst xmlns="http://schemas.openxmlformats.org/spreadsheetml/2006/main" count="4194" uniqueCount="891">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</sst>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46230</v>
      </c>
      <c r="R5" s="640"/>
      <c r="T5" s="641" t="s">
        <v>3</v>
      </c>
      <c r="U5" s="642"/>
      <c r="V5" s="643" t="s">
        <v>871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872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647" t="s">
        <v>5</v>
      </c>
      <c r="U6" s="648"/>
      <c r="V6" s="649" t="s">
        <v>70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0.375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71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72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73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74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75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76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76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77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86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104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110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86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48</v>
      </c>
      <c r="Y44" s="53">
        <f>IFERROR(IF(X44="",0,CEILING((X44/$H44),1)*$H44),"")</f>
        <v>48</v>
      </c>
      <c r="Z44" s="39">
        <f>IFERROR(IF(Y44=0,"",ROUNDUP(Y44/H44,0)*0.00651),"")</f>
        <v>0.16275000000000001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52.500000000000007</v>
      </c>
      <c r="BN44" s="75">
        <f>IFERROR(Y44*I44/H44,"0")</f>
        <v>52.500000000000007</v>
      </c>
      <c r="BO44" s="75">
        <f>IFERROR(1/J44*(X44/H44),"0")</f>
        <v>0.13736263736263737</v>
      </c>
      <c r="BP44" s="75">
        <f>IFERROR(1/J44*(Y44/H44),"0")</f>
        <v>0.13736263736263737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32</v>
      </c>
      <c r="Y45" s="53">
        <f>IFERROR(IF(X45="",0,CEILING((X45/$H45),1)*$H45),"")</f>
        <v>32.64</v>
      </c>
      <c r="Z45" s="39">
        <f>IFERROR(IF(Y45=0,"",ROUNDUP(Y45/H45,0)*0.00651),"")</f>
        <v>0.11067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35</v>
      </c>
      <c r="BN45" s="75">
        <f>IFERROR(Y45*I45/H45,"0")</f>
        <v>35.70000000000001</v>
      </c>
      <c r="BO45" s="75">
        <f>IFERROR(1/J45*(X45/H45),"0")</f>
        <v>9.1575091575091583E-2</v>
      </c>
      <c r="BP45" s="75">
        <f>IFERROR(1/J45*(Y45/H45),"0")</f>
        <v>9.3406593406593408E-2</v>
      </c>
    </row>
    <row r="46" spans="1:68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41.666666666666671</v>
      </c>
      <c r="Y46" s="41">
        <f>IFERROR(Y41/H41,"0")+IFERROR(Y42/H42,"0")+IFERROR(Y43/H43,"0")+IFERROR(Y44/H44,"0")+IFERROR(Y45/H45,"0")</f>
        <v>42</v>
      </c>
      <c r="Z46" s="41">
        <f>IFERROR(IF(Z41="",0,Z41),"0")+IFERROR(IF(Z42="",0,Z42),"0")+IFERROR(IF(Z43="",0,Z43),"0")+IFERROR(IF(Z44="",0,Z44),"0")+IFERROR(IF(Z45="",0,Z45),"0")</f>
        <v>0.27342</v>
      </c>
      <c r="AA46" s="64"/>
      <c r="AB46" s="64"/>
      <c r="AC46" s="64"/>
    </row>
    <row r="47" spans="1:68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80</v>
      </c>
      <c r="Y47" s="41">
        <f>IFERROR(SUM(Y41:Y45),"0")</f>
        <v>80.64</v>
      </c>
      <c r="Z47" s="40"/>
      <c r="AA47" s="64"/>
      <c r="AB47" s="64"/>
      <c r="AC47" s="64"/>
    </row>
    <row r="48" spans="1:68" ht="27.75" hidden="1" customHeight="1" x14ac:dyDescent="0.2">
      <c r="A48" s="701" t="s">
        <v>126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127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128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300</v>
      </c>
      <c r="Y51" s="53">
        <f>IFERROR(IF(X51="",0,CEILING((X51/$H51),1)*$H51),"")</f>
        <v>302.40000000000003</v>
      </c>
      <c r="Z51" s="39">
        <f>IFERROR(IF(Y51=0,"",ROUNDUP(Y51/H51,0)*0.01898),"")</f>
        <v>0.53144000000000002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311.38888888888891</v>
      </c>
      <c r="BN51" s="75">
        <f>IFERROR(Y51*I51/H51,"0")</f>
        <v>313.88</v>
      </c>
      <c r="BO51" s="75">
        <f>IFERROR(1/J51*(X51/H51),"0")</f>
        <v>0.43402777777777773</v>
      </c>
      <c r="BP51" s="75">
        <f>IFERROR(1/J51*(Y51/H51),"0")</f>
        <v>0.4375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240</v>
      </c>
      <c r="Y53" s="53">
        <f>IFERROR(IF(X53="",0,CEILING((X53/$H53),1)*$H53),"")</f>
        <v>240</v>
      </c>
      <c r="Z53" s="39">
        <f>IFERROR(IF(Y53=0,"",ROUNDUP(Y53/H53,0)*0.00902),"")</f>
        <v>0.54120000000000001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251.40000000000003</v>
      </c>
      <c r="BN53" s="75">
        <f>IFERROR(Y53*I53/H53,"0")</f>
        <v>251.40000000000003</v>
      </c>
      <c r="BO53" s="75">
        <f>IFERROR(1/J53*(X53/H53),"0")</f>
        <v>0.45454545454545459</v>
      </c>
      <c r="BP53" s="75">
        <f>IFERROR(1/J53*(Y53/H53),"0")</f>
        <v>0.45454545454545459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87.777777777777771</v>
      </c>
      <c r="Y55" s="41">
        <f>IFERROR(Y51/H51,"0")+IFERROR(Y52/H52,"0")+IFERROR(Y53/H53,"0")+IFERROR(Y54/H54,"0")</f>
        <v>88</v>
      </c>
      <c r="Z55" s="41">
        <f>IFERROR(IF(Z51="",0,Z51),"0")+IFERROR(IF(Z52="",0,Z52),"0")+IFERROR(IF(Z53="",0,Z53),"0")+IFERROR(IF(Z54="",0,Z54),"0")</f>
        <v>1.07264</v>
      </c>
      <c r="AA55" s="64"/>
      <c r="AB55" s="64"/>
      <c r="AC55" s="64"/>
    </row>
    <row r="56" spans="1:68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540</v>
      </c>
      <c r="Y56" s="41">
        <f>IFERROR(SUM(Y51:Y54),"0")</f>
        <v>542.40000000000009</v>
      </c>
      <c r="Z56" s="40"/>
      <c r="AA56" s="64"/>
      <c r="AB56" s="64"/>
      <c r="AC56" s="64"/>
    </row>
    <row r="57" spans="1:68" ht="16.5" hidden="1" customHeight="1" x14ac:dyDescent="0.25">
      <c r="A57" s="702" t="s">
        <v>143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128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150</v>
      </c>
      <c r="Y61" s="53">
        <f t="shared" si="0"/>
        <v>151.20000000000002</v>
      </c>
      <c r="Z61" s="39">
        <f>IFERROR(IF(Y61=0,"",ROUNDUP(Y61/H61,0)*0.01898),"")</f>
        <v>0.26572000000000001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155.69444444444446</v>
      </c>
      <c r="BN61" s="75">
        <f t="shared" si="2"/>
        <v>156.94</v>
      </c>
      <c r="BO61" s="75">
        <f t="shared" si="3"/>
        <v>0.21701388888888887</v>
      </c>
      <c r="BP61" s="75">
        <f t="shared" si="4"/>
        <v>0.21875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360</v>
      </c>
      <c r="Y66" s="53">
        <f t="shared" si="0"/>
        <v>360</v>
      </c>
      <c r="Z66" s="39">
        <f>IFERROR(IF(Y66=0,"",ROUNDUP(Y66/H66,0)*0.00902),"")</f>
        <v>0.72160000000000002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375.20000000000005</v>
      </c>
      <c r="BN66" s="75">
        <f t="shared" si="2"/>
        <v>375.20000000000005</v>
      </c>
      <c r="BO66" s="75">
        <f t="shared" si="3"/>
        <v>0.60606060606060608</v>
      </c>
      <c r="BP66" s="75">
        <f t="shared" si="4"/>
        <v>0.60606060606060608</v>
      </c>
    </row>
    <row r="67" spans="1:68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93.888888888888886</v>
      </c>
      <c r="Y67" s="41">
        <f>IFERROR(Y59/H59,"0")+IFERROR(Y60/H60,"0")+IFERROR(Y61/H61,"0")+IFERROR(Y62/H62,"0")+IFERROR(Y63/H63,"0")+IFERROR(Y64/H64,"0")+IFERROR(Y65/H65,"0")+IFERROR(Y66/H66,"0")</f>
        <v>94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0.98731999999999998</v>
      </c>
      <c r="AA67" s="64"/>
      <c r="AB67" s="64"/>
      <c r="AC67" s="64"/>
    </row>
    <row r="68" spans="1:68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510</v>
      </c>
      <c r="Y68" s="41">
        <f>IFERROR(SUM(Y59:Y66),"0")</f>
        <v>511.20000000000005</v>
      </c>
      <c r="Z68" s="40"/>
      <c r="AA68" s="64"/>
      <c r="AB68" s="64"/>
      <c r="AC68" s="64"/>
    </row>
    <row r="69" spans="1:68" ht="14.25" hidden="1" customHeight="1" x14ac:dyDescent="0.25">
      <c r="A69" s="703" t="s">
        <v>164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60</v>
      </c>
      <c r="Y70" s="53">
        <f>IFERROR(IF(X70="",0,CEILING((X70/$H70),1)*$H70),"")</f>
        <v>64.800000000000011</v>
      </c>
      <c r="Z70" s="39">
        <f>IFERROR(IF(Y70=0,"",ROUNDUP(Y70/H70,0)*0.01898),"")</f>
        <v>0.11388000000000001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62.277777777777779</v>
      </c>
      <c r="BN70" s="75">
        <f>IFERROR(Y70*I70/H70,"0")</f>
        <v>67.260000000000005</v>
      </c>
      <c r="BO70" s="75">
        <f>IFERROR(1/J70*(X70/H70),"0")</f>
        <v>8.6805555555555552E-2</v>
      </c>
      <c r="BP70" s="75">
        <f>IFERROR(1/J70*(Y70/H70),"0")</f>
        <v>9.3750000000000014E-2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112.5</v>
      </c>
      <c r="Y73" s="53">
        <f>IFERROR(IF(X73="",0,CEILING((X73/$H73),1)*$H73),"")</f>
        <v>113.4</v>
      </c>
      <c r="Z73" s="39">
        <f>IFERROR(IF(Y73=0,"",ROUNDUP(Y73/H73,0)*0.00651),"")</f>
        <v>0.27342</v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119.99999999999999</v>
      </c>
      <c r="BN73" s="75">
        <f>IFERROR(Y73*I73/H73,"0")</f>
        <v>120.95999999999998</v>
      </c>
      <c r="BO73" s="75">
        <f>IFERROR(1/J73*(X73/H73),"0")</f>
        <v>0.22893772893772893</v>
      </c>
      <c r="BP73" s="75">
        <f>IFERROR(1/J73*(Y73/H73),"0")</f>
        <v>0.23076923076923078</v>
      </c>
    </row>
    <row r="74" spans="1:68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47.222222222222221</v>
      </c>
      <c r="Y74" s="41">
        <f>IFERROR(Y70/H70,"0")+IFERROR(Y71/H71,"0")+IFERROR(Y72/H72,"0")+IFERROR(Y73/H73,"0")</f>
        <v>48</v>
      </c>
      <c r="Z74" s="41">
        <f>IFERROR(IF(Z70="",0,Z70),"0")+IFERROR(IF(Z71="",0,Z71),"0")+IFERROR(IF(Z72="",0,Z72),"0")+IFERROR(IF(Z73="",0,Z73),"0")</f>
        <v>0.38729999999999998</v>
      </c>
      <c r="AA74" s="64"/>
      <c r="AB74" s="64"/>
      <c r="AC74" s="64"/>
    </row>
    <row r="75" spans="1:68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172.5</v>
      </c>
      <c r="Y75" s="41">
        <f>IFERROR(SUM(Y70:Y73),"0")</f>
        <v>178.20000000000002</v>
      </c>
      <c r="Z75" s="40"/>
      <c r="AA75" s="64"/>
      <c r="AB75" s="64"/>
      <c r="AC75" s="64"/>
    </row>
    <row r="76" spans="1:68" ht="14.25" hidden="1" customHeight="1" x14ac:dyDescent="0.25">
      <c r="A76" s="703" t="s">
        <v>86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181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30</v>
      </c>
      <c r="Y82" s="53">
        <f>IFERROR(IF(X82="",0,CEILING((X82/$H82),1)*$H82),"")</f>
        <v>31.2</v>
      </c>
      <c r="Z82" s="39">
        <f>IFERROR(IF(Y82=0,"",ROUNDUP(Y82/H82,0)*0.01898),"")</f>
        <v>7.5920000000000001E-2</v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31.57692307692308</v>
      </c>
      <c r="BN82" s="75">
        <f>IFERROR(Y82*I82/H82,"0")</f>
        <v>32.840000000000003</v>
      </c>
      <c r="BO82" s="75">
        <f>IFERROR(1/J82*(X82/H82),"0")</f>
        <v>6.0096153846153848E-2</v>
      </c>
      <c r="BP82" s="75">
        <f>IFERROR(1/J82*(Y82/H82),"0")</f>
        <v>6.25E-2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3.8461538461538463</v>
      </c>
      <c r="Y84" s="41">
        <f>IFERROR(Y82/H82,"0")+IFERROR(Y83/H83,"0")</f>
        <v>4</v>
      </c>
      <c r="Z84" s="41">
        <f>IFERROR(IF(Z82="",0,Z82),"0")+IFERROR(IF(Z83="",0,Z83),"0")</f>
        <v>7.5920000000000001E-2</v>
      </c>
      <c r="AA84" s="64"/>
      <c r="AB84" s="64"/>
      <c r="AC84" s="64"/>
    </row>
    <row r="85" spans="1:68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30</v>
      </c>
      <c r="Y85" s="41">
        <f>IFERROR(SUM(Y82:Y83),"0")</f>
        <v>31.2</v>
      </c>
      <c r="Z85" s="40"/>
      <c r="AA85" s="64"/>
      <c r="AB85" s="64"/>
      <c r="AC85" s="64"/>
    </row>
    <row r="86" spans="1:68" ht="16.5" hidden="1" customHeight="1" x14ac:dyDescent="0.25">
      <c r="A86" s="702" t="s">
        <v>188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128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120</v>
      </c>
      <c r="Y88" s="53">
        <f>IFERROR(IF(X88="",0,CEILING((X88/$H88),1)*$H88),"")</f>
        <v>129.60000000000002</v>
      </c>
      <c r="Z88" s="39">
        <f>IFERROR(IF(Y88=0,"",ROUNDUP(Y88/H88,0)*0.01898),"")</f>
        <v>0.22776000000000002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124.55555555555556</v>
      </c>
      <c r="BN88" s="75">
        <f>IFERROR(Y88*I88/H88,"0")</f>
        <v>134.52000000000001</v>
      </c>
      <c r="BO88" s="75">
        <f>IFERROR(1/J88*(X88/H88),"0")</f>
        <v>0.1736111111111111</v>
      </c>
      <c r="BP88" s="75">
        <f>IFERROR(1/J88*(Y88/H88),"0")</f>
        <v>0.18750000000000003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405</v>
      </c>
      <c r="Y91" s="53">
        <f>IFERROR(IF(X91="",0,CEILING((X91/$H91),1)*$H91),"")</f>
        <v>405</v>
      </c>
      <c r="Z91" s="39">
        <f>IFERROR(IF(Y91=0,"",ROUNDUP(Y91/H91,0)*0.00902),"")</f>
        <v>0.81180000000000008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422.1</v>
      </c>
      <c r="BN91" s="75">
        <f>IFERROR(Y91*I91/H91,"0")</f>
        <v>422.1</v>
      </c>
      <c r="BO91" s="75">
        <f>IFERROR(1/J91*(X91/H91),"0")</f>
        <v>0.68181818181818188</v>
      </c>
      <c r="BP91" s="75">
        <f>IFERROR(1/J91*(Y91/H91),"0")</f>
        <v>0.68181818181818188</v>
      </c>
    </row>
    <row r="92" spans="1:68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101.11111111111111</v>
      </c>
      <c r="Y92" s="41">
        <f>IFERROR(Y88/H88,"0")+IFERROR(Y89/H89,"0")+IFERROR(Y90/H90,"0")+IFERROR(Y91/H91,"0")</f>
        <v>102</v>
      </c>
      <c r="Z92" s="41">
        <f>IFERROR(IF(Z88="",0,Z88),"0")+IFERROR(IF(Z89="",0,Z89),"0")+IFERROR(IF(Z90="",0,Z90),"0")+IFERROR(IF(Z91="",0,Z91),"0")</f>
        <v>1.03956</v>
      </c>
      <c r="AA92" s="64"/>
      <c r="AB92" s="64"/>
      <c r="AC92" s="64"/>
    </row>
    <row r="93" spans="1:68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525</v>
      </c>
      <c r="Y93" s="41">
        <f>IFERROR(SUM(Y88:Y91),"0")</f>
        <v>534.6</v>
      </c>
      <c r="Z93" s="40"/>
      <c r="AA93" s="64"/>
      <c r="AB93" s="64"/>
      <c r="AC93" s="64"/>
    </row>
    <row r="94" spans="1:68" ht="14.25" hidden="1" customHeight="1" x14ac:dyDescent="0.25">
      <c r="A94" s="703" t="s">
        <v>86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200</v>
      </c>
      <c r="Y95" s="53">
        <f>IFERROR(IF(X95="",0,CEILING((X95/$H95),1)*$H95),"")</f>
        <v>202.5</v>
      </c>
      <c r="Z95" s="39">
        <f>IFERROR(IF(Y95=0,"",ROUNDUP(Y95/H95,0)*0.01898),"")</f>
        <v>0.47450000000000003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212.19753086419755</v>
      </c>
      <c r="BN95" s="75">
        <f>IFERROR(Y95*I95/H95,"0")</f>
        <v>214.85</v>
      </c>
      <c r="BO95" s="75">
        <f>IFERROR(1/J95*(X95/H95),"0")</f>
        <v>0.38580246913580246</v>
      </c>
      <c r="BP95" s="75">
        <f>IFERROR(1/J95*(Y95/H95),"0")</f>
        <v>0.390625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585</v>
      </c>
      <c r="Y97" s="53">
        <f>IFERROR(IF(X97="",0,CEILING((X97/$H97),1)*$H97),"")</f>
        <v>585.90000000000009</v>
      </c>
      <c r="Z97" s="39">
        <f>IFERROR(IF(Y97=0,"",ROUNDUP(Y97/H97,0)*0.00651),"")</f>
        <v>1.4126700000000001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639.6</v>
      </c>
      <c r="BN97" s="75">
        <f>IFERROR(Y97*I97/H97,"0")</f>
        <v>640.58400000000006</v>
      </c>
      <c r="BO97" s="75">
        <f>IFERROR(1/J97*(X97/H97),"0")</f>
        <v>1.1904761904761905</v>
      </c>
      <c r="BP97" s="75">
        <f>IFERROR(1/J97*(Y97/H97),"0")</f>
        <v>1.1923076923076925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241.35802469135803</v>
      </c>
      <c r="Y99" s="41">
        <f>IFERROR(Y95/H95,"0")+IFERROR(Y96/H96,"0")+IFERROR(Y97/H97,"0")+IFERROR(Y98/H98,"0")</f>
        <v>242.00000000000003</v>
      </c>
      <c r="Z99" s="41">
        <f>IFERROR(IF(Z95="",0,Z95),"0")+IFERROR(IF(Z96="",0,Z96),"0")+IFERROR(IF(Z97="",0,Z97),"0")+IFERROR(IF(Z98="",0,Z98),"0")</f>
        <v>1.8871700000000002</v>
      </c>
      <c r="AA99" s="64"/>
      <c r="AB99" s="64"/>
      <c r="AC99" s="64"/>
    </row>
    <row r="100" spans="1:68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785</v>
      </c>
      <c r="Y100" s="41">
        <f>IFERROR(SUM(Y95:Y98),"0")</f>
        <v>788.40000000000009</v>
      </c>
      <c r="Z100" s="40"/>
      <c r="AA100" s="64"/>
      <c r="AB100" s="64"/>
      <c r="AC100" s="64"/>
    </row>
    <row r="101" spans="1:68" ht="16.5" hidden="1" customHeight="1" x14ac:dyDescent="0.25">
      <c r="A101" s="702" t="s">
        <v>209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128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30</v>
      </c>
      <c r="Y103" s="53">
        <f t="shared" ref="Y103:Y108" si="5">IFERROR(IF(X103="",0,CEILING((X103/$H103),1)*$H103),"")</f>
        <v>32.400000000000006</v>
      </c>
      <c r="Z103" s="39">
        <f>IFERROR(IF(Y103=0,"",ROUNDUP(Y103/H103,0)*0.01898),"")</f>
        <v>5.6940000000000004E-2</v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31.138888888888889</v>
      </c>
      <c r="BN103" s="75">
        <f t="shared" ref="BN103:BN108" si="7">IFERROR(Y103*I103/H103,"0")</f>
        <v>33.630000000000003</v>
      </c>
      <c r="BO103" s="75">
        <f t="shared" ref="BO103:BO108" si="8">IFERROR(1/J103*(X103/H103),"0")</f>
        <v>4.3402777777777776E-2</v>
      </c>
      <c r="BP103" s="75">
        <f t="shared" ref="BP103:BP108" si="9">IFERROR(1/J103*(Y103/H103),"0")</f>
        <v>4.6875000000000007E-2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450</v>
      </c>
      <c r="Y107" s="53">
        <f t="shared" si="5"/>
        <v>450</v>
      </c>
      <c r="Z107" s="39">
        <f>IFERROR(IF(Y107=0,"",ROUNDUP(Y107/H107,0)*0.00902),"")</f>
        <v>0.90200000000000002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469</v>
      </c>
      <c r="BN107" s="75">
        <f t="shared" si="7"/>
        <v>469</v>
      </c>
      <c r="BO107" s="75">
        <f t="shared" si="8"/>
        <v>0.75757575757575757</v>
      </c>
      <c r="BP107" s="75">
        <f t="shared" si="9"/>
        <v>0.75757575757575757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102.77777777777777</v>
      </c>
      <c r="Y109" s="41">
        <f>IFERROR(Y103/H103,"0")+IFERROR(Y104/H104,"0")+IFERROR(Y105/H105,"0")+IFERROR(Y106/H106,"0")+IFERROR(Y107/H107,"0")+IFERROR(Y108/H108,"0")</f>
        <v>103</v>
      </c>
      <c r="Z109" s="41">
        <f>IFERROR(IF(Z103="",0,Z103),"0")+IFERROR(IF(Z104="",0,Z104),"0")+IFERROR(IF(Z105="",0,Z105),"0")+IFERROR(IF(Z106="",0,Z106),"0")+IFERROR(IF(Z107="",0,Z107),"0")+IFERROR(IF(Z108="",0,Z108),"0")</f>
        <v>0.95894000000000001</v>
      </c>
      <c r="AA109" s="64"/>
      <c r="AB109" s="64"/>
      <c r="AC109" s="64"/>
    </row>
    <row r="110" spans="1:68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480</v>
      </c>
      <c r="Y110" s="41">
        <f>IFERROR(SUM(Y103:Y108),"0")</f>
        <v>482.4</v>
      </c>
      <c r="Z110" s="40"/>
      <c r="AA110" s="64"/>
      <c r="AB110" s="64"/>
      <c r="AC110" s="64"/>
    </row>
    <row r="111" spans="1:68" ht="14.25" hidden="1" customHeight="1" x14ac:dyDescent="0.25">
      <c r="A111" s="703" t="s">
        <v>164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86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800</v>
      </c>
      <c r="Y120" s="53">
        <f>IFERROR(IF(X120="",0,CEILING((X120/$H120),1)*$H120),"")</f>
        <v>801.9</v>
      </c>
      <c r="Z120" s="39">
        <f>IFERROR(IF(Y120=0,"",ROUNDUP(Y120/H120,0)*0.01898),"")</f>
        <v>1.8790200000000001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848.19753086419757</v>
      </c>
      <c r="BN120" s="75">
        <f>IFERROR(Y120*I120/H120,"0")</f>
        <v>850.21199999999988</v>
      </c>
      <c r="BO120" s="75">
        <f>IFERROR(1/J120*(X120/H120),"0")</f>
        <v>1.5432098765432098</v>
      </c>
      <c r="BP120" s="75">
        <f>IFERROR(1/J120*(Y120/H120),"0")</f>
        <v>1.546875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540</v>
      </c>
      <c r="Y122" s="53">
        <f>IFERROR(IF(X122="",0,CEILING((X122/$H122),1)*$H122),"")</f>
        <v>540</v>
      </c>
      <c r="Z122" s="39">
        <f>IFERROR(IF(Y122=0,"",ROUNDUP(Y122/H122,0)*0.00651),"")</f>
        <v>1.302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590.4</v>
      </c>
      <c r="BN122" s="75">
        <f>IFERROR(Y122*I122/H122,"0")</f>
        <v>590.4</v>
      </c>
      <c r="BO122" s="75">
        <f>IFERROR(1/J122*(X122/H122),"0")</f>
        <v>1.098901098901099</v>
      </c>
      <c r="BP122" s="75">
        <f>IFERROR(1/J122*(Y122/H122),"0")</f>
        <v>1.098901098901099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30</v>
      </c>
      <c r="Y123" s="53">
        <f>IFERROR(IF(X123="",0,CEILING((X123/$H123),1)*$H123),"")</f>
        <v>30.6</v>
      </c>
      <c r="Z123" s="39">
        <f>IFERROR(IF(Y123=0,"",ROUNDUP(Y123/H123,0)*0.00651),"")</f>
        <v>0.11067</v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33</v>
      </c>
      <c r="BN123" s="75">
        <f>IFERROR(Y123*I123/H123,"0")</f>
        <v>33.659999999999997</v>
      </c>
      <c r="BO123" s="75">
        <f>IFERROR(1/J123*(X123/H123),"0")</f>
        <v>9.1575091575091583E-2</v>
      </c>
      <c r="BP123" s="75">
        <f>IFERROR(1/J123*(Y123/H123),"0")</f>
        <v>9.3406593406593408E-2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315.4320987654321</v>
      </c>
      <c r="Y124" s="41">
        <f>IFERROR(Y120/H120,"0")+IFERROR(Y121/H121,"0")+IFERROR(Y122/H122,"0")+IFERROR(Y123/H123,"0")</f>
        <v>316</v>
      </c>
      <c r="Z124" s="41">
        <f>IFERROR(IF(Z120="",0,Z120),"0")+IFERROR(IF(Z121="",0,Z121),"0")+IFERROR(IF(Z122="",0,Z122),"0")+IFERROR(IF(Z123="",0,Z123),"0")</f>
        <v>3.29169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1370</v>
      </c>
      <c r="Y125" s="41">
        <f>IFERROR(SUM(Y120:Y123),"0")</f>
        <v>1372.5</v>
      </c>
      <c r="Z125" s="40"/>
      <c r="AA125" s="64"/>
      <c r="AB125" s="64"/>
      <c r="AC125" s="64"/>
    </row>
    <row r="126" spans="1:68" ht="14.25" hidden="1" customHeight="1" x14ac:dyDescent="0.25">
      <c r="A126" s="703" t="s">
        <v>181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33</v>
      </c>
      <c r="Y127" s="53">
        <f>IFERROR(IF(X127="",0,CEILING((X127/$H127),1)*$H127),"")</f>
        <v>33.659999999999997</v>
      </c>
      <c r="Z127" s="39">
        <f>IFERROR(IF(Y127=0,"",ROUNDUP(Y127/H127,0)*0.00651),"")</f>
        <v>0.11067</v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37.299999999999997</v>
      </c>
      <c r="BN127" s="75">
        <f>IFERROR(Y127*I127/H127,"0")</f>
        <v>38.045999999999992</v>
      </c>
      <c r="BO127" s="75">
        <f>IFERROR(1/J127*(X127/H127),"0")</f>
        <v>9.1575091575091583E-2</v>
      </c>
      <c r="BP127" s="75">
        <f>IFERROR(1/J127*(Y127/H127),"0")</f>
        <v>9.3406593406593408E-2</v>
      </c>
    </row>
    <row r="128" spans="1:68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16.666666666666668</v>
      </c>
      <c r="Y128" s="41">
        <f>IFERROR(Y127/H127,"0")</f>
        <v>17</v>
      </c>
      <c r="Z128" s="41">
        <f>IFERROR(IF(Z127="",0,Z127),"0")</f>
        <v>0.11067</v>
      </c>
      <c r="AA128" s="64"/>
      <c r="AB128" s="64"/>
      <c r="AC128" s="64"/>
    </row>
    <row r="129" spans="1:68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33</v>
      </c>
      <c r="Y129" s="41">
        <f>IFERROR(SUM(Y127:Y127),"0")</f>
        <v>33.659999999999997</v>
      </c>
      <c r="Z129" s="40"/>
      <c r="AA129" s="64"/>
      <c r="AB129" s="64"/>
      <c r="AC129" s="64"/>
    </row>
    <row r="130" spans="1:68" ht="16.5" hidden="1" customHeight="1" x14ac:dyDescent="0.25">
      <c r="A130" s="702" t="s">
        <v>248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128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254</v>
      </c>
      <c r="B133" s="60" t="s">
        <v>255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56</v>
      </c>
      <c r="Y135" s="53">
        <f>IFERROR(IF(X135="",0,CEILING((X135/$H135),1)*$H135),"")</f>
        <v>57.6</v>
      </c>
      <c r="Z135" s="39">
        <f>IFERROR(IF(Y135=0,"",ROUNDUP(Y135/H135,0)*0.00651),"")</f>
        <v>0.11718000000000001</v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59.15</v>
      </c>
      <c r="BN135" s="75">
        <f>IFERROR(Y135*I135/H135,"0")</f>
        <v>60.839999999999996</v>
      </c>
      <c r="BO135" s="75">
        <f>IFERROR(1/J135*(X135/H135),"0")</f>
        <v>9.6153846153846159E-2</v>
      </c>
      <c r="BP135" s="75">
        <f>IFERROR(1/J135*(Y135/H135),"0")</f>
        <v>9.8901098901098911E-2</v>
      </c>
    </row>
    <row r="136" spans="1:68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17.5</v>
      </c>
      <c r="Y136" s="41">
        <f>IFERROR(Y132/H132,"0")+IFERROR(Y133/H133,"0")+IFERROR(Y134/H134,"0")+IFERROR(Y135/H135,"0")</f>
        <v>18</v>
      </c>
      <c r="Z136" s="41">
        <f>IFERROR(IF(Z132="",0,Z132),"0")+IFERROR(IF(Z133="",0,Z133),"0")+IFERROR(IF(Z134="",0,Z134),"0")+IFERROR(IF(Z135="",0,Z135),"0")</f>
        <v>0.11718000000000001</v>
      </c>
      <c r="AA136" s="64"/>
      <c r="AB136" s="64"/>
      <c r="AC136" s="64"/>
    </row>
    <row r="137" spans="1:68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56</v>
      </c>
      <c r="Y137" s="41">
        <f>IFERROR(SUM(Y132:Y135),"0")</f>
        <v>57.6</v>
      </c>
      <c r="Z137" s="40"/>
      <c r="AA137" s="64"/>
      <c r="AB137" s="64"/>
      <c r="AC137" s="64"/>
    </row>
    <row r="138" spans="1:68" ht="14.25" hidden="1" customHeight="1" x14ac:dyDescent="0.25">
      <c r="A138" s="703" t="s">
        <v>77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260</v>
      </c>
      <c r="B139" s="60" t="s">
        <v>261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49</v>
      </c>
      <c r="Y141" s="53">
        <f>IFERROR(IF(X141="",0,CEILING((X141/$H141),1)*$H141),"")</f>
        <v>50.4</v>
      </c>
      <c r="Z141" s="39">
        <f>IFERROR(IF(Y141=0,"",ROUNDUP(Y141/H141,0)*0.00651),"")</f>
        <v>0.11718000000000001</v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53.69</v>
      </c>
      <c r="BN141" s="75">
        <f>IFERROR(Y141*I141/H141,"0")</f>
        <v>55.223999999999997</v>
      </c>
      <c r="BO141" s="75">
        <f>IFERROR(1/J141*(X141/H141),"0")</f>
        <v>9.6153846153846159E-2</v>
      </c>
      <c r="BP141" s="75">
        <f>IFERROR(1/J141*(Y141/H141),"0")</f>
        <v>9.8901098901098911E-2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17.5</v>
      </c>
      <c r="Y143" s="41">
        <f>IFERROR(Y139/H139,"0")+IFERROR(Y140/H140,"0")+IFERROR(Y141/H141,"0")+IFERROR(Y142/H142,"0")</f>
        <v>18</v>
      </c>
      <c r="Z143" s="41">
        <f>IFERROR(IF(Z139="",0,Z139),"0")+IFERROR(IF(Z140="",0,Z140),"0")+IFERROR(IF(Z141="",0,Z141),"0")+IFERROR(IF(Z142="",0,Z142),"0")</f>
        <v>0.11718000000000001</v>
      </c>
      <c r="AA143" s="64"/>
      <c r="AB143" s="64"/>
      <c r="AC143" s="64"/>
    </row>
    <row r="144" spans="1:68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49</v>
      </c>
      <c r="Y144" s="41">
        <f>IFERROR(SUM(Y139:Y142),"0")</f>
        <v>50.4</v>
      </c>
      <c r="Z144" s="40"/>
      <c r="AA144" s="64"/>
      <c r="AB144" s="64"/>
      <c r="AC144" s="64"/>
    </row>
    <row r="145" spans="1:68" ht="14.25" hidden="1" customHeight="1" x14ac:dyDescent="0.25">
      <c r="A145" s="703" t="s">
        <v>86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49.5</v>
      </c>
      <c r="Y148" s="53">
        <f>IFERROR(IF(X148="",0,CEILING((X148/$H148),1)*$H148),"")</f>
        <v>50.160000000000004</v>
      </c>
      <c r="Z148" s="39">
        <f>IFERROR(IF(Y148=0,"",ROUNDUP(Y148/H148,0)*0.00651),"")</f>
        <v>0.12369000000000001</v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54.524999999999999</v>
      </c>
      <c r="BN148" s="75">
        <f>IFERROR(Y148*I148/H148,"0")</f>
        <v>55.252000000000002</v>
      </c>
      <c r="BO148" s="75">
        <f>IFERROR(1/J148*(X148/H148),"0")</f>
        <v>0.10302197802197803</v>
      </c>
      <c r="BP148" s="75">
        <f>IFERROR(1/J148*(Y148/H148),"0")</f>
        <v>0.1043956043956044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18.75</v>
      </c>
      <c r="Y150" s="41">
        <f>IFERROR(Y146/H146,"0")+IFERROR(Y147/H147,"0")+IFERROR(Y148/H148,"0")+IFERROR(Y149/H149,"0")</f>
        <v>19</v>
      </c>
      <c r="Z150" s="41">
        <f>IFERROR(IF(Z146="",0,Z146),"0")+IFERROR(IF(Z147="",0,Z147),"0")+IFERROR(IF(Z148="",0,Z148),"0")+IFERROR(IF(Z149="",0,Z149),"0")</f>
        <v>0.12369000000000001</v>
      </c>
      <c r="AA150" s="64"/>
      <c r="AB150" s="64"/>
      <c r="AC150" s="64"/>
    </row>
    <row r="151" spans="1:68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49.5</v>
      </c>
      <c r="Y151" s="41">
        <f>IFERROR(SUM(Y146:Y149),"0")</f>
        <v>50.160000000000004</v>
      </c>
      <c r="Z151" s="40"/>
      <c r="AA151" s="64"/>
      <c r="AB151" s="64"/>
      <c r="AC151" s="64"/>
    </row>
    <row r="152" spans="1:68" ht="16.5" hidden="1" customHeight="1" x14ac:dyDescent="0.25">
      <c r="A152" s="702" t="s">
        <v>276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86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104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126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128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164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789" t="s">
        <v>305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18</v>
      </c>
      <c r="Y173" s="53">
        <f>IFERROR(IF(X173="",0,CEILING((X173/$H173),1)*$H173),"")</f>
        <v>18</v>
      </c>
      <c r="Z173" s="39">
        <f>IFERROR(IF(Y173=0,"",ROUNDUP(Y173/H173,0)*0.00556),"")</f>
        <v>0.13899999999999998</v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21.25</v>
      </c>
      <c r="BN173" s="75">
        <f>IFERROR(Y173*I173/H173,"0")</f>
        <v>21.25</v>
      </c>
      <c r="BO173" s="75">
        <f>IFERROR(1/J173*(X173/H173),"0")</f>
        <v>9.9206349206349201E-2</v>
      </c>
      <c r="BP173" s="75">
        <f>IFERROR(1/J173*(Y173/H173),"0")</f>
        <v>9.9206349206349201E-2</v>
      </c>
    </row>
    <row r="174" spans="1:68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25</v>
      </c>
      <c r="Y174" s="41">
        <f>IFERROR(Y172/H172,"0")+IFERROR(Y173/H173,"0")</f>
        <v>25</v>
      </c>
      <c r="Z174" s="41">
        <f>IFERROR(IF(Z172="",0,Z172),"0")+IFERROR(IF(Z173="",0,Z173),"0")</f>
        <v>0.13899999999999998</v>
      </c>
      <c r="AA174" s="64"/>
      <c r="AB174" s="64"/>
      <c r="AC174" s="64"/>
    </row>
    <row r="175" spans="1:68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18</v>
      </c>
      <c r="Y175" s="41">
        <f>IFERROR(SUM(Y172:Y173),"0")</f>
        <v>18</v>
      </c>
      <c r="Z175" s="40"/>
      <c r="AA175" s="64"/>
      <c r="AB175" s="64"/>
      <c r="AC175" s="64"/>
    </row>
    <row r="176" spans="1:68" ht="14.25" hidden="1" customHeight="1" x14ac:dyDescent="0.25">
      <c r="A176" s="703" t="s">
        <v>77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300</v>
      </c>
      <c r="Y177" s="53">
        <f t="shared" ref="Y177:Y187" si="10">IFERROR(IF(X177="",0,CEILING((X177/$H177),1)*$H177),"")</f>
        <v>301</v>
      </c>
      <c r="Z177" s="39">
        <f>IFERROR(IF(Y177=0,"",ROUNDUP(Y177/H177,0)*0.00902),"")</f>
        <v>0.77571999999999997</v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316.28571428571428</v>
      </c>
      <c r="BN177" s="75">
        <f t="shared" ref="BN177:BN187" si="12">IFERROR(Y177*I177/H177,"0")</f>
        <v>317.34000000000003</v>
      </c>
      <c r="BO177" s="75">
        <f t="shared" ref="BO177:BO187" si="13">IFERROR(1/J177*(X177/H177),"0")</f>
        <v>0.64935064935064934</v>
      </c>
      <c r="BP177" s="75">
        <f t="shared" ref="BP177:BP187" si="14">IFERROR(1/J177*(Y177/H177),"0")</f>
        <v>0.65151515151515149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300</v>
      </c>
      <c r="Y179" s="53">
        <f t="shared" si="10"/>
        <v>301</v>
      </c>
      <c r="Z179" s="39">
        <f>IFERROR(IF(Y179=0,"",ROUNDUP(Y179/H179,0)*0.00902),"")</f>
        <v>0.77571999999999997</v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316.28571428571428</v>
      </c>
      <c r="BN179" s="75">
        <f t="shared" si="12"/>
        <v>317.34000000000003</v>
      </c>
      <c r="BO179" s="75">
        <f t="shared" si="13"/>
        <v>0.64935064935064934</v>
      </c>
      <c r="BP179" s="75">
        <f t="shared" si="14"/>
        <v>0.65151515151515149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300</v>
      </c>
      <c r="Y180" s="53">
        <f t="shared" si="10"/>
        <v>301</v>
      </c>
      <c r="Z180" s="39">
        <f>IFERROR(IF(Y180=0,"",ROUNDUP(Y180/H180,0)*0.00902),"")</f>
        <v>0.77571999999999997</v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316.28571428571428</v>
      </c>
      <c r="BN180" s="75">
        <f t="shared" si="12"/>
        <v>317.34000000000003</v>
      </c>
      <c r="BO180" s="75">
        <f t="shared" si="13"/>
        <v>0.64935064935064934</v>
      </c>
      <c r="BP180" s="75">
        <f t="shared" si="14"/>
        <v>0.65151515151515149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9</v>
      </c>
      <c r="Y181" s="53">
        <f t="shared" si="10"/>
        <v>9</v>
      </c>
      <c r="Z181" s="39">
        <f>IFERROR(IF(Y181=0,"",ROUNDUP(Y181/H181,0)*0.00417),"")</f>
        <v>4.1700000000000001E-2</v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11.1</v>
      </c>
      <c r="BN181" s="75">
        <f t="shared" si="12"/>
        <v>11.1</v>
      </c>
      <c r="BO181" s="75">
        <f t="shared" si="13"/>
        <v>2.976190476190476E-2</v>
      </c>
      <c r="BP181" s="75">
        <f t="shared" si="14"/>
        <v>2.976190476190476E-2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112.00000000000001</v>
      </c>
      <c r="Y182" s="53">
        <f t="shared" si="10"/>
        <v>112.56</v>
      </c>
      <c r="Z182" s="39">
        <f>IFERROR(IF(Y182=0,"",ROUNDUP(Y182/H182,0)*0.00502),"")</f>
        <v>0.33634000000000003</v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118.6666666666667</v>
      </c>
      <c r="BN182" s="75">
        <f t="shared" si="12"/>
        <v>119.26000000000002</v>
      </c>
      <c r="BO182" s="75">
        <f t="shared" si="13"/>
        <v>0.28490028490028496</v>
      </c>
      <c r="BP182" s="75">
        <f t="shared" si="14"/>
        <v>0.28632478632478636</v>
      </c>
    </row>
    <row r="183" spans="1:68" ht="27" customHeight="1" x14ac:dyDescent="0.25">
      <c r="A183" s="60" t="s">
        <v>327</v>
      </c>
      <c r="B183" s="60" t="s">
        <v>328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2.6999999999999997</v>
      </c>
      <c r="Y183" s="53">
        <f t="shared" si="10"/>
        <v>2.7</v>
      </c>
      <c r="Z183" s="39">
        <f>IFERROR(IF(Y183=0,"",ROUNDUP(Y183/H183,0)*0.00417),"")</f>
        <v>1.251E-2</v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3.3299999999999996</v>
      </c>
      <c r="BN183" s="75">
        <f t="shared" si="12"/>
        <v>3.33</v>
      </c>
      <c r="BO183" s="75">
        <f t="shared" si="13"/>
        <v>8.9285714285714263E-3</v>
      </c>
      <c r="BP183" s="75">
        <f t="shared" si="14"/>
        <v>8.9285714285714281E-3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112.00000000000001</v>
      </c>
      <c r="Y185" s="53">
        <f t="shared" si="10"/>
        <v>112.56</v>
      </c>
      <c r="Z185" s="39">
        <f>IFERROR(IF(Y185=0,"",ROUNDUP(Y185/H185,0)*0.00502),"")</f>
        <v>0.33634000000000003</v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118.6666666666667</v>
      </c>
      <c r="BN185" s="75">
        <f t="shared" si="12"/>
        <v>119.26000000000002</v>
      </c>
      <c r="BO185" s="75">
        <f t="shared" si="13"/>
        <v>0.28490028490028496</v>
      </c>
      <c r="BP185" s="75">
        <f t="shared" si="14"/>
        <v>0.28632478632478636</v>
      </c>
    </row>
    <row r="186" spans="1:68" ht="27" customHeight="1" x14ac:dyDescent="0.25">
      <c r="A186" s="60" t="s">
        <v>333</v>
      </c>
      <c r="B186" s="60" t="s">
        <v>334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2.6999999999999997</v>
      </c>
      <c r="Y186" s="53">
        <f t="shared" si="10"/>
        <v>2.7</v>
      </c>
      <c r="Z186" s="39">
        <f>IFERROR(IF(Y186=0,"",ROUNDUP(Y186/H186,0)*0.00417),"")</f>
        <v>1.251E-2</v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2.9999999999999996</v>
      </c>
      <c r="BN186" s="75">
        <f t="shared" si="12"/>
        <v>3</v>
      </c>
      <c r="BO186" s="75">
        <f t="shared" si="13"/>
        <v>8.9285714285714263E-3</v>
      </c>
      <c r="BP186" s="75">
        <f t="shared" si="14"/>
        <v>8.9285714285714281E-3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112.00000000000001</v>
      </c>
      <c r="Y187" s="53">
        <f t="shared" si="10"/>
        <v>112.56</v>
      </c>
      <c r="Z187" s="39">
        <f>IFERROR(IF(Y187=0,"",ROUNDUP(Y187/H187,0)*0.00502),"")</f>
        <v>0.33634000000000003</v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118.6666666666667</v>
      </c>
      <c r="BN187" s="75">
        <f t="shared" si="12"/>
        <v>119.26000000000002</v>
      </c>
      <c r="BO187" s="75">
        <f t="shared" si="13"/>
        <v>0.28490028490028496</v>
      </c>
      <c r="BP187" s="75">
        <f t="shared" si="14"/>
        <v>0.28632478632478636</v>
      </c>
    </row>
    <row r="188" spans="1:68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473.14285714285717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475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3.4028999999999994</v>
      </c>
      <c r="AA188" s="64"/>
      <c r="AB188" s="64"/>
      <c r="AC188" s="64"/>
    </row>
    <row r="189" spans="1:68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1250.4000000000001</v>
      </c>
      <c r="Y189" s="41">
        <f>IFERROR(SUM(Y177:Y187),"0")</f>
        <v>1255.08</v>
      </c>
      <c r="Z189" s="40"/>
      <c r="AA189" s="64"/>
      <c r="AB189" s="64"/>
      <c r="AC189" s="64"/>
    </row>
    <row r="190" spans="1:68" ht="14.25" hidden="1" customHeight="1" x14ac:dyDescent="0.25">
      <c r="A190" s="703" t="s">
        <v>86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104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354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358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359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128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374</v>
      </c>
      <c r="B213" s="60" t="s">
        <v>375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380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164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77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30</v>
      </c>
      <c r="Y223" s="53">
        <f t="shared" ref="Y223:Y236" si="21">IFERROR(IF(X223="",0,CEILING((X223/$H223),1)*$H223),"")</f>
        <v>33.6</v>
      </c>
      <c r="Z223" s="39">
        <f>IFERROR(IF(Y223=0,"",ROUNDUP(Y223/H223,0)*0.00902),"")</f>
        <v>7.2160000000000002E-2</v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31.785714285714285</v>
      </c>
      <c r="BN223" s="75">
        <f t="shared" ref="BN223:BN236" si="23">IFERROR(Y223*I223/H223,"0")</f>
        <v>35.6</v>
      </c>
      <c r="BO223" s="75">
        <f t="shared" ref="BO223:BO236" si="24">IFERROR(1/J223*(X223/H223),"0")</f>
        <v>5.4112554112554112E-2</v>
      </c>
      <c r="BP223" s="75">
        <f t="shared" ref="BP223:BP236" si="25">IFERROR(1/J223*(Y223/H223),"0")</f>
        <v>6.0606060606060608E-2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30</v>
      </c>
      <c r="Y224" s="53">
        <f t="shared" si="21"/>
        <v>33.6</v>
      </c>
      <c r="Z224" s="39">
        <f>IFERROR(IF(Y224=0,"",ROUNDUP(Y224/H224,0)*0.00902),"")</f>
        <v>7.2160000000000002E-2</v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31.785714285714285</v>
      </c>
      <c r="BN224" s="75">
        <f t="shared" si="23"/>
        <v>35.6</v>
      </c>
      <c r="BO224" s="75">
        <f t="shared" si="24"/>
        <v>5.4112554112554112E-2</v>
      </c>
      <c r="BP224" s="75">
        <f t="shared" si="25"/>
        <v>6.0606060606060608E-2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30</v>
      </c>
      <c r="Y225" s="53">
        <f t="shared" si="21"/>
        <v>33.6</v>
      </c>
      <c r="Z225" s="39">
        <f>IFERROR(IF(Y225=0,"",ROUNDUP(Y225/H225,0)*0.00902),"")</f>
        <v>7.2160000000000002E-2</v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31.357142857142854</v>
      </c>
      <c r="BN225" s="75">
        <f t="shared" si="23"/>
        <v>35.119999999999997</v>
      </c>
      <c r="BO225" s="75">
        <f t="shared" si="24"/>
        <v>5.4112554112554112E-2</v>
      </c>
      <c r="BP225" s="75">
        <f t="shared" si="25"/>
        <v>6.0606060606060608E-2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8</v>
      </c>
      <c r="Y226" s="53">
        <f t="shared" si="21"/>
        <v>8</v>
      </c>
      <c r="Z226" s="39">
        <f>IFERROR(IF(Y226=0,"",ROUNDUP(Y226/H226,0)*0.00556),"")</f>
        <v>5.5599999999999997E-2</v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9.3000000000000007</v>
      </c>
      <c r="BN226" s="75">
        <f t="shared" si="23"/>
        <v>9.3000000000000007</v>
      </c>
      <c r="BO226" s="75">
        <f t="shared" si="24"/>
        <v>3.968253968253968E-2</v>
      </c>
      <c r="BP226" s="75">
        <f t="shared" si="25"/>
        <v>3.968253968253968E-2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52.5</v>
      </c>
      <c r="Y227" s="53">
        <f t="shared" si="21"/>
        <v>52.5</v>
      </c>
      <c r="Z227" s="39">
        <f t="shared" ref="Z227:Z232" si="26">IFERROR(IF(Y227=0,"",ROUNDUP(Y227/H227,0)*0.00502),"")</f>
        <v>0.1255</v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55.75</v>
      </c>
      <c r="BN227" s="75">
        <f t="shared" si="23"/>
        <v>55.75</v>
      </c>
      <c r="BO227" s="75">
        <f t="shared" si="24"/>
        <v>0.10683760683760685</v>
      </c>
      <c r="BP227" s="75">
        <f t="shared" si="25"/>
        <v>0.10683760683760685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94.5</v>
      </c>
      <c r="Y229" s="53">
        <f t="shared" si="21"/>
        <v>94.5</v>
      </c>
      <c r="Z229" s="39">
        <f t="shared" si="26"/>
        <v>0.22590000000000002</v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100.35</v>
      </c>
      <c r="BN229" s="75">
        <f t="shared" si="23"/>
        <v>100.35</v>
      </c>
      <c r="BO229" s="75">
        <f t="shared" si="24"/>
        <v>0.19230769230769232</v>
      </c>
      <c r="BP229" s="75">
        <f t="shared" si="25"/>
        <v>0.19230769230769232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8</v>
      </c>
      <c r="Y233" s="53">
        <f t="shared" si="21"/>
        <v>8</v>
      </c>
      <c r="Z233" s="39">
        <f>IFERROR(IF(Y233=0,"",ROUNDUP(Y233/H233,0)*0.00417),"")</f>
        <v>4.1700000000000001E-2</v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10.1</v>
      </c>
      <c r="BN233" s="75">
        <f t="shared" si="23"/>
        <v>10.1</v>
      </c>
      <c r="BO233" s="75">
        <f t="shared" si="24"/>
        <v>2.976190476190476E-2</v>
      </c>
      <c r="BP233" s="75">
        <f t="shared" si="25"/>
        <v>2.976190476190476E-2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140</v>
      </c>
      <c r="Y234" s="53">
        <f t="shared" si="21"/>
        <v>140.70000000000002</v>
      </c>
      <c r="Z234" s="39">
        <f>IFERROR(IF(Y234=0,"",ROUNDUP(Y234/H234,0)*0.00502),"")</f>
        <v>0.33634000000000003</v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146.66666666666666</v>
      </c>
      <c r="BN234" s="75">
        <f t="shared" si="23"/>
        <v>147.40000000000003</v>
      </c>
      <c r="BO234" s="75">
        <f t="shared" si="24"/>
        <v>0.28490028490028491</v>
      </c>
      <c r="BP234" s="75">
        <f t="shared" si="25"/>
        <v>0.28632478632478636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178.09523809523807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181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1.00152</v>
      </c>
      <c r="AA237" s="64"/>
      <c r="AB237" s="64"/>
      <c r="AC237" s="64"/>
    </row>
    <row r="238" spans="1:68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393</v>
      </c>
      <c r="Y238" s="41">
        <f>IFERROR(SUM(Y223:Y236),"0")</f>
        <v>404.5</v>
      </c>
      <c r="Z238" s="40"/>
      <c r="AA238" s="64"/>
      <c r="AB238" s="64"/>
      <c r="AC238" s="64"/>
    </row>
    <row r="239" spans="1:68" ht="14.25" hidden="1" customHeight="1" x14ac:dyDescent="0.25">
      <c r="A239" s="703" t="s">
        <v>86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104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4.2</v>
      </c>
      <c r="Y248" s="53">
        <f>IFERROR(IF(X248="",0,CEILING((X248/$H248),1)*$H248),"")</f>
        <v>5.04</v>
      </c>
      <c r="Z248" s="39">
        <f>IFERROR(IF(Y248=0,"",ROUNDUP(Y248/H248,0)*0.0059),"")</f>
        <v>2.3599999999999999E-2</v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4.833333333333333</v>
      </c>
      <c r="BN248" s="75">
        <f>IFERROR(Y248*I248/H248,"0")</f>
        <v>5.8</v>
      </c>
      <c r="BO248" s="75">
        <f>IFERROR(1/J248*(X248/H248),"0")</f>
        <v>1.5432098765432098E-2</v>
      </c>
      <c r="BP248" s="75">
        <f>IFERROR(1/J248*(Y248/H248),"0")</f>
        <v>1.8518518518518517E-2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8.4</v>
      </c>
      <c r="Y249" s="53">
        <f>IFERROR(IF(X249="",0,CEILING((X249/$H249),1)*$H249),"")</f>
        <v>8.82</v>
      </c>
      <c r="Z249" s="39">
        <f>IFERROR(IF(Y249=0,"",ROUNDUP(Y249/H249,0)*0.0059),"")</f>
        <v>4.1299999999999996E-2</v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9.6666666666666661</v>
      </c>
      <c r="BN249" s="75">
        <f>IFERROR(Y249*I249/H249,"0")</f>
        <v>10.15</v>
      </c>
      <c r="BO249" s="75">
        <f>IFERROR(1/J249*(X249/H249),"0")</f>
        <v>3.0864197530864196E-2</v>
      </c>
      <c r="BP249" s="75">
        <f>IFERROR(1/J249*(Y249/H249),"0")</f>
        <v>3.2407407407407406E-2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7.0000000000000009</v>
      </c>
      <c r="Y250" s="53">
        <f>IFERROR(IF(X250="",0,CEILING((X250/$H250),1)*$H250),"")</f>
        <v>7.5600000000000005</v>
      </c>
      <c r="Z250" s="39">
        <f>IFERROR(IF(Y250=0,"",ROUNDUP(Y250/H250,0)*0.0059),"")</f>
        <v>3.5400000000000001E-2</v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8.0555555555555554</v>
      </c>
      <c r="BN250" s="75">
        <f>IFERROR(Y250*I250/H250,"0")</f>
        <v>8.6999999999999993</v>
      </c>
      <c r="BO250" s="75">
        <f>IFERROR(1/J250*(X250/H250),"0")</f>
        <v>2.5720164609053499E-2</v>
      </c>
      <c r="BP250" s="75">
        <f>IFERROR(1/J250*(Y250/H250),"0")</f>
        <v>2.7777777777777776E-2</v>
      </c>
    </row>
    <row r="251" spans="1:68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15.555555555555557</v>
      </c>
      <c r="Y251" s="41">
        <f>IFERROR(Y248/H248,"0")+IFERROR(Y249/H249,"0")+IFERROR(Y250/H250,"0")</f>
        <v>17</v>
      </c>
      <c r="Z251" s="41">
        <f>IFERROR(IF(Z248="",0,Z248),"0")+IFERROR(IF(Z249="",0,Z249),"0")+IFERROR(IF(Z250="",0,Z250),"0")</f>
        <v>0.1003</v>
      </c>
      <c r="AA251" s="64"/>
      <c r="AB251" s="64"/>
      <c r="AC251" s="64"/>
    </row>
    <row r="252" spans="1:68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19.600000000000001</v>
      </c>
      <c r="Y252" s="41">
        <f>IFERROR(SUM(Y248:Y250),"0")</f>
        <v>21.42</v>
      </c>
      <c r="Z252" s="40"/>
      <c r="AA252" s="64"/>
      <c r="AB252" s="64"/>
      <c r="AC252" s="64"/>
    </row>
    <row r="253" spans="1:68" ht="14.25" hidden="1" customHeight="1" x14ac:dyDescent="0.25">
      <c r="A253" s="703" t="s">
        <v>444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7.0000000000000009</v>
      </c>
      <c r="Y254" s="53">
        <f>IFERROR(IF(X254="",0,CEILING((X254/$H254),1)*$H254),"")</f>
        <v>7.5600000000000005</v>
      </c>
      <c r="Z254" s="39">
        <f>IFERROR(IF(Y254=0,"",ROUNDUP(Y254/H254,0)*0.0059),"")</f>
        <v>3.5400000000000001E-2</v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8.0555555555555554</v>
      </c>
      <c r="BN254" s="75">
        <f>IFERROR(Y254*I254/H254,"0")</f>
        <v>8.6999999999999993</v>
      </c>
      <c r="BO254" s="75">
        <f>IFERROR(1/J254*(X254/H254),"0")</f>
        <v>2.5720164609053499E-2</v>
      </c>
      <c r="BP254" s="75">
        <f>IFERROR(1/J254*(Y254/H254),"0")</f>
        <v>2.7777777777777776E-2</v>
      </c>
    </row>
    <row r="255" spans="1:68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5.5555555555555562</v>
      </c>
      <c r="Y255" s="41">
        <f>IFERROR(Y254/H254,"0")</f>
        <v>6</v>
      </c>
      <c r="Z255" s="41">
        <f>IFERROR(IF(Z254="",0,Z254),"0")</f>
        <v>3.5400000000000001E-2</v>
      </c>
      <c r="AA255" s="64"/>
      <c r="AB255" s="64"/>
      <c r="AC255" s="64"/>
    </row>
    <row r="256" spans="1:68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7.0000000000000009</v>
      </c>
      <c r="Y256" s="41">
        <f>IFERROR(SUM(Y254:Y254),"0")</f>
        <v>7.5600000000000005</v>
      </c>
      <c r="Z256" s="40"/>
      <c r="AA256" s="64"/>
      <c r="AB256" s="64"/>
      <c r="AC256" s="64"/>
    </row>
    <row r="257" spans="1:68" ht="16.5" hidden="1" customHeight="1" x14ac:dyDescent="0.25">
      <c r="A257" s="702" t="s">
        <v>447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128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451</v>
      </c>
      <c r="B260" s="60" t="s">
        <v>452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164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77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200</v>
      </c>
      <c r="Y269" s="53">
        <f t="shared" ref="Y269:Y276" si="27">IFERROR(IF(X269="",0,CEILING((X269/$H269),1)*$H269),"")</f>
        <v>205.20000000000002</v>
      </c>
      <c r="Z269" s="39">
        <f>IFERROR(IF(Y269=0,"",ROUNDUP(Y269/H269,0)*0.00902),"")</f>
        <v>0.34276000000000001</v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207.03703703703701</v>
      </c>
      <c r="BN269" s="75">
        <f t="shared" ref="BN269:BN276" si="29">IFERROR(Y269*I269/H269,"0")</f>
        <v>212.42</v>
      </c>
      <c r="BO269" s="75">
        <f t="shared" ref="BO269:BO276" si="30">IFERROR(1/J269*(X269/H269),"0")</f>
        <v>0.28058361391694725</v>
      </c>
      <c r="BP269" s="75">
        <f t="shared" ref="BP269:BP276" si="31">IFERROR(1/J269*(Y269/H269),"0")</f>
        <v>0.2878787878787879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40</v>
      </c>
      <c r="Y270" s="53">
        <f t="shared" si="27"/>
        <v>43.2</v>
      </c>
      <c r="Z270" s="39">
        <f>IFERROR(IF(Y270=0,"",ROUNDUP(Y270/H270,0)*0.00902),"")</f>
        <v>7.2160000000000002E-2</v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41.407407407407405</v>
      </c>
      <c r="BN270" s="75">
        <f t="shared" si="29"/>
        <v>44.72</v>
      </c>
      <c r="BO270" s="75">
        <f t="shared" si="30"/>
        <v>5.6116722783389444E-2</v>
      </c>
      <c r="BP270" s="75">
        <f t="shared" si="31"/>
        <v>6.0606060606060608E-2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120</v>
      </c>
      <c r="Y271" s="53">
        <f t="shared" si="27"/>
        <v>124.2</v>
      </c>
      <c r="Z271" s="39">
        <f>IFERROR(IF(Y271=0,"",ROUNDUP(Y271/H271,0)*0.00902),"")</f>
        <v>0.20746000000000001</v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124.2222222222222</v>
      </c>
      <c r="BN271" s="75">
        <f t="shared" si="29"/>
        <v>128.57</v>
      </c>
      <c r="BO271" s="75">
        <f t="shared" si="30"/>
        <v>0.16835016835016836</v>
      </c>
      <c r="BP271" s="75">
        <f t="shared" si="31"/>
        <v>0.17424242424242425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50</v>
      </c>
      <c r="Y272" s="53">
        <f t="shared" si="27"/>
        <v>54</v>
      </c>
      <c r="Z272" s="39">
        <f>IFERROR(IF(Y272=0,"",ROUNDUP(Y272/H272,0)*0.00902),"")</f>
        <v>9.0200000000000002E-2</v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51.759259259259252</v>
      </c>
      <c r="BN272" s="75">
        <f t="shared" si="29"/>
        <v>55.9</v>
      </c>
      <c r="BO272" s="75">
        <f t="shared" si="30"/>
        <v>7.0145903479236812E-2</v>
      </c>
      <c r="BP272" s="75">
        <f t="shared" si="31"/>
        <v>7.575757575757576E-2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105</v>
      </c>
      <c r="Y273" s="53">
        <f t="shared" si="27"/>
        <v>106.2</v>
      </c>
      <c r="Z273" s="39">
        <f>IFERROR(IF(Y273=0,"",ROUNDUP(Y273/H273,0)*0.00502),"")</f>
        <v>0.29618</v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112.58333333333333</v>
      </c>
      <c r="BN273" s="75">
        <f t="shared" si="29"/>
        <v>113.87</v>
      </c>
      <c r="BO273" s="75">
        <f t="shared" si="30"/>
        <v>0.2492877492877493</v>
      </c>
      <c r="BP273" s="75">
        <f t="shared" si="31"/>
        <v>0.25213675213675218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45</v>
      </c>
      <c r="Y274" s="53">
        <f t="shared" si="27"/>
        <v>45</v>
      </c>
      <c r="Z274" s="39">
        <f>IFERROR(IF(Y274=0,"",ROUNDUP(Y274/H274,0)*0.00502),"")</f>
        <v>0.1255</v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47.5</v>
      </c>
      <c r="BN274" s="75">
        <f t="shared" si="29"/>
        <v>47.5</v>
      </c>
      <c r="BO274" s="75">
        <f t="shared" si="30"/>
        <v>0.10683760683760685</v>
      </c>
      <c r="BP274" s="75">
        <f t="shared" si="31"/>
        <v>0.10683760683760685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84</v>
      </c>
      <c r="Y275" s="53">
        <f t="shared" si="27"/>
        <v>84.600000000000009</v>
      </c>
      <c r="Z275" s="39">
        <f>IFERROR(IF(Y275=0,"",ROUNDUP(Y275/H275,0)*0.00502),"")</f>
        <v>0.23594000000000001</v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88.666666666666657</v>
      </c>
      <c r="BN275" s="75">
        <f t="shared" si="29"/>
        <v>89.3</v>
      </c>
      <c r="BO275" s="75">
        <f t="shared" si="30"/>
        <v>0.19943019943019943</v>
      </c>
      <c r="BP275" s="75">
        <f t="shared" si="31"/>
        <v>0.20085470085470092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42</v>
      </c>
      <c r="Y276" s="53">
        <f t="shared" si="27"/>
        <v>43.2</v>
      </c>
      <c r="Z276" s="39">
        <f>IFERROR(IF(Y276=0,"",ROUNDUP(Y276/H276,0)*0.00502),"")</f>
        <v>0.12048</v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44.333333333333329</v>
      </c>
      <c r="BN276" s="75">
        <f t="shared" si="29"/>
        <v>45.6</v>
      </c>
      <c r="BO276" s="75">
        <f t="shared" si="30"/>
        <v>9.9715099715099717E-2</v>
      </c>
      <c r="BP276" s="75">
        <f t="shared" si="31"/>
        <v>0.10256410256410257</v>
      </c>
    </row>
    <row r="277" spans="1:68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229.25925925925924</v>
      </c>
      <c r="Y277" s="41">
        <f>IFERROR(Y269/H269,"0")+IFERROR(Y270/H270,"0")+IFERROR(Y271/H271,"0")+IFERROR(Y272/H272,"0")+IFERROR(Y273/H273,"0")+IFERROR(Y274/H274,"0")+IFERROR(Y275/H275,"0")+IFERROR(Y276/H276,"0")</f>
        <v>234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1.49068</v>
      </c>
      <c r="AA277" s="64"/>
      <c r="AB277" s="64"/>
      <c r="AC277" s="64"/>
    </row>
    <row r="278" spans="1:68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686</v>
      </c>
      <c r="Y278" s="41">
        <f>IFERROR(SUM(Y269:Y276),"0")</f>
        <v>705.60000000000014</v>
      </c>
      <c r="Z278" s="40"/>
      <c r="AA278" s="64"/>
      <c r="AB278" s="64"/>
      <c r="AC278" s="64"/>
    </row>
    <row r="279" spans="1:68" ht="14.25" hidden="1" customHeight="1" x14ac:dyDescent="0.25">
      <c r="A279" s="703" t="s">
        <v>86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478</v>
      </c>
      <c r="B280" s="60" t="s">
        <v>479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500</v>
      </c>
      <c r="Y282" s="53">
        <f t="shared" si="32"/>
        <v>504.59999999999997</v>
      </c>
      <c r="Z282" s="39">
        <f>IFERROR(IF(Y282=0,"",ROUNDUP(Y282/H282,0)*0.01898),"")</f>
        <v>1.10084</v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528.39080459770116</v>
      </c>
      <c r="BN282" s="75">
        <f t="shared" si="34"/>
        <v>533.25200000000007</v>
      </c>
      <c r="BO282" s="75">
        <f t="shared" si="35"/>
        <v>0.89798850574712652</v>
      </c>
      <c r="BP282" s="75">
        <f t="shared" si="36"/>
        <v>0.90625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280</v>
      </c>
      <c r="Y283" s="53">
        <f t="shared" si="32"/>
        <v>280.8</v>
      </c>
      <c r="Z283" s="39">
        <f>IFERROR(IF(Y283=0,"",ROUNDUP(Y283/H283,0)*0.00651),"")</f>
        <v>0.76167000000000007</v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311.5</v>
      </c>
      <c r="BN283" s="75">
        <f t="shared" si="34"/>
        <v>312.39</v>
      </c>
      <c r="BO283" s="75">
        <f t="shared" si="35"/>
        <v>0.64102564102564108</v>
      </c>
      <c r="BP283" s="75">
        <f t="shared" si="36"/>
        <v>0.64285714285714302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280</v>
      </c>
      <c r="Y286" s="53">
        <f t="shared" si="32"/>
        <v>280.8</v>
      </c>
      <c r="Z286" s="39">
        <f>IFERROR(IF(Y286=0,"",ROUNDUP(Y286/H286,0)*0.00651),"")</f>
        <v>0.76167000000000007</v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309.40000000000003</v>
      </c>
      <c r="BN286" s="75">
        <f t="shared" si="34"/>
        <v>310.28400000000005</v>
      </c>
      <c r="BO286" s="75">
        <f t="shared" si="35"/>
        <v>0.64102564102564108</v>
      </c>
      <c r="BP286" s="75">
        <f t="shared" si="36"/>
        <v>0.64285714285714302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60</v>
      </c>
      <c r="Y289" s="53">
        <f t="shared" si="32"/>
        <v>60</v>
      </c>
      <c r="Z289" s="39">
        <f>IFERROR(IF(Y289=0,"",ROUNDUP(Y289/H289,0)*0.00651),"")</f>
        <v>0.16275000000000001</v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66.300000000000011</v>
      </c>
      <c r="BN289" s="75">
        <f t="shared" si="34"/>
        <v>66.300000000000011</v>
      </c>
      <c r="BO289" s="75">
        <f t="shared" si="35"/>
        <v>0.13736263736263737</v>
      </c>
      <c r="BP289" s="75">
        <f t="shared" si="36"/>
        <v>0.13736263736263737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400</v>
      </c>
      <c r="Y290" s="53">
        <f t="shared" si="32"/>
        <v>400.8</v>
      </c>
      <c r="Z290" s="39">
        <f>IFERROR(IF(Y290=0,"",ROUNDUP(Y290/H290,0)*0.00651),"")</f>
        <v>1.08717</v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443.00000000000006</v>
      </c>
      <c r="BN290" s="75">
        <f t="shared" si="34"/>
        <v>443.88599999999997</v>
      </c>
      <c r="BO290" s="75">
        <f t="shared" si="35"/>
        <v>0.91575091575091594</v>
      </c>
      <c r="BP290" s="75">
        <f t="shared" si="36"/>
        <v>0.91758241758241765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482.4712643678161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484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3.8740999999999999</v>
      </c>
      <c r="AA292" s="64"/>
      <c r="AB292" s="64"/>
      <c r="AC292" s="64"/>
    </row>
    <row r="293" spans="1:68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1520</v>
      </c>
      <c r="Y293" s="41">
        <f>IFERROR(SUM(Y280:Y291),"0")</f>
        <v>1527</v>
      </c>
      <c r="Z293" s="40"/>
      <c r="AA293" s="64"/>
      <c r="AB293" s="64"/>
      <c r="AC293" s="64"/>
    </row>
    <row r="294" spans="1:68" ht="14.25" hidden="1" customHeight="1" x14ac:dyDescent="0.25">
      <c r="A294" s="703" t="s">
        <v>181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24</v>
      </c>
      <c r="Y295" s="53">
        <f>IFERROR(IF(X295="",0,CEILING((X295/$H295),1)*$H295),"")</f>
        <v>24</v>
      </c>
      <c r="Z295" s="39">
        <f>IFERROR(IF(Y295=0,"",ROUNDUP(Y295/H295,0)*0.00651),"")</f>
        <v>6.5100000000000005E-2</v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26.520000000000003</v>
      </c>
      <c r="BN295" s="75">
        <f>IFERROR(Y295*I295/H295,"0")</f>
        <v>26.520000000000003</v>
      </c>
      <c r="BO295" s="75">
        <f>IFERROR(1/J295*(X295/H295),"0")</f>
        <v>5.4945054945054951E-2</v>
      </c>
      <c r="BP295" s="75">
        <f>IFERROR(1/J295*(Y295/H295),"0")</f>
        <v>5.4945054945054951E-2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120</v>
      </c>
      <c r="Y296" s="53">
        <f>IFERROR(IF(X296="",0,CEILING((X296/$H296),1)*$H296),"")</f>
        <v>120</v>
      </c>
      <c r="Z296" s="39">
        <f>IFERROR(IF(Y296=0,"",ROUNDUP(Y296/H296,0)*0.00651),"")</f>
        <v>0.32550000000000001</v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132.60000000000002</v>
      </c>
      <c r="BN296" s="75">
        <f>IFERROR(Y296*I296/H296,"0")</f>
        <v>132.60000000000002</v>
      </c>
      <c r="BO296" s="75">
        <f>IFERROR(1/J296*(X296/H296),"0")</f>
        <v>0.27472527472527475</v>
      </c>
      <c r="BP296" s="75">
        <f>IFERROR(1/J296*(Y296/H296),"0")</f>
        <v>0.27472527472527475</v>
      </c>
    </row>
    <row r="297" spans="1:68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60</v>
      </c>
      <c r="Y297" s="41">
        <f>IFERROR(Y295/H295,"0")+IFERROR(Y296/H296,"0")</f>
        <v>60</v>
      </c>
      <c r="Z297" s="41">
        <f>IFERROR(IF(Z295="",0,Z295),"0")+IFERROR(IF(Z296="",0,Z296),"0")</f>
        <v>0.3906</v>
      </c>
      <c r="AA297" s="64"/>
      <c r="AB297" s="64"/>
      <c r="AC297" s="64"/>
    </row>
    <row r="298" spans="1:68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144</v>
      </c>
      <c r="Y298" s="41">
        <f>IFERROR(SUM(Y295:Y296),"0")</f>
        <v>144</v>
      </c>
      <c r="Z298" s="40"/>
      <c r="AA298" s="64"/>
      <c r="AB298" s="64"/>
      <c r="AC298" s="64"/>
    </row>
    <row r="299" spans="1:68" ht="16.5" hidden="1" customHeight="1" x14ac:dyDescent="0.25">
      <c r="A299" s="702" t="s">
        <v>515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128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customHeight="1" x14ac:dyDescent="0.25">
      <c r="A303" s="60" t="s">
        <v>522</v>
      </c>
      <c r="B303" s="60" t="s">
        <v>523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40</v>
      </c>
      <c r="Y303" s="53">
        <f t="shared" si="37"/>
        <v>46.4</v>
      </c>
      <c r="Z303" s="39">
        <f>IFERROR(IF(Y303=0,"",ROUNDUP(Y303/H303,0)*0.01898),"")</f>
        <v>7.5920000000000001E-2</v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41.413793103448278</v>
      </c>
      <c r="BN303" s="75">
        <f t="shared" si="39"/>
        <v>48.04</v>
      </c>
      <c r="BO303" s="75">
        <f t="shared" si="40"/>
        <v>5.387931034482759E-2</v>
      </c>
      <c r="BP303" s="75">
        <f t="shared" si="41"/>
        <v>6.25E-2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20</v>
      </c>
      <c r="Y304" s="53">
        <f t="shared" si="37"/>
        <v>20</v>
      </c>
      <c r="Z304" s="39">
        <f>IFERROR(IF(Y304=0,"",ROUNDUP(Y304/H304,0)*0.00902),"")</f>
        <v>4.5100000000000001E-2</v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20.950000000000003</v>
      </c>
      <c r="BN304" s="75">
        <f t="shared" si="39"/>
        <v>20.950000000000003</v>
      </c>
      <c r="BO304" s="75">
        <f t="shared" si="40"/>
        <v>3.787878787878788E-2</v>
      </c>
      <c r="BP304" s="75">
        <f t="shared" si="41"/>
        <v>3.787878787878788E-2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532</v>
      </c>
      <c r="B307" s="60" t="s">
        <v>533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48</v>
      </c>
      <c r="Y307" s="53">
        <f t="shared" si="37"/>
        <v>48</v>
      </c>
      <c r="Z307" s="39">
        <f>IFERROR(IF(Y307=0,"",ROUNDUP(Y307/H307,0)*0.00902),"")</f>
        <v>0.10824</v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50.28</v>
      </c>
      <c r="BN307" s="75">
        <f t="shared" si="39"/>
        <v>50.28</v>
      </c>
      <c r="BO307" s="75">
        <f t="shared" si="40"/>
        <v>9.0909090909090912E-2</v>
      </c>
      <c r="BP307" s="75">
        <f t="shared" si="41"/>
        <v>9.0909090909090912E-2</v>
      </c>
    </row>
    <row r="308" spans="1:68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20.448275862068968</v>
      </c>
      <c r="Y308" s="41">
        <f>IFERROR(Y301/H301,"0")+IFERROR(Y302/H302,"0")+IFERROR(Y303/H303,"0")+IFERROR(Y304/H304,"0")+IFERROR(Y305/H305,"0")+IFERROR(Y306/H306,"0")+IFERROR(Y307/H307,"0")</f>
        <v>21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0.22926000000000002</v>
      </c>
      <c r="AA308" s="64"/>
      <c r="AB308" s="64"/>
      <c r="AC308" s="64"/>
    </row>
    <row r="309" spans="1:68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108</v>
      </c>
      <c r="Y309" s="41">
        <f>IFERROR(SUM(Y301:Y307),"0")</f>
        <v>114.4</v>
      </c>
      <c r="Z309" s="40"/>
      <c r="AA309" s="64"/>
      <c r="AB309" s="64"/>
      <c r="AC309" s="64"/>
    </row>
    <row r="310" spans="1:68" ht="14.25" hidden="1" customHeight="1" x14ac:dyDescent="0.25">
      <c r="A310" s="703" t="s">
        <v>164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534</v>
      </c>
      <c r="B311" s="60" t="s">
        <v>535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537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8.4</v>
      </c>
      <c r="Y315" s="53">
        <f>IFERROR(IF(X315="",0,CEILING((X315/$H315),1)*$H315),"")</f>
        <v>9</v>
      </c>
      <c r="Z315" s="39">
        <f>IFERROR(IF(Y315=0,"",ROUNDUP(Y315/H315,0)*0.0059),"")</f>
        <v>2.9499999999999998E-2</v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9.2166666666666668</v>
      </c>
      <c r="BN315" s="75">
        <f>IFERROR(Y315*I315/H315,"0")</f>
        <v>9.8750000000000018</v>
      </c>
      <c r="BO315" s="75">
        <f>IFERROR(1/J315*(X315/H315),"0")</f>
        <v>2.1604938271604937E-2</v>
      </c>
      <c r="BP315" s="75">
        <f>IFERROR(1/J315*(Y315/H315),"0")</f>
        <v>2.3148148148148147E-2</v>
      </c>
    </row>
    <row r="316" spans="1:68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4.666666666666667</v>
      </c>
      <c r="Y316" s="41">
        <f>IFERROR(Y315/H315,"0")</f>
        <v>5</v>
      </c>
      <c r="Z316" s="41">
        <f>IFERROR(IF(Z315="",0,Z315),"0")</f>
        <v>2.9499999999999998E-2</v>
      </c>
      <c r="AA316" s="64"/>
      <c r="AB316" s="64"/>
      <c r="AC316" s="64"/>
    </row>
    <row r="317" spans="1:68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8.4</v>
      </c>
      <c r="Y317" s="41">
        <f>IFERROR(SUM(Y315:Y315),"0")</f>
        <v>9</v>
      </c>
      <c r="Z317" s="40"/>
      <c r="AA317" s="64"/>
      <c r="AB317" s="64"/>
      <c r="AC317" s="64"/>
    </row>
    <row r="318" spans="1:68" ht="14.25" hidden="1" customHeight="1" x14ac:dyDescent="0.25">
      <c r="A318" s="703" t="s">
        <v>354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6</v>
      </c>
      <c r="Y320" s="53">
        <f>IFERROR(IF(X320="",0,CEILING((X320/$H320),1)*$H320),"")</f>
        <v>7.2</v>
      </c>
      <c r="Z320" s="39">
        <f>IFERROR(IF(Y320=0,"",ROUNDUP(Y320/H320,0)*0.0059),"")</f>
        <v>2.3599999999999999E-2</v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6.5833333333333339</v>
      </c>
      <c r="BN320" s="75">
        <f>IFERROR(Y320*I320/H320,"0")</f>
        <v>7.9</v>
      </c>
      <c r="BO320" s="75">
        <f>IFERROR(1/J320*(X320/H320),"0")</f>
        <v>1.5432098765432096E-2</v>
      </c>
      <c r="BP320" s="75">
        <f>IFERROR(1/J320*(Y320/H320),"0")</f>
        <v>1.8518518518518517E-2</v>
      </c>
    </row>
    <row r="321" spans="1:68" ht="27" customHeight="1" x14ac:dyDescent="0.25">
      <c r="A321" s="60" t="s">
        <v>546</v>
      </c>
      <c r="B321" s="60" t="s">
        <v>547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2</v>
      </c>
      <c r="Y321" s="53">
        <f>IFERROR(IF(X321="",0,CEILING((X321/$H321),1)*$H321),"")</f>
        <v>2.7</v>
      </c>
      <c r="Z321" s="39">
        <f>IFERROR(IF(Y321=0,"",ROUNDUP(Y321/H321,0)*0.0059),"")</f>
        <v>1.77E-2</v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2.4222222222222225</v>
      </c>
      <c r="BN321" s="75">
        <f>IFERROR(Y321*I321/H321,"0")</f>
        <v>3.2700000000000005</v>
      </c>
      <c r="BO321" s="75">
        <f>IFERROR(1/J321*(X321/H321),"0")</f>
        <v>1.0288065843621399E-2</v>
      </c>
      <c r="BP321" s="75">
        <f>IFERROR(1/J321*(Y321/H321),"0")</f>
        <v>1.3888888888888888E-2</v>
      </c>
    </row>
    <row r="322" spans="1:68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5.5555555555555554</v>
      </c>
      <c r="Y322" s="41">
        <f>IFERROR(Y319/H319,"0")+IFERROR(Y320/H320,"0")+IFERROR(Y321/H321,"0")</f>
        <v>7</v>
      </c>
      <c r="Z322" s="41">
        <f>IFERROR(IF(Z319="",0,Z319),"0")+IFERROR(IF(Z320="",0,Z320),"0")+IFERROR(IF(Z321="",0,Z321),"0")</f>
        <v>4.1300000000000003E-2</v>
      </c>
      <c r="AA322" s="64"/>
      <c r="AB322" s="64"/>
      <c r="AC322" s="64"/>
    </row>
    <row r="323" spans="1:68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8</v>
      </c>
      <c r="Y323" s="41">
        <f>IFERROR(SUM(Y319:Y321),"0")</f>
        <v>9.9</v>
      </c>
      <c r="Z323" s="40"/>
      <c r="AA323" s="64"/>
      <c r="AB323" s="64"/>
      <c r="AC323" s="64"/>
    </row>
    <row r="324" spans="1:68" ht="16.5" hidden="1" customHeight="1" x14ac:dyDescent="0.25">
      <c r="A324" s="702" t="s">
        <v>548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128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564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86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40</v>
      </c>
      <c r="Y336" s="53">
        <f>IFERROR(IF(X336="",0,CEILING((X336/$H336),1)*$H336),"")</f>
        <v>40.799999999999997</v>
      </c>
      <c r="Z336" s="39">
        <f>IFERROR(IF(Y336=0,"",ROUNDUP(Y336/H336,0)*0.00651),"")</f>
        <v>0.11067</v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44.20000000000001</v>
      </c>
      <c r="BN336" s="75">
        <f>IFERROR(Y336*I336/H336,"0")</f>
        <v>45.084000000000003</v>
      </c>
      <c r="BO336" s="75">
        <f>IFERROR(1/J336*(X336/H336),"0")</f>
        <v>9.1575091575091583E-2</v>
      </c>
      <c r="BP336" s="75">
        <f>IFERROR(1/J336*(Y336/H336),"0")</f>
        <v>9.3406593406593408E-2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400</v>
      </c>
      <c r="Y337" s="53">
        <f>IFERROR(IF(X337="",0,CEILING((X337/$H337),1)*$H337),"")</f>
        <v>400.8</v>
      </c>
      <c r="Z337" s="39">
        <f>IFERROR(IF(Y337=0,"",ROUNDUP(Y337/H337,0)*0.00651),"")</f>
        <v>1.08717</v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430</v>
      </c>
      <c r="BN337" s="75">
        <f>IFERROR(Y337*I337/H337,"0")</f>
        <v>430.86000000000007</v>
      </c>
      <c r="BO337" s="75">
        <f>IFERROR(1/J337*(X337/H337),"0")</f>
        <v>0.91575091575091594</v>
      </c>
      <c r="BP337" s="75">
        <f>IFERROR(1/J337*(Y337/H337),"0")</f>
        <v>0.91758241758241765</v>
      </c>
    </row>
    <row r="338" spans="1:68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183.33333333333334</v>
      </c>
      <c r="Y338" s="41">
        <f>IFERROR(Y335/H335,"0")+IFERROR(Y336/H336,"0")+IFERROR(Y337/H337,"0")</f>
        <v>184</v>
      </c>
      <c r="Z338" s="41">
        <f>IFERROR(IF(Z335="",0,Z335),"0")+IFERROR(IF(Z336="",0,Z336),"0")+IFERROR(IF(Z337="",0,Z337),"0")</f>
        <v>1.19784</v>
      </c>
      <c r="AA338" s="64"/>
      <c r="AB338" s="64"/>
      <c r="AC338" s="64"/>
    </row>
    <row r="339" spans="1:68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440</v>
      </c>
      <c r="Y339" s="41">
        <f>IFERROR(SUM(Y335:Y337),"0")</f>
        <v>441.6</v>
      </c>
      <c r="Z339" s="40"/>
      <c r="AA339" s="64"/>
      <c r="AB339" s="64"/>
      <c r="AC339" s="64"/>
    </row>
    <row r="340" spans="1:68" ht="16.5" hidden="1" customHeight="1" x14ac:dyDescent="0.25">
      <c r="A340" s="702" t="s">
        <v>573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77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86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594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128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300</v>
      </c>
      <c r="Y356" s="53">
        <f>IFERROR(IF(X356="",0,CEILING((X356/$H356),1)*$H356),"")</f>
        <v>304.2</v>
      </c>
      <c r="Z356" s="39">
        <f>IFERROR(IF(Y356=0,"",ROUNDUP(Y356/H356,0)*0.01898),"")</f>
        <v>0.74021999999999999</v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315.76923076923083</v>
      </c>
      <c r="BN356" s="75">
        <f>IFERROR(Y356*I356/H356,"0")</f>
        <v>320.19</v>
      </c>
      <c r="BO356" s="75">
        <f>IFERROR(1/J356*(X356/H356),"0")</f>
        <v>0.60096153846153844</v>
      </c>
      <c r="BP356" s="75">
        <f>IFERROR(1/J356*(Y356/H356),"0")</f>
        <v>0.609375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300</v>
      </c>
      <c r="Y357" s="53">
        <f>IFERROR(IF(X357="",0,CEILING((X357/$H357),1)*$H357),"")</f>
        <v>304.2</v>
      </c>
      <c r="Z357" s="39">
        <f>IFERROR(IF(Y357=0,"",ROUNDUP(Y357/H357,0)*0.01898),"")</f>
        <v>0.74021999999999999</v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315.76923076923083</v>
      </c>
      <c r="BN357" s="75">
        <f>IFERROR(Y357*I357/H357,"0")</f>
        <v>320.19</v>
      </c>
      <c r="BO357" s="75">
        <f>IFERROR(1/J357*(X357/H357),"0")</f>
        <v>0.60096153846153844</v>
      </c>
      <c r="BP357" s="75">
        <f>IFERROR(1/J357*(Y357/H357),"0")</f>
        <v>0.609375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120</v>
      </c>
      <c r="Y358" s="53">
        <f>IFERROR(IF(X358="",0,CEILING((X358/$H358),1)*$H358),"")</f>
        <v>124.8</v>
      </c>
      <c r="Z358" s="39">
        <f>IFERROR(IF(Y358=0,"",ROUNDUP(Y358/H358,0)*0.01898),"")</f>
        <v>0.30368000000000001</v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126.30769230769232</v>
      </c>
      <c r="BN358" s="75">
        <f>IFERROR(Y358*I358/H358,"0")</f>
        <v>131.36000000000001</v>
      </c>
      <c r="BO358" s="75">
        <f>IFERROR(1/J358*(X358/H358),"0")</f>
        <v>0.24038461538461539</v>
      </c>
      <c r="BP358" s="75">
        <f>IFERROR(1/J358*(Y358/H358),"0")</f>
        <v>0.25</v>
      </c>
    </row>
    <row r="359" spans="1:68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92.307692307692307</v>
      </c>
      <c r="Y359" s="41">
        <f>IFERROR(Y356/H356,"0")+IFERROR(Y357/H357,"0")+IFERROR(Y358/H358,"0")</f>
        <v>94</v>
      </c>
      <c r="Z359" s="41">
        <f>IFERROR(IF(Z356="",0,Z356),"0")+IFERROR(IF(Z357="",0,Z357),"0")+IFERROR(IF(Z358="",0,Z358),"0")</f>
        <v>1.7841199999999999</v>
      </c>
      <c r="AA359" s="64"/>
      <c r="AB359" s="64"/>
      <c r="AC359" s="64"/>
    </row>
    <row r="360" spans="1:68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720</v>
      </c>
      <c r="Y360" s="41">
        <f>IFERROR(SUM(Y356:Y358),"0")</f>
        <v>733.19999999999993</v>
      </c>
      <c r="Z360" s="40"/>
      <c r="AA360" s="64"/>
      <c r="AB360" s="64"/>
      <c r="AC360" s="64"/>
    </row>
    <row r="361" spans="1:68" ht="16.5" hidden="1" customHeight="1" x14ac:dyDescent="0.25">
      <c r="A361" s="702" t="s">
        <v>603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128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customHeight="1" x14ac:dyDescent="0.25">
      <c r="A363" s="60" t="s">
        <v>604</v>
      </c>
      <c r="B363" s="60" t="s">
        <v>605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50</v>
      </c>
      <c r="Y363" s="53">
        <f t="shared" ref="Y363:Y368" si="42">IFERROR(IF(X363="",0,CEILING((X363/$H363),1)*$H363),"")</f>
        <v>54</v>
      </c>
      <c r="Z363" s="39">
        <f>IFERROR(IF(Y363=0,"",ROUNDUP(Y363/H363,0)*0.01898),"")</f>
        <v>9.4899999999999998E-2</v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51.898148148148145</v>
      </c>
      <c r="BN363" s="75">
        <f t="shared" ref="BN363:BN368" si="44">IFERROR(Y363*I363/H363,"0")</f>
        <v>56.05</v>
      </c>
      <c r="BO363" s="75">
        <f t="shared" ref="BO363:BO368" si="45">IFERROR(1/J363*(X363/H363),"0")</f>
        <v>7.2337962962962965E-2</v>
      </c>
      <c r="BP363" s="75">
        <f t="shared" ref="BP363:BP368" si="46">IFERROR(1/J363*(Y363/H363),"0")</f>
        <v>7.8125E-2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4.6296296296296298</v>
      </c>
      <c r="Y369" s="41">
        <f>IFERROR(Y363/H363,"0")+IFERROR(Y364/H364,"0")+IFERROR(Y365/H365,"0")+IFERROR(Y366/H366,"0")+IFERROR(Y367/H367,"0")+IFERROR(Y368/H368,"0")</f>
        <v>5</v>
      </c>
      <c r="Z369" s="41">
        <f>IFERROR(IF(Z363="",0,Z363),"0")+IFERROR(IF(Z364="",0,Z364),"0")+IFERROR(IF(Z365="",0,Z365),"0")+IFERROR(IF(Z366="",0,Z366),"0")+IFERROR(IF(Z367="",0,Z367),"0")+IFERROR(IF(Z368="",0,Z368),"0")</f>
        <v>9.4899999999999998E-2</v>
      </c>
      <c r="AA369" s="64"/>
      <c r="AB369" s="64"/>
      <c r="AC369" s="64"/>
    </row>
    <row r="370" spans="1:68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50</v>
      </c>
      <c r="Y370" s="41">
        <f>IFERROR(SUM(Y363:Y368),"0")</f>
        <v>54</v>
      </c>
      <c r="Z370" s="40"/>
      <c r="AA370" s="64"/>
      <c r="AB370" s="64"/>
      <c r="AC370" s="64"/>
    </row>
    <row r="371" spans="1:68" ht="14.25" hidden="1" customHeight="1" x14ac:dyDescent="0.25">
      <c r="A371" s="703" t="s">
        <v>77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175</v>
      </c>
      <c r="Y376" s="53">
        <f t="shared" si="47"/>
        <v>176.4</v>
      </c>
      <c r="Z376" s="39">
        <f>IFERROR(IF(Y376=0,"",ROUNDUP(Y376/H376,0)*0.00502),"")</f>
        <v>0.42168</v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183.33333333333334</v>
      </c>
      <c r="BN376" s="75">
        <f t="shared" si="49"/>
        <v>184.8</v>
      </c>
      <c r="BO376" s="75">
        <f t="shared" si="50"/>
        <v>0.35612535612535612</v>
      </c>
      <c r="BP376" s="75">
        <f t="shared" si="51"/>
        <v>0.35897435897435903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637</v>
      </c>
      <c r="B378" s="60" t="s">
        <v>638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83.333333333333329</v>
      </c>
      <c r="Y379" s="41">
        <f>IFERROR(Y372/H372,"0")+IFERROR(Y373/H373,"0")+IFERROR(Y374/H374,"0")+IFERROR(Y375/H375,"0")+IFERROR(Y376/H376,"0")+IFERROR(Y377/H377,"0")+IFERROR(Y378/H378,"0")</f>
        <v>84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0.42168</v>
      </c>
      <c r="AA379" s="64"/>
      <c r="AB379" s="64"/>
      <c r="AC379" s="64"/>
    </row>
    <row r="380" spans="1:68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175</v>
      </c>
      <c r="Y380" s="41">
        <f>IFERROR(SUM(Y372:Y378),"0")</f>
        <v>176.4</v>
      </c>
      <c r="Z380" s="40"/>
      <c r="AA380" s="64"/>
      <c r="AB380" s="64"/>
      <c r="AC380" s="64"/>
    </row>
    <row r="381" spans="1:68" ht="14.25" hidden="1" customHeight="1" x14ac:dyDescent="0.25">
      <c r="A381" s="703" t="s">
        <v>86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640</v>
      </c>
      <c r="B382" s="60" t="s">
        <v>641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181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customHeight="1" x14ac:dyDescent="0.25">
      <c r="A389" s="60" t="s">
        <v>651</v>
      </c>
      <c r="B389" s="60" t="s">
        <v>652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700</v>
      </c>
      <c r="Y389" s="53">
        <f>IFERROR(IF(X389="",0,CEILING((X389/$H389),1)*$H389),"")</f>
        <v>705.6</v>
      </c>
      <c r="Z389" s="39">
        <f>IFERROR(IF(Y389=0,"",ROUNDUP(Y389/H389,0)*0.01898),"")</f>
        <v>1.59432</v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741.16666666666663</v>
      </c>
      <c r="BN389" s="75">
        <f>IFERROR(Y389*I389/H389,"0")</f>
        <v>747.096</v>
      </c>
      <c r="BO389" s="75">
        <f>IFERROR(1/J389*(X389/H389),"0")</f>
        <v>1.3020833333333333</v>
      </c>
      <c r="BP389" s="75">
        <f>IFERROR(1/J389*(Y389/H389),"0")</f>
        <v>1.3125</v>
      </c>
    </row>
    <row r="390" spans="1:68" ht="27" customHeight="1" x14ac:dyDescent="0.25">
      <c r="A390" s="60" t="s">
        <v>654</v>
      </c>
      <c r="B390" s="60" t="s">
        <v>655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500</v>
      </c>
      <c r="Y390" s="53">
        <f>IFERROR(IF(X390="",0,CEILING((X390/$H390),1)*$H390),"")</f>
        <v>507</v>
      </c>
      <c r="Z390" s="39">
        <f>IFERROR(IF(Y390=0,"",ROUNDUP(Y390/H390,0)*0.01898),"")</f>
        <v>1.2337</v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531.66666666666663</v>
      </c>
      <c r="BN390" s="75">
        <f>IFERROR(Y390*I390/H390,"0")</f>
        <v>539.11</v>
      </c>
      <c r="BO390" s="75">
        <f>IFERROR(1/J390*(X390/H390),"0")</f>
        <v>1.0016025641025641</v>
      </c>
      <c r="BP390" s="75">
        <f>IFERROR(1/J390*(Y390/H390),"0")</f>
        <v>1.015625</v>
      </c>
    </row>
    <row r="391" spans="1:68" ht="16.5" customHeight="1" x14ac:dyDescent="0.25">
      <c r="A391" s="60" t="s">
        <v>657</v>
      </c>
      <c r="B391" s="60" t="s">
        <v>658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100</v>
      </c>
      <c r="Y391" s="53">
        <f>IFERROR(IF(X391="",0,CEILING((X391/$H391),1)*$H391),"")</f>
        <v>100.80000000000001</v>
      </c>
      <c r="Z391" s="39">
        <f>IFERROR(IF(Y391=0,"",ROUNDUP(Y391/H391,0)*0.01898),"")</f>
        <v>0.22776000000000002</v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105.88095238095238</v>
      </c>
      <c r="BN391" s="75">
        <f>IFERROR(Y391*I391/H391,"0")</f>
        <v>106.72800000000001</v>
      </c>
      <c r="BO391" s="75">
        <f>IFERROR(1/J391*(X391/H391),"0")</f>
        <v>0.18601190476190477</v>
      </c>
      <c r="BP391" s="75">
        <f>IFERROR(1/J391*(Y391/H391),"0")</f>
        <v>0.1875</v>
      </c>
    </row>
    <row r="392" spans="1:68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159.34065934065933</v>
      </c>
      <c r="Y392" s="41">
        <f>IFERROR(Y389/H389,"0")+IFERROR(Y390/H390,"0")+IFERROR(Y391/H391,"0")</f>
        <v>161</v>
      </c>
      <c r="Z392" s="41">
        <f>IFERROR(IF(Z389="",0,Z389),"0")+IFERROR(IF(Z390="",0,Z390),"0")+IFERROR(IF(Z391="",0,Z391),"0")</f>
        <v>3.0557799999999999</v>
      </c>
      <c r="AA392" s="64"/>
      <c r="AB392" s="64"/>
      <c r="AC392" s="64"/>
    </row>
    <row r="393" spans="1:68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1300</v>
      </c>
      <c r="Y393" s="41">
        <f>IFERROR(SUM(Y389:Y391),"0")</f>
        <v>1313.3999999999999</v>
      </c>
      <c r="Z393" s="40"/>
      <c r="AA393" s="64"/>
      <c r="AB393" s="64"/>
      <c r="AC393" s="64"/>
    </row>
    <row r="394" spans="1:68" ht="14.25" hidden="1" customHeight="1" x14ac:dyDescent="0.25">
      <c r="A394" s="703" t="s">
        <v>104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660</v>
      </c>
      <c r="B395" s="60" t="s">
        <v>661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667</v>
      </c>
      <c r="B398" s="60" t="s">
        <v>668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669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670</v>
      </c>
      <c r="B402" s="60" t="s">
        <v>671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676</v>
      </c>
      <c r="B404" s="60" t="s">
        <v>677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678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679</v>
      </c>
      <c r="B408" s="60" t="s">
        <v>680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687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86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688</v>
      </c>
      <c r="B415" s="60" t="s">
        <v>689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595</v>
      </c>
      <c r="Y416" s="53">
        <f>IFERROR(IF(X416="",0,CEILING((X416/$H416),1)*$H416),"")</f>
        <v>596.4</v>
      </c>
      <c r="Z416" s="39">
        <f>IFERROR(IF(Y416=0,"",ROUNDUP(Y416/H416,0)*0.00651),"")</f>
        <v>1.84884</v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666.39999999999986</v>
      </c>
      <c r="BN416" s="75">
        <f>IFERROR(Y416*I416/H416,"0")</f>
        <v>667.96799999999985</v>
      </c>
      <c r="BO416" s="75">
        <f>IFERROR(1/J416*(X416/H416),"0")</f>
        <v>1.5567765567765568</v>
      </c>
      <c r="BP416" s="75">
        <f>IFERROR(1/J416*(Y416/H416),"0")</f>
        <v>1.5604395604395607</v>
      </c>
    </row>
    <row r="417" spans="1:68" ht="27" customHeight="1" x14ac:dyDescent="0.25">
      <c r="A417" s="60" t="s">
        <v>694</v>
      </c>
      <c r="B417" s="60" t="s">
        <v>695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350</v>
      </c>
      <c r="Y417" s="53">
        <f>IFERROR(IF(X417="",0,CEILING((X417/$H417),1)*$H417),"")</f>
        <v>350.7</v>
      </c>
      <c r="Z417" s="39">
        <f>IFERROR(IF(Y417=0,"",ROUNDUP(Y417/H417,0)*0.00651),"")</f>
        <v>1.08717</v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390</v>
      </c>
      <c r="BN417" s="75">
        <f>IFERROR(Y417*I417/H417,"0")</f>
        <v>390.78</v>
      </c>
      <c r="BO417" s="75">
        <f>IFERROR(1/J417*(X417/H417),"0")</f>
        <v>0.91575091575091572</v>
      </c>
      <c r="BP417" s="75">
        <f>IFERROR(1/J417*(Y417/H417),"0")</f>
        <v>0.91758241758241765</v>
      </c>
    </row>
    <row r="418" spans="1:68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450</v>
      </c>
      <c r="Y418" s="41">
        <f>IFERROR(Y415/H415,"0")+IFERROR(Y416/H416,"0")+IFERROR(Y417/H417,"0")</f>
        <v>451</v>
      </c>
      <c r="Z418" s="41">
        <f>IFERROR(IF(Z415="",0,Z415),"0")+IFERROR(IF(Z416="",0,Z416),"0")+IFERROR(IF(Z417="",0,Z417),"0")</f>
        <v>2.93601</v>
      </c>
      <c r="AA418" s="64"/>
      <c r="AB418" s="64"/>
      <c r="AC418" s="64"/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945</v>
      </c>
      <c r="Y419" s="41">
        <f>IFERROR(SUM(Y415:Y417),"0")</f>
        <v>947.09999999999991</v>
      </c>
      <c r="Z419" s="40"/>
      <c r="AA419" s="64"/>
      <c r="AB419" s="64"/>
      <c r="AC419" s="64"/>
    </row>
    <row r="420" spans="1:68" ht="27.75" hidden="1" customHeight="1" x14ac:dyDescent="0.2">
      <c r="A420" s="701" t="s">
        <v>697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698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128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customHeight="1" x14ac:dyDescent="0.25">
      <c r="A423" s="60" t="s">
        <v>699</v>
      </c>
      <c r="B423" s="60" t="s">
        <v>700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300</v>
      </c>
      <c r="Y423" s="53">
        <f t="shared" ref="Y423:Y430" si="52">IFERROR(IF(X423="",0,CEILING((X423/$H423),1)*$H423),"")</f>
        <v>300</v>
      </c>
      <c r="Z423" s="39">
        <f>IFERROR(IF(Y423=0,"",ROUNDUP(Y423/H423,0)*0.02175),"")</f>
        <v>0.43499999999999994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309.39999999999998</v>
      </c>
      <c r="BN423" s="75">
        <f t="shared" ref="BN423:BN430" si="54">IFERROR(Y423*I423/H423,"0")</f>
        <v>309.39999999999998</v>
      </c>
      <c r="BO423" s="75">
        <f t="shared" ref="BO423:BO430" si="55">IFERROR(1/J423*(X423/H423),"0")</f>
        <v>0.41666666666666663</v>
      </c>
      <c r="BP423" s="75">
        <f t="shared" ref="BP423:BP430" si="56">IFERROR(1/J423*(Y423/H423),"0")</f>
        <v>0.41666666666666663</v>
      </c>
    </row>
    <row r="424" spans="1:68" ht="37.5" hidden="1" customHeight="1" x14ac:dyDescent="0.25">
      <c r="A424" s="60" t="s">
        <v>702</v>
      </c>
      <c r="B424" s="60" t="s">
        <v>703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customHeight="1" x14ac:dyDescent="0.25">
      <c r="A425" s="60" t="s">
        <v>705</v>
      </c>
      <c r="B425" s="60" t="s">
        <v>706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1000</v>
      </c>
      <c r="Y425" s="53">
        <f t="shared" si="52"/>
        <v>1005</v>
      </c>
      <c r="Z425" s="39">
        <f>IFERROR(IF(Y425=0,"",ROUNDUP(Y425/H425,0)*0.02175),"")</f>
        <v>1.4572499999999999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1031.3333333333333</v>
      </c>
      <c r="BN425" s="75">
        <f t="shared" si="54"/>
        <v>1036.49</v>
      </c>
      <c r="BO425" s="75">
        <f t="shared" si="55"/>
        <v>1.3888888888888888</v>
      </c>
      <c r="BP425" s="75">
        <f t="shared" si="56"/>
        <v>1.3958333333333333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customHeight="1" x14ac:dyDescent="0.25">
      <c r="A427" s="60" t="s">
        <v>711</v>
      </c>
      <c r="B427" s="60" t="s">
        <v>712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500</v>
      </c>
      <c r="Y427" s="53">
        <f t="shared" si="52"/>
        <v>510</v>
      </c>
      <c r="Z427" s="39">
        <f>IFERROR(IF(Y427=0,"",ROUNDUP(Y427/H427,0)*0.02175),"")</f>
        <v>0.73949999999999994</v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515.66666666666663</v>
      </c>
      <c r="BN427" s="75">
        <f t="shared" si="54"/>
        <v>525.98</v>
      </c>
      <c r="BO427" s="75">
        <f t="shared" si="55"/>
        <v>0.69444444444444442</v>
      </c>
      <c r="BP427" s="75">
        <f t="shared" si="56"/>
        <v>0.70833333333333326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customHeight="1" x14ac:dyDescent="0.25">
      <c r="A430" s="60" t="s">
        <v>720</v>
      </c>
      <c r="B430" s="60" t="s">
        <v>721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10</v>
      </c>
      <c r="Y430" s="53">
        <f t="shared" si="52"/>
        <v>10</v>
      </c>
      <c r="Z430" s="39">
        <f>IFERROR(IF(Y430=0,"",ROUNDUP(Y430/H430,0)*0.00902),"")</f>
        <v>1.804E-2</v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10.38</v>
      </c>
      <c r="BN430" s="75">
        <f t="shared" si="54"/>
        <v>10.38</v>
      </c>
      <c r="BO430" s="75">
        <f t="shared" si="55"/>
        <v>1.5151515151515152E-2</v>
      </c>
      <c r="BP430" s="75">
        <f t="shared" si="56"/>
        <v>1.5151515151515152E-2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122</v>
      </c>
      <c r="Y431" s="41">
        <f>IFERROR(Y423/H423,"0")+IFERROR(Y424/H424,"0")+IFERROR(Y425/H425,"0")+IFERROR(Y426/H426,"0")+IFERROR(Y427/H427,"0")+IFERROR(Y428/H428,"0")+IFERROR(Y429/H429,"0")+IFERROR(Y430/H430,"0")</f>
        <v>123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2.6497899999999999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1810</v>
      </c>
      <c r="Y432" s="41">
        <f>IFERROR(SUM(Y423:Y430),"0")</f>
        <v>1825</v>
      </c>
      <c r="Z432" s="40"/>
      <c r="AA432" s="64"/>
      <c r="AB432" s="64"/>
      <c r="AC432" s="64"/>
    </row>
    <row r="433" spans="1:68" ht="14.25" hidden="1" customHeight="1" x14ac:dyDescent="0.25">
      <c r="A433" s="703" t="s">
        <v>164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723</v>
      </c>
      <c r="B434" s="60" t="s">
        <v>724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customHeight="1" x14ac:dyDescent="0.25">
      <c r="A435" s="60" t="s">
        <v>726</v>
      </c>
      <c r="B435" s="60" t="s">
        <v>727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150</v>
      </c>
      <c r="Y435" s="53">
        <f>IFERROR(IF(X435="",0,CEILING((X435/$H435),1)*$H435),"")</f>
        <v>150</v>
      </c>
      <c r="Z435" s="39">
        <f>IFERROR(IF(Y435=0,"",ROUNDUP(Y435/H435,0)*0.02175),"")</f>
        <v>0.21749999999999997</v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154.69999999999999</v>
      </c>
      <c r="BN435" s="75">
        <f>IFERROR(Y435*I435/H435,"0")</f>
        <v>154.69999999999999</v>
      </c>
      <c r="BO435" s="75">
        <f>IFERROR(1/J435*(X435/H435),"0")</f>
        <v>0.20833333333333331</v>
      </c>
      <c r="BP435" s="75">
        <f>IFERROR(1/J435*(Y435/H435),"0")</f>
        <v>0.20833333333333331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10</v>
      </c>
      <c r="Y437" s="41">
        <f>IFERROR(Y434/H434,"0")+IFERROR(Y435/H435,"0")+IFERROR(Y436/H436,"0")</f>
        <v>10</v>
      </c>
      <c r="Z437" s="41">
        <f>IFERROR(IF(Z434="",0,Z434),"0")+IFERROR(IF(Z435="",0,Z435),"0")+IFERROR(IF(Z436="",0,Z436),"0")</f>
        <v>0.21749999999999997</v>
      </c>
      <c r="AA437" s="64"/>
      <c r="AB437" s="64"/>
      <c r="AC437" s="64"/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150</v>
      </c>
      <c r="Y438" s="41">
        <f>IFERROR(SUM(Y434:Y436),"0")</f>
        <v>150</v>
      </c>
      <c r="Z438" s="40"/>
      <c r="AA438" s="64"/>
      <c r="AB438" s="64"/>
      <c r="AC438" s="64"/>
    </row>
    <row r="439" spans="1:68" ht="14.25" hidden="1" customHeight="1" x14ac:dyDescent="0.25">
      <c r="A439" s="703" t="s">
        <v>86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customHeight="1" x14ac:dyDescent="0.25">
      <c r="A441" s="60" t="s">
        <v>735</v>
      </c>
      <c r="B441" s="60" t="s">
        <v>736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100</v>
      </c>
      <c r="Y441" s="53">
        <f>IFERROR(IF(X441="",0,CEILING((X441/$H441),1)*$H441),"")</f>
        <v>108</v>
      </c>
      <c r="Z441" s="39">
        <f>IFERROR(IF(Y441=0,"",ROUNDUP(Y441/H441,0)*0.01898),"")</f>
        <v>0.22776000000000002</v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105.48888888888888</v>
      </c>
      <c r="BN441" s="75">
        <f>IFERROR(Y441*I441/H441,"0")</f>
        <v>113.92799999999998</v>
      </c>
      <c r="BO441" s="75">
        <f>IFERROR(1/J441*(X441/H441),"0")</f>
        <v>0.1736111111111111</v>
      </c>
      <c r="BP441" s="75">
        <f>IFERROR(1/J441*(Y441/H441),"0")</f>
        <v>0.1875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11.111111111111111</v>
      </c>
      <c r="Y443" s="41">
        <f>IFERROR(Y440/H440,"0")+IFERROR(Y441/H441,"0")+IFERROR(Y442/H442,"0")</f>
        <v>12</v>
      </c>
      <c r="Z443" s="41">
        <f>IFERROR(IF(Z440="",0,Z440),"0")+IFERROR(IF(Z441="",0,Z441),"0")+IFERROR(IF(Z442="",0,Z442),"0")</f>
        <v>0.22776000000000002</v>
      </c>
      <c r="AA443" s="64"/>
      <c r="AB443" s="64"/>
      <c r="AC443" s="64"/>
    </row>
    <row r="444" spans="1:68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100</v>
      </c>
      <c r="Y444" s="41">
        <f>IFERROR(SUM(Y440:Y442),"0")</f>
        <v>108</v>
      </c>
      <c r="Z444" s="40"/>
      <c r="AA444" s="64"/>
      <c r="AB444" s="64"/>
      <c r="AC444" s="64"/>
    </row>
    <row r="445" spans="1:68" ht="14.25" hidden="1" customHeight="1" x14ac:dyDescent="0.25">
      <c r="A445" s="703" t="s">
        <v>181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customHeight="1" x14ac:dyDescent="0.25">
      <c r="A447" s="60" t="s">
        <v>744</v>
      </c>
      <c r="B447" s="60" t="s">
        <v>745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50</v>
      </c>
      <c r="Y447" s="53">
        <f>IFERROR(IF(X447="",0,CEILING((X447/$H447),1)*$H447),"")</f>
        <v>54</v>
      </c>
      <c r="Z447" s="39">
        <f>IFERROR(IF(Y447=0,"",ROUNDUP(Y447/H447,0)*0.01898),"")</f>
        <v>0.11388000000000001</v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52.74444444444444</v>
      </c>
      <c r="BN447" s="75">
        <f>IFERROR(Y447*I447/H447,"0")</f>
        <v>56.963999999999992</v>
      </c>
      <c r="BO447" s="75">
        <f>IFERROR(1/J447*(X447/H447),"0")</f>
        <v>8.6805555555555552E-2</v>
      </c>
      <c r="BP447" s="75">
        <f>IFERROR(1/J447*(Y447/H447),"0")</f>
        <v>9.375E-2</v>
      </c>
    </row>
    <row r="448" spans="1:68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5.5555555555555554</v>
      </c>
      <c r="Y448" s="41">
        <f>IFERROR(Y446/H446,"0")+IFERROR(Y447/H447,"0")</f>
        <v>6</v>
      </c>
      <c r="Z448" s="41">
        <f>IFERROR(IF(Z446="",0,Z446),"0")+IFERROR(IF(Z447="",0,Z447),"0")</f>
        <v>0.11388000000000001</v>
      </c>
      <c r="AA448" s="64"/>
      <c r="AB448" s="64"/>
      <c r="AC448" s="64"/>
    </row>
    <row r="449" spans="1:68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50</v>
      </c>
      <c r="Y449" s="41">
        <f>IFERROR(SUM(Y446:Y447),"0")</f>
        <v>54</v>
      </c>
      <c r="Z449" s="40"/>
      <c r="AA449" s="64"/>
      <c r="AB449" s="64"/>
      <c r="AC449" s="64"/>
    </row>
    <row r="450" spans="1:68" ht="16.5" hidden="1" customHeight="1" x14ac:dyDescent="0.25">
      <c r="A450" s="702" t="s">
        <v>747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128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customHeight="1" x14ac:dyDescent="0.25">
      <c r="A452" s="60" t="s">
        <v>748</v>
      </c>
      <c r="B452" s="60" t="s">
        <v>749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40</v>
      </c>
      <c r="Y452" s="53">
        <f>IFERROR(IF(X452="",0,CEILING((X452/$H452),1)*$H452),"")</f>
        <v>48</v>
      </c>
      <c r="Z452" s="39">
        <f>IFERROR(IF(Y452=0,"",ROUNDUP(Y452/H452,0)*0.01898),"")</f>
        <v>7.5920000000000001E-2</v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41.366666666666667</v>
      </c>
      <c r="BN452" s="75">
        <f>IFERROR(Y452*I452/H452,"0")</f>
        <v>49.640000000000008</v>
      </c>
      <c r="BO452" s="75">
        <f>IFERROR(1/J452*(X452/H452),"0")</f>
        <v>5.2083333333333336E-2</v>
      </c>
      <c r="BP452" s="75">
        <f>IFERROR(1/J452*(Y452/H452),"0")</f>
        <v>6.25E-2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3.3333333333333335</v>
      </c>
      <c r="Y454" s="41">
        <f>IFERROR(Y452/H452,"0")+IFERROR(Y453/H453,"0")</f>
        <v>4</v>
      </c>
      <c r="Z454" s="41">
        <f>IFERROR(IF(Z452="",0,Z452),"0")+IFERROR(IF(Z453="",0,Z453),"0")</f>
        <v>7.5920000000000001E-2</v>
      </c>
      <c r="AA454" s="64"/>
      <c r="AB454" s="64"/>
      <c r="AC454" s="64"/>
    </row>
    <row r="455" spans="1:68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40</v>
      </c>
      <c r="Y455" s="41">
        <f>IFERROR(SUM(Y452:Y453),"0")</f>
        <v>48</v>
      </c>
      <c r="Z455" s="40"/>
      <c r="AA455" s="64"/>
      <c r="AB455" s="64"/>
      <c r="AC455" s="64"/>
    </row>
    <row r="456" spans="1:68" ht="14.25" hidden="1" customHeight="1" x14ac:dyDescent="0.25">
      <c r="A456" s="703" t="s">
        <v>77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86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customHeight="1" x14ac:dyDescent="0.25">
      <c r="A461" s="60" t="s">
        <v>756</v>
      </c>
      <c r="B461" s="60" t="s">
        <v>757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50</v>
      </c>
      <c r="Y461" s="53">
        <f>IFERROR(IF(X461="",0,CEILING((X461/$H461),1)*$H461),"")</f>
        <v>54</v>
      </c>
      <c r="Z461" s="39">
        <f>IFERROR(IF(Y461=0,"",ROUNDUP(Y461/H461,0)*0.01898),"")</f>
        <v>0.11388000000000001</v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52.74444444444444</v>
      </c>
      <c r="BN461" s="75">
        <f>IFERROR(Y461*I461/H461,"0")</f>
        <v>56.963999999999992</v>
      </c>
      <c r="BO461" s="75">
        <f>IFERROR(1/J461*(X461/H461),"0")</f>
        <v>8.6805555555555552E-2</v>
      </c>
      <c r="BP461" s="75">
        <f>IFERROR(1/J461*(Y461/H461),"0")</f>
        <v>9.375E-2</v>
      </c>
    </row>
    <row r="462" spans="1:68" ht="27" hidden="1" customHeight="1" x14ac:dyDescent="0.25">
      <c r="A462" s="60" t="s">
        <v>759</v>
      </c>
      <c r="B462" s="60" t="s">
        <v>760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5.5555555555555554</v>
      </c>
      <c r="Y464" s="41">
        <f>IFERROR(Y461/H461,"0")+IFERROR(Y462/H462,"0")+IFERROR(Y463/H463,"0")</f>
        <v>6</v>
      </c>
      <c r="Z464" s="41">
        <f>IFERROR(IF(Z461="",0,Z461),"0")+IFERROR(IF(Z462="",0,Z462),"0")+IFERROR(IF(Z463="",0,Z463),"0")</f>
        <v>0.11388000000000001</v>
      </c>
      <c r="AA464" s="64"/>
      <c r="AB464" s="64"/>
      <c r="AC464" s="64"/>
    </row>
    <row r="465" spans="1:68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50</v>
      </c>
      <c r="Y465" s="41">
        <f>IFERROR(SUM(Y461:Y463),"0")</f>
        <v>54</v>
      </c>
      <c r="Z465" s="40"/>
      <c r="AA465" s="64"/>
      <c r="AB465" s="64"/>
      <c r="AC465" s="64"/>
    </row>
    <row r="466" spans="1:68" ht="27.75" hidden="1" customHeight="1" x14ac:dyDescent="0.2">
      <c r="A466" s="701" t="s">
        <v>763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764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77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765</v>
      </c>
      <c r="B469" s="60" t="s">
        <v>766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768</v>
      </c>
      <c r="B470" s="60" t="s">
        <v>769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779</v>
      </c>
      <c r="B474" s="60" t="s">
        <v>780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86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787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164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77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791</v>
      </c>
      <c r="B488" s="60" t="s">
        <v>792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797</v>
      </c>
      <c r="B490" s="60" t="s">
        <v>798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799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799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128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800</v>
      </c>
      <c r="B496" s="60" t="s">
        <v>801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customHeight="1" x14ac:dyDescent="0.25">
      <c r="A499" s="60" t="s">
        <v>808</v>
      </c>
      <c r="B499" s="60" t="s">
        <v>809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60</v>
      </c>
      <c r="Y499" s="53">
        <f t="shared" si="62"/>
        <v>63.36</v>
      </c>
      <c r="Z499" s="39">
        <f t="shared" si="63"/>
        <v>0.14352000000000001</v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63.977272727272727</v>
      </c>
      <c r="BN499" s="75">
        <f t="shared" si="65"/>
        <v>67.559999999999988</v>
      </c>
      <c r="BO499" s="75">
        <f t="shared" si="66"/>
        <v>0.10926573426573427</v>
      </c>
      <c r="BP499" s="75">
        <f t="shared" si="67"/>
        <v>0.11538461538461539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300</v>
      </c>
      <c r="Y501" s="53">
        <f t="shared" si="62"/>
        <v>300.96000000000004</v>
      </c>
      <c r="Z501" s="39">
        <f t="shared" si="63"/>
        <v>0.68171999999999999</v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319.88636363636363</v>
      </c>
      <c r="BN501" s="75">
        <f t="shared" si="65"/>
        <v>320.91000000000003</v>
      </c>
      <c r="BO501" s="75">
        <f t="shared" si="66"/>
        <v>0.54632867132867136</v>
      </c>
      <c r="BP501" s="75">
        <f t="shared" si="67"/>
        <v>0.54807692307692313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customHeight="1" x14ac:dyDescent="0.25">
      <c r="A503" s="60" t="s">
        <v>819</v>
      </c>
      <c r="B503" s="60" t="s">
        <v>820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84</v>
      </c>
      <c r="Y503" s="53">
        <f t="shared" si="62"/>
        <v>86.399999999999991</v>
      </c>
      <c r="Z503" s="39">
        <f>IFERROR(IF(Y503=0,"",ROUNDUP(Y503/H503,0)*0.00902),"")</f>
        <v>0.16236</v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120.92500000000001</v>
      </c>
      <c r="BN503" s="75">
        <f t="shared" si="65"/>
        <v>124.38000000000001</v>
      </c>
      <c r="BO503" s="75">
        <f t="shared" si="66"/>
        <v>0.13257575757575757</v>
      </c>
      <c r="BP503" s="75">
        <f t="shared" si="67"/>
        <v>0.13636363636363635</v>
      </c>
    </row>
    <row r="504" spans="1:68" ht="27" customHeight="1" x14ac:dyDescent="0.25">
      <c r="A504" s="60" t="s">
        <v>821</v>
      </c>
      <c r="B504" s="60" t="s">
        <v>822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240</v>
      </c>
      <c r="Y504" s="53">
        <f t="shared" si="62"/>
        <v>240</v>
      </c>
      <c r="Z504" s="39">
        <f>IFERROR(IF(Y504=0,"",ROUNDUP(Y504/H504,0)*0.00902),"")</f>
        <v>0.45100000000000001</v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345.50000000000006</v>
      </c>
      <c r="BN504" s="75">
        <f t="shared" si="65"/>
        <v>345.50000000000006</v>
      </c>
      <c r="BO504" s="75">
        <f t="shared" si="66"/>
        <v>0.37878787878787878</v>
      </c>
      <c r="BP504" s="75">
        <f t="shared" si="67"/>
        <v>0.37878787878787878</v>
      </c>
    </row>
    <row r="505" spans="1:68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135.68181818181819</v>
      </c>
      <c r="Y505" s="41">
        <f>IFERROR(Y496/H496,"0")+IFERROR(Y497/H497,"0")+IFERROR(Y498/H498,"0")+IFERROR(Y499/H499,"0")+IFERROR(Y500/H500,"0")+IFERROR(Y501/H501,"0")+IFERROR(Y502/H502,"0")+IFERROR(Y503/H503,"0")+IFERROR(Y504/H504,"0")</f>
        <v>137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1.4386000000000001</v>
      </c>
      <c r="AA505" s="64"/>
      <c r="AB505" s="64"/>
      <c r="AC505" s="64"/>
    </row>
    <row r="506" spans="1:68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684</v>
      </c>
      <c r="Y506" s="41">
        <f>IFERROR(SUM(Y496:Y504),"0")</f>
        <v>690.72</v>
      </c>
      <c r="Z506" s="40"/>
      <c r="AA506" s="64"/>
      <c r="AB506" s="64"/>
      <c r="AC506" s="64"/>
    </row>
    <row r="507" spans="1:68" ht="14.25" hidden="1" customHeight="1" x14ac:dyDescent="0.25">
      <c r="A507" s="703" t="s">
        <v>164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customHeight="1" x14ac:dyDescent="0.25">
      <c r="A508" s="60" t="s">
        <v>823</v>
      </c>
      <c r="B508" s="60" t="s">
        <v>824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200</v>
      </c>
      <c r="Y508" s="53">
        <f>IFERROR(IF(X508="",0,CEILING((X508/$H508),1)*$H508),"")</f>
        <v>200.64000000000001</v>
      </c>
      <c r="Z508" s="39">
        <f>IFERROR(IF(Y508=0,"",ROUNDUP(Y508/H508,0)*0.01196),"")</f>
        <v>0.45448</v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213.25757575757575</v>
      </c>
      <c r="BN508" s="75">
        <f>IFERROR(Y508*I508/H508,"0")</f>
        <v>213.94</v>
      </c>
      <c r="BO508" s="75">
        <f>IFERROR(1/J508*(X508/H508),"0")</f>
        <v>0.36421911421911418</v>
      </c>
      <c r="BP508" s="75">
        <f>IFERROR(1/J508*(Y508/H508),"0")</f>
        <v>0.36538461538461542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customHeight="1" x14ac:dyDescent="0.25">
      <c r="A510" s="60" t="s">
        <v>828</v>
      </c>
      <c r="B510" s="60" t="s">
        <v>829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72</v>
      </c>
      <c r="Y510" s="53">
        <f>IFERROR(IF(X510="",0,CEILING((X510/$H510),1)*$H510),"")</f>
        <v>72</v>
      </c>
      <c r="Z510" s="39">
        <f>IFERROR(IF(Y510=0,"",ROUNDUP(Y510/H510,0)*0.00902),"")</f>
        <v>0.1353</v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103.65</v>
      </c>
      <c r="BN510" s="75">
        <f>IFERROR(Y510*I510/H510,"0")</f>
        <v>103.65</v>
      </c>
      <c r="BO510" s="75">
        <f>IFERROR(1/J510*(X510/H510),"0")</f>
        <v>0.11363636363636365</v>
      </c>
      <c r="BP510" s="75">
        <f>IFERROR(1/J510*(Y510/H510),"0")</f>
        <v>0.11363636363636365</v>
      </c>
    </row>
    <row r="511" spans="1:68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52.878787878787875</v>
      </c>
      <c r="Y511" s="41">
        <f>IFERROR(Y508/H508,"0")+IFERROR(Y509/H509,"0")+IFERROR(Y510/H510,"0")</f>
        <v>53</v>
      </c>
      <c r="Z511" s="41">
        <f>IFERROR(IF(Z508="",0,Z508),"0")+IFERROR(IF(Z509="",0,Z509),"0")+IFERROR(IF(Z510="",0,Z510),"0")</f>
        <v>0.58977999999999997</v>
      </c>
      <c r="AA511" s="64"/>
      <c r="AB511" s="64"/>
      <c r="AC511" s="64"/>
    </row>
    <row r="512" spans="1:68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272</v>
      </c>
      <c r="Y512" s="41">
        <f>IFERROR(SUM(Y508:Y510),"0")</f>
        <v>272.64</v>
      </c>
      <c r="Z512" s="40"/>
      <c r="AA512" s="64"/>
      <c r="AB512" s="64"/>
      <c r="AC512" s="64"/>
    </row>
    <row r="513" spans="1:68" ht="14.25" hidden="1" customHeight="1" x14ac:dyDescent="0.25">
      <c r="A513" s="703" t="s">
        <v>77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830</v>
      </c>
      <c r="B514" s="60" t="s">
        <v>831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customHeight="1" x14ac:dyDescent="0.25">
      <c r="A515" s="60" t="s">
        <v>833</v>
      </c>
      <c r="B515" s="60" t="s">
        <v>834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30</v>
      </c>
      <c r="Y515" s="53">
        <f t="shared" si="68"/>
        <v>31.68</v>
      </c>
      <c r="Z515" s="39">
        <f>IFERROR(IF(Y515=0,"",ROUNDUP(Y515/H515,0)*0.01196),"")</f>
        <v>7.1760000000000004E-2</v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31.988636363636363</v>
      </c>
      <c r="BN515" s="75">
        <f t="shared" si="70"/>
        <v>33.779999999999994</v>
      </c>
      <c r="BO515" s="75">
        <f t="shared" si="71"/>
        <v>5.4632867132867136E-2</v>
      </c>
      <c r="BP515" s="75">
        <f t="shared" si="72"/>
        <v>5.7692307692307696E-2</v>
      </c>
    </row>
    <row r="516" spans="1:68" ht="27" customHeight="1" x14ac:dyDescent="0.25">
      <c r="A516" s="60" t="s">
        <v>836</v>
      </c>
      <c r="B516" s="60" t="s">
        <v>837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200</v>
      </c>
      <c r="Y516" s="53">
        <f t="shared" si="68"/>
        <v>200.64000000000001</v>
      </c>
      <c r="Z516" s="39">
        <f>IFERROR(IF(Y516=0,"",ROUNDUP(Y516/H516,0)*0.01196),"")</f>
        <v>0.45448</v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213.25757575757575</v>
      </c>
      <c r="BN516" s="75">
        <f t="shared" si="70"/>
        <v>213.94</v>
      </c>
      <c r="BO516" s="75">
        <f t="shared" si="71"/>
        <v>0.36421911421911418</v>
      </c>
      <c r="BP516" s="75">
        <f t="shared" si="72"/>
        <v>0.36538461538461542</v>
      </c>
    </row>
    <row r="517" spans="1:68" ht="27" customHeight="1" x14ac:dyDescent="0.25">
      <c r="A517" s="60" t="s">
        <v>839</v>
      </c>
      <c r="B517" s="60" t="s">
        <v>840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48</v>
      </c>
      <c r="Y517" s="53">
        <f t="shared" si="68"/>
        <v>48</v>
      </c>
      <c r="Z517" s="39">
        <f>IFERROR(IF(Y517=0,"",ROUNDUP(Y517/H517,0)*0.00902),"")</f>
        <v>9.0200000000000002E-2</v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69.100000000000009</v>
      </c>
      <c r="BN517" s="75">
        <f t="shared" si="70"/>
        <v>69.100000000000009</v>
      </c>
      <c r="BO517" s="75">
        <f t="shared" si="71"/>
        <v>7.575757575757576E-2</v>
      </c>
      <c r="BP517" s="75">
        <f t="shared" si="72"/>
        <v>7.575757575757576E-2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customHeight="1" x14ac:dyDescent="0.25">
      <c r="A519" s="60" t="s">
        <v>841</v>
      </c>
      <c r="B519" s="60" t="s">
        <v>843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12</v>
      </c>
      <c r="Y519" s="53">
        <f t="shared" si="68"/>
        <v>14.399999999999999</v>
      </c>
      <c r="Z519" s="39">
        <f>IFERROR(IF(Y519=0,"",ROUNDUP(Y519/H519,0)*0.00902),"")</f>
        <v>2.7060000000000001E-2</v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16.675000000000001</v>
      </c>
      <c r="BN519" s="75">
        <f t="shared" si="70"/>
        <v>20.009999999999998</v>
      </c>
      <c r="BO519" s="75">
        <f t="shared" si="71"/>
        <v>1.893939393939394E-2</v>
      </c>
      <c r="BP519" s="75">
        <f t="shared" si="72"/>
        <v>2.2727272727272728E-2</v>
      </c>
    </row>
    <row r="520" spans="1:68" ht="27" customHeight="1" x14ac:dyDescent="0.25">
      <c r="A520" s="60" t="s">
        <v>844</v>
      </c>
      <c r="B520" s="60" t="s">
        <v>845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60</v>
      </c>
      <c r="Y520" s="53">
        <f t="shared" si="68"/>
        <v>62.4</v>
      </c>
      <c r="Z520" s="39">
        <f>IFERROR(IF(Y520=0,"",ROUNDUP(Y520/H520,0)*0.00902),"")</f>
        <v>0.11726</v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83.375</v>
      </c>
      <c r="BN520" s="75">
        <f t="shared" si="70"/>
        <v>86.71</v>
      </c>
      <c r="BO520" s="75">
        <f t="shared" si="71"/>
        <v>9.4696969696969696E-2</v>
      </c>
      <c r="BP520" s="75">
        <f t="shared" si="72"/>
        <v>9.8484848484848481E-2</v>
      </c>
    </row>
    <row r="521" spans="1:68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68.560606060606062</v>
      </c>
      <c r="Y521" s="41">
        <f>IFERROR(Y514/H514,"0")+IFERROR(Y515/H515,"0")+IFERROR(Y516/H516,"0")+IFERROR(Y517/H517,"0")+IFERROR(Y518/H518,"0")+IFERROR(Y519/H519,"0")+IFERROR(Y520/H520,"0")</f>
        <v>70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0.7607600000000001</v>
      </c>
      <c r="AA521" s="64"/>
      <c r="AB521" s="64"/>
      <c r="AC521" s="64"/>
    </row>
    <row r="522" spans="1:68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350</v>
      </c>
      <c r="Y522" s="41">
        <f>IFERROR(SUM(Y514:Y520),"0")</f>
        <v>357.12</v>
      </c>
      <c r="Z522" s="40"/>
      <c r="AA522" s="64"/>
      <c r="AB522" s="64"/>
      <c r="AC522" s="64"/>
    </row>
    <row r="523" spans="1:68" ht="27.75" hidden="1" customHeight="1" x14ac:dyDescent="0.2">
      <c r="A523" s="701" t="s">
        <v>846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846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128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customHeight="1" x14ac:dyDescent="0.25">
      <c r="A526" s="60" t="s">
        <v>847</v>
      </c>
      <c r="B526" s="60" t="s">
        <v>848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50</v>
      </c>
      <c r="Y526" s="53">
        <f>IFERROR(IF(X526="",0,CEILING((X526/$H526),1)*$H526),"")</f>
        <v>60</v>
      </c>
      <c r="Z526" s="39">
        <f>IFERROR(IF(Y526=0,"",ROUNDUP(Y526/H526,0)*0.01898),"")</f>
        <v>9.4899999999999998E-2</v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51.708333333333336</v>
      </c>
      <c r="BN526" s="75">
        <f>IFERROR(Y526*I526/H526,"0")</f>
        <v>62.050000000000004</v>
      </c>
      <c r="BO526" s="75">
        <f>IFERROR(1/J526*(X526/H526),"0")</f>
        <v>6.5104166666666671E-2</v>
      </c>
      <c r="BP526" s="75">
        <f>IFERROR(1/J526*(Y526/H526),"0")</f>
        <v>7.8125E-2</v>
      </c>
    </row>
    <row r="527" spans="1:68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4.166666666666667</v>
      </c>
      <c r="Y527" s="41">
        <f>IFERROR(Y526/H526,"0")</f>
        <v>5</v>
      </c>
      <c r="Z527" s="41">
        <f>IFERROR(IF(Z526="",0,Z526),"0")</f>
        <v>9.4899999999999998E-2</v>
      </c>
      <c r="AA527" s="64"/>
      <c r="AB527" s="64"/>
      <c r="AC527" s="64"/>
    </row>
    <row r="528" spans="1:68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50</v>
      </c>
      <c r="Y528" s="41">
        <f>IFERROR(SUM(Y526:Y526),"0")</f>
        <v>60</v>
      </c>
      <c r="Z528" s="40"/>
      <c r="AA528" s="64"/>
      <c r="AB528" s="64"/>
      <c r="AC528" s="64"/>
    </row>
    <row r="529" spans="1:68" ht="14.25" hidden="1" customHeight="1" x14ac:dyDescent="0.25">
      <c r="A529" s="703" t="s">
        <v>164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77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86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customHeight="1" x14ac:dyDescent="0.25">
      <c r="A538" s="60" t="s">
        <v>856</v>
      </c>
      <c r="B538" s="60" t="s">
        <v>857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1430</v>
      </c>
      <c r="Y538" s="53">
        <f>IFERROR(IF(X538="",0,CEILING((X538/$H538),1)*$H538),"")</f>
        <v>1431</v>
      </c>
      <c r="Z538" s="39">
        <f>IFERROR(IF(Y538=0,"",ROUNDUP(Y538/H538,0)*0.01898),"")</f>
        <v>3.0178199999999999</v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1508.4911111111112</v>
      </c>
      <c r="BN538" s="75">
        <f>IFERROR(Y538*I538/H538,"0")</f>
        <v>1509.5459999999998</v>
      </c>
      <c r="BO538" s="75">
        <f>IFERROR(1/J538*(X538/H538),"0")</f>
        <v>2.4826388888888888</v>
      </c>
      <c r="BP538" s="75">
        <f>IFERROR(1/J538*(Y538/H538),"0")</f>
        <v>2.484375</v>
      </c>
    </row>
    <row r="539" spans="1:68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158.88888888888889</v>
      </c>
      <c r="Y539" s="41">
        <f>IFERROR(Y538/H538,"0")</f>
        <v>159</v>
      </c>
      <c r="Z539" s="41">
        <f>IFERROR(IF(Z538="",0,Z538),"0")</f>
        <v>3.0178199999999999</v>
      </c>
      <c r="AA539" s="64"/>
      <c r="AB539" s="64"/>
      <c r="AC539" s="64"/>
    </row>
    <row r="540" spans="1:68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1430</v>
      </c>
      <c r="Y540" s="41">
        <f>IFERROR(SUM(Y538:Y538),"0")</f>
        <v>1431</v>
      </c>
      <c r="Z540" s="40"/>
      <c r="AA540" s="64"/>
      <c r="AB540" s="64"/>
      <c r="AC540" s="64"/>
    </row>
    <row r="541" spans="1:68" ht="14.25" hidden="1" customHeight="1" x14ac:dyDescent="0.25">
      <c r="A541" s="703" t="s">
        <v>181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865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164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17458.400000000001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17646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18745.230345780234</v>
      </c>
      <c r="Y552" s="41">
        <f>IFERROR(SUM(BN22:BN548),"0")</f>
        <v>18945.212999999996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34</v>
      </c>
      <c r="Y553" s="42">
        <f>ROUNDUP(SUM(BP22:BP548),0)</f>
        <v>34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19595.230345780234</v>
      </c>
      <c r="Y554" s="41">
        <f>GrossWeightTotalR+PalletQtyTotalR*25</f>
        <v>19795.212999999996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4155.9245876515997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4190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39.968160000000005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994" t="s">
        <v>126</v>
      </c>
      <c r="E558" s="994" t="s">
        <v>126</v>
      </c>
      <c r="F558" s="994" t="s">
        <v>126</v>
      </c>
      <c r="G558" s="994" t="s">
        <v>126</v>
      </c>
      <c r="H558" s="994" t="s">
        <v>126</v>
      </c>
      <c r="I558" s="994" t="s">
        <v>126</v>
      </c>
      <c r="J558" s="994" t="s">
        <v>126</v>
      </c>
      <c r="K558" s="994" t="s">
        <v>358</v>
      </c>
      <c r="L558" s="994" t="s">
        <v>358</v>
      </c>
      <c r="M558" s="994" t="s">
        <v>358</v>
      </c>
      <c r="N558" s="995"/>
      <c r="O558" s="994" t="s">
        <v>358</v>
      </c>
      <c r="P558" s="994" t="s">
        <v>358</v>
      </c>
      <c r="Q558" s="994" t="s">
        <v>358</v>
      </c>
      <c r="R558" s="994" t="s">
        <v>358</v>
      </c>
      <c r="S558" s="994" t="s">
        <v>358</v>
      </c>
      <c r="T558" s="994" t="s">
        <v>358</v>
      </c>
      <c r="U558" s="994" t="s">
        <v>358</v>
      </c>
      <c r="V558" s="994" t="s">
        <v>697</v>
      </c>
      <c r="W558" s="994" t="s">
        <v>697</v>
      </c>
      <c r="X558" s="994" t="s">
        <v>763</v>
      </c>
      <c r="Y558" s="994" t="s">
        <v>763</v>
      </c>
      <c r="Z558" s="80" t="s">
        <v>799</v>
      </c>
      <c r="AA558" s="994" t="s">
        <v>846</v>
      </c>
      <c r="AB558" s="994" t="s">
        <v>846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76</v>
      </c>
      <c r="C559" s="994" t="s">
        <v>110</v>
      </c>
      <c r="D559" s="994" t="s">
        <v>127</v>
      </c>
      <c r="E559" s="994" t="s">
        <v>143</v>
      </c>
      <c r="F559" s="994" t="s">
        <v>188</v>
      </c>
      <c r="G559" s="994" t="s">
        <v>209</v>
      </c>
      <c r="H559" s="994" t="s">
        <v>248</v>
      </c>
      <c r="I559" s="994" t="s">
        <v>276</v>
      </c>
      <c r="J559" s="994" t="s">
        <v>126</v>
      </c>
      <c r="K559" s="994" t="s">
        <v>359</v>
      </c>
      <c r="L559" s="994" t="s">
        <v>380</v>
      </c>
      <c r="M559" s="994" t="s">
        <v>447</v>
      </c>
      <c r="N559" s="1"/>
      <c r="O559" s="994" t="s">
        <v>515</v>
      </c>
      <c r="P559" s="994" t="s">
        <v>548</v>
      </c>
      <c r="Q559" s="994" t="s">
        <v>564</v>
      </c>
      <c r="R559" s="994" t="s">
        <v>573</v>
      </c>
      <c r="S559" s="994" t="s">
        <v>594</v>
      </c>
      <c r="T559" s="994" t="s">
        <v>603</v>
      </c>
      <c r="U559" s="994" t="s">
        <v>687</v>
      </c>
      <c r="V559" s="994" t="s">
        <v>698</v>
      </c>
      <c r="W559" s="994" t="s">
        <v>747</v>
      </c>
      <c r="X559" s="994" t="s">
        <v>764</v>
      </c>
      <c r="Y559" s="994" t="s">
        <v>787</v>
      </c>
      <c r="Z559" s="994" t="s">
        <v>799</v>
      </c>
      <c r="AA559" s="994" t="s">
        <v>846</v>
      </c>
      <c r="AB559" s="994" t="s">
        <v>865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80.64</v>
      </c>
      <c r="D561" s="50">
        <f>IFERROR(Y51*1,"0")+IFERROR(Y52*1,"0")+IFERROR(Y53*1,"0")+IFERROR(Y54*1,"0")</f>
        <v>542.40000000000009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720.6</v>
      </c>
      <c r="F561" s="50">
        <f>IFERROR(Y88*1,"0")+IFERROR(Y89*1,"0")+IFERROR(Y90*1,"0")+IFERROR(Y91*1,"0")+IFERROR(Y95*1,"0")+IFERROR(Y96*1,"0")+IFERROR(Y97*1,"0")+IFERROR(Y98*1,"0")</f>
        <v>1323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1888.56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158.16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1273.08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433.48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2376.6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133.29999999999998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441.6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733.19999999999993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1543.8</v>
      </c>
      <c r="U561" s="50">
        <f>IFERROR(Y415*1,"0")+IFERROR(Y416*1,"0")+IFERROR(Y417*1,"0")</f>
        <v>947.09999999999991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2137</v>
      </c>
      <c r="W561" s="50">
        <f>IFERROR(Y452*1,"0")+IFERROR(Y453*1,"0")+IFERROR(Y457*1,"0")+IFERROR(Y461*1,"0")+IFERROR(Y462*1,"0")+IFERROR(Y463*1,"0")</f>
        <v>102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1320.4800000000002</v>
      </c>
      <c r="AA561" s="50">
        <f>IFERROR(Y526*1,"0")+IFERROR(Y530*1,"0")+IFERROR(Y534*1,"0")+IFERROR(Y538*1,"0")+IFERROR(Y542*1,"0")+IFERROR(Y543*1,"0")</f>
        <v>1491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50,40"/>
        <filter val="1 300,00"/>
        <filter val="1 370,00"/>
        <filter val="1 430,00"/>
        <filter val="1 520,00"/>
        <filter val="1 810,00"/>
        <filter val="10,00"/>
        <filter val="100,00"/>
        <filter val="101,11"/>
        <filter val="102,78"/>
        <filter val="105,00"/>
        <filter val="108,00"/>
        <filter val="11,11"/>
        <filter val="112,00"/>
        <filter val="112,50"/>
        <filter val="12,00"/>
        <filter val="120,00"/>
        <filter val="122,00"/>
        <filter val="135,68"/>
        <filter val="140,00"/>
        <filter val="144,00"/>
        <filter val="15,56"/>
        <filter val="150,00"/>
        <filter val="158,89"/>
        <filter val="159,34"/>
        <filter val="16,67"/>
        <filter val="17 458,40"/>
        <filter val="17,50"/>
        <filter val="172,50"/>
        <filter val="175,00"/>
        <filter val="178,10"/>
        <filter val="18 745,23"/>
        <filter val="18,00"/>
        <filter val="18,75"/>
        <filter val="183,33"/>
        <filter val="19 595,23"/>
        <filter val="19,60"/>
        <filter val="2,00"/>
        <filter val="2,70"/>
        <filter val="20,00"/>
        <filter val="20,45"/>
        <filter val="200,00"/>
        <filter val="229,26"/>
        <filter val="24,00"/>
        <filter val="240,00"/>
        <filter val="241,36"/>
        <filter val="25,00"/>
        <filter val="272,00"/>
        <filter val="280,00"/>
        <filter val="3,33"/>
        <filter val="3,85"/>
        <filter val="30,00"/>
        <filter val="300,00"/>
        <filter val="315,43"/>
        <filter val="32,00"/>
        <filter val="33,00"/>
        <filter val="34"/>
        <filter val="350,00"/>
        <filter val="360,00"/>
        <filter val="393,00"/>
        <filter val="4 155,92"/>
        <filter val="4,17"/>
        <filter val="4,20"/>
        <filter val="4,63"/>
        <filter val="4,67"/>
        <filter val="40,00"/>
        <filter val="400,00"/>
        <filter val="405,00"/>
        <filter val="41,67"/>
        <filter val="42,00"/>
        <filter val="440,00"/>
        <filter val="45,00"/>
        <filter val="450,00"/>
        <filter val="47,22"/>
        <filter val="473,14"/>
        <filter val="48,00"/>
        <filter val="480,00"/>
        <filter val="482,47"/>
        <filter val="49,00"/>
        <filter val="49,50"/>
        <filter val="5,56"/>
        <filter val="50,00"/>
        <filter val="500,00"/>
        <filter val="510,00"/>
        <filter val="52,50"/>
        <filter val="52,88"/>
        <filter val="525,00"/>
        <filter val="540,00"/>
        <filter val="56,00"/>
        <filter val="585,00"/>
        <filter val="595,00"/>
        <filter val="6,00"/>
        <filter val="60,00"/>
        <filter val="68,56"/>
        <filter val="684,00"/>
        <filter val="686,00"/>
        <filter val="7,00"/>
        <filter val="700,00"/>
        <filter val="72,00"/>
        <filter val="720,00"/>
        <filter val="785,00"/>
        <filter val="8,00"/>
        <filter val="8,40"/>
        <filter val="80,00"/>
        <filter val="800,00"/>
        <filter val="83,33"/>
        <filter val="84,00"/>
        <filter val="87,78"/>
        <filter val="9,00"/>
        <filter val="92,31"/>
        <filter val="93,89"/>
        <filter val="94,50"/>
        <filter val="945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9" spans="2:8" x14ac:dyDescent="0.2">
      <c r="B9" s="51" t="s">
        <v>878</v>
      </c>
      <c r="C9" s="51" t="s">
        <v>873</v>
      </c>
      <c r="D9" s="51" t="s">
        <v>46</v>
      </c>
      <c r="E9" s="51" t="s">
        <v>46</v>
      </c>
    </row>
    <row r="11" spans="2:8" x14ac:dyDescent="0.2">
      <c r="B11" s="51" t="s">
        <v>878</v>
      </c>
      <c r="C11" s="51" t="s">
        <v>876</v>
      </c>
      <c r="D11" s="51" t="s">
        <v>46</v>
      </c>
      <c r="E11" s="51" t="s">
        <v>46</v>
      </c>
    </row>
    <row r="13" spans="2:8" x14ac:dyDescent="0.2">
      <c r="B13" s="51" t="s">
        <v>879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889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