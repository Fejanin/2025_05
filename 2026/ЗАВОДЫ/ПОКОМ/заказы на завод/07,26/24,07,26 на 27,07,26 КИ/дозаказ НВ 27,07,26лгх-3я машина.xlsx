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CA3375A-D962-43EB-9ADF-C7DC2A72F5E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Y50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Y200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Y124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23" i="2" l="1"/>
  <c r="BN104" i="2"/>
  <c r="BN147" i="2"/>
  <c r="BN181" i="2"/>
  <c r="BN202" i="2"/>
  <c r="BN214" i="2"/>
  <c r="BN274" i="2"/>
  <c r="BN282" i="2"/>
  <c r="BN287" i="2"/>
  <c r="BN315" i="2"/>
  <c r="BN321" i="2"/>
  <c r="BN357" i="2"/>
  <c r="BN372" i="2"/>
  <c r="BN424" i="2"/>
  <c r="BN452" i="2"/>
  <c r="BN470" i="2"/>
  <c r="BN519" i="2"/>
  <c r="X550" i="2"/>
  <c r="BN54" i="2"/>
  <c r="BP78" i="2"/>
  <c r="BN91" i="2"/>
  <c r="BN96" i="2"/>
  <c r="BN120" i="2"/>
  <c r="BN142" i="2"/>
  <c r="BP156" i="2"/>
  <c r="BN166" i="2"/>
  <c r="BN210" i="2"/>
  <c r="BN231" i="2"/>
  <c r="BP234" i="2"/>
  <c r="BP242" i="2"/>
  <c r="BN244" i="2"/>
  <c r="BN269" i="2"/>
  <c r="BP295" i="2"/>
  <c r="BN305" i="2"/>
  <c r="Y316" i="2"/>
  <c r="BN326" i="2"/>
  <c r="Z345" i="2"/>
  <c r="BN345" i="2"/>
  <c r="BN351" i="2"/>
  <c r="Z382" i="2"/>
  <c r="BN394" i="2"/>
  <c r="BP402" i="2"/>
  <c r="Y411" i="2"/>
  <c r="BN429" i="2"/>
  <c r="BN462" i="2"/>
  <c r="BN488" i="2"/>
  <c r="BP496" i="2"/>
  <c r="BN500" i="2"/>
  <c r="BN533" i="2"/>
  <c r="BP350" i="2"/>
  <c r="Y32" i="2"/>
  <c r="Z88" i="2"/>
  <c r="Z329" i="2"/>
  <c r="Z350" i="2"/>
  <c r="Z375" i="2"/>
  <c r="Z396" i="2"/>
  <c r="Y490" i="2"/>
  <c r="BP487" i="2"/>
  <c r="Z495" i="2"/>
  <c r="BP495" i="2"/>
  <c r="Z499" i="2"/>
  <c r="BP499" i="2"/>
  <c r="Z501" i="2"/>
  <c r="Z31" i="2"/>
  <c r="Y36" i="2"/>
  <c r="BP88" i="2"/>
  <c r="Z98" i="2"/>
  <c r="Y170" i="2"/>
  <c r="Z178" i="2"/>
  <c r="BP29" i="2"/>
  <c r="BN35" i="2"/>
  <c r="BN42" i="2"/>
  <c r="Z106" i="2"/>
  <c r="Y125" i="2"/>
  <c r="Z139" i="2"/>
  <c r="Z147" i="2"/>
  <c r="BN148" i="2"/>
  <c r="BN154" i="2"/>
  <c r="BN235" i="2"/>
  <c r="Z357" i="2"/>
  <c r="Z394" i="2"/>
  <c r="Z441" i="2"/>
  <c r="Z469" i="2"/>
  <c r="Z487" i="2"/>
  <c r="Y491" i="2"/>
  <c r="Z29" i="2"/>
  <c r="BN82" i="2"/>
  <c r="Y92" i="2"/>
  <c r="BP121" i="2"/>
  <c r="BN179" i="2"/>
  <c r="Z181" i="2"/>
  <c r="BN182" i="2"/>
  <c r="Z198" i="2"/>
  <c r="Z199" i="2" s="1"/>
  <c r="Y203" i="2"/>
  <c r="BN226" i="2"/>
  <c r="Z287" i="2"/>
  <c r="BN288" i="2"/>
  <c r="BN303" i="2"/>
  <c r="BP358" i="2"/>
  <c r="Z424" i="2"/>
  <c r="BN495" i="2"/>
  <c r="BN515" i="2"/>
  <c r="BP529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Z490" i="2" s="1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22" i="2" s="1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228" i="2"/>
  <c r="Z248" i="2"/>
  <c r="Z251" i="2" s="1"/>
  <c r="Y262" i="2"/>
  <c r="Z271" i="2"/>
  <c r="Z281" i="2"/>
  <c r="Z302" i="2"/>
  <c r="Z336" i="2"/>
  <c r="Y352" i="2"/>
  <c r="Z371" i="2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447" i="2" l="1"/>
  <c r="Z277" i="2"/>
  <c r="Z194" i="2"/>
  <c r="Z520" i="2"/>
  <c r="Z410" i="2"/>
  <c r="Z297" i="2"/>
  <c r="Z398" i="2"/>
  <c r="Z368" i="2"/>
  <c r="Z99" i="2"/>
  <c r="Z504" i="2"/>
  <c r="Z378" i="2"/>
  <c r="Z46" i="2"/>
  <c r="Z479" i="2"/>
  <c r="Z442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<sst xmlns="http://schemas.openxmlformats.org/spreadsheetml/2006/main" count="4221" uniqueCount="909">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</sst>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66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67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908</v>
      </c>
      <c r="I5" s="641"/>
      <c r="J5" s="641"/>
      <c r="K5" s="641"/>
      <c r="L5" s="641"/>
      <c r="M5" s="641"/>
      <c r="N5" s="72"/>
      <c r="P5" s="27" t="s">
        <v>4</v>
      </c>
      <c r="Q5" s="643">
        <v>46230</v>
      </c>
      <c r="R5" s="643"/>
      <c r="T5" s="644" t="s">
        <v>3</v>
      </c>
      <c r="U5" s="645"/>
      <c r="V5" s="646" t="s">
        <v>867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883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650" t="s">
        <v>5</v>
      </c>
      <c r="U6" s="651"/>
      <c r="V6" s="652" t="s">
        <v>69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6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57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0.45833333333333331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70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907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71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72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74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60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58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65</v>
      </c>
      <c r="L17" s="682" t="s">
        <v>63</v>
      </c>
      <c r="M17" s="682" t="s">
        <v>2</v>
      </c>
      <c r="N17" s="682" t="s">
        <v>62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55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59</v>
      </c>
      <c r="AB17" s="696" t="s">
        <v>19</v>
      </c>
      <c r="AC17" s="696" t="s">
        <v>64</v>
      </c>
      <c r="AD17" s="698" t="s">
        <v>56</v>
      </c>
      <c r="AE17" s="699"/>
      <c r="AF17" s="700"/>
      <c r="AG17" s="82"/>
      <c r="BD17" s="81" t="s">
        <v>61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75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76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85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103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109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85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125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126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127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5" t="s">
        <v>142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127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6" t="s">
        <v>163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85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180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187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127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6" t="s">
        <v>85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208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127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6" t="s">
        <v>163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85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6" t="s">
        <v>180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247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127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76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85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275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85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103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125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127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163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2" t="s">
        <v>304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76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85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103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353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357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358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127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379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163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76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85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103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443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446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127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163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76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85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6" t="s">
        <v>180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514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127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163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536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353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547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127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563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85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572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76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85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593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127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602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127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76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85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180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103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06" t="s">
        <v>665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674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683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85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693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694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127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698</v>
      </c>
      <c r="B423" s="63" t="s">
        <v>699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1300</v>
      </c>
      <c r="Y423" s="55">
        <f t="shared" si="47"/>
        <v>1305</v>
      </c>
      <c r="Z423" s="41">
        <f>IFERROR(IF(Y423=0,"",ROUNDUP(Y423/H423,0)*0.02175),"")</f>
        <v>1.8922499999999998</v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1340.7333333333333</v>
      </c>
      <c r="BN423" s="78">
        <f t="shared" si="49"/>
        <v>1345.89</v>
      </c>
      <c r="BO423" s="78">
        <f t="shared" si="50"/>
        <v>1.8055555555555556</v>
      </c>
      <c r="BP423" s="78">
        <f t="shared" si="51"/>
        <v>1.8125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customHeight="1" x14ac:dyDescent="0.25">
      <c r="A426" s="63" t="s">
        <v>707</v>
      </c>
      <c r="B426" s="63" t="s">
        <v>708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200</v>
      </c>
      <c r="Y426" s="55">
        <f t="shared" si="47"/>
        <v>210</v>
      </c>
      <c r="Z426" s="41">
        <f>IFERROR(IF(Y426=0,"",ROUNDUP(Y426/H426,0)*0.02175),"")</f>
        <v>0.30449999999999999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206.26666666666668</v>
      </c>
      <c r="BN426" s="78">
        <f t="shared" si="49"/>
        <v>216.58</v>
      </c>
      <c r="BO426" s="78">
        <f t="shared" si="50"/>
        <v>0.27777777777777779</v>
      </c>
      <c r="BP426" s="78">
        <f t="shared" si="51"/>
        <v>0.29166666666666663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166.66666666666669</v>
      </c>
      <c r="Y430" s="43">
        <f>IFERROR(Y422/H422,"0")+IFERROR(Y423/H423,"0")+IFERROR(Y424/H424,"0")+IFERROR(Y425/H425,"0")+IFERROR(Y426/H426,"0")+IFERROR(Y427/H427,"0")+IFERROR(Y428/H428,"0")+IFERROR(Y429/H429,"0")</f>
        <v>168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3.6539999999999999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2500</v>
      </c>
      <c r="Y431" s="43">
        <f>IFERROR(SUM(Y422:Y429),"0")</f>
        <v>2520</v>
      </c>
      <c r="Z431" s="42"/>
      <c r="AA431" s="67"/>
      <c r="AB431" s="67"/>
      <c r="AC431" s="67"/>
    </row>
    <row r="432" spans="1:68" ht="14.25" hidden="1" customHeight="1" x14ac:dyDescent="0.25">
      <c r="A432" s="706" t="s">
        <v>163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706" t="s">
        <v>85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180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743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127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76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85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704" t="s">
        <v>759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760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76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85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163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76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795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795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127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706" t="s">
        <v>163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706" t="s">
        <v>76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704" t="s">
        <v>842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842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127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163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76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85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180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861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163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2500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2520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2578.3333333333335</v>
      </c>
      <c r="Y551" s="43">
        <f>IFERROR(SUM(BN22:BN547),"0")</f>
        <v>2598.96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4</v>
      </c>
      <c r="Y552" s="44">
        <f>ROUNDUP(SUM(BP22:BP547),0)</f>
        <v>4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2678.3333333333335</v>
      </c>
      <c r="Y553" s="43">
        <f>GrossWeightTotalR+PalletQtyTotalR*25</f>
        <v>2698.96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166.66666666666669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168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3.6539999999999999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996" t="s">
        <v>125</v>
      </c>
      <c r="E557" s="996" t="s">
        <v>125</v>
      </c>
      <c r="F557" s="996" t="s">
        <v>125</v>
      </c>
      <c r="G557" s="996" t="s">
        <v>125</v>
      </c>
      <c r="H557" s="996" t="s">
        <v>125</v>
      </c>
      <c r="I557" s="996" t="s">
        <v>125</v>
      </c>
      <c r="J557" s="996" t="s">
        <v>125</v>
      </c>
      <c r="K557" s="996" t="s">
        <v>357</v>
      </c>
      <c r="L557" s="996" t="s">
        <v>357</v>
      </c>
      <c r="M557" s="996" t="s">
        <v>357</v>
      </c>
      <c r="N557" s="997"/>
      <c r="O557" s="996" t="s">
        <v>357</v>
      </c>
      <c r="P557" s="996" t="s">
        <v>357</v>
      </c>
      <c r="Q557" s="996" t="s">
        <v>357</v>
      </c>
      <c r="R557" s="996" t="s">
        <v>357</v>
      </c>
      <c r="S557" s="996" t="s">
        <v>357</v>
      </c>
      <c r="T557" s="996" t="s">
        <v>357</v>
      </c>
      <c r="U557" s="996" t="s">
        <v>357</v>
      </c>
      <c r="V557" s="996" t="s">
        <v>693</v>
      </c>
      <c r="W557" s="996" t="s">
        <v>693</v>
      </c>
      <c r="X557" s="996" t="s">
        <v>759</v>
      </c>
      <c r="Y557" s="996" t="s">
        <v>759</v>
      </c>
      <c r="Z557" s="85" t="s">
        <v>795</v>
      </c>
      <c r="AA557" s="996" t="s">
        <v>842</v>
      </c>
      <c r="AB557" s="996" t="s">
        <v>842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75</v>
      </c>
      <c r="C558" s="996" t="s">
        <v>109</v>
      </c>
      <c r="D558" s="996" t="s">
        <v>126</v>
      </c>
      <c r="E558" s="996" t="s">
        <v>142</v>
      </c>
      <c r="F558" s="996" t="s">
        <v>187</v>
      </c>
      <c r="G558" s="996" t="s">
        <v>208</v>
      </c>
      <c r="H558" s="996" t="s">
        <v>247</v>
      </c>
      <c r="I558" s="996" t="s">
        <v>275</v>
      </c>
      <c r="J558" s="996" t="s">
        <v>125</v>
      </c>
      <c r="K558" s="996" t="s">
        <v>358</v>
      </c>
      <c r="L558" s="996" t="s">
        <v>379</v>
      </c>
      <c r="M558" s="996" t="s">
        <v>446</v>
      </c>
      <c r="N558" s="1"/>
      <c r="O558" s="996" t="s">
        <v>514</v>
      </c>
      <c r="P558" s="996" t="s">
        <v>547</v>
      </c>
      <c r="Q558" s="996" t="s">
        <v>563</v>
      </c>
      <c r="R558" s="996" t="s">
        <v>572</v>
      </c>
      <c r="S558" s="996" t="s">
        <v>593</v>
      </c>
      <c r="T558" s="996" t="s">
        <v>602</v>
      </c>
      <c r="U558" s="996" t="s">
        <v>683</v>
      </c>
      <c r="V558" s="996" t="s">
        <v>694</v>
      </c>
      <c r="W558" s="996" t="s">
        <v>743</v>
      </c>
      <c r="X558" s="996" t="s">
        <v>760</v>
      </c>
      <c r="Y558" s="996" t="s">
        <v>783</v>
      </c>
      <c r="Z558" s="996" t="s">
        <v>795</v>
      </c>
      <c r="AA558" s="996" t="s">
        <v>842</v>
      </c>
      <c r="AB558" s="996" t="s">
        <v>861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2520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66,67"/>
        <filter val="2 500,00"/>
        <filter val="2 578,33"/>
        <filter val="2 678,33"/>
        <filter val="200,00"/>
        <filter val="4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2026-07-27T07:41:33Z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