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1A5828D-F9C6-454E-87CF-22C92E9C425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BN521" i="2" s="1"/>
  <c r="P521" i="2"/>
  <c r="X519" i="2"/>
  <c r="X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Y510" i="2" s="1"/>
  <c r="P508" i="2"/>
  <c r="X504" i="2"/>
  <c r="X503" i="2"/>
  <c r="BO502" i="2"/>
  <c r="BM502" i="2"/>
  <c r="Y502" i="2"/>
  <c r="BP502" i="2" s="1"/>
  <c r="P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Z491" i="2"/>
  <c r="Y491" i="2"/>
  <c r="BN491" i="2" s="1"/>
  <c r="P491" i="2"/>
  <c r="BO490" i="2"/>
  <c r="BM490" i="2"/>
  <c r="Y490" i="2"/>
  <c r="BN490" i="2" s="1"/>
  <c r="P490" i="2"/>
  <c r="X488" i="2"/>
  <c r="X487" i="2"/>
  <c r="BO486" i="2"/>
  <c r="BM486" i="2"/>
  <c r="Y486" i="2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BP480" i="2" s="1"/>
  <c r="P480" i="2"/>
  <c r="BO479" i="2"/>
  <c r="BM479" i="2"/>
  <c r="Y479" i="2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P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P461" i="2"/>
  <c r="BO460" i="2"/>
  <c r="BM460" i="2"/>
  <c r="Y460" i="2"/>
  <c r="Y463" i="2" s="1"/>
  <c r="P460" i="2"/>
  <c r="X458" i="2"/>
  <c r="X457" i="2"/>
  <c r="BO456" i="2"/>
  <c r="BM456" i="2"/>
  <c r="Y456" i="2"/>
  <c r="P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Y440" i="2" s="1"/>
  <c r="P439" i="2"/>
  <c r="X437" i="2"/>
  <c r="X436" i="2"/>
  <c r="BO435" i="2"/>
  <c r="BM435" i="2"/>
  <c r="Z435" i="2"/>
  <c r="Y435" i="2"/>
  <c r="BP435" i="2" s="1"/>
  <c r="P435" i="2"/>
  <c r="BO434" i="2"/>
  <c r="BM434" i="2"/>
  <c r="Y434" i="2"/>
  <c r="BP434" i="2" s="1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Z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Z420" i="2" s="1"/>
  <c r="P420" i="2"/>
  <c r="BO419" i="2"/>
  <c r="BM419" i="2"/>
  <c r="Z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Z407" i="2" s="1"/>
  <c r="P407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Z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BO355" i="2"/>
  <c r="BM355" i="2"/>
  <c r="Y355" i="2"/>
  <c r="Z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X338" i="2"/>
  <c r="X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Z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Z320" i="2" s="1"/>
  <c r="P320" i="2"/>
  <c r="BO319" i="2"/>
  <c r="BM319" i="2"/>
  <c r="Y319" i="2"/>
  <c r="Z319" i="2" s="1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N309" i="2" s="1"/>
  <c r="P309" i="2"/>
  <c r="X307" i="2"/>
  <c r="X306" i="2"/>
  <c r="BO305" i="2"/>
  <c r="BM305" i="2"/>
  <c r="Y305" i="2"/>
  <c r="Y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Z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Z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Z275" i="2" s="1"/>
  <c r="P275" i="2"/>
  <c r="BO274" i="2"/>
  <c r="BM274" i="2"/>
  <c r="Y274" i="2"/>
  <c r="BN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Z260" i="2" s="1"/>
  <c r="P260" i="2"/>
  <c r="BO259" i="2"/>
  <c r="BM259" i="2"/>
  <c r="Y259" i="2"/>
  <c r="BP259" i="2" s="1"/>
  <c r="P259" i="2"/>
  <c r="X257" i="2"/>
  <c r="X256" i="2"/>
  <c r="BO255" i="2"/>
  <c r="BM255" i="2"/>
  <c r="Y255" i="2"/>
  <c r="Z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BN231" i="2" s="1"/>
  <c r="P231" i="2"/>
  <c r="X229" i="2"/>
  <c r="X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N224" i="2"/>
  <c r="BM224" i="2"/>
  <c r="Z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Z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N215" i="2" s="1"/>
  <c r="P215" i="2"/>
  <c r="BO214" i="2"/>
  <c r="BM214" i="2"/>
  <c r="Y214" i="2"/>
  <c r="Z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Z204" i="2" s="1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X195" i="2"/>
  <c r="X194" i="2"/>
  <c r="BO193" i="2"/>
  <c r="BM193" i="2"/>
  <c r="Y193" i="2"/>
  <c r="Y195" i="2" s="1"/>
  <c r="P193" i="2"/>
  <c r="X191" i="2"/>
  <c r="X190" i="2"/>
  <c r="BP189" i="2"/>
  <c r="BO189" i="2"/>
  <c r="BM189" i="2"/>
  <c r="Y189" i="2"/>
  <c r="BN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X180" i="2"/>
  <c r="X179" i="2"/>
  <c r="BO178" i="2"/>
  <c r="BM178" i="2"/>
  <c r="Y178" i="2"/>
  <c r="Z178" i="2" s="1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BN169" i="2" s="1"/>
  <c r="P169" i="2"/>
  <c r="BO168" i="2"/>
  <c r="BM168" i="2"/>
  <c r="Y168" i="2"/>
  <c r="BN168" i="2" s="1"/>
  <c r="P168" i="2"/>
  <c r="Y166" i="2"/>
  <c r="X166" i="2"/>
  <c r="X165" i="2"/>
  <c r="BO164" i="2"/>
  <c r="BM164" i="2"/>
  <c r="Y164" i="2"/>
  <c r="BP164" i="2" s="1"/>
  <c r="P164" i="2"/>
  <c r="X162" i="2"/>
  <c r="X161" i="2"/>
  <c r="BO160" i="2"/>
  <c r="BM160" i="2"/>
  <c r="Y160" i="2"/>
  <c r="Z160" i="2" s="1"/>
  <c r="P160" i="2"/>
  <c r="BO159" i="2"/>
  <c r="BM159" i="2"/>
  <c r="Y159" i="2"/>
  <c r="BP159" i="2" s="1"/>
  <c r="P159" i="2"/>
  <c r="X156" i="2"/>
  <c r="X155" i="2"/>
  <c r="BO154" i="2"/>
  <c r="BM154" i="2"/>
  <c r="Y154" i="2"/>
  <c r="P154" i="2"/>
  <c r="BO153" i="2"/>
  <c r="BM153" i="2"/>
  <c r="Y153" i="2"/>
  <c r="P153" i="2"/>
  <c r="BO152" i="2"/>
  <c r="BM152" i="2"/>
  <c r="Y152" i="2"/>
  <c r="BN152" i="2" s="1"/>
  <c r="P152" i="2"/>
  <c r="BO151" i="2"/>
  <c r="BM151" i="2"/>
  <c r="Y151" i="2"/>
  <c r="Y156" i="2" s="1"/>
  <c r="P151" i="2"/>
  <c r="X148" i="2"/>
  <c r="X147" i="2"/>
  <c r="BO146" i="2"/>
  <c r="BM146" i="2"/>
  <c r="Y146" i="2"/>
  <c r="BN146" i="2" s="1"/>
  <c r="P146" i="2"/>
  <c r="BO145" i="2"/>
  <c r="BM145" i="2"/>
  <c r="Y145" i="2"/>
  <c r="P145" i="2"/>
  <c r="X143" i="2"/>
  <c r="X142" i="2"/>
  <c r="BO141" i="2"/>
  <c r="BM141" i="2"/>
  <c r="Y141" i="2"/>
  <c r="Z141" i="2" s="1"/>
  <c r="P141" i="2"/>
  <c r="BO140" i="2"/>
  <c r="BM140" i="2"/>
  <c r="Y140" i="2"/>
  <c r="P140" i="2"/>
  <c r="X138" i="2"/>
  <c r="X137" i="2"/>
  <c r="BO136" i="2"/>
  <c r="BM136" i="2"/>
  <c r="Y136" i="2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Z126" i="2" s="1"/>
  <c r="P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X111" i="2"/>
  <c r="X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P91" i="2"/>
  <c r="BO90" i="2"/>
  <c r="BM90" i="2"/>
  <c r="Y90" i="2"/>
  <c r="Z90" i="2" s="1"/>
  <c r="P90" i="2"/>
  <c r="BO89" i="2"/>
  <c r="BM89" i="2"/>
  <c r="Y89" i="2"/>
  <c r="BP89" i="2" s="1"/>
  <c r="P89" i="2"/>
  <c r="BO88" i="2"/>
  <c r="BM88" i="2"/>
  <c r="Y88" i="2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P72" i="2"/>
  <c r="BO72" i="2"/>
  <c r="BM72" i="2"/>
  <c r="Y72" i="2"/>
  <c r="P72" i="2"/>
  <c r="BO71" i="2"/>
  <c r="BM71" i="2"/>
  <c r="Y71" i="2"/>
  <c r="Z71" i="2" s="1"/>
  <c r="P71" i="2"/>
  <c r="BO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Z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P60" i="2"/>
  <c r="X57" i="2"/>
  <c r="X56" i="2"/>
  <c r="BO55" i="2"/>
  <c r="BM55" i="2"/>
  <c r="Y55" i="2"/>
  <c r="Z55" i="2" s="1"/>
  <c r="P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X48" i="2"/>
  <c r="X47" i="2"/>
  <c r="BO46" i="2"/>
  <c r="BM46" i="2"/>
  <c r="Y46" i="2"/>
  <c r="Z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X38" i="2"/>
  <c r="X37" i="2"/>
  <c r="BO36" i="2"/>
  <c r="BM36" i="2"/>
  <c r="Y36" i="2"/>
  <c r="BN36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Y24" i="2" s="1"/>
  <c r="P22" i="2"/>
  <c r="H10" i="2"/>
  <c r="A9" i="2"/>
  <c r="F10" i="2" s="1"/>
  <c r="D7" i="2"/>
  <c r="Q6" i="2"/>
  <c r="P2" i="2"/>
  <c r="BN61" i="2" l="1"/>
  <c r="BN66" i="2"/>
  <c r="BN159" i="2"/>
  <c r="BN173" i="2"/>
  <c r="BN277" i="2"/>
  <c r="BN320" i="2"/>
  <c r="BN336" i="2"/>
  <c r="BN400" i="2"/>
  <c r="BN439" i="2"/>
  <c r="Y441" i="2"/>
  <c r="BN444" i="2"/>
  <c r="BN485" i="2"/>
  <c r="BN43" i="2"/>
  <c r="BN55" i="2"/>
  <c r="BN116" i="2"/>
  <c r="BN182" i="2"/>
  <c r="Z188" i="2"/>
  <c r="Z221" i="2"/>
  <c r="BN232" i="2"/>
  <c r="Z262" i="2"/>
  <c r="BN270" i="2"/>
  <c r="BN291" i="2"/>
  <c r="Z293" i="2"/>
  <c r="BN357" i="2"/>
  <c r="Z358" i="2"/>
  <c r="BP385" i="2"/>
  <c r="BN386" i="2"/>
  <c r="BN453" i="2"/>
  <c r="BP491" i="2"/>
  <c r="BN305" i="2"/>
  <c r="Y307" i="2"/>
  <c r="BN266" i="2"/>
  <c r="BP521" i="2"/>
  <c r="Z225" i="2"/>
  <c r="BN218" i="2"/>
  <c r="Z443" i="2"/>
  <c r="Y503" i="2"/>
  <c r="BN500" i="2"/>
  <c r="BN498" i="2"/>
  <c r="BP490" i="2"/>
  <c r="Z490" i="2"/>
  <c r="BN480" i="2"/>
  <c r="BN455" i="2"/>
  <c r="Z444" i="2"/>
  <c r="BP443" i="2"/>
  <c r="BN435" i="2"/>
  <c r="BN412" i="2"/>
  <c r="BN410" i="2"/>
  <c r="Z401" i="2"/>
  <c r="Y402" i="2"/>
  <c r="BN399" i="2"/>
  <c r="BN394" i="2"/>
  <c r="BN381" i="2"/>
  <c r="Y383" i="2"/>
  <c r="Z374" i="2"/>
  <c r="Z364" i="2"/>
  <c r="BN356" i="2"/>
  <c r="Z354" i="2"/>
  <c r="Z346" i="2"/>
  <c r="BN340" i="2"/>
  <c r="BN325" i="2"/>
  <c r="Y328" i="2"/>
  <c r="Z318" i="2"/>
  <c r="BN296" i="2"/>
  <c r="Z278" i="2"/>
  <c r="Z277" i="2"/>
  <c r="BN276" i="2"/>
  <c r="Z274" i="2"/>
  <c r="BN261" i="2"/>
  <c r="BN255" i="2"/>
  <c r="Z254" i="2"/>
  <c r="Z256" i="2" s="1"/>
  <c r="Z239" i="2"/>
  <c r="Z234" i="2"/>
  <c r="BN234" i="2"/>
  <c r="Z231" i="2"/>
  <c r="BN222" i="2"/>
  <c r="BP215" i="2"/>
  <c r="BN202" i="2"/>
  <c r="Z200" i="2"/>
  <c r="BP188" i="2"/>
  <c r="Y186" i="2"/>
  <c r="BN178" i="2"/>
  <c r="Z176" i="2"/>
  <c r="Z164" i="2"/>
  <c r="Z165" i="2" s="1"/>
  <c r="Y165" i="2"/>
  <c r="Z159" i="2"/>
  <c r="Y131" i="2"/>
  <c r="BN130" i="2"/>
  <c r="BN126" i="2"/>
  <c r="Z119" i="2"/>
  <c r="Z109" i="2"/>
  <c r="Z107" i="2"/>
  <c r="BN105" i="2"/>
  <c r="Z96" i="2"/>
  <c r="BN90" i="2"/>
  <c r="BN71" i="2"/>
  <c r="Z65" i="2"/>
  <c r="Z54" i="2"/>
  <c r="Z52" i="2"/>
  <c r="Z45" i="2"/>
  <c r="X534" i="2"/>
  <c r="X535" i="2"/>
  <c r="Z29" i="2"/>
  <c r="BP29" i="2"/>
  <c r="X538" i="2"/>
  <c r="Z27" i="2"/>
  <c r="F9" i="2"/>
  <c r="X536" i="2"/>
  <c r="BP31" i="2"/>
  <c r="BP54" i="2"/>
  <c r="Y57" i="2"/>
  <c r="Z95" i="2"/>
  <c r="Y100" i="2"/>
  <c r="BN95" i="2"/>
  <c r="Z106" i="2"/>
  <c r="BN106" i="2"/>
  <c r="BN145" i="2"/>
  <c r="BP145" i="2"/>
  <c r="Y147" i="2"/>
  <c r="BP153" i="2"/>
  <c r="BN153" i="2"/>
  <c r="BP154" i="2"/>
  <c r="Z154" i="2"/>
  <c r="Z217" i="2"/>
  <c r="BN217" i="2"/>
  <c r="BN280" i="2"/>
  <c r="BP280" i="2"/>
  <c r="Z301" i="2"/>
  <c r="Z302" i="2" s="1"/>
  <c r="Y302" i="2"/>
  <c r="BN301" i="2"/>
  <c r="BN332" i="2"/>
  <c r="BP332" i="2"/>
  <c r="Z332" i="2"/>
  <c r="BN341" i="2"/>
  <c r="BP341" i="2"/>
  <c r="Z341" i="2"/>
  <c r="Z380" i="2"/>
  <c r="BN380" i="2"/>
  <c r="Y389" i="2"/>
  <c r="Y430" i="2"/>
  <c r="Y431" i="2"/>
  <c r="BN429" i="2"/>
  <c r="BN456" i="2"/>
  <c r="BP456" i="2"/>
  <c r="Z456" i="2"/>
  <c r="BN497" i="2"/>
  <c r="BP497" i="2"/>
  <c r="BP22" i="2"/>
  <c r="BP27" i="2"/>
  <c r="BN30" i="2"/>
  <c r="BP32" i="2"/>
  <c r="BP36" i="2"/>
  <c r="C544" i="2"/>
  <c r="Z42" i="2"/>
  <c r="BP65" i="2"/>
  <c r="BP91" i="2"/>
  <c r="BN91" i="2"/>
  <c r="Y120" i="2"/>
  <c r="BP113" i="2"/>
  <c r="Z115" i="2"/>
  <c r="BN115" i="2"/>
  <c r="Y121" i="2"/>
  <c r="BP168" i="2"/>
  <c r="BP174" i="2"/>
  <c r="Z174" i="2"/>
  <c r="Z201" i="2"/>
  <c r="BN201" i="2"/>
  <c r="Z265" i="2"/>
  <c r="BN265" i="2"/>
  <c r="Z297" i="2"/>
  <c r="BN297" i="2"/>
  <c r="BP310" i="2"/>
  <c r="BN310" i="2"/>
  <c r="Z310" i="2"/>
  <c r="Y343" i="2"/>
  <c r="Y349" i="2"/>
  <c r="Z347" i="2"/>
  <c r="Z375" i="2"/>
  <c r="BN375" i="2"/>
  <c r="BN409" i="2"/>
  <c r="Z409" i="2"/>
  <c r="BP413" i="2"/>
  <c r="Z413" i="2"/>
  <c r="Y488" i="2"/>
  <c r="BN479" i="2"/>
  <c r="BP499" i="2"/>
  <c r="BN499" i="2"/>
  <c r="BP77" i="2"/>
  <c r="Z77" i="2"/>
  <c r="Z91" i="2"/>
  <c r="BP98" i="2"/>
  <c r="G544" i="2"/>
  <c r="Y111" i="2"/>
  <c r="BP140" i="2"/>
  <c r="Z140" i="2"/>
  <c r="BP151" i="2"/>
  <c r="BN154" i="2"/>
  <c r="Z161" i="2"/>
  <c r="Z168" i="2"/>
  <c r="BP219" i="2"/>
  <c r="Z219" i="2"/>
  <c r="Z271" i="2"/>
  <c r="BN271" i="2"/>
  <c r="Y303" i="2"/>
  <c r="BP367" i="2"/>
  <c r="BN367" i="2"/>
  <c r="Z367" i="2"/>
  <c r="Y436" i="2"/>
  <c r="BN434" i="2"/>
  <c r="X544" i="2"/>
  <c r="BN452" i="2"/>
  <c r="BP452" i="2"/>
  <c r="BN481" i="2"/>
  <c r="BP481" i="2"/>
  <c r="Z481" i="2"/>
  <c r="BN501" i="2"/>
  <c r="BP501" i="2"/>
  <c r="Z501" i="2"/>
  <c r="Y25" i="2"/>
  <c r="Z30" i="2"/>
  <c r="Y33" i="2"/>
  <c r="Z44" i="2"/>
  <c r="BN44" i="2"/>
  <c r="Z62" i="2"/>
  <c r="BN62" i="2"/>
  <c r="Z72" i="2"/>
  <c r="BN72" i="2"/>
  <c r="BN78" i="2"/>
  <c r="BP78" i="2"/>
  <c r="Z89" i="2"/>
  <c r="BN89" i="2"/>
  <c r="BP95" i="2"/>
  <c r="Z98" i="2"/>
  <c r="BP106" i="2"/>
  <c r="BP117" i="2"/>
  <c r="Z117" i="2"/>
  <c r="Z125" i="2"/>
  <c r="BN125" i="2"/>
  <c r="H544" i="2"/>
  <c r="Z135" i="2"/>
  <c r="BP146" i="2"/>
  <c r="I544" i="2"/>
  <c r="BN170" i="2"/>
  <c r="BP170" i="2"/>
  <c r="Z172" i="2"/>
  <c r="BN172" i="2"/>
  <c r="BP203" i="2"/>
  <c r="BN203" i="2"/>
  <c r="Z203" i="2"/>
  <c r="BP217" i="2"/>
  <c r="BN295" i="2"/>
  <c r="Z295" i="2"/>
  <c r="BP301" i="2"/>
  <c r="BP380" i="2"/>
  <c r="BN393" i="2"/>
  <c r="Y396" i="2"/>
  <c r="BP393" i="2"/>
  <c r="Z393" i="2"/>
  <c r="Z411" i="2"/>
  <c r="BN411" i="2"/>
  <c r="BP454" i="2"/>
  <c r="BN454" i="2"/>
  <c r="BN486" i="2"/>
  <c r="BP486" i="2"/>
  <c r="BN45" i="2"/>
  <c r="BP55" i="2"/>
  <c r="BP66" i="2"/>
  <c r="Y74" i="2"/>
  <c r="BP71" i="2"/>
  <c r="BP83" i="2"/>
  <c r="F544" i="2"/>
  <c r="BP88" i="2"/>
  <c r="BP90" i="2"/>
  <c r="Y92" i="2"/>
  <c r="BP105" i="2"/>
  <c r="BP119" i="2"/>
  <c r="BP126" i="2"/>
  <c r="Z142" i="2"/>
  <c r="BP152" i="2"/>
  <c r="BP169" i="2"/>
  <c r="BP176" i="2"/>
  <c r="BN177" i="2"/>
  <c r="BP178" i="2"/>
  <c r="BP182" i="2"/>
  <c r="BN183" i="2"/>
  <c r="BP214" i="2"/>
  <c r="BP221" i="2"/>
  <c r="BP223" i="2"/>
  <c r="BP227" i="2"/>
  <c r="BP231" i="2"/>
  <c r="Y235" i="2"/>
  <c r="BP233" i="2"/>
  <c r="BP250" i="2"/>
  <c r="BP254" i="2"/>
  <c r="Y256" i="2"/>
  <c r="BP260" i="2"/>
  <c r="BP275" i="2"/>
  <c r="BP281" i="2"/>
  <c r="BP285" i="2"/>
  <c r="Y298" i="2"/>
  <c r="BP292" i="2"/>
  <c r="BP319" i="2"/>
  <c r="BP326" i="2"/>
  <c r="BP355" i="2"/>
  <c r="BP365" i="2"/>
  <c r="BP420" i="2"/>
  <c r="Y446" i="2"/>
  <c r="Z544" i="2"/>
  <c r="Y493" i="2"/>
  <c r="Y518" i="2"/>
  <c r="BP43" i="2"/>
  <c r="E544" i="2"/>
  <c r="BP61" i="2"/>
  <c r="Z73" i="2"/>
  <c r="Z88" i="2"/>
  <c r="BP109" i="2"/>
  <c r="BP116" i="2"/>
  <c r="Y128" i="2"/>
  <c r="Z130" i="2"/>
  <c r="Z131" i="2" s="1"/>
  <c r="BP130" i="2"/>
  <c r="Y138" i="2"/>
  <c r="Z152" i="2"/>
  <c r="BP173" i="2"/>
  <c r="Z184" i="2"/>
  <c r="Z185" i="2" s="1"/>
  <c r="Y185" i="2"/>
  <c r="BP200" i="2"/>
  <c r="BP202" i="2"/>
  <c r="BP218" i="2"/>
  <c r="BP264" i="2"/>
  <c r="BP266" i="2"/>
  <c r="BP270" i="2"/>
  <c r="Z281" i="2"/>
  <c r="BP296" i="2"/>
  <c r="Y313" i="2"/>
  <c r="BP309" i="2"/>
  <c r="Y329" i="2"/>
  <c r="Y350" i="2"/>
  <c r="Z357" i="2"/>
  <c r="BP366" i="2"/>
  <c r="Z372" i="2"/>
  <c r="BP374" i="2"/>
  <c r="BP381" i="2"/>
  <c r="Z386" i="2"/>
  <c r="Z400" i="2"/>
  <c r="BP410" i="2"/>
  <c r="BP439" i="2"/>
  <c r="Z453" i="2"/>
  <c r="Z455" i="2"/>
  <c r="Z460" i="2"/>
  <c r="Y462" i="2"/>
  <c r="Z478" i="2"/>
  <c r="BP478" i="2"/>
  <c r="Z480" i="2"/>
  <c r="Z498" i="2"/>
  <c r="Z500" i="2"/>
  <c r="BP177" i="2"/>
  <c r="BP183" i="2"/>
  <c r="BP222" i="2"/>
  <c r="BN223" i="2"/>
  <c r="BP232" i="2"/>
  <c r="BN233" i="2"/>
  <c r="Y242" i="2"/>
  <c r="BP238" i="2"/>
  <c r="BP255" i="2"/>
  <c r="Y257" i="2"/>
  <c r="BN260" i="2"/>
  <c r="BP261" i="2"/>
  <c r="Z264" i="2"/>
  <c r="Z272" i="2"/>
  <c r="BP274" i="2"/>
  <c r="BN275" i="2"/>
  <c r="BP276" i="2"/>
  <c r="BN285" i="2"/>
  <c r="Y288" i="2"/>
  <c r="BP286" i="2"/>
  <c r="BP291" i="2"/>
  <c r="BN292" i="2"/>
  <c r="Z311" i="2"/>
  <c r="Y312" i="2"/>
  <c r="Z316" i="2"/>
  <c r="Z321" i="2" s="1"/>
  <c r="BP318" i="2"/>
  <c r="BN319" i="2"/>
  <c r="BP320" i="2"/>
  <c r="BP325" i="2"/>
  <c r="BN326" i="2"/>
  <c r="BP336" i="2"/>
  <c r="BP354" i="2"/>
  <c r="BN355" i="2"/>
  <c r="BP356" i="2"/>
  <c r="Z362" i="2"/>
  <c r="BP364" i="2"/>
  <c r="BN365" i="2"/>
  <c r="Z368" i="2"/>
  <c r="Y395" i="2"/>
  <c r="U544" i="2"/>
  <c r="BP399" i="2"/>
  <c r="Y416" i="2"/>
  <c r="Z412" i="2"/>
  <c r="BP419" i="2"/>
  <c r="BN420" i="2"/>
  <c r="BN425" i="2"/>
  <c r="Y474" i="2"/>
  <c r="Z525" i="2"/>
  <c r="Y527" i="2"/>
  <c r="Y533" i="2"/>
  <c r="Z359" i="2"/>
  <c r="Z421" i="2"/>
  <c r="Z47" i="2"/>
  <c r="Z328" i="2"/>
  <c r="Z136" i="2"/>
  <c r="Z53" i="2"/>
  <c r="Z175" i="2"/>
  <c r="Y190" i="2"/>
  <c r="Z210" i="2"/>
  <c r="Z211" i="2" s="1"/>
  <c r="Z22" i="2"/>
  <c r="Z32" i="2"/>
  <c r="Y37" i="2"/>
  <c r="BN46" i="2"/>
  <c r="Y84" i="2"/>
  <c r="Y93" i="2"/>
  <c r="Z103" i="2"/>
  <c r="Z113" i="2"/>
  <c r="Z123" i="2"/>
  <c r="BN136" i="2"/>
  <c r="Z146" i="2"/>
  <c r="BN160" i="2"/>
  <c r="Z170" i="2"/>
  <c r="BN204" i="2"/>
  <c r="Z215" i="2"/>
  <c r="BN225" i="2"/>
  <c r="Y228" i="2"/>
  <c r="Y236" i="2"/>
  <c r="Y251" i="2"/>
  <c r="BN278" i="2"/>
  <c r="BN311" i="2"/>
  <c r="Z334" i="2"/>
  <c r="BN347" i="2"/>
  <c r="BN358" i="2"/>
  <c r="BN368" i="2"/>
  <c r="Z388" i="2"/>
  <c r="BN401" i="2"/>
  <c r="BN413" i="2"/>
  <c r="BP425" i="2"/>
  <c r="Y437" i="2"/>
  <c r="BN460" i="2"/>
  <c r="Z471" i="2"/>
  <c r="Z483" i="2"/>
  <c r="BP485" i="2"/>
  <c r="Z517" i="2"/>
  <c r="Y522" i="2"/>
  <c r="J544" i="2"/>
  <c r="Z108" i="2"/>
  <c r="BN53" i="2"/>
  <c r="Y56" i="2"/>
  <c r="BN64" i="2"/>
  <c r="Y67" i="2"/>
  <c r="BN97" i="2"/>
  <c r="BN141" i="2"/>
  <c r="BN199" i="2"/>
  <c r="BN263" i="2"/>
  <c r="BN273" i="2"/>
  <c r="BN294" i="2"/>
  <c r="BN317" i="2"/>
  <c r="BN353" i="2"/>
  <c r="BN363" i="2"/>
  <c r="BN373" i="2"/>
  <c r="Y376" i="2"/>
  <c r="BN408" i="2"/>
  <c r="BN418" i="2"/>
  <c r="Y421" i="2"/>
  <c r="BN466" i="2"/>
  <c r="BN512" i="2"/>
  <c r="K544" i="2"/>
  <c r="BN210" i="2"/>
  <c r="BN220" i="2"/>
  <c r="BP46" i="2"/>
  <c r="Y80" i="2"/>
  <c r="BN103" i="2"/>
  <c r="BP160" i="2"/>
  <c r="Y191" i="2"/>
  <c r="BP204" i="2"/>
  <c r="Z233" i="2"/>
  <c r="Z235" i="2" s="1"/>
  <c r="Y246" i="2"/>
  <c r="Z286" i="2"/>
  <c r="Z287" i="2" s="1"/>
  <c r="Z309" i="2"/>
  <c r="BN334" i="2"/>
  <c r="Y337" i="2"/>
  <c r="BP347" i="2"/>
  <c r="Z366" i="2"/>
  <c r="BN388" i="2"/>
  <c r="Z399" i="2"/>
  <c r="Y426" i="2"/>
  <c r="Z434" i="2"/>
  <c r="Z436" i="2" s="1"/>
  <c r="Y447" i="2"/>
  <c r="BP460" i="2"/>
  <c r="BN471" i="2"/>
  <c r="BN483" i="2"/>
  <c r="Y494" i="2"/>
  <c r="Y504" i="2"/>
  <c r="BN517" i="2"/>
  <c r="L544" i="2"/>
  <c r="Y79" i="2"/>
  <c r="Y75" i="2"/>
  <c r="BN108" i="2"/>
  <c r="BN118" i="2"/>
  <c r="BN175" i="2"/>
  <c r="BN240" i="2"/>
  <c r="BN22" i="2"/>
  <c r="BN113" i="2"/>
  <c r="BN123" i="2"/>
  <c r="BP136" i="2"/>
  <c r="Y38" i="2"/>
  <c r="BP64" i="2"/>
  <c r="Y85" i="2"/>
  <c r="BP97" i="2"/>
  <c r="BP118" i="2"/>
  <c r="BP141" i="2"/>
  <c r="Y155" i="2"/>
  <c r="BP199" i="2"/>
  <c r="BP210" i="2"/>
  <c r="BP220" i="2"/>
  <c r="Y229" i="2"/>
  <c r="Z238" i="2"/>
  <c r="BP240" i="2"/>
  <c r="Y252" i="2"/>
  <c r="BP263" i="2"/>
  <c r="BP273" i="2"/>
  <c r="Z292" i="2"/>
  <c r="BP294" i="2"/>
  <c r="BP317" i="2"/>
  <c r="Y342" i="2"/>
  <c r="BP353" i="2"/>
  <c r="BP363" i="2"/>
  <c r="BP373" i="2"/>
  <c r="BP408" i="2"/>
  <c r="BP418" i="2"/>
  <c r="Z439" i="2"/>
  <c r="Z440" i="2" s="1"/>
  <c r="BP466" i="2"/>
  <c r="Z486" i="2"/>
  <c r="BP512" i="2"/>
  <c r="Y523" i="2"/>
  <c r="M544" i="2"/>
  <c r="Y137" i="2"/>
  <c r="Y161" i="2"/>
  <c r="Y359" i="2"/>
  <c r="Y369" i="2"/>
  <c r="Y377" i="2"/>
  <c r="Y422" i="2"/>
  <c r="BP517" i="2"/>
  <c r="Y528" i="2"/>
  <c r="O544" i="2"/>
  <c r="Y47" i="2"/>
  <c r="Y68" i="2"/>
  <c r="Z82" i="2"/>
  <c r="Y142" i="2"/>
  <c r="Z193" i="2"/>
  <c r="Z194" i="2" s="1"/>
  <c r="Z205" i="2"/>
  <c r="Y211" i="2"/>
  <c r="Z226" i="2"/>
  <c r="Y241" i="2"/>
  <c r="Z249" i="2"/>
  <c r="Z279" i="2"/>
  <c r="Y338" i="2"/>
  <c r="Z348" i="2"/>
  <c r="Z349" i="2" s="1"/>
  <c r="Z414" i="2"/>
  <c r="Y427" i="2"/>
  <c r="Z451" i="2"/>
  <c r="Z461" i="2"/>
  <c r="Y467" i="2"/>
  <c r="Z496" i="2"/>
  <c r="Z508" i="2"/>
  <c r="Z509" i="2" s="1"/>
  <c r="Y513" i="2"/>
  <c r="P544" i="2"/>
  <c r="Q544" i="2"/>
  <c r="Z60" i="2"/>
  <c r="BN82" i="2"/>
  <c r="Z104" i="2"/>
  <c r="Z114" i="2"/>
  <c r="BN205" i="2"/>
  <c r="Z216" i="2"/>
  <c r="BN226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Z426" i="2" s="1"/>
  <c r="BN451" i="2"/>
  <c r="BN461" i="2"/>
  <c r="Z472" i="2"/>
  <c r="Z484" i="2"/>
  <c r="BN496" i="2"/>
  <c r="BN508" i="2"/>
  <c r="Z531" i="2"/>
  <c r="Z532" i="2" s="1"/>
  <c r="R544" i="2"/>
  <c r="Z70" i="2"/>
  <c r="Z74" i="2" s="1"/>
  <c r="Z124" i="2"/>
  <c r="Y162" i="2"/>
  <c r="Z171" i="2"/>
  <c r="BN193" i="2"/>
  <c r="Z28" i="2"/>
  <c r="BN42" i="2"/>
  <c r="BN88" i="2"/>
  <c r="Y143" i="2"/>
  <c r="Z153" i="2"/>
  <c r="Y179" i="2"/>
  <c r="Y267" i="2"/>
  <c r="Y287" i="2"/>
  <c r="Z305" i="2"/>
  <c r="Z306" i="2" s="1"/>
  <c r="Y321" i="2"/>
  <c r="Z340" i="2"/>
  <c r="Z394" i="2"/>
  <c r="Z429" i="2"/>
  <c r="Z430" i="2" s="1"/>
  <c r="Z454" i="2"/>
  <c r="Y468" i="2"/>
  <c r="Z479" i="2"/>
  <c r="Z499" i="2"/>
  <c r="Y514" i="2"/>
  <c r="BN525" i="2"/>
  <c r="S544" i="2"/>
  <c r="Z23" i="2"/>
  <c r="Y48" i="2"/>
  <c r="BN23" i="2"/>
  <c r="Y34" i="2"/>
  <c r="BN60" i="2"/>
  <c r="BN70" i="2"/>
  <c r="BN104" i="2"/>
  <c r="BN114" i="2"/>
  <c r="BN124" i="2"/>
  <c r="Y127" i="2"/>
  <c r="Y148" i="2"/>
  <c r="BN171" i="2"/>
  <c r="BP193" i="2"/>
  <c r="BN216" i="2"/>
  <c r="BN259" i="2"/>
  <c r="BN335" i="2"/>
  <c r="BN379" i="2"/>
  <c r="Y382" i="2"/>
  <c r="Y390" i="2"/>
  <c r="BN424" i="2"/>
  <c r="BP451" i="2"/>
  <c r="BP461" i="2"/>
  <c r="BN472" i="2"/>
  <c r="BN484" i="2"/>
  <c r="Y487" i="2"/>
  <c r="BP496" i="2"/>
  <c r="BP508" i="2"/>
  <c r="Y519" i="2"/>
  <c r="BN531" i="2"/>
  <c r="T544" i="2"/>
  <c r="BN28" i="2"/>
  <c r="Y283" i="2"/>
  <c r="Y457" i="2"/>
  <c r="B544" i="2"/>
  <c r="Z78" i="2"/>
  <c r="Z79" i="2" s="1"/>
  <c r="Z169" i="2"/>
  <c r="Z244" i="2"/>
  <c r="Z245" i="2" s="1"/>
  <c r="Y268" i="2"/>
  <c r="Y299" i="2"/>
  <c r="Y322" i="2"/>
  <c r="Z333" i="2"/>
  <c r="BP379" i="2"/>
  <c r="Z387" i="2"/>
  <c r="Y415" i="2"/>
  <c r="Z445" i="2"/>
  <c r="Z470" i="2"/>
  <c r="Z482" i="2"/>
  <c r="Z492" i="2"/>
  <c r="Z493" i="2" s="1"/>
  <c r="Z502" i="2"/>
  <c r="Y509" i="2"/>
  <c r="Z516" i="2"/>
  <c r="BP531" i="2"/>
  <c r="V544" i="2"/>
  <c r="H9" i="2"/>
  <c r="BP23" i="2"/>
  <c r="Z31" i="2"/>
  <c r="Y194" i="2"/>
  <c r="J9" i="2"/>
  <c r="Z36" i="2"/>
  <c r="Z37" i="2" s="1"/>
  <c r="BN52" i="2"/>
  <c r="BN73" i="2"/>
  <c r="Z83" i="2"/>
  <c r="BN107" i="2"/>
  <c r="BN117" i="2"/>
  <c r="BN184" i="2"/>
  <c r="BN219" i="2"/>
  <c r="BN239" i="2"/>
  <c r="Z250" i="2"/>
  <c r="BN262" i="2"/>
  <c r="BN272" i="2"/>
  <c r="Z280" i="2"/>
  <c r="BN293" i="2"/>
  <c r="BP305" i="2"/>
  <c r="BN316" i="2"/>
  <c r="BN327" i="2"/>
  <c r="BN362" i="2"/>
  <c r="BN372" i="2"/>
  <c r="Z392" i="2"/>
  <c r="BN407" i="2"/>
  <c r="BP429" i="2"/>
  <c r="Z452" i="2"/>
  <c r="BP479" i="2"/>
  <c r="Z497" i="2"/>
  <c r="Z521" i="2"/>
  <c r="Z522" i="2" s="1"/>
  <c r="D544" i="2"/>
  <c r="W544" i="2"/>
  <c r="BP60" i="2"/>
  <c r="BP70" i="2"/>
  <c r="Z145" i="2"/>
  <c r="Y180" i="2"/>
  <c r="Z189" i="2"/>
  <c r="Z190" i="2" s="1"/>
  <c r="Y206" i="2"/>
  <c r="Y99" i="2"/>
  <c r="Y110" i="2"/>
  <c r="BN140" i="2"/>
  <c r="Z151" i="2"/>
  <c r="BN164" i="2"/>
  <c r="BP135" i="2"/>
  <c r="BN214" i="2"/>
  <c r="BN244" i="2"/>
  <c r="BN333" i="2"/>
  <c r="BP346" i="2"/>
  <c r="BN387" i="2"/>
  <c r="BN445" i="2"/>
  <c r="Y458" i="2"/>
  <c r="BN470" i="2"/>
  <c r="Y473" i="2"/>
  <c r="BN482" i="2"/>
  <c r="BN492" i="2"/>
  <c r="BN502" i="2"/>
  <c r="BN516" i="2"/>
  <c r="Z526" i="2"/>
  <c r="Z527" i="2" s="1"/>
  <c r="Y532" i="2"/>
  <c r="BN63" i="2"/>
  <c r="BN96" i="2"/>
  <c r="BN174" i="2"/>
  <c r="Z227" i="2"/>
  <c r="A10" i="2"/>
  <c r="BN151" i="2"/>
  <c r="Y207" i="2"/>
  <c r="BN392" i="2"/>
  <c r="BP407" i="2"/>
  <c r="Y544" i="2"/>
  <c r="BP244" i="2"/>
  <c r="BN526" i="2"/>
  <c r="AA544" i="2"/>
  <c r="Z376" i="2" l="1"/>
  <c r="Z282" i="2"/>
  <c r="Z337" i="2"/>
  <c r="Z342" i="2"/>
  <c r="Z56" i="2"/>
  <c r="Z179" i="2"/>
  <c r="Z312" i="2"/>
  <c r="Z241" i="2"/>
  <c r="Z267" i="2"/>
  <c r="Z67" i="2"/>
  <c r="Z446" i="2"/>
  <c r="Z462" i="2"/>
  <c r="Z415" i="2"/>
  <c r="Z402" i="2"/>
  <c r="Z389" i="2"/>
  <c r="Z382" i="2"/>
  <c r="Z369" i="2"/>
  <c r="Z298" i="2"/>
  <c r="Z206" i="2"/>
  <c r="Z147" i="2"/>
  <c r="Z137" i="2"/>
  <c r="Z92" i="2"/>
  <c r="X537" i="2"/>
  <c r="Y538" i="2"/>
  <c r="Y534" i="2"/>
  <c r="Z503" i="2"/>
  <c r="Z84" i="2"/>
  <c r="Z120" i="2"/>
  <c r="Z99" i="2"/>
  <c r="Y536" i="2"/>
  <c r="Z228" i="2"/>
  <c r="Z110" i="2"/>
  <c r="Z33" i="2"/>
  <c r="Z457" i="2"/>
  <c r="Z127" i="2"/>
  <c r="Z487" i="2"/>
  <c r="Z473" i="2"/>
  <c r="Y535" i="2"/>
  <c r="Z251" i="2"/>
  <c r="Z155" i="2"/>
  <c r="Z395" i="2"/>
  <c r="Z518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<sst xmlns="http://schemas.openxmlformats.org/spreadsheetml/2006/main" count="4040" uniqueCount="856">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</sst>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45" sqref="AA4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 t="s">
        <v>855</v>
      </c>
      <c r="I5" s="961"/>
      <c r="J5" s="961"/>
      <c r="K5" s="961"/>
      <c r="L5" s="961"/>
      <c r="M5" s="961"/>
      <c r="N5" s="72"/>
      <c r="P5" s="27" t="s">
        <v>4</v>
      </c>
      <c r="Q5" s="963">
        <v>46214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837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Суббота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1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0.375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21">
        <v>4680115887657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21">
        <v>4680115887619</v>
      </c>
      <c r="E32" s="621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3"/>
      <c r="R32" s="623"/>
      <c r="S32" s="623"/>
      <c r="T32" s="62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20" t="s">
        <v>107</v>
      </c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  <c r="O35" s="620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6"/>
      <c r="AB35" s="66"/>
      <c r="AC35" s="80"/>
    </row>
    <row r="36" spans="1:68" ht="27" hidden="1" customHeight="1" x14ac:dyDescent="0.25">
      <c r="A36" s="63" t="s">
        <v>108</v>
      </c>
      <c r="B36" s="63" t="s">
        <v>109</v>
      </c>
      <c r="C36" s="36">
        <v>4301032013</v>
      </c>
      <c r="D36" s="621">
        <v>4607091388503</v>
      </c>
      <c r="E36" s="621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3"/>
      <c r="R36" s="623"/>
      <c r="S36" s="623"/>
      <c r="T36" s="624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41" t="s">
        <v>45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54"/>
      <c r="AB39" s="54"/>
      <c r="AC39" s="54"/>
    </row>
    <row r="40" spans="1:68" ht="16.5" hidden="1" customHeight="1" x14ac:dyDescent="0.25">
      <c r="A40" s="636" t="s">
        <v>113</v>
      </c>
      <c r="B40" s="636"/>
      <c r="C40" s="636"/>
      <c r="D40" s="636"/>
      <c r="E40" s="636"/>
      <c r="F40" s="636"/>
      <c r="G40" s="636"/>
      <c r="H40" s="636"/>
      <c r="I40" s="636"/>
      <c r="J40" s="636"/>
      <c r="K40" s="636"/>
      <c r="L40" s="636"/>
      <c r="M40" s="636"/>
      <c r="N40" s="636"/>
      <c r="O40" s="636"/>
      <c r="P40" s="636"/>
      <c r="Q40" s="636"/>
      <c r="R40" s="636"/>
      <c r="S40" s="636"/>
      <c r="T40" s="636"/>
      <c r="U40" s="636"/>
      <c r="V40" s="636"/>
      <c r="W40" s="636"/>
      <c r="X40" s="636"/>
      <c r="Y40" s="636"/>
      <c r="Z40" s="636"/>
      <c r="AA40" s="65"/>
      <c r="AB40" s="65"/>
      <c r="AC40" s="79"/>
    </row>
    <row r="41" spans="1:68" ht="14.25" hidden="1" customHeight="1" x14ac:dyDescent="0.25">
      <c r="A41" s="620" t="s">
        <v>86</v>
      </c>
      <c r="B41" s="620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20"/>
      <c r="R41" s="620"/>
      <c r="S41" s="620"/>
      <c r="T41" s="620"/>
      <c r="U41" s="620"/>
      <c r="V41" s="620"/>
      <c r="W41" s="620"/>
      <c r="X41" s="620"/>
      <c r="Y41" s="620"/>
      <c r="Z41" s="620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4301052187</v>
      </c>
      <c r="D42" s="621">
        <v>4680115889354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4301052198</v>
      </c>
      <c r="D43" s="621">
        <v>4680115888463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4301052202</v>
      </c>
      <c r="D44" s="621">
        <v>4680115888494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4301052184</v>
      </c>
      <c r="D45" s="621">
        <v>4680115888272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16</v>
      </c>
      <c r="Y45" s="55">
        <f>IFERROR(IF(X45="",0,CEILING((X45/$H45),1)*$H45),"")</f>
        <v>17.28</v>
      </c>
      <c r="Z45" s="41">
        <f>IFERROR(IF(Y45=0,"",ROUNDUP(Y45/H45,0)*0.00651),"")</f>
        <v>5.8590000000000003E-2</v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17.5</v>
      </c>
      <c r="BN45" s="78">
        <f>IFERROR(Y45*I45/H45,"0")</f>
        <v>18.900000000000002</v>
      </c>
      <c r="BO45" s="78">
        <f>IFERROR(1/J45*(X45/H45),"0")</f>
        <v>4.5787545787545791E-2</v>
      </c>
      <c r="BP45" s="78">
        <f>IFERROR(1/J45*(Y45/H45),"0")</f>
        <v>4.9450549450549462E-2</v>
      </c>
    </row>
    <row r="46" spans="1:68" ht="27" customHeight="1" x14ac:dyDescent="0.25">
      <c r="A46" s="63" t="s">
        <v>127</v>
      </c>
      <c r="B46" s="63" t="s">
        <v>128</v>
      </c>
      <c r="C46" s="36">
        <v>4301052188</v>
      </c>
      <c r="D46" s="621">
        <v>4680115888364</v>
      </c>
      <c r="E46" s="62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23"/>
      <c r="R46" s="623"/>
      <c r="S46" s="623"/>
      <c r="T46" s="624"/>
      <c r="U46" s="39" t="s">
        <v>46</v>
      </c>
      <c r="V46" s="39" t="s">
        <v>46</v>
      </c>
      <c r="W46" s="40" t="s">
        <v>0</v>
      </c>
      <c r="X46" s="58">
        <v>16</v>
      </c>
      <c r="Y46" s="55">
        <f>IFERROR(IF(X46="",0,CEILING((X46/$H46),1)*$H46),"")</f>
        <v>17.28</v>
      </c>
      <c r="Z46" s="41">
        <f>IFERROR(IF(Y46=0,"",ROUNDUP(Y46/H46,0)*0.00651),"")</f>
        <v>5.8590000000000003E-2</v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17.5</v>
      </c>
      <c r="BN46" s="78">
        <f>IFERROR(Y46*I46/H46,"0")</f>
        <v>18.900000000000002</v>
      </c>
      <c r="BO46" s="78">
        <f>IFERROR(1/J46*(X46/H46),"0")</f>
        <v>4.5787545787545791E-2</v>
      </c>
      <c r="BP46" s="78">
        <f>IFERROR(1/J46*(Y46/H46),"0")</f>
        <v>4.9450549450549462E-2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IFERROR(X42/H42,"0")+IFERROR(X43/H43,"0")+IFERROR(X44/H44,"0")+IFERROR(X45/H45,"0")+IFERROR(X46/H46,"0")</f>
        <v>16.666666666666668</v>
      </c>
      <c r="Y47" s="43">
        <f>IFERROR(Y42/H42,"0")+IFERROR(Y43/H43,"0")+IFERROR(Y44/H44,"0")+IFERROR(Y45/H45,"0")+IFERROR(Y46/H46,"0")</f>
        <v>18.000000000000004</v>
      </c>
      <c r="Z47" s="43">
        <f>IFERROR(IF(Z42="",0,Z42),"0")+IFERROR(IF(Z43="",0,Z43),"0")+IFERROR(IF(Z44="",0,Z44),"0")+IFERROR(IF(Z45="",0,Z45),"0")+IFERROR(IF(Z46="",0,Z46),"0")</f>
        <v>0.11718000000000001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IFERROR(SUM(X42:X46),"0")</f>
        <v>32</v>
      </c>
      <c r="Y48" s="43">
        <f>IFERROR(SUM(Y42:Y46),"0")</f>
        <v>34.56</v>
      </c>
      <c r="Z48" s="42"/>
      <c r="AA48" s="67"/>
      <c r="AB48" s="67"/>
      <c r="AC48" s="67"/>
    </row>
    <row r="49" spans="1:68" ht="27.75" hidden="1" customHeight="1" x14ac:dyDescent="0.2">
      <c r="A49" s="641" t="s">
        <v>130</v>
      </c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54"/>
      <c r="AB49" s="54"/>
      <c r="AC49" s="54"/>
    </row>
    <row r="50" spans="1:68" ht="16.5" hidden="1" customHeight="1" x14ac:dyDescent="0.25">
      <c r="A50" s="636" t="s">
        <v>131</v>
      </c>
      <c r="B50" s="636"/>
      <c r="C50" s="636"/>
      <c r="D50" s="636"/>
      <c r="E50" s="636"/>
      <c r="F50" s="636"/>
      <c r="G50" s="636"/>
      <c r="H50" s="636"/>
      <c r="I50" s="636"/>
      <c r="J50" s="636"/>
      <c r="K50" s="636"/>
      <c r="L50" s="636"/>
      <c r="M50" s="636"/>
      <c r="N50" s="636"/>
      <c r="O50" s="636"/>
      <c r="P50" s="636"/>
      <c r="Q50" s="636"/>
      <c r="R50" s="636"/>
      <c r="S50" s="636"/>
      <c r="T50" s="636"/>
      <c r="U50" s="636"/>
      <c r="V50" s="636"/>
      <c r="W50" s="636"/>
      <c r="X50" s="636"/>
      <c r="Y50" s="636"/>
      <c r="Z50" s="636"/>
      <c r="AA50" s="65"/>
      <c r="AB50" s="65"/>
      <c r="AC50" s="79"/>
    </row>
    <row r="51" spans="1:68" ht="14.25" hidden="1" customHeight="1" x14ac:dyDescent="0.25">
      <c r="A51" s="620" t="s">
        <v>132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21">
        <v>4607091385670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200</v>
      </c>
      <c r="Y52" s="55">
        <f>IFERROR(IF(X52="",0,CEILING((X52/$H52),1)*$H52),"")</f>
        <v>205.20000000000002</v>
      </c>
      <c r="Z52" s="41">
        <f>IFERROR(IF(Y52=0,"",ROUNDUP(Y52/H52,0)*0.01898),"")</f>
        <v>0.36062</v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207.59259259259258</v>
      </c>
      <c r="BN52" s="78">
        <f>IFERROR(Y52*I52/H52,"0")</f>
        <v>212.99</v>
      </c>
      <c r="BO52" s="78">
        <f>IFERROR(1/J52*(X52/H52),"0")</f>
        <v>0.28935185185185186</v>
      </c>
      <c r="BP52" s="78">
        <f>IFERROR(1/J52*(Y52/H52),"0")</f>
        <v>0.296875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4301012053</v>
      </c>
      <c r="D53" s="621">
        <v>4680115887725</v>
      </c>
      <c r="E53" s="621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21">
        <v>4607091385687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264</v>
      </c>
      <c r="Y54" s="55">
        <f>IFERROR(IF(X54="",0,CEILING((X54/$H54),1)*$H54),"")</f>
        <v>264</v>
      </c>
      <c r="Z54" s="41">
        <f>IFERROR(IF(Y54=0,"",ROUNDUP(Y54/H54,0)*0.00902),"")</f>
        <v>0.59532000000000007</v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276.54000000000002</v>
      </c>
      <c r="BN54" s="78">
        <f>IFERROR(Y54*I54/H54,"0")</f>
        <v>276.54000000000002</v>
      </c>
      <c r="BO54" s="78">
        <f>IFERROR(1/J54*(X54/H54),"0")</f>
        <v>0.5</v>
      </c>
      <c r="BP54" s="78">
        <f>IFERROR(1/J54*(Y54/H54),"0")</f>
        <v>0.5</v>
      </c>
    </row>
    <row r="55" spans="1:68" ht="27" hidden="1" customHeight="1" x14ac:dyDescent="0.25">
      <c r="A55" s="63" t="s">
        <v>145</v>
      </c>
      <c r="B55" s="63" t="s">
        <v>146</v>
      </c>
      <c r="C55" s="36">
        <v>4301011565</v>
      </c>
      <c r="D55" s="621">
        <v>4680115882539</v>
      </c>
      <c r="E55" s="621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8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23"/>
      <c r="R55" s="623"/>
      <c r="S55" s="623"/>
      <c r="T55" s="624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39</v>
      </c>
      <c r="X56" s="43">
        <f>IFERROR(X52/H52,"0")+IFERROR(X53/H53,"0")+IFERROR(X54/H54,"0")+IFERROR(X55/H55,"0")</f>
        <v>84.518518518518519</v>
      </c>
      <c r="Y56" s="43">
        <f>IFERROR(Y52/H52,"0")+IFERROR(Y53/H53,"0")+IFERROR(Y54/H54,"0")+IFERROR(Y55/H55,"0")</f>
        <v>85</v>
      </c>
      <c r="Z56" s="43">
        <f>IFERROR(IF(Z52="",0,Z52),"0")+IFERROR(IF(Z53="",0,Z53),"0")+IFERROR(IF(Z54="",0,Z54),"0")+IFERROR(IF(Z55="",0,Z55),"0")</f>
        <v>0.95594000000000001</v>
      </c>
      <c r="AA56" s="67"/>
      <c r="AB56" s="67"/>
      <c r="AC56" s="67"/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0</v>
      </c>
      <c r="X57" s="43">
        <f>IFERROR(SUM(X52:X55),"0")</f>
        <v>464</v>
      </c>
      <c r="Y57" s="43">
        <f>IFERROR(SUM(Y52:Y55),"0")</f>
        <v>469.20000000000005</v>
      </c>
      <c r="Z57" s="42"/>
      <c r="AA57" s="67"/>
      <c r="AB57" s="67"/>
      <c r="AC57" s="67"/>
    </row>
    <row r="58" spans="1:68" ht="16.5" hidden="1" customHeight="1" x14ac:dyDescent="0.25">
      <c r="A58" s="636" t="s">
        <v>147</v>
      </c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6"/>
      <c r="P58" s="636"/>
      <c r="Q58" s="636"/>
      <c r="R58" s="636"/>
      <c r="S58" s="636"/>
      <c r="T58" s="636"/>
      <c r="U58" s="636"/>
      <c r="V58" s="636"/>
      <c r="W58" s="636"/>
      <c r="X58" s="636"/>
      <c r="Y58" s="636"/>
      <c r="Z58" s="636"/>
      <c r="AA58" s="65"/>
      <c r="AB58" s="65"/>
      <c r="AC58" s="79"/>
    </row>
    <row r="59" spans="1:68" ht="14.25" hidden="1" customHeight="1" x14ac:dyDescent="0.25">
      <c r="A59" s="620" t="s">
        <v>132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27" hidden="1" customHeight="1" x14ac:dyDescent="0.25">
      <c r="A60" s="63" t="s">
        <v>148</v>
      </c>
      <c r="B60" s="63" t="s">
        <v>149</v>
      </c>
      <c r="C60" s="36">
        <v>4301012030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8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hidden="1" customHeight="1" x14ac:dyDescent="0.25">
      <c r="A61" s="63" t="s">
        <v>148</v>
      </c>
      <c r="B61" s="63" t="s">
        <v>151</v>
      </c>
      <c r="C61" s="36">
        <v>4301012161</v>
      </c>
      <c r="D61" s="621">
        <v>4680115885882</v>
      </c>
      <c r="E61" s="621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87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21">
        <v>4680115881426</v>
      </c>
      <c r="E62" s="621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8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200</v>
      </c>
      <c r="Y62" s="55">
        <f t="shared" si="6"/>
        <v>205.20000000000002</v>
      </c>
      <c r="Z62" s="41">
        <f>IFERROR(IF(Y62=0,"",ROUNDUP(Y62/H62,0)*0.01898),"")</f>
        <v>0.36062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207.59259259259258</v>
      </c>
      <c r="BN62" s="78">
        <f t="shared" si="8"/>
        <v>212.99</v>
      </c>
      <c r="BO62" s="78">
        <f t="shared" si="9"/>
        <v>0.28935185185185186</v>
      </c>
      <c r="BP62" s="78">
        <f t="shared" si="10"/>
        <v>0.296875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4301011386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87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23"/>
      <c r="R63" s="623"/>
      <c r="S63" s="623"/>
      <c r="T63" s="62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159</v>
      </c>
      <c r="B64" s="63" t="s">
        <v>160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customHeight="1" x14ac:dyDescent="0.25">
      <c r="A66" s="63" t="s">
        <v>164</v>
      </c>
      <c r="B66" s="63" t="s">
        <v>165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360</v>
      </c>
      <c r="Y66" s="55">
        <f t="shared" si="6"/>
        <v>360</v>
      </c>
      <c r="Z66" s="41">
        <f>IFERROR(IF(Y66=0,"",ROUNDUP(Y66/H66,0)*0.00902),"")</f>
        <v>0.72160000000000002</v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375.20000000000005</v>
      </c>
      <c r="BN66" s="78">
        <f t="shared" si="8"/>
        <v>375.20000000000005</v>
      </c>
      <c r="BO66" s="78">
        <f t="shared" si="9"/>
        <v>0.60606060606060608</v>
      </c>
      <c r="BP66" s="78">
        <f t="shared" si="10"/>
        <v>0.60606060606060608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IFERROR(X60/H60,"0")+IFERROR(X61/H61,"0")+IFERROR(X62/H62,"0")+IFERROR(X63/H63,"0")+IFERROR(X64/H64,"0")+IFERROR(X65/H65,"0")+IFERROR(X66/H66,"0")</f>
        <v>98.518518518518519</v>
      </c>
      <c r="Y67" s="43">
        <f>IFERROR(Y60/H60,"0")+IFERROR(Y61/H61,"0")+IFERROR(Y62/H62,"0")+IFERROR(Y63/H63,"0")+IFERROR(Y64/H64,"0")+IFERROR(Y65/H65,"0")+IFERROR(Y66/H66,"0")</f>
        <v>99</v>
      </c>
      <c r="Z67" s="43">
        <f>IFERROR(IF(Z60="",0,Z60),"0")+IFERROR(IF(Z61="",0,Z61),"0")+IFERROR(IF(Z62="",0,Z62),"0")+IFERROR(IF(Z63="",0,Z63),"0")+IFERROR(IF(Z64="",0,Z64),"0")+IFERROR(IF(Z65="",0,Z65),"0")+IFERROR(IF(Z66="",0,Z66),"0")</f>
        <v>1.08222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IFERROR(SUM(X60:X66),"0")</f>
        <v>560</v>
      </c>
      <c r="Y68" s="43">
        <f>IFERROR(SUM(Y60:Y66),"0")</f>
        <v>565.20000000000005</v>
      </c>
      <c r="Z68" s="42"/>
      <c r="AA68" s="67"/>
      <c r="AB68" s="67"/>
      <c r="AC68" s="67"/>
    </row>
    <row r="69" spans="1:68" ht="14.25" hidden="1" customHeight="1" x14ac:dyDescent="0.25">
      <c r="A69" s="620" t="s">
        <v>167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168</v>
      </c>
      <c r="B70" s="63" t="s">
        <v>169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100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103.79629629629629</v>
      </c>
      <c r="BN70" s="78">
        <f>IFERROR(Y70*I70/H70,"0")</f>
        <v>112.1</v>
      </c>
      <c r="BO70" s="78">
        <f>IFERROR(1/J70*(X70/H70),"0")</f>
        <v>0.14467592592592593</v>
      </c>
      <c r="BP70" s="78">
        <f>IFERROR(1/J70*(Y70/H70),"0")</f>
        <v>0.15625</v>
      </c>
    </row>
    <row r="71" spans="1:68" ht="16.5" hidden="1" customHeight="1" x14ac:dyDescent="0.25">
      <c r="A71" s="63" t="s">
        <v>171</v>
      </c>
      <c r="B71" s="63" t="s">
        <v>172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135</v>
      </c>
      <c r="Y73" s="55">
        <f>IFERROR(IF(X73="",0,CEILING((X73/$H73),1)*$H73),"")</f>
        <v>135</v>
      </c>
      <c r="Z73" s="41">
        <f>IFERROR(IF(Y73=0,"",ROUNDUP(Y73/H73,0)*0.00651),"")</f>
        <v>0.32550000000000001</v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144</v>
      </c>
      <c r="BN73" s="78">
        <f>IFERROR(Y73*I73/H73,"0")</f>
        <v>144</v>
      </c>
      <c r="BO73" s="78">
        <f>IFERROR(1/J73*(X73/H73),"0")</f>
        <v>0.27472527472527475</v>
      </c>
      <c r="BP73" s="78">
        <f>IFERROR(1/J73*(Y73/H73),"0")</f>
        <v>0.27472527472527475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59.25925925925926</v>
      </c>
      <c r="Y74" s="43">
        <f>IFERROR(Y70/H70,"0")+IFERROR(Y71/H71,"0")+IFERROR(Y72/H72,"0")+IFERROR(Y73/H73,"0")</f>
        <v>60</v>
      </c>
      <c r="Z74" s="43">
        <f>IFERROR(IF(Z70="",0,Z70),"0")+IFERROR(IF(Z71="",0,Z71),"0")+IFERROR(IF(Z72="",0,Z72),"0")+IFERROR(IF(Z73="",0,Z73),"0")</f>
        <v>0.51529999999999998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235</v>
      </c>
      <c r="Y75" s="43">
        <f>IFERROR(SUM(Y70:Y73),"0")</f>
        <v>243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184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40</v>
      </c>
      <c r="Y82" s="55">
        <f>IFERROR(IF(X82="",0,CEILING((X82/$H82),1)*$H82),"")</f>
        <v>46.8</v>
      </c>
      <c r="Z82" s="41">
        <f>IFERROR(IF(Y82=0,"",ROUNDUP(Y82/H82,0)*0.01898),"")</f>
        <v>0.11388000000000001</v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42.102564102564109</v>
      </c>
      <c r="BN82" s="78">
        <f>IFERROR(Y82*I82/H82,"0")</f>
        <v>49.260000000000005</v>
      </c>
      <c r="BO82" s="78">
        <f>IFERROR(1/J82*(X82/H82),"0")</f>
        <v>8.0128205128205135E-2</v>
      </c>
      <c r="BP82" s="78">
        <f>IFERROR(1/J82*(Y82/H82),"0")</f>
        <v>9.375E-2</v>
      </c>
    </row>
    <row r="83" spans="1:68" ht="27" hidden="1" customHeight="1" x14ac:dyDescent="0.25">
      <c r="A83" s="63" t="s">
        <v>188</v>
      </c>
      <c r="B83" s="63" t="s">
        <v>189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5.1282051282051286</v>
      </c>
      <c r="Y84" s="43">
        <f>IFERROR(Y82/H82,"0")+IFERROR(Y83/H83,"0")</f>
        <v>6</v>
      </c>
      <c r="Z84" s="43">
        <f>IFERROR(IF(Z82="",0,Z82),"0")+IFERROR(IF(Z83="",0,Z83),"0")</f>
        <v>0.11388000000000001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40</v>
      </c>
      <c r="Y85" s="43">
        <f>IFERROR(SUM(Y82:Y83),"0")</f>
        <v>46.8</v>
      </c>
      <c r="Z85" s="42"/>
      <c r="AA85" s="67"/>
      <c r="AB85" s="67"/>
      <c r="AC85" s="67"/>
    </row>
    <row r="86" spans="1:68" ht="16.5" hidden="1" customHeight="1" x14ac:dyDescent="0.25">
      <c r="A86" s="636" t="s">
        <v>191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132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200</v>
      </c>
      <c r="Y88" s="55">
        <f>IFERROR(IF(X88="",0,CEILING((X88/$H88),1)*$H88),"")</f>
        <v>205.20000000000002</v>
      </c>
      <c r="Z88" s="41">
        <f>IFERROR(IF(Y88=0,"",ROUNDUP(Y88/H88,0)*0.01898),"")</f>
        <v>0.36062</v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207.59259259259258</v>
      </c>
      <c r="BN88" s="78">
        <f>IFERROR(Y88*I88/H88,"0")</f>
        <v>212.99</v>
      </c>
      <c r="BO88" s="78">
        <f>IFERROR(1/J88*(X88/H88),"0")</f>
        <v>0.28935185185185186</v>
      </c>
      <c r="BP88" s="78">
        <f>IFERROR(1/J88*(Y88/H88),"0")</f>
        <v>0.296875</v>
      </c>
    </row>
    <row r="89" spans="1:68" ht="27" hidden="1" customHeight="1" x14ac:dyDescent="0.25">
      <c r="A89" s="63" t="s">
        <v>195</v>
      </c>
      <c r="B89" s="63" t="s">
        <v>196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405</v>
      </c>
      <c r="Y91" s="55">
        <f>IFERROR(IF(X91="",0,CEILING((X91/$H91),1)*$H91),"")</f>
        <v>405</v>
      </c>
      <c r="Z91" s="41">
        <f>IFERROR(IF(Y91=0,"",ROUNDUP(Y91/H91,0)*0.00902),"")</f>
        <v>0.81180000000000008</v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422.1</v>
      </c>
      <c r="BN91" s="78">
        <f>IFERROR(Y91*I91/H91,"0")</f>
        <v>422.1</v>
      </c>
      <c r="BO91" s="78">
        <f>IFERROR(1/J91*(X91/H91),"0")</f>
        <v>0.68181818181818188</v>
      </c>
      <c r="BP91" s="78">
        <f>IFERROR(1/J91*(Y91/H91),"0")</f>
        <v>0.68181818181818188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108.51851851851852</v>
      </c>
      <c r="Y92" s="43">
        <f>IFERROR(Y88/H88,"0")+IFERROR(Y89/H89,"0")+IFERROR(Y90/H90,"0")+IFERROR(Y91/H91,"0")</f>
        <v>109</v>
      </c>
      <c r="Z92" s="43">
        <f>IFERROR(IF(Z88="",0,Z88),"0")+IFERROR(IF(Z89="",0,Z89),"0")+IFERROR(IF(Z90="",0,Z90),"0")+IFERROR(IF(Z91="",0,Z91),"0")</f>
        <v>1.17242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605</v>
      </c>
      <c r="Y93" s="43">
        <f>IFERROR(SUM(Y88:Y91),"0")</f>
        <v>610.20000000000005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200</v>
      </c>
      <c r="Y95" s="55">
        <f>IFERROR(IF(X95="",0,CEILING((X95/$H95),1)*$H95),"")</f>
        <v>202.5</v>
      </c>
      <c r="Z95" s="41">
        <f>IFERROR(IF(Y95=0,"",ROUNDUP(Y95/H95,0)*0.01898),"")</f>
        <v>0.47450000000000003</v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212.19753086419755</v>
      </c>
      <c r="BN95" s="78">
        <f>IFERROR(Y95*I95/H95,"0")</f>
        <v>214.85</v>
      </c>
      <c r="BO95" s="78">
        <f>IFERROR(1/J95*(X95/H95),"0")</f>
        <v>0.38580246913580246</v>
      </c>
      <c r="BP95" s="78">
        <f>IFERROR(1/J95*(Y95/H95),"0")</f>
        <v>0.390625</v>
      </c>
    </row>
    <row r="96" spans="1:68" ht="27" hidden="1" customHeight="1" x14ac:dyDescent="0.25">
      <c r="A96" s="63" t="s">
        <v>205</v>
      </c>
      <c r="B96" s="63" t="s">
        <v>206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405</v>
      </c>
      <c r="Y97" s="55">
        <f>IFERROR(IF(X97="",0,CEILING((X97/$H97),1)*$H97),"")</f>
        <v>405</v>
      </c>
      <c r="Z97" s="41">
        <f>IFERROR(IF(Y97=0,"",ROUNDUP(Y97/H97,0)*0.00651),"")</f>
        <v>0.97650000000000003</v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442.79999999999995</v>
      </c>
      <c r="BN97" s="78">
        <f>IFERROR(Y97*I97/H97,"0")</f>
        <v>442.79999999999995</v>
      </c>
      <c r="BO97" s="78">
        <f>IFERROR(1/J97*(X97/H97),"0")</f>
        <v>0.82417582417582425</v>
      </c>
      <c r="BP97" s="78">
        <f>IFERROR(1/J97*(Y97/H97),"0")</f>
        <v>0.82417582417582425</v>
      </c>
    </row>
    <row r="98" spans="1:68" ht="16.5" hidden="1" customHeight="1" x14ac:dyDescent="0.25">
      <c r="A98" s="63" t="s">
        <v>209</v>
      </c>
      <c r="B98" s="63" t="s">
        <v>210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174.69135802469137</v>
      </c>
      <c r="Y99" s="43">
        <f>IFERROR(Y95/H95,"0")+IFERROR(Y96/H96,"0")+IFERROR(Y97/H97,"0")+IFERROR(Y98/H98,"0")</f>
        <v>175</v>
      </c>
      <c r="Z99" s="43">
        <f>IFERROR(IF(Z95="",0,Z95),"0")+IFERROR(IF(Z96="",0,Z96),"0")+IFERROR(IF(Z97="",0,Z97),"0")+IFERROR(IF(Z98="",0,Z98),"0")</f>
        <v>1.4510000000000001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605</v>
      </c>
      <c r="Y100" s="43">
        <f>IFERROR(SUM(Y95:Y98),"0")</f>
        <v>607.5</v>
      </c>
      <c r="Z100" s="42"/>
      <c r="AA100" s="67"/>
      <c r="AB100" s="67"/>
      <c r="AC100" s="67"/>
    </row>
    <row r="101" spans="1:68" ht="16.5" hidden="1" customHeight="1" x14ac:dyDescent="0.25">
      <c r="A101" s="636" t="s">
        <v>212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132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213</v>
      </c>
      <c r="B103" s="63" t="s">
        <v>214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30</v>
      </c>
      <c r="Y103" s="55">
        <f t="shared" ref="Y103:Y109" si="11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31.138888888888889</v>
      </c>
      <c r="BN103" s="78">
        <f t="shared" ref="BN103:BN109" si="13">IFERROR(Y103*I103/H103,"0")</f>
        <v>33.630000000000003</v>
      </c>
      <c r="BO103" s="78">
        <f t="shared" ref="BO103:BO109" si="14">IFERROR(1/J103*(X103/H103),"0")</f>
        <v>4.3402777777777776E-2</v>
      </c>
      <c r="BP103" s="78">
        <f t="shared" ref="BP103:BP109" si="15">IFERROR(1/J103*(Y103/H103),"0")</f>
        <v>4.6875000000000007E-2</v>
      </c>
    </row>
    <row r="104" spans="1:68" ht="27" hidden="1" customHeight="1" x14ac:dyDescent="0.25">
      <c r="A104" s="63" t="s">
        <v>216</v>
      </c>
      <c r="B104" s="63" t="s">
        <v>217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216</v>
      </c>
      <c r="B105" s="63" t="s">
        <v>219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hidden="1" customHeight="1" x14ac:dyDescent="0.25">
      <c r="A106" s="63" t="s">
        <v>220</v>
      </c>
      <c r="B106" s="63" t="s">
        <v>221</v>
      </c>
      <c r="C106" s="36">
        <v>4301012226</v>
      </c>
      <c r="D106" s="621">
        <v>4680115887749</v>
      </c>
      <c r="E106" s="621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85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222</v>
      </c>
      <c r="B107" s="63" t="s">
        <v>223</v>
      </c>
      <c r="C107" s="36">
        <v>4301011417</v>
      </c>
      <c r="D107" s="621">
        <v>4680115880269</v>
      </c>
      <c r="E107" s="621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224</v>
      </c>
      <c r="B108" s="63" t="s">
        <v>225</v>
      </c>
      <c r="C108" s="36">
        <v>4301011415</v>
      </c>
      <c r="D108" s="621">
        <v>4680115880429</v>
      </c>
      <c r="E108" s="621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405</v>
      </c>
      <c r="Y108" s="55">
        <f t="shared" si="11"/>
        <v>405</v>
      </c>
      <c r="Z108" s="41">
        <f>IFERROR(IF(Y108=0,"",ROUNDUP(Y108/H108,0)*0.00902),"")</f>
        <v>0.81180000000000008</v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422.1</v>
      </c>
      <c r="BN108" s="78">
        <f t="shared" si="13"/>
        <v>422.1</v>
      </c>
      <c r="BO108" s="78">
        <f t="shared" si="14"/>
        <v>0.68181818181818188</v>
      </c>
      <c r="BP108" s="78">
        <f t="shared" si="15"/>
        <v>0.68181818181818188</v>
      </c>
    </row>
    <row r="109" spans="1:68" ht="37.5" hidden="1" customHeight="1" x14ac:dyDescent="0.25">
      <c r="A109" s="63" t="s">
        <v>226</v>
      </c>
      <c r="B109" s="63" t="s">
        <v>227</v>
      </c>
      <c r="C109" s="36">
        <v>4301011462</v>
      </c>
      <c r="D109" s="621">
        <v>4680115881457</v>
      </c>
      <c r="E109" s="621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85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23"/>
      <c r="R109" s="623"/>
      <c r="S109" s="623"/>
      <c r="T109" s="62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39</v>
      </c>
      <c r="X110" s="43">
        <f>IFERROR(X103/H103,"0")+IFERROR(X104/H104,"0")+IFERROR(X105/H105,"0")+IFERROR(X106/H106,"0")+IFERROR(X107/H107,"0")+IFERROR(X108/H108,"0")+IFERROR(X109/H109,"0")</f>
        <v>92.777777777777771</v>
      </c>
      <c r="Y110" s="43">
        <f>IFERROR(Y103/H103,"0")+IFERROR(Y104/H104,"0")+IFERROR(Y105/H105,"0")+IFERROR(Y106/H106,"0")+IFERROR(Y107/H107,"0")+IFERROR(Y108/H108,"0")+IFERROR(Y109/H109,"0")</f>
        <v>93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0.86874000000000007</v>
      </c>
      <c r="AA110" s="67"/>
      <c r="AB110" s="67"/>
      <c r="AC110" s="67"/>
    </row>
    <row r="111" spans="1:68" x14ac:dyDescent="0.2">
      <c r="A111" s="628"/>
      <c r="B111" s="628"/>
      <c r="C111" s="628"/>
      <c r="D111" s="628"/>
      <c r="E111" s="628"/>
      <c r="F111" s="628"/>
      <c r="G111" s="628"/>
      <c r="H111" s="628"/>
      <c r="I111" s="628"/>
      <c r="J111" s="628"/>
      <c r="K111" s="628"/>
      <c r="L111" s="628"/>
      <c r="M111" s="628"/>
      <c r="N111" s="628"/>
      <c r="O111" s="629"/>
      <c r="P111" s="625" t="s">
        <v>40</v>
      </c>
      <c r="Q111" s="626"/>
      <c r="R111" s="626"/>
      <c r="S111" s="626"/>
      <c r="T111" s="626"/>
      <c r="U111" s="626"/>
      <c r="V111" s="627"/>
      <c r="W111" s="42" t="s">
        <v>0</v>
      </c>
      <c r="X111" s="43">
        <f>IFERROR(SUM(X103:X109),"0")</f>
        <v>435</v>
      </c>
      <c r="Y111" s="43">
        <f>IFERROR(SUM(Y103:Y109),"0")</f>
        <v>437.4</v>
      </c>
      <c r="Z111" s="42"/>
      <c r="AA111" s="67"/>
      <c r="AB111" s="67"/>
      <c r="AC111" s="67"/>
    </row>
    <row r="112" spans="1:68" ht="14.25" hidden="1" customHeight="1" x14ac:dyDescent="0.25">
      <c r="A112" s="620" t="s">
        <v>167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16.5" hidden="1" customHeight="1" x14ac:dyDescent="0.25">
      <c r="A113" s="63" t="s">
        <v>228</v>
      </c>
      <c r="B113" s="63" t="s">
        <v>229</v>
      </c>
      <c r="C113" s="36">
        <v>4301020345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84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hidden="1" customHeight="1" x14ac:dyDescent="0.25">
      <c r="A114" s="63" t="s">
        <v>228</v>
      </c>
      <c r="B114" s="63" t="s">
        <v>231</v>
      </c>
      <c r="C114" s="36">
        <v>4301020391</v>
      </c>
      <c r="D114" s="621">
        <v>4680115881488</v>
      </c>
      <c r="E114" s="621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4301020186</v>
      </c>
      <c r="D115" s="621">
        <v>4680115887664</v>
      </c>
      <c r="E115" s="621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8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233</v>
      </c>
      <c r="B116" s="63" t="s">
        <v>237</v>
      </c>
      <c r="C116" s="36">
        <v>4301020430</v>
      </c>
      <c r="D116" s="621">
        <v>4680115887664</v>
      </c>
      <c r="E116" s="621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8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hidden="1" customHeight="1" x14ac:dyDescent="0.25">
      <c r="A117" s="63" t="s">
        <v>238</v>
      </c>
      <c r="B117" s="63" t="s">
        <v>239</v>
      </c>
      <c r="C117" s="36">
        <v>4301020393</v>
      </c>
      <c r="D117" s="621">
        <v>4680115882775</v>
      </c>
      <c r="E117" s="621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8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hidden="1" customHeight="1" x14ac:dyDescent="0.25">
      <c r="A118" s="63" t="s">
        <v>240</v>
      </c>
      <c r="B118" s="63" t="s">
        <v>241</v>
      </c>
      <c r="C118" s="36">
        <v>4301020344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hidden="1" customHeight="1" x14ac:dyDescent="0.25">
      <c r="A119" s="63" t="s">
        <v>240</v>
      </c>
      <c r="B119" s="63" t="s">
        <v>242</v>
      </c>
      <c r="C119" s="36">
        <v>4301020392</v>
      </c>
      <c r="D119" s="621">
        <v>4680115880658</v>
      </c>
      <c r="E119" s="62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23"/>
      <c r="R119" s="623"/>
      <c r="S119" s="623"/>
      <c r="T119" s="624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hidden="1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20" t="s">
        <v>86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21">
        <v>4607091385168</v>
      </c>
      <c r="E123" s="62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8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500</v>
      </c>
      <c r="Y123" s="55">
        <f>IFERROR(IF(X123="",0,CEILING((X123/$H123),1)*$H123),"")</f>
        <v>502.2</v>
      </c>
      <c r="Z123" s="41">
        <f>IFERROR(IF(Y123=0,"",ROUNDUP(Y123/H123,0)*0.01898),"")</f>
        <v>1.17676</v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530.12345679012344</v>
      </c>
      <c r="BN123" s="78">
        <f>IFERROR(Y123*I123/H123,"0")</f>
        <v>532.4559999999999</v>
      </c>
      <c r="BO123" s="78">
        <f>IFERROR(1/J123*(X123/H123),"0")</f>
        <v>0.96450617283950624</v>
      </c>
      <c r="BP123" s="78">
        <f>IFERROR(1/J123*(Y123/H123),"0")</f>
        <v>0.96875</v>
      </c>
    </row>
    <row r="124" spans="1:68" ht="27" hidden="1" customHeight="1" x14ac:dyDescent="0.25">
      <c r="A124" s="63" t="s">
        <v>246</v>
      </c>
      <c r="B124" s="63" t="s">
        <v>247</v>
      </c>
      <c r="C124" s="36">
        <v>4301051730</v>
      </c>
      <c r="D124" s="621">
        <v>4607091383256</v>
      </c>
      <c r="E124" s="621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21">
        <v>4607091385748</v>
      </c>
      <c r="E125" s="621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450</v>
      </c>
      <c r="Y125" s="55">
        <f>IFERROR(IF(X125="",0,CEILING((X125/$H125),1)*$H125),"")</f>
        <v>450.90000000000003</v>
      </c>
      <c r="Z125" s="41">
        <f>IFERROR(IF(Y125=0,"",ROUNDUP(Y125/H125,0)*0.00651),"")</f>
        <v>1.08717</v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492</v>
      </c>
      <c r="BN125" s="78">
        <f>IFERROR(Y125*I125/H125,"0")</f>
        <v>492.98399999999998</v>
      </c>
      <c r="BO125" s="78">
        <f>IFERROR(1/J125*(X125/H125),"0")</f>
        <v>0.91575091575091572</v>
      </c>
      <c r="BP125" s="78">
        <f>IFERROR(1/J125*(Y125/H125),"0")</f>
        <v>0.91758241758241765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21">
        <v>4680115884533</v>
      </c>
      <c r="E126" s="621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23"/>
      <c r="R126" s="623"/>
      <c r="S126" s="623"/>
      <c r="T126" s="624"/>
      <c r="U126" s="39" t="s">
        <v>46</v>
      </c>
      <c r="V126" s="39" t="s">
        <v>46</v>
      </c>
      <c r="W126" s="40" t="s">
        <v>0</v>
      </c>
      <c r="X126" s="58">
        <v>45</v>
      </c>
      <c r="Y126" s="55">
        <f>IFERROR(IF(X126="",0,CEILING((X126/$H126),1)*$H126),"")</f>
        <v>45</v>
      </c>
      <c r="Z126" s="41">
        <f>IFERROR(IF(Y126=0,"",ROUNDUP(Y126/H126,0)*0.00651),"")</f>
        <v>0.16275000000000001</v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49.499999999999993</v>
      </c>
      <c r="BN126" s="78">
        <f>IFERROR(Y126*I126/H126,"0")</f>
        <v>49.499999999999993</v>
      </c>
      <c r="BO126" s="78">
        <f>IFERROR(1/J126*(X126/H126),"0")</f>
        <v>0.13736263736263737</v>
      </c>
      <c r="BP126" s="78">
        <f>IFERROR(1/J126*(Y126/H126),"0")</f>
        <v>0.13736263736263737</v>
      </c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39</v>
      </c>
      <c r="X127" s="43">
        <f>IFERROR(X123/H123,"0")+IFERROR(X124/H124,"0")+IFERROR(X125/H125,"0")+IFERROR(X126/H126,"0")</f>
        <v>253.39506172839506</v>
      </c>
      <c r="Y127" s="43">
        <f>IFERROR(Y123/H123,"0")+IFERROR(Y124/H124,"0")+IFERROR(Y125/H125,"0")+IFERROR(Y126/H126,"0")</f>
        <v>254</v>
      </c>
      <c r="Z127" s="43">
        <f>IFERROR(IF(Z123="",0,Z123),"0")+IFERROR(IF(Z124="",0,Z124),"0")+IFERROR(IF(Z125="",0,Z125),"0")+IFERROR(IF(Z126="",0,Z126),"0")</f>
        <v>2.4266800000000002</v>
      </c>
      <c r="AA127" s="67"/>
      <c r="AB127" s="67"/>
      <c r="AC127" s="67"/>
    </row>
    <row r="128" spans="1:68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2" t="s">
        <v>0</v>
      </c>
      <c r="X128" s="43">
        <f>IFERROR(SUM(X123:X126),"0")</f>
        <v>995</v>
      </c>
      <c r="Y128" s="43">
        <f>IFERROR(SUM(Y123:Y126),"0")</f>
        <v>998.1</v>
      </c>
      <c r="Z128" s="42"/>
      <c r="AA128" s="67"/>
      <c r="AB128" s="67"/>
      <c r="AC128" s="67"/>
    </row>
    <row r="129" spans="1:68" ht="14.25" hidden="1" customHeight="1" x14ac:dyDescent="0.25">
      <c r="A129" s="620" t="s">
        <v>184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16.5" customHeight="1" x14ac:dyDescent="0.25">
      <c r="A130" s="63" t="s">
        <v>253</v>
      </c>
      <c r="B130" s="63" t="s">
        <v>254</v>
      </c>
      <c r="C130" s="36">
        <v>4301060317</v>
      </c>
      <c r="D130" s="621">
        <v>4680115880238</v>
      </c>
      <c r="E130" s="621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23"/>
      <c r="R130" s="623"/>
      <c r="S130" s="623"/>
      <c r="T130" s="624"/>
      <c r="U130" s="39" t="s">
        <v>46</v>
      </c>
      <c r="V130" s="39" t="s">
        <v>46</v>
      </c>
      <c r="W130" s="40" t="s">
        <v>0</v>
      </c>
      <c r="X130" s="58">
        <v>49.5</v>
      </c>
      <c r="Y130" s="55">
        <f>IFERROR(IF(X130="",0,CEILING((X130/$H130),1)*$H130),"")</f>
        <v>49.5</v>
      </c>
      <c r="Z130" s="41">
        <f>IFERROR(IF(Y130=0,"",ROUNDUP(Y130/H130,0)*0.00651),"")</f>
        <v>0.16275000000000001</v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55.95</v>
      </c>
      <c r="BN130" s="78">
        <f>IFERROR(Y130*I130/H130,"0")</f>
        <v>55.95</v>
      </c>
      <c r="BO130" s="78">
        <f>IFERROR(1/J130*(X130/H130),"0")</f>
        <v>0.13736263736263737</v>
      </c>
      <c r="BP130" s="78">
        <f>IFERROR(1/J130*(Y130/H130),"0")</f>
        <v>0.13736263736263737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IFERROR(X130/H130,"0")</f>
        <v>25</v>
      </c>
      <c r="Y131" s="43">
        <f>IFERROR(Y130/H130,"0")</f>
        <v>25</v>
      </c>
      <c r="Z131" s="43">
        <f>IFERROR(IF(Z130="",0,Z130),"0")</f>
        <v>0.16275000000000001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IFERROR(SUM(X130:X130),"0")</f>
        <v>49.5</v>
      </c>
      <c r="Y132" s="43">
        <f>IFERROR(SUM(Y130:Y130),"0")</f>
        <v>49.5</v>
      </c>
      <c r="Z132" s="42"/>
      <c r="AA132" s="67"/>
      <c r="AB132" s="67"/>
      <c r="AC132" s="67"/>
    </row>
    <row r="133" spans="1:68" ht="16.5" hidden="1" customHeight="1" x14ac:dyDescent="0.25">
      <c r="A133" s="636" t="s">
        <v>256</v>
      </c>
      <c r="B133" s="636"/>
      <c r="C133" s="636"/>
      <c r="D133" s="636"/>
      <c r="E133" s="636"/>
      <c r="F133" s="636"/>
      <c r="G133" s="636"/>
      <c r="H133" s="636"/>
      <c r="I133" s="636"/>
      <c r="J133" s="636"/>
      <c r="K133" s="636"/>
      <c r="L133" s="636"/>
      <c r="M133" s="636"/>
      <c r="N133" s="636"/>
      <c r="O133" s="636"/>
      <c r="P133" s="636"/>
      <c r="Q133" s="636"/>
      <c r="R133" s="636"/>
      <c r="S133" s="636"/>
      <c r="T133" s="636"/>
      <c r="U133" s="636"/>
      <c r="V133" s="636"/>
      <c r="W133" s="636"/>
      <c r="X133" s="636"/>
      <c r="Y133" s="636"/>
      <c r="Z133" s="636"/>
      <c r="AA133" s="65"/>
      <c r="AB133" s="65"/>
      <c r="AC133" s="79"/>
    </row>
    <row r="134" spans="1:68" ht="14.25" hidden="1" customHeight="1" x14ac:dyDescent="0.25">
      <c r="A134" s="620" t="s">
        <v>132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4301011562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4301011564</v>
      </c>
      <c r="D136" s="621">
        <v>4680115882577</v>
      </c>
      <c r="E136" s="62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8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23"/>
      <c r="R136" s="623"/>
      <c r="S136" s="623"/>
      <c r="T136" s="624"/>
      <c r="U136" s="39" t="s">
        <v>46</v>
      </c>
      <c r="V136" s="39" t="s">
        <v>46</v>
      </c>
      <c r="W136" s="40" t="s">
        <v>0</v>
      </c>
      <c r="X136" s="58">
        <v>48</v>
      </c>
      <c r="Y136" s="55">
        <f>IFERROR(IF(X136="",0,CEILING((X136/$H136),1)*$H136),"")</f>
        <v>48</v>
      </c>
      <c r="Z136" s="41">
        <f>IFERROR(IF(Y136=0,"",ROUNDUP(Y136/H136,0)*0.00651),"")</f>
        <v>9.7650000000000001E-2</v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50.7</v>
      </c>
      <c r="BN136" s="78">
        <f>IFERROR(Y136*I136/H136,"0")</f>
        <v>50.7</v>
      </c>
      <c r="BO136" s="78">
        <f>IFERROR(1/J136*(X136/H136),"0")</f>
        <v>8.241758241758243E-2</v>
      </c>
      <c r="BP136" s="78">
        <f>IFERROR(1/J136*(Y136/H136),"0")</f>
        <v>8.241758241758243E-2</v>
      </c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39</v>
      </c>
      <c r="X137" s="43">
        <f>IFERROR(X135/H135,"0")+IFERROR(X136/H136,"0")</f>
        <v>15</v>
      </c>
      <c r="Y137" s="43">
        <f>IFERROR(Y135/H135,"0")+IFERROR(Y136/H136,"0")</f>
        <v>15</v>
      </c>
      <c r="Z137" s="43">
        <f>IFERROR(IF(Z135="",0,Z135),"0")+IFERROR(IF(Z136="",0,Z136),"0")</f>
        <v>9.7650000000000001E-2</v>
      </c>
      <c r="AA137" s="67"/>
      <c r="AB137" s="67"/>
      <c r="AC137" s="67"/>
    </row>
    <row r="138" spans="1:68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2" t="s">
        <v>0</v>
      </c>
      <c r="X138" s="43">
        <f>IFERROR(SUM(X135:X136),"0")</f>
        <v>48</v>
      </c>
      <c r="Y138" s="43">
        <f>IFERROR(SUM(Y135:Y136),"0")</f>
        <v>48</v>
      </c>
      <c r="Z138" s="42"/>
      <c r="AA138" s="67"/>
      <c r="AB138" s="67"/>
      <c r="AC138" s="67"/>
    </row>
    <row r="139" spans="1:68" ht="14.25" hidden="1" customHeight="1" x14ac:dyDescent="0.25">
      <c r="A139" s="620" t="s">
        <v>77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261</v>
      </c>
      <c r="B140" s="63" t="s">
        <v>262</v>
      </c>
      <c r="C140" s="36">
        <v>4301031234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35</v>
      </c>
      <c r="Y140" s="55">
        <f>IFERROR(IF(X140="",0,CEILING((X140/$H140),1)*$H140),"")</f>
        <v>36.4</v>
      </c>
      <c r="Z140" s="41">
        <f>IFERROR(IF(Y140=0,"",ROUNDUP(Y140/H140,0)*0.00651),"")</f>
        <v>8.4629999999999997E-2</v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38.35</v>
      </c>
      <c r="BN140" s="78">
        <f>IFERROR(Y140*I140/H140,"0")</f>
        <v>39.884</v>
      </c>
      <c r="BO140" s="78">
        <f>IFERROR(1/J140*(X140/H140),"0")</f>
        <v>6.8681318681318687E-2</v>
      </c>
      <c r="BP140" s="78">
        <f>IFERROR(1/J140*(Y140/H140),"0")</f>
        <v>7.1428571428571438E-2</v>
      </c>
    </row>
    <row r="141" spans="1:68" ht="27" hidden="1" customHeight="1" x14ac:dyDescent="0.25">
      <c r="A141" s="63" t="s">
        <v>261</v>
      </c>
      <c r="B141" s="63" t="s">
        <v>264</v>
      </c>
      <c r="C141" s="36">
        <v>4301031235</v>
      </c>
      <c r="D141" s="621">
        <v>4680115883444</v>
      </c>
      <c r="E141" s="62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8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23"/>
      <c r="R141" s="623"/>
      <c r="S141" s="623"/>
      <c r="T141" s="6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12.5</v>
      </c>
      <c r="Y142" s="43">
        <f>IFERROR(Y140/H140,"0")+IFERROR(Y141/H141,"0")</f>
        <v>13</v>
      </c>
      <c r="Z142" s="43">
        <f>IFERROR(IF(Z140="",0,Z140),"0")+IFERROR(IF(Z141="",0,Z141),"0")</f>
        <v>8.4629999999999997E-2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35</v>
      </c>
      <c r="Y143" s="43">
        <f>IFERROR(SUM(Y140:Y141),"0")</f>
        <v>36.4</v>
      </c>
      <c r="Z143" s="42"/>
      <c r="AA143" s="67"/>
      <c r="AB143" s="67"/>
      <c r="AC143" s="67"/>
    </row>
    <row r="144" spans="1:68" ht="14.25" hidden="1" customHeight="1" x14ac:dyDescent="0.25">
      <c r="A144" s="620" t="s">
        <v>86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265</v>
      </c>
      <c r="B145" s="63" t="s">
        <v>266</v>
      </c>
      <c r="C145" s="36">
        <v>4301051476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3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46.2</v>
      </c>
      <c r="Y145" s="55">
        <f>IFERROR(IF(X145="",0,CEILING((X145/$H145),1)*$H145),"")</f>
        <v>47.52</v>
      </c>
      <c r="Z145" s="41">
        <f>IFERROR(IF(Y145=0,"",ROUNDUP(Y145/H145,0)*0.00651),"")</f>
        <v>0.11718000000000001</v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50.89</v>
      </c>
      <c r="BN145" s="78">
        <f>IFERROR(Y145*I145/H145,"0")</f>
        <v>52.344000000000001</v>
      </c>
      <c r="BO145" s="78">
        <f>IFERROR(1/J145*(X145/H145),"0")</f>
        <v>9.6153846153846159E-2</v>
      </c>
      <c r="BP145" s="78">
        <f>IFERROR(1/J145*(Y145/H145),"0")</f>
        <v>9.8901098901098911E-2</v>
      </c>
    </row>
    <row r="146" spans="1:68" ht="16.5" hidden="1" customHeight="1" x14ac:dyDescent="0.25">
      <c r="A146" s="63" t="s">
        <v>265</v>
      </c>
      <c r="B146" s="63" t="s">
        <v>267</v>
      </c>
      <c r="C146" s="36">
        <v>4301051477</v>
      </c>
      <c r="D146" s="621">
        <v>4680115882584</v>
      </c>
      <c r="E146" s="62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83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23"/>
      <c r="R146" s="623"/>
      <c r="S146" s="623"/>
      <c r="T146" s="62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39</v>
      </c>
      <c r="X147" s="43">
        <f>IFERROR(X145/H145,"0")+IFERROR(X146/H146,"0")</f>
        <v>17.5</v>
      </c>
      <c r="Y147" s="43">
        <f>IFERROR(Y145/H145,"0")+IFERROR(Y146/H146,"0")</f>
        <v>18</v>
      </c>
      <c r="Z147" s="43">
        <f>IFERROR(IF(Z145="",0,Z145),"0")+IFERROR(IF(Z146="",0,Z146),"0")</f>
        <v>0.11718000000000001</v>
      </c>
      <c r="AA147" s="67"/>
      <c r="AB147" s="67"/>
      <c r="AC147" s="67"/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0</v>
      </c>
      <c r="X148" s="43">
        <f>IFERROR(SUM(X145:X146),"0")</f>
        <v>46.2</v>
      </c>
      <c r="Y148" s="43">
        <f>IFERROR(SUM(Y145:Y146),"0")</f>
        <v>47.52</v>
      </c>
      <c r="Z148" s="42"/>
      <c r="AA148" s="67"/>
      <c r="AB148" s="67"/>
      <c r="AC148" s="67"/>
    </row>
    <row r="149" spans="1:68" ht="16.5" hidden="1" customHeight="1" x14ac:dyDescent="0.25">
      <c r="A149" s="636" t="s">
        <v>268</v>
      </c>
      <c r="B149" s="636"/>
      <c r="C149" s="636"/>
      <c r="D149" s="636"/>
      <c r="E149" s="636"/>
      <c r="F149" s="636"/>
      <c r="G149" s="636"/>
      <c r="H149" s="636"/>
      <c r="I149" s="636"/>
      <c r="J149" s="636"/>
      <c r="K149" s="636"/>
      <c r="L149" s="636"/>
      <c r="M149" s="636"/>
      <c r="N149" s="636"/>
      <c r="O149" s="636"/>
      <c r="P149" s="636"/>
      <c r="Q149" s="636"/>
      <c r="R149" s="636"/>
      <c r="S149" s="636"/>
      <c r="T149" s="636"/>
      <c r="U149" s="636"/>
      <c r="V149" s="636"/>
      <c r="W149" s="636"/>
      <c r="X149" s="636"/>
      <c r="Y149" s="636"/>
      <c r="Z149" s="636"/>
      <c r="AA149" s="65"/>
      <c r="AB149" s="65"/>
      <c r="AC149" s="79"/>
    </row>
    <row r="150" spans="1:68" ht="14.25" hidden="1" customHeight="1" x14ac:dyDescent="0.25">
      <c r="A150" s="620" t="s">
        <v>86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hidden="1" customHeight="1" x14ac:dyDescent="0.25">
      <c r="A151" s="63" t="s">
        <v>269</v>
      </c>
      <c r="B151" s="63" t="s">
        <v>270</v>
      </c>
      <c r="C151" s="36">
        <v>4301052174</v>
      </c>
      <c r="D151" s="621">
        <v>4680115888203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4301052172</v>
      </c>
      <c r="D152" s="621">
        <v>4680115888180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4301052173</v>
      </c>
      <c r="D153" s="621">
        <v>4680115888197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621">
        <v>4680115888210</v>
      </c>
      <c r="E154" s="62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23"/>
      <c r="R154" s="623"/>
      <c r="S154" s="623"/>
      <c r="T154" s="62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36" t="s">
        <v>130</v>
      </c>
      <c r="B157" s="636"/>
      <c r="C157" s="636"/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636"/>
      <c r="AA157" s="65"/>
      <c r="AB157" s="65"/>
      <c r="AC157" s="79"/>
    </row>
    <row r="158" spans="1:68" ht="14.25" hidden="1" customHeight="1" x14ac:dyDescent="0.25">
      <c r="A158" s="620" t="s">
        <v>132</v>
      </c>
      <c r="B158" s="620"/>
      <c r="C158" s="620"/>
      <c r="D158" s="620"/>
      <c r="E158" s="620"/>
      <c r="F158" s="620"/>
      <c r="G158" s="620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4301012244</v>
      </c>
      <c r="D159" s="621">
        <v>4680115887374</v>
      </c>
      <c r="E159" s="621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82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21">
        <v>4607091384604</v>
      </c>
      <c r="E160" s="621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3"/>
      <c r="R160" s="623"/>
      <c r="S160" s="623"/>
      <c r="T160" s="62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hidden="1" x14ac:dyDescent="0.2">
      <c r="A162" s="628"/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9"/>
      <c r="P162" s="625" t="s">
        <v>40</v>
      </c>
      <c r="Q162" s="626"/>
      <c r="R162" s="626"/>
      <c r="S162" s="626"/>
      <c r="T162" s="626"/>
      <c r="U162" s="626"/>
      <c r="V162" s="627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20" t="s">
        <v>167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16.5" customHeight="1" x14ac:dyDescent="0.25">
      <c r="A164" s="63" t="s">
        <v>287</v>
      </c>
      <c r="B164" s="63" t="s">
        <v>288</v>
      </c>
      <c r="C164" s="36">
        <v>4301020410</v>
      </c>
      <c r="D164" s="621">
        <v>4680115887695</v>
      </c>
      <c r="E164" s="621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23"/>
      <c r="R164" s="623"/>
      <c r="S164" s="623"/>
      <c r="T164" s="624"/>
      <c r="U164" s="39" t="s">
        <v>46</v>
      </c>
      <c r="V164" s="39" t="s">
        <v>46</v>
      </c>
      <c r="W164" s="40" t="s">
        <v>0</v>
      </c>
      <c r="X164" s="58">
        <v>4.8</v>
      </c>
      <c r="Y164" s="55">
        <f>IFERROR(IF(X164="",0,CEILING((X164/$H164),1)*$H164),"")</f>
        <v>5.04</v>
      </c>
      <c r="Z164" s="41">
        <f>IFERROR(IF(Y164=0,"",ROUNDUP(Y164/H164,0)*0.00556),"")</f>
        <v>3.8919999999999996E-2</v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5.666666666666667</v>
      </c>
      <c r="BN164" s="78">
        <f>IFERROR(Y164*I164/H164,"0")</f>
        <v>5.95</v>
      </c>
      <c r="BO164" s="78">
        <f>IFERROR(1/J164*(X164/H164),"0")</f>
        <v>2.6455026455026454E-2</v>
      </c>
      <c r="BP164" s="78">
        <f>IFERROR(1/J164*(Y164/H164),"0")</f>
        <v>2.7777777777777776E-2</v>
      </c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39</v>
      </c>
      <c r="X165" s="43">
        <f>IFERROR(X164/H164,"0")</f>
        <v>6.666666666666667</v>
      </c>
      <c r="Y165" s="43">
        <f>IFERROR(Y164/H164,"0")</f>
        <v>7</v>
      </c>
      <c r="Z165" s="43">
        <f>IFERROR(IF(Z164="",0,Z164),"0")</f>
        <v>3.8919999999999996E-2</v>
      </c>
      <c r="AA165" s="67"/>
      <c r="AB165" s="67"/>
      <c r="AC165" s="67"/>
    </row>
    <row r="166" spans="1:68" x14ac:dyDescent="0.2">
      <c r="A166" s="628"/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9"/>
      <c r="P166" s="625" t="s">
        <v>40</v>
      </c>
      <c r="Q166" s="626"/>
      <c r="R166" s="626"/>
      <c r="S166" s="626"/>
      <c r="T166" s="626"/>
      <c r="U166" s="626"/>
      <c r="V166" s="627"/>
      <c r="W166" s="42" t="s">
        <v>0</v>
      </c>
      <c r="X166" s="43">
        <f>IFERROR(SUM(X164:X164),"0")</f>
        <v>4.8</v>
      </c>
      <c r="Y166" s="43">
        <f>IFERROR(SUM(Y164:Y164),"0")</f>
        <v>5.04</v>
      </c>
      <c r="Z166" s="42"/>
      <c r="AA166" s="67"/>
      <c r="AB166" s="67"/>
      <c r="AC166" s="67"/>
    </row>
    <row r="167" spans="1:68" ht="14.25" hidden="1" customHeight="1" x14ac:dyDescent="0.25">
      <c r="A167" s="620" t="s">
        <v>77</v>
      </c>
      <c r="B167" s="620"/>
      <c r="C167" s="620"/>
      <c r="D167" s="620"/>
      <c r="E167" s="620"/>
      <c r="F167" s="620"/>
      <c r="G167" s="620"/>
      <c r="H167" s="620"/>
      <c r="I167" s="620"/>
      <c r="J167" s="620"/>
      <c r="K167" s="620"/>
      <c r="L167" s="620"/>
      <c r="M167" s="620"/>
      <c r="N167" s="620"/>
      <c r="O167" s="620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21">
        <v>4680115887428</v>
      </c>
      <c r="E168" s="62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80</v>
      </c>
      <c r="Y168" s="55">
        <f t="shared" ref="Y168:Y178" si="21">IFERROR(IF(X168="",0,CEILING((X168/$H168),1)*$H168),"")</f>
        <v>80.5</v>
      </c>
      <c r="Z168" s="41">
        <f>IFERROR(IF(Y168=0,"",ROUNDUP(Y168/H168,0)*0.00902),"")</f>
        <v>0.20746000000000001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84.342857142857142</v>
      </c>
      <c r="BN168" s="78">
        <f t="shared" ref="BN168:BN178" si="23">IFERROR(Y168*I168/H168,"0")</f>
        <v>84.87</v>
      </c>
      <c r="BO168" s="78">
        <f t="shared" ref="BO168:BO178" si="24">IFERROR(1/J168*(X168/H168),"0")</f>
        <v>0.17316017316017318</v>
      </c>
      <c r="BP168" s="78">
        <f t="shared" ref="BP168:BP178" si="25">IFERROR(1/J168*(Y168/H168),"0")</f>
        <v>0.17424242424242425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4301030963</v>
      </c>
      <c r="D169" s="621">
        <v>4607091382426</v>
      </c>
      <c r="E169" s="621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4301031498</v>
      </c>
      <c r="D170" s="621">
        <v>4680115887398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2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90</v>
      </c>
      <c r="Y170" s="55">
        <f t="shared" si="21"/>
        <v>91</v>
      </c>
      <c r="Z170" s="41">
        <f>IFERROR(IF(Y170=0,"",ROUNDUP(Y170/H170,0)*0.00902),"")</f>
        <v>0.23452000000000001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94.885714285714286</v>
      </c>
      <c r="BN170" s="78">
        <f t="shared" si="23"/>
        <v>95.940000000000012</v>
      </c>
      <c r="BO170" s="78">
        <f t="shared" si="24"/>
        <v>0.19480519480519481</v>
      </c>
      <c r="BP170" s="78">
        <f t="shared" si="25"/>
        <v>0.19696969696969696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21">
        <v>4680115887336</v>
      </c>
      <c r="E171" s="62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82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120</v>
      </c>
      <c r="Y171" s="55">
        <f t="shared" si="21"/>
        <v>122.5</v>
      </c>
      <c r="Z171" s="41">
        <f>IFERROR(IF(Y171=0,"",ROUNDUP(Y171/H171,0)*0.00902),"")</f>
        <v>0.31569999999999998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126.51428571428572</v>
      </c>
      <c r="BN171" s="78">
        <f t="shared" si="23"/>
        <v>129.15</v>
      </c>
      <c r="BO171" s="78">
        <f t="shared" si="24"/>
        <v>0.25974025974025972</v>
      </c>
      <c r="BP171" s="78">
        <f t="shared" si="25"/>
        <v>0.26515151515151514</v>
      </c>
    </row>
    <row r="172" spans="1:68" ht="16.5" customHeight="1" x14ac:dyDescent="0.25">
      <c r="A172" s="63" t="s">
        <v>302</v>
      </c>
      <c r="B172" s="63" t="s">
        <v>303</v>
      </c>
      <c r="C172" s="36">
        <v>4301032049</v>
      </c>
      <c r="D172" s="621">
        <v>4680115887787</v>
      </c>
      <c r="E172" s="62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82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4.5</v>
      </c>
      <c r="Y172" s="55">
        <f t="shared" si="21"/>
        <v>4.5</v>
      </c>
      <c r="Z172" s="41">
        <f>IFERROR(IF(Y172=0,"",ROUNDUP(Y172/H172,0)*0.00417),"")</f>
        <v>2.085E-2</v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5.55</v>
      </c>
      <c r="BN172" s="78">
        <f t="shared" si="23"/>
        <v>5.55</v>
      </c>
      <c r="BO172" s="78">
        <f t="shared" si="24"/>
        <v>1.488095238095238E-2</v>
      </c>
      <c r="BP172" s="78">
        <f t="shared" si="25"/>
        <v>1.488095238095238E-2</v>
      </c>
    </row>
    <row r="173" spans="1:68" ht="27" customHeight="1" x14ac:dyDescent="0.25">
      <c r="A173" s="63" t="s">
        <v>305</v>
      </c>
      <c r="B173" s="63" t="s">
        <v>306</v>
      </c>
      <c r="C173" s="36">
        <v>4301031448</v>
      </c>
      <c r="D173" s="621">
        <v>4680115887503</v>
      </c>
      <c r="E173" s="62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61.600000000000009</v>
      </c>
      <c r="Y173" s="55">
        <f t="shared" si="21"/>
        <v>62.16</v>
      </c>
      <c r="Z173" s="41">
        <f>IFERROR(IF(Y173=0,"",ROUNDUP(Y173/H173,0)*0.00502),"")</f>
        <v>0.18574000000000002</v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65.26666666666668</v>
      </c>
      <c r="BN173" s="78">
        <f t="shared" si="23"/>
        <v>65.86</v>
      </c>
      <c r="BO173" s="78">
        <f t="shared" si="24"/>
        <v>0.15669515669515674</v>
      </c>
      <c r="BP173" s="78">
        <f t="shared" si="25"/>
        <v>0.15811965811965814</v>
      </c>
    </row>
    <row r="174" spans="1:68" ht="27" customHeight="1" x14ac:dyDescent="0.25">
      <c r="A174" s="63" t="s">
        <v>307</v>
      </c>
      <c r="B174" s="63" t="s">
        <v>308</v>
      </c>
      <c r="C174" s="36">
        <v>4301031389</v>
      </c>
      <c r="D174" s="621">
        <v>4680115887763</v>
      </c>
      <c r="E174" s="621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81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4.5</v>
      </c>
      <c r="Y174" s="55">
        <f t="shared" si="21"/>
        <v>4.5</v>
      </c>
      <c r="Z174" s="41">
        <f>IFERROR(IF(Y174=0,"",ROUNDUP(Y174/H174,0)*0.00417),"")</f>
        <v>2.085E-2</v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5.55</v>
      </c>
      <c r="BN174" s="78">
        <f t="shared" si="23"/>
        <v>5.55</v>
      </c>
      <c r="BO174" s="78">
        <f t="shared" si="24"/>
        <v>1.488095238095238E-2</v>
      </c>
      <c r="BP174" s="78">
        <f t="shared" si="25"/>
        <v>1.488095238095238E-2</v>
      </c>
    </row>
    <row r="175" spans="1:68" ht="27" hidden="1" customHeight="1" x14ac:dyDescent="0.25">
      <c r="A175" s="63" t="s">
        <v>307</v>
      </c>
      <c r="B175" s="63" t="s">
        <v>310</v>
      </c>
      <c r="C175" s="36">
        <v>4301031510</v>
      </c>
      <c r="D175" s="621">
        <v>4680115887763</v>
      </c>
      <c r="E175" s="621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81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4301031454</v>
      </c>
      <c r="D176" s="621">
        <v>4680115887480</v>
      </c>
      <c r="E176" s="62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1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50.400000000000006</v>
      </c>
      <c r="Y176" s="55">
        <f t="shared" si="21"/>
        <v>50.4</v>
      </c>
      <c r="Z176" s="41">
        <f>IFERROR(IF(Y176=0,"",ROUNDUP(Y176/H176,0)*0.00502),"")</f>
        <v>0.15060000000000001</v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53.400000000000013</v>
      </c>
      <c r="BN176" s="78">
        <f t="shared" si="23"/>
        <v>53.400000000000006</v>
      </c>
      <c r="BO176" s="78">
        <f t="shared" si="24"/>
        <v>0.12820512820512822</v>
      </c>
      <c r="BP176" s="78">
        <f t="shared" si="25"/>
        <v>0.12820512820512822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4301031434</v>
      </c>
      <c r="D177" s="621">
        <v>4680115888067</v>
      </c>
      <c r="E177" s="62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81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4301031451</v>
      </c>
      <c r="D178" s="621">
        <v>4680115887435</v>
      </c>
      <c r="E178" s="62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82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23"/>
      <c r="R178" s="623"/>
      <c r="S178" s="623"/>
      <c r="T178" s="624"/>
      <c r="U178" s="39" t="s">
        <v>46</v>
      </c>
      <c r="V178" s="39" t="s">
        <v>46</v>
      </c>
      <c r="W178" s="40" t="s">
        <v>0</v>
      </c>
      <c r="X178" s="58">
        <v>44.800000000000004</v>
      </c>
      <c r="Y178" s="55">
        <f t="shared" si="21"/>
        <v>45.36</v>
      </c>
      <c r="Z178" s="41">
        <f>IFERROR(IF(Y178=0,"",ROUNDUP(Y178/H178,0)*0.00502),"")</f>
        <v>0.13553999999999999</v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47.466666666666676</v>
      </c>
      <c r="BN178" s="78">
        <f t="shared" si="23"/>
        <v>48.060000000000009</v>
      </c>
      <c r="BO178" s="78">
        <f t="shared" si="24"/>
        <v>0.11396011396011399</v>
      </c>
      <c r="BP178" s="78">
        <f t="shared" si="25"/>
        <v>0.11538461538461539</v>
      </c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186.1904761904762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188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1.2712600000000001</v>
      </c>
      <c r="AA179" s="67"/>
      <c r="AB179" s="67"/>
      <c r="AC179" s="67"/>
    </row>
    <row r="180" spans="1:68" x14ac:dyDescent="0.2">
      <c r="A180" s="628"/>
      <c r="B180" s="628"/>
      <c r="C180" s="628"/>
      <c r="D180" s="628"/>
      <c r="E180" s="628"/>
      <c r="F180" s="628"/>
      <c r="G180" s="628"/>
      <c r="H180" s="628"/>
      <c r="I180" s="628"/>
      <c r="J180" s="628"/>
      <c r="K180" s="628"/>
      <c r="L180" s="628"/>
      <c r="M180" s="628"/>
      <c r="N180" s="628"/>
      <c r="O180" s="629"/>
      <c r="P180" s="625" t="s">
        <v>40</v>
      </c>
      <c r="Q180" s="626"/>
      <c r="R180" s="626"/>
      <c r="S180" s="626"/>
      <c r="T180" s="626"/>
      <c r="U180" s="626"/>
      <c r="V180" s="627"/>
      <c r="W180" s="42" t="s">
        <v>0</v>
      </c>
      <c r="X180" s="43">
        <f>IFERROR(SUM(X168:X178),"0")</f>
        <v>455.8</v>
      </c>
      <c r="Y180" s="43">
        <f>IFERROR(SUM(Y168:Y178),"0")</f>
        <v>460.91999999999996</v>
      </c>
      <c r="Z180" s="42"/>
      <c r="AA180" s="67"/>
      <c r="AB180" s="67"/>
      <c r="AC180" s="67"/>
    </row>
    <row r="181" spans="1:68" ht="14.25" hidden="1" customHeight="1" x14ac:dyDescent="0.25">
      <c r="A181" s="620" t="s">
        <v>86</v>
      </c>
      <c r="B181" s="620"/>
      <c r="C181" s="620"/>
      <c r="D181" s="620"/>
      <c r="E181" s="620"/>
      <c r="F181" s="620"/>
      <c r="G181" s="620"/>
      <c r="H181" s="620"/>
      <c r="I181" s="620"/>
      <c r="J181" s="620"/>
      <c r="K181" s="620"/>
      <c r="L181" s="620"/>
      <c r="M181" s="620"/>
      <c r="N181" s="620"/>
      <c r="O181" s="620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6"/>
      <c r="AB181" s="66"/>
      <c r="AC181" s="80"/>
    </row>
    <row r="182" spans="1:68" ht="16.5" hidden="1" customHeight="1" x14ac:dyDescent="0.25">
      <c r="A182" s="63" t="s">
        <v>318</v>
      </c>
      <c r="B182" s="63" t="s">
        <v>319</v>
      </c>
      <c r="C182" s="36">
        <v>4301052193</v>
      </c>
      <c r="D182" s="621">
        <v>4680115888395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hidden="1" customHeight="1" x14ac:dyDescent="0.25">
      <c r="A183" s="63" t="s">
        <v>321</v>
      </c>
      <c r="B183" s="63" t="s">
        <v>322</v>
      </c>
      <c r="C183" s="36">
        <v>4301052191</v>
      </c>
      <c r="D183" s="621">
        <v>4680115888371</v>
      </c>
      <c r="E183" s="62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hidden="1" customHeight="1" x14ac:dyDescent="0.25">
      <c r="A184" s="63" t="s">
        <v>324</v>
      </c>
      <c r="B184" s="63" t="s">
        <v>325</v>
      </c>
      <c r="C184" s="36">
        <v>4301052064</v>
      </c>
      <c r="D184" s="621">
        <v>4680115887459</v>
      </c>
      <c r="E184" s="62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23"/>
      <c r="R184" s="623"/>
      <c r="S184" s="623"/>
      <c r="T184" s="62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20" t="s">
        <v>107</v>
      </c>
      <c r="B187" s="620"/>
      <c r="C187" s="620"/>
      <c r="D187" s="620"/>
      <c r="E187" s="620"/>
      <c r="F187" s="620"/>
      <c r="G187" s="620"/>
      <c r="H187" s="620"/>
      <c r="I187" s="620"/>
      <c r="J187" s="620"/>
      <c r="K187" s="620"/>
      <c r="L187" s="620"/>
      <c r="M187" s="620"/>
      <c r="N187" s="620"/>
      <c r="O187" s="620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6"/>
      <c r="AB187" s="66"/>
      <c r="AC187" s="80"/>
    </row>
    <row r="188" spans="1:68" ht="16.5" hidden="1" customHeight="1" x14ac:dyDescent="0.25">
      <c r="A188" s="63" t="s">
        <v>327</v>
      </c>
      <c r="B188" s="63" t="s">
        <v>328</v>
      </c>
      <c r="C188" s="36">
        <v>4301032058</v>
      </c>
      <c r="D188" s="621">
        <v>4680115889026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332</v>
      </c>
      <c r="B189" s="63" t="s">
        <v>333</v>
      </c>
      <c r="C189" s="36">
        <v>4301032057</v>
      </c>
      <c r="D189" s="621">
        <v>4680115889088</v>
      </c>
      <c r="E189" s="62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81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23"/>
      <c r="R189" s="623"/>
      <c r="S189" s="623"/>
      <c r="T189" s="6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20" t="s">
        <v>335</v>
      </c>
      <c r="B192" s="620"/>
      <c r="C192" s="620"/>
      <c r="D192" s="620"/>
      <c r="E192" s="620"/>
      <c r="F192" s="620"/>
      <c r="G192" s="620"/>
      <c r="H192" s="620"/>
      <c r="I192" s="620"/>
      <c r="J192" s="620"/>
      <c r="K192" s="620"/>
      <c r="L192" s="620"/>
      <c r="M192" s="620"/>
      <c r="N192" s="620"/>
      <c r="O192" s="620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6"/>
      <c r="AB192" s="66"/>
      <c r="AC192" s="80"/>
    </row>
    <row r="193" spans="1:68" ht="27" hidden="1" customHeight="1" x14ac:dyDescent="0.25">
      <c r="A193" s="63" t="s">
        <v>336</v>
      </c>
      <c r="B193" s="63" t="s">
        <v>337</v>
      </c>
      <c r="C193" s="36">
        <v>4301041009</v>
      </c>
      <c r="D193" s="621">
        <v>4680115889033</v>
      </c>
      <c r="E193" s="62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3"/>
      <c r="R193" s="623"/>
      <c r="S193" s="623"/>
      <c r="T193" s="6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41" t="s">
        <v>339</v>
      </c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54"/>
      <c r="AB196" s="54"/>
      <c r="AC196" s="54"/>
    </row>
    <row r="197" spans="1:68" ht="16.5" hidden="1" customHeight="1" x14ac:dyDescent="0.25">
      <c r="A197" s="636" t="s">
        <v>340</v>
      </c>
      <c r="B197" s="636"/>
      <c r="C197" s="636"/>
      <c r="D197" s="636"/>
      <c r="E197" s="636"/>
      <c r="F197" s="636"/>
      <c r="G197" s="636"/>
      <c r="H197" s="636"/>
      <c r="I197" s="636"/>
      <c r="J197" s="636"/>
      <c r="K197" s="636"/>
      <c r="L197" s="636"/>
      <c r="M197" s="636"/>
      <c r="N197" s="636"/>
      <c r="O197" s="636"/>
      <c r="P197" s="636"/>
      <c r="Q197" s="636"/>
      <c r="R197" s="636"/>
      <c r="S197" s="636"/>
      <c r="T197" s="636"/>
      <c r="U197" s="636"/>
      <c r="V197" s="636"/>
      <c r="W197" s="636"/>
      <c r="X197" s="636"/>
      <c r="Y197" s="636"/>
      <c r="Z197" s="636"/>
      <c r="AA197" s="65"/>
      <c r="AB197" s="65"/>
      <c r="AC197" s="79"/>
    </row>
    <row r="198" spans="1:68" ht="14.25" hidden="1" customHeight="1" x14ac:dyDescent="0.25">
      <c r="A198" s="620" t="s">
        <v>132</v>
      </c>
      <c r="B198" s="620"/>
      <c r="C198" s="620"/>
      <c r="D198" s="620"/>
      <c r="E198" s="620"/>
      <c r="F198" s="620"/>
      <c r="G198" s="620"/>
      <c r="H198" s="620"/>
      <c r="I198" s="620"/>
      <c r="J198" s="620"/>
      <c r="K198" s="620"/>
      <c r="L198" s="620"/>
      <c r="M198" s="620"/>
      <c r="N198" s="620"/>
      <c r="O198" s="620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6"/>
      <c r="AB198" s="66"/>
      <c r="AC198" s="80"/>
    </row>
    <row r="199" spans="1:68" ht="27" hidden="1" customHeight="1" x14ac:dyDescent="0.25">
      <c r="A199" s="63" t="s">
        <v>341</v>
      </c>
      <c r="B199" s="63" t="s">
        <v>342</v>
      </c>
      <c r="C199" s="36">
        <v>4301012340</v>
      </c>
      <c r="D199" s="621">
        <v>4680115888760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8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4301012341</v>
      </c>
      <c r="D200" s="621">
        <v>4680115888807</v>
      </c>
      <c r="E200" s="62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4301012342</v>
      </c>
      <c r="D201" s="621">
        <v>4680115888852</v>
      </c>
      <c r="E201" s="62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4301011223</v>
      </c>
      <c r="D202" s="621">
        <v>4607091383423</v>
      </c>
      <c r="E202" s="621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hidden="1" customHeight="1" x14ac:dyDescent="0.25">
      <c r="A203" s="63" t="s">
        <v>352</v>
      </c>
      <c r="B203" s="63" t="s">
        <v>353</v>
      </c>
      <c r="C203" s="36">
        <v>4301012370</v>
      </c>
      <c r="D203" s="621">
        <v>4680115886957</v>
      </c>
      <c r="E203" s="621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4301012098</v>
      </c>
      <c r="D204" s="621">
        <v>4680115885660</v>
      </c>
      <c r="E204" s="621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358</v>
      </c>
      <c r="B205" s="63" t="s">
        <v>359</v>
      </c>
      <c r="C205" s="36">
        <v>4301012369</v>
      </c>
      <c r="D205" s="621">
        <v>4680115886773</v>
      </c>
      <c r="E205" s="621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3"/>
      <c r="R205" s="623"/>
      <c r="S205" s="623"/>
      <c r="T205" s="6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36" t="s">
        <v>361</v>
      </c>
      <c r="B208" s="636"/>
      <c r="C208" s="636"/>
      <c r="D208" s="636"/>
      <c r="E208" s="636"/>
      <c r="F208" s="636"/>
      <c r="G208" s="636"/>
      <c r="H208" s="636"/>
      <c r="I208" s="636"/>
      <c r="J208" s="636"/>
      <c r="K208" s="636"/>
      <c r="L208" s="636"/>
      <c r="M208" s="636"/>
      <c r="N208" s="636"/>
      <c r="O208" s="636"/>
      <c r="P208" s="636"/>
      <c r="Q208" s="636"/>
      <c r="R208" s="636"/>
      <c r="S208" s="636"/>
      <c r="T208" s="636"/>
      <c r="U208" s="636"/>
      <c r="V208" s="636"/>
      <c r="W208" s="636"/>
      <c r="X208" s="636"/>
      <c r="Y208" s="636"/>
      <c r="Z208" s="636"/>
      <c r="AA208" s="65"/>
      <c r="AB208" s="65"/>
      <c r="AC208" s="79"/>
    </row>
    <row r="209" spans="1:68" ht="14.25" hidden="1" customHeight="1" x14ac:dyDescent="0.25">
      <c r="A209" s="620" t="s">
        <v>167</v>
      </c>
      <c r="B209" s="620"/>
      <c r="C209" s="620"/>
      <c r="D209" s="620"/>
      <c r="E209" s="620"/>
      <c r="F209" s="620"/>
      <c r="G209" s="620"/>
      <c r="H209" s="620"/>
      <c r="I209" s="620"/>
      <c r="J209" s="620"/>
      <c r="K209" s="620"/>
      <c r="L209" s="620"/>
      <c r="M209" s="620"/>
      <c r="N209" s="620"/>
      <c r="O209" s="620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6"/>
      <c r="AB209" s="66"/>
      <c r="AC209" s="80"/>
    </row>
    <row r="210" spans="1:68" ht="27" hidden="1" customHeight="1" x14ac:dyDescent="0.25">
      <c r="A210" s="63" t="s">
        <v>362</v>
      </c>
      <c r="B210" s="63" t="s">
        <v>363</v>
      </c>
      <c r="C210" s="36">
        <v>4301020323</v>
      </c>
      <c r="D210" s="621">
        <v>4680115886223</v>
      </c>
      <c r="E210" s="621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3"/>
      <c r="R210" s="623"/>
      <c r="S210" s="623"/>
      <c r="T210" s="624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20" t="s">
        <v>77</v>
      </c>
      <c r="B213" s="620"/>
      <c r="C213" s="620"/>
      <c r="D213" s="620"/>
      <c r="E213" s="620"/>
      <c r="F213" s="620"/>
      <c r="G213" s="620"/>
      <c r="H213" s="620"/>
      <c r="I213" s="620"/>
      <c r="J213" s="620"/>
      <c r="K213" s="620"/>
      <c r="L213" s="620"/>
      <c r="M213" s="620"/>
      <c r="N213" s="620"/>
      <c r="O213" s="620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6"/>
      <c r="AB213" s="66"/>
      <c r="AC213" s="80"/>
    </row>
    <row r="214" spans="1:68" ht="27" customHeight="1" x14ac:dyDescent="0.25">
      <c r="A214" s="63" t="s">
        <v>365</v>
      </c>
      <c r="B214" s="63" t="s">
        <v>366</v>
      </c>
      <c r="C214" s="36">
        <v>4301031191</v>
      </c>
      <c r="D214" s="621">
        <v>4680115880993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30</v>
      </c>
      <c r="Y214" s="55">
        <f t="shared" ref="Y214:Y227" si="32">IFERROR(IF(X214="",0,CEILING((X214/$H214),1)*$H214),"")</f>
        <v>33.6</v>
      </c>
      <c r="Z214" s="41">
        <f>IFERROR(IF(Y214=0,"",ROUNDUP(Y214/H214,0)*0.00902),"")</f>
        <v>7.2160000000000002E-2</v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31.785714285714285</v>
      </c>
      <c r="BN214" s="78">
        <f t="shared" ref="BN214:BN227" si="34">IFERROR(Y214*I214/H214,"0")</f>
        <v>35.6</v>
      </c>
      <c r="BO214" s="78">
        <f t="shared" ref="BO214:BO227" si="35">IFERROR(1/J214*(X214/H214),"0")</f>
        <v>5.4112554112554112E-2</v>
      </c>
      <c r="BP214" s="78">
        <f t="shared" ref="BP214:BP227" si="36">IFERROR(1/J214*(Y214/H214),"0")</f>
        <v>6.0606060606060608E-2</v>
      </c>
    </row>
    <row r="215" spans="1:68" ht="27" customHeight="1" x14ac:dyDescent="0.25">
      <c r="A215" s="63" t="s">
        <v>368</v>
      </c>
      <c r="B215" s="63" t="s">
        <v>369</v>
      </c>
      <c r="C215" s="36">
        <v>4301031204</v>
      </c>
      <c r="D215" s="621">
        <v>4680115881761</v>
      </c>
      <c r="E215" s="621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30</v>
      </c>
      <c r="Y215" s="55">
        <f t="shared" si="32"/>
        <v>33.6</v>
      </c>
      <c r="Z215" s="41">
        <f>IFERROR(IF(Y215=0,"",ROUNDUP(Y215/H215,0)*0.00902),"")</f>
        <v>7.2160000000000002E-2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31.785714285714285</v>
      </c>
      <c r="BN215" s="78">
        <f t="shared" si="34"/>
        <v>35.6</v>
      </c>
      <c r="BO215" s="78">
        <f t="shared" si="35"/>
        <v>5.4112554112554112E-2</v>
      </c>
      <c r="BP215" s="78">
        <f t="shared" si="36"/>
        <v>6.0606060606060608E-2</v>
      </c>
    </row>
    <row r="216" spans="1:68" ht="27" hidden="1" customHeight="1" x14ac:dyDescent="0.25">
      <c r="A216" s="63" t="s">
        <v>371</v>
      </c>
      <c r="B216" s="63" t="s">
        <v>372</v>
      </c>
      <c r="C216" s="36">
        <v>4301031201</v>
      </c>
      <c r="D216" s="621">
        <v>4680115881563</v>
      </c>
      <c r="E216" s="621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customHeight="1" x14ac:dyDescent="0.25">
      <c r="A217" s="63" t="s">
        <v>374</v>
      </c>
      <c r="B217" s="63" t="s">
        <v>375</v>
      </c>
      <c r="C217" s="36">
        <v>4301031447</v>
      </c>
      <c r="D217" s="621">
        <v>4680115887565</v>
      </c>
      <c r="E217" s="621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4.8</v>
      </c>
      <c r="Y217" s="55">
        <f t="shared" si="32"/>
        <v>4.8000000000000007</v>
      </c>
      <c r="Z217" s="41">
        <f>IFERROR(IF(Y217=0,"",ROUNDUP(Y217/H217,0)*0.00556),"")</f>
        <v>3.3360000000000001E-2</v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5.58</v>
      </c>
      <c r="BN217" s="78">
        <f t="shared" si="34"/>
        <v>5.580000000000001</v>
      </c>
      <c r="BO217" s="78">
        <f t="shared" si="35"/>
        <v>2.3809523809523805E-2</v>
      </c>
      <c r="BP217" s="78">
        <f t="shared" si="36"/>
        <v>2.3809523809523812E-2</v>
      </c>
    </row>
    <row r="218" spans="1:68" ht="27" customHeight="1" x14ac:dyDescent="0.25">
      <c r="A218" s="63" t="s">
        <v>377</v>
      </c>
      <c r="B218" s="63" t="s">
        <v>378</v>
      </c>
      <c r="C218" s="36">
        <v>4301031199</v>
      </c>
      <c r="D218" s="621">
        <v>4680115880986</v>
      </c>
      <c r="E218" s="621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70</v>
      </c>
      <c r="Y218" s="55">
        <f t="shared" si="32"/>
        <v>71.400000000000006</v>
      </c>
      <c r="Z218" s="41">
        <f t="shared" ref="Z218:Z223" si="37">IFERROR(IF(Y218=0,"",ROUNDUP(Y218/H218,0)*0.00502),"")</f>
        <v>0.17068</v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74.333333333333329</v>
      </c>
      <c r="BN218" s="78">
        <f t="shared" si="34"/>
        <v>75.820000000000007</v>
      </c>
      <c r="BO218" s="78">
        <f t="shared" si="35"/>
        <v>0.14245014245014245</v>
      </c>
      <c r="BP218" s="78">
        <f t="shared" si="36"/>
        <v>0.14529914529914531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4301031443</v>
      </c>
      <c r="D219" s="621">
        <v>4680115887213</v>
      </c>
      <c r="E219" s="621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382</v>
      </c>
      <c r="B220" s="63" t="s">
        <v>383</v>
      </c>
      <c r="C220" s="36">
        <v>4301031205</v>
      </c>
      <c r="D220" s="621">
        <v>4680115881785</v>
      </c>
      <c r="E220" s="621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105</v>
      </c>
      <c r="Y220" s="55">
        <f t="shared" si="32"/>
        <v>105</v>
      </c>
      <c r="Z220" s="41">
        <f t="shared" si="37"/>
        <v>0.251</v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111.5</v>
      </c>
      <c r="BN220" s="78">
        <f t="shared" si="34"/>
        <v>111.5</v>
      </c>
      <c r="BO220" s="78">
        <f t="shared" si="35"/>
        <v>0.21367521367521369</v>
      </c>
      <c r="BP220" s="78">
        <f t="shared" si="36"/>
        <v>0.21367521367521369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4301031499</v>
      </c>
      <c r="D221" s="621">
        <v>4680115888432</v>
      </c>
      <c r="E221" s="621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4301031427</v>
      </c>
      <c r="D222" s="621">
        <v>4680115888104</v>
      </c>
      <c r="E222" s="62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7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4301031399</v>
      </c>
      <c r="D223" s="621">
        <v>4680115886537</v>
      </c>
      <c r="E223" s="621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393</v>
      </c>
      <c r="B224" s="63" t="s">
        <v>394</v>
      </c>
      <c r="C224" s="36">
        <v>4301031279</v>
      </c>
      <c r="D224" s="621">
        <v>4680115887596</v>
      </c>
      <c r="E224" s="621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79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customHeight="1" x14ac:dyDescent="0.25">
      <c r="A225" s="63" t="s">
        <v>396</v>
      </c>
      <c r="B225" s="63" t="s">
        <v>397</v>
      </c>
      <c r="C225" s="36">
        <v>4301031202</v>
      </c>
      <c r="D225" s="621">
        <v>4680115881679</v>
      </c>
      <c r="E225" s="621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79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140</v>
      </c>
      <c r="Y225" s="55">
        <f t="shared" si="32"/>
        <v>140.70000000000002</v>
      </c>
      <c r="Z225" s="41">
        <f>IFERROR(IF(Y225=0,"",ROUNDUP(Y225/H225,0)*0.00502),"")</f>
        <v>0.33634000000000003</v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146.66666666666666</v>
      </c>
      <c r="BN225" s="78">
        <f t="shared" si="34"/>
        <v>147.40000000000003</v>
      </c>
      <c r="BO225" s="78">
        <f t="shared" si="35"/>
        <v>0.28490028490028491</v>
      </c>
      <c r="BP225" s="78">
        <f t="shared" si="36"/>
        <v>0.28632478632478636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4301031158</v>
      </c>
      <c r="D226" s="621">
        <v>4680115880191</v>
      </c>
      <c r="E226" s="621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78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400</v>
      </c>
      <c r="B227" s="63" t="s">
        <v>401</v>
      </c>
      <c r="C227" s="36">
        <v>4301031245</v>
      </c>
      <c r="D227" s="621">
        <v>4680115883963</v>
      </c>
      <c r="E227" s="621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7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23"/>
      <c r="R227" s="623"/>
      <c r="S227" s="623"/>
      <c r="T227" s="6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170.28571428571428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173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0.93569999999999998</v>
      </c>
      <c r="AA228" s="67"/>
      <c r="AB228" s="67"/>
      <c r="AC228" s="67"/>
    </row>
    <row r="229" spans="1:68" x14ac:dyDescent="0.2">
      <c r="A229" s="628"/>
      <c r="B229" s="628"/>
      <c r="C229" s="628"/>
      <c r="D229" s="628"/>
      <c r="E229" s="628"/>
      <c r="F229" s="628"/>
      <c r="G229" s="628"/>
      <c r="H229" s="628"/>
      <c r="I229" s="628"/>
      <c r="J229" s="628"/>
      <c r="K229" s="628"/>
      <c r="L229" s="628"/>
      <c r="M229" s="628"/>
      <c r="N229" s="628"/>
      <c r="O229" s="629"/>
      <c r="P229" s="625" t="s">
        <v>40</v>
      </c>
      <c r="Q229" s="626"/>
      <c r="R229" s="626"/>
      <c r="S229" s="626"/>
      <c r="T229" s="626"/>
      <c r="U229" s="626"/>
      <c r="V229" s="627"/>
      <c r="W229" s="42" t="s">
        <v>0</v>
      </c>
      <c r="X229" s="43">
        <f>IFERROR(SUM(X214:X227),"0")</f>
        <v>379.8</v>
      </c>
      <c r="Y229" s="43">
        <f>IFERROR(SUM(Y214:Y227),"0")</f>
        <v>389.1</v>
      </c>
      <c r="Z229" s="42"/>
      <c r="AA229" s="67"/>
      <c r="AB229" s="67"/>
      <c r="AC229" s="67"/>
    </row>
    <row r="230" spans="1:68" ht="14.25" hidden="1" customHeight="1" x14ac:dyDescent="0.25">
      <c r="A230" s="620" t="s">
        <v>86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78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78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107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78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3.5000000000000004</v>
      </c>
      <c r="Y238" s="55">
        <f>IFERROR(IF(X238="",0,CEILING((X238/$H238),1)*$H238),"")</f>
        <v>3.7800000000000002</v>
      </c>
      <c r="Z238" s="41">
        <f>IFERROR(IF(Y238=0,"",ROUNDUP(Y238/H238,0)*0.0059),"")</f>
        <v>1.77E-2</v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4.0277777777777777</v>
      </c>
      <c r="BN238" s="78">
        <f>IFERROR(Y238*I238/H238,"0")</f>
        <v>4.3499999999999996</v>
      </c>
      <c r="BO238" s="78">
        <f>IFERROR(1/J238*(X238/H238),"0")</f>
        <v>1.2860082304526749E-2</v>
      </c>
      <c r="BP238" s="78">
        <f>IFERROR(1/J238*(Y238/H238),"0")</f>
        <v>1.3888888888888888E-2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7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7.0000000000000009</v>
      </c>
      <c r="Y239" s="55">
        <f>IFERROR(IF(X239="",0,CEILING((X239/$H239),1)*$H239),"")</f>
        <v>7.5600000000000005</v>
      </c>
      <c r="Z239" s="41">
        <f>IFERROR(IF(Y239=0,"",ROUNDUP(Y239/H239,0)*0.0059),"")</f>
        <v>3.5400000000000001E-2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8.0555555555555554</v>
      </c>
      <c r="BN239" s="78">
        <f>IFERROR(Y239*I239/H239,"0")</f>
        <v>8.6999999999999993</v>
      </c>
      <c r="BO239" s="78">
        <f>IFERROR(1/J239*(X239/H239),"0")</f>
        <v>2.5720164609053499E-2</v>
      </c>
      <c r="BP239" s="78">
        <f>IFERROR(1/J239*(Y239/H239),"0")</f>
        <v>2.7777777777777776E-2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7.0000000000000009</v>
      </c>
      <c r="Y240" s="55">
        <f>IFERROR(IF(X240="",0,CEILING((X240/$H240),1)*$H240),"")</f>
        <v>7.5600000000000005</v>
      </c>
      <c r="Z240" s="41">
        <f>IFERROR(IF(Y240=0,"",ROUNDUP(Y240/H240,0)*0.0059),"")</f>
        <v>3.5400000000000001E-2</v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8.0555555555555554</v>
      </c>
      <c r="BN240" s="78">
        <f>IFERROR(Y240*I240/H240,"0")</f>
        <v>8.6999999999999993</v>
      </c>
      <c r="BO240" s="78">
        <f>IFERROR(1/J240*(X240/H240),"0")</f>
        <v>2.5720164609053499E-2</v>
      </c>
      <c r="BP240" s="78">
        <f>IFERROR(1/J240*(Y240/H240),"0")</f>
        <v>2.7777777777777776E-2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13.888888888888889</v>
      </c>
      <c r="Y241" s="43">
        <f>IFERROR(Y238/H238,"0")+IFERROR(Y239/H239,"0")+IFERROR(Y240/H240,"0")</f>
        <v>15</v>
      </c>
      <c r="Z241" s="43">
        <f>IFERROR(IF(Z238="",0,Z238),"0")+IFERROR(IF(Z239="",0,Z239),"0")+IFERROR(IF(Z240="",0,Z240),"0")</f>
        <v>8.8499999999999995E-2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17.500000000000004</v>
      </c>
      <c r="Y242" s="43">
        <f>IFERROR(SUM(Y238:Y240),"0")</f>
        <v>18.899999999999999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7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7.0000000000000009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2.5720164609053499E-2</v>
      </c>
      <c r="BP244" s="78">
        <f>IFERROR(1/J244*(Y244/H244),"0")</f>
        <v>2.7777777777777776E-2</v>
      </c>
    </row>
    <row r="245" spans="1:68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5.5555555555555562</v>
      </c>
      <c r="Y245" s="43">
        <f>IFERROR(Y244/H244,"0")</f>
        <v>6</v>
      </c>
      <c r="Z245" s="43">
        <f>IFERROR(IF(Z244="",0,Z244),"0")</f>
        <v>3.5400000000000001E-2</v>
      </c>
      <c r="AA245" s="67"/>
      <c r="AB245" s="67"/>
      <c r="AC245" s="67"/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7.0000000000000009</v>
      </c>
      <c r="Y246" s="43">
        <f>IFERROR(SUM(Y244:Y244),"0")</f>
        <v>7.5600000000000005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132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167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7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200</v>
      </c>
      <c r="Y259" s="55">
        <f t="shared" ref="Y259:Y266" si="38">IFERROR(IF(X259="",0,CEILING((X259/$H259),1)*$H259),"")</f>
        <v>205.20000000000002</v>
      </c>
      <c r="Z259" s="41">
        <f>IFERROR(IF(Y259=0,"",ROUNDUP(Y259/H259,0)*0.00902),"")</f>
        <v>0.34276000000000001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207.03703703703701</v>
      </c>
      <c r="BN259" s="78">
        <f t="shared" ref="BN259:BN266" si="40">IFERROR(Y259*I259/H259,"0")</f>
        <v>212.42</v>
      </c>
      <c r="BO259" s="78">
        <f t="shared" ref="BO259:BO266" si="41">IFERROR(1/J259*(X259/H259),"0")</f>
        <v>0.28058361391694725</v>
      </c>
      <c r="BP259" s="78">
        <f t="shared" ref="BP259:BP266" si="42">IFERROR(1/J259*(Y259/H259),"0")</f>
        <v>0.2878787878787879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7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7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180</v>
      </c>
      <c r="Y261" s="55">
        <f t="shared" si="38"/>
        <v>183.60000000000002</v>
      </c>
      <c r="Z261" s="41">
        <f>IFERROR(IF(Y261=0,"",ROUNDUP(Y261/H261,0)*0.00902),"")</f>
        <v>0.30668000000000001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186.33333333333331</v>
      </c>
      <c r="BN261" s="78">
        <f t="shared" si="40"/>
        <v>190.06</v>
      </c>
      <c r="BO261" s="78">
        <f t="shared" si="41"/>
        <v>0.25252525252525249</v>
      </c>
      <c r="BP261" s="78">
        <f t="shared" si="42"/>
        <v>0.25757575757575757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7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50</v>
      </c>
      <c r="Y262" s="55">
        <f t="shared" si="38"/>
        <v>54</v>
      </c>
      <c r="Z262" s="41">
        <f>IFERROR(IF(Y262=0,"",ROUNDUP(Y262/H262,0)*0.00902),"")</f>
        <v>9.0200000000000002E-2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51.759259259259252</v>
      </c>
      <c r="BN262" s="78">
        <f t="shared" si="40"/>
        <v>55.9</v>
      </c>
      <c r="BO262" s="78">
        <f t="shared" si="41"/>
        <v>7.0145903479236812E-2</v>
      </c>
      <c r="BP262" s="78">
        <f t="shared" si="42"/>
        <v>7.575757575757576E-2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96</v>
      </c>
      <c r="Y263" s="55">
        <f t="shared" si="38"/>
        <v>97.2</v>
      </c>
      <c r="Z263" s="41">
        <f>IFERROR(IF(Y263=0,"",ROUNDUP(Y263/H263,0)*0.00502),"")</f>
        <v>0.27107999999999999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102.93333333333334</v>
      </c>
      <c r="BN263" s="78">
        <f t="shared" si="40"/>
        <v>104.22</v>
      </c>
      <c r="BO263" s="78">
        <f t="shared" si="41"/>
        <v>0.22792022792022792</v>
      </c>
      <c r="BP263" s="78">
        <f t="shared" si="42"/>
        <v>0.23076923076923078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42</v>
      </c>
      <c r="Y264" s="55">
        <f t="shared" si="38"/>
        <v>43.2</v>
      </c>
      <c r="Z264" s="41">
        <f>IFERROR(IF(Y264=0,"",ROUNDUP(Y264/H264,0)*0.00502),"")</f>
        <v>0.12048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44.333333333333329</v>
      </c>
      <c r="BN264" s="78">
        <f t="shared" si="40"/>
        <v>45.6</v>
      </c>
      <c r="BO264" s="78">
        <f t="shared" si="41"/>
        <v>9.9715099715099717E-2</v>
      </c>
      <c r="BP264" s="78">
        <f t="shared" si="42"/>
        <v>0.10256410256410257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60</v>
      </c>
      <c r="Y265" s="55">
        <f t="shared" si="38"/>
        <v>61.2</v>
      </c>
      <c r="Z265" s="41">
        <f>IFERROR(IF(Y265=0,"",ROUNDUP(Y265/H265,0)*0.00502),"")</f>
        <v>0.17068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63.333333333333329</v>
      </c>
      <c r="BN265" s="78">
        <f t="shared" si="40"/>
        <v>64.599999999999994</v>
      </c>
      <c r="BO265" s="78">
        <f t="shared" si="41"/>
        <v>0.14245014245014248</v>
      </c>
      <c r="BP265" s="78">
        <f t="shared" si="42"/>
        <v>0.14529914529914531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36</v>
      </c>
      <c r="Y266" s="55">
        <f t="shared" si="38"/>
        <v>36</v>
      </c>
      <c r="Z266" s="41">
        <f>IFERROR(IF(Y266=0,"",ROUNDUP(Y266/H266,0)*0.00502),"")</f>
        <v>0.1004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37.999999999999993</v>
      </c>
      <c r="BN266" s="78">
        <f t="shared" si="40"/>
        <v>37.999999999999993</v>
      </c>
      <c r="BO266" s="78">
        <f t="shared" si="41"/>
        <v>8.5470085470085472E-2</v>
      </c>
      <c r="BP266" s="78">
        <f t="shared" si="42"/>
        <v>8.5470085470085472E-2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209.62962962962962</v>
      </c>
      <c r="Y267" s="43">
        <f>IFERROR(Y259/H259,"0")+IFERROR(Y260/H260,"0")+IFERROR(Y261/H261,"0")+IFERROR(Y262/H262,"0")+IFERROR(Y263/H263,"0")+IFERROR(Y264/H264,"0")+IFERROR(Y265/H265,"0")+IFERROR(Y266/H266,"0")</f>
        <v>214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1.40228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664</v>
      </c>
      <c r="Y268" s="43">
        <f>IFERROR(SUM(Y259:Y266),"0")</f>
        <v>680.4000000000002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76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76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76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300</v>
      </c>
      <c r="Y272" s="55">
        <f t="shared" si="43"/>
        <v>304.5</v>
      </c>
      <c r="Z272" s="41">
        <f>IFERROR(IF(Y272=0,"",ROUNDUP(Y272/H272,0)*0.01898),"")</f>
        <v>0.6643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317.03448275862075</v>
      </c>
      <c r="BN272" s="78">
        <f t="shared" si="45"/>
        <v>321.79000000000008</v>
      </c>
      <c r="BO272" s="78">
        <f t="shared" si="46"/>
        <v>0.53879310344827591</v>
      </c>
      <c r="BP272" s="78">
        <f t="shared" si="47"/>
        <v>0.546875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400</v>
      </c>
      <c r="Y273" s="55">
        <f t="shared" si="43"/>
        <v>400.8</v>
      </c>
      <c r="Z273" s="41">
        <f>IFERROR(IF(Y273=0,"",ROUNDUP(Y273/H273,0)*0.00651),"")</f>
        <v>1.08717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445</v>
      </c>
      <c r="BN273" s="78">
        <f t="shared" si="45"/>
        <v>445.89</v>
      </c>
      <c r="BO273" s="78">
        <f t="shared" si="46"/>
        <v>0.91575091575091594</v>
      </c>
      <c r="BP273" s="78">
        <f t="shared" si="47"/>
        <v>0.91758241758241765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7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280</v>
      </c>
      <c r="Y276" s="55">
        <f t="shared" si="43"/>
        <v>280.8</v>
      </c>
      <c r="Z276" s="41">
        <f>IFERROR(IF(Y276=0,"",ROUNDUP(Y276/H276,0)*0.00651),"")</f>
        <v>0.76167000000000007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309.40000000000003</v>
      </c>
      <c r="BN276" s="78">
        <f t="shared" si="45"/>
        <v>310.28400000000005</v>
      </c>
      <c r="BO276" s="78">
        <f t="shared" si="46"/>
        <v>0.64102564102564108</v>
      </c>
      <c r="BP276" s="78">
        <f t="shared" si="47"/>
        <v>0.64285714285714302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7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120</v>
      </c>
      <c r="Y279" s="55">
        <f t="shared" si="43"/>
        <v>120</v>
      </c>
      <c r="Z279" s="41">
        <f>IFERROR(IF(Y279=0,"",ROUNDUP(Y279/H279,0)*0.00651),"")</f>
        <v>0.32550000000000001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132.60000000000002</v>
      </c>
      <c r="BN279" s="78">
        <f t="shared" si="45"/>
        <v>132.60000000000002</v>
      </c>
      <c r="BO279" s="78">
        <f t="shared" si="46"/>
        <v>0.27472527472527475</v>
      </c>
      <c r="BP279" s="78">
        <f t="shared" si="47"/>
        <v>0.27472527472527475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240</v>
      </c>
      <c r="Y280" s="55">
        <f t="shared" si="43"/>
        <v>240</v>
      </c>
      <c r="Z280" s="41">
        <f>IFERROR(IF(Y280=0,"",ROUNDUP(Y280/H280,0)*0.00651),"")</f>
        <v>0.65100000000000002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265.8</v>
      </c>
      <c r="BN280" s="78">
        <f t="shared" si="45"/>
        <v>265.8</v>
      </c>
      <c r="BO280" s="78">
        <f t="shared" si="46"/>
        <v>0.5494505494505495</v>
      </c>
      <c r="BP280" s="78">
        <f t="shared" si="47"/>
        <v>0.5494505494505495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467.81609195402302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469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3.4896399999999996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1340</v>
      </c>
      <c r="Y283" s="43">
        <f>IFERROR(SUM(Y270:Y281),"0")</f>
        <v>1346.1</v>
      </c>
      <c r="Z283" s="42"/>
      <c r="AA283" s="67"/>
      <c r="AB283" s="67"/>
      <c r="AC283" s="67"/>
    </row>
    <row r="284" spans="1:68" ht="14.25" hidden="1" customHeight="1" x14ac:dyDescent="0.25">
      <c r="A284" s="620" t="s">
        <v>184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24</v>
      </c>
      <c r="Y285" s="55">
        <f>IFERROR(IF(X285="",0,CEILING((X285/$H285),1)*$H285),"")</f>
        <v>24</v>
      </c>
      <c r="Z285" s="41">
        <f>IFERROR(IF(Y285=0,"",ROUNDUP(Y285/H285,0)*0.00651),"")</f>
        <v>6.5100000000000005E-2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26.520000000000003</v>
      </c>
      <c r="BN285" s="78">
        <f>IFERROR(Y285*I285/H285,"0")</f>
        <v>26.520000000000003</v>
      </c>
      <c r="BO285" s="78">
        <f>IFERROR(1/J285*(X285/H285),"0")</f>
        <v>5.4945054945054951E-2</v>
      </c>
      <c r="BP285" s="78">
        <f>IFERROR(1/J285*(Y285/H285),"0")</f>
        <v>5.4945054945054951E-2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120</v>
      </c>
      <c r="Y286" s="55">
        <f>IFERROR(IF(X286="",0,CEILING((X286/$H286),1)*$H286),"")</f>
        <v>120</v>
      </c>
      <c r="Z286" s="41">
        <f>IFERROR(IF(Y286=0,"",ROUNDUP(Y286/H286,0)*0.00651),"")</f>
        <v>0.32550000000000001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132.60000000000002</v>
      </c>
      <c r="BN286" s="78">
        <f>IFERROR(Y286*I286/H286,"0")</f>
        <v>132.60000000000002</v>
      </c>
      <c r="BO286" s="78">
        <f>IFERROR(1/J286*(X286/H286),"0")</f>
        <v>0.27472527472527475</v>
      </c>
      <c r="BP286" s="78">
        <f>IFERROR(1/J286*(Y286/H286),"0")</f>
        <v>0.27472527472527475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60</v>
      </c>
      <c r="Y287" s="43">
        <f>IFERROR(Y285/H285,"0")+IFERROR(Y286/H286,"0")</f>
        <v>60</v>
      </c>
      <c r="Z287" s="43">
        <f>IFERROR(IF(Z285="",0,Z285),"0")+IFERROR(IF(Z286="",0,Z286),"0")</f>
        <v>0.3906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144</v>
      </c>
      <c r="Y288" s="43">
        <f>IFERROR(SUM(Y285:Y286),"0")</f>
        <v>144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132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20</v>
      </c>
      <c r="Y294" s="55">
        <f t="shared" si="48"/>
        <v>20</v>
      </c>
      <c r="Z294" s="41">
        <f>IFERROR(IF(Y294=0,"",ROUNDUP(Y294/H294,0)*0.00902),"")</f>
        <v>4.5100000000000001E-2</v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20.950000000000003</v>
      </c>
      <c r="BN294" s="78">
        <f t="shared" si="50"/>
        <v>20.950000000000003</v>
      </c>
      <c r="BO294" s="78">
        <f t="shared" si="51"/>
        <v>3.787878787878788E-2</v>
      </c>
      <c r="BP294" s="78">
        <f t="shared" si="52"/>
        <v>3.787878787878788E-2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88</v>
      </c>
      <c r="Y297" s="55">
        <f t="shared" si="48"/>
        <v>88</v>
      </c>
      <c r="Z297" s="41">
        <f>IFERROR(IF(Y297=0,"",ROUNDUP(Y297/H297,0)*0.00902),"")</f>
        <v>0.19844000000000001</v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92.18</v>
      </c>
      <c r="BN297" s="78">
        <f t="shared" si="50"/>
        <v>92.18</v>
      </c>
      <c r="BO297" s="78">
        <f t="shared" si="51"/>
        <v>0.16666666666666669</v>
      </c>
      <c r="BP297" s="78">
        <f t="shared" si="52"/>
        <v>0.16666666666666669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27</v>
      </c>
      <c r="Y298" s="43">
        <f>IFERROR(Y291/H291,"0")+IFERROR(Y292/H292,"0")+IFERROR(Y293/H293,"0")+IFERROR(Y294/H294,"0")+IFERROR(Y295/H295,"0")+IFERROR(Y296/H296,"0")+IFERROR(Y297/H297,"0")</f>
        <v>27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0.24354000000000001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108</v>
      </c>
      <c r="Y299" s="43">
        <f>IFERROR(SUM(Y291:Y297),"0")</f>
        <v>108</v>
      </c>
      <c r="Z299" s="42"/>
      <c r="AA299" s="67"/>
      <c r="AB299" s="67"/>
      <c r="AC299" s="67"/>
    </row>
    <row r="300" spans="1:68" ht="14.25" hidden="1" customHeight="1" x14ac:dyDescent="0.25">
      <c r="A300" s="620" t="s">
        <v>167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7.1999999999999993</v>
      </c>
      <c r="Y305" s="55">
        <f>IFERROR(IF(X305="",0,CEILING((X305/$H305),1)*$H305),"")</f>
        <v>7.2</v>
      </c>
      <c r="Z305" s="41">
        <f>IFERROR(IF(Y305=0,"",ROUNDUP(Y305/H305,0)*0.0059),"")</f>
        <v>2.3599999999999999E-2</v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7.8999999999999995</v>
      </c>
      <c r="BN305" s="78">
        <f>IFERROR(Y305*I305/H305,"0")</f>
        <v>7.9</v>
      </c>
      <c r="BO305" s="78">
        <f>IFERROR(1/J305*(X305/H305),"0")</f>
        <v>1.8518518518518514E-2</v>
      </c>
      <c r="BP305" s="78">
        <f>IFERROR(1/J305*(Y305/H305),"0")</f>
        <v>1.8518518518518517E-2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3.9999999999999996</v>
      </c>
      <c r="Y306" s="43">
        <f>IFERROR(Y305/H305,"0")</f>
        <v>4</v>
      </c>
      <c r="Z306" s="43">
        <f>IFERROR(IF(Z305="",0,Z305),"0")</f>
        <v>2.3599999999999999E-2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7.1999999999999993</v>
      </c>
      <c r="Y307" s="43">
        <f>IFERROR(SUM(Y305:Y305),"0")</f>
        <v>7.2</v>
      </c>
      <c r="Z307" s="42"/>
      <c r="AA307" s="67"/>
      <c r="AB307" s="67"/>
      <c r="AC307" s="67"/>
    </row>
    <row r="308" spans="1:68" ht="14.25" hidden="1" customHeight="1" x14ac:dyDescent="0.25">
      <c r="A308" s="620" t="s">
        <v>335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18</v>
      </c>
      <c r="Y310" s="55">
        <f>IFERROR(IF(X310="",0,CEILING((X310/$H310),1)*$H310),"")</f>
        <v>18</v>
      </c>
      <c r="Z310" s="41">
        <f>IFERROR(IF(Y310=0,"",ROUNDUP(Y310/H310,0)*0.0059),"")</f>
        <v>5.8999999999999997E-2</v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19.750000000000004</v>
      </c>
      <c r="BN310" s="78">
        <f>IFERROR(Y310*I310/H310,"0")</f>
        <v>19.750000000000004</v>
      </c>
      <c r="BO310" s="78">
        <f>IFERROR(1/J310*(X310/H310),"0")</f>
        <v>4.6296296296296294E-2</v>
      </c>
      <c r="BP310" s="78">
        <f>IFERROR(1/J310*(Y310/H310),"0")</f>
        <v>4.6296296296296294E-2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2.5</v>
      </c>
      <c r="Y311" s="55">
        <f>IFERROR(IF(X311="",0,CEILING((X311/$H311),1)*$H311),"")</f>
        <v>2.7</v>
      </c>
      <c r="Z311" s="41">
        <f>IFERROR(IF(Y311=0,"",ROUNDUP(Y311/H311,0)*0.0059),"")</f>
        <v>1.77E-2</v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3.0277777777777777</v>
      </c>
      <c r="BN311" s="78">
        <f>IFERROR(Y311*I311/H311,"0")</f>
        <v>3.2700000000000005</v>
      </c>
      <c r="BO311" s="78">
        <f>IFERROR(1/J311*(X311/H311),"0")</f>
        <v>1.2860082304526748E-2</v>
      </c>
      <c r="BP311" s="78">
        <f>IFERROR(1/J311*(Y311/H311),"0")</f>
        <v>1.3888888888888888E-2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12.777777777777779</v>
      </c>
      <c r="Y312" s="43">
        <f>IFERROR(Y309/H309,"0")+IFERROR(Y310/H310,"0")+IFERROR(Y311/H311,"0")</f>
        <v>13</v>
      </c>
      <c r="Z312" s="43">
        <f>IFERROR(IF(Z309="",0,Z309),"0")+IFERROR(IF(Z310="",0,Z310),"0")+IFERROR(IF(Z311="",0,Z311),"0")</f>
        <v>7.669999999999999E-2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20.5</v>
      </c>
      <c r="Y313" s="43">
        <f>IFERROR(SUM(Y309:Y311),"0")</f>
        <v>20.7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132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88</v>
      </c>
      <c r="Y326" s="55">
        <f>IFERROR(IF(X326="",0,CEILING((X326/$H326),1)*$H326),"")</f>
        <v>88.8</v>
      </c>
      <c r="Z326" s="41">
        <f>IFERROR(IF(Y326=0,"",ROUNDUP(Y326/H326,0)*0.00651),"")</f>
        <v>0.24087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97.240000000000009</v>
      </c>
      <c r="BN326" s="78">
        <f>IFERROR(Y326*I326/H326,"0")</f>
        <v>98.124000000000009</v>
      </c>
      <c r="BO326" s="78">
        <f>IFERROR(1/J326*(X326/H326),"0")</f>
        <v>0.2014652014652015</v>
      </c>
      <c r="BP326" s="78">
        <f>IFERROR(1/J326*(Y326/H326),"0")</f>
        <v>0.20329670329670332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360</v>
      </c>
      <c r="Y327" s="55">
        <f>IFERROR(IF(X327="",0,CEILING((X327/$H327),1)*$H327),"")</f>
        <v>360</v>
      </c>
      <c r="Z327" s="41">
        <f>IFERROR(IF(Y327=0,"",ROUNDUP(Y327/H327,0)*0.00651),"")</f>
        <v>0.97650000000000003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387.00000000000006</v>
      </c>
      <c r="BN327" s="78">
        <f>IFERROR(Y327*I327/H327,"0")</f>
        <v>387.00000000000006</v>
      </c>
      <c r="BO327" s="78">
        <f>IFERROR(1/J327*(X327/H327),"0")</f>
        <v>0.82417582417582425</v>
      </c>
      <c r="BP327" s="78">
        <f>IFERROR(1/J327*(Y327/H327),"0")</f>
        <v>0.82417582417582425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186.66666666666669</v>
      </c>
      <c r="Y328" s="43">
        <f>IFERROR(Y325/H325,"0")+IFERROR(Y326/H326,"0")+IFERROR(Y327/H327,"0")</f>
        <v>187</v>
      </c>
      <c r="Z328" s="43">
        <f>IFERROR(IF(Z325="",0,Z325),"0")+IFERROR(IF(Z326="",0,Z326),"0")+IFERROR(IF(Z327="",0,Z327),"0")</f>
        <v>1.2173700000000001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448</v>
      </c>
      <c r="Y329" s="43">
        <f>IFERROR(SUM(Y325:Y327),"0")</f>
        <v>448.8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132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120</v>
      </c>
      <c r="Y346" s="55">
        <f>IFERROR(IF(X346="",0,CEILING((X346/$H346),1)*$H346),"")</f>
        <v>124.8</v>
      </c>
      <c r="Z346" s="41">
        <f>IFERROR(IF(Y346=0,"",ROUNDUP(Y346/H346,0)*0.01898),"")</f>
        <v>0.30368000000000001</v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126.30769230769232</v>
      </c>
      <c r="BN346" s="78">
        <f>IFERROR(Y346*I346/H346,"0")</f>
        <v>131.36000000000001</v>
      </c>
      <c r="BO346" s="78">
        <f>IFERROR(1/J346*(X346/H346),"0")</f>
        <v>0.24038461538461539</v>
      </c>
      <c r="BP346" s="78">
        <f>IFERROR(1/J346*(Y346/H346),"0")</f>
        <v>0.25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170</v>
      </c>
      <c r="Y347" s="55">
        <f>IFERROR(IF(X347="",0,CEILING((X347/$H347),1)*$H347),"")</f>
        <v>171.6</v>
      </c>
      <c r="Z347" s="41">
        <f>IFERROR(IF(Y347=0,"",ROUNDUP(Y347/H347,0)*0.01898),"")</f>
        <v>0.41755999999999999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178.93589743589746</v>
      </c>
      <c r="BN347" s="78">
        <f>IFERROR(Y347*I347/H347,"0")</f>
        <v>180.62</v>
      </c>
      <c r="BO347" s="78">
        <f>IFERROR(1/J347*(X347/H347),"0")</f>
        <v>0.34054487179487181</v>
      </c>
      <c r="BP347" s="78">
        <f>IFERROR(1/J347*(Y347/H347),"0")</f>
        <v>0.34375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50</v>
      </c>
      <c r="Y348" s="55">
        <f>IFERROR(IF(X348="",0,CEILING((X348/$H348),1)*$H348),"")</f>
        <v>54.6</v>
      </c>
      <c r="Z348" s="41">
        <f>IFERROR(IF(Y348=0,"",ROUNDUP(Y348/H348,0)*0.01898),"")</f>
        <v>0.13286000000000001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52.628205128205138</v>
      </c>
      <c r="BN348" s="78">
        <f>IFERROR(Y348*I348/H348,"0")</f>
        <v>57.470000000000013</v>
      </c>
      <c r="BO348" s="78">
        <f>IFERROR(1/J348*(X348/H348),"0")</f>
        <v>0.10016025641025642</v>
      </c>
      <c r="BP348" s="78">
        <f>IFERROR(1/J348*(Y348/H348),"0")</f>
        <v>0.109375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43.589743589743591</v>
      </c>
      <c r="Y349" s="43">
        <f>IFERROR(Y346/H346,"0")+IFERROR(Y347/H347,"0")+IFERROR(Y348/H348,"0")</f>
        <v>45</v>
      </c>
      <c r="Z349" s="43">
        <f>IFERROR(IF(Z346="",0,Z346),"0")+IFERROR(IF(Z347="",0,Z347),"0")+IFERROR(IF(Z348="",0,Z348),"0")</f>
        <v>0.85409999999999997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340</v>
      </c>
      <c r="Y350" s="43">
        <f>IFERROR(SUM(Y346:Y348),"0")</f>
        <v>351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132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70</v>
      </c>
      <c r="Y353" s="55">
        <f t="shared" ref="Y353:Y358" si="53">IFERROR(IF(X353="",0,CEILING((X353/$H353),1)*$H353),"")</f>
        <v>75.600000000000009</v>
      </c>
      <c r="Z353" s="41">
        <f>IFERROR(IF(Y353=0,"",ROUNDUP(Y353/H353,0)*0.01898),"")</f>
        <v>0.13286000000000001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72.657407407407405</v>
      </c>
      <c r="BN353" s="78">
        <f t="shared" ref="BN353:BN358" si="55">IFERROR(Y353*I353/H353,"0")</f>
        <v>78.47</v>
      </c>
      <c r="BO353" s="78">
        <f t="shared" ref="BO353:BO358" si="56">IFERROR(1/J353*(X353/H353),"0")</f>
        <v>0.10127314814814814</v>
      </c>
      <c r="BP353" s="78">
        <f t="shared" ref="BP353:BP358" si="57">IFERROR(1/J353*(Y353/H353),"0")</f>
        <v>0.109375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6.481481481481481</v>
      </c>
      <c r="Y359" s="43">
        <f>IFERROR(Y353/H353,"0")+IFERROR(Y354/H354,"0")+IFERROR(Y355/H355,"0")+IFERROR(Y356/H356,"0")+IFERROR(Y357/H357,"0")+IFERROR(Y358/H358,"0")</f>
        <v>7</v>
      </c>
      <c r="Z359" s="43">
        <f>IFERROR(IF(Z353="",0,Z353),"0")+IFERROR(IF(Z354="",0,Z354),"0")+IFERROR(IF(Z355="",0,Z355),"0")+IFERROR(IF(Z356="",0,Z356),"0")+IFERROR(IF(Z357="",0,Z357),"0")+IFERROR(IF(Z358="",0,Z358),"0")</f>
        <v>0.13286000000000001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70</v>
      </c>
      <c r="Y360" s="43">
        <f>IFERROR(SUM(Y353:Y358),"0")</f>
        <v>75.600000000000009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140</v>
      </c>
      <c r="Y366" s="55">
        <f t="shared" si="58"/>
        <v>140.70000000000002</v>
      </c>
      <c r="Z366" s="41">
        <f>IFERROR(IF(Y366=0,"",ROUNDUP(Y366/H366,0)*0.00502),"")</f>
        <v>0.33634000000000003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146.66666666666666</v>
      </c>
      <c r="BN366" s="78">
        <f t="shared" si="60"/>
        <v>147.40000000000003</v>
      </c>
      <c r="BO366" s="78">
        <f t="shared" si="61"/>
        <v>0.28490028490028491</v>
      </c>
      <c r="BP366" s="78">
        <f t="shared" si="62"/>
        <v>0.28632478632478636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18</v>
      </c>
      <c r="Y368" s="55">
        <f t="shared" si="58"/>
        <v>18</v>
      </c>
      <c r="Z368" s="41">
        <f>IFERROR(IF(Y368=0,"",ROUNDUP(Y368/H368,0)*0.00651),"")</f>
        <v>6.5100000000000005E-2</v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20.279999999999998</v>
      </c>
      <c r="BN368" s="78">
        <f t="shared" si="60"/>
        <v>20.279999999999998</v>
      </c>
      <c r="BO368" s="78">
        <f t="shared" si="61"/>
        <v>5.4945054945054951E-2</v>
      </c>
      <c r="BP368" s="78">
        <f t="shared" si="62"/>
        <v>5.4945054945054951E-2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76.666666666666657</v>
      </c>
      <c r="Y369" s="43">
        <f>IFERROR(Y362/H362,"0")+IFERROR(Y363/H363,"0")+IFERROR(Y364/H364,"0")+IFERROR(Y365/H365,"0")+IFERROR(Y366/H366,"0")+IFERROR(Y367/H367,"0")+IFERROR(Y368/H368,"0")</f>
        <v>77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0.40144000000000002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158</v>
      </c>
      <c r="Y370" s="43">
        <f>IFERROR(SUM(Y362:Y368),"0")</f>
        <v>158.70000000000002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20" t="s">
        <v>184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300</v>
      </c>
      <c r="Y379" s="55">
        <f>IFERROR(IF(X379="",0,CEILING((X379/$H379),1)*$H379),"")</f>
        <v>302.40000000000003</v>
      </c>
      <c r="Z379" s="41">
        <f>IFERROR(IF(Y379=0,"",ROUNDUP(Y379/H379,0)*0.01898),"")</f>
        <v>0.68328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317.64285714285711</v>
      </c>
      <c r="BN379" s="78">
        <f>IFERROR(Y379*I379/H379,"0")</f>
        <v>320.18400000000003</v>
      </c>
      <c r="BO379" s="78">
        <f>IFERROR(1/J379*(X379/H379),"0")</f>
        <v>0.5580357142857143</v>
      </c>
      <c r="BP379" s="78">
        <f>IFERROR(1/J379*(Y379/H379),"0")</f>
        <v>0.5625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600</v>
      </c>
      <c r="Y380" s="55">
        <f>IFERROR(IF(X380="",0,CEILING((X380/$H380),1)*$H380),"")</f>
        <v>600.6</v>
      </c>
      <c r="Z380" s="41">
        <f>IFERROR(IF(Y380=0,"",ROUNDUP(Y380/H380,0)*0.01898),"")</f>
        <v>1.46146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638.00000000000011</v>
      </c>
      <c r="BN380" s="78">
        <f>IFERROR(Y380*I380/H380,"0")</f>
        <v>638.63800000000003</v>
      </c>
      <c r="BO380" s="78">
        <f>IFERROR(1/J380*(X380/H380),"0")</f>
        <v>1.2019230769230769</v>
      </c>
      <c r="BP380" s="78">
        <f>IFERROR(1/J380*(Y380/H380),"0")</f>
        <v>1.203125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110</v>
      </c>
      <c r="Y381" s="55">
        <f>IFERROR(IF(X381="",0,CEILING((X381/$H381),1)*$H381),"")</f>
        <v>117.60000000000001</v>
      </c>
      <c r="Z381" s="41">
        <f>IFERROR(IF(Y381=0,"",ROUNDUP(Y381/H381,0)*0.01898),"")</f>
        <v>0.26572000000000001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116.46904761904761</v>
      </c>
      <c r="BN381" s="78">
        <f>IFERROR(Y381*I381/H381,"0")</f>
        <v>124.51600000000001</v>
      </c>
      <c r="BO381" s="78">
        <f>IFERROR(1/J381*(X381/H381),"0")</f>
        <v>0.20461309523809523</v>
      </c>
      <c r="BP381" s="78">
        <f>IFERROR(1/J381*(Y381/H381),"0")</f>
        <v>0.21875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125.73260073260073</v>
      </c>
      <c r="Y382" s="43">
        <f>IFERROR(Y379/H379,"0")+IFERROR(Y380/H380,"0")+IFERROR(Y381/H381,"0")</f>
        <v>127</v>
      </c>
      <c r="Z382" s="43">
        <f>IFERROR(IF(Z379="",0,Z379),"0")+IFERROR(IF(Z380="",0,Z380),"0")+IFERROR(IF(Z381="",0,Z381),"0")</f>
        <v>2.41046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1010</v>
      </c>
      <c r="Y383" s="43">
        <f>IFERROR(SUM(Y379:Y381),"0")</f>
        <v>1020.6</v>
      </c>
      <c r="Z383" s="42"/>
      <c r="AA383" s="67"/>
      <c r="AB383" s="67"/>
      <c r="AC383" s="67"/>
    </row>
    <row r="384" spans="1:68" ht="14.25" hidden="1" customHeight="1" x14ac:dyDescent="0.25">
      <c r="A384" s="620" t="s">
        <v>107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525</v>
      </c>
      <c r="Y400" s="55">
        <f>IFERROR(IF(X400="",0,CEILING((X400/$H400),1)*$H400),"")</f>
        <v>525</v>
      </c>
      <c r="Z400" s="41">
        <f>IFERROR(IF(Y400=0,"",ROUNDUP(Y400/H400,0)*0.00651),"")</f>
        <v>1.6274999999999999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588</v>
      </c>
      <c r="BN400" s="78">
        <f>IFERROR(Y400*I400/H400,"0")</f>
        <v>588</v>
      </c>
      <c r="BO400" s="78">
        <f>IFERROR(1/J400*(X400/H400),"0")</f>
        <v>1.3736263736263736</v>
      </c>
      <c r="BP400" s="78">
        <f>IFERROR(1/J400*(Y400/H400),"0")</f>
        <v>1.3736263736263736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420</v>
      </c>
      <c r="Y401" s="55">
        <f>IFERROR(IF(X401="",0,CEILING((X401/$H401),1)*$H401),"")</f>
        <v>420</v>
      </c>
      <c r="Z401" s="41">
        <f>IFERROR(IF(Y401=0,"",ROUNDUP(Y401/H401,0)*0.00651),"")</f>
        <v>1.302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467.99999999999994</v>
      </c>
      <c r="BN401" s="78">
        <f>IFERROR(Y401*I401/H401,"0")</f>
        <v>467.99999999999994</v>
      </c>
      <c r="BO401" s="78">
        <f>IFERROR(1/J401*(X401/H401),"0")</f>
        <v>1.098901098901099</v>
      </c>
      <c r="BP401" s="78">
        <f>IFERROR(1/J401*(Y401/H401),"0")</f>
        <v>1.098901098901099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450</v>
      </c>
      <c r="Y402" s="43">
        <f>IFERROR(Y399/H399,"0")+IFERROR(Y400/H400,"0")+IFERROR(Y401/H401,"0")</f>
        <v>450</v>
      </c>
      <c r="Z402" s="43">
        <f>IFERROR(IF(Z399="",0,Z399),"0")+IFERROR(IF(Z400="",0,Z400),"0")+IFERROR(IF(Z401="",0,Z401),"0")</f>
        <v>2.9295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945</v>
      </c>
      <c r="Y403" s="43">
        <f>IFERROR(SUM(Y399:Y401),"0")</f>
        <v>945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132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100</v>
      </c>
      <c r="Y407" s="55">
        <f t="shared" ref="Y407:Y414" si="63">IFERROR(IF(X407="",0,CEILING((X407/$H407),1)*$H407),"")</f>
        <v>105</v>
      </c>
      <c r="Z407" s="41">
        <f>IFERROR(IF(Y407=0,"",ROUNDUP(Y407/H407,0)*0.02175),"")</f>
        <v>0.15225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103.13333333333334</v>
      </c>
      <c r="BN407" s="78">
        <f t="shared" ref="BN407:BN414" si="65">IFERROR(Y407*I407/H407,"0")</f>
        <v>108.29</v>
      </c>
      <c r="BO407" s="78">
        <f t="shared" ref="BO407:BO414" si="66">IFERROR(1/J407*(X407/H407),"0")</f>
        <v>0.1388888888888889</v>
      </c>
      <c r="BP407" s="78">
        <f t="shared" ref="BP407:BP414" si="67">IFERROR(1/J407*(Y407/H407),"0")</f>
        <v>0.14583333333333331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1500</v>
      </c>
      <c r="Y408" s="55">
        <f t="shared" si="63"/>
        <v>1500</v>
      </c>
      <c r="Z408" s="41">
        <f>IFERROR(IF(Y408=0,"",ROUNDUP(Y408/H408,0)*0.02175),"")</f>
        <v>2.1749999999999998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1547</v>
      </c>
      <c r="BN408" s="78">
        <f t="shared" si="65"/>
        <v>1547</v>
      </c>
      <c r="BO408" s="78">
        <f t="shared" si="66"/>
        <v>2.083333333333333</v>
      </c>
      <c r="BP408" s="78">
        <f t="shared" si="67"/>
        <v>2.083333333333333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700</v>
      </c>
      <c r="Y409" s="55">
        <f t="shared" si="63"/>
        <v>705</v>
      </c>
      <c r="Z409" s="41">
        <f>IFERROR(IF(Y409=0,"",ROUNDUP(Y409/H409,0)*0.02175),"")</f>
        <v>1.0222499999999999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721.93333333333328</v>
      </c>
      <c r="BN409" s="78">
        <f t="shared" si="65"/>
        <v>727.09</v>
      </c>
      <c r="BO409" s="78">
        <f t="shared" si="66"/>
        <v>0.9722222222222221</v>
      </c>
      <c r="BP409" s="78">
        <f t="shared" si="67"/>
        <v>0.97916666666666663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500</v>
      </c>
      <c r="Y410" s="55">
        <f t="shared" si="63"/>
        <v>510</v>
      </c>
      <c r="Z410" s="41">
        <f>IFERROR(IF(Y410=0,"",ROUNDUP(Y410/H410,0)*0.02175),"")</f>
        <v>0.73949999999999994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515.66666666666663</v>
      </c>
      <c r="BN410" s="78">
        <f t="shared" si="65"/>
        <v>525.98</v>
      </c>
      <c r="BO410" s="78">
        <f t="shared" si="66"/>
        <v>0.69444444444444442</v>
      </c>
      <c r="BP410" s="78">
        <f t="shared" si="67"/>
        <v>0.70833333333333326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63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0</v>
      </c>
      <c r="BN411" s="78">
        <f t="shared" si="65"/>
        <v>0</v>
      </c>
      <c r="BO411" s="78">
        <f t="shared" si="66"/>
        <v>0</v>
      </c>
      <c r="BP411" s="78">
        <f t="shared" si="67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10</v>
      </c>
      <c r="Y414" s="55">
        <f t="shared" si="63"/>
        <v>10</v>
      </c>
      <c r="Z414" s="41">
        <f>IFERROR(IF(Y414=0,"",ROUNDUP(Y414/H414,0)*0.00902),"")</f>
        <v>1.804E-2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10.38</v>
      </c>
      <c r="BN414" s="78">
        <f t="shared" si="65"/>
        <v>10.38</v>
      </c>
      <c r="BO414" s="78">
        <f t="shared" si="66"/>
        <v>1.5151515151515152E-2</v>
      </c>
      <c r="BP414" s="78">
        <f t="shared" si="67"/>
        <v>1.5151515151515152E-2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188.66666666666669</v>
      </c>
      <c r="Y415" s="43">
        <f>IFERROR(Y407/H407,"0")+IFERROR(Y408/H408,"0")+IFERROR(Y409/H409,"0")+IFERROR(Y410/H410,"0")+IFERROR(Y411/H411,"0")+IFERROR(Y412/H412,"0")+IFERROR(Y413/H413,"0")+IFERROR(Y414/H414,"0")</f>
        <v>190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4.1070399999999996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2810</v>
      </c>
      <c r="Y416" s="43">
        <f>IFERROR(SUM(Y407:Y414),"0")</f>
        <v>2830</v>
      </c>
      <c r="Z416" s="42"/>
      <c r="AA416" s="67"/>
      <c r="AB416" s="67"/>
      <c r="AC416" s="67"/>
    </row>
    <row r="417" spans="1:68" ht="14.25" hidden="1" customHeight="1" x14ac:dyDescent="0.25">
      <c r="A417" s="620" t="s">
        <v>167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1100</v>
      </c>
      <c r="Y418" s="55">
        <f>IFERROR(IF(X418="",0,CEILING((X418/$H418),1)*$H418),"")</f>
        <v>1110</v>
      </c>
      <c r="Z418" s="41">
        <f>IFERROR(IF(Y418=0,"",ROUNDUP(Y418/H418,0)*0.02175),"")</f>
        <v>1.6094999999999999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1134.4666666666667</v>
      </c>
      <c r="BN418" s="78">
        <f>IFERROR(Y418*I418/H418,"0")</f>
        <v>1144.78</v>
      </c>
      <c r="BO418" s="78">
        <f>IFERROR(1/J418*(X418/H418),"0")</f>
        <v>1.5277777777777777</v>
      </c>
      <c r="BP418" s="78">
        <f>IFERROR(1/J418*(Y418/H418),"0")</f>
        <v>1.5416666666666665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73.333333333333329</v>
      </c>
      <c r="Y421" s="43">
        <f>IFERROR(Y418/H418,"0")+IFERROR(Y419/H419,"0")+IFERROR(Y420/H420,"0")</f>
        <v>74</v>
      </c>
      <c r="Z421" s="43">
        <f>IFERROR(IF(Z418="",0,Z418),"0")+IFERROR(IF(Z419="",0,Z419),"0")+IFERROR(IF(Z420="",0,Z420),"0")</f>
        <v>1.6094999999999999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1100</v>
      </c>
      <c r="Y422" s="43">
        <f>IFERROR(SUM(Y418:Y420),"0")</f>
        <v>1110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20" t="s">
        <v>184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30</v>
      </c>
      <c r="Y429" s="55">
        <f>IFERROR(IF(X429="",0,CEILING((X429/$H429),1)*$H429),"")</f>
        <v>36</v>
      </c>
      <c r="Z429" s="41">
        <f>IFERROR(IF(Y429=0,"",ROUNDUP(Y429/H429,0)*0.01898),"")</f>
        <v>7.5920000000000001E-2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31.646666666666665</v>
      </c>
      <c r="BN429" s="78">
        <f>IFERROR(Y429*I429/H429,"0")</f>
        <v>37.975999999999999</v>
      </c>
      <c r="BO429" s="78">
        <f>IFERROR(1/J429*(X429/H429),"0")</f>
        <v>5.2083333333333336E-2</v>
      </c>
      <c r="BP429" s="78">
        <f>IFERROR(1/J429*(Y429/H429),"0")</f>
        <v>6.25E-2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3.3333333333333335</v>
      </c>
      <c r="Y430" s="43">
        <f>IFERROR(Y429/H429,"0")</f>
        <v>4</v>
      </c>
      <c r="Z430" s="43">
        <f>IFERROR(IF(Z429="",0,Z429),"0")</f>
        <v>7.5920000000000001E-2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30</v>
      </c>
      <c r="Y431" s="43">
        <f>IFERROR(SUM(Y429:Y429),"0")</f>
        <v>36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132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30</v>
      </c>
      <c r="Y443" s="55">
        <f>IFERROR(IF(X443="",0,CEILING((X443/$H443),1)*$H443),"")</f>
        <v>36</v>
      </c>
      <c r="Z443" s="41">
        <f>IFERROR(IF(Y443=0,"",ROUNDUP(Y443/H443,0)*0.01898),"")</f>
        <v>7.5920000000000001E-2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31.646666666666665</v>
      </c>
      <c r="BN443" s="78">
        <f>IFERROR(Y443*I443/H443,"0")</f>
        <v>37.975999999999999</v>
      </c>
      <c r="BO443" s="78">
        <f>IFERROR(1/J443*(X443/H443),"0")</f>
        <v>5.2083333333333336E-2</v>
      </c>
      <c r="BP443" s="78">
        <f>IFERROR(1/J443*(Y443/H443),"0")</f>
        <v>6.25E-2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3.3333333333333335</v>
      </c>
      <c r="Y446" s="43">
        <f>IFERROR(Y443/H443,"0")+IFERROR(Y444/H444,"0")+IFERROR(Y445/H445,"0")</f>
        <v>4</v>
      </c>
      <c r="Z446" s="43">
        <f>IFERROR(IF(Z443="",0,Z443),"0")+IFERROR(IF(Z444="",0,Z444),"0")+IFERROR(IF(Z445="",0,Z445),"0")</f>
        <v>7.5920000000000001E-2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30</v>
      </c>
      <c r="Y447" s="43">
        <f>IFERROR(SUM(Y443:Y445),"0")</f>
        <v>36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8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0</v>
      </c>
      <c r="BN455" s="78">
        <f t="shared" si="70"/>
        <v>0</v>
      </c>
      <c r="BO455" s="78">
        <f t="shared" si="71"/>
        <v>0</v>
      </c>
      <c r="BP455" s="78">
        <f t="shared" si="72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hidden="1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167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132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100</v>
      </c>
      <c r="Y478" s="55">
        <f t="shared" ref="Y478:Y486" si="73">IFERROR(IF(X478="",0,CEILING((X478/$H478),1)*$H478),"")</f>
        <v>100.32000000000001</v>
      </c>
      <c r="Z478" s="41">
        <f t="shared" ref="Z478:Z483" si="74">IFERROR(IF(Y478=0,"",ROUNDUP(Y478/H478,0)*0.01196),"")</f>
        <v>0.22724</v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106.62878787878788</v>
      </c>
      <c r="BN478" s="78">
        <f t="shared" ref="BN478:BN486" si="76">IFERROR(Y478*I478/H478,"0")</f>
        <v>106.97</v>
      </c>
      <c r="BO478" s="78">
        <f t="shared" ref="BO478:BO486" si="77">IFERROR(1/J478*(X478/H478),"0")</f>
        <v>0.18210955710955709</v>
      </c>
      <c r="BP478" s="78">
        <f t="shared" ref="BP478:BP486" si="78">IFERROR(1/J478*(Y478/H478),"0")</f>
        <v>0.18269230769230771</v>
      </c>
    </row>
    <row r="479" spans="1:68" ht="27" hidden="1" customHeight="1" x14ac:dyDescent="0.25">
      <c r="A479" s="63" t="s">
        <v>765</v>
      </c>
      <c r="B479" s="63" t="s">
        <v>766</v>
      </c>
      <c r="C479" s="36">
        <v>4301012210</v>
      </c>
      <c r="D479" s="621">
        <v>4607091383522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65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60</v>
      </c>
      <c r="Y481" s="55">
        <f t="shared" si="73"/>
        <v>63.36</v>
      </c>
      <c r="Z481" s="41">
        <f t="shared" si="74"/>
        <v>0.14352000000000001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63.977272727272727</v>
      </c>
      <c r="BN481" s="78">
        <f t="shared" si="76"/>
        <v>67.559999999999988</v>
      </c>
      <c r="BO481" s="78">
        <f t="shared" si="77"/>
        <v>0.10926573426573427</v>
      </c>
      <c r="BP481" s="78">
        <f t="shared" si="78"/>
        <v>0.11538461538461539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450</v>
      </c>
      <c r="Y483" s="55">
        <f t="shared" si="73"/>
        <v>454.08000000000004</v>
      </c>
      <c r="Z483" s="41">
        <f t="shared" si="74"/>
        <v>1.0285599999999999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479.82954545454544</v>
      </c>
      <c r="BN483" s="78">
        <f t="shared" si="76"/>
        <v>484.18</v>
      </c>
      <c r="BO483" s="78">
        <f t="shared" si="77"/>
        <v>0.81949300699300698</v>
      </c>
      <c r="BP483" s="78">
        <f t="shared" si="78"/>
        <v>0.82692307692307698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96</v>
      </c>
      <c r="Y485" s="55">
        <f t="shared" si="73"/>
        <v>96</v>
      </c>
      <c r="Z485" s="41">
        <f>IFERROR(IF(Y485=0,"",ROUNDUP(Y485/H485,0)*0.00902),"")</f>
        <v>0.1804</v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138.20000000000002</v>
      </c>
      <c r="BN485" s="78">
        <f t="shared" si="76"/>
        <v>138.20000000000002</v>
      </c>
      <c r="BO485" s="78">
        <f t="shared" si="77"/>
        <v>0.15151515151515152</v>
      </c>
      <c r="BP485" s="78">
        <f t="shared" si="78"/>
        <v>0.15151515151515152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300</v>
      </c>
      <c r="Y486" s="55">
        <f t="shared" si="73"/>
        <v>302.39999999999998</v>
      </c>
      <c r="Z486" s="41">
        <f>IFERROR(IF(Y486=0,"",ROUNDUP(Y486/H486,0)*0.00902),"")</f>
        <v>0.56825999999999999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431.875</v>
      </c>
      <c r="BN486" s="78">
        <f t="shared" si="76"/>
        <v>435.33</v>
      </c>
      <c r="BO486" s="78">
        <f t="shared" si="77"/>
        <v>0.47348484848484851</v>
      </c>
      <c r="BP486" s="78">
        <f t="shared" si="78"/>
        <v>0.47727272727272729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198.030303030303</v>
      </c>
      <c r="Y487" s="43">
        <f>IFERROR(Y478/H478,"0")+IFERROR(Y479/H479,"0")+IFERROR(Y480/H480,"0")+IFERROR(Y481/H481,"0")+IFERROR(Y482/H482,"0")+IFERROR(Y483/H483,"0")+IFERROR(Y484/H484,"0")+IFERROR(Y485/H485,"0")+IFERROR(Y486/H486,"0")</f>
        <v>200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2.14798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1006</v>
      </c>
      <c r="Y488" s="43">
        <f>IFERROR(SUM(Y478:Y486),"0")</f>
        <v>1016.16</v>
      </c>
      <c r="Z488" s="42"/>
      <c r="AA488" s="67"/>
      <c r="AB488" s="67"/>
      <c r="AC488" s="67"/>
    </row>
    <row r="489" spans="1:68" ht="14.25" hidden="1" customHeight="1" x14ac:dyDescent="0.25">
      <c r="A489" s="620" t="s">
        <v>167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360</v>
      </c>
      <c r="Y490" s="55">
        <f>IFERROR(IF(X490="",0,CEILING((X490/$H490),1)*$H490),"")</f>
        <v>364.32</v>
      </c>
      <c r="Z490" s="41">
        <f>IFERROR(IF(Y490=0,"",ROUNDUP(Y490/H490,0)*0.01196),"")</f>
        <v>0.82523999999999997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383.86363636363632</v>
      </c>
      <c r="BN490" s="78">
        <f>IFERROR(Y490*I490/H490,"0")</f>
        <v>388.46999999999997</v>
      </c>
      <c r="BO490" s="78">
        <f>IFERROR(1/J490*(X490/H490),"0")</f>
        <v>0.65559440559440552</v>
      </c>
      <c r="BP490" s="78">
        <f>IFERROR(1/J490*(Y490/H490),"0")</f>
        <v>0.66346153846153855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108</v>
      </c>
      <c r="Y492" s="55">
        <f>IFERROR(IF(X492="",0,CEILING((X492/$H492),1)*$H492),"")</f>
        <v>110.39999999999999</v>
      </c>
      <c r="Z492" s="41">
        <f>IFERROR(IF(Y492=0,"",ROUNDUP(Y492/H492,0)*0.00902),"")</f>
        <v>0.20746000000000001</v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155.47499999999999</v>
      </c>
      <c r="BN492" s="78">
        <f>IFERROR(Y492*I492/H492,"0")</f>
        <v>158.92999999999998</v>
      </c>
      <c r="BO492" s="78">
        <f>IFERROR(1/J492*(X492/H492),"0")</f>
        <v>0.17045454545454547</v>
      </c>
      <c r="BP492" s="78">
        <f>IFERROR(1/J492*(Y492/H492),"0")</f>
        <v>0.17424242424242425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90.681818181818173</v>
      </c>
      <c r="Y493" s="43">
        <f>IFERROR(Y490/H490,"0")+IFERROR(Y491/H491,"0")+IFERROR(Y492/H492,"0")</f>
        <v>92</v>
      </c>
      <c r="Z493" s="43">
        <f>IFERROR(IF(Z490="",0,Z490),"0")+IFERROR(IF(Z491="",0,Z491),"0")+IFERROR(IF(Z492="",0,Z492),"0")</f>
        <v>1.0327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468</v>
      </c>
      <c r="Y494" s="43">
        <f>IFERROR(SUM(Y490:Y492),"0")</f>
        <v>474.71999999999997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50</v>
      </c>
      <c r="Y496" s="55">
        <f t="shared" ref="Y496:Y502" si="79">IFERROR(IF(X496="",0,CEILING((X496/$H496),1)*$H496),"")</f>
        <v>52.800000000000004</v>
      </c>
      <c r="Z496" s="41">
        <f>IFERROR(IF(Y496=0,"",ROUNDUP(Y496/H496,0)*0.01196),"")</f>
        <v>0.1196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53.314393939393938</v>
      </c>
      <c r="BN496" s="78">
        <f t="shared" ref="BN496:BN502" si="81">IFERROR(Y496*I496/H496,"0")</f>
        <v>56.3</v>
      </c>
      <c r="BO496" s="78">
        <f t="shared" ref="BO496:BO502" si="82">IFERROR(1/J496*(X496/H496),"0")</f>
        <v>9.1054778554778545E-2</v>
      </c>
      <c r="BP496" s="78">
        <f t="shared" ref="BP496:BP502" si="83">IFERROR(1/J496*(Y496/H496),"0")</f>
        <v>9.6153846153846159E-2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40</v>
      </c>
      <c r="Y497" s="55">
        <f t="shared" si="79"/>
        <v>42.24</v>
      </c>
      <c r="Z497" s="41">
        <f>IFERROR(IF(Y497=0,"",ROUNDUP(Y497/H497,0)*0.01196),"")</f>
        <v>9.5680000000000001E-2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42.651515151515149</v>
      </c>
      <c r="BN497" s="78">
        <f t="shared" si="81"/>
        <v>45.04</v>
      </c>
      <c r="BO497" s="78">
        <f t="shared" si="82"/>
        <v>7.2843822843822847E-2</v>
      </c>
      <c r="BP497" s="78">
        <f t="shared" si="83"/>
        <v>7.6923076923076927E-2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180</v>
      </c>
      <c r="Y498" s="55">
        <f t="shared" si="79"/>
        <v>184.8</v>
      </c>
      <c r="Z498" s="41">
        <f>IFERROR(IF(Y498=0,"",ROUNDUP(Y498/H498,0)*0.01196),"")</f>
        <v>0.41860000000000003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191.93181818181816</v>
      </c>
      <c r="BN498" s="78">
        <f t="shared" si="81"/>
        <v>197.04999999999998</v>
      </c>
      <c r="BO498" s="78">
        <f t="shared" si="82"/>
        <v>0.32779720279720276</v>
      </c>
      <c r="BP498" s="78">
        <f t="shared" si="83"/>
        <v>0.33653846153846156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54</v>
      </c>
      <c r="Y499" s="55">
        <f t="shared" si="79"/>
        <v>57.599999999999994</v>
      </c>
      <c r="Z499" s="41">
        <f>IFERROR(IF(Y499=0,"",ROUNDUP(Y499/H499,0)*0.00902),"")</f>
        <v>0.10824</v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77.737499999999997</v>
      </c>
      <c r="BN499" s="78">
        <f t="shared" si="81"/>
        <v>82.92</v>
      </c>
      <c r="BO499" s="78">
        <f t="shared" si="82"/>
        <v>8.5227272727272735E-2</v>
      </c>
      <c r="BP499" s="78">
        <f t="shared" si="83"/>
        <v>9.0909090909090912E-2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120</v>
      </c>
      <c r="Y502" s="55">
        <f t="shared" si="79"/>
        <v>120</v>
      </c>
      <c r="Z502" s="41">
        <f>IFERROR(IF(Y502=0,"",ROUNDUP(Y502/H502,0)*0.00902),"")</f>
        <v>0.22550000000000001</v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166.75</v>
      </c>
      <c r="BN502" s="78">
        <f t="shared" si="81"/>
        <v>166.75</v>
      </c>
      <c r="BO502" s="78">
        <f t="shared" si="82"/>
        <v>0.18939393939393939</v>
      </c>
      <c r="BP502" s="78">
        <f t="shared" si="83"/>
        <v>0.18939393939393939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87.386363636363626</v>
      </c>
      <c r="Y503" s="43">
        <f>IFERROR(Y496/H496,"0")+IFERROR(Y497/H497,"0")+IFERROR(Y498/H498,"0")+IFERROR(Y499/H499,"0")+IFERROR(Y500/H500,"0")+IFERROR(Y501/H501,"0")+IFERROR(Y502/H502,"0")</f>
        <v>90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0.96762000000000004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444</v>
      </c>
      <c r="Y504" s="43">
        <f>IFERROR(SUM(Y496:Y502),"0")</f>
        <v>457.44000000000005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132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50</v>
      </c>
      <c r="Y508" s="55">
        <f>IFERROR(IF(X508="",0,CEILING((X508/$H508),1)*$H508),"")</f>
        <v>60</v>
      </c>
      <c r="Z508" s="41">
        <f>IFERROR(IF(Y508=0,"",ROUNDUP(Y508/H508,0)*0.01898),"")</f>
        <v>9.4899999999999998E-2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51.708333333333336</v>
      </c>
      <c r="BN508" s="78">
        <f>IFERROR(Y508*I508/H508,"0")</f>
        <v>62.050000000000004</v>
      </c>
      <c r="BO508" s="78">
        <f>IFERROR(1/J508*(X508/H508),"0")</f>
        <v>6.5104166666666671E-2</v>
      </c>
      <c r="BP508" s="78">
        <f>IFERROR(1/J508*(Y508/H508),"0")</f>
        <v>7.8125E-2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4.166666666666667</v>
      </c>
      <c r="Y509" s="43">
        <f>IFERROR(Y508/H508,"0")</f>
        <v>5</v>
      </c>
      <c r="Z509" s="43">
        <f>IFERROR(IF(Z508="",0,Z508),"0")</f>
        <v>9.4899999999999998E-2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50</v>
      </c>
      <c r="Y510" s="43">
        <f>IFERROR(SUM(Y508:Y508),"0")</f>
        <v>60</v>
      </c>
      <c r="Z510" s="42"/>
      <c r="AA510" s="67"/>
      <c r="AB510" s="67"/>
      <c r="AC510" s="67"/>
    </row>
    <row r="511" spans="1:68" ht="14.25" hidden="1" customHeight="1" x14ac:dyDescent="0.25">
      <c r="A511" s="620" t="s">
        <v>167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1260</v>
      </c>
      <c r="Y521" s="55">
        <f>IFERROR(IF(X521="",0,CEILING((X521/$H521),1)*$H521),"")</f>
        <v>1260</v>
      </c>
      <c r="Z521" s="41">
        <f>IFERROR(IF(Y521=0,"",ROUNDUP(Y521/H521,0)*0.01898),"")</f>
        <v>2.6572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1329.16</v>
      </c>
      <c r="BN521" s="78">
        <f>IFERROR(Y521*I521/H521,"0")</f>
        <v>1329.16</v>
      </c>
      <c r="BO521" s="78">
        <f>IFERROR(1/J521*(X521/H521),"0")</f>
        <v>2.1875</v>
      </c>
      <c r="BP521" s="78">
        <f>IFERROR(1/J521*(Y521/H521),"0")</f>
        <v>2.1875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140</v>
      </c>
      <c r="Y522" s="43">
        <f>IFERROR(Y521/H521,"0")</f>
        <v>140</v>
      </c>
      <c r="Z522" s="43">
        <f>IFERROR(IF(Z521="",0,Z521),"0")</f>
        <v>2.6572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1260</v>
      </c>
      <c r="Y523" s="43">
        <f>IFERROR(SUM(Y521:Y521),"0")</f>
        <v>1260</v>
      </c>
      <c r="Z523" s="42"/>
      <c r="AA523" s="67"/>
      <c r="AB523" s="67"/>
      <c r="AC523" s="67"/>
    </row>
    <row r="524" spans="1:68" ht="14.25" hidden="1" customHeight="1" x14ac:dyDescent="0.25">
      <c r="A524" s="620" t="s">
        <v>184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167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17467.3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17661.32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18761.051045116012</v>
      </c>
      <c r="Y535" s="43">
        <f>IFERROR(SUM(BN22:BN531),"0")</f>
        <v>18968.226000000002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32</v>
      </c>
      <c r="Y536" s="44">
        <f>ROUNDUP(SUM(BP22:BP531),0)</f>
        <v>33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19561.051045116012</v>
      </c>
      <c r="Y537" s="43">
        <f>GrossWeightTotalR+PalletQtyTotalR*25</f>
        <v>19793.226000000002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3805.353662408259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3838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37.876219999999996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130</v>
      </c>
      <c r="E541" s="616" t="s">
        <v>130</v>
      </c>
      <c r="F541" s="616" t="s">
        <v>130</v>
      </c>
      <c r="G541" s="616" t="s">
        <v>130</v>
      </c>
      <c r="H541" s="616" t="s">
        <v>130</v>
      </c>
      <c r="I541" s="616" t="s">
        <v>130</v>
      </c>
      <c r="J541" s="616" t="s">
        <v>130</v>
      </c>
      <c r="K541" s="616" t="s">
        <v>339</v>
      </c>
      <c r="L541" s="616" t="s">
        <v>339</v>
      </c>
      <c r="M541" s="616" t="s">
        <v>339</v>
      </c>
      <c r="N541" s="617"/>
      <c r="O541" s="616" t="s">
        <v>339</v>
      </c>
      <c r="P541" s="616" t="s">
        <v>339</v>
      </c>
      <c r="Q541" s="616" t="s">
        <v>339</v>
      </c>
      <c r="R541" s="616" t="s">
        <v>339</v>
      </c>
      <c r="S541" s="616" t="s">
        <v>339</v>
      </c>
      <c r="T541" s="616" t="s">
        <v>339</v>
      </c>
      <c r="U541" s="616" t="s">
        <v>339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113</v>
      </c>
      <c r="D542" s="616" t="s">
        <v>131</v>
      </c>
      <c r="E542" s="616" t="s">
        <v>147</v>
      </c>
      <c r="F542" s="616" t="s">
        <v>191</v>
      </c>
      <c r="G542" s="616" t="s">
        <v>212</v>
      </c>
      <c r="H542" s="616" t="s">
        <v>256</v>
      </c>
      <c r="I542" s="616" t="s">
        <v>268</v>
      </c>
      <c r="J542" s="616" t="s">
        <v>130</v>
      </c>
      <c r="K542" s="616" t="s">
        <v>340</v>
      </c>
      <c r="L542" s="616" t="s">
        <v>361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34.56</v>
      </c>
      <c r="D544" s="52">
        <f>IFERROR(Y52*1,"0")+IFERROR(Y53*1,"0")+IFERROR(Y54*1,"0")+IFERROR(Y55*1,"0")</f>
        <v>469.20000000000005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855</v>
      </c>
      <c r="F544" s="52">
        <f>IFERROR(Y88*1,"0")+IFERROR(Y89*1,"0")+IFERROR(Y90*1,"0")+IFERROR(Y91*1,"0")+IFERROR(Y95*1,"0")+IFERROR(Y96*1,"0")+IFERROR(Y97*1,"0")+IFERROR(Y98*1,"0")</f>
        <v>1217.7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1485</v>
      </c>
      <c r="H544" s="52">
        <f>IFERROR(Y135*1,"0")+IFERROR(Y136*1,"0")+IFERROR(Y140*1,"0")+IFERROR(Y141*1,"0")+IFERROR(Y145*1,"0")+IFERROR(Y146*1,"0")</f>
        <v>131.92000000000002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465.96000000000004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415.56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2170.5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135.89999999999998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448.8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351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1254.9000000000001</v>
      </c>
      <c r="U544" s="52">
        <f>IFERROR(Y399*1,"0")+IFERROR(Y400*1,"0")+IFERROR(Y401*1,"0")</f>
        <v>945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3976</v>
      </c>
      <c r="W544" s="52">
        <f>IFERROR(Y434*1,"0")+IFERROR(Y435*1,"0")+IFERROR(Y439*1,"0")+IFERROR(Y443*1,"0")+IFERROR(Y444*1,"0")+IFERROR(Y445*1,"0")</f>
        <v>36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1948.32</v>
      </c>
      <c r="AA544" s="52">
        <f>IFERROR(Y508*1,"0")+IFERROR(Y512*1,"0")+IFERROR(Y516*1,"0")+IFERROR(Y517*1,"0")+IFERROR(Y521*1,"0")+IFERROR(Y525*1,"0")+IFERROR(Y526*1,"0")</f>
        <v>1320</v>
      </c>
      <c r="AB544" s="52">
        <f>IFERROR(Y531*1,"0")</f>
        <v>0</v>
      </c>
      <c r="AC544" s="60"/>
      <c r="AF544" s="1"/>
    </row>
  </sheetData>
  <sheetProtection algorithmName="SHA-512" hashValue="3kQ37mIpbZwMRS5rsZJ6K+byMV/p67UJpbn5dyRYs0U37uXL4zG6u6EkQepxtMZsWe+Xkt7dNz1/mqCrOg/tyQ==" saltValue="8Gyvd9P6ZOxXmjuQXwhy6g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6,00"/>
        <filter val="1 010,00"/>
        <filter val="1 100,00"/>
        <filter val="1 260,00"/>
        <filter val="1 340,00"/>
        <filter val="1 500,00"/>
        <filter val="10,00"/>
        <filter val="100,00"/>
        <filter val="105,00"/>
        <filter val="108,00"/>
        <filter val="108,52"/>
        <filter val="110,00"/>
        <filter val="12,50"/>
        <filter val="12,78"/>
        <filter val="120,00"/>
        <filter val="125,73"/>
        <filter val="13,89"/>
        <filter val="135,00"/>
        <filter val="140,00"/>
        <filter val="144,00"/>
        <filter val="15,00"/>
        <filter val="158,00"/>
        <filter val="16,00"/>
        <filter val="16,67"/>
        <filter val="17 467,30"/>
        <filter val="17,50"/>
        <filter val="170,00"/>
        <filter val="170,29"/>
        <filter val="174,69"/>
        <filter val="18 761,05"/>
        <filter val="18,00"/>
        <filter val="180,00"/>
        <filter val="186,19"/>
        <filter val="186,67"/>
        <filter val="188,67"/>
        <filter val="19 561,05"/>
        <filter val="198,03"/>
        <filter val="2 810,00"/>
        <filter val="2,50"/>
        <filter val="20,00"/>
        <filter val="20,50"/>
        <filter val="200,00"/>
        <filter val="209,63"/>
        <filter val="235,00"/>
        <filter val="24,00"/>
        <filter val="240,00"/>
        <filter val="25,00"/>
        <filter val="253,40"/>
        <filter val="264,00"/>
        <filter val="27,00"/>
        <filter val="280,00"/>
        <filter val="3 805,35"/>
        <filter val="3,33"/>
        <filter val="3,50"/>
        <filter val="30,00"/>
        <filter val="300,00"/>
        <filter val="32"/>
        <filter val="32,00"/>
        <filter val="340,00"/>
        <filter val="35,00"/>
        <filter val="36,00"/>
        <filter val="360,00"/>
        <filter val="379,80"/>
        <filter val="4,00"/>
        <filter val="4,17"/>
        <filter val="4,50"/>
        <filter val="4,80"/>
        <filter val="40,00"/>
        <filter val="400,00"/>
        <filter val="405,00"/>
        <filter val="42,00"/>
        <filter val="420,00"/>
        <filter val="43,59"/>
        <filter val="435,00"/>
        <filter val="44,80"/>
        <filter val="444,00"/>
        <filter val="448,00"/>
        <filter val="45,00"/>
        <filter val="450,00"/>
        <filter val="455,80"/>
        <filter val="46,20"/>
        <filter val="464,00"/>
        <filter val="467,82"/>
        <filter val="468,00"/>
        <filter val="48,00"/>
        <filter val="49,50"/>
        <filter val="5,13"/>
        <filter val="5,56"/>
        <filter val="50,00"/>
        <filter val="50,40"/>
        <filter val="500,00"/>
        <filter val="525,00"/>
        <filter val="54,00"/>
        <filter val="560,00"/>
        <filter val="59,26"/>
        <filter val="6,48"/>
        <filter val="6,67"/>
        <filter val="60,00"/>
        <filter val="600,00"/>
        <filter val="605,00"/>
        <filter val="61,60"/>
        <filter val="664,00"/>
        <filter val="7,00"/>
        <filter val="7,20"/>
        <filter val="70,00"/>
        <filter val="700,00"/>
        <filter val="73,33"/>
        <filter val="76,67"/>
        <filter val="80,00"/>
        <filter val="84,52"/>
        <filter val="87,39"/>
        <filter val="88,00"/>
        <filter val="90,00"/>
        <filter val="90,68"/>
        <filter val="92,78"/>
        <filter val="945,00"/>
        <filter val="96,00"/>
        <filter val="98,52"/>
        <filter val="995,00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ov7K7EqTgPkcWVK8FohYaO4RXg+5oYgs//Wqo9rin5GIoaRguUdlNrzT6H+H+w7tcTG9Sr9E6cmSfOaSfCm9rQ==" saltValue="EIqJWcv12f9so/HEEtlvR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2026-07-08T11:12:28Z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