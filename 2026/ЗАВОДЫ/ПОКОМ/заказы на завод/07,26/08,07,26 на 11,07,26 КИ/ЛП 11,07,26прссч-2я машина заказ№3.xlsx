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0896FBE-AC26-4D61-A2DE-4EED255D219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Z508" i="2" s="1"/>
  <c r="Z509" i="2" s="1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P434" i="2"/>
  <c r="X431" i="2"/>
  <c r="X430" i="2"/>
  <c r="BO429" i="2"/>
  <c r="BM429" i="2"/>
  <c r="Y429" i="2"/>
  <c r="Y431" i="2" s="1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Y343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N334" i="2" s="1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Y186" i="2" s="1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N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Y155" i="2" s="1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BP89" i="2" s="1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Y67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Y396" i="2" l="1"/>
  <c r="Y57" i="2"/>
  <c r="Z66" i="2"/>
  <c r="Z334" i="2"/>
  <c r="Z193" i="2"/>
  <c r="Z194" i="2" s="1"/>
  <c r="Z454" i="2"/>
  <c r="Z170" i="2"/>
  <c r="BN170" i="2"/>
  <c r="Z232" i="2"/>
  <c r="BN232" i="2"/>
  <c r="Z367" i="2"/>
  <c r="Z485" i="2"/>
  <c r="BN485" i="2"/>
  <c r="X538" i="2"/>
  <c r="Z32" i="2"/>
  <c r="BP219" i="2"/>
  <c r="BP293" i="2"/>
  <c r="BP341" i="2"/>
  <c r="Z401" i="2"/>
  <c r="BN401" i="2"/>
  <c r="Z471" i="2"/>
  <c r="BN471" i="2"/>
  <c r="Z502" i="2"/>
  <c r="Y302" i="2"/>
  <c r="Y474" i="2"/>
  <c r="Y513" i="2"/>
  <c r="Z43" i="2"/>
  <c r="BN43" i="2"/>
  <c r="Z89" i="2"/>
  <c r="BN89" i="2"/>
  <c r="Z169" i="2"/>
  <c r="BP174" i="2"/>
  <c r="BP184" i="2"/>
  <c r="Z204" i="2"/>
  <c r="BN204" i="2"/>
  <c r="Z225" i="2"/>
  <c r="BN225" i="2"/>
  <c r="BP272" i="2"/>
  <c r="Y337" i="2"/>
  <c r="Z336" i="2"/>
  <c r="BN336" i="2"/>
  <c r="Z347" i="2"/>
  <c r="BN347" i="2"/>
  <c r="BP385" i="2"/>
  <c r="Z429" i="2"/>
  <c r="Z430" i="2" s="1"/>
  <c r="Y430" i="2"/>
  <c r="Z435" i="2"/>
  <c r="Z470" i="2"/>
  <c r="Z483" i="2"/>
  <c r="BN46" i="2"/>
  <c r="BP78" i="2"/>
  <c r="BP136" i="2"/>
  <c r="BN175" i="2"/>
  <c r="BN189" i="2"/>
  <c r="BN199" i="2"/>
  <c r="Y25" i="2"/>
  <c r="BP32" i="2"/>
  <c r="BN55" i="2"/>
  <c r="Z60" i="2"/>
  <c r="BP66" i="2"/>
  <c r="BN71" i="2"/>
  <c r="Z78" i="2"/>
  <c r="Z82" i="2"/>
  <c r="BN108" i="2"/>
  <c r="BN115" i="2"/>
  <c r="BN123" i="2"/>
  <c r="Y131" i="2"/>
  <c r="Z136" i="2"/>
  <c r="Y138" i="2"/>
  <c r="Y166" i="2"/>
  <c r="BP169" i="2"/>
  <c r="Z172" i="2"/>
  <c r="BN172" i="2"/>
  <c r="Y207" i="2"/>
  <c r="Z214" i="2"/>
  <c r="BN214" i="2"/>
  <c r="BN215" i="2"/>
  <c r="BP239" i="2"/>
  <c r="BN240" i="2"/>
  <c r="BN250" i="2"/>
  <c r="Z255" i="2"/>
  <c r="BN255" i="2"/>
  <c r="BN260" i="2"/>
  <c r="Z265" i="2"/>
  <c r="BN265" i="2"/>
  <c r="BN278" i="2"/>
  <c r="BN285" i="2"/>
  <c r="BN301" i="2"/>
  <c r="BN311" i="2"/>
  <c r="BN325" i="2"/>
  <c r="Z333" i="2"/>
  <c r="BP334" i="2"/>
  <c r="Z355" i="2"/>
  <c r="BN355" i="2"/>
  <c r="BN358" i="2"/>
  <c r="Z375" i="2"/>
  <c r="Z387" i="2"/>
  <c r="BN410" i="2"/>
  <c r="BN418" i="2"/>
  <c r="Y421" i="2"/>
  <c r="Z425" i="2"/>
  <c r="Y427" i="2"/>
  <c r="BN452" i="2"/>
  <c r="Z460" i="2"/>
  <c r="Z462" i="2" s="1"/>
  <c r="BP470" i="2"/>
  <c r="Z479" i="2"/>
  <c r="BP483" i="2"/>
  <c r="BP497" i="2"/>
  <c r="BP500" i="2"/>
  <c r="BN512" i="2"/>
  <c r="BN517" i="2"/>
  <c r="BN118" i="2"/>
  <c r="BN125" i="2"/>
  <c r="BN182" i="2"/>
  <c r="BN217" i="2"/>
  <c r="BN220" i="2"/>
  <c r="BN227" i="2"/>
  <c r="BN244" i="2"/>
  <c r="BN275" i="2"/>
  <c r="BN280" i="2"/>
  <c r="BN291" i="2"/>
  <c r="BN294" i="2"/>
  <c r="BN317" i="2"/>
  <c r="BN363" i="2"/>
  <c r="BP375" i="2"/>
  <c r="BN380" i="2"/>
  <c r="BN408" i="2"/>
  <c r="BN413" i="2"/>
  <c r="BN420" i="2"/>
  <c r="BP425" i="2"/>
  <c r="Y447" i="2"/>
  <c r="BN453" i="2"/>
  <c r="BP460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02" i="2" s="1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Z436" i="2" s="1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Y47" i="2"/>
  <c r="Y111" i="2"/>
  <c r="Z116" i="2"/>
  <c r="BN173" i="2"/>
  <c r="BP173" i="2"/>
  <c r="Y190" i="2"/>
  <c r="BP188" i="2"/>
  <c r="BN188" i="2"/>
  <c r="Z188" i="2"/>
  <c r="Z190" i="2" s="1"/>
  <c r="BP30" i="2"/>
  <c r="BN30" i="2"/>
  <c r="Y74" i="2"/>
  <c r="X536" i="2"/>
  <c r="X537" i="2" s="1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64" i="2"/>
  <c r="Z274" i="2"/>
  <c r="Z295" i="2"/>
  <c r="Z318" i="2"/>
  <c r="Z354" i="2"/>
  <c r="Z364" i="2"/>
  <c r="Z374" i="2"/>
  <c r="Z409" i="2"/>
  <c r="Z419" i="2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Z382" i="2" s="1"/>
  <c r="BN414" i="2"/>
  <c r="Z424" i="2"/>
  <c r="Z426" i="2" s="1"/>
  <c r="BN451" i="2"/>
  <c r="BN461" i="2"/>
  <c r="Z472" i="2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137" i="2" s="1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Z84" i="2" s="1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Z457" i="2" l="1"/>
  <c r="Z389" i="2"/>
  <c r="Z395" i="2"/>
  <c r="Z298" i="2"/>
  <c r="Z110" i="2"/>
  <c r="Z421" i="2"/>
  <c r="Z79" i="2"/>
  <c r="Z473" i="2"/>
  <c r="Z185" i="2"/>
  <c r="Z446" i="2"/>
  <c r="Z342" i="2"/>
  <c r="Z251" i="2"/>
  <c r="Y538" i="2"/>
  <c r="Z161" i="2"/>
  <c r="Z328" i="2"/>
  <c r="Z321" i="2"/>
  <c r="Z99" i="2"/>
  <c r="Z74" i="2"/>
  <c r="Z56" i="2"/>
  <c r="Z349" i="2"/>
  <c r="Z256" i="2"/>
  <c r="Z127" i="2"/>
  <c r="Z287" i="2"/>
  <c r="Z24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<sst xmlns="http://schemas.openxmlformats.org/spreadsheetml/2006/main" count="4048" uniqueCount="861">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</sst>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860</v>
      </c>
      <c r="I5" s="621"/>
      <c r="J5" s="621"/>
      <c r="K5" s="621"/>
      <c r="L5" s="621"/>
      <c r="M5" s="621"/>
      <c r="N5" s="72"/>
      <c r="P5" s="27" t="s">
        <v>4</v>
      </c>
      <c r="Q5" s="623">
        <v>46214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Суббота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hidden="1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45</v>
      </c>
      <c r="Y30" s="55">
        <f t="shared" si="0"/>
        <v>45</v>
      </c>
      <c r="Z30" s="41">
        <f t="shared" si="1"/>
        <v>0.16275000000000001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79.5</v>
      </c>
      <c r="BN30" s="78">
        <f t="shared" si="3"/>
        <v>79.5</v>
      </c>
      <c r="BO30" s="78">
        <f t="shared" si="4"/>
        <v>0.13736263736263737</v>
      </c>
      <c r="BP30" s="78">
        <f t="shared" si="5"/>
        <v>0.13736263736263737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87">
        <v>4680115887657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70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87">
        <v>4680115887619</v>
      </c>
      <c r="E32" s="68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9"/>
      <c r="R32" s="689"/>
      <c r="S32" s="689"/>
      <c r="T32" s="690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39</v>
      </c>
      <c r="X33" s="43">
        <f>IFERROR(X27/H27,"0")+IFERROR(X28/H28,"0")+IFERROR(X29/H29,"0")+IFERROR(X30/H30,"0")+IFERROR(X31/H31,"0")+IFERROR(X32/H32,"0")</f>
        <v>25</v>
      </c>
      <c r="Y33" s="43">
        <f>IFERROR(Y27/H27,"0")+IFERROR(Y28/H28,"0")+IFERROR(Y29/H29,"0")+IFERROR(Y30/H30,"0")+IFERROR(Y31/H31,"0")+IFERROR(Y32/H32,"0")</f>
        <v>25</v>
      </c>
      <c r="Z33" s="43">
        <f>IFERROR(IF(Z27="",0,Z27),"0")+IFERROR(IF(Z28="",0,Z28),"0")+IFERROR(IF(Z29="",0,Z29),"0")+IFERROR(IF(Z30="",0,Z30),"0")+IFERROR(IF(Z31="",0,Z31),"0")+IFERROR(IF(Z32="",0,Z32),"0")</f>
        <v>0.16275000000000001</v>
      </c>
      <c r="AA33" s="67"/>
      <c r="AB33" s="67"/>
      <c r="AC33" s="67"/>
    </row>
    <row r="34" spans="1:68" x14ac:dyDescent="0.2">
      <c r="A34" s="695"/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6"/>
      <c r="P34" s="692" t="s">
        <v>40</v>
      </c>
      <c r="Q34" s="693"/>
      <c r="R34" s="693"/>
      <c r="S34" s="693"/>
      <c r="T34" s="693"/>
      <c r="U34" s="693"/>
      <c r="V34" s="694"/>
      <c r="W34" s="42" t="s">
        <v>0</v>
      </c>
      <c r="X34" s="43">
        <f>IFERROR(SUM(X27:X32),"0")</f>
        <v>45</v>
      </c>
      <c r="Y34" s="43">
        <f>IFERROR(SUM(Y27:Y32),"0")</f>
        <v>45</v>
      </c>
      <c r="Z34" s="42"/>
      <c r="AA34" s="67"/>
      <c r="AB34" s="67"/>
      <c r="AC34" s="67"/>
    </row>
    <row r="35" spans="1:68" ht="14.25" hidden="1" customHeight="1" x14ac:dyDescent="0.25">
      <c r="A35" s="686" t="s">
        <v>107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6"/>
      <c r="N35" s="686"/>
      <c r="O35" s="686"/>
      <c r="P35" s="686"/>
      <c r="Q35" s="686"/>
      <c r="R35" s="686"/>
      <c r="S35" s="686"/>
      <c r="T35" s="686"/>
      <c r="U35" s="686"/>
      <c r="V35" s="686"/>
      <c r="W35" s="686"/>
      <c r="X35" s="686"/>
      <c r="Y35" s="686"/>
      <c r="Z35" s="686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87">
        <v>4607091388503</v>
      </c>
      <c r="E36" s="68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9"/>
      <c r="R36" s="689"/>
      <c r="S36" s="689"/>
      <c r="T36" s="69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95"/>
      <c r="B38" s="695"/>
      <c r="C38" s="695"/>
      <c r="D38" s="695"/>
      <c r="E38" s="695"/>
      <c r="F38" s="695"/>
      <c r="G38" s="695"/>
      <c r="H38" s="695"/>
      <c r="I38" s="695"/>
      <c r="J38" s="695"/>
      <c r="K38" s="695"/>
      <c r="L38" s="695"/>
      <c r="M38" s="695"/>
      <c r="N38" s="695"/>
      <c r="O38" s="696"/>
      <c r="P38" s="692" t="s">
        <v>40</v>
      </c>
      <c r="Q38" s="693"/>
      <c r="R38" s="693"/>
      <c r="S38" s="693"/>
      <c r="T38" s="693"/>
      <c r="U38" s="693"/>
      <c r="V38" s="694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84" t="s">
        <v>45</v>
      </c>
      <c r="B39" s="684"/>
      <c r="C39" s="684"/>
      <c r="D39" s="684"/>
      <c r="E39" s="684"/>
      <c r="F39" s="684"/>
      <c r="G39" s="684"/>
      <c r="H39" s="684"/>
      <c r="I39" s="684"/>
      <c r="J39" s="684"/>
      <c r="K39" s="684"/>
      <c r="L39" s="684"/>
      <c r="M39" s="684"/>
      <c r="N39" s="684"/>
      <c r="O39" s="684"/>
      <c r="P39" s="684"/>
      <c r="Q39" s="684"/>
      <c r="R39" s="684"/>
      <c r="S39" s="684"/>
      <c r="T39" s="684"/>
      <c r="U39" s="684"/>
      <c r="V39" s="684"/>
      <c r="W39" s="684"/>
      <c r="X39" s="684"/>
      <c r="Y39" s="684"/>
      <c r="Z39" s="684"/>
      <c r="AA39" s="54"/>
      <c r="AB39" s="54"/>
      <c r="AC39" s="54"/>
    </row>
    <row r="40" spans="1:68" ht="16.5" hidden="1" customHeight="1" x14ac:dyDescent="0.25">
      <c r="A40" s="685" t="s">
        <v>113</v>
      </c>
      <c r="B40" s="685"/>
      <c r="C40" s="685"/>
      <c r="D40" s="685"/>
      <c r="E40" s="685"/>
      <c r="F40" s="685"/>
      <c r="G40" s="685"/>
      <c r="H40" s="685"/>
      <c r="I40" s="685"/>
      <c r="J40" s="685"/>
      <c r="K40" s="685"/>
      <c r="L40" s="685"/>
      <c r="M40" s="685"/>
      <c r="N40" s="685"/>
      <c r="O40" s="685"/>
      <c r="P40" s="685"/>
      <c r="Q40" s="685"/>
      <c r="R40" s="685"/>
      <c r="S40" s="685"/>
      <c r="T40" s="685"/>
      <c r="U40" s="685"/>
      <c r="V40" s="685"/>
      <c r="W40" s="685"/>
      <c r="X40" s="685"/>
      <c r="Y40" s="685"/>
      <c r="Z40" s="685"/>
      <c r="AA40" s="65"/>
      <c r="AB40" s="65"/>
      <c r="AC40" s="79"/>
    </row>
    <row r="41" spans="1:68" ht="14.25" hidden="1" customHeight="1" x14ac:dyDescent="0.25">
      <c r="A41" s="686" t="s">
        <v>86</v>
      </c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6"/>
      <c r="N41" s="686"/>
      <c r="O41" s="686"/>
      <c r="P41" s="686"/>
      <c r="Q41" s="686"/>
      <c r="R41" s="686"/>
      <c r="S41" s="686"/>
      <c r="T41" s="686"/>
      <c r="U41" s="686"/>
      <c r="V41" s="686"/>
      <c r="W41" s="686"/>
      <c r="X41" s="686"/>
      <c r="Y41" s="686"/>
      <c r="Z41" s="686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4301052187</v>
      </c>
      <c r="D42" s="687">
        <v>4680115889354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4301052198</v>
      </c>
      <c r="D43" s="687">
        <v>4680115888463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4301052202</v>
      </c>
      <c r="D44" s="687">
        <v>4680115888494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4301052184</v>
      </c>
      <c r="D45" s="687">
        <v>4680115888272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hidden="1" customHeight="1" x14ac:dyDescent="0.25">
      <c r="A46" s="63" t="s">
        <v>127</v>
      </c>
      <c r="B46" s="63" t="s">
        <v>128</v>
      </c>
      <c r="C46" s="36">
        <v>4301052188</v>
      </c>
      <c r="D46" s="687">
        <v>4680115888364</v>
      </c>
      <c r="E46" s="687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89"/>
      <c r="R46" s="689"/>
      <c r="S46" s="689"/>
      <c r="T46" s="690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hidden="1" x14ac:dyDescent="0.2">
      <c r="A48" s="695"/>
      <c r="B48" s="695"/>
      <c r="C48" s="695"/>
      <c r="D48" s="695"/>
      <c r="E48" s="695"/>
      <c r="F48" s="695"/>
      <c r="G48" s="695"/>
      <c r="H48" s="695"/>
      <c r="I48" s="695"/>
      <c r="J48" s="695"/>
      <c r="K48" s="695"/>
      <c r="L48" s="695"/>
      <c r="M48" s="695"/>
      <c r="N48" s="695"/>
      <c r="O48" s="696"/>
      <c r="P48" s="692" t="s">
        <v>40</v>
      </c>
      <c r="Q48" s="693"/>
      <c r="R48" s="693"/>
      <c r="S48" s="693"/>
      <c r="T48" s="693"/>
      <c r="U48" s="693"/>
      <c r="V48" s="694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hidden="1" customHeight="1" x14ac:dyDescent="0.2">
      <c r="A49" s="684" t="s">
        <v>130</v>
      </c>
      <c r="B49" s="684"/>
      <c r="C49" s="684"/>
      <c r="D49" s="684"/>
      <c r="E49" s="684"/>
      <c r="F49" s="684"/>
      <c r="G49" s="684"/>
      <c r="H49" s="684"/>
      <c r="I49" s="684"/>
      <c r="J49" s="684"/>
      <c r="K49" s="684"/>
      <c r="L49" s="684"/>
      <c r="M49" s="684"/>
      <c r="N49" s="684"/>
      <c r="O49" s="684"/>
      <c r="P49" s="684"/>
      <c r="Q49" s="684"/>
      <c r="R49" s="684"/>
      <c r="S49" s="684"/>
      <c r="T49" s="684"/>
      <c r="U49" s="684"/>
      <c r="V49" s="684"/>
      <c r="W49" s="684"/>
      <c r="X49" s="684"/>
      <c r="Y49" s="684"/>
      <c r="Z49" s="684"/>
      <c r="AA49" s="54"/>
      <c r="AB49" s="54"/>
      <c r="AC49" s="54"/>
    </row>
    <row r="50" spans="1:68" ht="16.5" hidden="1" customHeight="1" x14ac:dyDescent="0.25">
      <c r="A50" s="685" t="s">
        <v>131</v>
      </c>
      <c r="B50" s="685"/>
      <c r="C50" s="685"/>
      <c r="D50" s="685"/>
      <c r="E50" s="685"/>
      <c r="F50" s="685"/>
      <c r="G50" s="685"/>
      <c r="H50" s="685"/>
      <c r="I50" s="685"/>
      <c r="J50" s="685"/>
      <c r="K50" s="685"/>
      <c r="L50" s="685"/>
      <c r="M50" s="685"/>
      <c r="N50" s="685"/>
      <c r="O50" s="685"/>
      <c r="P50" s="685"/>
      <c r="Q50" s="685"/>
      <c r="R50" s="685"/>
      <c r="S50" s="685"/>
      <c r="T50" s="685"/>
      <c r="U50" s="685"/>
      <c r="V50" s="685"/>
      <c r="W50" s="685"/>
      <c r="X50" s="685"/>
      <c r="Y50" s="685"/>
      <c r="Z50" s="685"/>
      <c r="AA50" s="65"/>
      <c r="AB50" s="65"/>
      <c r="AC50" s="79"/>
    </row>
    <row r="51" spans="1:68" ht="14.25" hidden="1" customHeight="1" x14ac:dyDescent="0.25">
      <c r="A51" s="686" t="s">
        <v>132</v>
      </c>
      <c r="B51" s="686"/>
      <c r="C51" s="686"/>
      <c r="D51" s="686"/>
      <c r="E51" s="686"/>
      <c r="F51" s="686"/>
      <c r="G51" s="686"/>
      <c r="H51" s="686"/>
      <c r="I51" s="686"/>
      <c r="J51" s="686"/>
      <c r="K51" s="686"/>
      <c r="L51" s="686"/>
      <c r="M51" s="686"/>
      <c r="N51" s="686"/>
      <c r="O51" s="686"/>
      <c r="P51" s="686"/>
      <c r="Q51" s="686"/>
      <c r="R51" s="686"/>
      <c r="S51" s="686"/>
      <c r="T51" s="686"/>
      <c r="U51" s="686"/>
      <c r="V51" s="686"/>
      <c r="W51" s="686"/>
      <c r="X51" s="686"/>
      <c r="Y51" s="686"/>
      <c r="Z51" s="686"/>
      <c r="AA51" s="66"/>
      <c r="AB51" s="66"/>
      <c r="AC51" s="80"/>
    </row>
    <row r="52" spans="1:68" ht="16.5" hidden="1" customHeight="1" x14ac:dyDescent="0.25">
      <c r="A52" s="63" t="s">
        <v>133</v>
      </c>
      <c r="B52" s="63" t="s">
        <v>134</v>
      </c>
      <c r="C52" s="36">
        <v>4301011380</v>
      </c>
      <c r="D52" s="687">
        <v>4607091385670</v>
      </c>
      <c r="E52" s="687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IFERROR(IF(Y52=0,"",ROUNDUP(Y52/H52,0)*0.01898),"")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4301012053</v>
      </c>
      <c r="D53" s="687">
        <v>4680115887725</v>
      </c>
      <c r="E53" s="687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87">
        <v>4607091385687</v>
      </c>
      <c r="E54" s="687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68</v>
      </c>
      <c r="Y54" s="55">
        <f>IFERROR(IF(X54="",0,CEILING((X54/$H54),1)*$H54),"")</f>
        <v>68</v>
      </c>
      <c r="Z54" s="41">
        <f>IFERROR(IF(Y54=0,"",ROUNDUP(Y54/H54,0)*0.00902),"")</f>
        <v>0.15334</v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71.23</v>
      </c>
      <c r="BN54" s="78">
        <f>IFERROR(Y54*I54/H54,"0")</f>
        <v>71.23</v>
      </c>
      <c r="BO54" s="78">
        <f>IFERROR(1/J54*(X54/H54),"0")</f>
        <v>0.12878787878787878</v>
      </c>
      <c r="BP54" s="78">
        <f>IFERROR(1/J54*(Y54/H54),"0")</f>
        <v>0.12878787878787878</v>
      </c>
    </row>
    <row r="55" spans="1:68" ht="27" hidden="1" customHeight="1" x14ac:dyDescent="0.25">
      <c r="A55" s="63" t="s">
        <v>145</v>
      </c>
      <c r="B55" s="63" t="s">
        <v>146</v>
      </c>
      <c r="C55" s="36">
        <v>4301011565</v>
      </c>
      <c r="D55" s="687">
        <v>4680115882539</v>
      </c>
      <c r="E55" s="687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89"/>
      <c r="R55" s="689"/>
      <c r="S55" s="689"/>
      <c r="T55" s="690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39</v>
      </c>
      <c r="X56" s="43">
        <f>IFERROR(X52/H52,"0")+IFERROR(X53/H53,"0")+IFERROR(X54/H54,"0")+IFERROR(X55/H55,"0")</f>
        <v>17</v>
      </c>
      <c r="Y56" s="43">
        <f>IFERROR(Y52/H52,"0")+IFERROR(Y53/H53,"0")+IFERROR(Y54/H54,"0")+IFERROR(Y55/H55,"0")</f>
        <v>17</v>
      </c>
      <c r="Z56" s="43">
        <f>IFERROR(IF(Z52="",0,Z52),"0")+IFERROR(IF(Z53="",0,Z53),"0")+IFERROR(IF(Z54="",0,Z54),"0")+IFERROR(IF(Z55="",0,Z55),"0")</f>
        <v>0.15334</v>
      </c>
      <c r="AA56" s="67"/>
      <c r="AB56" s="67"/>
      <c r="AC56" s="67"/>
    </row>
    <row r="57" spans="1:68" x14ac:dyDescent="0.2">
      <c r="A57" s="695"/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6"/>
      <c r="P57" s="692" t="s">
        <v>40</v>
      </c>
      <c r="Q57" s="693"/>
      <c r="R57" s="693"/>
      <c r="S57" s="693"/>
      <c r="T57" s="693"/>
      <c r="U57" s="693"/>
      <c r="V57" s="694"/>
      <c r="W57" s="42" t="s">
        <v>0</v>
      </c>
      <c r="X57" s="43">
        <f>IFERROR(SUM(X52:X55),"0")</f>
        <v>68</v>
      </c>
      <c r="Y57" s="43">
        <f>IFERROR(SUM(Y52:Y55),"0")</f>
        <v>68</v>
      </c>
      <c r="Z57" s="42"/>
      <c r="AA57" s="67"/>
      <c r="AB57" s="67"/>
      <c r="AC57" s="67"/>
    </row>
    <row r="58" spans="1:68" ht="16.5" hidden="1" customHeight="1" x14ac:dyDescent="0.25">
      <c r="A58" s="685" t="s">
        <v>147</v>
      </c>
      <c r="B58" s="685"/>
      <c r="C58" s="685"/>
      <c r="D58" s="685"/>
      <c r="E58" s="685"/>
      <c r="F58" s="685"/>
      <c r="G58" s="685"/>
      <c r="H58" s="685"/>
      <c r="I58" s="685"/>
      <c r="J58" s="685"/>
      <c r="K58" s="685"/>
      <c r="L58" s="685"/>
      <c r="M58" s="685"/>
      <c r="N58" s="685"/>
      <c r="O58" s="685"/>
      <c r="P58" s="685"/>
      <c r="Q58" s="685"/>
      <c r="R58" s="685"/>
      <c r="S58" s="685"/>
      <c r="T58" s="685"/>
      <c r="U58" s="685"/>
      <c r="V58" s="685"/>
      <c r="W58" s="685"/>
      <c r="X58" s="685"/>
      <c r="Y58" s="685"/>
      <c r="Z58" s="685"/>
      <c r="AA58" s="65"/>
      <c r="AB58" s="65"/>
      <c r="AC58" s="79"/>
    </row>
    <row r="59" spans="1:68" ht="14.25" hidden="1" customHeight="1" x14ac:dyDescent="0.25">
      <c r="A59" s="686" t="s">
        <v>132</v>
      </c>
      <c r="B59" s="686"/>
      <c r="C59" s="686"/>
      <c r="D59" s="686"/>
      <c r="E59" s="686"/>
      <c r="F59" s="686"/>
      <c r="G59" s="686"/>
      <c r="H59" s="686"/>
      <c r="I59" s="686"/>
      <c r="J59" s="686"/>
      <c r="K59" s="686"/>
      <c r="L59" s="686"/>
      <c r="M59" s="686"/>
      <c r="N59" s="686"/>
      <c r="O59" s="686"/>
      <c r="P59" s="686"/>
      <c r="Q59" s="686"/>
      <c r="R59" s="686"/>
      <c r="S59" s="686"/>
      <c r="T59" s="686"/>
      <c r="U59" s="686"/>
      <c r="V59" s="686"/>
      <c r="W59" s="686"/>
      <c r="X59" s="686"/>
      <c r="Y59" s="686"/>
      <c r="Z59" s="686"/>
      <c r="AA59" s="66"/>
      <c r="AB59" s="66"/>
      <c r="AC59" s="80"/>
    </row>
    <row r="60" spans="1:68" ht="27" hidden="1" customHeight="1" x14ac:dyDescent="0.25">
      <c r="A60" s="63" t="s">
        <v>148</v>
      </c>
      <c r="B60" s="63" t="s">
        <v>149</v>
      </c>
      <c r="C60" s="36">
        <v>4301012030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4301012161</v>
      </c>
      <c r="D61" s="687">
        <v>4680115885882</v>
      </c>
      <c r="E61" s="687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4301011816</v>
      </c>
      <c r="D62" s="687">
        <v>4680115881426</v>
      </c>
      <c r="E62" s="687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IFERROR(IF(Y62=0,"",ROUNDUP(Y62/H62,0)*0.01898),"")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4301011386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89"/>
      <c r="R63" s="689"/>
      <c r="S63" s="689"/>
      <c r="T63" s="69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159</v>
      </c>
      <c r="B64" s="63" t="s">
        <v>160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hidden="1" customHeight="1" x14ac:dyDescent="0.25">
      <c r="A66" s="63" t="s">
        <v>164</v>
      </c>
      <c r="B66" s="63" t="s">
        <v>165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hidden="1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IFERROR(X60/H60,"0")+IFERROR(X61/H61,"0")+IFERROR(X62/H62,"0")+IFERROR(X63/H63,"0")+IFERROR(X64/H64,"0")+IFERROR(X65/H65,"0")+IFERROR(X66/H66,"0")</f>
        <v>0</v>
      </c>
      <c r="Y67" s="43">
        <f>IFERROR(Y60/H60,"0")+IFERROR(Y61/H61,"0")+IFERROR(Y62/H62,"0")+IFERROR(Y63/H63,"0")+IFERROR(Y64/H64,"0")+IFERROR(Y65/H65,"0")+IFERROR(Y66/H66,"0")</f>
        <v>0</v>
      </c>
      <c r="Z67" s="43">
        <f>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IFERROR(SUM(X60:X66),"0")</f>
        <v>0</v>
      </c>
      <c r="Y68" s="43">
        <f>IFERROR(SUM(Y60:Y66),"0")</f>
        <v>0</v>
      </c>
      <c r="Z68" s="42"/>
      <c r="AA68" s="67"/>
      <c r="AB68" s="67"/>
      <c r="AC68" s="67"/>
    </row>
    <row r="69" spans="1:68" ht="14.25" hidden="1" customHeight="1" x14ac:dyDescent="0.25">
      <c r="A69" s="686" t="s">
        <v>167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hidden="1" customHeight="1" x14ac:dyDescent="0.25">
      <c r="A70" s="63" t="s">
        <v>168</v>
      </c>
      <c r="B70" s="63" t="s">
        <v>169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171</v>
      </c>
      <c r="B71" s="63" t="s">
        <v>172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76.5</v>
      </c>
      <c r="Y73" s="55">
        <f>IFERROR(IF(X73="",0,CEILING((X73/$H73),1)*$H73),"")</f>
        <v>78.300000000000011</v>
      </c>
      <c r="Z73" s="41">
        <f>IFERROR(IF(Y73=0,"",ROUNDUP(Y73/H73,0)*0.00651),"")</f>
        <v>0.18879000000000001</v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81.599999999999994</v>
      </c>
      <c r="BN73" s="78">
        <f>IFERROR(Y73*I73/H73,"0")</f>
        <v>83.52</v>
      </c>
      <c r="BO73" s="78">
        <f>IFERROR(1/J73*(X73/H73),"0")</f>
        <v>0.15567765567765568</v>
      </c>
      <c r="BP73" s="78">
        <f>IFERROR(1/J73*(Y73/H73),"0")</f>
        <v>0.15934065934065939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28.333333333333332</v>
      </c>
      <c r="Y74" s="43">
        <f>IFERROR(Y70/H70,"0")+IFERROR(Y71/H71,"0")+IFERROR(Y72/H72,"0")+IFERROR(Y73/H73,"0")</f>
        <v>29.000000000000004</v>
      </c>
      <c r="Z74" s="43">
        <f>IFERROR(IF(Z70="",0,Z70),"0")+IFERROR(IF(Z71="",0,Z71),"0")+IFERROR(IF(Z72="",0,Z72),"0")+IFERROR(IF(Z73="",0,Z73),"0")</f>
        <v>0.18879000000000001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76.5</v>
      </c>
      <c r="Y75" s="43">
        <f>IFERROR(SUM(Y70:Y73),"0")</f>
        <v>78.300000000000011</v>
      </c>
      <c r="Z75" s="42"/>
      <c r="AA75" s="67"/>
      <c r="AB75" s="67"/>
      <c r="AC75" s="67"/>
    </row>
    <row r="76" spans="1:68" ht="14.25" hidden="1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39</v>
      </c>
      <c r="Y77" s="55">
        <f>IFERROR(IF(X77="",0,CEILING((X77/$H77),1)*$H77),"")</f>
        <v>39.6</v>
      </c>
      <c r="Z77" s="41">
        <f>IFERROR(IF(Y77=0,"",ROUNDUP(Y77/H77,0)*0.00651),"")</f>
        <v>0.14322000000000001</v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44.33</v>
      </c>
      <c r="BN77" s="78">
        <f>IFERROR(Y77*I77/H77,"0")</f>
        <v>45.011999999999993</v>
      </c>
      <c r="BO77" s="78">
        <f>IFERROR(1/J77*(X77/H77),"0")</f>
        <v>0.11904761904761907</v>
      </c>
      <c r="BP77" s="78">
        <f>IFERROR(1/J77*(Y77/H77),"0")</f>
        <v>0.12087912087912089</v>
      </c>
    </row>
    <row r="78" spans="1:68" ht="27" customHeight="1" x14ac:dyDescent="0.25">
      <c r="A78" s="63" t="s">
        <v>181</v>
      </c>
      <c r="B78" s="63" t="s">
        <v>182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39</v>
      </c>
      <c r="Y78" s="55">
        <f>IFERROR(IF(X78="",0,CEILING((X78/$H78),1)*$H78),"")</f>
        <v>39.6</v>
      </c>
      <c r="Z78" s="41">
        <f>IFERROR(IF(Y78=0,"",ROUNDUP(Y78/H78,0)*0.00651),"")</f>
        <v>0.14322000000000001</v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42.9</v>
      </c>
      <c r="BN78" s="78">
        <f>IFERROR(Y78*I78/H78,"0")</f>
        <v>43.56</v>
      </c>
      <c r="BO78" s="78">
        <f>IFERROR(1/J78*(X78/H78),"0")</f>
        <v>0.11904761904761907</v>
      </c>
      <c r="BP78" s="78">
        <f>IFERROR(1/J78*(Y78/H78),"0")</f>
        <v>0.12087912087912089</v>
      </c>
    </row>
    <row r="79" spans="1:68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43.333333333333336</v>
      </c>
      <c r="Y79" s="43">
        <f>IFERROR(Y77/H77,"0")+IFERROR(Y78/H78,"0")</f>
        <v>44</v>
      </c>
      <c r="Z79" s="43">
        <f>IFERROR(IF(Z77="",0,Z77),"0")+IFERROR(IF(Z78="",0,Z78),"0")</f>
        <v>0.28644000000000003</v>
      </c>
      <c r="AA79" s="67"/>
      <c r="AB79" s="67"/>
      <c r="AC79" s="67"/>
    </row>
    <row r="80" spans="1:68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78</v>
      </c>
      <c r="Y80" s="43">
        <f>IFERROR(SUM(Y77:Y78),"0")</f>
        <v>79.2</v>
      </c>
      <c r="Z80" s="42"/>
      <c r="AA80" s="67"/>
      <c r="AB80" s="67"/>
      <c r="AC80" s="67"/>
    </row>
    <row r="81" spans="1:68" ht="14.25" hidden="1" customHeight="1" x14ac:dyDescent="0.25">
      <c r="A81" s="686" t="s">
        <v>184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188</v>
      </c>
      <c r="B83" s="63" t="s">
        <v>189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42.4</v>
      </c>
      <c r="Y83" s="55">
        <f>IFERROR(IF(X83="",0,CEILING((X83/$H83),1)*$H83),"")</f>
        <v>43.199999999999996</v>
      </c>
      <c r="Z83" s="41">
        <f>IFERROR(IF(Y83=0,"",ROUNDUP(Y83/H83,0)*0.00902),"")</f>
        <v>0.16236</v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45.756666666666661</v>
      </c>
      <c r="BN83" s="78">
        <f>IFERROR(Y83*I83/H83,"0")</f>
        <v>46.61999999999999</v>
      </c>
      <c r="BO83" s="78">
        <f>IFERROR(1/J83*(X83/H83),"0")</f>
        <v>0.13383838383838384</v>
      </c>
      <c r="BP83" s="78">
        <f>IFERROR(1/J83*(Y83/H83),"0")</f>
        <v>0.13636363636363635</v>
      </c>
    </row>
    <row r="84" spans="1:68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17.666666666666668</v>
      </c>
      <c r="Y84" s="43">
        <f>IFERROR(Y82/H82,"0")+IFERROR(Y83/H83,"0")</f>
        <v>18</v>
      </c>
      <c r="Z84" s="43">
        <f>IFERROR(IF(Z82="",0,Z82),"0")+IFERROR(IF(Z83="",0,Z83),"0")</f>
        <v>0.16236</v>
      </c>
      <c r="AA84" s="67"/>
      <c r="AB84" s="67"/>
      <c r="AC84" s="67"/>
    </row>
    <row r="85" spans="1:68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42.4</v>
      </c>
      <c r="Y85" s="43">
        <f>IFERROR(SUM(Y82:Y83),"0")</f>
        <v>43.199999999999996</v>
      </c>
      <c r="Z85" s="42"/>
      <c r="AA85" s="67"/>
      <c r="AB85" s="67"/>
      <c r="AC85" s="67"/>
    </row>
    <row r="86" spans="1:68" ht="16.5" hidden="1" customHeight="1" x14ac:dyDescent="0.25">
      <c r="A86" s="685" t="s">
        <v>191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hidden="1" customHeight="1" x14ac:dyDescent="0.25">
      <c r="A87" s="686" t="s">
        <v>132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hidden="1" customHeight="1" x14ac:dyDescent="0.25">
      <c r="A88" s="63" t="s">
        <v>192</v>
      </c>
      <c r="B88" s="63" t="s">
        <v>193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195</v>
      </c>
      <c r="B89" s="63" t="s">
        <v>196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200</v>
      </c>
      <c r="B91" s="63" t="s">
        <v>201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hidden="1" customHeight="1" x14ac:dyDescent="0.25">
      <c r="A95" s="63" t="s">
        <v>202</v>
      </c>
      <c r="B95" s="63" t="s">
        <v>203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205</v>
      </c>
      <c r="B96" s="63" t="s">
        <v>206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202.5</v>
      </c>
      <c r="Y97" s="55">
        <f>IFERROR(IF(X97="",0,CEILING((X97/$H97),1)*$H97),"")</f>
        <v>202.5</v>
      </c>
      <c r="Z97" s="41">
        <f>IFERROR(IF(Y97=0,"",ROUNDUP(Y97/H97,0)*0.00651),"")</f>
        <v>0.48825000000000002</v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221.39999999999998</v>
      </c>
      <c r="BN97" s="78">
        <f>IFERROR(Y97*I97/H97,"0")</f>
        <v>221.39999999999998</v>
      </c>
      <c r="BO97" s="78">
        <f>IFERROR(1/J97*(X97/H97),"0")</f>
        <v>0.41208791208791212</v>
      </c>
      <c r="BP97" s="78">
        <f>IFERROR(1/J97*(Y97/H97),"0")</f>
        <v>0.41208791208791212</v>
      </c>
    </row>
    <row r="98" spans="1:68" ht="16.5" hidden="1" customHeight="1" x14ac:dyDescent="0.25">
      <c r="A98" s="63" t="s">
        <v>209</v>
      </c>
      <c r="B98" s="63" t="s">
        <v>210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75</v>
      </c>
      <c r="Y99" s="43">
        <f>IFERROR(Y95/H95,"0")+IFERROR(Y96/H96,"0")+IFERROR(Y97/H97,"0")+IFERROR(Y98/H98,"0")</f>
        <v>75</v>
      </c>
      <c r="Z99" s="43">
        <f>IFERROR(IF(Z95="",0,Z95),"0")+IFERROR(IF(Z96="",0,Z96),"0")+IFERROR(IF(Z97="",0,Z97),"0")+IFERROR(IF(Z98="",0,Z98),"0")</f>
        <v>0.48825000000000002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202.5</v>
      </c>
      <c r="Y100" s="43">
        <f>IFERROR(SUM(Y95:Y98),"0")</f>
        <v>202.5</v>
      </c>
      <c r="Z100" s="42"/>
      <c r="AA100" s="67"/>
      <c r="AB100" s="67"/>
      <c r="AC100" s="67"/>
    </row>
    <row r="101" spans="1:68" ht="16.5" hidden="1" customHeight="1" x14ac:dyDescent="0.25">
      <c r="A101" s="685" t="s">
        <v>212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hidden="1" customHeight="1" x14ac:dyDescent="0.25">
      <c r="A102" s="686" t="s">
        <v>132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hidden="1" customHeight="1" x14ac:dyDescent="0.25">
      <c r="A103" s="63" t="s">
        <v>213</v>
      </c>
      <c r="B103" s="63" t="s">
        <v>214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hidden="1" customHeight="1" x14ac:dyDescent="0.25">
      <c r="A104" s="63" t="s">
        <v>216</v>
      </c>
      <c r="B104" s="63" t="s">
        <v>217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219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hidden="1" customHeight="1" x14ac:dyDescent="0.25">
      <c r="A106" s="63" t="s">
        <v>220</v>
      </c>
      <c r="B106" s="63" t="s">
        <v>221</v>
      </c>
      <c r="C106" s="36">
        <v>4301012226</v>
      </c>
      <c r="D106" s="687">
        <v>4680115887749</v>
      </c>
      <c r="E106" s="687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73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222</v>
      </c>
      <c r="B107" s="63" t="s">
        <v>223</v>
      </c>
      <c r="C107" s="36">
        <v>4301011417</v>
      </c>
      <c r="D107" s="687">
        <v>4680115880269</v>
      </c>
      <c r="E107" s="68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hidden="1" customHeight="1" x14ac:dyDescent="0.25">
      <c r="A108" s="63" t="s">
        <v>224</v>
      </c>
      <c r="B108" s="63" t="s">
        <v>225</v>
      </c>
      <c r="C108" s="36">
        <v>4301011415</v>
      </c>
      <c r="D108" s="687">
        <v>4680115880429</v>
      </c>
      <c r="E108" s="68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hidden="1" customHeight="1" x14ac:dyDescent="0.25">
      <c r="A109" s="63" t="s">
        <v>226</v>
      </c>
      <c r="B109" s="63" t="s">
        <v>227</v>
      </c>
      <c r="C109" s="36">
        <v>4301011462</v>
      </c>
      <c r="D109" s="687">
        <v>4680115881457</v>
      </c>
      <c r="E109" s="68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9"/>
      <c r="R109" s="689"/>
      <c r="S109" s="689"/>
      <c r="T109" s="69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idden="1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39</v>
      </c>
      <c r="X110" s="43">
        <f>IFERROR(X103/H103,"0")+IFERROR(X104/H104,"0")+IFERROR(X105/H105,"0")+IFERROR(X106/H106,"0")+IFERROR(X107/H107,"0")+IFERROR(X108/H108,"0")+IFERROR(X109/H109,"0")</f>
        <v>0</v>
      </c>
      <c r="Y110" s="43">
        <f>IFERROR(Y103/H103,"0")+IFERROR(Y104/H104,"0")+IFERROR(Y105/H105,"0")+IFERROR(Y106/H106,"0")+IFERROR(Y107/H107,"0")+IFERROR(Y108/H108,"0")+IFERROR(Y109/H109,"0")</f>
        <v>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hidden="1" x14ac:dyDescent="0.2">
      <c r="A111" s="695"/>
      <c r="B111" s="695"/>
      <c r="C111" s="695"/>
      <c r="D111" s="695"/>
      <c r="E111" s="695"/>
      <c r="F111" s="695"/>
      <c r="G111" s="695"/>
      <c r="H111" s="695"/>
      <c r="I111" s="695"/>
      <c r="J111" s="695"/>
      <c r="K111" s="695"/>
      <c r="L111" s="695"/>
      <c r="M111" s="695"/>
      <c r="N111" s="695"/>
      <c r="O111" s="696"/>
      <c r="P111" s="692" t="s">
        <v>40</v>
      </c>
      <c r="Q111" s="693"/>
      <c r="R111" s="693"/>
      <c r="S111" s="693"/>
      <c r="T111" s="693"/>
      <c r="U111" s="693"/>
      <c r="V111" s="694"/>
      <c r="W111" s="42" t="s">
        <v>0</v>
      </c>
      <c r="X111" s="43">
        <f>IFERROR(SUM(X103:X109),"0")</f>
        <v>0</v>
      </c>
      <c r="Y111" s="43">
        <f>IFERROR(SUM(Y103:Y109),"0")</f>
        <v>0</v>
      </c>
      <c r="Z111" s="42"/>
      <c r="AA111" s="67"/>
      <c r="AB111" s="67"/>
      <c r="AC111" s="67"/>
    </row>
    <row r="112" spans="1:68" ht="14.25" hidden="1" customHeight="1" x14ac:dyDescent="0.25">
      <c r="A112" s="686" t="s">
        <v>167</v>
      </c>
      <c r="B112" s="686"/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  <c r="P112" s="686"/>
      <c r="Q112" s="686"/>
      <c r="R112" s="686"/>
      <c r="S112" s="686"/>
      <c r="T112" s="686"/>
      <c r="U112" s="686"/>
      <c r="V112" s="686"/>
      <c r="W112" s="686"/>
      <c r="X112" s="686"/>
      <c r="Y112" s="686"/>
      <c r="Z112" s="686"/>
      <c r="AA112" s="66"/>
      <c r="AB112" s="66"/>
      <c r="AC112" s="80"/>
    </row>
    <row r="113" spans="1:68" ht="16.5" hidden="1" customHeight="1" x14ac:dyDescent="0.25">
      <c r="A113" s="63" t="s">
        <v>228</v>
      </c>
      <c r="B113" s="63" t="s">
        <v>229</v>
      </c>
      <c r="C113" s="36">
        <v>4301020345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hidden="1" customHeight="1" x14ac:dyDescent="0.25">
      <c r="A114" s="63" t="s">
        <v>228</v>
      </c>
      <c r="B114" s="63" t="s">
        <v>231</v>
      </c>
      <c r="C114" s="36">
        <v>4301020391</v>
      </c>
      <c r="D114" s="687">
        <v>4680115881488</v>
      </c>
      <c r="E114" s="687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4301020186</v>
      </c>
      <c r="D115" s="687">
        <v>4680115887664</v>
      </c>
      <c r="E115" s="687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237</v>
      </c>
      <c r="C116" s="36">
        <v>4301020430</v>
      </c>
      <c r="D116" s="687">
        <v>4680115887664</v>
      </c>
      <c r="E116" s="687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hidden="1" customHeight="1" x14ac:dyDescent="0.25">
      <c r="A117" s="63" t="s">
        <v>238</v>
      </c>
      <c r="B117" s="63" t="s">
        <v>239</v>
      </c>
      <c r="C117" s="36">
        <v>4301020393</v>
      </c>
      <c r="D117" s="687">
        <v>4680115882775</v>
      </c>
      <c r="E117" s="68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hidden="1" customHeight="1" x14ac:dyDescent="0.25">
      <c r="A118" s="63" t="s">
        <v>240</v>
      </c>
      <c r="B118" s="63" t="s">
        <v>241</v>
      </c>
      <c r="C118" s="36">
        <v>4301020344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hidden="1" customHeight="1" x14ac:dyDescent="0.25">
      <c r="A119" s="63" t="s">
        <v>240</v>
      </c>
      <c r="B119" s="63" t="s">
        <v>242</v>
      </c>
      <c r="C119" s="36">
        <v>4301020392</v>
      </c>
      <c r="D119" s="687">
        <v>4680115880658</v>
      </c>
      <c r="E119" s="68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89"/>
      <c r="R119" s="689"/>
      <c r="S119" s="689"/>
      <c r="T119" s="690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hidden="1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95"/>
      <c r="B121" s="695"/>
      <c r="C121" s="695"/>
      <c r="D121" s="695"/>
      <c r="E121" s="695"/>
      <c r="F121" s="695"/>
      <c r="G121" s="695"/>
      <c r="H121" s="695"/>
      <c r="I121" s="695"/>
      <c r="J121" s="695"/>
      <c r="K121" s="695"/>
      <c r="L121" s="695"/>
      <c r="M121" s="695"/>
      <c r="N121" s="695"/>
      <c r="O121" s="696"/>
      <c r="P121" s="692" t="s">
        <v>40</v>
      </c>
      <c r="Q121" s="693"/>
      <c r="R121" s="693"/>
      <c r="S121" s="693"/>
      <c r="T121" s="693"/>
      <c r="U121" s="693"/>
      <c r="V121" s="694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86" t="s">
        <v>86</v>
      </c>
      <c r="B122" s="686"/>
      <c r="C122" s="686"/>
      <c r="D122" s="686"/>
      <c r="E122" s="686"/>
      <c r="F122" s="686"/>
      <c r="G122" s="686"/>
      <c r="H122" s="686"/>
      <c r="I122" s="686"/>
      <c r="J122" s="686"/>
      <c r="K122" s="686"/>
      <c r="L122" s="686"/>
      <c r="M122" s="686"/>
      <c r="N122" s="686"/>
      <c r="O122" s="686"/>
      <c r="P122" s="686"/>
      <c r="Q122" s="686"/>
      <c r="R122" s="686"/>
      <c r="S122" s="686"/>
      <c r="T122" s="686"/>
      <c r="U122" s="686"/>
      <c r="V122" s="686"/>
      <c r="W122" s="686"/>
      <c r="X122" s="686"/>
      <c r="Y122" s="686"/>
      <c r="Z122" s="686"/>
      <c r="AA122" s="66"/>
      <c r="AB122" s="66"/>
      <c r="AC122" s="80"/>
    </row>
    <row r="123" spans="1:68" ht="27" hidden="1" customHeight="1" x14ac:dyDescent="0.25">
      <c r="A123" s="63" t="s">
        <v>243</v>
      </c>
      <c r="B123" s="63" t="s">
        <v>244</v>
      </c>
      <c r="C123" s="36">
        <v>4301051724</v>
      </c>
      <c r="D123" s="687">
        <v>4607091385168</v>
      </c>
      <c r="E123" s="68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4301051730</v>
      </c>
      <c r="D124" s="687">
        <v>4607091383256</v>
      </c>
      <c r="E124" s="68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248</v>
      </c>
      <c r="B125" s="63" t="s">
        <v>249</v>
      </c>
      <c r="C125" s="36">
        <v>4301051721</v>
      </c>
      <c r="D125" s="687">
        <v>4607091385748</v>
      </c>
      <c r="E125" s="68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87">
        <v>4680115884533</v>
      </c>
      <c r="E126" s="68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9"/>
      <c r="R126" s="689"/>
      <c r="S126" s="689"/>
      <c r="T126" s="690"/>
      <c r="U126" s="39" t="s">
        <v>46</v>
      </c>
      <c r="V126" s="39" t="s">
        <v>46</v>
      </c>
      <c r="W126" s="40" t="s">
        <v>0</v>
      </c>
      <c r="X126" s="58">
        <v>108</v>
      </c>
      <c r="Y126" s="55">
        <f>IFERROR(IF(X126="",0,CEILING((X126/$H126),1)*$H126),"")</f>
        <v>108</v>
      </c>
      <c r="Z126" s="41">
        <f>IFERROR(IF(Y126=0,"",ROUNDUP(Y126/H126,0)*0.00651),"")</f>
        <v>0.3906</v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118.8</v>
      </c>
      <c r="BN126" s="78">
        <f>IFERROR(Y126*I126/H126,"0")</f>
        <v>118.8</v>
      </c>
      <c r="BO126" s="78">
        <f>IFERROR(1/J126*(X126/H126),"0")</f>
        <v>0.32967032967032972</v>
      </c>
      <c r="BP126" s="78">
        <f>IFERROR(1/J126*(Y126/H126),"0")</f>
        <v>0.32967032967032972</v>
      </c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39</v>
      </c>
      <c r="X127" s="43">
        <f>IFERROR(X123/H123,"0")+IFERROR(X124/H124,"0")+IFERROR(X125/H125,"0")+IFERROR(X126/H126,"0")</f>
        <v>60</v>
      </c>
      <c r="Y127" s="43">
        <f>IFERROR(Y123/H123,"0")+IFERROR(Y124/H124,"0")+IFERROR(Y125/H125,"0")+IFERROR(Y126/H126,"0")</f>
        <v>60</v>
      </c>
      <c r="Z127" s="43">
        <f>IFERROR(IF(Z123="",0,Z123),"0")+IFERROR(IF(Z124="",0,Z124),"0")+IFERROR(IF(Z125="",0,Z125),"0")+IFERROR(IF(Z126="",0,Z126),"0")</f>
        <v>0.3906</v>
      </c>
      <c r="AA127" s="67"/>
      <c r="AB127" s="67"/>
      <c r="AC127" s="67"/>
    </row>
    <row r="128" spans="1:68" x14ac:dyDescent="0.2">
      <c r="A128" s="695"/>
      <c r="B128" s="695"/>
      <c r="C128" s="695"/>
      <c r="D128" s="695"/>
      <c r="E128" s="695"/>
      <c r="F128" s="695"/>
      <c r="G128" s="695"/>
      <c r="H128" s="695"/>
      <c r="I128" s="695"/>
      <c r="J128" s="695"/>
      <c r="K128" s="695"/>
      <c r="L128" s="695"/>
      <c r="M128" s="695"/>
      <c r="N128" s="695"/>
      <c r="O128" s="696"/>
      <c r="P128" s="692" t="s">
        <v>40</v>
      </c>
      <c r="Q128" s="693"/>
      <c r="R128" s="693"/>
      <c r="S128" s="693"/>
      <c r="T128" s="693"/>
      <c r="U128" s="693"/>
      <c r="V128" s="694"/>
      <c r="W128" s="42" t="s">
        <v>0</v>
      </c>
      <c r="X128" s="43">
        <f>IFERROR(SUM(X123:X126),"0")</f>
        <v>108</v>
      </c>
      <c r="Y128" s="43">
        <f>IFERROR(SUM(Y123:Y126),"0")</f>
        <v>108</v>
      </c>
      <c r="Z128" s="42"/>
      <c r="AA128" s="67"/>
      <c r="AB128" s="67"/>
      <c r="AC128" s="67"/>
    </row>
    <row r="129" spans="1:68" ht="14.25" hidden="1" customHeight="1" x14ac:dyDescent="0.25">
      <c r="A129" s="686" t="s">
        <v>184</v>
      </c>
      <c r="B129" s="686"/>
      <c r="C129" s="686"/>
      <c r="D129" s="686"/>
      <c r="E129" s="686"/>
      <c r="F129" s="686"/>
      <c r="G129" s="686"/>
      <c r="H129" s="686"/>
      <c r="I129" s="686"/>
      <c r="J129" s="686"/>
      <c r="K129" s="686"/>
      <c r="L129" s="686"/>
      <c r="M129" s="686"/>
      <c r="N129" s="686"/>
      <c r="O129" s="686"/>
      <c r="P129" s="686"/>
      <c r="Q129" s="686"/>
      <c r="R129" s="686"/>
      <c r="S129" s="686"/>
      <c r="T129" s="686"/>
      <c r="U129" s="686"/>
      <c r="V129" s="686"/>
      <c r="W129" s="686"/>
      <c r="X129" s="686"/>
      <c r="Y129" s="686"/>
      <c r="Z129" s="686"/>
      <c r="AA129" s="66"/>
      <c r="AB129" s="66"/>
      <c r="AC129" s="80"/>
    </row>
    <row r="130" spans="1:68" ht="16.5" hidden="1" customHeight="1" x14ac:dyDescent="0.25">
      <c r="A130" s="63" t="s">
        <v>253</v>
      </c>
      <c r="B130" s="63" t="s">
        <v>254</v>
      </c>
      <c r="C130" s="36">
        <v>4301060317</v>
      </c>
      <c r="D130" s="687">
        <v>4680115880238</v>
      </c>
      <c r="E130" s="68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89"/>
      <c r="R130" s="689"/>
      <c r="S130" s="689"/>
      <c r="T130" s="69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95"/>
      <c r="B132" s="695"/>
      <c r="C132" s="695"/>
      <c r="D132" s="695"/>
      <c r="E132" s="695"/>
      <c r="F132" s="695"/>
      <c r="G132" s="695"/>
      <c r="H132" s="695"/>
      <c r="I132" s="695"/>
      <c r="J132" s="695"/>
      <c r="K132" s="695"/>
      <c r="L132" s="695"/>
      <c r="M132" s="695"/>
      <c r="N132" s="695"/>
      <c r="O132" s="696"/>
      <c r="P132" s="692" t="s">
        <v>40</v>
      </c>
      <c r="Q132" s="693"/>
      <c r="R132" s="693"/>
      <c r="S132" s="693"/>
      <c r="T132" s="693"/>
      <c r="U132" s="693"/>
      <c r="V132" s="69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85" t="s">
        <v>256</v>
      </c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  <c r="M133" s="685"/>
      <c r="N133" s="685"/>
      <c r="O133" s="685"/>
      <c r="P133" s="685"/>
      <c r="Q133" s="685"/>
      <c r="R133" s="685"/>
      <c r="S133" s="685"/>
      <c r="T133" s="685"/>
      <c r="U133" s="685"/>
      <c r="V133" s="685"/>
      <c r="W133" s="685"/>
      <c r="X133" s="685"/>
      <c r="Y133" s="685"/>
      <c r="Z133" s="685"/>
      <c r="AA133" s="65"/>
      <c r="AB133" s="65"/>
      <c r="AC133" s="79"/>
    </row>
    <row r="134" spans="1:68" ht="14.25" hidden="1" customHeight="1" x14ac:dyDescent="0.25">
      <c r="A134" s="686" t="s">
        <v>132</v>
      </c>
      <c r="B134" s="686"/>
      <c r="C134" s="686"/>
      <c r="D134" s="686"/>
      <c r="E134" s="686"/>
      <c r="F134" s="686"/>
      <c r="G134" s="686"/>
      <c r="H134" s="686"/>
      <c r="I134" s="686"/>
      <c r="J134" s="686"/>
      <c r="K134" s="686"/>
      <c r="L134" s="686"/>
      <c r="M134" s="686"/>
      <c r="N134" s="686"/>
      <c r="O134" s="686"/>
      <c r="P134" s="686"/>
      <c r="Q134" s="686"/>
      <c r="R134" s="686"/>
      <c r="S134" s="686"/>
      <c r="T134" s="686"/>
      <c r="U134" s="686"/>
      <c r="V134" s="686"/>
      <c r="W134" s="686"/>
      <c r="X134" s="686"/>
      <c r="Y134" s="686"/>
      <c r="Z134" s="686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4301011564</v>
      </c>
      <c r="D136" s="687">
        <v>4680115882577</v>
      </c>
      <c r="E136" s="68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9"/>
      <c r="R136" s="689"/>
      <c r="S136" s="689"/>
      <c r="T136" s="69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95"/>
      <c r="B138" s="695"/>
      <c r="C138" s="695"/>
      <c r="D138" s="695"/>
      <c r="E138" s="695"/>
      <c r="F138" s="695"/>
      <c r="G138" s="695"/>
      <c r="H138" s="695"/>
      <c r="I138" s="695"/>
      <c r="J138" s="695"/>
      <c r="K138" s="695"/>
      <c r="L138" s="695"/>
      <c r="M138" s="695"/>
      <c r="N138" s="695"/>
      <c r="O138" s="696"/>
      <c r="P138" s="692" t="s">
        <v>40</v>
      </c>
      <c r="Q138" s="693"/>
      <c r="R138" s="693"/>
      <c r="S138" s="693"/>
      <c r="T138" s="693"/>
      <c r="U138" s="693"/>
      <c r="V138" s="69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86" t="s">
        <v>77</v>
      </c>
      <c r="B139" s="686"/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6"/>
      <c r="O139" s="686"/>
      <c r="P139" s="686"/>
      <c r="Q139" s="686"/>
      <c r="R139" s="686"/>
      <c r="S139" s="686"/>
      <c r="T139" s="686"/>
      <c r="U139" s="686"/>
      <c r="V139" s="686"/>
      <c r="W139" s="686"/>
      <c r="X139" s="686"/>
      <c r="Y139" s="686"/>
      <c r="Z139" s="686"/>
      <c r="AA139" s="66"/>
      <c r="AB139" s="66"/>
      <c r="AC139" s="80"/>
    </row>
    <row r="140" spans="1:68" ht="27" hidden="1" customHeight="1" x14ac:dyDescent="0.25">
      <c r="A140" s="63" t="s">
        <v>261</v>
      </c>
      <c r="B140" s="63" t="s">
        <v>262</v>
      </c>
      <c r="C140" s="36">
        <v>4301031234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261</v>
      </c>
      <c r="B141" s="63" t="s">
        <v>264</v>
      </c>
      <c r="C141" s="36">
        <v>4301031235</v>
      </c>
      <c r="D141" s="687">
        <v>4680115883444</v>
      </c>
      <c r="E141" s="68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89"/>
      <c r="R141" s="689"/>
      <c r="S141" s="689"/>
      <c r="T141" s="69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95"/>
      <c r="B143" s="695"/>
      <c r="C143" s="695"/>
      <c r="D143" s="695"/>
      <c r="E143" s="695"/>
      <c r="F143" s="695"/>
      <c r="G143" s="695"/>
      <c r="H143" s="695"/>
      <c r="I143" s="695"/>
      <c r="J143" s="695"/>
      <c r="K143" s="695"/>
      <c r="L143" s="695"/>
      <c r="M143" s="695"/>
      <c r="N143" s="695"/>
      <c r="O143" s="696"/>
      <c r="P143" s="692" t="s">
        <v>40</v>
      </c>
      <c r="Q143" s="693"/>
      <c r="R143" s="693"/>
      <c r="S143" s="693"/>
      <c r="T143" s="693"/>
      <c r="U143" s="693"/>
      <c r="V143" s="69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86" t="s">
        <v>86</v>
      </c>
      <c r="B144" s="686"/>
      <c r="C144" s="686"/>
      <c r="D144" s="686"/>
      <c r="E144" s="686"/>
      <c r="F144" s="686"/>
      <c r="G144" s="686"/>
      <c r="H144" s="686"/>
      <c r="I144" s="686"/>
      <c r="J144" s="686"/>
      <c r="K144" s="686"/>
      <c r="L144" s="686"/>
      <c r="M144" s="686"/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6"/>
      <c r="AB144" s="66"/>
      <c r="AC144" s="80"/>
    </row>
    <row r="145" spans="1:68" ht="16.5" hidden="1" customHeight="1" x14ac:dyDescent="0.25">
      <c r="A145" s="63" t="s">
        <v>265</v>
      </c>
      <c r="B145" s="63" t="s">
        <v>266</v>
      </c>
      <c r="C145" s="36">
        <v>4301051476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265</v>
      </c>
      <c r="B146" s="63" t="s">
        <v>267</v>
      </c>
      <c r="C146" s="36">
        <v>4301051477</v>
      </c>
      <c r="D146" s="687">
        <v>4680115882584</v>
      </c>
      <c r="E146" s="68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9"/>
      <c r="R146" s="689"/>
      <c r="S146" s="689"/>
      <c r="T146" s="69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95"/>
      <c r="B148" s="695"/>
      <c r="C148" s="695"/>
      <c r="D148" s="695"/>
      <c r="E148" s="695"/>
      <c r="F148" s="695"/>
      <c r="G148" s="695"/>
      <c r="H148" s="695"/>
      <c r="I148" s="695"/>
      <c r="J148" s="695"/>
      <c r="K148" s="695"/>
      <c r="L148" s="695"/>
      <c r="M148" s="695"/>
      <c r="N148" s="695"/>
      <c r="O148" s="696"/>
      <c r="P148" s="692" t="s">
        <v>40</v>
      </c>
      <c r="Q148" s="693"/>
      <c r="R148" s="693"/>
      <c r="S148" s="693"/>
      <c r="T148" s="693"/>
      <c r="U148" s="693"/>
      <c r="V148" s="69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85" t="s">
        <v>268</v>
      </c>
      <c r="B149" s="685"/>
      <c r="C149" s="685"/>
      <c r="D149" s="685"/>
      <c r="E149" s="685"/>
      <c r="F149" s="685"/>
      <c r="G149" s="685"/>
      <c r="H149" s="685"/>
      <c r="I149" s="685"/>
      <c r="J149" s="685"/>
      <c r="K149" s="685"/>
      <c r="L149" s="685"/>
      <c r="M149" s="685"/>
      <c r="N149" s="685"/>
      <c r="O149" s="685"/>
      <c r="P149" s="685"/>
      <c r="Q149" s="685"/>
      <c r="R149" s="685"/>
      <c r="S149" s="685"/>
      <c r="T149" s="685"/>
      <c r="U149" s="685"/>
      <c r="V149" s="685"/>
      <c r="W149" s="685"/>
      <c r="X149" s="685"/>
      <c r="Y149" s="685"/>
      <c r="Z149" s="685"/>
      <c r="AA149" s="65"/>
      <c r="AB149" s="65"/>
      <c r="AC149" s="79"/>
    </row>
    <row r="150" spans="1:68" ht="14.25" hidden="1" customHeight="1" x14ac:dyDescent="0.25">
      <c r="A150" s="686" t="s">
        <v>86</v>
      </c>
      <c r="B150" s="686"/>
      <c r="C150" s="686"/>
      <c r="D150" s="686"/>
      <c r="E150" s="686"/>
      <c r="F150" s="686"/>
      <c r="G150" s="686"/>
      <c r="H150" s="686"/>
      <c r="I150" s="686"/>
      <c r="J150" s="686"/>
      <c r="K150" s="686"/>
      <c r="L150" s="686"/>
      <c r="M150" s="686"/>
      <c r="N150" s="686"/>
      <c r="O150" s="686"/>
      <c r="P150" s="686"/>
      <c r="Q150" s="686"/>
      <c r="R150" s="686"/>
      <c r="S150" s="686"/>
      <c r="T150" s="686"/>
      <c r="U150" s="686"/>
      <c r="V150" s="686"/>
      <c r="W150" s="686"/>
      <c r="X150" s="686"/>
      <c r="Y150" s="686"/>
      <c r="Z150" s="686"/>
      <c r="AA150" s="66"/>
      <c r="AB150" s="66"/>
      <c r="AC150" s="80"/>
    </row>
    <row r="151" spans="1:68" ht="27" hidden="1" customHeight="1" x14ac:dyDescent="0.25">
      <c r="A151" s="63" t="s">
        <v>269</v>
      </c>
      <c r="B151" s="63" t="s">
        <v>270</v>
      </c>
      <c r="C151" s="36">
        <v>4301052174</v>
      </c>
      <c r="D151" s="687">
        <v>4680115888203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4301052172</v>
      </c>
      <c r="D152" s="687">
        <v>4680115888180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4301052173</v>
      </c>
      <c r="D153" s="687">
        <v>4680115888197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87">
        <v>4680115888210</v>
      </c>
      <c r="E154" s="68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89"/>
      <c r="R154" s="689"/>
      <c r="S154" s="689"/>
      <c r="T154" s="69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95"/>
      <c r="B156" s="695"/>
      <c r="C156" s="695"/>
      <c r="D156" s="695"/>
      <c r="E156" s="695"/>
      <c r="F156" s="695"/>
      <c r="G156" s="695"/>
      <c r="H156" s="695"/>
      <c r="I156" s="695"/>
      <c r="J156" s="695"/>
      <c r="K156" s="695"/>
      <c r="L156" s="695"/>
      <c r="M156" s="695"/>
      <c r="N156" s="695"/>
      <c r="O156" s="696"/>
      <c r="P156" s="692" t="s">
        <v>40</v>
      </c>
      <c r="Q156" s="693"/>
      <c r="R156" s="693"/>
      <c r="S156" s="693"/>
      <c r="T156" s="693"/>
      <c r="U156" s="693"/>
      <c r="V156" s="694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85" t="s">
        <v>130</v>
      </c>
      <c r="B157" s="685"/>
      <c r="C157" s="685"/>
      <c r="D157" s="685"/>
      <c r="E157" s="685"/>
      <c r="F157" s="685"/>
      <c r="G157" s="685"/>
      <c r="H157" s="685"/>
      <c r="I157" s="685"/>
      <c r="J157" s="685"/>
      <c r="K157" s="685"/>
      <c r="L157" s="685"/>
      <c r="M157" s="685"/>
      <c r="N157" s="685"/>
      <c r="O157" s="685"/>
      <c r="P157" s="685"/>
      <c r="Q157" s="685"/>
      <c r="R157" s="685"/>
      <c r="S157" s="685"/>
      <c r="T157" s="685"/>
      <c r="U157" s="685"/>
      <c r="V157" s="685"/>
      <c r="W157" s="685"/>
      <c r="X157" s="685"/>
      <c r="Y157" s="685"/>
      <c r="Z157" s="685"/>
      <c r="AA157" s="65"/>
      <c r="AB157" s="65"/>
      <c r="AC157" s="79"/>
    </row>
    <row r="158" spans="1:68" ht="14.25" hidden="1" customHeight="1" x14ac:dyDescent="0.25">
      <c r="A158" s="686" t="s">
        <v>132</v>
      </c>
      <c r="B158" s="686"/>
      <c r="C158" s="686"/>
      <c r="D158" s="686"/>
      <c r="E158" s="686"/>
      <c r="F158" s="686"/>
      <c r="G158" s="686"/>
      <c r="H158" s="686"/>
      <c r="I158" s="686"/>
      <c r="J158" s="686"/>
      <c r="K158" s="686"/>
      <c r="L158" s="686"/>
      <c r="M158" s="686"/>
      <c r="N158" s="686"/>
      <c r="O158" s="686"/>
      <c r="P158" s="686"/>
      <c r="Q158" s="686"/>
      <c r="R158" s="686"/>
      <c r="S158" s="686"/>
      <c r="T158" s="686"/>
      <c r="U158" s="686"/>
      <c r="V158" s="686"/>
      <c r="W158" s="686"/>
      <c r="X158" s="686"/>
      <c r="Y158" s="686"/>
      <c r="Z158" s="68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4301012244</v>
      </c>
      <c r="D159" s="687">
        <v>4680115887374</v>
      </c>
      <c r="E159" s="687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87">
        <v>4607091384604</v>
      </c>
      <c r="E160" s="68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89"/>
      <c r="R160" s="689"/>
      <c r="S160" s="689"/>
      <c r="T160" s="69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hidden="1" x14ac:dyDescent="0.2">
      <c r="A162" s="695"/>
      <c r="B162" s="695"/>
      <c r="C162" s="695"/>
      <c r="D162" s="695"/>
      <c r="E162" s="695"/>
      <c r="F162" s="695"/>
      <c r="G162" s="695"/>
      <c r="H162" s="695"/>
      <c r="I162" s="695"/>
      <c r="J162" s="695"/>
      <c r="K162" s="695"/>
      <c r="L162" s="695"/>
      <c r="M162" s="695"/>
      <c r="N162" s="695"/>
      <c r="O162" s="696"/>
      <c r="P162" s="692" t="s">
        <v>40</v>
      </c>
      <c r="Q162" s="693"/>
      <c r="R162" s="693"/>
      <c r="S162" s="693"/>
      <c r="T162" s="693"/>
      <c r="U162" s="693"/>
      <c r="V162" s="694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86" t="s">
        <v>167</v>
      </c>
      <c r="B163" s="686"/>
      <c r="C163" s="686"/>
      <c r="D163" s="686"/>
      <c r="E163" s="686"/>
      <c r="F163" s="686"/>
      <c r="G163" s="686"/>
      <c r="H163" s="686"/>
      <c r="I163" s="686"/>
      <c r="J163" s="686"/>
      <c r="K163" s="686"/>
      <c r="L163" s="686"/>
      <c r="M163" s="686"/>
      <c r="N163" s="686"/>
      <c r="O163" s="686"/>
      <c r="P163" s="686"/>
      <c r="Q163" s="686"/>
      <c r="R163" s="686"/>
      <c r="S163" s="686"/>
      <c r="T163" s="686"/>
      <c r="U163" s="686"/>
      <c r="V163" s="686"/>
      <c r="W163" s="686"/>
      <c r="X163" s="686"/>
      <c r="Y163" s="686"/>
      <c r="Z163" s="686"/>
      <c r="AA163" s="66"/>
      <c r="AB163" s="66"/>
      <c r="AC163" s="80"/>
    </row>
    <row r="164" spans="1:68" ht="16.5" hidden="1" customHeight="1" x14ac:dyDescent="0.25">
      <c r="A164" s="63" t="s">
        <v>287</v>
      </c>
      <c r="B164" s="63" t="s">
        <v>288</v>
      </c>
      <c r="C164" s="36">
        <v>4301020410</v>
      </c>
      <c r="D164" s="687">
        <v>4680115887695</v>
      </c>
      <c r="E164" s="687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89"/>
      <c r="R164" s="689"/>
      <c r="S164" s="689"/>
      <c r="T164" s="69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95"/>
      <c r="B166" s="695"/>
      <c r="C166" s="695"/>
      <c r="D166" s="695"/>
      <c r="E166" s="695"/>
      <c r="F166" s="695"/>
      <c r="G166" s="695"/>
      <c r="H166" s="695"/>
      <c r="I166" s="695"/>
      <c r="J166" s="695"/>
      <c r="K166" s="695"/>
      <c r="L166" s="695"/>
      <c r="M166" s="695"/>
      <c r="N166" s="695"/>
      <c r="O166" s="696"/>
      <c r="P166" s="692" t="s">
        <v>40</v>
      </c>
      <c r="Q166" s="693"/>
      <c r="R166" s="693"/>
      <c r="S166" s="693"/>
      <c r="T166" s="693"/>
      <c r="U166" s="693"/>
      <c r="V166" s="694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86" t="s">
        <v>77</v>
      </c>
      <c r="B167" s="686"/>
      <c r="C167" s="686"/>
      <c r="D167" s="686"/>
      <c r="E167" s="686"/>
      <c r="F167" s="686"/>
      <c r="G167" s="686"/>
      <c r="H167" s="686"/>
      <c r="I167" s="686"/>
      <c r="J167" s="686"/>
      <c r="K167" s="686"/>
      <c r="L167" s="686"/>
      <c r="M167" s="686"/>
      <c r="N167" s="686"/>
      <c r="O167" s="686"/>
      <c r="P167" s="686"/>
      <c r="Q167" s="686"/>
      <c r="R167" s="686"/>
      <c r="S167" s="686"/>
      <c r="T167" s="686"/>
      <c r="U167" s="686"/>
      <c r="V167" s="686"/>
      <c r="W167" s="686"/>
      <c r="X167" s="686"/>
      <c r="Y167" s="686"/>
      <c r="Z167" s="686"/>
      <c r="AA167" s="66"/>
      <c r="AB167" s="66"/>
      <c r="AC167" s="80"/>
    </row>
    <row r="168" spans="1:68" ht="27" hidden="1" customHeight="1" x14ac:dyDescent="0.25">
      <c r="A168" s="63" t="s">
        <v>290</v>
      </c>
      <c r="B168" s="63" t="s">
        <v>291</v>
      </c>
      <c r="C168" s="36">
        <v>4301031496</v>
      </c>
      <c r="D168" s="687">
        <v>4680115887428</v>
      </c>
      <c r="E168" s="687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4301030963</v>
      </c>
      <c r="D169" s="687">
        <v>4607091382426</v>
      </c>
      <c r="E169" s="687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4301031498</v>
      </c>
      <c r="D170" s="687">
        <v>4680115887398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4301031497</v>
      </c>
      <c r="D171" s="687">
        <v>4680115887336</v>
      </c>
      <c r="E171" s="68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hidden="1" customHeight="1" x14ac:dyDescent="0.25">
      <c r="A172" s="63" t="s">
        <v>302</v>
      </c>
      <c r="B172" s="63" t="s">
        <v>303</v>
      </c>
      <c r="C172" s="36">
        <v>4301032049</v>
      </c>
      <c r="D172" s="687">
        <v>4680115887787</v>
      </c>
      <c r="E172" s="687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4301031448</v>
      </c>
      <c r="D173" s="687">
        <v>4680115887503</v>
      </c>
      <c r="E173" s="687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307</v>
      </c>
      <c r="B174" s="63" t="s">
        <v>308</v>
      </c>
      <c r="C174" s="36">
        <v>4301031389</v>
      </c>
      <c r="D174" s="687">
        <v>4680115887763</v>
      </c>
      <c r="E174" s="687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307</v>
      </c>
      <c r="B175" s="63" t="s">
        <v>310</v>
      </c>
      <c r="C175" s="36">
        <v>4301031510</v>
      </c>
      <c r="D175" s="687">
        <v>4680115887763</v>
      </c>
      <c r="E175" s="687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4301031454</v>
      </c>
      <c r="D176" s="687">
        <v>4680115887480</v>
      </c>
      <c r="E176" s="68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4301031434</v>
      </c>
      <c r="D177" s="687">
        <v>4680115888067</v>
      </c>
      <c r="E177" s="687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316</v>
      </c>
      <c r="B178" s="63" t="s">
        <v>317</v>
      </c>
      <c r="C178" s="36">
        <v>4301031451</v>
      </c>
      <c r="D178" s="687">
        <v>4680115887435</v>
      </c>
      <c r="E178" s="68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9"/>
      <c r="R178" s="689"/>
      <c r="S178" s="689"/>
      <c r="T178" s="69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idden="1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hidden="1" x14ac:dyDescent="0.2">
      <c r="A180" s="695"/>
      <c r="B180" s="695"/>
      <c r="C180" s="695"/>
      <c r="D180" s="695"/>
      <c r="E180" s="695"/>
      <c r="F180" s="695"/>
      <c r="G180" s="695"/>
      <c r="H180" s="695"/>
      <c r="I180" s="695"/>
      <c r="J180" s="695"/>
      <c r="K180" s="695"/>
      <c r="L180" s="695"/>
      <c r="M180" s="695"/>
      <c r="N180" s="695"/>
      <c r="O180" s="696"/>
      <c r="P180" s="692" t="s">
        <v>40</v>
      </c>
      <c r="Q180" s="693"/>
      <c r="R180" s="693"/>
      <c r="S180" s="693"/>
      <c r="T180" s="693"/>
      <c r="U180" s="693"/>
      <c r="V180" s="694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86" t="s">
        <v>86</v>
      </c>
      <c r="B181" s="686"/>
      <c r="C181" s="686"/>
      <c r="D181" s="686"/>
      <c r="E181" s="686"/>
      <c r="F181" s="686"/>
      <c r="G181" s="686"/>
      <c r="H181" s="686"/>
      <c r="I181" s="686"/>
      <c r="J181" s="686"/>
      <c r="K181" s="686"/>
      <c r="L181" s="686"/>
      <c r="M181" s="686"/>
      <c r="N181" s="686"/>
      <c r="O181" s="686"/>
      <c r="P181" s="686"/>
      <c r="Q181" s="686"/>
      <c r="R181" s="686"/>
      <c r="S181" s="686"/>
      <c r="T181" s="686"/>
      <c r="U181" s="686"/>
      <c r="V181" s="686"/>
      <c r="W181" s="686"/>
      <c r="X181" s="686"/>
      <c r="Y181" s="686"/>
      <c r="Z181" s="686"/>
      <c r="AA181" s="66"/>
      <c r="AB181" s="66"/>
      <c r="AC181" s="80"/>
    </row>
    <row r="182" spans="1:68" ht="16.5" hidden="1" customHeight="1" x14ac:dyDescent="0.25">
      <c r="A182" s="63" t="s">
        <v>318</v>
      </c>
      <c r="B182" s="63" t="s">
        <v>319</v>
      </c>
      <c r="C182" s="36">
        <v>4301052193</v>
      </c>
      <c r="D182" s="687">
        <v>4680115888395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hidden="1" customHeight="1" x14ac:dyDescent="0.25">
      <c r="A183" s="63" t="s">
        <v>321</v>
      </c>
      <c r="B183" s="63" t="s">
        <v>322</v>
      </c>
      <c r="C183" s="36">
        <v>4301052191</v>
      </c>
      <c r="D183" s="687">
        <v>4680115888371</v>
      </c>
      <c r="E183" s="687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324</v>
      </c>
      <c r="B184" s="63" t="s">
        <v>325</v>
      </c>
      <c r="C184" s="36">
        <v>4301052064</v>
      </c>
      <c r="D184" s="687">
        <v>4680115887459</v>
      </c>
      <c r="E184" s="687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9"/>
      <c r="R184" s="689"/>
      <c r="S184" s="689"/>
      <c r="T184" s="69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idden="1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95"/>
      <c r="B186" s="695"/>
      <c r="C186" s="695"/>
      <c r="D186" s="695"/>
      <c r="E186" s="695"/>
      <c r="F186" s="695"/>
      <c r="G186" s="695"/>
      <c r="H186" s="695"/>
      <c r="I186" s="695"/>
      <c r="J186" s="695"/>
      <c r="K186" s="695"/>
      <c r="L186" s="695"/>
      <c r="M186" s="695"/>
      <c r="N186" s="695"/>
      <c r="O186" s="696"/>
      <c r="P186" s="692" t="s">
        <v>40</v>
      </c>
      <c r="Q186" s="693"/>
      <c r="R186" s="693"/>
      <c r="S186" s="693"/>
      <c r="T186" s="693"/>
      <c r="U186" s="693"/>
      <c r="V186" s="69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86" t="s">
        <v>107</v>
      </c>
      <c r="B187" s="686"/>
      <c r="C187" s="686"/>
      <c r="D187" s="686"/>
      <c r="E187" s="686"/>
      <c r="F187" s="686"/>
      <c r="G187" s="686"/>
      <c r="H187" s="686"/>
      <c r="I187" s="686"/>
      <c r="J187" s="686"/>
      <c r="K187" s="686"/>
      <c r="L187" s="686"/>
      <c r="M187" s="686"/>
      <c r="N187" s="686"/>
      <c r="O187" s="686"/>
      <c r="P187" s="686"/>
      <c r="Q187" s="686"/>
      <c r="R187" s="686"/>
      <c r="S187" s="686"/>
      <c r="T187" s="686"/>
      <c r="U187" s="686"/>
      <c r="V187" s="686"/>
      <c r="W187" s="686"/>
      <c r="X187" s="686"/>
      <c r="Y187" s="686"/>
      <c r="Z187" s="686"/>
      <c r="AA187" s="66"/>
      <c r="AB187" s="66"/>
      <c r="AC187" s="80"/>
    </row>
    <row r="188" spans="1:68" ht="16.5" hidden="1" customHeight="1" x14ac:dyDescent="0.25">
      <c r="A188" s="63" t="s">
        <v>327</v>
      </c>
      <c r="B188" s="63" t="s">
        <v>328</v>
      </c>
      <c r="C188" s="36">
        <v>4301032058</v>
      </c>
      <c r="D188" s="687">
        <v>4680115889026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332</v>
      </c>
      <c r="B189" s="63" t="s">
        <v>333</v>
      </c>
      <c r="C189" s="36">
        <v>4301032057</v>
      </c>
      <c r="D189" s="687">
        <v>4680115889088</v>
      </c>
      <c r="E189" s="68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9"/>
      <c r="R189" s="689"/>
      <c r="S189" s="689"/>
      <c r="T189" s="69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95"/>
      <c r="B191" s="695"/>
      <c r="C191" s="695"/>
      <c r="D191" s="695"/>
      <c r="E191" s="695"/>
      <c r="F191" s="695"/>
      <c r="G191" s="695"/>
      <c r="H191" s="695"/>
      <c r="I191" s="695"/>
      <c r="J191" s="695"/>
      <c r="K191" s="695"/>
      <c r="L191" s="695"/>
      <c r="M191" s="695"/>
      <c r="N191" s="695"/>
      <c r="O191" s="696"/>
      <c r="P191" s="692" t="s">
        <v>40</v>
      </c>
      <c r="Q191" s="693"/>
      <c r="R191" s="693"/>
      <c r="S191" s="693"/>
      <c r="T191" s="693"/>
      <c r="U191" s="693"/>
      <c r="V191" s="694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86" t="s">
        <v>335</v>
      </c>
      <c r="B192" s="686"/>
      <c r="C192" s="686"/>
      <c r="D192" s="686"/>
      <c r="E192" s="686"/>
      <c r="F192" s="686"/>
      <c r="G192" s="686"/>
      <c r="H192" s="686"/>
      <c r="I192" s="686"/>
      <c r="J192" s="686"/>
      <c r="K192" s="686"/>
      <c r="L192" s="686"/>
      <c r="M192" s="686"/>
      <c r="N192" s="686"/>
      <c r="O192" s="686"/>
      <c r="P192" s="686"/>
      <c r="Q192" s="686"/>
      <c r="R192" s="686"/>
      <c r="S192" s="686"/>
      <c r="T192" s="686"/>
      <c r="U192" s="686"/>
      <c r="V192" s="686"/>
      <c r="W192" s="686"/>
      <c r="X192" s="686"/>
      <c r="Y192" s="686"/>
      <c r="Z192" s="686"/>
      <c r="AA192" s="66"/>
      <c r="AB192" s="66"/>
      <c r="AC192" s="80"/>
    </row>
    <row r="193" spans="1:68" ht="27" hidden="1" customHeight="1" x14ac:dyDescent="0.25">
      <c r="A193" s="63" t="s">
        <v>336</v>
      </c>
      <c r="B193" s="63" t="s">
        <v>337</v>
      </c>
      <c r="C193" s="36">
        <v>4301041009</v>
      </c>
      <c r="D193" s="687">
        <v>4680115889033</v>
      </c>
      <c r="E193" s="68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9"/>
      <c r="R193" s="689"/>
      <c r="S193" s="689"/>
      <c r="T193" s="69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95"/>
      <c r="B195" s="695"/>
      <c r="C195" s="695"/>
      <c r="D195" s="695"/>
      <c r="E195" s="695"/>
      <c r="F195" s="695"/>
      <c r="G195" s="695"/>
      <c r="H195" s="695"/>
      <c r="I195" s="695"/>
      <c r="J195" s="695"/>
      <c r="K195" s="695"/>
      <c r="L195" s="695"/>
      <c r="M195" s="695"/>
      <c r="N195" s="695"/>
      <c r="O195" s="696"/>
      <c r="P195" s="692" t="s">
        <v>40</v>
      </c>
      <c r="Q195" s="693"/>
      <c r="R195" s="693"/>
      <c r="S195" s="693"/>
      <c r="T195" s="693"/>
      <c r="U195" s="693"/>
      <c r="V195" s="694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84" t="s">
        <v>339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  <c r="AA196" s="54"/>
      <c r="AB196" s="54"/>
      <c r="AC196" s="54"/>
    </row>
    <row r="197" spans="1:68" ht="16.5" hidden="1" customHeight="1" x14ac:dyDescent="0.25">
      <c r="A197" s="685" t="s">
        <v>340</v>
      </c>
      <c r="B197" s="685"/>
      <c r="C197" s="685"/>
      <c r="D197" s="685"/>
      <c r="E197" s="685"/>
      <c r="F197" s="685"/>
      <c r="G197" s="685"/>
      <c r="H197" s="685"/>
      <c r="I197" s="685"/>
      <c r="J197" s="685"/>
      <c r="K197" s="685"/>
      <c r="L197" s="685"/>
      <c r="M197" s="685"/>
      <c r="N197" s="685"/>
      <c r="O197" s="685"/>
      <c r="P197" s="685"/>
      <c r="Q197" s="685"/>
      <c r="R197" s="685"/>
      <c r="S197" s="685"/>
      <c r="T197" s="685"/>
      <c r="U197" s="685"/>
      <c r="V197" s="685"/>
      <c r="W197" s="685"/>
      <c r="X197" s="685"/>
      <c r="Y197" s="685"/>
      <c r="Z197" s="685"/>
      <c r="AA197" s="65"/>
      <c r="AB197" s="65"/>
      <c r="AC197" s="79"/>
    </row>
    <row r="198" spans="1:68" ht="14.25" hidden="1" customHeight="1" x14ac:dyDescent="0.25">
      <c r="A198" s="686" t="s">
        <v>132</v>
      </c>
      <c r="B198" s="686"/>
      <c r="C198" s="686"/>
      <c r="D198" s="686"/>
      <c r="E198" s="686"/>
      <c r="F198" s="686"/>
      <c r="G198" s="686"/>
      <c r="H198" s="686"/>
      <c r="I198" s="686"/>
      <c r="J198" s="686"/>
      <c r="K198" s="686"/>
      <c r="L198" s="686"/>
      <c r="M198" s="686"/>
      <c r="N198" s="686"/>
      <c r="O198" s="686"/>
      <c r="P198" s="686"/>
      <c r="Q198" s="686"/>
      <c r="R198" s="686"/>
      <c r="S198" s="686"/>
      <c r="T198" s="686"/>
      <c r="U198" s="686"/>
      <c r="V198" s="686"/>
      <c r="W198" s="686"/>
      <c r="X198" s="686"/>
      <c r="Y198" s="686"/>
      <c r="Z198" s="686"/>
      <c r="AA198" s="66"/>
      <c r="AB198" s="66"/>
      <c r="AC198" s="80"/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87">
        <v>4680115888760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87">
        <v>4680115888807</v>
      </c>
      <c r="E200" s="68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87">
        <v>4680115888852</v>
      </c>
      <c r="E201" s="68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4301011223</v>
      </c>
      <c r="D202" s="687">
        <v>4607091383423</v>
      </c>
      <c r="E202" s="687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hidden="1" customHeight="1" x14ac:dyDescent="0.25">
      <c r="A203" s="63" t="s">
        <v>352</v>
      </c>
      <c r="B203" s="63" t="s">
        <v>353</v>
      </c>
      <c r="C203" s="36">
        <v>4301012370</v>
      </c>
      <c r="D203" s="687">
        <v>4680115886957</v>
      </c>
      <c r="E203" s="68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4301012098</v>
      </c>
      <c r="D204" s="687">
        <v>4680115885660</v>
      </c>
      <c r="E204" s="68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358</v>
      </c>
      <c r="B205" s="63" t="s">
        <v>359</v>
      </c>
      <c r="C205" s="36">
        <v>4301012369</v>
      </c>
      <c r="D205" s="687">
        <v>4680115886773</v>
      </c>
      <c r="E205" s="68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89"/>
      <c r="R205" s="689"/>
      <c r="S205" s="689"/>
      <c r="T205" s="69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idden="1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95"/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6"/>
      <c r="P207" s="692" t="s">
        <v>40</v>
      </c>
      <c r="Q207" s="693"/>
      <c r="R207" s="693"/>
      <c r="S207" s="693"/>
      <c r="T207" s="693"/>
      <c r="U207" s="693"/>
      <c r="V207" s="694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85" t="s">
        <v>361</v>
      </c>
      <c r="B208" s="685"/>
      <c r="C208" s="685"/>
      <c r="D208" s="685"/>
      <c r="E208" s="685"/>
      <c r="F208" s="685"/>
      <c r="G208" s="685"/>
      <c r="H208" s="685"/>
      <c r="I208" s="685"/>
      <c r="J208" s="685"/>
      <c r="K208" s="685"/>
      <c r="L208" s="685"/>
      <c r="M208" s="685"/>
      <c r="N208" s="685"/>
      <c r="O208" s="685"/>
      <c r="P208" s="685"/>
      <c r="Q208" s="685"/>
      <c r="R208" s="685"/>
      <c r="S208" s="685"/>
      <c r="T208" s="685"/>
      <c r="U208" s="685"/>
      <c r="V208" s="685"/>
      <c r="W208" s="685"/>
      <c r="X208" s="685"/>
      <c r="Y208" s="685"/>
      <c r="Z208" s="685"/>
      <c r="AA208" s="65"/>
      <c r="AB208" s="65"/>
      <c r="AC208" s="79"/>
    </row>
    <row r="209" spans="1:68" ht="14.25" hidden="1" customHeight="1" x14ac:dyDescent="0.25">
      <c r="A209" s="686" t="s">
        <v>167</v>
      </c>
      <c r="B209" s="686"/>
      <c r="C209" s="686"/>
      <c r="D209" s="686"/>
      <c r="E209" s="686"/>
      <c r="F209" s="686"/>
      <c r="G209" s="686"/>
      <c r="H209" s="686"/>
      <c r="I209" s="686"/>
      <c r="J209" s="686"/>
      <c r="K209" s="686"/>
      <c r="L209" s="686"/>
      <c r="M209" s="686"/>
      <c r="N209" s="686"/>
      <c r="O209" s="686"/>
      <c r="P209" s="686"/>
      <c r="Q209" s="686"/>
      <c r="R209" s="686"/>
      <c r="S209" s="686"/>
      <c r="T209" s="686"/>
      <c r="U209" s="686"/>
      <c r="V209" s="686"/>
      <c r="W209" s="686"/>
      <c r="X209" s="686"/>
      <c r="Y209" s="686"/>
      <c r="Z209" s="686"/>
      <c r="AA209" s="66"/>
      <c r="AB209" s="66"/>
      <c r="AC209" s="80"/>
    </row>
    <row r="210" spans="1:68" ht="27" hidden="1" customHeight="1" x14ac:dyDescent="0.25">
      <c r="A210" s="63" t="s">
        <v>362</v>
      </c>
      <c r="B210" s="63" t="s">
        <v>363</v>
      </c>
      <c r="C210" s="36">
        <v>4301020323</v>
      </c>
      <c r="D210" s="687">
        <v>4680115886223</v>
      </c>
      <c r="E210" s="68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89"/>
      <c r="R210" s="689"/>
      <c r="S210" s="689"/>
      <c r="T210" s="69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95"/>
      <c r="B212" s="695"/>
      <c r="C212" s="695"/>
      <c r="D212" s="695"/>
      <c r="E212" s="695"/>
      <c r="F212" s="695"/>
      <c r="G212" s="695"/>
      <c r="H212" s="695"/>
      <c r="I212" s="695"/>
      <c r="J212" s="695"/>
      <c r="K212" s="695"/>
      <c r="L212" s="695"/>
      <c r="M212" s="695"/>
      <c r="N212" s="695"/>
      <c r="O212" s="696"/>
      <c r="P212" s="692" t="s">
        <v>40</v>
      </c>
      <c r="Q212" s="693"/>
      <c r="R212" s="693"/>
      <c r="S212" s="693"/>
      <c r="T212" s="693"/>
      <c r="U212" s="693"/>
      <c r="V212" s="694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86" t="s">
        <v>77</v>
      </c>
      <c r="B213" s="686"/>
      <c r="C213" s="686"/>
      <c r="D213" s="686"/>
      <c r="E213" s="686"/>
      <c r="F213" s="686"/>
      <c r="G213" s="686"/>
      <c r="H213" s="686"/>
      <c r="I213" s="686"/>
      <c r="J213" s="686"/>
      <c r="K213" s="686"/>
      <c r="L213" s="686"/>
      <c r="M213" s="686"/>
      <c r="N213" s="686"/>
      <c r="O213" s="686"/>
      <c r="P213" s="686"/>
      <c r="Q213" s="686"/>
      <c r="R213" s="686"/>
      <c r="S213" s="686"/>
      <c r="T213" s="686"/>
      <c r="U213" s="686"/>
      <c r="V213" s="686"/>
      <c r="W213" s="686"/>
      <c r="X213" s="686"/>
      <c r="Y213" s="686"/>
      <c r="Z213" s="686"/>
      <c r="AA213" s="66"/>
      <c r="AB213" s="66"/>
      <c r="AC213" s="80"/>
    </row>
    <row r="214" spans="1:68" ht="27" hidden="1" customHeight="1" x14ac:dyDescent="0.25">
      <c r="A214" s="63" t="s">
        <v>365</v>
      </c>
      <c r="B214" s="63" t="s">
        <v>366</v>
      </c>
      <c r="C214" s="36">
        <v>4301031191</v>
      </c>
      <c r="D214" s="687">
        <v>4680115880993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4301031204</v>
      </c>
      <c r="D215" s="687">
        <v>4680115881761</v>
      </c>
      <c r="E215" s="68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371</v>
      </c>
      <c r="B216" s="63" t="s">
        <v>372</v>
      </c>
      <c r="C216" s="36">
        <v>4301031201</v>
      </c>
      <c r="D216" s="687">
        <v>4680115881563</v>
      </c>
      <c r="E216" s="68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87">
        <v>4680115887565</v>
      </c>
      <c r="E217" s="68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16</v>
      </c>
      <c r="Y217" s="55">
        <f t="shared" si="32"/>
        <v>16</v>
      </c>
      <c r="Z217" s="41">
        <f>IFERROR(IF(Y217=0,"",ROUNDUP(Y217/H217,0)*0.00556),"")</f>
        <v>0.11119999999999999</v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18.600000000000001</v>
      </c>
      <c r="BN217" s="78">
        <f t="shared" si="34"/>
        <v>18.600000000000001</v>
      </c>
      <c r="BO217" s="78">
        <f t="shared" si="35"/>
        <v>7.9365079365079361E-2</v>
      </c>
      <c r="BP217" s="78">
        <f t="shared" si="36"/>
        <v>7.9365079365079361E-2</v>
      </c>
    </row>
    <row r="218" spans="1:68" ht="27" hidden="1" customHeight="1" x14ac:dyDescent="0.25">
      <c r="A218" s="63" t="s">
        <v>377</v>
      </c>
      <c r="B218" s="63" t="s">
        <v>378</v>
      </c>
      <c r="C218" s="36">
        <v>4301031199</v>
      </c>
      <c r="D218" s="687">
        <v>4680115880986</v>
      </c>
      <c r="E218" s="68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4301031443</v>
      </c>
      <c r="D219" s="687">
        <v>4680115887213</v>
      </c>
      <c r="E219" s="68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382</v>
      </c>
      <c r="B220" s="63" t="s">
        <v>383</v>
      </c>
      <c r="C220" s="36">
        <v>4301031205</v>
      </c>
      <c r="D220" s="687">
        <v>4680115881785</v>
      </c>
      <c r="E220" s="68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4301031499</v>
      </c>
      <c r="D221" s="687">
        <v>4680115888432</v>
      </c>
      <c r="E221" s="68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4301031427</v>
      </c>
      <c r="D222" s="687">
        <v>4680115888104</v>
      </c>
      <c r="E222" s="687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4301031399</v>
      </c>
      <c r="D223" s="687">
        <v>4680115886537</v>
      </c>
      <c r="E223" s="687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87">
        <v>4680115887596</v>
      </c>
      <c r="E224" s="687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8.8000000000000007</v>
      </c>
      <c r="Y224" s="55">
        <f t="shared" si="32"/>
        <v>8.8000000000000007</v>
      </c>
      <c r="Z224" s="41">
        <f>IFERROR(IF(Y224=0,"",ROUNDUP(Y224/H224,0)*0.00417),"")</f>
        <v>4.5870000000000001E-2</v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11.110000000000001</v>
      </c>
      <c r="BN224" s="78">
        <f t="shared" si="34"/>
        <v>11.110000000000001</v>
      </c>
      <c r="BO224" s="78">
        <f t="shared" si="35"/>
        <v>3.2738095238095233E-2</v>
      </c>
      <c r="BP224" s="78">
        <f t="shared" si="36"/>
        <v>3.2738095238095233E-2</v>
      </c>
    </row>
    <row r="225" spans="1:68" ht="37.5" hidden="1" customHeight="1" x14ac:dyDescent="0.25">
      <c r="A225" s="63" t="s">
        <v>396</v>
      </c>
      <c r="B225" s="63" t="s">
        <v>397</v>
      </c>
      <c r="C225" s="36">
        <v>4301031202</v>
      </c>
      <c r="D225" s="687">
        <v>4680115881679</v>
      </c>
      <c r="E225" s="687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4301031158</v>
      </c>
      <c r="D226" s="687">
        <v>4680115880191</v>
      </c>
      <c r="E226" s="687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400</v>
      </c>
      <c r="B227" s="63" t="s">
        <v>401</v>
      </c>
      <c r="C227" s="36">
        <v>4301031245</v>
      </c>
      <c r="D227" s="687">
        <v>4680115883963</v>
      </c>
      <c r="E227" s="687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89"/>
      <c r="R227" s="689"/>
      <c r="S227" s="689"/>
      <c r="T227" s="69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31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31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0.15706999999999999</v>
      </c>
      <c r="AA228" s="67"/>
      <c r="AB228" s="67"/>
      <c r="AC228" s="67"/>
    </row>
    <row r="229" spans="1:68" x14ac:dyDescent="0.2">
      <c r="A229" s="695"/>
      <c r="B229" s="695"/>
      <c r="C229" s="695"/>
      <c r="D229" s="695"/>
      <c r="E229" s="695"/>
      <c r="F229" s="695"/>
      <c r="G229" s="695"/>
      <c r="H229" s="695"/>
      <c r="I229" s="695"/>
      <c r="J229" s="695"/>
      <c r="K229" s="695"/>
      <c r="L229" s="695"/>
      <c r="M229" s="695"/>
      <c r="N229" s="695"/>
      <c r="O229" s="696"/>
      <c r="P229" s="692" t="s">
        <v>40</v>
      </c>
      <c r="Q229" s="693"/>
      <c r="R229" s="693"/>
      <c r="S229" s="693"/>
      <c r="T229" s="693"/>
      <c r="U229" s="693"/>
      <c r="V229" s="694"/>
      <c r="W229" s="42" t="s">
        <v>0</v>
      </c>
      <c r="X229" s="43">
        <f>IFERROR(SUM(X214:X227),"0")</f>
        <v>24.8</v>
      </c>
      <c r="Y229" s="43">
        <f>IFERROR(SUM(Y214:Y227),"0")</f>
        <v>24.8</v>
      </c>
      <c r="Z229" s="42"/>
      <c r="AA229" s="67"/>
      <c r="AB229" s="67"/>
      <c r="AC229" s="67"/>
    </row>
    <row r="230" spans="1:68" ht="14.25" hidden="1" customHeight="1" x14ac:dyDescent="0.25">
      <c r="A230" s="686" t="s">
        <v>86</v>
      </c>
      <c r="B230" s="686"/>
      <c r="C230" s="686"/>
      <c r="D230" s="686"/>
      <c r="E230" s="686"/>
      <c r="F230" s="686"/>
      <c r="G230" s="686"/>
      <c r="H230" s="686"/>
      <c r="I230" s="686"/>
      <c r="J230" s="686"/>
      <c r="K230" s="686"/>
      <c r="L230" s="686"/>
      <c r="M230" s="686"/>
      <c r="N230" s="686"/>
      <c r="O230" s="686"/>
      <c r="P230" s="686"/>
      <c r="Q230" s="686"/>
      <c r="R230" s="686"/>
      <c r="S230" s="686"/>
      <c r="T230" s="686"/>
      <c r="U230" s="686"/>
      <c r="V230" s="686"/>
      <c r="W230" s="686"/>
      <c r="X230" s="686"/>
      <c r="Y230" s="686"/>
      <c r="Z230" s="686"/>
      <c r="AA230" s="66"/>
      <c r="AB230" s="66"/>
      <c r="AC230" s="80"/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6" t="s">
        <v>107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hidden="1" customHeight="1" x14ac:dyDescent="0.25">
      <c r="A248" s="686" t="s">
        <v>132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6" t="s">
        <v>167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8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0</v>
      </c>
      <c r="BN259" s="78">
        <f t="shared" ref="BN259:BN266" si="40">IFERROR(Y259*I259/H259,"0")</f>
        <v>0</v>
      </c>
      <c r="BO259" s="78">
        <f t="shared" ref="BO259:BO266" si="41">IFERROR(1/J259*(X259/H259),"0")</f>
        <v>0</v>
      </c>
      <c r="BP259" s="78">
        <f t="shared" ref="BP259:BP266" si="42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8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0</v>
      </c>
      <c r="BN261" s="78">
        <f t="shared" si="40"/>
        <v>0</v>
      </c>
      <c r="BO261" s="78">
        <f t="shared" si="41"/>
        <v>0</v>
      </c>
      <c r="BP261" s="78">
        <f t="shared" si="42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8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0</v>
      </c>
      <c r="BN262" s="78">
        <f t="shared" si="40"/>
        <v>0</v>
      </c>
      <c r="BO262" s="78">
        <f t="shared" si="41"/>
        <v>0</v>
      </c>
      <c r="BP262" s="78">
        <f t="shared" si="42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hidden="1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144</v>
      </c>
      <c r="Y276" s="55">
        <f t="shared" si="43"/>
        <v>144</v>
      </c>
      <c r="Z276" s="41">
        <f>IFERROR(IF(Y276=0,"",ROUNDUP(Y276/H276,0)*0.00651),"")</f>
        <v>0.3906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159.12000000000003</v>
      </c>
      <c r="BN276" s="78">
        <f t="shared" si="45"/>
        <v>159.12000000000003</v>
      </c>
      <c r="BO276" s="78">
        <f t="shared" si="46"/>
        <v>0.32967032967032972</v>
      </c>
      <c r="BP276" s="78">
        <f t="shared" si="47"/>
        <v>0.32967032967032972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si="43"/>
        <v>100.8</v>
      </c>
      <c r="Z278" s="41">
        <f>IFERROR(IF(Y278=0,"",ROUNDUP(Y278/H278,0)*0.00651),"")</f>
        <v>0.27342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110.5</v>
      </c>
      <c r="BN278" s="78">
        <f t="shared" si="45"/>
        <v>111.384</v>
      </c>
      <c r="BO278" s="78">
        <f t="shared" si="46"/>
        <v>0.22893772893772898</v>
      </c>
      <c r="BP278" s="78">
        <f t="shared" si="47"/>
        <v>0.23076923076923078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101.66666666666667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102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0.66402000000000005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244</v>
      </c>
      <c r="Y283" s="43">
        <f>IFERROR(SUM(Y270:Y281),"0")</f>
        <v>244.8</v>
      </c>
      <c r="Z283" s="42"/>
      <c r="AA283" s="67"/>
      <c r="AB283" s="67"/>
      <c r="AC283" s="67"/>
    </row>
    <row r="284" spans="1:68" ht="14.25" hidden="1" customHeight="1" x14ac:dyDescent="0.25">
      <c r="A284" s="686" t="s">
        <v>184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hidden="1" customHeight="1" x14ac:dyDescent="0.25">
      <c r="A290" s="686" t="s">
        <v>132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120</v>
      </c>
      <c r="Y294" s="55">
        <f t="shared" si="48"/>
        <v>120</v>
      </c>
      <c r="Z294" s="41">
        <f>IFERROR(IF(Y294=0,"",ROUNDUP(Y294/H294,0)*0.00902),"")</f>
        <v>0.27060000000000001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125.70000000000002</v>
      </c>
      <c r="BN294" s="78">
        <f t="shared" si="50"/>
        <v>125.70000000000002</v>
      </c>
      <c r="BO294" s="78">
        <f t="shared" si="51"/>
        <v>0.22727272727272729</v>
      </c>
      <c r="BP294" s="78">
        <f t="shared" si="52"/>
        <v>0.22727272727272729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120</v>
      </c>
      <c r="Y297" s="55">
        <f t="shared" si="48"/>
        <v>120</v>
      </c>
      <c r="Z297" s="41">
        <f>IFERROR(IF(Y297=0,"",ROUNDUP(Y297/H297,0)*0.00902),"")</f>
        <v>0.27060000000000001</v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125.70000000000002</v>
      </c>
      <c r="BN297" s="78">
        <f t="shared" si="50"/>
        <v>125.70000000000002</v>
      </c>
      <c r="BO297" s="78">
        <f t="shared" si="51"/>
        <v>0.22727272727272729</v>
      </c>
      <c r="BP297" s="78">
        <f t="shared" si="52"/>
        <v>0.22727272727272729</v>
      </c>
    </row>
    <row r="298" spans="1:68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60</v>
      </c>
      <c r="Y298" s="43">
        <f>IFERROR(Y291/H291,"0")+IFERROR(Y292/H292,"0")+IFERROR(Y293/H293,"0")+IFERROR(Y294/H294,"0")+IFERROR(Y295/H295,"0")+IFERROR(Y296/H296,"0")+IFERROR(Y297/H297,"0")</f>
        <v>60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0.54120000000000001</v>
      </c>
      <c r="AA298" s="67"/>
      <c r="AB298" s="67"/>
      <c r="AC298" s="67"/>
    </row>
    <row r="299" spans="1:68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240</v>
      </c>
      <c r="Y299" s="43">
        <f>IFERROR(SUM(Y291:Y297),"0")</f>
        <v>240</v>
      </c>
      <c r="Z299" s="42"/>
      <c r="AA299" s="67"/>
      <c r="AB299" s="67"/>
      <c r="AC299" s="67"/>
    </row>
    <row r="300" spans="1:68" ht="14.25" hidden="1" customHeight="1" x14ac:dyDescent="0.25">
      <c r="A300" s="686" t="s">
        <v>167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6" t="s">
        <v>335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hidden="1" customHeight="1" x14ac:dyDescent="0.25">
      <c r="A315" s="686" t="s">
        <v>132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hidden="1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40.799999999999997</v>
      </c>
      <c r="Z326" s="41">
        <f>IFERROR(IF(Y326=0,"",ROUNDUP(Y326/H326,0)*0.00651),"")</f>
        <v>0.11067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44.20000000000001</v>
      </c>
      <c r="BN326" s="78">
        <f>IFERROR(Y326*I326/H326,"0")</f>
        <v>45.084000000000003</v>
      </c>
      <c r="BO326" s="78">
        <f>IFERROR(1/J326*(X326/H326),"0")</f>
        <v>9.1575091575091583E-2</v>
      </c>
      <c r="BP326" s="78">
        <f>IFERROR(1/J326*(Y326/H326),"0")</f>
        <v>9.3406593406593408E-2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64</v>
      </c>
      <c r="Y327" s="55">
        <f>IFERROR(IF(X327="",0,CEILING((X327/$H327),1)*$H327),"")</f>
        <v>64.8</v>
      </c>
      <c r="Z327" s="41">
        <f>IFERROR(IF(Y327=0,"",ROUNDUP(Y327/H327,0)*0.00651),"")</f>
        <v>0.17577000000000001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68.800000000000011</v>
      </c>
      <c r="BN327" s="78">
        <f>IFERROR(Y327*I327/H327,"0")</f>
        <v>69.66</v>
      </c>
      <c r="BO327" s="78">
        <f>IFERROR(1/J327*(X327/H327),"0")</f>
        <v>0.14652014652014653</v>
      </c>
      <c r="BP327" s="78">
        <f>IFERROR(1/J327*(Y327/H327),"0")</f>
        <v>0.14835164835164835</v>
      </c>
    </row>
    <row r="328" spans="1:68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43.333333333333336</v>
      </c>
      <c r="Y328" s="43">
        <f>IFERROR(Y325/H325,"0")+IFERROR(Y326/H326,"0")+IFERROR(Y327/H327,"0")</f>
        <v>44</v>
      </c>
      <c r="Z328" s="43">
        <f>IFERROR(IF(Z325="",0,Z325),"0")+IFERROR(IF(Z326="",0,Z326),"0")+IFERROR(IF(Z327="",0,Z327),"0")</f>
        <v>0.28644000000000003</v>
      </c>
      <c r="AA328" s="67"/>
      <c r="AB328" s="67"/>
      <c r="AC328" s="67"/>
    </row>
    <row r="329" spans="1:68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104</v>
      </c>
      <c r="Y329" s="43">
        <f>IFERROR(SUM(Y325:Y327),"0")</f>
        <v>105.6</v>
      </c>
      <c r="Z329" s="42"/>
      <c r="AA329" s="67"/>
      <c r="AB329" s="67"/>
      <c r="AC329" s="67"/>
    </row>
    <row r="330" spans="1:68" ht="16.5" hidden="1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hidden="1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150</v>
      </c>
      <c r="Y340" s="55">
        <f>IFERROR(IF(X340="",0,CEILING((X340/$H340),1)*$H340),"")</f>
        <v>151.20000000000002</v>
      </c>
      <c r="Z340" s="41">
        <f>IFERROR(IF(Y340=0,"",ROUNDUP(Y340/H340,0)*0.00902),"")</f>
        <v>0.37884000000000001</v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157.91666666666666</v>
      </c>
      <c r="BN340" s="78">
        <f>IFERROR(Y340*I340/H340,"0")</f>
        <v>159.18000000000004</v>
      </c>
      <c r="BO340" s="78">
        <f>IFERROR(1/J340*(X340/H340),"0")</f>
        <v>0.31565656565656564</v>
      </c>
      <c r="BP340" s="78">
        <f>IFERROR(1/J340*(Y340/H340),"0")</f>
        <v>0.31818181818181823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41.666666666666664</v>
      </c>
      <c r="Y342" s="43">
        <f>IFERROR(Y340/H340,"0")+IFERROR(Y341/H341,"0")</f>
        <v>42.000000000000007</v>
      </c>
      <c r="Z342" s="43">
        <f>IFERROR(IF(Z340="",0,Z340),"0")+IFERROR(IF(Z341="",0,Z341),"0")</f>
        <v>0.37884000000000001</v>
      </c>
      <c r="AA342" s="67"/>
      <c r="AB342" s="67"/>
      <c r="AC342" s="67"/>
    </row>
    <row r="343" spans="1:68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150</v>
      </c>
      <c r="Y343" s="43">
        <f>IFERROR(SUM(Y340:Y341),"0")</f>
        <v>151.20000000000002</v>
      </c>
      <c r="Z343" s="42"/>
      <c r="AA343" s="67"/>
      <c r="AB343" s="67"/>
      <c r="AC343" s="67"/>
    </row>
    <row r="344" spans="1:68" ht="16.5" hidden="1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hidden="1" customHeight="1" x14ac:dyDescent="0.25">
      <c r="A345" s="686" t="s">
        <v>132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hidden="1" customHeight="1" x14ac:dyDescent="0.25">
      <c r="A352" s="686" t="s">
        <v>132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24</v>
      </c>
      <c r="Y358" s="55">
        <f t="shared" si="53"/>
        <v>24</v>
      </c>
      <c r="Z358" s="41">
        <f>IFERROR(IF(Y358=0,"",ROUNDUP(Y358/H358,0)*0.00902),"")</f>
        <v>5.4120000000000001E-2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25.14</v>
      </c>
      <c r="BN358" s="78">
        <f t="shared" si="55"/>
        <v>25.14</v>
      </c>
      <c r="BO358" s="78">
        <f t="shared" si="56"/>
        <v>4.5454545454545456E-2</v>
      </c>
      <c r="BP358" s="78">
        <f t="shared" si="57"/>
        <v>4.5454545454545456E-2</v>
      </c>
    </row>
    <row r="359" spans="1:68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6</v>
      </c>
      <c r="Y359" s="43">
        <f>IFERROR(Y353/H353,"0")+IFERROR(Y354/H354,"0")+IFERROR(Y355/H355,"0")+IFERROR(Y356/H356,"0")+IFERROR(Y357/H357,"0")+IFERROR(Y358/H358,"0")</f>
        <v>6</v>
      </c>
      <c r="Z359" s="43">
        <f>IFERROR(IF(Z353="",0,Z353),"0")+IFERROR(IF(Z354="",0,Z354),"0")+IFERROR(IF(Z355="",0,Z355),"0")+IFERROR(IF(Z356="",0,Z356),"0")+IFERROR(IF(Z357="",0,Z357),"0")+IFERROR(IF(Z358="",0,Z358),"0")</f>
        <v>5.4120000000000001E-2</v>
      </c>
      <c r="AA359" s="67"/>
      <c r="AB359" s="67"/>
      <c r="AC359" s="67"/>
    </row>
    <row r="360" spans="1:68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24</v>
      </c>
      <c r="Y360" s="43">
        <f>IFERROR(SUM(Y353:Y358),"0")</f>
        <v>24</v>
      </c>
      <c r="Z360" s="42"/>
      <c r="AA360" s="67"/>
      <c r="AB360" s="67"/>
      <c r="AC360" s="67"/>
    </row>
    <row r="361" spans="1:68" ht="14.25" hidden="1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52.5</v>
      </c>
      <c r="Y366" s="55">
        <f t="shared" si="58"/>
        <v>52.5</v>
      </c>
      <c r="Z366" s="41">
        <f>IFERROR(IF(Y366=0,"",ROUNDUP(Y366/H366,0)*0.00502),"")</f>
        <v>0.1255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55.000000000000007</v>
      </c>
      <c r="BN366" s="78">
        <f t="shared" si="60"/>
        <v>55.000000000000007</v>
      </c>
      <c r="BO366" s="78">
        <f t="shared" si="61"/>
        <v>0.10683760683760685</v>
      </c>
      <c r="BP366" s="78">
        <f t="shared" si="62"/>
        <v>0.10683760683760685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48</v>
      </c>
      <c r="Y368" s="55">
        <f t="shared" si="58"/>
        <v>48.6</v>
      </c>
      <c r="Z368" s="41">
        <f>IFERROR(IF(Y368=0,"",ROUNDUP(Y368/H368,0)*0.00651),"")</f>
        <v>0.17577000000000001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54.08</v>
      </c>
      <c r="BN368" s="78">
        <f t="shared" si="60"/>
        <v>54.756</v>
      </c>
      <c r="BO368" s="78">
        <f t="shared" si="61"/>
        <v>0.14652014652014653</v>
      </c>
      <c r="BP368" s="78">
        <f t="shared" si="62"/>
        <v>0.14835164835164835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51.666666666666664</v>
      </c>
      <c r="Y369" s="43">
        <f>IFERROR(Y362/H362,"0")+IFERROR(Y363/H363,"0")+IFERROR(Y364/H364,"0")+IFERROR(Y365/H365,"0")+IFERROR(Y366/H366,"0")+IFERROR(Y367/H367,"0")+IFERROR(Y368/H368,"0")</f>
        <v>52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0.30127000000000004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100.5</v>
      </c>
      <c r="Y370" s="43">
        <f>IFERROR(SUM(Y362:Y368),"0")</f>
        <v>101.1</v>
      </c>
      <c r="Z370" s="42"/>
      <c r="AA370" s="67"/>
      <c r="AB370" s="67"/>
      <c r="AC370" s="67"/>
    </row>
    <row r="371" spans="1:68" ht="14.25" hidden="1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86" t="s">
        <v>184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86" t="s">
        <v>107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20.399999999999999</v>
      </c>
      <c r="Y387" s="55">
        <f>IFERROR(IF(X387="",0,CEILING((X387/$H387),1)*$H387),"")</f>
        <v>20.399999999999999</v>
      </c>
      <c r="Z387" s="41">
        <f>IFERROR(IF(Y387=0,"",ROUNDUP(Y387/H387,0)*0.00651),"")</f>
        <v>5.2080000000000001E-2</v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23.64</v>
      </c>
      <c r="BN387" s="78">
        <f>IFERROR(Y387*I387/H387,"0")</f>
        <v>23.64</v>
      </c>
      <c r="BO387" s="78">
        <f>IFERROR(1/J387*(X387/H387),"0")</f>
        <v>4.3956043956043959E-2</v>
      </c>
      <c r="BP387" s="78">
        <f>IFERROR(1/J387*(Y387/H387),"0")</f>
        <v>4.3956043956043959E-2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25.5</v>
      </c>
      <c r="Y388" s="55">
        <f>IFERROR(IF(X388="",0,CEILING((X388/$H388),1)*$H388),"")</f>
        <v>25.5</v>
      </c>
      <c r="Z388" s="41">
        <f>IFERROR(IF(Y388=0,"",ROUNDUP(Y388/H388,0)*0.00651),"")</f>
        <v>6.5100000000000005E-2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28.8</v>
      </c>
      <c r="BN388" s="78">
        <f>IFERROR(Y388*I388/H388,"0")</f>
        <v>28.8</v>
      </c>
      <c r="BO388" s="78">
        <f>IFERROR(1/J388*(X388/H388),"0")</f>
        <v>5.4945054945054951E-2</v>
      </c>
      <c r="BP388" s="78">
        <f>IFERROR(1/J388*(Y388/H388),"0")</f>
        <v>5.4945054945054951E-2</v>
      </c>
    </row>
    <row r="389" spans="1:68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18</v>
      </c>
      <c r="Y389" s="43">
        <f>IFERROR(Y385/H385,"0")+IFERROR(Y386/H386,"0")+IFERROR(Y387/H387,"0")+IFERROR(Y388/H388,"0")</f>
        <v>18</v>
      </c>
      <c r="Z389" s="43">
        <f>IFERROR(IF(Z385="",0,Z385),"0")+IFERROR(IF(Z386="",0,Z386),"0")+IFERROR(IF(Z387="",0,Z387),"0")+IFERROR(IF(Z388="",0,Z388),"0")</f>
        <v>0.11718000000000001</v>
      </c>
      <c r="AA389" s="67"/>
      <c r="AB389" s="67"/>
      <c r="AC389" s="67"/>
    </row>
    <row r="390" spans="1:68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45.9</v>
      </c>
      <c r="Y390" s="43">
        <f>IFERROR(SUM(Y385:Y388),"0")</f>
        <v>45.9</v>
      </c>
      <c r="Z390" s="42"/>
      <c r="AA390" s="67"/>
      <c r="AB390" s="67"/>
      <c r="AC390" s="67"/>
    </row>
    <row r="391" spans="1:68" ht="14.25" hidden="1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18</v>
      </c>
      <c r="Y394" s="55">
        <f>IFERROR(IF(X394="",0,CEILING((X394/$H394),1)*$H394),"")</f>
        <v>18</v>
      </c>
      <c r="Z394" s="41">
        <f>IFERROR(IF(Y394=0,"",ROUNDUP(Y394/H394,0)*0.00474),"")</f>
        <v>4.2660000000000003E-2</v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20.160000000000004</v>
      </c>
      <c r="BN394" s="78">
        <f>IFERROR(Y394*I394/H394,"0")</f>
        <v>20.160000000000004</v>
      </c>
      <c r="BO394" s="78">
        <f>IFERROR(1/J394*(X394/H394),"0")</f>
        <v>3.7815126050420166E-2</v>
      </c>
      <c r="BP394" s="78">
        <f>IFERROR(1/J394*(Y394/H394),"0")</f>
        <v>3.7815126050420166E-2</v>
      </c>
    </row>
    <row r="395" spans="1:68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9</v>
      </c>
      <c r="Y395" s="43">
        <f>IFERROR(Y392/H392,"0")+IFERROR(Y393/H393,"0")+IFERROR(Y394/H394,"0")</f>
        <v>9</v>
      </c>
      <c r="Z395" s="43">
        <f>IFERROR(IF(Z392="",0,Z392),"0")+IFERROR(IF(Z393="",0,Z393),"0")+IFERROR(IF(Z394="",0,Z394),"0")</f>
        <v>4.2660000000000003E-2</v>
      </c>
      <c r="AA395" s="67"/>
      <c r="AB395" s="67"/>
      <c r="AC395" s="67"/>
    </row>
    <row r="396" spans="1:68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18</v>
      </c>
      <c r="Y396" s="43">
        <f>IFERROR(SUM(Y392:Y394),"0")</f>
        <v>18</v>
      </c>
      <c r="Z396" s="42"/>
      <c r="AA396" s="67"/>
      <c r="AB396" s="67"/>
      <c r="AC396" s="67"/>
    </row>
    <row r="397" spans="1:68" ht="16.5" hidden="1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hidden="1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126</v>
      </c>
      <c r="Y400" s="55">
        <f>IFERROR(IF(X400="",0,CEILING((X400/$H400),1)*$H400),"")</f>
        <v>126</v>
      </c>
      <c r="Z400" s="41">
        <f>IFERROR(IF(Y400=0,"",ROUNDUP(Y400/H400,0)*0.00651),"")</f>
        <v>0.3906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141.11999999999998</v>
      </c>
      <c r="BN400" s="78">
        <f>IFERROR(Y400*I400/H400,"0")</f>
        <v>141.11999999999998</v>
      </c>
      <c r="BO400" s="78">
        <f>IFERROR(1/J400*(X400/H400),"0")</f>
        <v>0.32967032967032972</v>
      </c>
      <c r="BP400" s="78">
        <f>IFERROR(1/J400*(Y400/H400),"0")</f>
        <v>0.32967032967032972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73.849999999999994</v>
      </c>
      <c r="Y401" s="55">
        <f>IFERROR(IF(X401="",0,CEILING((X401/$H401),1)*$H401),"")</f>
        <v>75.600000000000009</v>
      </c>
      <c r="Z401" s="41">
        <f>IFERROR(IF(Y401=0,"",ROUNDUP(Y401/H401,0)*0.00651),"")</f>
        <v>0.23436000000000001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82.289999999999978</v>
      </c>
      <c r="BN401" s="78">
        <f>IFERROR(Y401*I401/H401,"0")</f>
        <v>84.24</v>
      </c>
      <c r="BO401" s="78">
        <f>IFERROR(1/J401*(X401/H401),"0")</f>
        <v>0.19322344322344323</v>
      </c>
      <c r="BP401" s="78">
        <f>IFERROR(1/J401*(Y401/H401),"0")</f>
        <v>0.19780219780219782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95.166666666666657</v>
      </c>
      <c r="Y402" s="43">
        <f>IFERROR(Y399/H399,"0")+IFERROR(Y400/H400,"0")+IFERROR(Y401/H401,"0")</f>
        <v>96</v>
      </c>
      <c r="Z402" s="43">
        <f>IFERROR(IF(Z399="",0,Z399),"0")+IFERROR(IF(Z400="",0,Z400),"0")+IFERROR(IF(Z401="",0,Z401),"0")</f>
        <v>0.62495999999999996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199.85</v>
      </c>
      <c r="Y403" s="43">
        <f>IFERROR(SUM(Y399:Y401),"0")</f>
        <v>201.60000000000002</v>
      </c>
      <c r="Z403" s="42"/>
      <c r="AA403" s="67"/>
      <c r="AB403" s="67"/>
      <c r="AC403" s="67"/>
    </row>
    <row r="404" spans="1:68" ht="27.75" hidden="1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hidden="1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hidden="1" customHeight="1" x14ac:dyDescent="0.25">
      <c r="A406" s="686" t="s">
        <v>132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63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0</v>
      </c>
      <c r="BN407" s="78">
        <f t="shared" ref="BN407:BN414" si="65">IFERROR(Y407*I407/H407,"0")</f>
        <v>0</v>
      </c>
      <c r="BO407" s="78">
        <f t="shared" ref="BO407:BO414" si="66">IFERROR(1/J407*(X407/H407),"0")</f>
        <v>0</v>
      </c>
      <c r="BP407" s="78">
        <f t="shared" ref="BP407:BP414" si="67">IFERROR(1/J407*(Y407/H407),"0")</f>
        <v>0</v>
      </c>
    </row>
    <row r="408" spans="1:68" ht="37.5" hidden="1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63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0</v>
      </c>
      <c r="BN408" s="78">
        <f t="shared" si="65"/>
        <v>0</v>
      </c>
      <c r="BO408" s="78">
        <f t="shared" si="66"/>
        <v>0</v>
      </c>
      <c r="BP408" s="78">
        <f t="shared" si="67"/>
        <v>0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150</v>
      </c>
      <c r="Y414" s="55">
        <f t="shared" si="63"/>
        <v>150</v>
      </c>
      <c r="Z414" s="41">
        <f>IFERROR(IF(Y414=0,"",ROUNDUP(Y414/H414,0)*0.00902),"")</f>
        <v>0.27060000000000001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155.70000000000002</v>
      </c>
      <c r="BN414" s="78">
        <f t="shared" si="65"/>
        <v>155.70000000000002</v>
      </c>
      <c r="BO414" s="78">
        <f t="shared" si="66"/>
        <v>0.22727272727272729</v>
      </c>
      <c r="BP414" s="78">
        <f t="shared" si="67"/>
        <v>0.22727272727272729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30</v>
      </c>
      <c r="Y415" s="43">
        <f>IFERROR(Y407/H407,"0")+IFERROR(Y408/H408,"0")+IFERROR(Y409/H409,"0")+IFERROR(Y410/H410,"0")+IFERROR(Y411/H411,"0")+IFERROR(Y412/H412,"0")+IFERROR(Y413/H413,"0")+IFERROR(Y414/H414,"0")</f>
        <v>30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0.27060000000000001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150</v>
      </c>
      <c r="Y416" s="43">
        <f>IFERROR(SUM(Y407:Y414),"0")</f>
        <v>150</v>
      </c>
      <c r="Z416" s="42"/>
      <c r="AA416" s="67"/>
      <c r="AB416" s="67"/>
      <c r="AC416" s="67"/>
    </row>
    <row r="417" spans="1:68" ht="14.25" hidden="1" customHeight="1" x14ac:dyDescent="0.25">
      <c r="A417" s="686" t="s">
        <v>167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68</v>
      </c>
      <c r="Y420" s="55">
        <f>IFERROR(IF(X420="",0,CEILING((X420/$H420),1)*$H420),"")</f>
        <v>68</v>
      </c>
      <c r="Z420" s="41">
        <f>IFERROR(IF(Y420=0,"",ROUNDUP(Y420/H420,0)*0.00902),"")</f>
        <v>0.15334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71.23</v>
      </c>
      <c r="BN420" s="78">
        <f>IFERROR(Y420*I420/H420,"0")</f>
        <v>71.23</v>
      </c>
      <c r="BO420" s="78">
        <f>IFERROR(1/J420*(X420/H420),"0")</f>
        <v>0.12878787878787878</v>
      </c>
      <c r="BP420" s="78">
        <f>IFERROR(1/J420*(Y420/H420),"0")</f>
        <v>0.12878787878787878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17</v>
      </c>
      <c r="Y421" s="43">
        <f>IFERROR(Y418/H418,"0")+IFERROR(Y419/H419,"0")+IFERROR(Y420/H420,"0")</f>
        <v>17</v>
      </c>
      <c r="Z421" s="43">
        <f>IFERROR(IF(Z418="",0,Z418),"0")+IFERROR(IF(Z419="",0,Z419),"0")+IFERROR(IF(Z420="",0,Z420),"0")</f>
        <v>0.15334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68</v>
      </c>
      <c r="Y422" s="43">
        <f>IFERROR(SUM(Y418:Y420),"0")</f>
        <v>68</v>
      </c>
      <c r="Z422" s="42"/>
      <c r="AA422" s="67"/>
      <c r="AB422" s="67"/>
      <c r="AC422" s="67"/>
    </row>
    <row r="423" spans="1:68" ht="14.25" hidden="1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86" t="s">
        <v>184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hidden="1" customHeight="1" x14ac:dyDescent="0.25">
      <c r="A433" s="686" t="s">
        <v>132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hidden="1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hidden="1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22.75</v>
      </c>
      <c r="Y455" s="55">
        <f t="shared" si="68"/>
        <v>23.1</v>
      </c>
      <c r="Z455" s="41">
        <f>IFERROR(IF(Y455=0,"",ROUNDUP(Y455/H455,0)*0.00502),"")</f>
        <v>5.5220000000000005E-2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24.158333333333331</v>
      </c>
      <c r="BN455" s="78">
        <f t="shared" si="70"/>
        <v>24.53</v>
      </c>
      <c r="BO455" s="78">
        <f t="shared" si="71"/>
        <v>4.6296296296296294E-2</v>
      </c>
      <c r="BP455" s="78">
        <f t="shared" si="72"/>
        <v>4.7008547008547015E-2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10.833333333333332</v>
      </c>
      <c r="Y457" s="43">
        <f>IFERROR(Y451/H451,"0")+IFERROR(Y452/H452,"0")+IFERROR(Y453/H453,"0")+IFERROR(Y454/H454,"0")+IFERROR(Y455/H455,"0")+IFERROR(Y456/H456,"0")</f>
        <v>11</v>
      </c>
      <c r="Z457" s="43">
        <f>IFERROR(IF(Z451="",0,Z451),"0")+IFERROR(IF(Z452="",0,Z452),"0")+IFERROR(IF(Z453="",0,Z453),"0")+IFERROR(IF(Z454="",0,Z454),"0")+IFERROR(IF(Z455="",0,Z455),"0")+IFERROR(IF(Z456="",0,Z456),"0")</f>
        <v>5.5220000000000005E-2</v>
      </c>
      <c r="AA457" s="67"/>
      <c r="AB457" s="67"/>
      <c r="AC457" s="67"/>
    </row>
    <row r="458" spans="1:68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22.75</v>
      </c>
      <c r="Y458" s="43">
        <f>IFERROR(SUM(Y451:Y456),"0")</f>
        <v>23.1</v>
      </c>
      <c r="Z458" s="42"/>
      <c r="AA458" s="67"/>
      <c r="AB458" s="67"/>
      <c r="AC458" s="67"/>
    </row>
    <row r="459" spans="1:68" ht="14.25" hidden="1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33</v>
      </c>
      <c r="Y461" s="55">
        <f>IFERROR(IF(X461="",0,CEILING((X461/$H461),1)*$H461),"")</f>
        <v>33.659999999999997</v>
      </c>
      <c r="Z461" s="41">
        <f>IFERROR(IF(Y461=0,"",ROUNDUP(Y461/H461,0)*0.00651),"")</f>
        <v>0.11067</v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37.299999999999997</v>
      </c>
      <c r="BN461" s="78">
        <f>IFERROR(Y461*I461/H461,"0")</f>
        <v>38.045999999999992</v>
      </c>
      <c r="BO461" s="78">
        <f>IFERROR(1/J461*(X461/H461),"0")</f>
        <v>9.1575091575091583E-2</v>
      </c>
      <c r="BP461" s="78">
        <f>IFERROR(1/J461*(Y461/H461),"0")</f>
        <v>9.3406593406593408E-2</v>
      </c>
    </row>
    <row r="462" spans="1:68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16.666666666666668</v>
      </c>
      <c r="Y462" s="43">
        <f>IFERROR(Y460/H460,"0")+IFERROR(Y461/H461,"0")</f>
        <v>17</v>
      </c>
      <c r="Z462" s="43">
        <f>IFERROR(IF(Z460="",0,Z460),"0")+IFERROR(IF(Z461="",0,Z461),"0")</f>
        <v>0.11067</v>
      </c>
      <c r="AA462" s="67"/>
      <c r="AB462" s="67"/>
      <c r="AC462" s="67"/>
    </row>
    <row r="463" spans="1:68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33</v>
      </c>
      <c r="Y463" s="43">
        <f>IFERROR(SUM(Y460:Y461),"0")</f>
        <v>33.659999999999997</v>
      </c>
      <c r="Z463" s="42"/>
      <c r="AA463" s="67"/>
      <c r="AB463" s="67"/>
      <c r="AC463" s="67"/>
    </row>
    <row r="464" spans="1:68" ht="16.5" hidden="1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hidden="1" customHeight="1" x14ac:dyDescent="0.25">
      <c r="A465" s="686" t="s">
        <v>167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hidden="1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hidden="1" customHeight="1" x14ac:dyDescent="0.25">
      <c r="A477" s="686" t="s">
        <v>132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hidden="1" customHeight="1" x14ac:dyDescent="0.25">
      <c r="A479" s="63" t="s">
        <v>765</v>
      </c>
      <c r="B479" s="63" t="s">
        <v>766</v>
      </c>
      <c r="C479" s="36">
        <v>4301012210</v>
      </c>
      <c r="D479" s="687">
        <v>4607091383522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93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 t="shared" si="74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0</v>
      </c>
      <c r="BN481" s="78">
        <f t="shared" si="76"/>
        <v>0</v>
      </c>
      <c r="BO481" s="78">
        <f t="shared" si="77"/>
        <v>0</v>
      </c>
      <c r="BP481" s="78">
        <f t="shared" si="78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hidden="1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 t="shared" si="74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0</v>
      </c>
      <c r="BN483" s="78">
        <f t="shared" si="76"/>
        <v>0</v>
      </c>
      <c r="BO483" s="78">
        <f t="shared" si="77"/>
        <v>0</v>
      </c>
      <c r="BP483" s="78">
        <f t="shared" si="78"/>
        <v>0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192</v>
      </c>
      <c r="Y485" s="55">
        <f t="shared" si="73"/>
        <v>192</v>
      </c>
      <c r="Z485" s="41">
        <f>IFERROR(IF(Y485=0,"",ROUNDUP(Y485/H485,0)*0.00902),"")</f>
        <v>0.36080000000000001</v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276.40000000000003</v>
      </c>
      <c r="BN485" s="78">
        <f t="shared" si="76"/>
        <v>276.40000000000003</v>
      </c>
      <c r="BO485" s="78">
        <f t="shared" si="77"/>
        <v>0.30303030303030304</v>
      </c>
      <c r="BP485" s="78">
        <f t="shared" si="78"/>
        <v>0.30303030303030304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252</v>
      </c>
      <c r="Y486" s="55">
        <f t="shared" si="73"/>
        <v>254.39999999999998</v>
      </c>
      <c r="Z486" s="41">
        <f>IFERROR(IF(Y486=0,"",ROUNDUP(Y486/H486,0)*0.00902),"")</f>
        <v>0.47806000000000004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362.77499999999998</v>
      </c>
      <c r="BN486" s="78">
        <f t="shared" si="76"/>
        <v>366.22999999999996</v>
      </c>
      <c r="BO486" s="78">
        <f t="shared" si="77"/>
        <v>0.39772727272727276</v>
      </c>
      <c r="BP486" s="78">
        <f t="shared" si="78"/>
        <v>0.40151515151515155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92.5</v>
      </c>
      <c r="Y487" s="43">
        <f>IFERROR(Y478/H478,"0")+IFERROR(Y479/H479,"0")+IFERROR(Y480/H480,"0")+IFERROR(Y481/H481,"0")+IFERROR(Y482/H482,"0")+IFERROR(Y483/H483,"0")+IFERROR(Y484/H484,"0")+IFERROR(Y485/H485,"0")+IFERROR(Y486/H486,"0")</f>
        <v>93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0.83886000000000005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444</v>
      </c>
      <c r="Y488" s="43">
        <f>IFERROR(SUM(Y478:Y486),"0")</f>
        <v>446.4</v>
      </c>
      <c r="Z488" s="42"/>
      <c r="AA488" s="67"/>
      <c r="AB488" s="67"/>
      <c r="AC488" s="67"/>
    </row>
    <row r="489" spans="1:68" ht="14.25" hidden="1" customHeight="1" x14ac:dyDescent="0.25">
      <c r="A489" s="686" t="s">
        <v>167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hidden="1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9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0</v>
      </c>
      <c r="BN496" s="78">
        <f t="shared" ref="BN496:BN502" si="81">IFERROR(Y496*I496/H496,"0")</f>
        <v>0</v>
      </c>
      <c r="BO496" s="78">
        <f t="shared" ref="BO496:BO502" si="82">IFERROR(1/J496*(X496/H496),"0")</f>
        <v>0</v>
      </c>
      <c r="BP496" s="78">
        <f t="shared" ref="BP496:BP502" si="83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9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0</v>
      </c>
      <c r="BN497" s="78">
        <f t="shared" si="81"/>
        <v>0</v>
      </c>
      <c r="BO497" s="78">
        <f t="shared" si="82"/>
        <v>0</v>
      </c>
      <c r="BP497" s="78">
        <f t="shared" si="83"/>
        <v>0</v>
      </c>
    </row>
    <row r="498" spans="1:68" ht="27" hidden="1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9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0</v>
      </c>
      <c r="BN498" s="78">
        <f t="shared" si="81"/>
        <v>0</v>
      </c>
      <c r="BO498" s="78">
        <f t="shared" si="82"/>
        <v>0</v>
      </c>
      <c r="BP498" s="78">
        <f t="shared" si="83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idden="1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hidden="1" customHeight="1" x14ac:dyDescent="0.25">
      <c r="A507" s="686" t="s">
        <v>132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86" t="s">
        <v>167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86" t="s">
        <v>184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hidden="1" customHeight="1" x14ac:dyDescent="0.25">
      <c r="A530" s="686" t="s">
        <v>167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2489.1999999999998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2502.3599999999997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2884.9566666666669</v>
      </c>
      <c r="Y535" s="43">
        <f>IFERROR(SUM(BN22:BN531),"0")</f>
        <v>2900.1720000000005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6</v>
      </c>
      <c r="Y536" s="44">
        <f>ROUNDUP(SUM(BP22:BP531),0)</f>
        <v>6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3034.9566666666669</v>
      </c>
      <c r="Y537" s="43">
        <f>GrossWeightTotalR+PalletQtyTotalR*25</f>
        <v>3050.1720000000005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890.83333333333326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896</v>
      </c>
      <c r="Z538" s="42"/>
      <c r="AA538" s="67"/>
      <c r="AB538" s="67"/>
      <c r="AC538" s="67"/>
    </row>
    <row r="539" spans="1:68" ht="14.25" hidden="1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6.4289800000000001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130</v>
      </c>
      <c r="E541" s="966" t="s">
        <v>130</v>
      </c>
      <c r="F541" s="966" t="s">
        <v>130</v>
      </c>
      <c r="G541" s="966" t="s">
        <v>130</v>
      </c>
      <c r="H541" s="966" t="s">
        <v>130</v>
      </c>
      <c r="I541" s="966" t="s">
        <v>130</v>
      </c>
      <c r="J541" s="966" t="s">
        <v>130</v>
      </c>
      <c r="K541" s="966" t="s">
        <v>339</v>
      </c>
      <c r="L541" s="966" t="s">
        <v>339</v>
      </c>
      <c r="M541" s="966" t="s">
        <v>339</v>
      </c>
      <c r="N541" s="967"/>
      <c r="O541" s="966" t="s">
        <v>339</v>
      </c>
      <c r="P541" s="966" t="s">
        <v>339</v>
      </c>
      <c r="Q541" s="966" t="s">
        <v>339</v>
      </c>
      <c r="R541" s="966" t="s">
        <v>339</v>
      </c>
      <c r="S541" s="966" t="s">
        <v>339</v>
      </c>
      <c r="T541" s="966" t="s">
        <v>339</v>
      </c>
      <c r="U541" s="966" t="s">
        <v>339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113</v>
      </c>
      <c r="D542" s="966" t="s">
        <v>131</v>
      </c>
      <c r="E542" s="966" t="s">
        <v>147</v>
      </c>
      <c r="F542" s="966" t="s">
        <v>191</v>
      </c>
      <c r="G542" s="966" t="s">
        <v>212</v>
      </c>
      <c r="H542" s="966" t="s">
        <v>256</v>
      </c>
      <c r="I542" s="966" t="s">
        <v>268</v>
      </c>
      <c r="J542" s="966" t="s">
        <v>130</v>
      </c>
      <c r="K542" s="966" t="s">
        <v>340</v>
      </c>
      <c r="L542" s="966" t="s">
        <v>361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45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68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200.7</v>
      </c>
      <c r="F544" s="52">
        <f>IFERROR(Y88*1,"0")+IFERROR(Y89*1,"0")+IFERROR(Y90*1,"0")+IFERROR(Y91*1,"0")+IFERROR(Y95*1,"0")+IFERROR(Y96*1,"0")+IFERROR(Y97*1,"0")+IFERROR(Y98*1,"0")</f>
        <v>202.5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108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24.8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244.8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240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105.6</v>
      </c>
      <c r="R544" s="52">
        <f>IFERROR(Y332*1,"0")+IFERROR(Y333*1,"0")+IFERROR(Y334*1,"0")+IFERROR(Y335*1,"0")+IFERROR(Y336*1,"0")+IFERROR(Y340*1,"0")+IFERROR(Y341*1,"0")</f>
        <v>151.20000000000002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189</v>
      </c>
      <c r="U544" s="52">
        <f>IFERROR(Y399*1,"0")+IFERROR(Y400*1,"0")+IFERROR(Y401*1,"0")</f>
        <v>201.60000000000002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218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56.76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446.4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83"/>
        <filter val="100,00"/>
        <filter val="100,50"/>
        <filter val="101,67"/>
        <filter val="104,00"/>
        <filter val="108,00"/>
        <filter val="120,00"/>
        <filter val="126,00"/>
        <filter val="144,00"/>
        <filter val="150,00"/>
        <filter val="16,00"/>
        <filter val="16,67"/>
        <filter val="17,00"/>
        <filter val="17,67"/>
        <filter val="18,00"/>
        <filter val="192,00"/>
        <filter val="199,85"/>
        <filter val="2 489,20"/>
        <filter val="2 884,96"/>
        <filter val="20,40"/>
        <filter val="202,50"/>
        <filter val="22,75"/>
        <filter val="24,00"/>
        <filter val="24,80"/>
        <filter val="240,00"/>
        <filter val="244,00"/>
        <filter val="25,00"/>
        <filter val="25,50"/>
        <filter val="252,00"/>
        <filter val="28,33"/>
        <filter val="3 034,96"/>
        <filter val="30,00"/>
        <filter val="31,00"/>
        <filter val="33,00"/>
        <filter val="39,00"/>
        <filter val="40,00"/>
        <filter val="41,67"/>
        <filter val="42,40"/>
        <filter val="43,33"/>
        <filter val="444,00"/>
        <filter val="45,00"/>
        <filter val="45,90"/>
        <filter val="48,00"/>
        <filter val="51,67"/>
        <filter val="52,50"/>
        <filter val="6"/>
        <filter val="6,00"/>
        <filter val="60,00"/>
        <filter val="64,00"/>
        <filter val="68,00"/>
        <filter val="73,85"/>
        <filter val="75,00"/>
        <filter val="76,50"/>
        <filter val="78,00"/>
        <filter val="8,80"/>
        <filter val="890,83"/>
        <filter val="9,00"/>
        <filter val="92,50"/>
        <filter val="95,17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