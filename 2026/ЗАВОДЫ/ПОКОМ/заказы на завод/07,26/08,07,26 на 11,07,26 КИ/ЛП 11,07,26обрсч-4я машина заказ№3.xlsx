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095AF20-40FF-4149-AE86-E07F54965A9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BN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P434" i="2"/>
  <c r="X431" i="2"/>
  <c r="X430" i="2"/>
  <c r="BO429" i="2"/>
  <c r="BM429" i="2"/>
  <c r="Y429" i="2"/>
  <c r="Y431" i="2" s="1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Z401" i="2" s="1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Y343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N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P272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Y186" i="2" s="1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Z104" i="2"/>
  <c r="Y104" i="2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43" i="2" l="1"/>
  <c r="BN43" i="2"/>
  <c r="Z193" i="2"/>
  <c r="Z194" i="2" s="1"/>
  <c r="Z336" i="2"/>
  <c r="BN336" i="2"/>
  <c r="BP500" i="2"/>
  <c r="Z169" i="2"/>
  <c r="Z232" i="2"/>
  <c r="Z429" i="2"/>
  <c r="Z430" i="2" s="1"/>
  <c r="Z32" i="2"/>
  <c r="Z66" i="2"/>
  <c r="Z333" i="2"/>
  <c r="BP497" i="2"/>
  <c r="BN46" i="2"/>
  <c r="BP78" i="2"/>
  <c r="BN115" i="2"/>
  <c r="BP136" i="2"/>
  <c r="BN225" i="2"/>
  <c r="BN244" i="2"/>
  <c r="BN275" i="2"/>
  <c r="BN285" i="2"/>
  <c r="BN301" i="2"/>
  <c r="BN311" i="2"/>
  <c r="BN325" i="2"/>
  <c r="BN413" i="2"/>
  <c r="BN420" i="2"/>
  <c r="Z502" i="2"/>
  <c r="Y513" i="2"/>
  <c r="Y25" i="2"/>
  <c r="BP32" i="2"/>
  <c r="BN55" i="2"/>
  <c r="BP66" i="2"/>
  <c r="BN71" i="2"/>
  <c r="Z78" i="2"/>
  <c r="Z89" i="2"/>
  <c r="BN89" i="2"/>
  <c r="Y131" i="2"/>
  <c r="Z136" i="2"/>
  <c r="Y138" i="2"/>
  <c r="Y166" i="2"/>
  <c r="BP169" i="2"/>
  <c r="BN175" i="2"/>
  <c r="BP184" i="2"/>
  <c r="Z204" i="2"/>
  <c r="BN204" i="2"/>
  <c r="BN215" i="2"/>
  <c r="BP239" i="2"/>
  <c r="BN240" i="2"/>
  <c r="BN250" i="2"/>
  <c r="Z255" i="2"/>
  <c r="BN255" i="2"/>
  <c r="BN280" i="2"/>
  <c r="BN291" i="2"/>
  <c r="BP293" i="2"/>
  <c r="BN294" i="2"/>
  <c r="Y302" i="2"/>
  <c r="BN317" i="2"/>
  <c r="Y337" i="2"/>
  <c r="BP334" i="2"/>
  <c r="BP341" i="2"/>
  <c r="Z367" i="2"/>
  <c r="BN401" i="2"/>
  <c r="BP401" i="2"/>
  <c r="BN410" i="2"/>
  <c r="BN418" i="2"/>
  <c r="Z435" i="2"/>
  <c r="Y447" i="2"/>
  <c r="BN452" i="2"/>
  <c r="Z485" i="2"/>
  <c r="BN485" i="2"/>
  <c r="BN512" i="2"/>
  <c r="BN517" i="2"/>
  <c r="Z483" i="2"/>
  <c r="BP483" i="2"/>
  <c r="Z479" i="2"/>
  <c r="BP470" i="2"/>
  <c r="Z470" i="2"/>
  <c r="Y474" i="2"/>
  <c r="Z460" i="2"/>
  <c r="Z462" i="2" s="1"/>
  <c r="BP460" i="2"/>
  <c r="Z454" i="2"/>
  <c r="BN453" i="2"/>
  <c r="Y430" i="2"/>
  <c r="Z425" i="2"/>
  <c r="BP425" i="2"/>
  <c r="Y427" i="2"/>
  <c r="Y421" i="2"/>
  <c r="BN408" i="2"/>
  <c r="Z387" i="2"/>
  <c r="BP385" i="2"/>
  <c r="BN380" i="2"/>
  <c r="Z375" i="2"/>
  <c r="BP375" i="2"/>
  <c r="BN363" i="2"/>
  <c r="BN358" i="2"/>
  <c r="Z355" i="2"/>
  <c r="BN355" i="2"/>
  <c r="Z347" i="2"/>
  <c r="BN347" i="2"/>
  <c r="Z334" i="2"/>
  <c r="BN278" i="2"/>
  <c r="Z265" i="2"/>
  <c r="BN265" i="2"/>
  <c r="BN260" i="2"/>
  <c r="BN232" i="2"/>
  <c r="BN227" i="2"/>
  <c r="Z225" i="2"/>
  <c r="BN220" i="2"/>
  <c r="BP219" i="2"/>
  <c r="BN217" i="2"/>
  <c r="BN214" i="2"/>
  <c r="BP214" i="2"/>
  <c r="BN199" i="2"/>
  <c r="Y207" i="2"/>
  <c r="BN189" i="2"/>
  <c r="BN182" i="2"/>
  <c r="BP174" i="2"/>
  <c r="Z172" i="2"/>
  <c r="BN172" i="2"/>
  <c r="Z170" i="2"/>
  <c r="BN170" i="2"/>
  <c r="Y155" i="2"/>
  <c r="BN125" i="2"/>
  <c r="BN123" i="2"/>
  <c r="BN118" i="2"/>
  <c r="BN108" i="2"/>
  <c r="Z82" i="2"/>
  <c r="Y67" i="2"/>
  <c r="Y57" i="2"/>
  <c r="X538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02" i="2" s="1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64" i="2"/>
  <c r="Z274" i="2"/>
  <c r="Z295" i="2"/>
  <c r="Z318" i="2"/>
  <c r="Z354" i="2"/>
  <c r="Z364" i="2"/>
  <c r="Z374" i="2"/>
  <c r="Z409" i="2"/>
  <c r="Z419" i="2"/>
  <c r="Z421" i="2" s="1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BN414" i="2"/>
  <c r="Z424" i="2"/>
  <c r="Z426" i="2" s="1"/>
  <c r="BN451" i="2"/>
  <c r="BN461" i="2"/>
  <c r="Z472" i="2"/>
  <c r="Z473" i="2" s="1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Z298" i="2" s="1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Z84" i="2" s="1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Z395" i="2" s="1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Z446" i="2" l="1"/>
  <c r="Z342" i="2"/>
  <c r="Z251" i="2"/>
  <c r="Z328" i="2"/>
  <c r="Z74" i="2"/>
  <c r="Z56" i="2"/>
  <c r="Z349" i="2"/>
  <c r="Z137" i="2"/>
  <c r="Z256" i="2"/>
  <c r="Z287" i="2"/>
  <c r="Z24" i="2"/>
  <c r="Z457" i="2"/>
  <c r="Z389" i="2"/>
  <c r="Z382" i="2"/>
  <c r="Z321" i="2"/>
  <c r="Z185" i="2"/>
  <c r="Z161" i="2"/>
  <c r="Z127" i="2"/>
  <c r="Z110" i="2"/>
  <c r="Z99" i="2"/>
  <c r="Y538" i="2"/>
  <c r="X537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<sst xmlns="http://schemas.openxmlformats.org/spreadsheetml/2006/main" count="4048" uniqueCount="861">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</sst>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46214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Суббота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/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2.52</v>
      </c>
      <c r="Y28" s="55">
        <f t="shared" si="0"/>
        <v>2.52</v>
      </c>
      <c r="Z28" s="41">
        <f t="shared" si="1"/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2.766</v>
      </c>
      <c r="BN28" s="78">
        <f t="shared" si="3"/>
        <v>2.766</v>
      </c>
      <c r="BO28" s="78">
        <f t="shared" si="4"/>
        <v>5.4945054945054949E-3</v>
      </c>
      <c r="BP28" s="78">
        <f t="shared" si="5"/>
        <v>5.4945054945054949E-3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1.8</v>
      </c>
      <c r="Y30" s="55">
        <f t="shared" si="0"/>
        <v>1.8</v>
      </c>
      <c r="Z30" s="41">
        <f t="shared" si="1"/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3.18</v>
      </c>
      <c r="BN30" s="78">
        <f t="shared" si="3"/>
        <v>3.18</v>
      </c>
      <c r="BO30" s="78">
        <f t="shared" si="4"/>
        <v>5.4945054945054949E-3</v>
      </c>
      <c r="BP30" s="78">
        <f t="shared" si="5"/>
        <v>5.4945054945054949E-3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87">
        <v>4680115887657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70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87">
        <v>4680115887619</v>
      </c>
      <c r="E32" s="68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9"/>
      <c r="R32" s="689"/>
      <c r="S32" s="689"/>
      <c r="T32" s="69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39</v>
      </c>
      <c r="X33" s="43">
        <f>IFERROR(X27/H27,"0")+IFERROR(X28/H28,"0")+IFERROR(X29/H29,"0")+IFERROR(X30/H30,"0")+IFERROR(X31/H31,"0")+IFERROR(X32/H32,"0")</f>
        <v>2</v>
      </c>
      <c r="Y33" s="43">
        <f>IFERROR(Y27/H27,"0")+IFERROR(Y28/H28,"0")+IFERROR(Y29/H29,"0")+IFERROR(Y30/H30,"0")+IFERROR(Y31/H31,"0")+IFERROR(Y32/H32,"0")</f>
        <v>2</v>
      </c>
      <c r="Z33" s="43">
        <f>IFERROR(IF(Z27="",0,Z27),"0")+IFERROR(IF(Z28="",0,Z28),"0")+IFERROR(IF(Z29="",0,Z29),"0")+IFERROR(IF(Z30="",0,Z30),"0")+IFERROR(IF(Z31="",0,Z31),"0")+IFERROR(IF(Z32="",0,Z32),"0")</f>
        <v>1.302E-2</v>
      </c>
      <c r="AA33" s="67"/>
      <c r="AB33" s="67"/>
      <c r="AC33" s="67"/>
    </row>
    <row r="34" spans="1:68" x14ac:dyDescent="0.2">
      <c r="A34" s="695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6"/>
      <c r="P34" s="692" t="s">
        <v>40</v>
      </c>
      <c r="Q34" s="693"/>
      <c r="R34" s="693"/>
      <c r="S34" s="693"/>
      <c r="T34" s="693"/>
      <c r="U34" s="693"/>
      <c r="V34" s="694"/>
      <c r="W34" s="42" t="s">
        <v>0</v>
      </c>
      <c r="X34" s="43">
        <f>IFERROR(SUM(X27:X32),"0")</f>
        <v>4.32</v>
      </c>
      <c r="Y34" s="43">
        <f>IFERROR(SUM(Y27:Y32),"0")</f>
        <v>4.32</v>
      </c>
      <c r="Z34" s="42"/>
      <c r="AA34" s="67"/>
      <c r="AB34" s="67"/>
      <c r="AC34" s="67"/>
    </row>
    <row r="35" spans="1:68" ht="14.25" hidden="1" customHeight="1" x14ac:dyDescent="0.25">
      <c r="A35" s="686" t="s">
        <v>107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87">
        <v>4607091388503</v>
      </c>
      <c r="E36" s="68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9"/>
      <c r="R36" s="689"/>
      <c r="S36" s="689"/>
      <c r="T36" s="69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95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6"/>
      <c r="P38" s="692" t="s">
        <v>40</v>
      </c>
      <c r="Q38" s="693"/>
      <c r="R38" s="693"/>
      <c r="S38" s="693"/>
      <c r="T38" s="693"/>
      <c r="U38" s="693"/>
      <c r="V38" s="69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84" t="s">
        <v>45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54"/>
      <c r="AB39" s="54"/>
      <c r="AC39" s="54"/>
    </row>
    <row r="40" spans="1:68" ht="16.5" hidden="1" customHeight="1" x14ac:dyDescent="0.25">
      <c r="A40" s="685" t="s">
        <v>113</v>
      </c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5"/>
      <c r="AB40" s="65"/>
      <c r="AC40" s="79"/>
    </row>
    <row r="41" spans="1:68" ht="14.25" hidden="1" customHeight="1" x14ac:dyDescent="0.25">
      <c r="A41" s="686" t="s">
        <v>86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87">
        <v>4680115889354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87">
        <v>4680115888463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87">
        <v>4680115888494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87">
        <v>4680115888272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87">
        <v>4680115888364</v>
      </c>
      <c r="E46" s="687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9"/>
      <c r="R46" s="689"/>
      <c r="S46" s="689"/>
      <c r="T46" s="69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95"/>
      <c r="B48" s="695"/>
      <c r="C48" s="695"/>
      <c r="D48" s="695"/>
      <c r="E48" s="695"/>
      <c r="F48" s="695"/>
      <c r="G48" s="695"/>
      <c r="H48" s="695"/>
      <c r="I48" s="695"/>
      <c r="J48" s="695"/>
      <c r="K48" s="695"/>
      <c r="L48" s="695"/>
      <c r="M48" s="695"/>
      <c r="N48" s="695"/>
      <c r="O48" s="696"/>
      <c r="P48" s="692" t="s">
        <v>40</v>
      </c>
      <c r="Q48" s="693"/>
      <c r="R48" s="693"/>
      <c r="S48" s="693"/>
      <c r="T48" s="693"/>
      <c r="U48" s="693"/>
      <c r="V48" s="694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84" t="s">
        <v>130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54"/>
      <c r="AB49" s="54"/>
      <c r="AC49" s="54"/>
    </row>
    <row r="50" spans="1:68" ht="16.5" hidden="1" customHeight="1" x14ac:dyDescent="0.25">
      <c r="A50" s="685" t="s">
        <v>131</v>
      </c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5"/>
      <c r="AB50" s="65"/>
      <c r="AC50" s="79"/>
    </row>
    <row r="51" spans="1:68" ht="14.25" hidden="1" customHeight="1" x14ac:dyDescent="0.25">
      <c r="A51" s="686" t="s">
        <v>132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87">
        <v>4607091385670</v>
      </c>
      <c r="E52" s="68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108</v>
      </c>
      <c r="Y52" s="55">
        <f>IFERROR(IF(X52="",0,CEILING((X52/$H52),1)*$H52),"")</f>
        <v>108</v>
      </c>
      <c r="Z52" s="41">
        <f>IFERROR(IF(Y52=0,"",ROUNDUP(Y52/H52,0)*0.01898),"")</f>
        <v>0.1898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112.1</v>
      </c>
      <c r="BN52" s="78">
        <f>IFERROR(Y52*I52/H52,"0")</f>
        <v>112.1</v>
      </c>
      <c r="BO52" s="78">
        <f>IFERROR(1/J52*(X52/H52),"0")</f>
        <v>0.15625</v>
      </c>
      <c r="BP52" s="78">
        <f>IFERROR(1/J52*(Y52/H52),"0")</f>
        <v>0.15625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87">
        <v>4680115887725</v>
      </c>
      <c r="E53" s="687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7">
        <v>4607091385687</v>
      </c>
      <c r="E54" s="68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20</v>
      </c>
      <c r="Y54" s="55">
        <f>IFERROR(IF(X54="",0,CEILING((X54/$H54),1)*$H54),"")</f>
        <v>20</v>
      </c>
      <c r="Z54" s="41">
        <f>IFERROR(IF(Y54=0,"",ROUNDUP(Y54/H54,0)*0.00902),"")</f>
        <v>4.5100000000000001E-2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20.950000000000003</v>
      </c>
      <c r="BN54" s="78">
        <f>IFERROR(Y54*I54/H54,"0")</f>
        <v>20.950000000000003</v>
      </c>
      <c r="BO54" s="78">
        <f>IFERROR(1/J54*(X54/H54),"0")</f>
        <v>3.787878787878788E-2</v>
      </c>
      <c r="BP54" s="78">
        <f>IFERROR(1/J54*(Y54/H54),"0")</f>
        <v>3.787878787878788E-2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87">
        <v>4680115882539</v>
      </c>
      <c r="E55" s="687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9"/>
      <c r="R55" s="689"/>
      <c r="S55" s="689"/>
      <c r="T55" s="690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39</v>
      </c>
      <c r="X56" s="43">
        <f>IFERROR(X52/H52,"0")+IFERROR(X53/H53,"0")+IFERROR(X54/H54,"0")+IFERROR(X55/H55,"0")</f>
        <v>15</v>
      </c>
      <c r="Y56" s="43">
        <f>IFERROR(Y52/H52,"0")+IFERROR(Y53/H53,"0")+IFERROR(Y54/H54,"0")+IFERROR(Y55/H55,"0")</f>
        <v>15</v>
      </c>
      <c r="Z56" s="43">
        <f>IFERROR(IF(Z52="",0,Z52),"0")+IFERROR(IF(Z53="",0,Z53),"0")+IFERROR(IF(Z54="",0,Z54),"0")+IFERROR(IF(Z55="",0,Z55),"0")</f>
        <v>0.2349</v>
      </c>
      <c r="AA56" s="67"/>
      <c r="AB56" s="67"/>
      <c r="AC56" s="67"/>
    </row>
    <row r="57" spans="1:68" x14ac:dyDescent="0.2">
      <c r="A57" s="695"/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6"/>
      <c r="P57" s="692" t="s">
        <v>40</v>
      </c>
      <c r="Q57" s="693"/>
      <c r="R57" s="693"/>
      <c r="S57" s="693"/>
      <c r="T57" s="693"/>
      <c r="U57" s="693"/>
      <c r="V57" s="694"/>
      <c r="W57" s="42" t="s">
        <v>0</v>
      </c>
      <c r="X57" s="43">
        <f>IFERROR(SUM(X52:X55),"0")</f>
        <v>128</v>
      </c>
      <c r="Y57" s="43">
        <f>IFERROR(SUM(Y52:Y55),"0")</f>
        <v>128</v>
      </c>
      <c r="Z57" s="42"/>
      <c r="AA57" s="67"/>
      <c r="AB57" s="67"/>
      <c r="AC57" s="67"/>
    </row>
    <row r="58" spans="1:68" ht="16.5" hidden="1" customHeight="1" x14ac:dyDescent="0.25">
      <c r="A58" s="685" t="s">
        <v>147</v>
      </c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5"/>
      <c r="AB58" s="65"/>
      <c r="AC58" s="79"/>
    </row>
    <row r="59" spans="1:68" ht="14.25" hidden="1" customHeight="1" x14ac:dyDescent="0.25">
      <c r="A59" s="686" t="s">
        <v>132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87">
        <v>4680115885882</v>
      </c>
      <c r="E61" s="687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87">
        <v>4680115881426</v>
      </c>
      <c r="E62" s="68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64.8</v>
      </c>
      <c r="Y62" s="55">
        <f t="shared" si="6"/>
        <v>64.800000000000011</v>
      </c>
      <c r="Z62" s="41">
        <f>IFERROR(IF(Y62=0,"",ROUNDUP(Y62/H62,0)*0.01898),"")</f>
        <v>0.11388000000000001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67.259999999999991</v>
      </c>
      <c r="BN62" s="78">
        <f t="shared" si="8"/>
        <v>67.260000000000005</v>
      </c>
      <c r="BO62" s="78">
        <f t="shared" si="9"/>
        <v>9.3749999999999986E-2</v>
      </c>
      <c r="BP62" s="78">
        <f t="shared" si="10"/>
        <v>9.3750000000000014E-2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9"/>
      <c r="R63" s="689"/>
      <c r="S63" s="689"/>
      <c r="T63" s="69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hidden="1" customHeight="1" x14ac:dyDescent="0.25">
      <c r="A66" s="63" t="s">
        <v>164</v>
      </c>
      <c r="B66" s="63" t="s">
        <v>165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IFERROR(X60/H60,"0")+IFERROR(X61/H61,"0")+IFERROR(X62/H62,"0")+IFERROR(X63/H63,"0")+IFERROR(X64/H64,"0")+IFERROR(X65/H65,"0")+IFERROR(X66/H66,"0")</f>
        <v>5.9999999999999991</v>
      </c>
      <c r="Y67" s="43">
        <f>IFERROR(Y60/H60,"0")+IFERROR(Y61/H61,"0")+IFERROR(Y62/H62,"0")+IFERROR(Y63/H63,"0")+IFERROR(Y64/H64,"0")+IFERROR(Y65/H65,"0")+IFERROR(Y66/H66,"0")</f>
        <v>6.0000000000000009</v>
      </c>
      <c r="Z67" s="43">
        <f>IFERROR(IF(Z60="",0,Z60),"0")+IFERROR(IF(Z61="",0,Z61),"0")+IFERROR(IF(Z62="",0,Z62),"0")+IFERROR(IF(Z63="",0,Z63),"0")+IFERROR(IF(Z64="",0,Z64),"0")+IFERROR(IF(Z65="",0,Z65),"0")+IFERROR(IF(Z66="",0,Z66),"0")</f>
        <v>0.11388000000000001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IFERROR(SUM(X60:X66),"0")</f>
        <v>64.8</v>
      </c>
      <c r="Y68" s="43">
        <f>IFERROR(SUM(Y60:Y66),"0")</f>
        <v>64.800000000000011</v>
      </c>
      <c r="Z68" s="42"/>
      <c r="AA68" s="67"/>
      <c r="AB68" s="67"/>
      <c r="AC68" s="67"/>
    </row>
    <row r="69" spans="1:68" ht="14.25" hidden="1" customHeight="1" x14ac:dyDescent="0.25">
      <c r="A69" s="686" t="s">
        <v>167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hidden="1" customHeight="1" x14ac:dyDescent="0.25">
      <c r="A70" s="63" t="s">
        <v>168</v>
      </c>
      <c r="B70" s="63" t="s">
        <v>169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10</v>
      </c>
      <c r="Y74" s="43">
        <f>IFERROR(Y70/H70,"0")+IFERROR(Y71/H71,"0")+IFERROR(Y72/H72,"0")+IFERROR(Y73/H73,"0")</f>
        <v>10</v>
      </c>
      <c r="Z74" s="43">
        <f>IFERROR(IF(Z70="",0,Z70),"0")+IFERROR(IF(Z71="",0,Z71),"0")+IFERROR(IF(Z72="",0,Z72),"0")+IFERROR(IF(Z73="",0,Z73),"0")</f>
        <v>6.5100000000000005E-2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27</v>
      </c>
      <c r="Y75" s="43">
        <f>IFERROR(SUM(Y70:Y73),"0")</f>
        <v>27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184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685" t="s">
        <v>191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132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hidden="1" customHeight="1" x14ac:dyDescent="0.25">
      <c r="A88" s="63" t="s">
        <v>192</v>
      </c>
      <c r="B88" s="63" t="s">
        <v>193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27</v>
      </c>
      <c r="Y91" s="55">
        <f>IFERROR(IF(X91="",0,CEILING((X91/$H91),1)*$H91),"")</f>
        <v>27</v>
      </c>
      <c r="Z91" s="41">
        <f>IFERROR(IF(Y91=0,"",ROUNDUP(Y91/H91,0)*0.00902),"")</f>
        <v>5.4120000000000001E-2</v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28.14</v>
      </c>
      <c r="BN91" s="78">
        <f>IFERROR(Y91*I91/H91,"0")</f>
        <v>28.14</v>
      </c>
      <c r="BO91" s="78">
        <f>IFERROR(1/J91*(X91/H91),"0")</f>
        <v>4.5454545454545456E-2</v>
      </c>
      <c r="BP91" s="78">
        <f>IFERROR(1/J91*(Y91/H91),"0")</f>
        <v>4.5454545454545456E-2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6</v>
      </c>
      <c r="Y92" s="43">
        <f>IFERROR(Y88/H88,"0")+IFERROR(Y89/H89,"0")+IFERROR(Y90/H90,"0")+IFERROR(Y91/H91,"0")</f>
        <v>6</v>
      </c>
      <c r="Z92" s="43">
        <f>IFERROR(IF(Z88="",0,Z88),"0")+IFERROR(IF(Z89="",0,Z89),"0")+IFERROR(IF(Z90="",0,Z90),"0")+IFERROR(IF(Z91="",0,Z91),"0")</f>
        <v>5.4120000000000001E-2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27</v>
      </c>
      <c r="Y93" s="43">
        <f>IFERROR(SUM(Y88:Y91),"0")</f>
        <v>27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56.7</v>
      </c>
      <c r="Y95" s="55">
        <f>IFERROR(IF(X95="",0,CEILING((X95/$H95),1)*$H95),"")</f>
        <v>56.699999999999996</v>
      </c>
      <c r="Z95" s="41">
        <f>IFERROR(IF(Y95=0,"",ROUNDUP(Y95/H95,0)*0.01898),"")</f>
        <v>0.13286000000000001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60.158000000000001</v>
      </c>
      <c r="BN95" s="78">
        <f>IFERROR(Y95*I95/H95,"0")</f>
        <v>60.157999999999994</v>
      </c>
      <c r="BO95" s="78">
        <f>IFERROR(1/J95*(X95/H95),"0")</f>
        <v>0.10937500000000001</v>
      </c>
      <c r="BP95" s="78">
        <f>IFERROR(1/J95*(Y95/H95),"0")</f>
        <v>0.109375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5.4</v>
      </c>
      <c r="Y97" s="55">
        <f>IFERROR(IF(X97="",0,CEILING((X97/$H97),1)*$H97),"")</f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5.9039999999999999</v>
      </c>
      <c r="BN97" s="78">
        <f>IFERROR(Y97*I97/H97,"0")</f>
        <v>5.9039999999999999</v>
      </c>
      <c r="BO97" s="78">
        <f>IFERROR(1/J97*(X97/H97),"0")</f>
        <v>1.098901098901099E-2</v>
      </c>
      <c r="BP97" s="78">
        <f>IFERROR(1/J97*(Y97/H97),"0")</f>
        <v>1.098901098901099E-2</v>
      </c>
    </row>
    <row r="98" spans="1:68" ht="16.5" customHeight="1" x14ac:dyDescent="0.25">
      <c r="A98" s="63" t="s">
        <v>209</v>
      </c>
      <c r="B98" s="63" t="s">
        <v>210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10</v>
      </c>
      <c r="Y99" s="43">
        <f>IFERROR(Y95/H95,"0")+IFERROR(Y96/H96,"0")+IFERROR(Y97/H97,"0")+IFERROR(Y98/H98,"0")</f>
        <v>10</v>
      </c>
      <c r="Z99" s="43">
        <f>IFERROR(IF(Z95="",0,Z95),"0")+IFERROR(IF(Z96="",0,Z96),"0")+IFERROR(IF(Z97="",0,Z97),"0")+IFERROR(IF(Z98="",0,Z98),"0")</f>
        <v>0.15239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64.08</v>
      </c>
      <c r="Y100" s="43">
        <f>IFERROR(SUM(Y95:Y98),"0")</f>
        <v>64.08</v>
      </c>
      <c r="Z100" s="42"/>
      <c r="AA100" s="67"/>
      <c r="AB100" s="67"/>
      <c r="AC100" s="67"/>
    </row>
    <row r="101" spans="1:68" ht="16.5" hidden="1" customHeight="1" x14ac:dyDescent="0.25">
      <c r="A101" s="685" t="s">
        <v>212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132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54</v>
      </c>
      <c r="Y103" s="55">
        <f t="shared" ref="Y103:Y109" si="11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56.05</v>
      </c>
      <c r="BN103" s="78">
        <f t="shared" ref="BN103:BN109" si="13">IFERROR(Y103*I103/H103,"0")</f>
        <v>56.05</v>
      </c>
      <c r="BO103" s="78">
        <f t="shared" ref="BO103:BO109" si="14">IFERROR(1/J103*(X103/H103),"0")</f>
        <v>7.8125E-2</v>
      </c>
      <c r="BP103" s="78">
        <f t="shared" ref="BP103:BP109" si="15">IFERROR(1/J103*(Y103/H103),"0")</f>
        <v>7.8125E-2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87">
        <v>4680115887749</v>
      </c>
      <c r="E106" s="687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87">
        <v>4680115880269</v>
      </c>
      <c r="E107" s="68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87">
        <v>4680115880429</v>
      </c>
      <c r="E108" s="68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22.5</v>
      </c>
      <c r="Y108" s="55">
        <f t="shared" si="11"/>
        <v>22.5</v>
      </c>
      <c r="Z108" s="41">
        <f>IFERROR(IF(Y108=0,"",ROUNDUP(Y108/H108,0)*0.00902),"")</f>
        <v>4.5100000000000001E-2</v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23.450000000000003</v>
      </c>
      <c r="BN108" s="78">
        <f t="shared" si="13"/>
        <v>23.450000000000003</v>
      </c>
      <c r="BO108" s="78">
        <f t="shared" si="14"/>
        <v>3.787878787878788E-2</v>
      </c>
      <c r="BP108" s="78">
        <f t="shared" si="15"/>
        <v>3.787878787878788E-2</v>
      </c>
    </row>
    <row r="109" spans="1:68" ht="37.5" customHeight="1" x14ac:dyDescent="0.25">
      <c r="A109" s="63" t="s">
        <v>226</v>
      </c>
      <c r="B109" s="63" t="s">
        <v>227</v>
      </c>
      <c r="C109" s="36">
        <v>4301011462</v>
      </c>
      <c r="D109" s="687">
        <v>4680115881457</v>
      </c>
      <c r="E109" s="68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9"/>
      <c r="R109" s="689"/>
      <c r="S109" s="689"/>
      <c r="T109" s="690"/>
      <c r="U109" s="39" t="s">
        <v>46</v>
      </c>
      <c r="V109" s="39" t="s">
        <v>46</v>
      </c>
      <c r="W109" s="40" t="s">
        <v>0</v>
      </c>
      <c r="X109" s="58">
        <v>9</v>
      </c>
      <c r="Y109" s="55">
        <f t="shared" si="11"/>
        <v>9</v>
      </c>
      <c r="Z109" s="41">
        <f>IFERROR(IF(Y109=0,"",ROUNDUP(Y109/H109,0)*0.00902),"")</f>
        <v>1.804E-2</v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9.3800000000000008</v>
      </c>
      <c r="BN109" s="78">
        <f t="shared" si="13"/>
        <v>9.3800000000000008</v>
      </c>
      <c r="BO109" s="78">
        <f t="shared" si="14"/>
        <v>1.5151515151515152E-2</v>
      </c>
      <c r="BP109" s="78">
        <f t="shared" si="15"/>
        <v>1.5151515151515152E-2</v>
      </c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39</v>
      </c>
      <c r="X110" s="43">
        <f>IFERROR(X103/H103,"0")+IFERROR(X104/H104,"0")+IFERROR(X105/H105,"0")+IFERROR(X106/H106,"0")+IFERROR(X107/H107,"0")+IFERROR(X108/H108,"0")+IFERROR(X109/H109,"0")</f>
        <v>12</v>
      </c>
      <c r="Y110" s="43">
        <f>IFERROR(Y103/H103,"0")+IFERROR(Y104/H104,"0")+IFERROR(Y105/H105,"0")+IFERROR(Y106/H106,"0")+IFERROR(Y107/H107,"0")+IFERROR(Y108/H108,"0")+IFERROR(Y109/H109,"0")</f>
        <v>12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0.15804000000000001</v>
      </c>
      <c r="AA110" s="67"/>
      <c r="AB110" s="67"/>
      <c r="AC110" s="67"/>
    </row>
    <row r="111" spans="1:68" x14ac:dyDescent="0.2">
      <c r="A111" s="695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95"/>
      <c r="O111" s="696"/>
      <c r="P111" s="692" t="s">
        <v>40</v>
      </c>
      <c r="Q111" s="693"/>
      <c r="R111" s="693"/>
      <c r="S111" s="693"/>
      <c r="T111" s="693"/>
      <c r="U111" s="693"/>
      <c r="V111" s="694"/>
      <c r="W111" s="42" t="s">
        <v>0</v>
      </c>
      <c r="X111" s="43">
        <f>IFERROR(SUM(X103:X109),"0")</f>
        <v>85.5</v>
      </c>
      <c r="Y111" s="43">
        <f>IFERROR(SUM(Y103:Y109),"0")</f>
        <v>85.5</v>
      </c>
      <c r="Z111" s="42"/>
      <c r="AA111" s="67"/>
      <c r="AB111" s="67"/>
      <c r="AC111" s="67"/>
    </row>
    <row r="112" spans="1:68" ht="14.25" hidden="1" customHeight="1" x14ac:dyDescent="0.25">
      <c r="A112" s="686" t="s">
        <v>167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87">
        <v>4680115881488</v>
      </c>
      <c r="E114" s="687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87">
        <v>4680115887664</v>
      </c>
      <c r="E115" s="687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87">
        <v>4680115887664</v>
      </c>
      <c r="E116" s="687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87">
        <v>4680115882775</v>
      </c>
      <c r="E117" s="68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customHeight="1" x14ac:dyDescent="0.25">
      <c r="A118" s="63" t="s">
        <v>240</v>
      </c>
      <c r="B118" s="63" t="s">
        <v>241</v>
      </c>
      <c r="C118" s="36">
        <v>4301020344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7.2</v>
      </c>
      <c r="Y118" s="55">
        <f t="shared" si="16"/>
        <v>7.1999999999999993</v>
      </c>
      <c r="Z118" s="41">
        <f>IFERROR(IF(Y118=0,"",ROUNDUP(Y118/H118,0)*0.00651),"")</f>
        <v>1.9529999999999999E-2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7.74</v>
      </c>
      <c r="BN118" s="78">
        <f t="shared" si="18"/>
        <v>7.7399999999999993</v>
      </c>
      <c r="BO118" s="78">
        <f t="shared" si="19"/>
        <v>1.6483516483516484E-2</v>
      </c>
      <c r="BP118" s="78">
        <f t="shared" si="20"/>
        <v>1.6483516483516484E-2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87">
        <v>4680115880658</v>
      </c>
      <c r="E119" s="68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9"/>
      <c r="R119" s="689"/>
      <c r="S119" s="689"/>
      <c r="T119" s="690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39</v>
      </c>
      <c r="X120" s="43">
        <f>IFERROR(X113/H113,"0")+IFERROR(X114/H114,"0")+IFERROR(X115/H115,"0")+IFERROR(X116/H116,"0")+IFERROR(X117/H117,"0")+IFERROR(X118/H118,"0")+IFERROR(X119/H119,"0")</f>
        <v>3</v>
      </c>
      <c r="Y120" s="43">
        <f>IFERROR(Y113/H113,"0")+IFERROR(Y114/H114,"0")+IFERROR(Y115/H115,"0")+IFERROR(Y116/H116,"0")+IFERROR(Y117/H117,"0")+IFERROR(Y118/H118,"0")+IFERROR(Y119/H119,"0")</f>
        <v>3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1.9529999999999999E-2</v>
      </c>
      <c r="AA120" s="67"/>
      <c r="AB120" s="67"/>
      <c r="AC120" s="67"/>
    </row>
    <row r="121" spans="1:68" x14ac:dyDescent="0.2">
      <c r="A121" s="695"/>
      <c r="B121" s="695"/>
      <c r="C121" s="695"/>
      <c r="D121" s="695"/>
      <c r="E121" s="695"/>
      <c r="F121" s="695"/>
      <c r="G121" s="695"/>
      <c r="H121" s="695"/>
      <c r="I121" s="695"/>
      <c r="J121" s="695"/>
      <c r="K121" s="695"/>
      <c r="L121" s="695"/>
      <c r="M121" s="695"/>
      <c r="N121" s="695"/>
      <c r="O121" s="696"/>
      <c r="P121" s="692" t="s">
        <v>40</v>
      </c>
      <c r="Q121" s="693"/>
      <c r="R121" s="693"/>
      <c r="S121" s="693"/>
      <c r="T121" s="693"/>
      <c r="U121" s="693"/>
      <c r="V121" s="694"/>
      <c r="W121" s="42" t="s">
        <v>0</v>
      </c>
      <c r="X121" s="43">
        <f>IFERROR(SUM(X113:X119),"0")</f>
        <v>7.2</v>
      </c>
      <c r="Y121" s="43">
        <f>IFERROR(SUM(Y113:Y119),"0")</f>
        <v>7.1999999999999993</v>
      </c>
      <c r="Z121" s="42"/>
      <c r="AA121" s="67"/>
      <c r="AB121" s="67"/>
      <c r="AC121" s="67"/>
    </row>
    <row r="122" spans="1:68" ht="14.25" hidden="1" customHeight="1" x14ac:dyDescent="0.25">
      <c r="A122" s="686" t="s">
        <v>86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87">
        <v>4607091385168</v>
      </c>
      <c r="E123" s="68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64.8</v>
      </c>
      <c r="Y123" s="55">
        <f>IFERROR(IF(X123="",0,CEILING((X123/$H123),1)*$H123),"")</f>
        <v>64.8</v>
      </c>
      <c r="Z123" s="41">
        <f>IFERROR(IF(Y123=0,"",ROUNDUP(Y123/H123,0)*0.01898),"")</f>
        <v>0.15184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68.703999999999994</v>
      </c>
      <c r="BN123" s="78">
        <f>IFERROR(Y123*I123/H123,"0")</f>
        <v>68.703999999999994</v>
      </c>
      <c r="BO123" s="78">
        <f>IFERROR(1/J123*(X123/H123),"0")</f>
        <v>0.125</v>
      </c>
      <c r="BP123" s="78">
        <f>IFERROR(1/J123*(Y123/H123),"0")</f>
        <v>0.125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87">
        <v>4607091383256</v>
      </c>
      <c r="E124" s="68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87">
        <v>4607091385748</v>
      </c>
      <c r="E125" s="68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5.4</v>
      </c>
      <c r="Y125" s="55">
        <f>IFERROR(IF(X125="",0,CEILING((X125/$H125),1)*$H125),"")</f>
        <v>5.4</v>
      </c>
      <c r="Z125" s="41">
        <f>IFERROR(IF(Y125=0,"",ROUNDUP(Y125/H125,0)*0.00651),"")</f>
        <v>1.302E-2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5.9039999999999999</v>
      </c>
      <c r="BN125" s="78">
        <f>IFERROR(Y125*I125/H125,"0")</f>
        <v>5.9039999999999999</v>
      </c>
      <c r="BO125" s="78">
        <f>IFERROR(1/J125*(X125/H125),"0")</f>
        <v>1.098901098901099E-2</v>
      </c>
      <c r="BP125" s="78">
        <f>IFERROR(1/J125*(Y125/H125),"0")</f>
        <v>1.098901098901099E-2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7">
        <v>4680115884533</v>
      </c>
      <c r="E126" s="68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9"/>
      <c r="R126" s="689"/>
      <c r="S126" s="689"/>
      <c r="T126" s="690"/>
      <c r="U126" s="39" t="s">
        <v>46</v>
      </c>
      <c r="V126" s="39" t="s">
        <v>46</v>
      </c>
      <c r="W126" s="40" t="s">
        <v>0</v>
      </c>
      <c r="X126" s="58">
        <v>3.6</v>
      </c>
      <c r="Y126" s="55">
        <f>IFERROR(IF(X126="",0,CEILING((X126/$H126),1)*$H126),"")</f>
        <v>3.6</v>
      </c>
      <c r="Z126" s="41">
        <f>IFERROR(IF(Y126=0,"",ROUNDUP(Y126/H126,0)*0.00651),"")</f>
        <v>1.302E-2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3.96</v>
      </c>
      <c r="BN126" s="78">
        <f>IFERROR(Y126*I126/H126,"0")</f>
        <v>3.96</v>
      </c>
      <c r="BO126" s="78">
        <f>IFERROR(1/J126*(X126/H126),"0")</f>
        <v>1.098901098901099E-2</v>
      </c>
      <c r="BP126" s="78">
        <f>IFERROR(1/J126*(Y126/H126),"0")</f>
        <v>1.098901098901099E-2</v>
      </c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39</v>
      </c>
      <c r="X127" s="43">
        <f>IFERROR(X123/H123,"0")+IFERROR(X124/H124,"0")+IFERROR(X125/H125,"0")+IFERROR(X126/H126,"0")</f>
        <v>12</v>
      </c>
      <c r="Y127" s="43">
        <f>IFERROR(Y123/H123,"0")+IFERROR(Y124/H124,"0")+IFERROR(Y125/H125,"0")+IFERROR(Y126/H126,"0")</f>
        <v>12</v>
      </c>
      <c r="Z127" s="43">
        <f>IFERROR(IF(Z123="",0,Z123),"0")+IFERROR(IF(Z124="",0,Z124),"0")+IFERROR(IF(Z125="",0,Z125),"0")+IFERROR(IF(Z126="",0,Z126),"0")</f>
        <v>0.17788000000000001</v>
      </c>
      <c r="AA127" s="67"/>
      <c r="AB127" s="67"/>
      <c r="AC127" s="67"/>
    </row>
    <row r="128" spans="1:68" x14ac:dyDescent="0.2">
      <c r="A128" s="695"/>
      <c r="B128" s="695"/>
      <c r="C128" s="695"/>
      <c r="D128" s="695"/>
      <c r="E128" s="695"/>
      <c r="F128" s="695"/>
      <c r="G128" s="695"/>
      <c r="H128" s="695"/>
      <c r="I128" s="695"/>
      <c r="J128" s="695"/>
      <c r="K128" s="695"/>
      <c r="L128" s="695"/>
      <c r="M128" s="695"/>
      <c r="N128" s="695"/>
      <c r="O128" s="696"/>
      <c r="P128" s="692" t="s">
        <v>40</v>
      </c>
      <c r="Q128" s="693"/>
      <c r="R128" s="693"/>
      <c r="S128" s="693"/>
      <c r="T128" s="693"/>
      <c r="U128" s="693"/>
      <c r="V128" s="694"/>
      <c r="W128" s="42" t="s">
        <v>0</v>
      </c>
      <c r="X128" s="43">
        <f>IFERROR(SUM(X123:X126),"0")</f>
        <v>73.8</v>
      </c>
      <c r="Y128" s="43">
        <f>IFERROR(SUM(Y123:Y126),"0")</f>
        <v>73.8</v>
      </c>
      <c r="Z128" s="42"/>
      <c r="AA128" s="67"/>
      <c r="AB128" s="67"/>
      <c r="AC128" s="67"/>
    </row>
    <row r="129" spans="1:68" ht="14.25" hidden="1" customHeight="1" x14ac:dyDescent="0.25">
      <c r="A129" s="686" t="s">
        <v>184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4301060317</v>
      </c>
      <c r="D130" s="687">
        <v>4680115880238</v>
      </c>
      <c r="E130" s="68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9"/>
      <c r="R130" s="689"/>
      <c r="S130" s="689"/>
      <c r="T130" s="69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95"/>
      <c r="B132" s="695"/>
      <c r="C132" s="695"/>
      <c r="D132" s="695"/>
      <c r="E132" s="695"/>
      <c r="F132" s="695"/>
      <c r="G132" s="695"/>
      <c r="H132" s="695"/>
      <c r="I132" s="695"/>
      <c r="J132" s="695"/>
      <c r="K132" s="695"/>
      <c r="L132" s="695"/>
      <c r="M132" s="695"/>
      <c r="N132" s="695"/>
      <c r="O132" s="696"/>
      <c r="P132" s="692" t="s">
        <v>40</v>
      </c>
      <c r="Q132" s="693"/>
      <c r="R132" s="693"/>
      <c r="S132" s="693"/>
      <c r="T132" s="693"/>
      <c r="U132" s="693"/>
      <c r="V132" s="694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85" t="s">
        <v>256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5"/>
      <c r="AB133" s="65"/>
      <c r="AC133" s="79"/>
    </row>
    <row r="134" spans="1:68" ht="14.25" hidden="1" customHeight="1" x14ac:dyDescent="0.25">
      <c r="A134" s="686" t="s">
        <v>132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4301011564</v>
      </c>
      <c r="D136" s="687">
        <v>4680115882577</v>
      </c>
      <c r="E136" s="68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9"/>
      <c r="R136" s="689"/>
      <c r="S136" s="689"/>
      <c r="T136" s="69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95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95"/>
      <c r="O138" s="696"/>
      <c r="P138" s="692" t="s">
        <v>40</v>
      </c>
      <c r="Q138" s="693"/>
      <c r="R138" s="693"/>
      <c r="S138" s="693"/>
      <c r="T138" s="693"/>
      <c r="U138" s="693"/>
      <c r="V138" s="694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86" t="s">
        <v>77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87">
        <v>4680115883444</v>
      </c>
      <c r="E141" s="68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9"/>
      <c r="R141" s="689"/>
      <c r="S141" s="689"/>
      <c r="T141" s="69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95"/>
      <c r="B143" s="695"/>
      <c r="C143" s="695"/>
      <c r="D143" s="695"/>
      <c r="E143" s="695"/>
      <c r="F143" s="695"/>
      <c r="G143" s="695"/>
      <c r="H143" s="695"/>
      <c r="I143" s="695"/>
      <c r="J143" s="695"/>
      <c r="K143" s="695"/>
      <c r="L143" s="695"/>
      <c r="M143" s="695"/>
      <c r="N143" s="695"/>
      <c r="O143" s="696"/>
      <c r="P143" s="692" t="s">
        <v>40</v>
      </c>
      <c r="Q143" s="693"/>
      <c r="R143" s="693"/>
      <c r="S143" s="693"/>
      <c r="T143" s="693"/>
      <c r="U143" s="693"/>
      <c r="V143" s="694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86" t="s">
        <v>86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87">
        <v>4680115882584</v>
      </c>
      <c r="E146" s="68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9"/>
      <c r="R146" s="689"/>
      <c r="S146" s="689"/>
      <c r="T146" s="69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95"/>
      <c r="B148" s="695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6"/>
      <c r="P148" s="692" t="s">
        <v>40</v>
      </c>
      <c r="Q148" s="693"/>
      <c r="R148" s="693"/>
      <c r="S148" s="693"/>
      <c r="T148" s="693"/>
      <c r="U148" s="693"/>
      <c r="V148" s="694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85" t="s">
        <v>268</v>
      </c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5"/>
      <c r="AB149" s="65"/>
      <c r="AC149" s="79"/>
    </row>
    <row r="150" spans="1:68" ht="14.25" hidden="1" customHeight="1" x14ac:dyDescent="0.25">
      <c r="A150" s="686" t="s">
        <v>86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"/>
      <c r="AB150" s="66"/>
      <c r="AC150" s="80"/>
    </row>
    <row r="151" spans="1:68" ht="27" customHeight="1" x14ac:dyDescent="0.25">
      <c r="A151" s="63" t="s">
        <v>269</v>
      </c>
      <c r="B151" s="63" t="s">
        <v>270</v>
      </c>
      <c r="C151" s="36">
        <v>4301052174</v>
      </c>
      <c r="D151" s="687">
        <v>4680115888203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1.98</v>
      </c>
      <c r="Y151" s="55">
        <f>IFERROR(IF(X151="",0,CEILING((X151/$H151),1)*$H151),"")</f>
        <v>1.98</v>
      </c>
      <c r="Z151" s="41">
        <f>IFERROR(IF(Y151=0,"",ROUNDUP(Y151/H151,0)*0.00651),"")</f>
        <v>6.5100000000000002E-3</v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2.2589999999999999</v>
      </c>
      <c r="BN151" s="78">
        <f>IFERROR(Y151*I151/H151,"0")</f>
        <v>2.2589999999999999</v>
      </c>
      <c r="BO151" s="78">
        <f>IFERROR(1/J151*(X151/H151),"0")</f>
        <v>5.4945054945054949E-3</v>
      </c>
      <c r="BP151" s="78">
        <f>IFERROR(1/J151*(Y151/H151),"0")</f>
        <v>5.4945054945054949E-3</v>
      </c>
    </row>
    <row r="152" spans="1:68" ht="27" customHeight="1" x14ac:dyDescent="0.25">
      <c r="A152" s="63" t="s">
        <v>272</v>
      </c>
      <c r="B152" s="63" t="s">
        <v>273</v>
      </c>
      <c r="C152" s="36">
        <v>4301052172</v>
      </c>
      <c r="D152" s="687">
        <v>4680115888180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1.98</v>
      </c>
      <c r="Y152" s="55">
        <f>IFERROR(IF(X152="",0,CEILING((X152/$H152),1)*$H152),"")</f>
        <v>1.98</v>
      </c>
      <c r="Z152" s="41">
        <f>IFERROR(IF(Y152=0,"",ROUNDUP(Y152/H152,0)*0.00651),"")</f>
        <v>6.5100000000000002E-3</v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2.2589999999999999</v>
      </c>
      <c r="BN152" s="78">
        <f>IFERROR(Y152*I152/H152,"0")</f>
        <v>2.2589999999999999</v>
      </c>
      <c r="BO152" s="78">
        <f>IFERROR(1/J152*(X152/H152),"0")</f>
        <v>5.4945054945054949E-3</v>
      </c>
      <c r="BP152" s="78">
        <f>IFERROR(1/J152*(Y152/H152),"0")</f>
        <v>5.4945054945054949E-3</v>
      </c>
    </row>
    <row r="153" spans="1:68" ht="27" customHeight="1" x14ac:dyDescent="0.25">
      <c r="A153" s="63" t="s">
        <v>275</v>
      </c>
      <c r="B153" s="63" t="s">
        <v>276</v>
      </c>
      <c r="C153" s="36">
        <v>4301052173</v>
      </c>
      <c r="D153" s="687">
        <v>4680115888197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1.98</v>
      </c>
      <c r="Y153" s="55">
        <f>IFERROR(IF(X153="",0,CEILING((X153/$H153),1)*$H153),"")</f>
        <v>1.98</v>
      </c>
      <c r="Z153" s="41">
        <f>IFERROR(IF(Y153=0,"",ROUNDUP(Y153/H153,0)*0.00651),"")</f>
        <v>6.5100000000000002E-3</v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2.2589999999999999</v>
      </c>
      <c r="BN153" s="78">
        <f>IFERROR(Y153*I153/H153,"0")</f>
        <v>2.2589999999999999</v>
      </c>
      <c r="BO153" s="78">
        <f>IFERROR(1/J153*(X153/H153),"0")</f>
        <v>5.4945054945054949E-3</v>
      </c>
      <c r="BP153" s="78">
        <f>IFERROR(1/J153*(Y153/H153),"0")</f>
        <v>5.4945054945054949E-3</v>
      </c>
    </row>
    <row r="154" spans="1:68" ht="27" customHeight="1" x14ac:dyDescent="0.25">
      <c r="A154" s="63" t="s">
        <v>278</v>
      </c>
      <c r="B154" s="63" t="s">
        <v>279</v>
      </c>
      <c r="C154" s="36">
        <v>4301052175</v>
      </c>
      <c r="D154" s="687">
        <v>4680115888210</v>
      </c>
      <c r="E154" s="68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9"/>
      <c r="R154" s="689"/>
      <c r="S154" s="689"/>
      <c r="T154" s="690"/>
      <c r="U154" s="39" t="s">
        <v>46</v>
      </c>
      <c r="V154" s="39" t="s">
        <v>46</v>
      </c>
      <c r="W154" s="40" t="s">
        <v>0</v>
      </c>
      <c r="X154" s="58">
        <v>1.98</v>
      </c>
      <c r="Y154" s="55">
        <f>IFERROR(IF(X154="",0,CEILING((X154/$H154),1)*$H154),"")</f>
        <v>1.98</v>
      </c>
      <c r="Z154" s="41">
        <f>IFERROR(IF(Y154=0,"",ROUNDUP(Y154/H154,0)*0.00651),"")</f>
        <v>6.5100000000000002E-3</v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2.2589999999999999</v>
      </c>
      <c r="BN154" s="78">
        <f>IFERROR(Y154*I154/H154,"0")</f>
        <v>2.2589999999999999</v>
      </c>
      <c r="BO154" s="78">
        <f>IFERROR(1/J154*(X154/H154),"0")</f>
        <v>5.4945054945054949E-3</v>
      </c>
      <c r="BP154" s="78">
        <f>IFERROR(1/J154*(Y154/H154),"0")</f>
        <v>5.4945054945054949E-3</v>
      </c>
    </row>
    <row r="155" spans="1:68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39</v>
      </c>
      <c r="X155" s="43">
        <f>IFERROR(X151/H151,"0")+IFERROR(X152/H152,"0")+IFERROR(X153/H153,"0")+IFERROR(X154/H154,"0")</f>
        <v>4</v>
      </c>
      <c r="Y155" s="43">
        <f>IFERROR(Y151/H151,"0")+IFERROR(Y152/H152,"0")+IFERROR(Y153/H153,"0")+IFERROR(Y154/H154,"0")</f>
        <v>4</v>
      </c>
      <c r="Z155" s="43">
        <f>IFERROR(IF(Z151="",0,Z151),"0")+IFERROR(IF(Z152="",0,Z152),"0")+IFERROR(IF(Z153="",0,Z153),"0")+IFERROR(IF(Z154="",0,Z154),"0")</f>
        <v>2.6040000000000001E-2</v>
      </c>
      <c r="AA155" s="67"/>
      <c r="AB155" s="67"/>
      <c r="AC155" s="67"/>
    </row>
    <row r="156" spans="1:68" x14ac:dyDescent="0.2">
      <c r="A156" s="695"/>
      <c r="B156" s="695"/>
      <c r="C156" s="695"/>
      <c r="D156" s="695"/>
      <c r="E156" s="695"/>
      <c r="F156" s="695"/>
      <c r="G156" s="695"/>
      <c r="H156" s="695"/>
      <c r="I156" s="695"/>
      <c r="J156" s="695"/>
      <c r="K156" s="695"/>
      <c r="L156" s="695"/>
      <c r="M156" s="695"/>
      <c r="N156" s="695"/>
      <c r="O156" s="696"/>
      <c r="P156" s="692" t="s">
        <v>40</v>
      </c>
      <c r="Q156" s="693"/>
      <c r="R156" s="693"/>
      <c r="S156" s="693"/>
      <c r="T156" s="693"/>
      <c r="U156" s="693"/>
      <c r="V156" s="694"/>
      <c r="W156" s="42" t="s">
        <v>0</v>
      </c>
      <c r="X156" s="43">
        <f>IFERROR(SUM(X151:X154),"0")</f>
        <v>7.92</v>
      </c>
      <c r="Y156" s="43">
        <f>IFERROR(SUM(Y151:Y154),"0")</f>
        <v>7.92</v>
      </c>
      <c r="Z156" s="42"/>
      <c r="AA156" s="67"/>
      <c r="AB156" s="67"/>
      <c r="AC156" s="67"/>
    </row>
    <row r="157" spans="1:68" ht="16.5" hidden="1" customHeight="1" x14ac:dyDescent="0.25">
      <c r="A157" s="685" t="s">
        <v>130</v>
      </c>
      <c r="B157" s="685"/>
      <c r="C157" s="685"/>
      <c r="D157" s="685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5"/>
      <c r="AB157" s="65"/>
      <c r="AC157" s="79"/>
    </row>
    <row r="158" spans="1:68" ht="14.25" hidden="1" customHeight="1" x14ac:dyDescent="0.25">
      <c r="A158" s="686" t="s">
        <v>132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6"/>
      <c r="AB158" s="66"/>
      <c r="AC158" s="80"/>
    </row>
    <row r="159" spans="1:68" ht="27" customHeight="1" x14ac:dyDescent="0.25">
      <c r="A159" s="63" t="s">
        <v>281</v>
      </c>
      <c r="B159" s="63" t="s">
        <v>282</v>
      </c>
      <c r="C159" s="36">
        <v>4301012244</v>
      </c>
      <c r="D159" s="687">
        <v>4680115887374</v>
      </c>
      <c r="E159" s="687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51.2</v>
      </c>
      <c r="Y159" s="55">
        <f>IFERROR(IF(X159="",0,CEILING((X159/$H159),1)*$H159),"")</f>
        <v>51.2</v>
      </c>
      <c r="Z159" s="41">
        <f>IFERROR(IF(Y159=0,"",ROUNDUP(Y159/H159,0)*0.01898),"")</f>
        <v>7.5920000000000001E-2</v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52.84</v>
      </c>
      <c r="BN159" s="78">
        <f>IFERROR(Y159*I159/H159,"0")</f>
        <v>52.84</v>
      </c>
      <c r="BO159" s="78">
        <f>IFERROR(1/J159*(X159/H159),"0")</f>
        <v>6.25E-2</v>
      </c>
      <c r="BP159" s="78">
        <f>IFERROR(1/J159*(Y159/H159),"0")</f>
        <v>6.25E-2</v>
      </c>
    </row>
    <row r="160" spans="1:68" ht="27" customHeight="1" x14ac:dyDescent="0.25">
      <c r="A160" s="63" t="s">
        <v>284</v>
      </c>
      <c r="B160" s="63" t="s">
        <v>285</v>
      </c>
      <c r="C160" s="36">
        <v>4301011705</v>
      </c>
      <c r="D160" s="687">
        <v>4607091384604</v>
      </c>
      <c r="E160" s="68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9"/>
      <c r="R160" s="689"/>
      <c r="S160" s="689"/>
      <c r="T160" s="690"/>
      <c r="U160" s="39" t="s">
        <v>46</v>
      </c>
      <c r="V160" s="39" t="s">
        <v>46</v>
      </c>
      <c r="W160" s="40" t="s">
        <v>0</v>
      </c>
      <c r="X160" s="58">
        <v>16</v>
      </c>
      <c r="Y160" s="55">
        <f>IFERROR(IF(X160="",0,CEILING((X160/$H160),1)*$H160),"")</f>
        <v>16</v>
      </c>
      <c r="Z160" s="41">
        <f>IFERROR(IF(Y160=0,"",ROUNDUP(Y160/H160,0)*0.00902),"")</f>
        <v>3.6080000000000001E-2</v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16.760000000000002</v>
      </c>
      <c r="BN160" s="78">
        <f>IFERROR(Y160*I160/H160,"0")</f>
        <v>16.760000000000002</v>
      </c>
      <c r="BO160" s="78">
        <f>IFERROR(1/J160*(X160/H160),"0")</f>
        <v>3.0303030303030304E-2</v>
      </c>
      <c r="BP160" s="78">
        <f>IFERROR(1/J160*(Y160/H160),"0")</f>
        <v>3.0303030303030304E-2</v>
      </c>
    </row>
    <row r="161" spans="1:68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39</v>
      </c>
      <c r="X161" s="43">
        <f>IFERROR(X159/H159,"0")+IFERROR(X160/H160,"0")</f>
        <v>8</v>
      </c>
      <c r="Y161" s="43">
        <f>IFERROR(Y159/H159,"0")+IFERROR(Y160/H160,"0")</f>
        <v>8</v>
      </c>
      <c r="Z161" s="43">
        <f>IFERROR(IF(Z159="",0,Z159),"0")+IFERROR(IF(Z160="",0,Z160),"0")</f>
        <v>0.112</v>
      </c>
      <c r="AA161" s="67"/>
      <c r="AB161" s="67"/>
      <c r="AC161" s="67"/>
    </row>
    <row r="162" spans="1:68" x14ac:dyDescent="0.2">
      <c r="A162" s="695"/>
      <c r="B162" s="695"/>
      <c r="C162" s="695"/>
      <c r="D162" s="695"/>
      <c r="E162" s="695"/>
      <c r="F162" s="695"/>
      <c r="G162" s="695"/>
      <c r="H162" s="695"/>
      <c r="I162" s="695"/>
      <c r="J162" s="695"/>
      <c r="K162" s="695"/>
      <c r="L162" s="695"/>
      <c r="M162" s="695"/>
      <c r="N162" s="695"/>
      <c r="O162" s="696"/>
      <c r="P162" s="692" t="s">
        <v>40</v>
      </c>
      <c r="Q162" s="693"/>
      <c r="R162" s="693"/>
      <c r="S162" s="693"/>
      <c r="T162" s="693"/>
      <c r="U162" s="693"/>
      <c r="V162" s="694"/>
      <c r="W162" s="42" t="s">
        <v>0</v>
      </c>
      <c r="X162" s="43">
        <f>IFERROR(SUM(X159:X160),"0")</f>
        <v>67.2</v>
      </c>
      <c r="Y162" s="43">
        <f>IFERROR(SUM(Y159:Y160),"0")</f>
        <v>67.2</v>
      </c>
      <c r="Z162" s="42"/>
      <c r="AA162" s="67"/>
      <c r="AB162" s="67"/>
      <c r="AC162" s="67"/>
    </row>
    <row r="163" spans="1:68" ht="14.25" hidden="1" customHeight="1" x14ac:dyDescent="0.25">
      <c r="A163" s="686" t="s">
        <v>167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87">
        <v>4680115887695</v>
      </c>
      <c r="E164" s="687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9"/>
      <c r="R164" s="689"/>
      <c r="S164" s="689"/>
      <c r="T164" s="69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95"/>
      <c r="B166" s="695"/>
      <c r="C166" s="695"/>
      <c r="D166" s="695"/>
      <c r="E166" s="695"/>
      <c r="F166" s="695"/>
      <c r="G166" s="695"/>
      <c r="H166" s="695"/>
      <c r="I166" s="695"/>
      <c r="J166" s="695"/>
      <c r="K166" s="695"/>
      <c r="L166" s="695"/>
      <c r="M166" s="695"/>
      <c r="N166" s="695"/>
      <c r="O166" s="696"/>
      <c r="P166" s="692" t="s">
        <v>40</v>
      </c>
      <c r="Q166" s="693"/>
      <c r="R166" s="693"/>
      <c r="S166" s="693"/>
      <c r="T166" s="693"/>
      <c r="U166" s="693"/>
      <c r="V166" s="69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86" t="s">
        <v>77</v>
      </c>
      <c r="B167" s="686"/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87">
        <v>4680115887428</v>
      </c>
      <c r="E168" s="68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24.5</v>
      </c>
      <c r="Y168" s="55">
        <f t="shared" ref="Y168:Y178" si="21">IFERROR(IF(X168="",0,CEILING((X168/$H168),1)*$H168),"")</f>
        <v>24.5</v>
      </c>
      <c r="Z168" s="41">
        <f>IFERROR(IF(Y168=0,"",ROUNDUP(Y168/H168,0)*0.00902),"")</f>
        <v>6.3140000000000002E-2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25.830000000000002</v>
      </c>
      <c r="BN168" s="78">
        <f t="shared" ref="BN168:BN178" si="23">IFERROR(Y168*I168/H168,"0")</f>
        <v>25.830000000000002</v>
      </c>
      <c r="BO168" s="78">
        <f t="shared" ref="BO168:BO178" si="24">IFERROR(1/J168*(X168/H168),"0")</f>
        <v>5.3030303030303032E-2</v>
      </c>
      <c r="BP168" s="78">
        <f t="shared" ref="BP168:BP178" si="25">IFERROR(1/J168*(Y168/H168),"0")</f>
        <v>5.3030303030303032E-2</v>
      </c>
    </row>
    <row r="169" spans="1:68" ht="27" customHeight="1" x14ac:dyDescent="0.25">
      <c r="A169" s="63" t="s">
        <v>293</v>
      </c>
      <c r="B169" s="63" t="s">
        <v>294</v>
      </c>
      <c r="C169" s="36">
        <v>4301030963</v>
      </c>
      <c r="D169" s="687">
        <v>4607091382426</v>
      </c>
      <c r="E169" s="687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9</v>
      </c>
      <c r="Y169" s="55">
        <f t="shared" si="21"/>
        <v>9</v>
      </c>
      <c r="Z169" s="41">
        <f>IFERROR(IF(Y169=0,"",ROUNDUP(Y169/H169,0)*0.01898),"")</f>
        <v>1.898E-2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9.56</v>
      </c>
      <c r="BN169" s="78">
        <f t="shared" si="23"/>
        <v>9.56</v>
      </c>
      <c r="BO169" s="78">
        <f t="shared" si="24"/>
        <v>1.5625E-2</v>
      </c>
      <c r="BP169" s="78">
        <f t="shared" si="25"/>
        <v>1.5625E-2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87">
        <v>4680115887398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17.5</v>
      </c>
      <c r="Y170" s="55">
        <f t="shared" si="21"/>
        <v>17.5</v>
      </c>
      <c r="Z170" s="41">
        <f>IFERROR(IF(Y170=0,"",ROUNDUP(Y170/H170,0)*0.00902),"")</f>
        <v>4.5100000000000001E-2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18.45</v>
      </c>
      <c r="BN170" s="78">
        <f t="shared" si="23"/>
        <v>18.45</v>
      </c>
      <c r="BO170" s="78">
        <f t="shared" si="24"/>
        <v>3.787878787878788E-2</v>
      </c>
      <c r="BP170" s="78">
        <f t="shared" si="25"/>
        <v>3.787878787878788E-2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87">
        <v>4680115887336</v>
      </c>
      <c r="E171" s="68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24.5</v>
      </c>
      <c r="Y171" s="55">
        <f t="shared" si="21"/>
        <v>24.5</v>
      </c>
      <c r="Z171" s="41">
        <f>IFERROR(IF(Y171=0,"",ROUNDUP(Y171/H171,0)*0.00902),"")</f>
        <v>6.3140000000000002E-2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25.830000000000002</v>
      </c>
      <c r="BN171" s="78">
        <f t="shared" si="23"/>
        <v>25.830000000000002</v>
      </c>
      <c r="BO171" s="78">
        <f t="shared" si="24"/>
        <v>5.3030303030303032E-2</v>
      </c>
      <c r="BP171" s="78">
        <f t="shared" si="25"/>
        <v>5.3030303030303032E-2</v>
      </c>
    </row>
    <row r="172" spans="1:68" ht="16.5" customHeight="1" x14ac:dyDescent="0.25">
      <c r="A172" s="63" t="s">
        <v>302</v>
      </c>
      <c r="B172" s="63" t="s">
        <v>303</v>
      </c>
      <c r="C172" s="36">
        <v>4301032049</v>
      </c>
      <c r="D172" s="687">
        <v>4680115887787</v>
      </c>
      <c r="E172" s="68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0.9</v>
      </c>
      <c r="Y172" s="55">
        <f t="shared" si="21"/>
        <v>0.9</v>
      </c>
      <c r="Z172" s="41">
        <f>IFERROR(IF(Y172=0,"",ROUNDUP(Y172/H172,0)*0.00417),"")</f>
        <v>4.1700000000000001E-3</v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1.1100000000000001</v>
      </c>
      <c r="BN172" s="78">
        <f t="shared" si="23"/>
        <v>1.1100000000000001</v>
      </c>
      <c r="BO172" s="78">
        <f t="shared" si="24"/>
        <v>2.976190476190476E-3</v>
      </c>
      <c r="BP172" s="78">
        <f t="shared" si="25"/>
        <v>2.976190476190476E-3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87">
        <v>4680115887503</v>
      </c>
      <c r="E173" s="68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5.04</v>
      </c>
      <c r="Y173" s="55">
        <f t="shared" si="21"/>
        <v>5.04</v>
      </c>
      <c r="Z173" s="41">
        <f>IFERROR(IF(Y173=0,"",ROUNDUP(Y173/H173,0)*0.00502),"")</f>
        <v>1.506E-2</v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5.34</v>
      </c>
      <c r="BN173" s="78">
        <f t="shared" si="23"/>
        <v>5.34</v>
      </c>
      <c r="BO173" s="78">
        <f t="shared" si="24"/>
        <v>1.2820512820512822E-2</v>
      </c>
      <c r="BP173" s="78">
        <f t="shared" si="25"/>
        <v>1.2820512820512822E-2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87">
        <v>4680115887763</v>
      </c>
      <c r="E174" s="687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0.9</v>
      </c>
      <c r="Y174" s="55">
        <f t="shared" si="21"/>
        <v>0.9</v>
      </c>
      <c r="Z174" s="41">
        <f>IFERROR(IF(Y174=0,"",ROUNDUP(Y174/H174,0)*0.00417),"")</f>
        <v>4.1700000000000001E-3</v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1.1100000000000001</v>
      </c>
      <c r="BN174" s="78">
        <f t="shared" si="23"/>
        <v>1.1100000000000001</v>
      </c>
      <c r="BO174" s="78">
        <f t="shared" si="24"/>
        <v>2.976190476190476E-3</v>
      </c>
      <c r="BP174" s="78">
        <f t="shared" si="25"/>
        <v>2.976190476190476E-3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87">
        <v>4680115887763</v>
      </c>
      <c r="E175" s="687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87">
        <v>4680115887480</v>
      </c>
      <c r="E176" s="68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5.04</v>
      </c>
      <c r="Y176" s="55">
        <f t="shared" si="21"/>
        <v>5.04</v>
      </c>
      <c r="Z176" s="41">
        <f>IFERROR(IF(Y176=0,"",ROUNDUP(Y176/H176,0)*0.00502),"")</f>
        <v>1.506E-2</v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5.34</v>
      </c>
      <c r="BN176" s="78">
        <f t="shared" si="23"/>
        <v>5.34</v>
      </c>
      <c r="BO176" s="78">
        <f t="shared" si="24"/>
        <v>1.2820512820512822E-2</v>
      </c>
      <c r="BP176" s="78">
        <f t="shared" si="25"/>
        <v>1.2820512820512822E-2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87">
        <v>4680115888067</v>
      </c>
      <c r="E177" s="687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0.9</v>
      </c>
      <c r="Y177" s="55">
        <f t="shared" si="21"/>
        <v>0.9</v>
      </c>
      <c r="Z177" s="41">
        <f>IFERROR(IF(Y177=0,"",ROUNDUP(Y177/H177,0)*0.00417),"")</f>
        <v>4.1700000000000001E-3</v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1</v>
      </c>
      <c r="BN177" s="78">
        <f t="shared" si="23"/>
        <v>1</v>
      </c>
      <c r="BO177" s="78">
        <f t="shared" si="24"/>
        <v>2.976190476190476E-3</v>
      </c>
      <c r="BP177" s="78">
        <f t="shared" si="25"/>
        <v>2.976190476190476E-3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87">
        <v>4680115887435</v>
      </c>
      <c r="E178" s="68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9"/>
      <c r="R178" s="689"/>
      <c r="S178" s="689"/>
      <c r="T178" s="690"/>
      <c r="U178" s="39" t="s">
        <v>46</v>
      </c>
      <c r="V178" s="39" t="s">
        <v>46</v>
      </c>
      <c r="W178" s="40" t="s">
        <v>0</v>
      </c>
      <c r="X178" s="58">
        <v>8.4</v>
      </c>
      <c r="Y178" s="55">
        <f t="shared" si="21"/>
        <v>8.4</v>
      </c>
      <c r="Z178" s="41">
        <f>IFERROR(IF(Y178=0,"",ROUNDUP(Y178/H178,0)*0.00502),"")</f>
        <v>2.5100000000000001E-2</v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8.9000000000000021</v>
      </c>
      <c r="BN178" s="78">
        <f t="shared" si="23"/>
        <v>8.9000000000000021</v>
      </c>
      <c r="BO178" s="78">
        <f t="shared" si="24"/>
        <v>2.1367521367521368E-2</v>
      </c>
      <c r="BP178" s="78">
        <f t="shared" si="25"/>
        <v>2.1367521367521368E-2</v>
      </c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34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34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0.25808999999999999</v>
      </c>
      <c r="AA179" s="67"/>
      <c r="AB179" s="67"/>
      <c r="AC179" s="67"/>
    </row>
    <row r="180" spans="1:68" x14ac:dyDescent="0.2">
      <c r="A180" s="695"/>
      <c r="B180" s="695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696"/>
      <c r="P180" s="692" t="s">
        <v>40</v>
      </c>
      <c r="Q180" s="693"/>
      <c r="R180" s="693"/>
      <c r="S180" s="693"/>
      <c r="T180" s="693"/>
      <c r="U180" s="693"/>
      <c r="V180" s="694"/>
      <c r="W180" s="42" t="s">
        <v>0</v>
      </c>
      <c r="X180" s="43">
        <f>IFERROR(SUM(X168:X178),"0")</f>
        <v>96.680000000000035</v>
      </c>
      <c r="Y180" s="43">
        <f>IFERROR(SUM(Y168:Y178),"0")</f>
        <v>96.680000000000035</v>
      </c>
      <c r="Z180" s="42"/>
      <c r="AA180" s="67"/>
      <c r="AB180" s="67"/>
      <c r="AC180" s="67"/>
    </row>
    <row r="181" spans="1:68" ht="14.25" hidden="1" customHeight="1" x14ac:dyDescent="0.25">
      <c r="A181" s="686" t="s">
        <v>86</v>
      </c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86"/>
      <c r="P181" s="686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6"/>
      <c r="AB181" s="66"/>
      <c r="AC181" s="80"/>
    </row>
    <row r="182" spans="1:68" ht="16.5" customHeight="1" x14ac:dyDescent="0.25">
      <c r="A182" s="63" t="s">
        <v>318</v>
      </c>
      <c r="B182" s="63" t="s">
        <v>319</v>
      </c>
      <c r="C182" s="36">
        <v>4301052193</v>
      </c>
      <c r="D182" s="687">
        <v>4680115888395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2.52</v>
      </c>
      <c r="Y182" s="55">
        <f>IFERROR(IF(X182="",0,CEILING((X182/$H182),1)*$H182),"")</f>
        <v>2.52</v>
      </c>
      <c r="Z182" s="41">
        <f>IFERROR(IF(Y182=0,"",ROUNDUP(Y182/H182,0)*0.00651),"")</f>
        <v>6.5100000000000002E-3</v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2.766</v>
      </c>
      <c r="BN182" s="78">
        <f>IFERROR(Y182*I182/H182,"0")</f>
        <v>2.766</v>
      </c>
      <c r="BO182" s="78">
        <f>IFERROR(1/J182*(X182/H182),"0")</f>
        <v>5.4945054945054949E-3</v>
      </c>
      <c r="BP182" s="78">
        <f>IFERROR(1/J182*(Y182/H182),"0")</f>
        <v>5.4945054945054949E-3</v>
      </c>
    </row>
    <row r="183" spans="1:68" ht="16.5" customHeight="1" x14ac:dyDescent="0.25">
      <c r="A183" s="63" t="s">
        <v>321</v>
      </c>
      <c r="B183" s="63" t="s">
        <v>322</v>
      </c>
      <c r="C183" s="36">
        <v>4301052191</v>
      </c>
      <c r="D183" s="687">
        <v>4680115888371</v>
      </c>
      <c r="E183" s="687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2.52</v>
      </c>
      <c r="Y183" s="55">
        <f>IFERROR(IF(X183="",0,CEILING((X183/$H183),1)*$H183),"")</f>
        <v>2.52</v>
      </c>
      <c r="Z183" s="41">
        <f>IFERROR(IF(Y183=0,"",ROUNDUP(Y183/H183,0)*0.00651),"")</f>
        <v>6.5100000000000002E-3</v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2.766</v>
      </c>
      <c r="BN183" s="78">
        <f>IFERROR(Y183*I183/H183,"0")</f>
        <v>2.766</v>
      </c>
      <c r="BO183" s="78">
        <f>IFERROR(1/J183*(X183/H183),"0")</f>
        <v>5.4945054945054949E-3</v>
      </c>
      <c r="BP183" s="78">
        <f>IFERROR(1/J183*(Y183/H183),"0")</f>
        <v>5.4945054945054949E-3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87">
        <v>4680115887459</v>
      </c>
      <c r="E184" s="687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9"/>
      <c r="R184" s="689"/>
      <c r="S184" s="689"/>
      <c r="T184" s="69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39</v>
      </c>
      <c r="X185" s="43">
        <f>IFERROR(X182/H182,"0")+IFERROR(X183/H183,"0")+IFERROR(X184/H184,"0")</f>
        <v>2</v>
      </c>
      <c r="Y185" s="43">
        <f>IFERROR(Y182/H182,"0")+IFERROR(Y183/H183,"0")+IFERROR(Y184/H184,"0")</f>
        <v>2</v>
      </c>
      <c r="Z185" s="43">
        <f>IFERROR(IF(Z182="",0,Z182),"0")+IFERROR(IF(Z183="",0,Z183),"0")+IFERROR(IF(Z184="",0,Z184),"0")</f>
        <v>1.302E-2</v>
      </c>
      <c r="AA185" s="67"/>
      <c r="AB185" s="67"/>
      <c r="AC185" s="67"/>
    </row>
    <row r="186" spans="1:68" x14ac:dyDescent="0.2">
      <c r="A186" s="695"/>
      <c r="B186" s="695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696"/>
      <c r="P186" s="692" t="s">
        <v>40</v>
      </c>
      <c r="Q186" s="693"/>
      <c r="R186" s="693"/>
      <c r="S186" s="693"/>
      <c r="T186" s="693"/>
      <c r="U186" s="693"/>
      <c r="V186" s="694"/>
      <c r="W186" s="42" t="s">
        <v>0</v>
      </c>
      <c r="X186" s="43">
        <f>IFERROR(SUM(X182:X184),"0")</f>
        <v>5.04</v>
      </c>
      <c r="Y186" s="43">
        <f>IFERROR(SUM(Y182:Y184),"0")</f>
        <v>5.04</v>
      </c>
      <c r="Z186" s="42"/>
      <c r="AA186" s="67"/>
      <c r="AB186" s="67"/>
      <c r="AC186" s="67"/>
    </row>
    <row r="187" spans="1:68" ht="14.25" hidden="1" customHeight="1" x14ac:dyDescent="0.25">
      <c r="A187" s="686" t="s">
        <v>107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86"/>
      <c r="P187" s="686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87">
        <v>4680115889026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332</v>
      </c>
      <c r="B189" s="63" t="s">
        <v>333</v>
      </c>
      <c r="C189" s="36">
        <v>4301032057</v>
      </c>
      <c r="D189" s="687">
        <v>4680115889088</v>
      </c>
      <c r="E189" s="68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9"/>
      <c r="R189" s="689"/>
      <c r="S189" s="689"/>
      <c r="T189" s="690"/>
      <c r="U189" s="39" t="s">
        <v>46</v>
      </c>
      <c r="V189" s="39" t="s">
        <v>46</v>
      </c>
      <c r="W189" s="40" t="s">
        <v>0</v>
      </c>
      <c r="X189" s="58">
        <v>1.08</v>
      </c>
      <c r="Y189" s="55">
        <f>IFERROR(IF(X189="",0,CEILING((X189/$H189),1)*$H189),"")</f>
        <v>1.08</v>
      </c>
      <c r="Z189" s="41">
        <f>IFERROR(IF(Y189=0,"",ROUNDUP(Y189/H189,0)*0.0059),"")</f>
        <v>5.8999999999999999E-3</v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1.36</v>
      </c>
      <c r="BN189" s="78">
        <f>IFERROR(Y189*I189/H189,"0")</f>
        <v>1.36</v>
      </c>
      <c r="BO189" s="78">
        <f>IFERROR(1/J189*(X189/H189),"0")</f>
        <v>4.6296296296296294E-3</v>
      </c>
      <c r="BP189" s="78">
        <f>IFERROR(1/J189*(Y189/H189),"0")</f>
        <v>4.6296296296296294E-3</v>
      </c>
    </row>
    <row r="190" spans="1:68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39</v>
      </c>
      <c r="X190" s="43">
        <f>IFERROR(X188/H188,"0")+IFERROR(X189/H189,"0")</f>
        <v>1</v>
      </c>
      <c r="Y190" s="43">
        <f>IFERROR(Y188/H188,"0")+IFERROR(Y189/H189,"0")</f>
        <v>1</v>
      </c>
      <c r="Z190" s="43">
        <f>IFERROR(IF(Z188="",0,Z188),"0")+IFERROR(IF(Z189="",0,Z189),"0")</f>
        <v>5.8999999999999999E-3</v>
      </c>
      <c r="AA190" s="67"/>
      <c r="AB190" s="67"/>
      <c r="AC190" s="67"/>
    </row>
    <row r="191" spans="1:68" x14ac:dyDescent="0.2">
      <c r="A191" s="695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696"/>
      <c r="P191" s="692" t="s">
        <v>40</v>
      </c>
      <c r="Q191" s="693"/>
      <c r="R191" s="693"/>
      <c r="S191" s="693"/>
      <c r="T191" s="693"/>
      <c r="U191" s="693"/>
      <c r="V191" s="694"/>
      <c r="W191" s="42" t="s">
        <v>0</v>
      </c>
      <c r="X191" s="43">
        <f>IFERROR(SUM(X188:X189),"0")</f>
        <v>1.08</v>
      </c>
      <c r="Y191" s="43">
        <f>IFERROR(SUM(Y188:Y189),"0")</f>
        <v>1.08</v>
      </c>
      <c r="Z191" s="42"/>
      <c r="AA191" s="67"/>
      <c r="AB191" s="67"/>
      <c r="AC191" s="67"/>
    </row>
    <row r="192" spans="1:68" ht="14.25" hidden="1" customHeight="1" x14ac:dyDescent="0.25">
      <c r="A192" s="686" t="s">
        <v>335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4301041009</v>
      </c>
      <c r="D193" s="687">
        <v>4680115889033</v>
      </c>
      <c r="E193" s="68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9"/>
      <c r="R193" s="689"/>
      <c r="S193" s="689"/>
      <c r="T193" s="690"/>
      <c r="U193" s="39" t="s">
        <v>46</v>
      </c>
      <c r="V193" s="39" t="s">
        <v>46</v>
      </c>
      <c r="W193" s="40" t="s">
        <v>0</v>
      </c>
      <c r="X193" s="58">
        <v>1.65</v>
      </c>
      <c r="Y193" s="55">
        <f>IFERROR(IF(X193="",0,CEILING((X193/$H193),1)*$H193),"")</f>
        <v>1.65</v>
      </c>
      <c r="Z193" s="41">
        <f>IFERROR(IF(Y193=0,"",ROUNDUP(Y193/H193,0)*0.0059),"")</f>
        <v>5.8999999999999999E-3</v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1.9</v>
      </c>
      <c r="BN193" s="78">
        <f>IFERROR(Y193*I193/H193,"0")</f>
        <v>1.9</v>
      </c>
      <c r="BO193" s="78">
        <f>IFERROR(1/J193*(X193/H193),"0")</f>
        <v>4.6296296296296294E-3</v>
      </c>
      <c r="BP193" s="78">
        <f>IFERROR(1/J193*(Y193/H193),"0")</f>
        <v>4.6296296296296294E-3</v>
      </c>
    </row>
    <row r="194" spans="1:68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39</v>
      </c>
      <c r="X194" s="43">
        <f>IFERROR(X193/H193,"0")</f>
        <v>1</v>
      </c>
      <c r="Y194" s="43">
        <f>IFERROR(Y193/H193,"0")</f>
        <v>1</v>
      </c>
      <c r="Z194" s="43">
        <f>IFERROR(IF(Z193="",0,Z193),"0")</f>
        <v>5.8999999999999999E-3</v>
      </c>
      <c r="AA194" s="67"/>
      <c r="AB194" s="67"/>
      <c r="AC194" s="67"/>
    </row>
    <row r="195" spans="1:68" x14ac:dyDescent="0.2">
      <c r="A195" s="695"/>
      <c r="B195" s="695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696"/>
      <c r="P195" s="692" t="s">
        <v>40</v>
      </c>
      <c r="Q195" s="693"/>
      <c r="R195" s="693"/>
      <c r="S195" s="693"/>
      <c r="T195" s="693"/>
      <c r="U195" s="693"/>
      <c r="V195" s="694"/>
      <c r="W195" s="42" t="s">
        <v>0</v>
      </c>
      <c r="X195" s="43">
        <f>IFERROR(SUM(X193:X193),"0")</f>
        <v>1.65</v>
      </c>
      <c r="Y195" s="43">
        <f>IFERROR(SUM(Y193:Y193),"0")</f>
        <v>1.65</v>
      </c>
      <c r="Z195" s="42"/>
      <c r="AA195" s="67"/>
      <c r="AB195" s="67"/>
      <c r="AC195" s="67"/>
    </row>
    <row r="196" spans="1:68" ht="27.75" hidden="1" customHeight="1" x14ac:dyDescent="0.2">
      <c r="A196" s="684" t="s">
        <v>339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54"/>
      <c r="AB196" s="54"/>
      <c r="AC196" s="54"/>
    </row>
    <row r="197" spans="1:68" ht="16.5" hidden="1" customHeight="1" x14ac:dyDescent="0.25">
      <c r="A197" s="685" t="s">
        <v>340</v>
      </c>
      <c r="B197" s="685"/>
      <c r="C197" s="685"/>
      <c r="D197" s="685"/>
      <c r="E197" s="685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5"/>
      <c r="AB197" s="65"/>
      <c r="AC197" s="79"/>
    </row>
    <row r="198" spans="1:68" ht="14.25" hidden="1" customHeight="1" x14ac:dyDescent="0.25">
      <c r="A198" s="686" t="s">
        <v>132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"/>
      <c r="AB198" s="66"/>
      <c r="AC198" s="80"/>
    </row>
    <row r="199" spans="1:68" ht="27" customHeight="1" x14ac:dyDescent="0.25">
      <c r="A199" s="63" t="s">
        <v>341</v>
      </c>
      <c r="B199" s="63" t="s">
        <v>342</v>
      </c>
      <c r="C199" s="36">
        <v>4301012340</v>
      </c>
      <c r="D199" s="687">
        <v>4680115888760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8.4</v>
      </c>
      <c r="Y199" s="55">
        <f t="shared" ref="Y199:Y205" si="26">IFERROR(IF(X199="",0,CEILING((X199/$H199),1)*$H199),"")</f>
        <v>8.4</v>
      </c>
      <c r="Z199" s="41">
        <f t="shared" ref="Z199:Z205" si="27">IFERROR(IF(Y199=0,"",ROUNDUP(Y199/H199,0)*0.01898),"")</f>
        <v>1.898E-2</v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8.81</v>
      </c>
      <c r="BN199" s="78">
        <f t="shared" ref="BN199:BN205" si="29">IFERROR(Y199*I199/H199,"0")</f>
        <v>8.81</v>
      </c>
      <c r="BO199" s="78">
        <f t="shared" ref="BO199:BO205" si="30">IFERROR(1/J199*(X199/H199),"0")</f>
        <v>1.5625E-2</v>
      </c>
      <c r="BP199" s="78">
        <f t="shared" ref="BP199:BP205" si="31">IFERROR(1/J199*(Y199/H199),"0")</f>
        <v>1.5625E-2</v>
      </c>
    </row>
    <row r="200" spans="1:68" ht="27" customHeight="1" x14ac:dyDescent="0.25">
      <c r="A200" s="63" t="s">
        <v>344</v>
      </c>
      <c r="B200" s="63" t="s">
        <v>345</v>
      </c>
      <c r="C200" s="36">
        <v>4301012341</v>
      </c>
      <c r="D200" s="687">
        <v>4680115888807</v>
      </c>
      <c r="E200" s="68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8.4</v>
      </c>
      <c r="Y200" s="55">
        <f t="shared" si="26"/>
        <v>8.4</v>
      </c>
      <c r="Z200" s="41">
        <f t="shared" si="27"/>
        <v>1.898E-2</v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8.81</v>
      </c>
      <c r="BN200" s="78">
        <f t="shared" si="29"/>
        <v>8.81</v>
      </c>
      <c r="BO200" s="78">
        <f t="shared" si="30"/>
        <v>1.5625E-2</v>
      </c>
      <c r="BP200" s="78">
        <f t="shared" si="31"/>
        <v>1.5625E-2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87">
        <v>4680115888852</v>
      </c>
      <c r="E201" s="68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87">
        <v>4607091383423</v>
      </c>
      <c r="E202" s="687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87">
        <v>4680115886957</v>
      </c>
      <c r="E203" s="68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87">
        <v>4680115885660</v>
      </c>
      <c r="E204" s="68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87">
        <v>4680115886773</v>
      </c>
      <c r="E205" s="68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9"/>
      <c r="R205" s="689"/>
      <c r="S205" s="689"/>
      <c r="T205" s="69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39</v>
      </c>
      <c r="X206" s="43">
        <f>IFERROR(X199/H199,"0")+IFERROR(X200/H200,"0")+IFERROR(X201/H201,"0")+IFERROR(X202/H202,"0")+IFERROR(X203/H203,"0")+IFERROR(X204/H204,"0")+IFERROR(X205/H205,"0")</f>
        <v>2</v>
      </c>
      <c r="Y206" s="43">
        <f>IFERROR(Y199/H199,"0")+IFERROR(Y200/H200,"0")+IFERROR(Y201/H201,"0")+IFERROR(Y202/H202,"0")+IFERROR(Y203/H203,"0")+IFERROR(Y204/H204,"0")+IFERROR(Y205/H205,"0")</f>
        <v>2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3.7960000000000001E-2</v>
      </c>
      <c r="AA206" s="67"/>
      <c r="AB206" s="67"/>
      <c r="AC206" s="67"/>
    </row>
    <row r="207" spans="1:68" x14ac:dyDescent="0.2">
      <c r="A207" s="695"/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6"/>
      <c r="P207" s="692" t="s">
        <v>40</v>
      </c>
      <c r="Q207" s="693"/>
      <c r="R207" s="693"/>
      <c r="S207" s="693"/>
      <c r="T207" s="693"/>
      <c r="U207" s="693"/>
      <c r="V207" s="694"/>
      <c r="W207" s="42" t="s">
        <v>0</v>
      </c>
      <c r="X207" s="43">
        <f>IFERROR(SUM(X199:X205),"0")</f>
        <v>16.8</v>
      </c>
      <c r="Y207" s="43">
        <f>IFERROR(SUM(Y199:Y205),"0")</f>
        <v>16.8</v>
      </c>
      <c r="Z207" s="42"/>
      <c r="AA207" s="67"/>
      <c r="AB207" s="67"/>
      <c r="AC207" s="67"/>
    </row>
    <row r="208" spans="1:68" ht="16.5" hidden="1" customHeight="1" x14ac:dyDescent="0.25">
      <c r="A208" s="685" t="s">
        <v>361</v>
      </c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5"/>
      <c r="AB208" s="65"/>
      <c r="AC208" s="79"/>
    </row>
    <row r="209" spans="1:68" ht="14.25" hidden="1" customHeight="1" x14ac:dyDescent="0.25">
      <c r="A209" s="686" t="s">
        <v>167</v>
      </c>
      <c r="B209" s="686"/>
      <c r="C209" s="686"/>
      <c r="D209" s="686"/>
      <c r="E209" s="686"/>
      <c r="F209" s="686"/>
      <c r="G209" s="686"/>
      <c r="H209" s="686"/>
      <c r="I209" s="686"/>
      <c r="J209" s="686"/>
      <c r="K209" s="686"/>
      <c r="L209" s="686"/>
      <c r="M209" s="686"/>
      <c r="N209" s="686"/>
      <c r="O209" s="686"/>
      <c r="P209" s="686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6"/>
      <c r="AB209" s="66"/>
      <c r="AC209" s="80"/>
    </row>
    <row r="210" spans="1:68" ht="27" customHeight="1" x14ac:dyDescent="0.25">
      <c r="A210" s="63" t="s">
        <v>362</v>
      </c>
      <c r="B210" s="63" t="s">
        <v>363</v>
      </c>
      <c r="C210" s="36">
        <v>4301020323</v>
      </c>
      <c r="D210" s="687">
        <v>4680115886223</v>
      </c>
      <c r="E210" s="68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9"/>
      <c r="R210" s="689"/>
      <c r="S210" s="689"/>
      <c r="T210" s="690"/>
      <c r="U210" s="39" t="s">
        <v>46</v>
      </c>
      <c r="V210" s="39" t="s">
        <v>46</v>
      </c>
      <c r="W210" s="40" t="s">
        <v>0</v>
      </c>
      <c r="X210" s="58">
        <v>7.92</v>
      </c>
      <c r="Y210" s="55">
        <f>IFERROR(IF(X210="",0,CEILING((X210/$H210),1)*$H210),"")</f>
        <v>7.92</v>
      </c>
      <c r="Z210" s="41">
        <f>IFERROR(IF(Y210=0,"",ROUNDUP(Y210/H210,0)*0.00502),"")</f>
        <v>2.0080000000000001E-2</v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8.32</v>
      </c>
      <c r="BN210" s="78">
        <f>IFERROR(Y210*I210/H210,"0")</f>
        <v>8.32</v>
      </c>
      <c r="BO210" s="78">
        <f>IFERROR(1/J210*(X210/H210),"0")</f>
        <v>1.7094017094017096E-2</v>
      </c>
      <c r="BP210" s="78">
        <f>IFERROR(1/J210*(Y210/H210),"0")</f>
        <v>1.7094017094017096E-2</v>
      </c>
    </row>
    <row r="211" spans="1:68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39</v>
      </c>
      <c r="X211" s="43">
        <f>IFERROR(X210/H210,"0")</f>
        <v>4</v>
      </c>
      <c r="Y211" s="43">
        <f>IFERROR(Y210/H210,"0")</f>
        <v>4</v>
      </c>
      <c r="Z211" s="43">
        <f>IFERROR(IF(Z210="",0,Z210),"0")</f>
        <v>2.0080000000000001E-2</v>
      </c>
      <c r="AA211" s="67"/>
      <c r="AB211" s="67"/>
      <c r="AC211" s="67"/>
    </row>
    <row r="212" spans="1:68" x14ac:dyDescent="0.2">
      <c r="A212" s="695"/>
      <c r="B212" s="695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696"/>
      <c r="P212" s="692" t="s">
        <v>40</v>
      </c>
      <c r="Q212" s="693"/>
      <c r="R212" s="693"/>
      <c r="S212" s="693"/>
      <c r="T212" s="693"/>
      <c r="U212" s="693"/>
      <c r="V212" s="694"/>
      <c r="W212" s="42" t="s">
        <v>0</v>
      </c>
      <c r="X212" s="43">
        <f>IFERROR(SUM(X210:X210),"0")</f>
        <v>7.92</v>
      </c>
      <c r="Y212" s="43">
        <f>IFERROR(SUM(Y210:Y210),"0")</f>
        <v>7.92</v>
      </c>
      <c r="Z212" s="42"/>
      <c r="AA212" s="67"/>
      <c r="AB212" s="67"/>
      <c r="AC212" s="67"/>
    </row>
    <row r="213" spans="1:68" ht="14.25" hidden="1" customHeight="1" x14ac:dyDescent="0.25">
      <c r="A213" s="686" t="s">
        <v>77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86"/>
      <c r="P213" s="686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4301031191</v>
      </c>
      <c r="D214" s="687">
        <v>4680115880993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16.8</v>
      </c>
      <c r="Y214" s="55">
        <f t="shared" ref="Y214:Y227" si="32">IFERROR(IF(X214="",0,CEILING((X214/$H214),1)*$H214),"")</f>
        <v>16.8</v>
      </c>
      <c r="Z214" s="41">
        <f>IFERROR(IF(Y214=0,"",ROUNDUP(Y214/H214,0)*0.00902),"")</f>
        <v>3.6080000000000001E-2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17.8</v>
      </c>
      <c r="BN214" s="78">
        <f t="shared" ref="BN214:BN227" si="34">IFERROR(Y214*I214/H214,"0")</f>
        <v>17.8</v>
      </c>
      <c r="BO214" s="78">
        <f t="shared" ref="BO214:BO227" si="35">IFERROR(1/J214*(X214/H214),"0")</f>
        <v>3.0303030303030304E-2</v>
      </c>
      <c r="BP214" s="78">
        <f t="shared" ref="BP214:BP227" si="36">IFERROR(1/J214*(Y214/H214),"0")</f>
        <v>3.0303030303030304E-2</v>
      </c>
    </row>
    <row r="215" spans="1:68" ht="27" customHeight="1" x14ac:dyDescent="0.25">
      <c r="A215" s="63" t="s">
        <v>368</v>
      </c>
      <c r="B215" s="63" t="s">
        <v>369</v>
      </c>
      <c r="C215" s="36">
        <v>4301031204</v>
      </c>
      <c r="D215" s="687">
        <v>4680115881761</v>
      </c>
      <c r="E215" s="68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8.4</v>
      </c>
      <c r="Y215" s="55">
        <f t="shared" si="32"/>
        <v>8.4</v>
      </c>
      <c r="Z215" s="41">
        <f>IFERROR(IF(Y215=0,"",ROUNDUP(Y215/H215,0)*0.00902),"")</f>
        <v>1.804E-2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8.9</v>
      </c>
      <c r="BN215" s="78">
        <f t="shared" si="34"/>
        <v>8.9</v>
      </c>
      <c r="BO215" s="78">
        <f t="shared" si="35"/>
        <v>1.5151515151515152E-2</v>
      </c>
      <c r="BP215" s="78">
        <f t="shared" si="36"/>
        <v>1.5151515151515152E-2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87">
        <v>4680115881563</v>
      </c>
      <c r="E216" s="68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25.2</v>
      </c>
      <c r="Y216" s="55">
        <f t="shared" si="32"/>
        <v>25.200000000000003</v>
      </c>
      <c r="Z216" s="41">
        <f>IFERROR(IF(Y216=0,"",ROUNDUP(Y216/H216,0)*0.00902),"")</f>
        <v>5.4120000000000001E-2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26.339999999999996</v>
      </c>
      <c r="BN216" s="78">
        <f t="shared" si="34"/>
        <v>26.34</v>
      </c>
      <c r="BO216" s="78">
        <f t="shared" si="35"/>
        <v>4.5454545454545456E-2</v>
      </c>
      <c r="BP216" s="78">
        <f t="shared" si="36"/>
        <v>4.5454545454545456E-2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7">
        <v>4680115887565</v>
      </c>
      <c r="E217" s="68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0.8</v>
      </c>
      <c r="Y217" s="55">
        <f t="shared" si="32"/>
        <v>0.8</v>
      </c>
      <c r="Z217" s="41">
        <f>IFERROR(IF(Y217=0,"",ROUNDUP(Y217/H217,0)*0.00556),"")</f>
        <v>5.5599999999999998E-3</v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0.93</v>
      </c>
      <c r="BN217" s="78">
        <f t="shared" si="34"/>
        <v>0.93</v>
      </c>
      <c r="BO217" s="78">
        <f t="shared" si="35"/>
        <v>3.968253968253968E-3</v>
      </c>
      <c r="BP217" s="78">
        <f t="shared" si="36"/>
        <v>3.968253968253968E-3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87">
        <v>4680115880986</v>
      </c>
      <c r="E218" s="68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10.5</v>
      </c>
      <c r="Y218" s="55">
        <f t="shared" si="32"/>
        <v>10.5</v>
      </c>
      <c r="Z218" s="41">
        <f t="shared" ref="Z218:Z223" si="37">IFERROR(IF(Y218=0,"",ROUNDUP(Y218/H218,0)*0.00502),"")</f>
        <v>2.5100000000000001E-2</v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11.149999999999999</v>
      </c>
      <c r="BN218" s="78">
        <f t="shared" si="34"/>
        <v>11.149999999999999</v>
      </c>
      <c r="BO218" s="78">
        <f t="shared" si="35"/>
        <v>2.1367521367521368E-2</v>
      </c>
      <c r="BP218" s="78">
        <f t="shared" si="36"/>
        <v>2.1367521367521368E-2</v>
      </c>
    </row>
    <row r="219" spans="1:68" ht="27" customHeight="1" x14ac:dyDescent="0.25">
      <c r="A219" s="63" t="s">
        <v>379</v>
      </c>
      <c r="B219" s="63" t="s">
        <v>380</v>
      </c>
      <c r="C219" s="36">
        <v>4301031443</v>
      </c>
      <c r="D219" s="687">
        <v>4680115887213</v>
      </c>
      <c r="E219" s="68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9</v>
      </c>
      <c r="Y219" s="55">
        <f t="shared" si="32"/>
        <v>9</v>
      </c>
      <c r="Z219" s="41">
        <f t="shared" si="37"/>
        <v>2.5100000000000001E-2</v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9.4999999999999982</v>
      </c>
      <c r="BN219" s="78">
        <f t="shared" si="34"/>
        <v>9.4999999999999982</v>
      </c>
      <c r="BO219" s="78">
        <f t="shared" si="35"/>
        <v>2.1367521367521368E-2</v>
      </c>
      <c r="BP219" s="78">
        <f t="shared" si="36"/>
        <v>2.1367521367521368E-2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87">
        <v>4680115881785</v>
      </c>
      <c r="E220" s="68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10.5</v>
      </c>
      <c r="Y220" s="55">
        <f t="shared" si="32"/>
        <v>10.5</v>
      </c>
      <c r="Z220" s="41">
        <f t="shared" si="37"/>
        <v>2.5100000000000001E-2</v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11.149999999999999</v>
      </c>
      <c r="BN220" s="78">
        <f t="shared" si="34"/>
        <v>11.149999999999999</v>
      </c>
      <c r="BO220" s="78">
        <f t="shared" si="35"/>
        <v>2.1367521367521368E-2</v>
      </c>
      <c r="BP220" s="78">
        <f t="shared" si="36"/>
        <v>2.1367521367521368E-2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87">
        <v>4680115888432</v>
      </c>
      <c r="E221" s="68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/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4301031427</v>
      </c>
      <c r="D222" s="687">
        <v>4680115888104</v>
      </c>
      <c r="E222" s="687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10.5</v>
      </c>
      <c r="Y222" s="55">
        <f t="shared" si="32"/>
        <v>10.5</v>
      </c>
      <c r="Z222" s="41">
        <f t="shared" si="37"/>
        <v>2.5100000000000001E-2</v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11</v>
      </c>
      <c r="BN222" s="78">
        <f t="shared" si="34"/>
        <v>11</v>
      </c>
      <c r="BO222" s="78">
        <f t="shared" si="35"/>
        <v>2.1367521367521368E-2</v>
      </c>
      <c r="BP222" s="78">
        <f t="shared" si="36"/>
        <v>2.1367521367521368E-2</v>
      </c>
    </row>
    <row r="223" spans="1:68" ht="27" customHeight="1" x14ac:dyDescent="0.25">
      <c r="A223" s="63" t="s">
        <v>390</v>
      </c>
      <c r="B223" s="63" t="s">
        <v>391</v>
      </c>
      <c r="C223" s="36">
        <v>4301031399</v>
      </c>
      <c r="D223" s="687">
        <v>4680115886537</v>
      </c>
      <c r="E223" s="687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9</v>
      </c>
      <c r="Y223" s="55">
        <f t="shared" si="32"/>
        <v>9</v>
      </c>
      <c r="Z223" s="41">
        <f t="shared" si="37"/>
        <v>2.5100000000000001E-2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9.65</v>
      </c>
      <c r="BN223" s="78">
        <f t="shared" si="34"/>
        <v>9.65</v>
      </c>
      <c r="BO223" s="78">
        <f t="shared" si="35"/>
        <v>2.1367521367521368E-2</v>
      </c>
      <c r="BP223" s="78">
        <f t="shared" si="36"/>
        <v>2.1367521367521368E-2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87">
        <v>4680115887596</v>
      </c>
      <c r="E224" s="687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87">
        <v>4680115881679</v>
      </c>
      <c r="E225" s="687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10.5</v>
      </c>
      <c r="Y225" s="55">
        <f t="shared" si="32"/>
        <v>10.5</v>
      </c>
      <c r="Z225" s="41">
        <f>IFERROR(IF(Y225=0,"",ROUNDUP(Y225/H225,0)*0.00502),"")</f>
        <v>2.5100000000000001E-2</v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11</v>
      </c>
      <c r="BN225" s="78">
        <f t="shared" si="34"/>
        <v>11</v>
      </c>
      <c r="BO225" s="78">
        <f t="shared" si="35"/>
        <v>2.1367521367521368E-2</v>
      </c>
      <c r="BP225" s="78">
        <f t="shared" si="36"/>
        <v>2.1367521367521368E-2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87">
        <v>4680115880191</v>
      </c>
      <c r="E226" s="687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400</v>
      </c>
      <c r="B227" s="63" t="s">
        <v>401</v>
      </c>
      <c r="C227" s="36">
        <v>4301031245</v>
      </c>
      <c r="D227" s="687">
        <v>4680115883963</v>
      </c>
      <c r="E227" s="687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9"/>
      <c r="R227" s="689"/>
      <c r="S227" s="689"/>
      <c r="T227" s="690"/>
      <c r="U227" s="39" t="s">
        <v>46</v>
      </c>
      <c r="V227" s="39" t="s">
        <v>46</v>
      </c>
      <c r="W227" s="40" t="s">
        <v>0</v>
      </c>
      <c r="X227" s="58">
        <v>8.4</v>
      </c>
      <c r="Y227" s="55">
        <f t="shared" si="32"/>
        <v>8.4</v>
      </c>
      <c r="Z227" s="41">
        <f>IFERROR(IF(Y227=0,"",ROUNDUP(Y227/H227,0)*0.00502),"")</f>
        <v>2.5100000000000001E-2</v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8.9000000000000021</v>
      </c>
      <c r="BN227" s="78">
        <f t="shared" si="34"/>
        <v>8.9000000000000021</v>
      </c>
      <c r="BO227" s="78">
        <f t="shared" si="35"/>
        <v>2.1367521367521368E-2</v>
      </c>
      <c r="BP227" s="78">
        <f t="shared" si="36"/>
        <v>2.1367521367521368E-2</v>
      </c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48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48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0.28950000000000004</v>
      </c>
      <c r="AA228" s="67"/>
      <c r="AB228" s="67"/>
      <c r="AC228" s="67"/>
    </row>
    <row r="229" spans="1:68" x14ac:dyDescent="0.2">
      <c r="A229" s="695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696"/>
      <c r="P229" s="692" t="s">
        <v>40</v>
      </c>
      <c r="Q229" s="693"/>
      <c r="R229" s="693"/>
      <c r="S229" s="693"/>
      <c r="T229" s="693"/>
      <c r="U229" s="693"/>
      <c r="V229" s="694"/>
      <c r="W229" s="42" t="s">
        <v>0</v>
      </c>
      <c r="X229" s="43">
        <f>IFERROR(SUM(X214:X227),"0")</f>
        <v>119.60000000000001</v>
      </c>
      <c r="Y229" s="43">
        <f>IFERROR(SUM(Y214:Y227),"0")</f>
        <v>119.60000000000001</v>
      </c>
      <c r="Z229" s="42"/>
      <c r="AA229" s="67"/>
      <c r="AB229" s="67"/>
      <c r="AC229" s="67"/>
    </row>
    <row r="230" spans="1:68" ht="14.25" hidden="1" customHeight="1" x14ac:dyDescent="0.25">
      <c r="A230" s="686" t="s">
        <v>86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6"/>
      <c r="AB230" s="66"/>
      <c r="AC230" s="80"/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19.2</v>
      </c>
      <c r="Y231" s="55">
        <f>IFERROR(IF(X231="",0,CEILING((X231/$H231),1)*$H231),"")</f>
        <v>19.2</v>
      </c>
      <c r="Z231" s="41">
        <f>IFERROR(IF(Y231=0,"",ROUNDUP(Y231/H231,0)*0.01196),"")</f>
        <v>4.7840000000000001E-2</v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20.888000000000002</v>
      </c>
      <c r="BN231" s="78">
        <f>IFERROR(Y231*I231/H231,"0")</f>
        <v>20.888000000000002</v>
      </c>
      <c r="BO231" s="78">
        <f>IFERROR(1/J231*(X231/H231),"0")</f>
        <v>3.8461538461538464E-2</v>
      </c>
      <c r="BP231" s="78">
        <f>IFERROR(1/J231*(Y231/H231),"0")</f>
        <v>3.8461538461538464E-2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19.2</v>
      </c>
      <c r="Y232" s="55">
        <f>IFERROR(IF(X232="",0,CEILING((X232/$H232),1)*$H232),"")</f>
        <v>19.2</v>
      </c>
      <c r="Z232" s="41">
        <f>IFERROR(IF(Y232=0,"",ROUNDUP(Y232/H232,0)*0.01196),"")</f>
        <v>4.7840000000000001E-2</v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20.888000000000002</v>
      </c>
      <c r="BN232" s="78">
        <f>IFERROR(Y232*I232/H232,"0")</f>
        <v>20.888000000000002</v>
      </c>
      <c r="BO232" s="78">
        <f>IFERROR(1/J232*(X232/H232),"0")</f>
        <v>3.8461538461538464E-2</v>
      </c>
      <c r="BP232" s="78">
        <f>IFERROR(1/J232*(Y232/H232),"0")</f>
        <v>3.8461538461538464E-2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2.16</v>
      </c>
      <c r="Y233" s="55">
        <f>IFERROR(IF(X233="",0,CEILING((X233/$H233),1)*$H233),"")</f>
        <v>2.16</v>
      </c>
      <c r="Z233" s="41">
        <f>IFERROR(IF(Y233=0,"",ROUNDUP(Y233/H233,0)*0.00902),"")</f>
        <v>9.0200000000000002E-3</v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2.4220000000000002</v>
      </c>
      <c r="BN233" s="78">
        <f>IFERROR(Y233*I233/H233,"0")</f>
        <v>2.4220000000000002</v>
      </c>
      <c r="BO233" s="78">
        <f>IFERROR(1/J233*(X233/H233),"0")</f>
        <v>7.575757575757576E-3</v>
      </c>
      <c r="BP233" s="78">
        <f>IFERROR(1/J233*(Y233/H233),"0")</f>
        <v>7.575757575757576E-3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2.16</v>
      </c>
      <c r="Y234" s="55">
        <f>IFERROR(IF(X234="",0,CEILING((X234/$H234),1)*$H234),"")</f>
        <v>2.16</v>
      </c>
      <c r="Z234" s="41">
        <f>IFERROR(IF(Y234=0,"",ROUNDUP(Y234/H234,0)*0.00902),"")</f>
        <v>9.0200000000000002E-3</v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2.4220000000000002</v>
      </c>
      <c r="BN234" s="78">
        <f>IFERROR(Y234*I234/H234,"0")</f>
        <v>2.4220000000000002</v>
      </c>
      <c r="BO234" s="78">
        <f>IFERROR(1/J234*(X234/H234),"0")</f>
        <v>7.575757575757576E-3</v>
      </c>
      <c r="BP234" s="78">
        <f>IFERROR(1/J234*(Y234/H234),"0")</f>
        <v>7.575757575757576E-3</v>
      </c>
    </row>
    <row r="235" spans="1:68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IFERROR(X231/H231,"0")+IFERROR(X232/H232,"0")+IFERROR(X233/H233,"0")+IFERROR(X234/H234,"0")</f>
        <v>10</v>
      </c>
      <c r="Y235" s="43">
        <f>IFERROR(Y231/H231,"0")+IFERROR(Y232/H232,"0")+IFERROR(Y233/H233,"0")+IFERROR(Y234/H234,"0")</f>
        <v>10</v>
      </c>
      <c r="Z235" s="43">
        <f>IFERROR(IF(Z231="",0,Z231),"0")+IFERROR(IF(Z232="",0,Z232),"0")+IFERROR(IF(Z233="",0,Z233),"0")+IFERROR(IF(Z234="",0,Z234),"0")</f>
        <v>0.11372</v>
      </c>
      <c r="AA235" s="67"/>
      <c r="AB235" s="67"/>
      <c r="AC235" s="67"/>
    </row>
    <row r="236" spans="1:68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IFERROR(SUM(X231:X234),"0")</f>
        <v>42.72</v>
      </c>
      <c r="Y236" s="43">
        <f>IFERROR(SUM(Y231:Y234),"0")</f>
        <v>42.72</v>
      </c>
      <c r="Z236" s="42"/>
      <c r="AA236" s="67"/>
      <c r="AB236" s="67"/>
      <c r="AC236" s="67"/>
    </row>
    <row r="237" spans="1:68" ht="14.25" hidden="1" customHeight="1" x14ac:dyDescent="0.25">
      <c r="A237" s="686" t="s">
        <v>107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132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167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21.6</v>
      </c>
      <c r="Y259" s="55">
        <f t="shared" ref="Y259:Y266" si="38">IFERROR(IF(X259="",0,CEILING((X259/$H259),1)*$H259),"")</f>
        <v>21.6</v>
      </c>
      <c r="Z259" s="41">
        <f>IFERROR(IF(Y259=0,"",ROUNDUP(Y259/H259,0)*0.00902),"")</f>
        <v>3.6080000000000001E-2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22.36</v>
      </c>
      <c r="BN259" s="78">
        <f t="shared" ref="BN259:BN266" si="40">IFERROR(Y259*I259/H259,"0")</f>
        <v>22.36</v>
      </c>
      <c r="BO259" s="78">
        <f t="shared" ref="BO259:BO266" si="41">IFERROR(1/J259*(X259/H259),"0")</f>
        <v>3.0303030303030304E-2</v>
      </c>
      <c r="BP259" s="78">
        <f t="shared" ref="BP259:BP266" si="42">IFERROR(1/J259*(Y259/H259),"0")</f>
        <v>3.0303030303030304E-2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21.6</v>
      </c>
      <c r="Y260" s="55">
        <f t="shared" si="38"/>
        <v>21.6</v>
      </c>
      <c r="Z260" s="41">
        <f>IFERROR(IF(Y260=0,"",ROUNDUP(Y260/H260,0)*0.00902),"")</f>
        <v>3.6080000000000001E-2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22.36</v>
      </c>
      <c r="BN260" s="78">
        <f t="shared" si="40"/>
        <v>22.36</v>
      </c>
      <c r="BO260" s="78">
        <f t="shared" si="41"/>
        <v>3.0303030303030304E-2</v>
      </c>
      <c r="BP260" s="78">
        <f t="shared" si="42"/>
        <v>3.0303030303030304E-2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21.6</v>
      </c>
      <c r="Y261" s="55">
        <f t="shared" si="38"/>
        <v>21.6</v>
      </c>
      <c r="Z261" s="41">
        <f>IFERROR(IF(Y261=0,"",ROUNDUP(Y261/H261,0)*0.00902),"")</f>
        <v>3.6080000000000001E-2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22.36</v>
      </c>
      <c r="BN261" s="78">
        <f t="shared" si="40"/>
        <v>22.36</v>
      </c>
      <c r="BO261" s="78">
        <f t="shared" si="41"/>
        <v>3.0303030303030304E-2</v>
      </c>
      <c r="BP261" s="78">
        <f t="shared" si="42"/>
        <v>3.0303030303030304E-2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21.6</v>
      </c>
      <c r="Y262" s="55">
        <f t="shared" si="38"/>
        <v>21.6</v>
      </c>
      <c r="Z262" s="41">
        <f>IFERROR(IF(Y262=0,"",ROUNDUP(Y262/H262,0)*0.00902),"")</f>
        <v>3.6080000000000001E-2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22.36</v>
      </c>
      <c r="BN262" s="78">
        <f t="shared" si="40"/>
        <v>22.36</v>
      </c>
      <c r="BO262" s="78">
        <f t="shared" si="41"/>
        <v>3.0303030303030304E-2</v>
      </c>
      <c r="BP262" s="78">
        <f t="shared" si="42"/>
        <v>3.0303030303030304E-2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7.2</v>
      </c>
      <c r="Y263" s="55">
        <f t="shared" si="38"/>
        <v>7.2</v>
      </c>
      <c r="Z263" s="41">
        <f>IFERROR(IF(Y263=0,"",ROUNDUP(Y263/H263,0)*0.00502),"")</f>
        <v>2.0080000000000001E-2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7.7199999999999989</v>
      </c>
      <c r="BN263" s="78">
        <f t="shared" si="40"/>
        <v>7.7199999999999989</v>
      </c>
      <c r="BO263" s="78">
        <f t="shared" si="41"/>
        <v>1.7094017094017096E-2</v>
      </c>
      <c r="BP263" s="78">
        <f t="shared" si="42"/>
        <v>1.7094017094017096E-2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7.2</v>
      </c>
      <c r="Y264" s="55">
        <f t="shared" si="38"/>
        <v>7.2</v>
      </c>
      <c r="Z264" s="41">
        <f>IFERROR(IF(Y264=0,"",ROUNDUP(Y264/H264,0)*0.00502),"")</f>
        <v>2.0080000000000001E-2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7.6</v>
      </c>
      <c r="BN264" s="78">
        <f t="shared" si="40"/>
        <v>7.6</v>
      </c>
      <c r="BO264" s="78">
        <f t="shared" si="41"/>
        <v>1.7094017094017096E-2</v>
      </c>
      <c r="BP264" s="78">
        <f t="shared" si="42"/>
        <v>1.7094017094017096E-2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7.2</v>
      </c>
      <c r="Y265" s="55">
        <f t="shared" si="38"/>
        <v>7.2</v>
      </c>
      <c r="Z265" s="41">
        <f>IFERROR(IF(Y265=0,"",ROUNDUP(Y265/H265,0)*0.00502),"")</f>
        <v>2.0080000000000001E-2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7.6</v>
      </c>
      <c r="BN265" s="78">
        <f t="shared" si="40"/>
        <v>7.6</v>
      </c>
      <c r="BO265" s="78">
        <f t="shared" si="41"/>
        <v>1.7094017094017096E-2</v>
      </c>
      <c r="BP265" s="78">
        <f t="shared" si="42"/>
        <v>1.7094017094017096E-2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7.2</v>
      </c>
      <c r="Y266" s="55">
        <f t="shared" si="38"/>
        <v>7.2</v>
      </c>
      <c r="Z266" s="41">
        <f>IFERROR(IF(Y266=0,"",ROUNDUP(Y266/H266,0)*0.00502),"")</f>
        <v>2.0080000000000001E-2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7.6</v>
      </c>
      <c r="BN266" s="78">
        <f t="shared" si="40"/>
        <v>7.6</v>
      </c>
      <c r="BO266" s="78">
        <f t="shared" si="41"/>
        <v>1.7094017094017096E-2</v>
      </c>
      <c r="BP266" s="78">
        <f t="shared" si="42"/>
        <v>1.7094017094017096E-2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32</v>
      </c>
      <c r="Y267" s="43">
        <f>IFERROR(Y259/H259,"0")+IFERROR(Y260/H260,"0")+IFERROR(Y261/H261,"0")+IFERROR(Y262/H262,"0")+IFERROR(Y263/H263,"0")+IFERROR(Y264/H264,"0")+IFERROR(Y265/H265,"0")+IFERROR(Y266/H266,"0")</f>
        <v>32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0.22463999999999995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115.20000000000002</v>
      </c>
      <c r="Y268" s="43">
        <f>IFERROR(SUM(Y259:Y266),"0")</f>
        <v>115.20000000000002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8.1</v>
      </c>
      <c r="Y270" s="55">
        <f t="shared" ref="Y270:Y281" si="43">IFERROR(IF(X270="",0,CEILING((X270/$H270),1)*$H270),"")</f>
        <v>8.1</v>
      </c>
      <c r="Z270" s="41">
        <f>IFERROR(IF(Y270=0,"",ROUNDUP(Y270/H270,0)*0.01898),"")</f>
        <v>1.898E-2</v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8.5939999999999994</v>
      </c>
      <c r="BN270" s="78">
        <f t="shared" ref="BN270:BN281" si="45">IFERROR(Y270*I270/H270,"0")</f>
        <v>8.5939999999999994</v>
      </c>
      <c r="BO270" s="78">
        <f t="shared" ref="BO270:BO281" si="46">IFERROR(1/J270*(X270/H270),"0")</f>
        <v>1.5625E-2</v>
      </c>
      <c r="BP270" s="78">
        <f t="shared" ref="BP270:BP281" si="47">IFERROR(1/J270*(Y270/H270),"0")</f>
        <v>1.5625E-2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8.6999999999999993</v>
      </c>
      <c r="Y272" s="55">
        <f t="shared" si="43"/>
        <v>8.6999999999999993</v>
      </c>
      <c r="Z272" s="41">
        <f>IFERROR(IF(Y272=0,"",ROUNDUP(Y272/H272,0)*0.01898),"")</f>
        <v>1.898E-2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9.1940000000000008</v>
      </c>
      <c r="BN272" s="78">
        <f t="shared" si="45"/>
        <v>9.1940000000000008</v>
      </c>
      <c r="BO272" s="78">
        <f t="shared" si="46"/>
        <v>1.5625E-2</v>
      </c>
      <c r="BP272" s="78">
        <f t="shared" si="47"/>
        <v>1.5625E-2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2.4</v>
      </c>
      <c r="Y273" s="55">
        <f t="shared" si="43"/>
        <v>2.4</v>
      </c>
      <c r="Z273" s="41">
        <f>IFERROR(IF(Y273=0,"",ROUNDUP(Y273/H273,0)*0.00651),"")</f>
        <v>6.5100000000000002E-3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2.67</v>
      </c>
      <c r="BN273" s="78">
        <f t="shared" si="45"/>
        <v>2.67</v>
      </c>
      <c r="BO273" s="78">
        <f t="shared" si="46"/>
        <v>5.4945054945054949E-3</v>
      </c>
      <c r="BP273" s="78">
        <f t="shared" si="47"/>
        <v>5.4945054945054949E-3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2.4</v>
      </c>
      <c r="Y276" s="55">
        <f t="shared" si="43"/>
        <v>2.4</v>
      </c>
      <c r="Z276" s="41">
        <f>IFERROR(IF(Y276=0,"",ROUNDUP(Y276/H276,0)*0.00651),"")</f>
        <v>6.5100000000000002E-3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2.6520000000000001</v>
      </c>
      <c r="BN276" s="78">
        <f t="shared" si="45"/>
        <v>2.6520000000000001</v>
      </c>
      <c r="BO276" s="78">
        <f t="shared" si="46"/>
        <v>5.4945054945054949E-3</v>
      </c>
      <c r="BP276" s="78">
        <f t="shared" si="47"/>
        <v>5.4945054945054949E-3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2.4</v>
      </c>
      <c r="Y278" s="55">
        <f t="shared" si="43"/>
        <v>2.4</v>
      </c>
      <c r="Z278" s="41">
        <f>IFERROR(IF(Y278=0,"",ROUNDUP(Y278/H278,0)*0.00651),"")</f>
        <v>6.5100000000000002E-3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2.6520000000000001</v>
      </c>
      <c r="BN278" s="78">
        <f t="shared" si="45"/>
        <v>2.6520000000000001</v>
      </c>
      <c r="BO278" s="78">
        <f t="shared" si="46"/>
        <v>5.4945054945054949E-3</v>
      </c>
      <c r="BP278" s="78">
        <f t="shared" si="47"/>
        <v>5.4945054945054949E-3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2.4</v>
      </c>
      <c r="Y279" s="55">
        <f t="shared" si="43"/>
        <v>2.4</v>
      </c>
      <c r="Z279" s="41">
        <f>IFERROR(IF(Y279=0,"",ROUNDUP(Y279/H279,0)*0.00651),"")</f>
        <v>6.5100000000000002E-3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2.6520000000000001</v>
      </c>
      <c r="BN279" s="78">
        <f t="shared" si="45"/>
        <v>2.6520000000000001</v>
      </c>
      <c r="BO279" s="78">
        <f t="shared" si="46"/>
        <v>5.4945054945054949E-3</v>
      </c>
      <c r="BP279" s="78">
        <f t="shared" si="47"/>
        <v>5.4945054945054949E-3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6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6.4000000000000001E-2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26.399999999999991</v>
      </c>
      <c r="Y283" s="43">
        <f>IFERROR(SUM(Y270:Y281),"0")</f>
        <v>26.399999999999991</v>
      </c>
      <c r="Z283" s="42"/>
      <c r="AA283" s="67"/>
      <c r="AB283" s="67"/>
      <c r="AC283" s="67"/>
    </row>
    <row r="284" spans="1:68" ht="14.25" hidden="1" customHeight="1" x14ac:dyDescent="0.25">
      <c r="A284" s="686" t="s">
        <v>184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132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hidden="1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6" t="s">
        <v>167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6" t="s">
        <v>335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132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108</v>
      </c>
      <c r="Y316" s="55">
        <f>IFERROR(IF(X316="",0,CEILING((X316/$H316),1)*$H316),"")</f>
        <v>108</v>
      </c>
      <c r="Z316" s="41">
        <f>IFERROR(IF(Y316=0,"",ROUNDUP(Y316/H316,0)*0.01898),"")</f>
        <v>0.1898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112.1</v>
      </c>
      <c r="BN316" s="78">
        <f>IFERROR(Y316*I316/H316,"0")</f>
        <v>112.1</v>
      </c>
      <c r="BO316" s="78">
        <f>IFERROR(1/J316*(X316/H316),"0")</f>
        <v>0.15625</v>
      </c>
      <c r="BP316" s="78">
        <f>IFERROR(1/J316*(Y316/H316),"0")</f>
        <v>0.15625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16</v>
      </c>
      <c r="Y319" s="55">
        <f>IFERROR(IF(X319="",0,CEILING((X319/$H319),1)*$H319),"")</f>
        <v>16</v>
      </c>
      <c r="Z319" s="41">
        <f>IFERROR(IF(Y319=0,"",ROUNDUP(Y319/H319,0)*0.00902),"")</f>
        <v>3.6080000000000001E-2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16.760000000000002</v>
      </c>
      <c r="BN319" s="78">
        <f>IFERROR(Y319*I319/H319,"0")</f>
        <v>16.760000000000002</v>
      </c>
      <c r="BO319" s="78">
        <f>IFERROR(1/J319*(X319/H319),"0")</f>
        <v>3.0303030303030304E-2</v>
      </c>
      <c r="BP319" s="78">
        <f>IFERROR(1/J319*(Y319/H319),"0")</f>
        <v>3.0303030303030304E-2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16</v>
      </c>
      <c r="Y320" s="55">
        <f>IFERROR(IF(X320="",0,CEILING((X320/$H320),1)*$H320),"")</f>
        <v>16</v>
      </c>
      <c r="Z320" s="41">
        <f>IFERROR(IF(Y320=0,"",ROUNDUP(Y320/H320,0)*0.00902),"")</f>
        <v>3.6080000000000001E-2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16.760000000000002</v>
      </c>
      <c r="BN320" s="78">
        <f>IFERROR(Y320*I320/H320,"0")</f>
        <v>16.760000000000002</v>
      </c>
      <c r="BO320" s="78">
        <f>IFERROR(1/J320*(X320/H320),"0")</f>
        <v>3.0303030303030304E-2</v>
      </c>
      <c r="BP320" s="78">
        <f>IFERROR(1/J320*(Y320/H320),"0")</f>
        <v>3.0303030303030304E-2</v>
      </c>
    </row>
    <row r="321" spans="1:68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28</v>
      </c>
      <c r="Y321" s="43">
        <f>IFERROR(Y316/H316,"0")+IFERROR(Y317/H317,"0")+IFERROR(Y318/H318,"0")+IFERROR(Y319/H319,"0")+IFERROR(Y320/H320,"0")</f>
        <v>28</v>
      </c>
      <c r="Z321" s="43">
        <f>IFERROR(IF(Z316="",0,Z316),"0")+IFERROR(IF(Z317="",0,Z317),"0")+IFERROR(IF(Z318="",0,Z318),"0")+IFERROR(IF(Z319="",0,Z319),"0")+IFERROR(IF(Z320="",0,Z320),"0")</f>
        <v>0.45175999999999999</v>
      </c>
      <c r="AA321" s="67"/>
      <c r="AB321" s="67"/>
      <c r="AC321" s="67"/>
    </row>
    <row r="322" spans="1:68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248</v>
      </c>
      <c r="Y322" s="43">
        <f>IFERROR(SUM(Y316:Y320),"0")</f>
        <v>248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10.5</v>
      </c>
      <c r="Y332" s="55">
        <f>IFERROR(IF(X332="",0,CEILING((X332/$H332),1)*$H332),"")</f>
        <v>10.5</v>
      </c>
      <c r="Z332" s="41">
        <f>IFERROR(IF(Y332=0,"",ROUNDUP(Y332/H332,0)*0.00502),"")</f>
        <v>2.5100000000000001E-2</v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11.149999999999999</v>
      </c>
      <c r="BN332" s="78">
        <f>IFERROR(Y332*I332/H332,"0")</f>
        <v>11.149999999999999</v>
      </c>
      <c r="BO332" s="78">
        <f>IFERROR(1/J332*(X332/H332),"0")</f>
        <v>2.1367521367521368E-2</v>
      </c>
      <c r="BP332" s="78">
        <f>IFERROR(1/J332*(Y332/H332),"0")</f>
        <v>2.1367521367521368E-2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8.4</v>
      </c>
      <c r="Y334" s="55">
        <f>IFERROR(IF(X334="",0,CEILING((X334/$H334),1)*$H334),"")</f>
        <v>8.4</v>
      </c>
      <c r="Z334" s="41">
        <f>IFERROR(IF(Y334=0,"",ROUNDUP(Y334/H334,0)*0.00502),"")</f>
        <v>2.5100000000000001E-2</v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8.9000000000000021</v>
      </c>
      <c r="BN334" s="78">
        <f>IFERROR(Y334*I334/H334,"0")</f>
        <v>8.9000000000000021</v>
      </c>
      <c r="BO334" s="78">
        <f>IFERROR(1/J334*(X334/H334),"0")</f>
        <v>2.1367521367521368E-2</v>
      </c>
      <c r="BP334" s="78">
        <f>IFERROR(1/J334*(Y334/H334),"0")</f>
        <v>2.1367521367521368E-2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10</v>
      </c>
      <c r="Y337" s="43">
        <f>IFERROR(Y332/H332,"0")+IFERROR(Y333/H333,"0")+IFERROR(Y334/H334,"0")+IFERROR(Y335/H335,"0")+IFERROR(Y336/H336,"0")</f>
        <v>10</v>
      </c>
      <c r="Z337" s="43">
        <f>IFERROR(IF(Z332="",0,Z332),"0")+IFERROR(IF(Z333="",0,Z333),"0")+IFERROR(IF(Z334="",0,Z334),"0")+IFERROR(IF(Z335="",0,Z335),"0")+IFERROR(IF(Z336="",0,Z336),"0")</f>
        <v>5.0200000000000002E-2</v>
      </c>
      <c r="AA337" s="67"/>
      <c r="AB337" s="67"/>
      <c r="AC337" s="67"/>
    </row>
    <row r="338" spans="1:68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18.899999999999999</v>
      </c>
      <c r="Y338" s="43">
        <f>IFERROR(SUM(Y332:Y336),"0")</f>
        <v>18.899999999999999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132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15.6</v>
      </c>
      <c r="Y346" s="55">
        <f>IFERROR(IF(X346="",0,CEILING((X346/$H346),1)*$H346),"")</f>
        <v>15.6</v>
      </c>
      <c r="Z346" s="41">
        <f>IFERROR(IF(Y346=0,"",ROUNDUP(Y346/H346,0)*0.01898),"")</f>
        <v>3.7960000000000001E-2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16.420000000000002</v>
      </c>
      <c r="BN346" s="78">
        <f>IFERROR(Y346*I346/H346,"0")</f>
        <v>16.420000000000002</v>
      </c>
      <c r="BO346" s="78">
        <f>IFERROR(1/J346*(X346/H346),"0")</f>
        <v>3.125E-2</v>
      </c>
      <c r="BP346" s="78">
        <f>IFERROR(1/J346*(Y346/H346),"0")</f>
        <v>3.125E-2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15.6</v>
      </c>
      <c r="Y347" s="55">
        <f>IFERROR(IF(X347="",0,CEILING((X347/$H347),1)*$H347),"")</f>
        <v>15.6</v>
      </c>
      <c r="Z347" s="41">
        <f>IFERROR(IF(Y347=0,"",ROUNDUP(Y347/H347,0)*0.01898),"")</f>
        <v>3.7960000000000001E-2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16.420000000000002</v>
      </c>
      <c r="BN347" s="78">
        <f>IFERROR(Y347*I347/H347,"0")</f>
        <v>16.420000000000002</v>
      </c>
      <c r="BO347" s="78">
        <f>IFERROR(1/J347*(X347/H347),"0")</f>
        <v>3.125E-2</v>
      </c>
      <c r="BP347" s="78">
        <f>IFERROR(1/J347*(Y347/H347),"0")</f>
        <v>3.125E-2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15.6</v>
      </c>
      <c r="Y348" s="55">
        <f>IFERROR(IF(X348="",0,CEILING((X348/$H348),1)*$H348),"")</f>
        <v>15.6</v>
      </c>
      <c r="Z348" s="41">
        <f>IFERROR(IF(Y348=0,"",ROUNDUP(Y348/H348,0)*0.01898),"")</f>
        <v>3.7960000000000001E-2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16.420000000000002</v>
      </c>
      <c r="BN348" s="78">
        <f>IFERROR(Y348*I348/H348,"0")</f>
        <v>16.420000000000002</v>
      </c>
      <c r="BO348" s="78">
        <f>IFERROR(1/J348*(X348/H348),"0")</f>
        <v>3.125E-2</v>
      </c>
      <c r="BP348" s="78">
        <f>IFERROR(1/J348*(Y348/H348),"0")</f>
        <v>3.125E-2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6</v>
      </c>
      <c r="Y349" s="43">
        <f>IFERROR(Y346/H346,"0")+IFERROR(Y347/H347,"0")+IFERROR(Y348/H348,"0")</f>
        <v>6</v>
      </c>
      <c r="Z349" s="43">
        <f>IFERROR(IF(Z346="",0,Z346),"0")+IFERROR(IF(Z347="",0,Z347),"0")+IFERROR(IF(Z348="",0,Z348),"0")</f>
        <v>0.11388000000000001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46.8</v>
      </c>
      <c r="Y350" s="43">
        <f>IFERROR(SUM(Y346:Y348),"0")</f>
        <v>46.8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132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108</v>
      </c>
      <c r="Y354" s="55">
        <f t="shared" si="53"/>
        <v>108</v>
      </c>
      <c r="Z354" s="41">
        <f>IFERROR(IF(Y354=0,"",ROUNDUP(Y354/H354,0)*0.01898),"")</f>
        <v>0.1898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112.1</v>
      </c>
      <c r="BN354" s="78">
        <f t="shared" si="55"/>
        <v>112.1</v>
      </c>
      <c r="BO354" s="78">
        <f t="shared" si="56"/>
        <v>0.15625</v>
      </c>
      <c r="BP354" s="78">
        <f t="shared" si="57"/>
        <v>0.15625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54</v>
      </c>
      <c r="Y355" s="55">
        <f t="shared" si="53"/>
        <v>54</v>
      </c>
      <c r="Z355" s="41">
        <f>IFERROR(IF(Y355=0,"",ROUNDUP(Y355/H355,0)*0.01898),"")</f>
        <v>9.4899999999999998E-2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56.05</v>
      </c>
      <c r="BN355" s="78">
        <f t="shared" si="55"/>
        <v>56.05</v>
      </c>
      <c r="BO355" s="78">
        <f t="shared" si="56"/>
        <v>7.8125E-2</v>
      </c>
      <c r="BP355" s="78">
        <f t="shared" si="57"/>
        <v>7.8125E-2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20</v>
      </c>
      <c r="Y357" s="55">
        <f t="shared" si="53"/>
        <v>20</v>
      </c>
      <c r="Z357" s="41">
        <f>IFERROR(IF(Y357=0,"",ROUNDUP(Y357/H357,0)*0.00902),"")</f>
        <v>4.5100000000000001E-2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20.950000000000003</v>
      </c>
      <c r="BN357" s="78">
        <f t="shared" si="55"/>
        <v>20.950000000000003</v>
      </c>
      <c r="BO357" s="78">
        <f t="shared" si="56"/>
        <v>3.787878787878788E-2</v>
      </c>
      <c r="BP357" s="78">
        <f t="shared" si="57"/>
        <v>3.787878787878788E-2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20</v>
      </c>
      <c r="Y358" s="55">
        <f t="shared" si="53"/>
        <v>20</v>
      </c>
      <c r="Z358" s="41">
        <f>IFERROR(IF(Y358=0,"",ROUNDUP(Y358/H358,0)*0.00902),"")</f>
        <v>4.5100000000000001E-2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20.950000000000003</v>
      </c>
      <c r="BN358" s="78">
        <f t="shared" si="55"/>
        <v>20.950000000000003</v>
      </c>
      <c r="BO358" s="78">
        <f t="shared" si="56"/>
        <v>3.787878787878788E-2</v>
      </c>
      <c r="BP358" s="78">
        <f t="shared" si="57"/>
        <v>3.787878787878788E-2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25</v>
      </c>
      <c r="Y359" s="43">
        <f>IFERROR(Y353/H353,"0")+IFERROR(Y354/H354,"0")+IFERROR(Y355/H355,"0")+IFERROR(Y356/H356,"0")+IFERROR(Y357/H357,"0")+IFERROR(Y358/H358,"0")</f>
        <v>25</v>
      </c>
      <c r="Z359" s="43">
        <f>IFERROR(IF(Z353="",0,Z353),"0")+IFERROR(IF(Z354="",0,Z354),"0")+IFERROR(IF(Z355="",0,Z355),"0")+IFERROR(IF(Z356="",0,Z356),"0")+IFERROR(IF(Z357="",0,Z357),"0")+IFERROR(IF(Z358="",0,Z358),"0")</f>
        <v>0.37490000000000001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202</v>
      </c>
      <c r="Y360" s="43">
        <f>IFERROR(SUM(Y353:Y358),"0")</f>
        <v>202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63</v>
      </c>
      <c r="Y362" s="55">
        <f t="shared" ref="Y362:Y368" si="58">IFERROR(IF(X362="",0,CEILING((X362/$H362),1)*$H362),"")</f>
        <v>63</v>
      </c>
      <c r="Z362" s="41">
        <f>IFERROR(IF(Y362=0,"",ROUNDUP(Y362/H362,0)*0.00902),"")</f>
        <v>0.1353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66.75</v>
      </c>
      <c r="BN362" s="78">
        <f t="shared" ref="BN362:BN368" si="60">IFERROR(Y362*I362/H362,"0")</f>
        <v>66.75</v>
      </c>
      <c r="BO362" s="78">
        <f t="shared" ref="BO362:BO368" si="61">IFERROR(1/J362*(X362/H362),"0")</f>
        <v>0.11363636363636365</v>
      </c>
      <c r="BP362" s="78">
        <f t="shared" ref="BP362:BP368" si="62">IFERROR(1/J362*(Y362/H362),"0")</f>
        <v>0.11363636363636365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63</v>
      </c>
      <c r="Y363" s="55">
        <f t="shared" si="58"/>
        <v>63</v>
      </c>
      <c r="Z363" s="41">
        <f>IFERROR(IF(Y363=0,"",ROUNDUP(Y363/H363,0)*0.00902),"")</f>
        <v>0.1353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66.75</v>
      </c>
      <c r="BN363" s="78">
        <f t="shared" si="60"/>
        <v>66.75</v>
      </c>
      <c r="BO363" s="78">
        <f t="shared" si="61"/>
        <v>0.11363636363636365</v>
      </c>
      <c r="BP363" s="78">
        <f t="shared" si="62"/>
        <v>0.11363636363636365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21.9</v>
      </c>
      <c r="Y364" s="55">
        <f t="shared" si="58"/>
        <v>21.9</v>
      </c>
      <c r="Z364" s="41">
        <f>IFERROR(IF(Y364=0,"",ROUNDUP(Y364/H364,0)*0.00902),"")</f>
        <v>4.5100000000000001E-2</v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23.15</v>
      </c>
      <c r="BN364" s="78">
        <f t="shared" si="60"/>
        <v>23.15</v>
      </c>
      <c r="BO364" s="78">
        <f t="shared" si="61"/>
        <v>3.787878787878788E-2</v>
      </c>
      <c r="BP364" s="78">
        <f t="shared" si="62"/>
        <v>3.787878787878788E-2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14.7</v>
      </c>
      <c r="Y365" s="55">
        <f t="shared" si="58"/>
        <v>14.700000000000001</v>
      </c>
      <c r="Z365" s="41">
        <f>IFERROR(IF(Y365=0,"",ROUNDUP(Y365/H365,0)*0.00502),"")</f>
        <v>3.5140000000000005E-2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15.61</v>
      </c>
      <c r="BN365" s="78">
        <f t="shared" si="60"/>
        <v>15.61</v>
      </c>
      <c r="BO365" s="78">
        <f t="shared" si="61"/>
        <v>2.9914529914529912E-2</v>
      </c>
      <c r="BP365" s="78">
        <f t="shared" si="62"/>
        <v>2.9914529914529919E-2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14.7</v>
      </c>
      <c r="Y366" s="55">
        <f t="shared" si="58"/>
        <v>14.700000000000001</v>
      </c>
      <c r="Z366" s="41">
        <f>IFERROR(IF(Y366=0,"",ROUNDUP(Y366/H366,0)*0.00502),"")</f>
        <v>3.5140000000000005E-2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15.4</v>
      </c>
      <c r="BN366" s="78">
        <f t="shared" si="60"/>
        <v>15.4</v>
      </c>
      <c r="BO366" s="78">
        <f t="shared" si="61"/>
        <v>2.9914529914529912E-2</v>
      </c>
      <c r="BP366" s="78">
        <f t="shared" si="62"/>
        <v>2.9914529914529919E-2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49</v>
      </c>
      <c r="Y369" s="43">
        <f>IFERROR(Y362/H362,"0")+IFERROR(Y363/H363,"0")+IFERROR(Y364/H364,"0")+IFERROR(Y365/H365,"0")+IFERROR(Y366/H366,"0")+IFERROR(Y367/H367,"0")+IFERROR(Y368/H368,"0")</f>
        <v>49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0.38597999999999999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177.29999999999998</v>
      </c>
      <c r="Y370" s="43">
        <f>IFERROR(SUM(Y362:Y368),"0")</f>
        <v>177.29999999999998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1497.6</v>
      </c>
      <c r="Y372" s="55">
        <f>IFERROR(IF(X372="",0,CEILING((X372/$H372),1)*$H372),"")</f>
        <v>1497.6</v>
      </c>
      <c r="Z372" s="41">
        <f>IFERROR(IF(Y372=0,"",ROUNDUP(Y372/H372,0)*0.01898),"")</f>
        <v>3.6441600000000003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1591.296</v>
      </c>
      <c r="BN372" s="78">
        <f>IFERROR(Y372*I372/H372,"0")</f>
        <v>1591.296</v>
      </c>
      <c r="BO372" s="78">
        <f>IFERROR(1/J372*(X372/H372),"0")</f>
        <v>3</v>
      </c>
      <c r="BP372" s="78">
        <f>IFERROR(1/J372*(Y372/H372),"0")</f>
        <v>3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23.4</v>
      </c>
      <c r="Y373" s="55">
        <f>IFERROR(IF(X373="",0,CEILING((X373/$H373),1)*$H373),"")</f>
        <v>23.4</v>
      </c>
      <c r="Z373" s="41">
        <f>IFERROR(IF(Y373=0,"",ROUNDUP(Y373/H373,0)*0.01898),"")</f>
        <v>5.6940000000000004E-2</v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24.882000000000001</v>
      </c>
      <c r="BN373" s="78">
        <f>IFERROR(Y373*I373/H373,"0")</f>
        <v>24.882000000000001</v>
      </c>
      <c r="BO373" s="78">
        <f>IFERROR(1/J373*(X373/H373),"0")</f>
        <v>4.6875E-2</v>
      </c>
      <c r="BP373" s="78">
        <f>IFERROR(1/J373*(Y373/H373),"0")</f>
        <v>4.6875E-2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24.3</v>
      </c>
      <c r="Y374" s="55">
        <f>IFERROR(IF(X374="",0,CEILING((X374/$H374),1)*$H374),"")</f>
        <v>24.299999999999997</v>
      </c>
      <c r="Z374" s="41">
        <f>IFERROR(IF(Y374=0,"",ROUNDUP(Y374/H374,0)*0.01898),"")</f>
        <v>5.6940000000000004E-2</v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25.728000000000002</v>
      </c>
      <c r="BN374" s="78">
        <f>IFERROR(Y374*I374/H374,"0")</f>
        <v>25.727999999999998</v>
      </c>
      <c r="BO374" s="78">
        <f>IFERROR(1/J374*(X374/H374),"0")</f>
        <v>4.6875E-2</v>
      </c>
      <c r="BP374" s="78">
        <f>IFERROR(1/J374*(Y374/H374),"0")</f>
        <v>4.6875E-2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9</v>
      </c>
      <c r="Y375" s="55">
        <f>IFERROR(IF(X375="",0,CEILING((X375/$H375),1)*$H375),"")</f>
        <v>9</v>
      </c>
      <c r="Z375" s="41">
        <f>IFERROR(IF(Y375=0,"",ROUNDUP(Y375/H375,0)*0.00651),"")</f>
        <v>1.9529999999999999E-2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9.7379999999999995</v>
      </c>
      <c r="BN375" s="78">
        <f>IFERROR(Y375*I375/H375,"0")</f>
        <v>9.7379999999999995</v>
      </c>
      <c r="BO375" s="78">
        <f>IFERROR(1/J375*(X375/H375),"0")</f>
        <v>1.6483516483516484E-2</v>
      </c>
      <c r="BP375" s="78">
        <f>IFERROR(1/J375*(Y375/H375),"0")</f>
        <v>1.6483516483516484E-2</v>
      </c>
    </row>
    <row r="376" spans="1:68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201</v>
      </c>
      <c r="Y376" s="43">
        <f>IFERROR(Y372/H372,"0")+IFERROR(Y373/H373,"0")+IFERROR(Y374/H374,"0")+IFERROR(Y375/H375,"0")</f>
        <v>201</v>
      </c>
      <c r="Z376" s="43">
        <f>IFERROR(IF(Z372="",0,Z372),"0")+IFERROR(IF(Z373="",0,Z373),"0")+IFERROR(IF(Z374="",0,Z374),"0")+IFERROR(IF(Z375="",0,Z375),"0")</f>
        <v>3.7775700000000003</v>
      </c>
      <c r="AA376" s="67"/>
      <c r="AB376" s="67"/>
      <c r="AC376" s="67"/>
    </row>
    <row r="377" spans="1:68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1554.3</v>
      </c>
      <c r="Y377" s="43">
        <f>IFERROR(SUM(Y372:Y375),"0")</f>
        <v>1554.3</v>
      </c>
      <c r="Z377" s="42"/>
      <c r="AA377" s="67"/>
      <c r="AB377" s="67"/>
      <c r="AC377" s="67"/>
    </row>
    <row r="378" spans="1:68" ht="14.25" hidden="1" customHeight="1" x14ac:dyDescent="0.25">
      <c r="A378" s="686" t="s">
        <v>184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42</v>
      </c>
      <c r="Y379" s="55">
        <f>IFERROR(IF(X379="",0,CEILING((X379/$H379),1)*$H379),"")</f>
        <v>42</v>
      </c>
      <c r="Z379" s="41">
        <f>IFERROR(IF(Y379=0,"",ROUNDUP(Y379/H379,0)*0.01898),"")</f>
        <v>9.4899999999999998E-2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44.47</v>
      </c>
      <c r="BN379" s="78">
        <f>IFERROR(Y379*I379/H379,"0")</f>
        <v>44.47</v>
      </c>
      <c r="BO379" s="78">
        <f>IFERROR(1/J379*(X379/H379),"0")</f>
        <v>7.8125E-2</v>
      </c>
      <c r="BP379" s="78">
        <f>IFERROR(1/J379*(Y379/H379),"0")</f>
        <v>7.8125E-2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39</v>
      </c>
      <c r="Y380" s="55">
        <f>IFERROR(IF(X380="",0,CEILING((X380/$H380),1)*$H380),"")</f>
        <v>39</v>
      </c>
      <c r="Z380" s="41">
        <f>IFERROR(IF(Y380=0,"",ROUNDUP(Y380/H380,0)*0.01898),"")</f>
        <v>9.4899999999999998E-2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41.47</v>
      </c>
      <c r="BN380" s="78">
        <f>IFERROR(Y380*I380/H380,"0")</f>
        <v>41.47</v>
      </c>
      <c r="BO380" s="78">
        <f>IFERROR(1/J380*(X380/H380),"0")</f>
        <v>7.8125E-2</v>
      </c>
      <c r="BP380" s="78">
        <f>IFERROR(1/J380*(Y380/H380),"0")</f>
        <v>7.8125E-2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84</v>
      </c>
      <c r="Y381" s="55">
        <f>IFERROR(IF(X381="",0,CEILING((X381/$H381),1)*$H381),"")</f>
        <v>84</v>
      </c>
      <c r="Z381" s="41">
        <f>IFERROR(IF(Y381=0,"",ROUNDUP(Y381/H381,0)*0.01898),"")</f>
        <v>0.1898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88.94</v>
      </c>
      <c r="BN381" s="78">
        <f>IFERROR(Y381*I381/H381,"0")</f>
        <v>88.94</v>
      </c>
      <c r="BO381" s="78">
        <f>IFERROR(1/J381*(X381/H381),"0")</f>
        <v>0.15625</v>
      </c>
      <c r="BP381" s="78">
        <f>IFERROR(1/J381*(Y381/H381),"0")</f>
        <v>0.15625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20</v>
      </c>
      <c r="Y382" s="43">
        <f>IFERROR(Y379/H379,"0")+IFERROR(Y380/H380,"0")+IFERROR(Y381/H381,"0")</f>
        <v>20</v>
      </c>
      <c r="Z382" s="43">
        <f>IFERROR(IF(Z379="",0,Z379),"0")+IFERROR(IF(Z380="",0,Z380),"0")+IFERROR(IF(Z381="",0,Z381),"0")</f>
        <v>0.37959999999999999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165</v>
      </c>
      <c r="Y383" s="43">
        <f>IFERROR(SUM(Y379:Y381),"0")</f>
        <v>165</v>
      </c>
      <c r="Z383" s="42"/>
      <c r="AA383" s="67"/>
      <c r="AB383" s="67"/>
      <c r="AC383" s="67"/>
    </row>
    <row r="384" spans="1:68" ht="14.25" hidden="1" customHeight="1" x14ac:dyDescent="0.25">
      <c r="A384" s="686" t="s">
        <v>107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3.04</v>
      </c>
      <c r="Y385" s="55">
        <f>IFERROR(IF(X385="",0,CEILING((X385/$H385),1)*$H385),"")</f>
        <v>3.04</v>
      </c>
      <c r="Z385" s="41">
        <f>IFERROR(IF(Y385=0,"",ROUNDUP(Y385/H385,0)*0.00902),"")</f>
        <v>9.0200000000000002E-3</v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3.31</v>
      </c>
      <c r="BN385" s="78">
        <f>IFERROR(Y385*I385/H385,"0")</f>
        <v>3.31</v>
      </c>
      <c r="BO385" s="78">
        <f>IFERROR(1/J385*(X385/H385),"0")</f>
        <v>7.575757575757576E-3</v>
      </c>
      <c r="BP385" s="78">
        <f>IFERROR(1/J385*(Y385/H385),"0")</f>
        <v>7.575757575757576E-3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3.04</v>
      </c>
      <c r="Y386" s="55">
        <f>IFERROR(IF(X386="",0,CEILING((X386/$H386),1)*$H386),"")</f>
        <v>3.04</v>
      </c>
      <c r="Z386" s="41">
        <f>IFERROR(IF(Y386=0,"",ROUNDUP(Y386/H386,0)*0.00902),"")</f>
        <v>9.0200000000000002E-3</v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3.2699999999999996</v>
      </c>
      <c r="BN386" s="78">
        <f>IFERROR(Y386*I386/H386,"0")</f>
        <v>3.2699999999999996</v>
      </c>
      <c r="BO386" s="78">
        <f>IFERROR(1/J386*(X386/H386),"0")</f>
        <v>7.575757575757576E-3</v>
      </c>
      <c r="BP386" s="78">
        <f>IFERROR(1/J386*(Y386/H386),"0")</f>
        <v>7.575757575757576E-3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2.5499999999999998</v>
      </c>
      <c r="Y387" s="55">
        <f>IFERROR(IF(X387="",0,CEILING((X387/$H387),1)*$H387),"")</f>
        <v>2.5499999999999998</v>
      </c>
      <c r="Z387" s="41">
        <f>IFERROR(IF(Y387=0,"",ROUNDUP(Y387/H387,0)*0.00651),"")</f>
        <v>6.5100000000000002E-3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2.9550000000000001</v>
      </c>
      <c r="BN387" s="78">
        <f>IFERROR(Y387*I387/H387,"0")</f>
        <v>2.9550000000000001</v>
      </c>
      <c r="BO387" s="78">
        <f>IFERROR(1/J387*(X387/H387),"0")</f>
        <v>5.4945054945054949E-3</v>
      </c>
      <c r="BP387" s="78">
        <f>IFERROR(1/J387*(Y387/H387),"0")</f>
        <v>5.4945054945054949E-3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2.5499999999999998</v>
      </c>
      <c r="Y388" s="55">
        <f>IFERROR(IF(X388="",0,CEILING((X388/$H388),1)*$H388),"")</f>
        <v>2.5499999999999998</v>
      </c>
      <c r="Z388" s="41">
        <f>IFERROR(IF(Y388=0,"",ROUNDUP(Y388/H388,0)*0.00651),"")</f>
        <v>6.5100000000000002E-3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2.88</v>
      </c>
      <c r="BN388" s="78">
        <f>IFERROR(Y388*I388/H388,"0")</f>
        <v>2.88</v>
      </c>
      <c r="BO388" s="78">
        <f>IFERROR(1/J388*(X388/H388),"0")</f>
        <v>5.4945054945054949E-3</v>
      </c>
      <c r="BP388" s="78">
        <f>IFERROR(1/J388*(Y388/H388),"0")</f>
        <v>5.4945054945054949E-3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4</v>
      </c>
      <c r="Y389" s="43">
        <f>IFERROR(Y385/H385,"0")+IFERROR(Y386/H386,"0")+IFERROR(Y387/H387,"0")+IFERROR(Y388/H388,"0")</f>
        <v>4</v>
      </c>
      <c r="Z389" s="43">
        <f>IFERROR(IF(Z385="",0,Z385),"0")+IFERROR(IF(Z386="",0,Z386),"0")+IFERROR(IF(Z387="",0,Z387),"0")+IFERROR(IF(Z388="",0,Z388),"0")</f>
        <v>3.1060000000000004E-2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11.18</v>
      </c>
      <c r="Y390" s="43">
        <f>IFERROR(SUM(Y385:Y388),"0")</f>
        <v>11.18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56.7</v>
      </c>
      <c r="Y399" s="55">
        <f>IFERROR(IF(X399="",0,CEILING((X399/$H399),1)*$H399),"")</f>
        <v>56.699999999999996</v>
      </c>
      <c r="Z399" s="41">
        <f>IFERROR(IF(Y399=0,"",ROUNDUP(Y399/H399,0)*0.01898),"")</f>
        <v>0.13286000000000001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60.158000000000001</v>
      </c>
      <c r="BN399" s="78">
        <f>IFERROR(Y399*I399/H399,"0")</f>
        <v>60.157999999999994</v>
      </c>
      <c r="BO399" s="78">
        <f>IFERROR(1/J399*(X399/H399),"0")</f>
        <v>0.10937500000000001</v>
      </c>
      <c r="BP399" s="78">
        <f>IFERROR(1/J399*(Y399/H399),"0")</f>
        <v>0.109375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10.5</v>
      </c>
      <c r="Y400" s="55">
        <f>IFERROR(IF(X400="",0,CEILING((X400/$H400),1)*$H400),"")</f>
        <v>10.5</v>
      </c>
      <c r="Z400" s="41">
        <f>IFERROR(IF(Y400=0,"",ROUNDUP(Y400/H400,0)*0.00651),"")</f>
        <v>3.2550000000000003E-2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11.759999999999998</v>
      </c>
      <c r="BN400" s="78">
        <f>IFERROR(Y400*I400/H400,"0")</f>
        <v>11.759999999999998</v>
      </c>
      <c r="BO400" s="78">
        <f>IFERROR(1/J400*(X400/H400),"0")</f>
        <v>2.7472527472527476E-2</v>
      </c>
      <c r="BP400" s="78">
        <f>IFERROR(1/J400*(Y400/H400),"0")</f>
        <v>2.7472527472527476E-2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10.5</v>
      </c>
      <c r="Y401" s="55">
        <f>IFERROR(IF(X401="",0,CEILING((X401/$H401),1)*$H401),"")</f>
        <v>10.5</v>
      </c>
      <c r="Z401" s="41">
        <f>IFERROR(IF(Y401=0,"",ROUNDUP(Y401/H401,0)*0.00651),"")</f>
        <v>3.2550000000000003E-2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11.7</v>
      </c>
      <c r="BN401" s="78">
        <f>IFERROR(Y401*I401/H401,"0")</f>
        <v>11.7</v>
      </c>
      <c r="BO401" s="78">
        <f>IFERROR(1/J401*(X401/H401),"0")</f>
        <v>2.7472527472527476E-2</v>
      </c>
      <c r="BP401" s="78">
        <f>IFERROR(1/J401*(Y401/H401),"0")</f>
        <v>2.7472527472527476E-2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17</v>
      </c>
      <c r="Y402" s="43">
        <f>IFERROR(Y399/H399,"0")+IFERROR(Y400/H400,"0")+IFERROR(Y401/H401,"0")</f>
        <v>17</v>
      </c>
      <c r="Z402" s="43">
        <f>IFERROR(IF(Z399="",0,Z399),"0")+IFERROR(IF(Z400="",0,Z400),"0")+IFERROR(IF(Z401="",0,Z401),"0")</f>
        <v>0.19796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77.7</v>
      </c>
      <c r="Y403" s="43">
        <f>IFERROR(SUM(Y399:Y401),"0")</f>
        <v>77.699999999999989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132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63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154.69999999999999</v>
      </c>
      <c r="BN407" s="78">
        <f t="shared" ref="BN407:BN414" si="65">IFERROR(Y407*I407/H407,"0")</f>
        <v>154.69999999999999</v>
      </c>
      <c r="BO407" s="78">
        <f t="shared" ref="BO407:BO414" si="66">IFERROR(1/J407*(X407/H407),"0")</f>
        <v>0.20833333333333331</v>
      </c>
      <c r="BP407" s="78">
        <f t="shared" ref="BP407:BP414" si="67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720</v>
      </c>
      <c r="Y408" s="55">
        <f t="shared" si="63"/>
        <v>720</v>
      </c>
      <c r="Z408" s="41">
        <f>IFERROR(IF(Y408=0,"",ROUNDUP(Y408/H408,0)*0.02175),"")</f>
        <v>1.044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742.56</v>
      </c>
      <c r="BN408" s="78">
        <f t="shared" si="65"/>
        <v>742.56</v>
      </c>
      <c r="BO408" s="78">
        <f t="shared" si="66"/>
        <v>1</v>
      </c>
      <c r="BP408" s="78">
        <f t="shared" si="67"/>
        <v>1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720</v>
      </c>
      <c r="Y411" s="55">
        <f t="shared" si="63"/>
        <v>720</v>
      </c>
      <c r="Z411" s="41">
        <f>IFERROR(IF(Y411=0,"",ROUNDUP(Y411/H411,0)*0.02175),"")</f>
        <v>1.044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742.56</v>
      </c>
      <c r="BN411" s="78">
        <f t="shared" si="65"/>
        <v>742.56</v>
      </c>
      <c r="BO411" s="78">
        <f t="shared" si="66"/>
        <v>1</v>
      </c>
      <c r="BP411" s="78">
        <f t="shared" si="67"/>
        <v>1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106</v>
      </c>
      <c r="Y415" s="43">
        <f>IFERROR(Y407/H407,"0")+IFERROR(Y408/H408,"0")+IFERROR(Y409/H409,"0")+IFERROR(Y410/H410,"0")+IFERROR(Y411/H411,"0")+IFERROR(Y412/H412,"0")+IFERROR(Y413/H413,"0")+IFERROR(Y414/H414,"0")</f>
        <v>106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2.3055000000000003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1590</v>
      </c>
      <c r="Y416" s="43">
        <f>IFERROR(SUM(Y407:Y414),"0")</f>
        <v>1590</v>
      </c>
      <c r="Z416" s="42"/>
      <c r="AA416" s="67"/>
      <c r="AB416" s="67"/>
      <c r="AC416" s="67"/>
    </row>
    <row r="417" spans="1:68" ht="14.25" hidden="1" customHeight="1" x14ac:dyDescent="0.25">
      <c r="A417" s="686" t="s">
        <v>167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150</v>
      </c>
      <c r="Y419" s="55">
        <f>IFERROR(IF(X419="",0,CEILING((X419/$H419),1)*$H419),"")</f>
        <v>150</v>
      </c>
      <c r="Z419" s="41">
        <f>IFERROR(IF(Y419=0,"",ROUNDUP(Y419/H419,0)*0.02175),"")</f>
        <v>0.21749999999999997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154.69999999999999</v>
      </c>
      <c r="BN419" s="78">
        <f>IFERROR(Y419*I419/H419,"0")</f>
        <v>154.69999999999999</v>
      </c>
      <c r="BO419" s="78">
        <f>IFERROR(1/J419*(X419/H419),"0")</f>
        <v>0.20833333333333331</v>
      </c>
      <c r="BP419" s="78">
        <f>IFERROR(1/J419*(Y419/H419),"0")</f>
        <v>0.20833333333333331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10</v>
      </c>
      <c r="Y421" s="43">
        <f>IFERROR(Y418/H418,"0")+IFERROR(Y419/H419,"0")+IFERROR(Y420/H420,"0")</f>
        <v>10</v>
      </c>
      <c r="Z421" s="43">
        <f>IFERROR(IF(Z418="",0,Z418),"0")+IFERROR(IF(Z419="",0,Z419),"0")+IFERROR(IF(Z420="",0,Z420),"0")</f>
        <v>0.21749999999999997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150</v>
      </c>
      <c r="Y422" s="43">
        <f>IFERROR(SUM(Y418:Y420),"0")</f>
        <v>150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36</v>
      </c>
      <c r="Y424" s="55">
        <f>IFERROR(IF(X424="",0,CEILING((X424/$H424),1)*$H424),"")</f>
        <v>36</v>
      </c>
      <c r="Z424" s="41">
        <f>IFERROR(IF(Y424=0,"",ROUNDUP(Y424/H424,0)*0.01898),"")</f>
        <v>7.5920000000000001E-2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38</v>
      </c>
      <c r="BN424" s="78">
        <f>IFERROR(Y424*I424/H424,"0")</f>
        <v>38</v>
      </c>
      <c r="BO424" s="78">
        <f>IFERROR(1/J424*(X424/H424),"0")</f>
        <v>6.25E-2</v>
      </c>
      <c r="BP424" s="78">
        <f>IFERROR(1/J424*(Y424/H424),"0")</f>
        <v>6.25E-2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9</v>
      </c>
      <c r="Y425" s="55">
        <f>IFERROR(IF(X425="",0,CEILING((X425/$H425),1)*$H425),"")</f>
        <v>9</v>
      </c>
      <c r="Z425" s="41">
        <f>IFERROR(IF(Y425=0,"",ROUNDUP(Y425/H425,0)*0.01898),"")</f>
        <v>1.898E-2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9.4939999999999998</v>
      </c>
      <c r="BN425" s="78">
        <f>IFERROR(Y425*I425/H425,"0")</f>
        <v>9.4939999999999998</v>
      </c>
      <c r="BO425" s="78">
        <f>IFERROR(1/J425*(X425/H425),"0")</f>
        <v>1.5625E-2</v>
      </c>
      <c r="BP425" s="78">
        <f>IFERROR(1/J425*(Y425/H425),"0")</f>
        <v>1.5625E-2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5</v>
      </c>
      <c r="Y426" s="43">
        <f>IFERROR(Y424/H424,"0")+IFERROR(Y425/H425,"0")</f>
        <v>5</v>
      </c>
      <c r="Z426" s="43">
        <f>IFERROR(IF(Z424="",0,Z424),"0")+IFERROR(IF(Z425="",0,Z425),"0")</f>
        <v>9.4899999999999998E-2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45</v>
      </c>
      <c r="Y427" s="43">
        <f>IFERROR(SUM(Y424:Y425),"0")</f>
        <v>45</v>
      </c>
      <c r="Z427" s="42"/>
      <c r="AA427" s="67"/>
      <c r="AB427" s="67"/>
      <c r="AC427" s="67"/>
    </row>
    <row r="428" spans="1:68" ht="14.25" hidden="1" customHeight="1" x14ac:dyDescent="0.25">
      <c r="A428" s="686" t="s">
        <v>184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9</v>
      </c>
      <c r="Y429" s="55">
        <f>IFERROR(IF(X429="",0,CEILING((X429/$H429),1)*$H429),"")</f>
        <v>9</v>
      </c>
      <c r="Z429" s="41">
        <f>IFERROR(IF(Y429=0,"",ROUNDUP(Y429/H429,0)*0.01898),"")</f>
        <v>1.898E-2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9.4939999999999998</v>
      </c>
      <c r="BN429" s="78">
        <f>IFERROR(Y429*I429/H429,"0")</f>
        <v>9.4939999999999998</v>
      </c>
      <c r="BO429" s="78">
        <f>IFERROR(1/J429*(X429/H429),"0")</f>
        <v>1.5625E-2</v>
      </c>
      <c r="BP429" s="78">
        <f>IFERROR(1/J429*(Y429/H429),"0")</f>
        <v>1.5625E-2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1</v>
      </c>
      <c r="Y430" s="43">
        <f>IFERROR(Y429/H429,"0")</f>
        <v>1</v>
      </c>
      <c r="Z430" s="43">
        <f>IFERROR(IF(Z429="",0,Z429),"0")</f>
        <v>1.898E-2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9</v>
      </c>
      <c r="Y431" s="43">
        <f>IFERROR(SUM(Y429:Y429),"0")</f>
        <v>9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132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21.6</v>
      </c>
      <c r="Y451" s="55">
        <f t="shared" ref="Y451:Y456" si="68">IFERROR(IF(X451="",0,CEILING((X451/$H451),1)*$H451),"")</f>
        <v>21.6</v>
      </c>
      <c r="Z451" s="41">
        <f>IFERROR(IF(Y451=0,"",ROUNDUP(Y451/H451,0)*0.00902),"")</f>
        <v>3.6080000000000001E-2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22.36</v>
      </c>
      <c r="BN451" s="78">
        <f t="shared" ref="BN451:BN456" si="70">IFERROR(Y451*I451/H451,"0")</f>
        <v>22.36</v>
      </c>
      <c r="BO451" s="78">
        <f t="shared" ref="BO451:BO456" si="71">IFERROR(1/J451*(X451/H451),"0")</f>
        <v>3.0303030303030304E-2</v>
      </c>
      <c r="BP451" s="78">
        <f t="shared" ref="BP451:BP456" si="72">IFERROR(1/J451*(Y451/H451),"0")</f>
        <v>3.0303030303030304E-2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21.6</v>
      </c>
      <c r="Y452" s="55">
        <f t="shared" si="68"/>
        <v>21.6</v>
      </c>
      <c r="Z452" s="41">
        <f>IFERROR(IF(Y452=0,"",ROUNDUP(Y452/H452,0)*0.00902),"")</f>
        <v>3.6080000000000001E-2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22.36</v>
      </c>
      <c r="BN452" s="78">
        <f t="shared" si="70"/>
        <v>22.36</v>
      </c>
      <c r="BO452" s="78">
        <f t="shared" si="71"/>
        <v>3.0303030303030304E-2</v>
      </c>
      <c r="BP452" s="78">
        <f t="shared" si="72"/>
        <v>3.0303030303030304E-2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10.5</v>
      </c>
      <c r="Y453" s="55">
        <f t="shared" si="68"/>
        <v>10.5</v>
      </c>
      <c r="Z453" s="41">
        <f>IFERROR(IF(Y453=0,"",ROUNDUP(Y453/H453,0)*0.00502),"")</f>
        <v>2.5100000000000001E-2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11.149999999999999</v>
      </c>
      <c r="BN453" s="78">
        <f t="shared" si="70"/>
        <v>11.149999999999999</v>
      </c>
      <c r="BO453" s="78">
        <f t="shared" si="71"/>
        <v>2.1367521367521368E-2</v>
      </c>
      <c r="BP453" s="78">
        <f t="shared" si="72"/>
        <v>2.1367521367521368E-2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/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10.5</v>
      </c>
      <c r="Y455" s="55">
        <f t="shared" si="68"/>
        <v>10.5</v>
      </c>
      <c r="Z455" s="41">
        <f>IFERROR(IF(Y455=0,"",ROUNDUP(Y455/H455,0)*0.00502),"")</f>
        <v>2.5100000000000001E-2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11.149999999999999</v>
      </c>
      <c r="BN455" s="78">
        <f t="shared" si="70"/>
        <v>11.149999999999999</v>
      </c>
      <c r="BO455" s="78">
        <f t="shared" si="71"/>
        <v>2.1367521367521368E-2</v>
      </c>
      <c r="BP455" s="78">
        <f t="shared" si="72"/>
        <v>2.1367521367521368E-2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10.5</v>
      </c>
      <c r="Y456" s="55">
        <f t="shared" si="68"/>
        <v>10.5</v>
      </c>
      <c r="Z456" s="41">
        <f>IFERROR(IF(Y456=0,"",ROUNDUP(Y456/H456,0)*0.00502),"")</f>
        <v>2.5100000000000001E-2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11.149999999999999</v>
      </c>
      <c r="BN456" s="78">
        <f t="shared" si="70"/>
        <v>11.149999999999999</v>
      </c>
      <c r="BO456" s="78">
        <f t="shared" si="71"/>
        <v>2.1367521367521368E-2</v>
      </c>
      <c r="BP456" s="78">
        <f t="shared" si="72"/>
        <v>2.1367521367521368E-2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23</v>
      </c>
      <c r="Y457" s="43">
        <f>IFERROR(Y451/H451,"0")+IFERROR(Y452/H452,"0")+IFERROR(Y453/H453,"0")+IFERROR(Y454/H454,"0")+IFERROR(Y455/H455,"0")+IFERROR(Y456/H456,"0")</f>
        <v>23</v>
      </c>
      <c r="Z457" s="43">
        <f>IFERROR(IF(Z451="",0,Z451),"0")+IFERROR(IF(Z452="",0,Z452),"0")+IFERROR(IF(Z453="",0,Z453),"0")+IFERROR(IF(Z454="",0,Z454),"0")+IFERROR(IF(Z455="",0,Z455),"0")+IFERROR(IF(Z456="",0,Z456),"0")</f>
        <v>0.14746000000000001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74.7</v>
      </c>
      <c r="Y458" s="43">
        <f>IFERROR(SUM(Y451:Y456),"0")</f>
        <v>74.7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4.8</v>
      </c>
      <c r="Y460" s="55">
        <f>IFERROR(IF(X460="",0,CEILING((X460/$H460),1)*$H460),"")</f>
        <v>4.8</v>
      </c>
      <c r="Z460" s="41">
        <f>IFERROR(IF(Y460=0,"",ROUNDUP(Y460/H460,0)*0.00902),"")</f>
        <v>1.804E-2</v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5.2519999999999998</v>
      </c>
      <c r="BN460" s="78">
        <f>IFERROR(Y460*I460/H460,"0")</f>
        <v>5.2519999999999998</v>
      </c>
      <c r="BO460" s="78">
        <f>IFERROR(1/J460*(X460/H460),"0")</f>
        <v>1.5151515151515152E-2</v>
      </c>
      <c r="BP460" s="78">
        <f>IFERROR(1/J460*(Y460/H460),"0")</f>
        <v>1.5151515151515152E-2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2</v>
      </c>
      <c r="Y462" s="43">
        <f>IFERROR(Y460/H460,"0")+IFERROR(Y461/H461,"0")</f>
        <v>2</v>
      </c>
      <c r="Z462" s="43">
        <f>IFERROR(IF(Z460="",0,Z460),"0")+IFERROR(IF(Z461="",0,Z461),"0")</f>
        <v>1.804E-2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4.8</v>
      </c>
      <c r="Y463" s="43">
        <f>IFERROR(SUM(Y460:Y461),"0")</f>
        <v>4.8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167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27</v>
      </c>
      <c r="Y470" s="55">
        <f>IFERROR(IF(X470="",0,CEILING((X470/$H470),1)*$H470),"")</f>
        <v>27</v>
      </c>
      <c r="Z470" s="41">
        <f>IFERROR(IF(Y470=0,"",ROUNDUP(Y470/H470,0)*0.00902),"")</f>
        <v>4.5100000000000001E-2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27.95</v>
      </c>
      <c r="BN470" s="78">
        <f>IFERROR(Y470*I470/H470,"0")</f>
        <v>27.95</v>
      </c>
      <c r="BO470" s="78">
        <f>IFERROR(1/J470*(X470/H470),"0")</f>
        <v>3.787878787878788E-2</v>
      </c>
      <c r="BP470" s="78">
        <f>IFERROR(1/J470*(Y470/H470),"0")</f>
        <v>3.787878787878788E-2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10.5</v>
      </c>
      <c r="Y472" s="55">
        <f>IFERROR(IF(X472="",0,CEILING((X472/$H472),1)*$H472),"")</f>
        <v>10.5</v>
      </c>
      <c r="Z472" s="41">
        <f>IFERROR(IF(Y472=0,"",ROUNDUP(Y472/H472,0)*0.00502),"")</f>
        <v>2.5100000000000001E-2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11.149999999999999</v>
      </c>
      <c r="BN472" s="78">
        <f>IFERROR(Y472*I472/H472,"0")</f>
        <v>11.149999999999999</v>
      </c>
      <c r="BO472" s="78">
        <f>IFERROR(1/J472*(X472/H472),"0")</f>
        <v>2.1367521367521368E-2</v>
      </c>
      <c r="BP472" s="78">
        <f>IFERROR(1/J472*(Y472/H472),"0")</f>
        <v>2.1367521367521368E-2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10</v>
      </c>
      <c r="Y473" s="43">
        <f>IFERROR(Y470/H470,"0")+IFERROR(Y471/H471,"0")+IFERROR(Y472/H472,"0")</f>
        <v>10</v>
      </c>
      <c r="Z473" s="43">
        <f>IFERROR(IF(Z470="",0,Z470),"0")+IFERROR(IF(Z471="",0,Z471),"0")+IFERROR(IF(Z472="",0,Z472),"0")</f>
        <v>7.0199999999999999E-2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37.5</v>
      </c>
      <c r="Y474" s="43">
        <f>IFERROR(SUM(Y470:Y472),"0")</f>
        <v>37.5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132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4301012210</v>
      </c>
      <c r="D479" s="687">
        <v>4607091383522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10.56</v>
      </c>
      <c r="Y479" s="55">
        <f t="shared" si="73"/>
        <v>10.56</v>
      </c>
      <c r="Z479" s="41">
        <f t="shared" si="74"/>
        <v>2.392E-2</v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11.26</v>
      </c>
      <c r="BN479" s="78">
        <f t="shared" si="76"/>
        <v>11.26</v>
      </c>
      <c r="BO479" s="78">
        <f t="shared" si="77"/>
        <v>1.9230769230769232E-2</v>
      </c>
      <c r="BP479" s="78">
        <f t="shared" si="78"/>
        <v>1.9230769230769232E-2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10.56</v>
      </c>
      <c r="Y480" s="55">
        <f t="shared" si="73"/>
        <v>10.56</v>
      </c>
      <c r="Z480" s="41">
        <f t="shared" si="74"/>
        <v>2.392E-2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11.26</v>
      </c>
      <c r="BN480" s="78">
        <f t="shared" si="76"/>
        <v>11.26</v>
      </c>
      <c r="BO480" s="78">
        <f t="shared" si="77"/>
        <v>1.9230769230769232E-2</v>
      </c>
      <c r="BP480" s="78">
        <f t="shared" si="78"/>
        <v>1.9230769230769232E-2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10.56</v>
      </c>
      <c r="Y481" s="55">
        <f t="shared" si="73"/>
        <v>10.56</v>
      </c>
      <c r="Z481" s="41">
        <f t="shared" si="74"/>
        <v>2.392E-2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11.26</v>
      </c>
      <c r="BN481" s="78">
        <f t="shared" si="76"/>
        <v>11.26</v>
      </c>
      <c r="BO481" s="78">
        <f t="shared" si="77"/>
        <v>1.9230769230769232E-2</v>
      </c>
      <c r="BP481" s="78">
        <f t="shared" si="78"/>
        <v>1.9230769230769232E-2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10.56</v>
      </c>
      <c r="Y483" s="55">
        <f t="shared" si="73"/>
        <v>10.56</v>
      </c>
      <c r="Z483" s="41">
        <f t="shared" si="74"/>
        <v>2.392E-2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11.26</v>
      </c>
      <c r="BN483" s="78">
        <f t="shared" si="76"/>
        <v>11.26</v>
      </c>
      <c r="BO483" s="78">
        <f t="shared" si="77"/>
        <v>1.9230769230769232E-2</v>
      </c>
      <c r="BP483" s="78">
        <f t="shared" si="78"/>
        <v>1.9230769230769232E-2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8</v>
      </c>
      <c r="Y487" s="43">
        <f>IFERROR(Y478/H478,"0")+IFERROR(Y479/H479,"0")+IFERROR(Y480/H480,"0")+IFERROR(Y481/H481,"0")+IFERROR(Y482/H482,"0")+IFERROR(Y483/H483,"0")+IFERROR(Y484/H484,"0")+IFERROR(Y485/H485,"0")+IFERROR(Y486/H486,"0")</f>
        <v>8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9.5680000000000001E-2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42.24</v>
      </c>
      <c r="Y488" s="43">
        <f>IFERROR(SUM(Y478:Y486),"0")</f>
        <v>42.24</v>
      </c>
      <c r="Z488" s="42"/>
      <c r="AA488" s="67"/>
      <c r="AB488" s="67"/>
      <c r="AC488" s="67"/>
    </row>
    <row r="489" spans="1:68" ht="14.25" hidden="1" customHeight="1" x14ac:dyDescent="0.25">
      <c r="A489" s="686" t="s">
        <v>167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10.56</v>
      </c>
      <c r="Y496" s="55">
        <f t="shared" ref="Y496:Y502" si="79">IFERROR(IF(X496="",0,CEILING((X496/$H496),1)*$H496),"")</f>
        <v>10.56</v>
      </c>
      <c r="Z496" s="41">
        <f>IFERROR(IF(Y496=0,"",ROUNDUP(Y496/H496,0)*0.01196),"")</f>
        <v>2.392E-2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11.26</v>
      </c>
      <c r="BN496" s="78">
        <f t="shared" ref="BN496:BN502" si="81">IFERROR(Y496*I496/H496,"0")</f>
        <v>11.26</v>
      </c>
      <c r="BO496" s="78">
        <f t="shared" ref="BO496:BO502" si="82">IFERROR(1/J496*(X496/H496),"0")</f>
        <v>1.9230769230769232E-2</v>
      </c>
      <c r="BP496" s="78">
        <f t="shared" ref="BP496:BP502" si="83">IFERROR(1/J496*(Y496/H496),"0")</f>
        <v>1.9230769230769232E-2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10.56</v>
      </c>
      <c r="Y498" s="55">
        <f t="shared" si="79"/>
        <v>10.56</v>
      </c>
      <c r="Z498" s="41">
        <f>IFERROR(IF(Y498=0,"",ROUNDUP(Y498/H498,0)*0.01196),"")</f>
        <v>2.392E-2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11.26</v>
      </c>
      <c r="BN498" s="78">
        <f t="shared" si="81"/>
        <v>11.26</v>
      </c>
      <c r="BO498" s="78">
        <f t="shared" si="82"/>
        <v>1.9230769230769232E-2</v>
      </c>
      <c r="BP498" s="78">
        <f t="shared" si="83"/>
        <v>1.9230769230769232E-2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4</v>
      </c>
      <c r="Y503" s="43">
        <f>IFERROR(Y496/H496,"0")+IFERROR(Y497/H497,"0")+IFERROR(Y498/H498,"0")+IFERROR(Y499/H499,"0")+IFERROR(Y500/H500,"0")+IFERROR(Y501/H501,"0")+IFERROR(Y502/H502,"0")</f>
        <v>4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4.7840000000000001E-2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21.12</v>
      </c>
      <c r="Y504" s="43">
        <f>IFERROR(SUM(Y496:Y502),"0")</f>
        <v>21.12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132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6" t="s">
        <v>167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31.15</v>
      </c>
      <c r="Y517" s="55">
        <f>IFERROR(IF(X517="",0,CEILING((X517/$H517),1)*$H517),"")</f>
        <v>33.6</v>
      </c>
      <c r="Z517" s="41">
        <f>IFERROR(IF(Y517=0,"",ROUNDUP(Y517/H517,0)*0.00902),"")</f>
        <v>7.2160000000000002E-2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33.00416666666667</v>
      </c>
      <c r="BN517" s="78">
        <f>IFERROR(Y517*I517/H517,"0")</f>
        <v>35.6</v>
      </c>
      <c r="BO517" s="78">
        <f>IFERROR(1/J517*(X517/H517),"0")</f>
        <v>5.6186868686868681E-2</v>
      </c>
      <c r="BP517" s="78">
        <f>IFERROR(1/J517*(Y517/H517),"0")</f>
        <v>6.0606060606060608E-2</v>
      </c>
    </row>
    <row r="518" spans="1:68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7.4166666666666661</v>
      </c>
      <c r="Y518" s="43">
        <f>IFERROR(Y516/H516,"0")+IFERROR(Y517/H517,"0")</f>
        <v>8</v>
      </c>
      <c r="Z518" s="43">
        <f>IFERROR(IF(Z516="",0,Z516),"0")+IFERROR(IF(Z517="",0,Z517),"0")</f>
        <v>7.2160000000000002E-2</v>
      </c>
      <c r="AA518" s="67"/>
      <c r="AB518" s="67"/>
      <c r="AC518" s="67"/>
    </row>
    <row r="519" spans="1:68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31.15</v>
      </c>
      <c r="Y519" s="43">
        <f>IFERROR(SUM(Y516:Y517),"0")</f>
        <v>33.6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36</v>
      </c>
      <c r="Y521" s="55">
        <f>IFERROR(IF(X521="",0,CEILING((X521/$H521),1)*$H521),"")</f>
        <v>36</v>
      </c>
      <c r="Z521" s="41">
        <f>IFERROR(IF(Y521=0,"",ROUNDUP(Y521/H521,0)*0.01898),"")</f>
        <v>7.5920000000000001E-2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37.975999999999999</v>
      </c>
      <c r="BN521" s="78">
        <f>IFERROR(Y521*I521/H521,"0")</f>
        <v>37.975999999999999</v>
      </c>
      <c r="BO521" s="78">
        <f>IFERROR(1/J521*(X521/H521),"0")</f>
        <v>6.25E-2</v>
      </c>
      <c r="BP521" s="78">
        <f>IFERROR(1/J521*(Y521/H521),"0")</f>
        <v>6.25E-2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4</v>
      </c>
      <c r="Y522" s="43">
        <f>IFERROR(Y521/H521,"0")</f>
        <v>4</v>
      </c>
      <c r="Z522" s="43">
        <f>IFERROR(IF(Z521="",0,Z521),"0")</f>
        <v>7.5920000000000001E-2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36</v>
      </c>
      <c r="Y523" s="43">
        <f>IFERROR(SUM(Y521:Y521),"0")</f>
        <v>36</v>
      </c>
      <c r="Z523" s="42"/>
      <c r="AA523" s="67"/>
      <c r="AB523" s="67"/>
      <c r="AC523" s="67"/>
    </row>
    <row r="524" spans="1:68" ht="14.25" hidden="1" customHeight="1" x14ac:dyDescent="0.25">
      <c r="A524" s="686" t="s">
        <v>184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9</v>
      </c>
      <c r="Y525" s="55">
        <f>IFERROR(IF(X525="",0,CEILING((X525/$H525),1)*$H525),"")</f>
        <v>9</v>
      </c>
      <c r="Z525" s="41">
        <f>IFERROR(IF(Y525=0,"",ROUNDUP(Y525/H525,0)*0.01898),"")</f>
        <v>1.898E-2</v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9.41</v>
      </c>
      <c r="BN525" s="78">
        <f>IFERROR(Y525*I525/H525,"0")</f>
        <v>9.41</v>
      </c>
      <c r="BO525" s="78">
        <f>IFERROR(1/J525*(X525/H525),"0")</f>
        <v>1.5625E-2</v>
      </c>
      <c r="BP525" s="78">
        <f>IFERROR(1/J525*(Y525/H525),"0")</f>
        <v>1.5625E-2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9</v>
      </c>
      <c r="Y526" s="55">
        <f>IFERROR(IF(X526="",0,CEILING((X526/$H526),1)*$H526),"")</f>
        <v>9</v>
      </c>
      <c r="Z526" s="41">
        <f>IFERROR(IF(Y526=0,"",ROUNDUP(Y526/H526,0)*0.01898),"")</f>
        <v>1.898E-2</v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9.41</v>
      </c>
      <c r="BN526" s="78">
        <f>IFERROR(Y526*I526/H526,"0")</f>
        <v>9.41</v>
      </c>
      <c r="BO526" s="78">
        <f>IFERROR(1/J526*(X526/H526),"0")</f>
        <v>1.5625E-2</v>
      </c>
      <c r="BP526" s="78">
        <f>IFERROR(1/J526*(Y526/H526),"0")</f>
        <v>1.5625E-2</v>
      </c>
    </row>
    <row r="527" spans="1:68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2</v>
      </c>
      <c r="Y527" s="43">
        <f>IFERROR(Y525/H525,"0")+IFERROR(Y526/H526,"0")</f>
        <v>2</v>
      </c>
      <c r="Z527" s="43">
        <f>IFERROR(IF(Z525="",0,Z525),"0")+IFERROR(IF(Z526="",0,Z526),"0")</f>
        <v>3.7960000000000001E-2</v>
      </c>
      <c r="AA527" s="67"/>
      <c r="AB527" s="67"/>
      <c r="AC527" s="67"/>
    </row>
    <row r="528" spans="1:68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18</v>
      </c>
      <c r="Y528" s="43">
        <f>IFERROR(SUM(Y525:Y526),"0")</f>
        <v>18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167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5558.3999999999987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5560.8499999999995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5830.7331666666632</v>
      </c>
      <c r="Y535" s="43">
        <f>IFERROR(SUM(BN22:BN531),"0")</f>
        <v>5833.328999999997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10</v>
      </c>
      <c r="Y536" s="44">
        <f>ROUNDUP(SUM(BP22:BP531),0)</f>
        <v>10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6080.7331666666632</v>
      </c>
      <c r="Y537" s="43">
        <f>GrossWeightTotalR+PalletQtyTotalR*25</f>
        <v>6083.328999999997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771.41666666666663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772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11.143740000000003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130</v>
      </c>
      <c r="E541" s="966" t="s">
        <v>130</v>
      </c>
      <c r="F541" s="966" t="s">
        <v>130</v>
      </c>
      <c r="G541" s="966" t="s">
        <v>130</v>
      </c>
      <c r="H541" s="966" t="s">
        <v>130</v>
      </c>
      <c r="I541" s="966" t="s">
        <v>130</v>
      </c>
      <c r="J541" s="966" t="s">
        <v>130</v>
      </c>
      <c r="K541" s="966" t="s">
        <v>339</v>
      </c>
      <c r="L541" s="966" t="s">
        <v>339</v>
      </c>
      <c r="M541" s="966" t="s">
        <v>339</v>
      </c>
      <c r="N541" s="967"/>
      <c r="O541" s="966" t="s">
        <v>339</v>
      </c>
      <c r="P541" s="966" t="s">
        <v>339</v>
      </c>
      <c r="Q541" s="966" t="s">
        <v>339</v>
      </c>
      <c r="R541" s="966" t="s">
        <v>339</v>
      </c>
      <c r="S541" s="966" t="s">
        <v>339</v>
      </c>
      <c r="T541" s="966" t="s">
        <v>339</v>
      </c>
      <c r="U541" s="966" t="s">
        <v>339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113</v>
      </c>
      <c r="D542" s="966" t="s">
        <v>131</v>
      </c>
      <c r="E542" s="966" t="s">
        <v>147</v>
      </c>
      <c r="F542" s="966" t="s">
        <v>191</v>
      </c>
      <c r="G542" s="966" t="s">
        <v>212</v>
      </c>
      <c r="H542" s="966" t="s">
        <v>256</v>
      </c>
      <c r="I542" s="966" t="s">
        <v>268</v>
      </c>
      <c r="J542" s="966" t="s">
        <v>130</v>
      </c>
      <c r="K542" s="966" t="s">
        <v>340</v>
      </c>
      <c r="L542" s="966" t="s">
        <v>361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4.32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128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99.600000000000009</v>
      </c>
      <c r="F544" s="52">
        <f>IFERROR(Y88*1,"0")+IFERROR(Y89*1,"0")+IFERROR(Y90*1,"0")+IFERROR(Y91*1,"0")+IFERROR(Y95*1,"0")+IFERROR(Y96*1,"0")+IFERROR(Y97*1,"0")+IFERROR(Y98*1,"0")</f>
        <v>91.08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166.5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7.92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171.65000000000003</v>
      </c>
      <c r="K544" s="52">
        <f>IFERROR(Y199*1,"0")+IFERROR(Y200*1,"0")+IFERROR(Y201*1,"0")+IFERROR(Y202*1,"0")+IFERROR(Y203*1,"0")+IFERROR(Y204*1,"0")+IFERROR(Y205*1,"0")</f>
        <v>16.8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170.23999999999998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141.60000000000002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248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18.899999999999999</v>
      </c>
      <c r="S544" s="52">
        <f>IFERROR(Y346*1,"0")+IFERROR(Y347*1,"0")+IFERROR(Y348*1,"0")</f>
        <v>46.8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2109.7800000000002</v>
      </c>
      <c r="U544" s="52">
        <f>IFERROR(Y399*1,"0")+IFERROR(Y400*1,"0")+IFERROR(Y401*1,"0")</f>
        <v>77.699999999999989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1794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79.5</v>
      </c>
      <c r="Y544" s="52">
        <f>IFERROR(Y466*1,"0")+IFERROR(Y470*1,"0")+IFERROR(Y471*1,"0")+IFERROR(Y472*1,"0")</f>
        <v>37.5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63.360000000000007</v>
      </c>
      <c r="AA544" s="52">
        <f>IFERROR(Y508*1,"0")+IFERROR(Y512*1,"0")+IFERROR(Y516*1,"0")+IFERROR(Y517*1,"0")+IFERROR(Y521*1,"0")+IFERROR(Y525*1,"0")+IFERROR(Y526*1,"0")</f>
        <v>87.6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0"/>
        <filter val="0,90"/>
        <filter val="1 497,60"/>
        <filter val="1 554,30"/>
        <filter val="1 590,00"/>
        <filter val="1,00"/>
        <filter val="1,08"/>
        <filter val="1,65"/>
        <filter val="1,80"/>
        <filter val="1,98"/>
        <filter val="10"/>
        <filter val="10,00"/>
        <filter val="10,50"/>
        <filter val="10,56"/>
        <filter val="106,00"/>
        <filter val="108,00"/>
        <filter val="11,18"/>
        <filter val="115,20"/>
        <filter val="119,60"/>
        <filter val="12,00"/>
        <filter val="128,00"/>
        <filter val="14,70"/>
        <filter val="15,00"/>
        <filter val="15,60"/>
        <filter val="150,00"/>
        <filter val="16,00"/>
        <filter val="16,80"/>
        <filter val="165,00"/>
        <filter val="17,00"/>
        <filter val="17,50"/>
        <filter val="177,30"/>
        <filter val="18,00"/>
        <filter val="18,90"/>
        <filter val="19,20"/>
        <filter val="2,00"/>
        <filter val="2,16"/>
        <filter val="2,40"/>
        <filter val="2,52"/>
        <filter val="2,55"/>
        <filter val="20,00"/>
        <filter val="201,00"/>
        <filter val="202,00"/>
        <filter val="21,12"/>
        <filter val="21,60"/>
        <filter val="21,90"/>
        <filter val="22,50"/>
        <filter val="23,00"/>
        <filter val="23,40"/>
        <filter val="24,30"/>
        <filter val="24,50"/>
        <filter val="248,00"/>
        <filter val="25,00"/>
        <filter val="25,20"/>
        <filter val="26,40"/>
        <filter val="27,00"/>
        <filter val="28,00"/>
        <filter val="3,00"/>
        <filter val="3,04"/>
        <filter val="3,60"/>
        <filter val="31,15"/>
        <filter val="32,00"/>
        <filter val="34,00"/>
        <filter val="36,00"/>
        <filter val="37,50"/>
        <filter val="39,00"/>
        <filter val="4,00"/>
        <filter val="4,32"/>
        <filter val="4,80"/>
        <filter val="42,00"/>
        <filter val="42,24"/>
        <filter val="42,72"/>
        <filter val="45,00"/>
        <filter val="46,80"/>
        <filter val="48,00"/>
        <filter val="49,00"/>
        <filter val="5 558,40"/>
        <filter val="5 830,73"/>
        <filter val="5,00"/>
        <filter val="5,04"/>
        <filter val="5,40"/>
        <filter val="51,20"/>
        <filter val="54,00"/>
        <filter val="56,70"/>
        <filter val="6 080,73"/>
        <filter val="6,00"/>
        <filter val="63,00"/>
        <filter val="64,08"/>
        <filter val="64,80"/>
        <filter val="67,20"/>
        <filter val="7,20"/>
        <filter val="7,42"/>
        <filter val="7,80"/>
        <filter val="7,92"/>
        <filter val="720,00"/>
        <filter val="73,80"/>
        <filter val="74,70"/>
        <filter val="77,70"/>
        <filter val="771,42"/>
        <filter val="8,00"/>
        <filter val="8,10"/>
        <filter val="8,40"/>
        <filter val="8,70"/>
        <filter val="84,00"/>
        <filter val="85,50"/>
        <filter val="9,00"/>
        <filter val="96,68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schemas.microsoft.com/office/2006/metadata/properties"/>
    <ds:schemaRef ds:uri="http://purl.org/dc/elements/1.1/"/>
    <ds:schemaRef ds:uri="bb0b2827-4eb3-461f-8866-28597c48f47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