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7165528-A4F1-46AF-A6A1-EB160889E5B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O524" i="1"/>
  <c r="BM524" i="1"/>
  <c r="Y524" i="1"/>
  <c r="BP524" i="1" s="1"/>
  <c r="P524" i="1"/>
  <c r="X522" i="1"/>
  <c r="X521" i="1"/>
  <c r="BO520" i="1"/>
  <c r="BM520" i="1"/>
  <c r="Y520" i="1"/>
  <c r="P520" i="1"/>
  <c r="X518" i="1"/>
  <c r="X517" i="1"/>
  <c r="BO516" i="1"/>
  <c r="BM516" i="1"/>
  <c r="Y516" i="1"/>
  <c r="BP516" i="1" s="1"/>
  <c r="P516" i="1"/>
  <c r="BO515" i="1"/>
  <c r="BM515" i="1"/>
  <c r="Y515" i="1"/>
  <c r="Y517" i="1" s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X487" i="1"/>
  <c r="X486" i="1"/>
  <c r="BO485" i="1"/>
  <c r="BM485" i="1"/>
  <c r="Y485" i="1"/>
  <c r="P485" i="1"/>
  <c r="BO484" i="1"/>
  <c r="BM484" i="1"/>
  <c r="Y484" i="1"/>
  <c r="BP484" i="1" s="1"/>
  <c r="P484" i="1"/>
  <c r="BO483" i="1"/>
  <c r="BM483" i="1"/>
  <c r="Y483" i="1"/>
  <c r="P483" i="1"/>
  <c r="BO482" i="1"/>
  <c r="BM482" i="1"/>
  <c r="Y482" i="1"/>
  <c r="BP482" i="1" s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BP451" i="1" s="1"/>
  <c r="P451" i="1"/>
  <c r="BO450" i="1"/>
  <c r="BM450" i="1"/>
  <c r="Y450" i="1"/>
  <c r="P450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O433" i="1"/>
  <c r="BM433" i="1"/>
  <c r="Y433" i="1"/>
  <c r="BP433" i="1" s="1"/>
  <c r="P433" i="1"/>
  <c r="X430" i="1"/>
  <c r="Y429" i="1"/>
  <c r="X429" i="1"/>
  <c r="BP428" i="1"/>
  <c r="BO428" i="1"/>
  <c r="BN428" i="1"/>
  <c r="BM428" i="1"/>
  <c r="Z428" i="1"/>
  <c r="Z429" i="1" s="1"/>
  <c r="Y428" i="1"/>
  <c r="Y430" i="1" s="1"/>
  <c r="P428" i="1"/>
  <c r="X426" i="1"/>
  <c r="Y425" i="1"/>
  <c r="X425" i="1"/>
  <c r="BO424" i="1"/>
  <c r="BM424" i="1"/>
  <c r="Y424" i="1"/>
  <c r="BP424" i="1" s="1"/>
  <c r="P424" i="1"/>
  <c r="BO423" i="1"/>
  <c r="BM423" i="1"/>
  <c r="Y423" i="1"/>
  <c r="P423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BO406" i="1"/>
  <c r="BM406" i="1"/>
  <c r="Y406" i="1"/>
  <c r="BP406" i="1" s="1"/>
  <c r="P406" i="1"/>
  <c r="X402" i="1"/>
  <c r="X401" i="1"/>
  <c r="BO400" i="1"/>
  <c r="BM400" i="1"/>
  <c r="Y400" i="1"/>
  <c r="P400" i="1"/>
  <c r="BO399" i="1"/>
  <c r="BM399" i="1"/>
  <c r="Y399" i="1"/>
  <c r="BP399" i="1" s="1"/>
  <c r="P399" i="1"/>
  <c r="BO398" i="1"/>
  <c r="BM398" i="1"/>
  <c r="Y398" i="1"/>
  <c r="P398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BP362" i="1" s="1"/>
  <c r="P362" i="1"/>
  <c r="BO361" i="1"/>
  <c r="BM361" i="1"/>
  <c r="Y361" i="1"/>
  <c r="P361" i="1"/>
  <c r="X359" i="1"/>
  <c r="X358" i="1"/>
  <c r="BO357" i="1"/>
  <c r="BM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BP354" i="1" s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O340" i="1"/>
  <c r="BM340" i="1"/>
  <c r="Y340" i="1"/>
  <c r="P340" i="1"/>
  <c r="X338" i="1"/>
  <c r="X337" i="1"/>
  <c r="BO336" i="1"/>
  <c r="BM336" i="1"/>
  <c r="Y336" i="1"/>
  <c r="BP336" i="1" s="1"/>
  <c r="P336" i="1"/>
  <c r="BO335" i="1"/>
  <c r="BM335" i="1"/>
  <c r="Y335" i="1"/>
  <c r="P335" i="1"/>
  <c r="BO334" i="1"/>
  <c r="BM334" i="1"/>
  <c r="Z334" i="1"/>
  <c r="Y334" i="1"/>
  <c r="BN334" i="1" s="1"/>
  <c r="P334" i="1"/>
  <c r="BO333" i="1"/>
  <c r="BM333" i="1"/>
  <c r="Y333" i="1"/>
  <c r="P333" i="1"/>
  <c r="BO332" i="1"/>
  <c r="BM332" i="1"/>
  <c r="Y332" i="1"/>
  <c r="P332" i="1"/>
  <c r="X329" i="1"/>
  <c r="X328" i="1"/>
  <c r="BO327" i="1"/>
  <c r="BM327" i="1"/>
  <c r="Y327" i="1"/>
  <c r="BP327" i="1" s="1"/>
  <c r="P327" i="1"/>
  <c r="BO326" i="1"/>
  <c r="BM326" i="1"/>
  <c r="Y326" i="1"/>
  <c r="P326" i="1"/>
  <c r="BO325" i="1"/>
  <c r="BM325" i="1"/>
  <c r="Y325" i="1"/>
  <c r="P325" i="1"/>
  <c r="X322" i="1"/>
  <c r="X321" i="1"/>
  <c r="BO320" i="1"/>
  <c r="BM320" i="1"/>
  <c r="Y320" i="1"/>
  <c r="BP320" i="1" s="1"/>
  <c r="P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X307" i="1"/>
  <c r="Y306" i="1"/>
  <c r="X306" i="1"/>
  <c r="BO305" i="1"/>
  <c r="BM305" i="1"/>
  <c r="Y305" i="1"/>
  <c r="Y307" i="1" s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BN291" i="1" s="1"/>
  <c r="P291" i="1"/>
  <c r="X288" i="1"/>
  <c r="X287" i="1"/>
  <c r="BO286" i="1"/>
  <c r="BM286" i="1"/>
  <c r="Y286" i="1"/>
  <c r="BP286" i="1" s="1"/>
  <c r="P286" i="1"/>
  <c r="BO285" i="1"/>
  <c r="BM285" i="1"/>
  <c r="Y285" i="1"/>
  <c r="P285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O276" i="1"/>
  <c r="BM276" i="1"/>
  <c r="Y276" i="1"/>
  <c r="BP276" i="1" s="1"/>
  <c r="P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BN270" i="1" s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BO260" i="1"/>
  <c r="BM260" i="1"/>
  <c r="Z260" i="1"/>
  <c r="Y260" i="1"/>
  <c r="BN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N254" i="1" s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X229" i="1"/>
  <c r="X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P182" i="1"/>
  <c r="BO182" i="1"/>
  <c r="BN182" i="1"/>
  <c r="BM182" i="1"/>
  <c r="Z182" i="1"/>
  <c r="Y182" i="1"/>
  <c r="Y185" i="1" s="1"/>
  <c r="P182" i="1"/>
  <c r="X180" i="1"/>
  <c r="X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Z174" i="1"/>
  <c r="Y174" i="1"/>
  <c r="BN174" i="1" s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X166" i="1"/>
  <c r="X165" i="1"/>
  <c r="BO164" i="1"/>
  <c r="BM164" i="1"/>
  <c r="Y164" i="1"/>
  <c r="P164" i="1"/>
  <c r="X162" i="1"/>
  <c r="Y161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X156" i="1"/>
  <c r="X155" i="1"/>
  <c r="BO154" i="1"/>
  <c r="BM154" i="1"/>
  <c r="Y154" i="1"/>
  <c r="P154" i="1"/>
  <c r="BO153" i="1"/>
  <c r="BM153" i="1"/>
  <c r="Y153" i="1"/>
  <c r="BP153" i="1" s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X148" i="1"/>
  <c r="X147" i="1"/>
  <c r="BO146" i="1"/>
  <c r="BM146" i="1"/>
  <c r="Y146" i="1"/>
  <c r="P146" i="1"/>
  <c r="BO145" i="1"/>
  <c r="BM145" i="1"/>
  <c r="Y145" i="1"/>
  <c r="Y147" i="1" s="1"/>
  <c r="P145" i="1"/>
  <c r="X143" i="1"/>
  <c r="X142" i="1"/>
  <c r="BO141" i="1"/>
  <c r="BM141" i="1"/>
  <c r="Y141" i="1"/>
  <c r="P141" i="1"/>
  <c r="BO140" i="1"/>
  <c r="BM140" i="1"/>
  <c r="Z140" i="1"/>
  <c r="Y140" i="1"/>
  <c r="Y142" i="1" s="1"/>
  <c r="P140" i="1"/>
  <c r="X138" i="1"/>
  <c r="X137" i="1"/>
  <c r="BO136" i="1"/>
  <c r="BM136" i="1"/>
  <c r="Y136" i="1"/>
  <c r="P136" i="1"/>
  <c r="BO135" i="1"/>
  <c r="BM135" i="1"/>
  <c r="Y135" i="1"/>
  <c r="Y137" i="1" s="1"/>
  <c r="P135" i="1"/>
  <c r="X132" i="1"/>
  <c r="X131" i="1"/>
  <c r="BO130" i="1"/>
  <c r="BM130" i="1"/>
  <c r="Y130" i="1"/>
  <c r="P130" i="1"/>
  <c r="X128" i="1"/>
  <c r="X127" i="1"/>
  <c r="BO126" i="1"/>
  <c r="BM126" i="1"/>
  <c r="Y126" i="1"/>
  <c r="P126" i="1"/>
  <c r="BP125" i="1"/>
  <c r="BO125" i="1"/>
  <c r="BM125" i="1"/>
  <c r="Y125" i="1"/>
  <c r="P125" i="1"/>
  <c r="BO124" i="1"/>
  <c r="BM124" i="1"/>
  <c r="Y124" i="1"/>
  <c r="P124" i="1"/>
  <c r="BO123" i="1"/>
  <c r="BM123" i="1"/>
  <c r="Y123" i="1"/>
  <c r="P123" i="1"/>
  <c r="X121" i="1"/>
  <c r="X120" i="1"/>
  <c r="BO119" i="1"/>
  <c r="BM119" i="1"/>
  <c r="Y119" i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BO105" i="1"/>
  <c r="BM105" i="1"/>
  <c r="Y105" i="1"/>
  <c r="BP105" i="1" s="1"/>
  <c r="P105" i="1"/>
  <c r="BP104" i="1"/>
  <c r="BO104" i="1"/>
  <c r="BM104" i="1"/>
  <c r="Y104" i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P96" i="1"/>
  <c r="BO95" i="1"/>
  <c r="BM95" i="1"/>
  <c r="Z95" i="1"/>
  <c r="Y95" i="1"/>
  <c r="P95" i="1"/>
  <c r="X93" i="1"/>
  <c r="X92" i="1"/>
  <c r="BO91" i="1"/>
  <c r="BM91" i="1"/>
  <c r="Y91" i="1"/>
  <c r="P91" i="1"/>
  <c r="BO90" i="1"/>
  <c r="BM90" i="1"/>
  <c r="Y90" i="1"/>
  <c r="BP90" i="1" s="1"/>
  <c r="P90" i="1"/>
  <c r="BO89" i="1"/>
  <c r="BM89" i="1"/>
  <c r="Y89" i="1"/>
  <c r="P89" i="1"/>
  <c r="BO88" i="1"/>
  <c r="BM88" i="1"/>
  <c r="Y88" i="1"/>
  <c r="Y92" i="1" s="1"/>
  <c r="P88" i="1"/>
  <c r="X85" i="1"/>
  <c r="X84" i="1"/>
  <c r="BO83" i="1"/>
  <c r="BM83" i="1"/>
  <c r="Y83" i="1"/>
  <c r="Y85" i="1" s="1"/>
  <c r="P83" i="1"/>
  <c r="BP82" i="1"/>
  <c r="BO82" i="1"/>
  <c r="BN82" i="1"/>
  <c r="BM82" i="1"/>
  <c r="Z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Y75" i="1" s="1"/>
  <c r="P71" i="1"/>
  <c r="BO70" i="1"/>
  <c r="BM70" i="1"/>
  <c r="Y70" i="1"/>
  <c r="BN70" i="1" s="1"/>
  <c r="P70" i="1"/>
  <c r="X68" i="1"/>
  <c r="X67" i="1"/>
  <c r="BO66" i="1"/>
  <c r="BM66" i="1"/>
  <c r="Y66" i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P61" i="1"/>
  <c r="BO60" i="1"/>
  <c r="BM60" i="1"/>
  <c r="Z60" i="1"/>
  <c r="Y60" i="1"/>
  <c r="BN60" i="1" s="1"/>
  <c r="P60" i="1"/>
  <c r="X57" i="1"/>
  <c r="X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N53" i="1" s="1"/>
  <c r="P53" i="1"/>
  <c r="BO52" i="1"/>
  <c r="BM52" i="1"/>
  <c r="Y52" i="1"/>
  <c r="D543" i="1" s="1"/>
  <c r="P52" i="1"/>
  <c r="X48" i="1"/>
  <c r="X47" i="1"/>
  <c r="BO46" i="1"/>
  <c r="BM46" i="1"/>
  <c r="Y46" i="1"/>
  <c r="BP46" i="1" s="1"/>
  <c r="P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O43" i="1"/>
  <c r="BM43" i="1"/>
  <c r="Z43" i="1"/>
  <c r="Y43" i="1"/>
  <c r="BN43" i="1" s="1"/>
  <c r="P43" i="1"/>
  <c r="BO42" i="1"/>
  <c r="BM42" i="1"/>
  <c r="Y42" i="1"/>
  <c r="P42" i="1"/>
  <c r="X38" i="1"/>
  <c r="X37" i="1"/>
  <c r="BO36" i="1"/>
  <c r="BM36" i="1"/>
  <c r="Y36" i="1"/>
  <c r="Y38" i="1" s="1"/>
  <c r="P36" i="1"/>
  <c r="X34" i="1"/>
  <c r="X33" i="1"/>
  <c r="BO32" i="1"/>
  <c r="BM32" i="1"/>
  <c r="Y32" i="1"/>
  <c r="BP32" i="1" s="1"/>
  <c r="P32" i="1"/>
  <c r="BO31" i="1"/>
  <c r="BM31" i="1"/>
  <c r="Y31" i="1"/>
  <c r="BN31" i="1" s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P23" i="1"/>
  <c r="BO22" i="1"/>
  <c r="BM22" i="1"/>
  <c r="Y22" i="1"/>
  <c r="B543" i="1" s="1"/>
  <c r="P22" i="1"/>
  <c r="H10" i="1"/>
  <c r="A9" i="1"/>
  <c r="F10" i="1" s="1"/>
  <c r="D7" i="1"/>
  <c r="Q6" i="1"/>
  <c r="P2" i="1"/>
  <c r="BP53" i="1" l="1"/>
  <c r="BN64" i="1"/>
  <c r="BN78" i="1"/>
  <c r="BN89" i="1"/>
  <c r="Z89" i="1"/>
  <c r="BP106" i="1"/>
  <c r="BN106" i="1"/>
  <c r="Z106" i="1"/>
  <c r="BP113" i="1"/>
  <c r="BN113" i="1"/>
  <c r="Z113" i="1"/>
  <c r="BN119" i="1"/>
  <c r="Z119" i="1"/>
  <c r="BP136" i="1"/>
  <c r="BN136" i="1"/>
  <c r="Z136" i="1"/>
  <c r="BN153" i="1"/>
  <c r="BN170" i="1"/>
  <c r="BN188" i="1"/>
  <c r="Z188" i="1"/>
  <c r="BP217" i="1"/>
  <c r="BN217" i="1"/>
  <c r="Z217" i="1"/>
  <c r="BN223" i="1"/>
  <c r="Z223" i="1"/>
  <c r="BN239" i="1"/>
  <c r="BP274" i="1"/>
  <c r="BN274" i="1"/>
  <c r="Z274" i="1"/>
  <c r="BN278" i="1"/>
  <c r="BP297" i="1"/>
  <c r="BN297" i="1"/>
  <c r="Z297" i="1"/>
  <c r="BP318" i="1"/>
  <c r="BN318" i="1"/>
  <c r="Z318" i="1"/>
  <c r="BP325" i="1"/>
  <c r="BN325" i="1"/>
  <c r="Z325" i="1"/>
  <c r="Y328" i="1"/>
  <c r="BN340" i="1"/>
  <c r="Z340" i="1"/>
  <c r="BN366" i="1"/>
  <c r="Z366" i="1"/>
  <c r="BP386" i="1"/>
  <c r="BN386" i="1"/>
  <c r="Z386" i="1"/>
  <c r="BN406" i="1"/>
  <c r="BN451" i="1"/>
  <c r="BP470" i="1"/>
  <c r="BN470" i="1"/>
  <c r="Z470" i="1"/>
  <c r="BN490" i="1"/>
  <c r="BN498" i="1"/>
  <c r="BN524" i="1"/>
  <c r="Z27" i="1"/>
  <c r="BN27" i="1"/>
  <c r="Z31" i="1"/>
  <c r="C543" i="1"/>
  <c r="BP43" i="1"/>
  <c r="Z53" i="1"/>
  <c r="Z55" i="1"/>
  <c r="BN55" i="1"/>
  <c r="BP60" i="1"/>
  <c r="BP89" i="1"/>
  <c r="BP91" i="1"/>
  <c r="BN91" i="1"/>
  <c r="Z91" i="1"/>
  <c r="BN104" i="1"/>
  <c r="Z104" i="1"/>
  <c r="BP119" i="1"/>
  <c r="BN125" i="1"/>
  <c r="Z125" i="1"/>
  <c r="BN178" i="1"/>
  <c r="BN184" i="1"/>
  <c r="BP188" i="1"/>
  <c r="BP200" i="1"/>
  <c r="BN200" i="1"/>
  <c r="Z200" i="1"/>
  <c r="BN215" i="1"/>
  <c r="Z215" i="1"/>
  <c r="BP223" i="1"/>
  <c r="BP225" i="1"/>
  <c r="BN225" i="1"/>
  <c r="Z225" i="1"/>
  <c r="BN231" i="1"/>
  <c r="BN264" i="1"/>
  <c r="BP340" i="1"/>
  <c r="BN354" i="1"/>
  <c r="BP366" i="1"/>
  <c r="BP374" i="1"/>
  <c r="BN374" i="1"/>
  <c r="Z374" i="1"/>
  <c r="BP412" i="1"/>
  <c r="BN412" i="1"/>
  <c r="Z412" i="1"/>
  <c r="BN482" i="1"/>
  <c r="BN516" i="1"/>
  <c r="Y99" i="1"/>
  <c r="BP95" i="1"/>
  <c r="BN108" i="1"/>
  <c r="BN115" i="1"/>
  <c r="BP140" i="1"/>
  <c r="BP174" i="1"/>
  <c r="BN202" i="1"/>
  <c r="BN219" i="1"/>
  <c r="BN227" i="1"/>
  <c r="BN233" i="1"/>
  <c r="BN250" i="1"/>
  <c r="BP260" i="1"/>
  <c r="BN262" i="1"/>
  <c r="BN276" i="1"/>
  <c r="BN286" i="1"/>
  <c r="BN293" i="1"/>
  <c r="BN305" i="1"/>
  <c r="BN320" i="1"/>
  <c r="BN327" i="1"/>
  <c r="BP334" i="1"/>
  <c r="BN336" i="1"/>
  <c r="BN362" i="1"/>
  <c r="BN399" i="1"/>
  <c r="BN408" i="1"/>
  <c r="BN424" i="1"/>
  <c r="BN433" i="1"/>
  <c r="BN484" i="1"/>
  <c r="BN500" i="1"/>
  <c r="BP23" i="1"/>
  <c r="Z23" i="1"/>
  <c r="BN72" i="1"/>
  <c r="BP72" i="1"/>
  <c r="Z72" i="1"/>
  <c r="BN117" i="1"/>
  <c r="BP117" i="1"/>
  <c r="Z117" i="1"/>
  <c r="Y127" i="1"/>
  <c r="BN123" i="1"/>
  <c r="BP123" i="1"/>
  <c r="Z123" i="1"/>
  <c r="BN204" i="1"/>
  <c r="BP204" i="1"/>
  <c r="Z204" i="1"/>
  <c r="BN272" i="1"/>
  <c r="BP272" i="1"/>
  <c r="Z272" i="1"/>
  <c r="BN295" i="1"/>
  <c r="BP295" i="1"/>
  <c r="Z295" i="1"/>
  <c r="BN316" i="1"/>
  <c r="BP316" i="1"/>
  <c r="Z316" i="1"/>
  <c r="BN364" i="1"/>
  <c r="BP364" i="1"/>
  <c r="Z364" i="1"/>
  <c r="BN372" i="1"/>
  <c r="BP372" i="1"/>
  <c r="Z372" i="1"/>
  <c r="BN443" i="1"/>
  <c r="BP443" i="1"/>
  <c r="Z443" i="1"/>
  <c r="BN459" i="1"/>
  <c r="BP459" i="1"/>
  <c r="Z459" i="1"/>
  <c r="X534" i="1"/>
  <c r="X533" i="1"/>
  <c r="BN66" i="1"/>
  <c r="BP66" i="1"/>
  <c r="Z66" i="1"/>
  <c r="Y166" i="1"/>
  <c r="Y165" i="1"/>
  <c r="BN164" i="1"/>
  <c r="BP164" i="1"/>
  <c r="Z164" i="1"/>
  <c r="Z165" i="1" s="1"/>
  <c r="BN266" i="1"/>
  <c r="BP266" i="1"/>
  <c r="Z266" i="1"/>
  <c r="BN280" i="1"/>
  <c r="BP280" i="1"/>
  <c r="Z280" i="1"/>
  <c r="Y303" i="1"/>
  <c r="Y302" i="1"/>
  <c r="BN301" i="1"/>
  <c r="BP301" i="1"/>
  <c r="Z301" i="1"/>
  <c r="Z302" i="1" s="1"/>
  <c r="BN332" i="1"/>
  <c r="BP332" i="1"/>
  <c r="Z332" i="1"/>
  <c r="BN356" i="1"/>
  <c r="BP356" i="1"/>
  <c r="Z356" i="1"/>
  <c r="BN378" i="1"/>
  <c r="BP378" i="1"/>
  <c r="Z378" i="1"/>
  <c r="BN478" i="1"/>
  <c r="BP478" i="1"/>
  <c r="Z478" i="1"/>
  <c r="X535" i="1"/>
  <c r="BN23" i="1"/>
  <c r="BP29" i="1"/>
  <c r="Z29" i="1"/>
  <c r="BN221" i="1"/>
  <c r="BP221" i="1"/>
  <c r="Z221" i="1"/>
  <c r="BN347" i="1"/>
  <c r="BP347" i="1"/>
  <c r="Z347" i="1"/>
  <c r="Y388" i="1"/>
  <c r="BN384" i="1"/>
  <c r="BP384" i="1"/>
  <c r="Z384" i="1"/>
  <c r="BN410" i="1"/>
  <c r="BP410" i="1"/>
  <c r="Z410" i="1"/>
  <c r="Y522" i="1"/>
  <c r="Y521" i="1"/>
  <c r="BN520" i="1"/>
  <c r="BP520" i="1"/>
  <c r="Z520" i="1"/>
  <c r="Z521" i="1" s="1"/>
  <c r="BP31" i="1"/>
  <c r="BN146" i="1"/>
  <c r="BP146" i="1"/>
  <c r="Z146" i="1"/>
  <c r="BN172" i="1"/>
  <c r="BP172" i="1"/>
  <c r="Z172" i="1"/>
  <c r="BN309" i="1"/>
  <c r="BP309" i="1"/>
  <c r="Z309" i="1"/>
  <c r="BN392" i="1"/>
  <c r="BP392" i="1"/>
  <c r="Z392" i="1"/>
  <c r="BN418" i="1"/>
  <c r="BP418" i="1"/>
  <c r="Z418" i="1"/>
  <c r="BN453" i="1"/>
  <c r="BP453" i="1"/>
  <c r="Z453" i="1"/>
  <c r="Y74" i="1"/>
  <c r="Y120" i="1"/>
  <c r="Y156" i="1"/>
  <c r="Y179" i="1"/>
  <c r="Y236" i="1"/>
  <c r="Y282" i="1"/>
  <c r="Y33" i="1"/>
  <c r="Y67" i="1"/>
  <c r="Z64" i="1"/>
  <c r="Z70" i="1"/>
  <c r="BP70" i="1"/>
  <c r="Z78" i="1"/>
  <c r="Y84" i="1"/>
  <c r="BN95" i="1"/>
  <c r="Y100" i="1"/>
  <c r="Z108" i="1"/>
  <c r="Z115" i="1"/>
  <c r="BN140" i="1"/>
  <c r="Z153" i="1"/>
  <c r="Z170" i="1"/>
  <c r="Z178" i="1"/>
  <c r="Y186" i="1"/>
  <c r="Z184" i="1"/>
  <c r="Y207" i="1"/>
  <c r="Z202" i="1"/>
  <c r="Z219" i="1"/>
  <c r="Z227" i="1"/>
  <c r="Z233" i="1"/>
  <c r="Z250" i="1"/>
  <c r="Y256" i="1"/>
  <c r="Z264" i="1"/>
  <c r="Z270" i="1"/>
  <c r="BP270" i="1"/>
  <c r="Z278" i="1"/>
  <c r="Z286" i="1"/>
  <c r="Y299" i="1"/>
  <c r="Z293" i="1"/>
  <c r="Z354" i="1"/>
  <c r="Z362" i="1"/>
  <c r="Z399" i="1"/>
  <c r="Z408" i="1"/>
  <c r="Z424" i="1"/>
  <c r="Z433" i="1"/>
  <c r="Z451" i="1"/>
  <c r="Z484" i="1"/>
  <c r="Z500" i="1"/>
  <c r="Y110" i="1"/>
  <c r="Z231" i="1"/>
  <c r="Z239" i="1"/>
  <c r="Z254" i="1"/>
  <c r="BP254" i="1"/>
  <c r="Z262" i="1"/>
  <c r="Z276" i="1"/>
  <c r="Z291" i="1"/>
  <c r="BP291" i="1"/>
  <c r="Z305" i="1"/>
  <c r="Z306" i="1" s="1"/>
  <c r="BP305" i="1"/>
  <c r="Z320" i="1"/>
  <c r="Z327" i="1"/>
  <c r="Z336" i="1"/>
  <c r="Z406" i="1"/>
  <c r="Z482" i="1"/>
  <c r="Z490" i="1"/>
  <c r="Z498" i="1"/>
  <c r="Z516" i="1"/>
  <c r="Z524" i="1"/>
  <c r="H9" i="1"/>
  <c r="A10" i="1"/>
  <c r="Y34" i="1"/>
  <c r="Y48" i="1"/>
  <c r="F9" i="1"/>
  <c r="J9" i="1"/>
  <c r="Z22" i="1"/>
  <c r="BN22" i="1"/>
  <c r="BP22" i="1"/>
  <c r="X537" i="1"/>
  <c r="Y25" i="1"/>
  <c r="Z28" i="1"/>
  <c r="BN28" i="1"/>
  <c r="Z30" i="1"/>
  <c r="BN30" i="1"/>
  <c r="Z32" i="1"/>
  <c r="BN32" i="1"/>
  <c r="Z36" i="1"/>
  <c r="Z37" i="1" s="1"/>
  <c r="BN36" i="1"/>
  <c r="BP36" i="1"/>
  <c r="Y37" i="1"/>
  <c r="Z42" i="1"/>
  <c r="Z47" i="1" s="1"/>
  <c r="BN42" i="1"/>
  <c r="BP42" i="1"/>
  <c r="Z44" i="1"/>
  <c r="BN44" i="1"/>
  <c r="Z46" i="1"/>
  <c r="BN46" i="1"/>
  <c r="Y47" i="1"/>
  <c r="Z52" i="1"/>
  <c r="Z56" i="1" s="1"/>
  <c r="BN52" i="1"/>
  <c r="BP52" i="1"/>
  <c r="Z54" i="1"/>
  <c r="BN54" i="1"/>
  <c r="Y57" i="1"/>
  <c r="E543" i="1"/>
  <c r="Z61" i="1"/>
  <c r="BN61" i="1"/>
  <c r="BP61" i="1"/>
  <c r="Z63" i="1"/>
  <c r="BN63" i="1"/>
  <c r="Z65" i="1"/>
  <c r="BN65" i="1"/>
  <c r="Y68" i="1"/>
  <c r="Z71" i="1"/>
  <c r="BN71" i="1"/>
  <c r="BP71" i="1"/>
  <c r="Z73" i="1"/>
  <c r="BN73" i="1"/>
  <c r="Z77" i="1"/>
  <c r="Z79" i="1" s="1"/>
  <c r="BN77" i="1"/>
  <c r="BP77" i="1"/>
  <c r="Y80" i="1"/>
  <c r="Z83" i="1"/>
  <c r="Z84" i="1" s="1"/>
  <c r="BN83" i="1"/>
  <c r="BP83" i="1"/>
  <c r="Z88" i="1"/>
  <c r="BN88" i="1"/>
  <c r="BP88" i="1"/>
  <c r="Z90" i="1"/>
  <c r="BN90" i="1"/>
  <c r="Y93" i="1"/>
  <c r="Z96" i="1"/>
  <c r="BN96" i="1"/>
  <c r="BP96" i="1"/>
  <c r="Z98" i="1"/>
  <c r="BN98" i="1"/>
  <c r="Z103" i="1"/>
  <c r="BN103" i="1"/>
  <c r="BP103" i="1"/>
  <c r="Z105" i="1"/>
  <c r="BN105" i="1"/>
  <c r="Z107" i="1"/>
  <c r="BN107" i="1"/>
  <c r="Z109" i="1"/>
  <c r="BN109" i="1"/>
  <c r="Y121" i="1"/>
  <c r="BP116" i="1"/>
  <c r="BN116" i="1"/>
  <c r="Z116" i="1"/>
  <c r="BP124" i="1"/>
  <c r="BN124" i="1"/>
  <c r="Z124" i="1"/>
  <c r="BP141" i="1"/>
  <c r="BN141" i="1"/>
  <c r="Z141" i="1"/>
  <c r="Z142" i="1" s="1"/>
  <c r="Y143" i="1"/>
  <c r="Y148" i="1"/>
  <c r="BP145" i="1"/>
  <c r="BN145" i="1"/>
  <c r="Z145" i="1"/>
  <c r="Z147" i="1" s="1"/>
  <c r="BP154" i="1"/>
  <c r="BN154" i="1"/>
  <c r="Z154" i="1"/>
  <c r="J543" i="1"/>
  <c r="Y162" i="1"/>
  <c r="BP159" i="1"/>
  <c r="BN159" i="1"/>
  <c r="Z159" i="1"/>
  <c r="Z161" i="1" s="1"/>
  <c r="Y180" i="1"/>
  <c r="BP171" i="1"/>
  <c r="BN171" i="1"/>
  <c r="Z171" i="1"/>
  <c r="BP175" i="1"/>
  <c r="BN175" i="1"/>
  <c r="Z175" i="1"/>
  <c r="BP183" i="1"/>
  <c r="BN183" i="1"/>
  <c r="Z183" i="1"/>
  <c r="Z185" i="1" s="1"/>
  <c r="Y190" i="1"/>
  <c r="BP201" i="1"/>
  <c r="BN201" i="1"/>
  <c r="Z201" i="1"/>
  <c r="BP205" i="1"/>
  <c r="BN205" i="1"/>
  <c r="Z205" i="1"/>
  <c r="L543" i="1"/>
  <c r="Y211" i="1"/>
  <c r="BP210" i="1"/>
  <c r="BN210" i="1"/>
  <c r="Z210" i="1"/>
  <c r="Z211" i="1" s="1"/>
  <c r="Y212" i="1"/>
  <c r="Y229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35" i="1"/>
  <c r="BP234" i="1"/>
  <c r="BN234" i="1"/>
  <c r="Z234" i="1"/>
  <c r="Y241" i="1"/>
  <c r="BP238" i="1"/>
  <c r="BN238" i="1"/>
  <c r="Z238" i="1"/>
  <c r="BP261" i="1"/>
  <c r="BN261" i="1"/>
  <c r="Z261" i="1"/>
  <c r="BP265" i="1"/>
  <c r="BN265" i="1"/>
  <c r="Z265" i="1"/>
  <c r="BP294" i="1"/>
  <c r="BN294" i="1"/>
  <c r="Z294" i="1"/>
  <c r="Y298" i="1"/>
  <c r="BP310" i="1"/>
  <c r="BN310" i="1"/>
  <c r="Z310" i="1"/>
  <c r="Z312" i="1" s="1"/>
  <c r="Y312" i="1"/>
  <c r="BP333" i="1"/>
  <c r="BN333" i="1"/>
  <c r="Z333" i="1"/>
  <c r="Y337" i="1"/>
  <c r="BP341" i="1"/>
  <c r="BN341" i="1"/>
  <c r="Z341" i="1"/>
  <c r="Z342" i="1" s="1"/>
  <c r="Y343" i="1"/>
  <c r="S543" i="1"/>
  <c r="Y349" i="1"/>
  <c r="BP346" i="1"/>
  <c r="BN346" i="1"/>
  <c r="Z346" i="1"/>
  <c r="Y350" i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Y375" i="1"/>
  <c r="BP379" i="1"/>
  <c r="BN379" i="1"/>
  <c r="Z379" i="1"/>
  <c r="Y381" i="1"/>
  <c r="F543" i="1"/>
  <c r="Y24" i="1"/>
  <c r="Y56" i="1"/>
  <c r="G543" i="1"/>
  <c r="Y111" i="1"/>
  <c r="BP114" i="1"/>
  <c r="BN114" i="1"/>
  <c r="Z114" i="1"/>
  <c r="BP118" i="1"/>
  <c r="BN118" i="1"/>
  <c r="Z118" i="1"/>
  <c r="BP126" i="1"/>
  <c r="BN126" i="1"/>
  <c r="Z126" i="1"/>
  <c r="Y128" i="1"/>
  <c r="Y131" i="1"/>
  <c r="BP130" i="1"/>
  <c r="BN130" i="1"/>
  <c r="Z130" i="1"/>
  <c r="Z131" i="1" s="1"/>
  <c r="Y132" i="1"/>
  <c r="H543" i="1"/>
  <c r="Y138" i="1"/>
  <c r="BP135" i="1"/>
  <c r="BN135" i="1"/>
  <c r="Z135" i="1"/>
  <c r="BP152" i="1"/>
  <c r="BN152" i="1"/>
  <c r="Z152" i="1"/>
  <c r="BP169" i="1"/>
  <c r="BN169" i="1"/>
  <c r="Z169" i="1"/>
  <c r="BP173" i="1"/>
  <c r="BN173" i="1"/>
  <c r="Z173" i="1"/>
  <c r="BP177" i="1"/>
  <c r="BN177" i="1"/>
  <c r="Z177" i="1"/>
  <c r="BP189" i="1"/>
  <c r="BN189" i="1"/>
  <c r="Z189" i="1"/>
  <c r="Z190" i="1" s="1"/>
  <c r="Y191" i="1"/>
  <c r="Y194" i="1"/>
  <c r="BP193" i="1"/>
  <c r="BN193" i="1"/>
  <c r="Z193" i="1"/>
  <c r="Z194" i="1" s="1"/>
  <c r="Y195" i="1"/>
  <c r="K543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Y228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43" i="1"/>
  <c r="Y252" i="1"/>
  <c r="BP249" i="1"/>
  <c r="Y251" i="1"/>
  <c r="BN249" i="1"/>
  <c r="Z249" i="1"/>
  <c r="Z251" i="1" s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Y287" i="1"/>
  <c r="BP319" i="1"/>
  <c r="BN319" i="1"/>
  <c r="Z319" i="1"/>
  <c r="BP387" i="1"/>
  <c r="BN387" i="1"/>
  <c r="Z387" i="1"/>
  <c r="Y389" i="1"/>
  <c r="Y394" i="1"/>
  <c r="BP391" i="1"/>
  <c r="BN391" i="1"/>
  <c r="Z391" i="1"/>
  <c r="Y395" i="1"/>
  <c r="BP400" i="1"/>
  <c r="BN400" i="1"/>
  <c r="Z400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Y421" i="1"/>
  <c r="BP434" i="1"/>
  <c r="BN434" i="1"/>
  <c r="Z434" i="1"/>
  <c r="Z435" i="1" s="1"/>
  <c r="Y436" i="1"/>
  <c r="Y439" i="1"/>
  <c r="BP438" i="1"/>
  <c r="BN438" i="1"/>
  <c r="Z438" i="1"/>
  <c r="Z439" i="1" s="1"/>
  <c r="Y440" i="1"/>
  <c r="Y445" i="1"/>
  <c r="BP442" i="1"/>
  <c r="BN442" i="1"/>
  <c r="Z442" i="1"/>
  <c r="Y446" i="1"/>
  <c r="BP452" i="1"/>
  <c r="BN452" i="1"/>
  <c r="Z452" i="1"/>
  <c r="Y456" i="1"/>
  <c r="BP460" i="1"/>
  <c r="BN460" i="1"/>
  <c r="Z460" i="1"/>
  <c r="Z461" i="1" s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AA543" i="1"/>
  <c r="Y527" i="1"/>
  <c r="AB543" i="1"/>
  <c r="Y531" i="1"/>
  <c r="BP530" i="1"/>
  <c r="BN530" i="1"/>
  <c r="Z530" i="1"/>
  <c r="Z531" i="1" s="1"/>
  <c r="Y532" i="1"/>
  <c r="W543" i="1"/>
  <c r="I543" i="1"/>
  <c r="Y155" i="1"/>
  <c r="BP255" i="1"/>
  <c r="BN255" i="1"/>
  <c r="Z255" i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BP292" i="1"/>
  <c r="BN292" i="1"/>
  <c r="Z292" i="1"/>
  <c r="BP296" i="1"/>
  <c r="BN296" i="1"/>
  <c r="Z296" i="1"/>
  <c r="Y313" i="1"/>
  <c r="BP317" i="1"/>
  <c r="BN317" i="1"/>
  <c r="Z317" i="1"/>
  <c r="Y321" i="1"/>
  <c r="BP326" i="1"/>
  <c r="BN326" i="1"/>
  <c r="Z326" i="1"/>
  <c r="Z328" i="1" s="1"/>
  <c r="BP335" i="1"/>
  <c r="BN335" i="1"/>
  <c r="Z335" i="1"/>
  <c r="Y342" i="1"/>
  <c r="BP348" i="1"/>
  <c r="BN348" i="1"/>
  <c r="Z348" i="1"/>
  <c r="T543" i="1"/>
  <c r="Y358" i="1"/>
  <c r="BP353" i="1"/>
  <c r="BN353" i="1"/>
  <c r="Z353" i="1"/>
  <c r="BP357" i="1"/>
  <c r="BN357" i="1"/>
  <c r="Z357" i="1"/>
  <c r="Y359" i="1"/>
  <c r="Y368" i="1"/>
  <c r="BP361" i="1"/>
  <c r="BN361" i="1"/>
  <c r="Z361" i="1"/>
  <c r="BP365" i="1"/>
  <c r="BN365" i="1"/>
  <c r="Z365" i="1"/>
  <c r="BP373" i="1"/>
  <c r="BN373" i="1"/>
  <c r="Z373" i="1"/>
  <c r="Y382" i="1"/>
  <c r="BP385" i="1"/>
  <c r="BN385" i="1"/>
  <c r="Z385" i="1"/>
  <c r="BP393" i="1"/>
  <c r="BN393" i="1"/>
  <c r="Z393" i="1"/>
  <c r="U543" i="1"/>
  <c r="Y401" i="1"/>
  <c r="BP398" i="1"/>
  <c r="BN398" i="1"/>
  <c r="Z398" i="1"/>
  <c r="Z401" i="1" s="1"/>
  <c r="O543" i="1"/>
  <c r="P543" i="1"/>
  <c r="Y322" i="1"/>
  <c r="Q543" i="1"/>
  <c r="Y329" i="1"/>
  <c r="R543" i="1"/>
  <c r="Y338" i="1"/>
  <c r="BP407" i="1"/>
  <c r="BN407" i="1"/>
  <c r="Z407" i="1"/>
  <c r="BP411" i="1"/>
  <c r="BN411" i="1"/>
  <c r="Z411" i="1"/>
  <c r="BP419" i="1"/>
  <c r="BN419" i="1"/>
  <c r="Z419" i="1"/>
  <c r="Y426" i="1"/>
  <c r="BP423" i="1"/>
  <c r="BN423" i="1"/>
  <c r="Z423" i="1"/>
  <c r="Z425" i="1" s="1"/>
  <c r="Y435" i="1"/>
  <c r="BP444" i="1"/>
  <c r="BN444" i="1"/>
  <c r="Z444" i="1"/>
  <c r="X543" i="1"/>
  <c r="Y457" i="1"/>
  <c r="BP450" i="1"/>
  <c r="BN450" i="1"/>
  <c r="Z450" i="1"/>
  <c r="BP454" i="1"/>
  <c r="BN454" i="1"/>
  <c r="Z454" i="1"/>
  <c r="Y461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Z492" i="1" s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Z456" i="1" l="1"/>
  <c r="Z337" i="1"/>
  <c r="Z321" i="1"/>
  <c r="Z256" i="1"/>
  <c r="Z526" i="1"/>
  <c r="Z235" i="1"/>
  <c r="Z137" i="1"/>
  <c r="Z120" i="1"/>
  <c r="Z381" i="1"/>
  <c r="Z74" i="1"/>
  <c r="Z24" i="1"/>
  <c r="Z110" i="1"/>
  <c r="Z33" i="1"/>
  <c r="Z388" i="1"/>
  <c r="Z155" i="1"/>
  <c r="Z99" i="1"/>
  <c r="Z298" i="1"/>
  <c r="Z179" i="1"/>
  <c r="Z67" i="1"/>
  <c r="X536" i="1"/>
  <c r="Z414" i="1"/>
  <c r="Z368" i="1"/>
  <c r="Z358" i="1"/>
  <c r="Z267" i="1"/>
  <c r="Z502" i="1"/>
  <c r="Z445" i="1"/>
  <c r="Z420" i="1"/>
  <c r="Z394" i="1"/>
  <c r="Z206" i="1"/>
  <c r="Z349" i="1"/>
  <c r="Z228" i="1"/>
  <c r="Z127" i="1"/>
  <c r="Z92" i="1"/>
  <c r="Y533" i="1"/>
  <c r="Y535" i="1"/>
  <c r="Z486" i="1"/>
  <c r="Z282" i="1"/>
  <c r="Z472" i="1"/>
  <c r="Y537" i="1"/>
  <c r="Z375" i="1"/>
  <c r="Z241" i="1"/>
  <c r="Y534" i="1"/>
  <c r="Y536" i="1" l="1"/>
  <c r="Z538" i="1"/>
</calcChain>
</file>

<file path=xl/sharedStrings.xml><?xml version="1.0" encoding="utf-8"?>
<sst xmlns="http://schemas.openxmlformats.org/spreadsheetml/2006/main" count="2409" uniqueCount="873">
  <si>
    <t xml:space="preserve">  БЛАНК ЗАКАЗА </t>
  </si>
  <si>
    <t>КИ</t>
  </si>
  <si>
    <t>на отгрузку продукции с ООО Трейд-Сервис с</t>
  </si>
  <si>
    <t>09.07.2026</t>
  </si>
  <si>
    <t>бланк создан</t>
  </si>
  <si>
    <t>06.07.2026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</si>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</sst>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4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8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2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3"/>
  <sheetViews>
    <sheetView showGridLines="0" tabSelected="1" zoomScaleNormal="100" zoomScaleSheetLayoutView="100" workbookViewId="0">
      <selection activeCell="AA95" sqref="AA95"/>
    </sheetView>
  </sheetViews>
  <sheetFormatPr defaultColWidth="9.140625" defaultRowHeight="12.75" x14ac:dyDescent="0.2"/>
  <cols>
    <col min="1" max="1" width="9.140625" style="60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03" customWidth="1"/>
    <col min="19" max="19" width="6.140625" style="60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03" customWidth="1"/>
    <col min="25" max="25" width="11" style="603" customWidth="1"/>
    <col min="26" max="26" width="10" style="603" customWidth="1"/>
    <col min="27" max="27" width="11.5703125" style="603" customWidth="1"/>
    <col min="28" max="28" width="10.42578125" style="603" customWidth="1"/>
    <col min="29" max="29" width="30" style="60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03" customWidth="1"/>
    <col min="34" max="34" width="9.140625" style="603" customWidth="1"/>
    <col min="35" max="16384" width="9.140625" style="603"/>
  </cols>
  <sheetData>
    <row r="1" spans="1:32" s="599" customFormat="1" ht="45" customHeight="1" x14ac:dyDescent="0.2">
      <c r="A1" s="41"/>
      <c r="B1" s="41"/>
      <c r="C1" s="41"/>
      <c r="D1" s="690" t="s">
        <v>0</v>
      </c>
      <c r="E1" s="638"/>
      <c r="F1" s="638"/>
      <c r="G1" s="12" t="s">
        <v>1</v>
      </c>
      <c r="H1" s="690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0"/>
      <c r="R2" s="610"/>
      <c r="S2" s="610"/>
      <c r="T2" s="610"/>
      <c r="U2" s="610"/>
      <c r="V2" s="610"/>
      <c r="W2" s="610"/>
      <c r="X2" s="16"/>
      <c r="Y2" s="16"/>
      <c r="Z2" s="16"/>
      <c r="AA2" s="16"/>
      <c r="AB2" s="51"/>
      <c r="AC2" s="51"/>
      <c r="AD2" s="51"/>
      <c r="AE2" s="51"/>
    </row>
    <row r="3" spans="1:32" s="59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0"/>
      <c r="Q3" s="610"/>
      <c r="R3" s="610"/>
      <c r="S3" s="610"/>
      <c r="T3" s="610"/>
      <c r="U3" s="610"/>
      <c r="V3" s="610"/>
      <c r="W3" s="610"/>
      <c r="X3" s="16"/>
      <c r="Y3" s="16"/>
      <c r="Z3" s="16"/>
      <c r="AA3" s="16"/>
      <c r="AB3" s="51"/>
      <c r="AC3" s="51"/>
      <c r="AD3" s="51"/>
      <c r="AE3" s="51"/>
    </row>
    <row r="4" spans="1:32" s="59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9" customFormat="1" ht="23.45" customHeight="1" x14ac:dyDescent="0.2">
      <c r="A5" s="731" t="s">
        <v>8</v>
      </c>
      <c r="B5" s="662"/>
      <c r="C5" s="663"/>
      <c r="D5" s="694"/>
      <c r="E5" s="695"/>
      <c r="F5" s="920" t="s">
        <v>9</v>
      </c>
      <c r="G5" s="663"/>
      <c r="H5" s="694" t="s">
        <v>872</v>
      </c>
      <c r="I5" s="847"/>
      <c r="J5" s="847"/>
      <c r="K5" s="847"/>
      <c r="L5" s="847"/>
      <c r="M5" s="695"/>
      <c r="N5" s="58"/>
      <c r="P5" s="24" t="s">
        <v>10</v>
      </c>
      <c r="Q5" s="903">
        <v>46214</v>
      </c>
      <c r="R5" s="726"/>
      <c r="T5" s="773" t="s">
        <v>11</v>
      </c>
      <c r="U5" s="774"/>
      <c r="V5" s="775" t="s">
        <v>12</v>
      </c>
      <c r="W5" s="726"/>
      <c r="AB5" s="51"/>
      <c r="AC5" s="51"/>
      <c r="AD5" s="51"/>
      <c r="AE5" s="51"/>
    </row>
    <row r="6" spans="1:32" s="599" customFormat="1" ht="24" customHeight="1" x14ac:dyDescent="0.2">
      <c r="A6" s="731" t="s">
        <v>13</v>
      </c>
      <c r="B6" s="662"/>
      <c r="C6" s="663"/>
      <c r="D6" s="850" t="s">
        <v>848</v>
      </c>
      <c r="E6" s="851"/>
      <c r="F6" s="851"/>
      <c r="G6" s="851"/>
      <c r="H6" s="851"/>
      <c r="I6" s="851"/>
      <c r="J6" s="851"/>
      <c r="K6" s="851"/>
      <c r="L6" s="851"/>
      <c r="M6" s="726"/>
      <c r="N6" s="59"/>
      <c r="P6" s="24" t="s">
        <v>14</v>
      </c>
      <c r="Q6" s="935" t="str">
        <f>IF(Q5=0," ",CHOOSE(WEEKDAY(Q5,2),"Понедельник","Вторник","Среда","Четверг","Пятница","Суббота","Воскресенье"))</f>
        <v>Суббота</v>
      </c>
      <c r="R6" s="620"/>
      <c r="T6" s="783" t="s">
        <v>15</v>
      </c>
      <c r="U6" s="774"/>
      <c r="V6" s="834" t="s">
        <v>16</v>
      </c>
      <c r="W6" s="666"/>
      <c r="AB6" s="51"/>
      <c r="AC6" s="51"/>
      <c r="AD6" s="51"/>
      <c r="AE6" s="51"/>
    </row>
    <row r="7" spans="1:32" s="599" customFormat="1" ht="21.75" hidden="1" customHeight="1" x14ac:dyDescent="0.2">
      <c r="A7" s="55"/>
      <c r="B7" s="55"/>
      <c r="C7" s="55"/>
      <c r="D7" s="677" t="str">
        <f>IFERROR(VLOOKUP(DeliveryAddress,Table,3,0),1)</f>
        <v>6</v>
      </c>
      <c r="E7" s="678"/>
      <c r="F7" s="678"/>
      <c r="G7" s="678"/>
      <c r="H7" s="678"/>
      <c r="I7" s="678"/>
      <c r="J7" s="678"/>
      <c r="K7" s="678"/>
      <c r="L7" s="678"/>
      <c r="M7" s="679"/>
      <c r="N7" s="60"/>
      <c r="P7" s="24"/>
      <c r="Q7" s="42"/>
      <c r="R7" s="42"/>
      <c r="T7" s="610"/>
      <c r="U7" s="774"/>
      <c r="V7" s="835"/>
      <c r="W7" s="836"/>
      <c r="AB7" s="51"/>
      <c r="AC7" s="51"/>
      <c r="AD7" s="51"/>
      <c r="AE7" s="51"/>
    </row>
    <row r="8" spans="1:32" s="599" customFormat="1" ht="25.5" customHeight="1" x14ac:dyDescent="0.2">
      <c r="A8" s="937" t="s">
        <v>17</v>
      </c>
      <c r="B8" s="622"/>
      <c r="C8" s="623"/>
      <c r="D8" s="685"/>
      <c r="E8" s="686"/>
      <c r="F8" s="686"/>
      <c r="G8" s="686"/>
      <c r="H8" s="686"/>
      <c r="I8" s="686"/>
      <c r="J8" s="686"/>
      <c r="K8" s="686"/>
      <c r="L8" s="686"/>
      <c r="M8" s="687"/>
      <c r="N8" s="61"/>
      <c r="P8" s="24" t="s">
        <v>18</v>
      </c>
      <c r="Q8" s="738">
        <v>0.5</v>
      </c>
      <c r="R8" s="679"/>
      <c r="T8" s="610"/>
      <c r="U8" s="774"/>
      <c r="V8" s="835"/>
      <c r="W8" s="836"/>
      <c r="AB8" s="51"/>
      <c r="AC8" s="51"/>
      <c r="AD8" s="51"/>
      <c r="AE8" s="51"/>
    </row>
    <row r="9" spans="1:32" s="599" customFormat="1" ht="39.950000000000003" customHeight="1" x14ac:dyDescent="0.2">
      <c r="A9" s="74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0"/>
      <c r="C9" s="610"/>
      <c r="D9" s="747"/>
      <c r="E9" s="629"/>
      <c r="F9" s="74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0"/>
      <c r="H9" s="628" t="str">
        <f>IF(AND($A$9="Тип доверенности/получателя при получении в адресе перегруза:",$D$9="Разовая доверенность"),"Введите ФИО","")</f>
        <v/>
      </c>
      <c r="I9" s="629"/>
      <c r="J9" s="62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9"/>
      <c r="L9" s="629"/>
      <c r="M9" s="629"/>
      <c r="N9" s="597"/>
      <c r="P9" s="26" t="s">
        <v>19</v>
      </c>
      <c r="Q9" s="722"/>
      <c r="R9" s="723"/>
      <c r="T9" s="610"/>
      <c r="U9" s="774"/>
      <c r="V9" s="837"/>
      <c r="W9" s="838"/>
      <c r="X9" s="43"/>
      <c r="Y9" s="43"/>
      <c r="Z9" s="43"/>
      <c r="AA9" s="43"/>
      <c r="AB9" s="51"/>
      <c r="AC9" s="51"/>
      <c r="AD9" s="51"/>
      <c r="AE9" s="51"/>
    </row>
    <row r="10" spans="1:32" s="599" customFormat="1" ht="26.45" customHeight="1" x14ac:dyDescent="0.2">
      <c r="A10" s="74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0"/>
      <c r="C10" s="610"/>
      <c r="D10" s="747"/>
      <c r="E10" s="629"/>
      <c r="F10" s="74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0"/>
      <c r="H10" s="826" t="str">
        <f>IFERROR(VLOOKUP($D$10,Proxy,2,FALSE),"")</f>
        <v/>
      </c>
      <c r="I10" s="610"/>
      <c r="J10" s="610"/>
      <c r="K10" s="610"/>
      <c r="L10" s="610"/>
      <c r="M10" s="610"/>
      <c r="N10" s="598"/>
      <c r="P10" s="26" t="s">
        <v>20</v>
      </c>
      <c r="Q10" s="784"/>
      <c r="R10" s="785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59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5"/>
      <c r="R11" s="726"/>
      <c r="U11" s="24" t="s">
        <v>25</v>
      </c>
      <c r="V11" s="922" t="s">
        <v>26</v>
      </c>
      <c r="W11" s="723"/>
      <c r="X11" s="45"/>
      <c r="Y11" s="45"/>
      <c r="Z11" s="45"/>
      <c r="AA11" s="45"/>
      <c r="AB11" s="51"/>
      <c r="AC11" s="51"/>
      <c r="AD11" s="51"/>
      <c r="AE11" s="51"/>
    </row>
    <row r="12" spans="1:32" s="599" customFormat="1" ht="18.600000000000001" customHeight="1" x14ac:dyDescent="0.2">
      <c r="A12" s="766" t="s">
        <v>27</v>
      </c>
      <c r="B12" s="662"/>
      <c r="C12" s="662"/>
      <c r="D12" s="662"/>
      <c r="E12" s="662"/>
      <c r="F12" s="662"/>
      <c r="G12" s="662"/>
      <c r="H12" s="662"/>
      <c r="I12" s="662"/>
      <c r="J12" s="662"/>
      <c r="K12" s="662"/>
      <c r="L12" s="662"/>
      <c r="M12" s="663"/>
      <c r="N12" s="62"/>
      <c r="P12" s="24" t="s">
        <v>28</v>
      </c>
      <c r="Q12" s="738"/>
      <c r="R12" s="679"/>
      <c r="S12" s="23"/>
      <c r="U12" s="24"/>
      <c r="V12" s="638"/>
      <c r="W12" s="610"/>
      <c r="AB12" s="51"/>
      <c r="AC12" s="51"/>
      <c r="AD12" s="51"/>
      <c r="AE12" s="51"/>
    </row>
    <row r="13" spans="1:32" s="599" customFormat="1" ht="23.25" customHeight="1" x14ac:dyDescent="0.2">
      <c r="A13" s="766" t="s">
        <v>29</v>
      </c>
      <c r="B13" s="662"/>
      <c r="C13" s="662"/>
      <c r="D13" s="662"/>
      <c r="E13" s="662"/>
      <c r="F13" s="662"/>
      <c r="G13" s="662"/>
      <c r="H13" s="662"/>
      <c r="I13" s="662"/>
      <c r="J13" s="662"/>
      <c r="K13" s="662"/>
      <c r="L13" s="662"/>
      <c r="M13" s="663"/>
      <c r="N13" s="62"/>
      <c r="O13" s="26"/>
      <c r="P13" s="26" t="s">
        <v>30</v>
      </c>
      <c r="Q13" s="922"/>
      <c r="R13" s="72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9" customFormat="1" ht="18.600000000000001" customHeight="1" x14ac:dyDescent="0.2">
      <c r="A14" s="766" t="s">
        <v>31</v>
      </c>
      <c r="B14" s="662"/>
      <c r="C14" s="662"/>
      <c r="D14" s="662"/>
      <c r="E14" s="662"/>
      <c r="F14" s="662"/>
      <c r="G14" s="662"/>
      <c r="H14" s="662"/>
      <c r="I14" s="662"/>
      <c r="J14" s="662"/>
      <c r="K14" s="662"/>
      <c r="L14" s="662"/>
      <c r="M14" s="66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9" customFormat="1" ht="22.5" customHeight="1" x14ac:dyDescent="0.2">
      <c r="A15" s="793" t="s">
        <v>32</v>
      </c>
      <c r="B15" s="662"/>
      <c r="C15" s="662"/>
      <c r="D15" s="662"/>
      <c r="E15" s="662"/>
      <c r="F15" s="662"/>
      <c r="G15" s="662"/>
      <c r="H15" s="662"/>
      <c r="I15" s="662"/>
      <c r="J15" s="662"/>
      <c r="K15" s="662"/>
      <c r="L15" s="662"/>
      <c r="M15" s="663"/>
      <c r="N15" s="63"/>
      <c r="P15" s="799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0"/>
      <c r="Q16" s="800"/>
      <c r="R16" s="800"/>
      <c r="S16" s="800"/>
      <c r="T16" s="80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0" t="s">
        <v>34</v>
      </c>
      <c r="B17" s="650" t="s">
        <v>35</v>
      </c>
      <c r="C17" s="745" t="s">
        <v>36</v>
      </c>
      <c r="D17" s="650" t="s">
        <v>37</v>
      </c>
      <c r="E17" s="655"/>
      <c r="F17" s="650" t="s">
        <v>38</v>
      </c>
      <c r="G17" s="650" t="s">
        <v>39</v>
      </c>
      <c r="H17" s="650" t="s">
        <v>40</v>
      </c>
      <c r="I17" s="650" t="s">
        <v>41</v>
      </c>
      <c r="J17" s="650" t="s">
        <v>42</v>
      </c>
      <c r="K17" s="650" t="s">
        <v>43</v>
      </c>
      <c r="L17" s="650" t="s">
        <v>44</v>
      </c>
      <c r="M17" s="650" t="s">
        <v>45</v>
      </c>
      <c r="N17" s="650" t="s">
        <v>46</v>
      </c>
      <c r="O17" s="650" t="s">
        <v>47</v>
      </c>
      <c r="P17" s="650" t="s">
        <v>48</v>
      </c>
      <c r="Q17" s="654"/>
      <c r="R17" s="654"/>
      <c r="S17" s="654"/>
      <c r="T17" s="655"/>
      <c r="U17" s="940" t="s">
        <v>49</v>
      </c>
      <c r="V17" s="663"/>
      <c r="W17" s="650" t="s">
        <v>50</v>
      </c>
      <c r="X17" s="650" t="s">
        <v>51</v>
      </c>
      <c r="Y17" s="955" t="s">
        <v>52</v>
      </c>
      <c r="Z17" s="845" t="s">
        <v>53</v>
      </c>
      <c r="AA17" s="824" t="s">
        <v>54</v>
      </c>
      <c r="AB17" s="824" t="s">
        <v>55</v>
      </c>
      <c r="AC17" s="824" t="s">
        <v>56</v>
      </c>
      <c r="AD17" s="824" t="s">
        <v>57</v>
      </c>
      <c r="AE17" s="915"/>
      <c r="AF17" s="916"/>
      <c r="AG17" s="66"/>
      <c r="BD17" s="65" t="s">
        <v>58</v>
      </c>
    </row>
    <row r="18" spans="1:68" ht="14.25" customHeight="1" x14ac:dyDescent="0.2">
      <c r="A18" s="651"/>
      <c r="B18" s="651"/>
      <c r="C18" s="651"/>
      <c r="D18" s="656"/>
      <c r="E18" s="658"/>
      <c r="F18" s="651"/>
      <c r="G18" s="651"/>
      <c r="H18" s="651"/>
      <c r="I18" s="651"/>
      <c r="J18" s="651"/>
      <c r="K18" s="651"/>
      <c r="L18" s="651"/>
      <c r="M18" s="651"/>
      <c r="N18" s="651"/>
      <c r="O18" s="651"/>
      <c r="P18" s="656"/>
      <c r="Q18" s="657"/>
      <c r="R18" s="657"/>
      <c r="S18" s="657"/>
      <c r="T18" s="658"/>
      <c r="U18" s="67" t="s">
        <v>59</v>
      </c>
      <c r="V18" s="67" t="s">
        <v>60</v>
      </c>
      <c r="W18" s="651"/>
      <c r="X18" s="651"/>
      <c r="Y18" s="956"/>
      <c r="Z18" s="846"/>
      <c r="AA18" s="825"/>
      <c r="AB18" s="825"/>
      <c r="AC18" s="825"/>
      <c r="AD18" s="917"/>
      <c r="AE18" s="918"/>
      <c r="AF18" s="919"/>
      <c r="AG18" s="66"/>
      <c r="BD18" s="65"/>
    </row>
    <row r="19" spans="1:68" ht="27.75" hidden="1" customHeight="1" x14ac:dyDescent="0.2">
      <c r="A19" s="630" t="s">
        <v>61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hidden="1" customHeight="1" x14ac:dyDescent="0.25">
      <c r="A20" s="647" t="s">
        <v>61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00"/>
      <c r="AB20" s="600"/>
      <c r="AC20" s="600"/>
    </row>
    <row r="21" spans="1:68" ht="14.25" hidden="1" customHeight="1" x14ac:dyDescent="0.25">
      <c r="A21" s="609" t="s">
        <v>62</v>
      </c>
      <c r="B21" s="610"/>
      <c r="C21" s="610"/>
      <c r="D21" s="610"/>
      <c r="E21" s="610"/>
      <c r="F21" s="610"/>
      <c r="G21" s="610"/>
      <c r="H21" s="610"/>
      <c r="I21" s="610"/>
      <c r="J21" s="610"/>
      <c r="K21" s="610"/>
      <c r="L21" s="610"/>
      <c r="M21" s="610"/>
      <c r="N21" s="610"/>
      <c r="O21" s="610"/>
      <c r="P21" s="610"/>
      <c r="Q21" s="610"/>
      <c r="R21" s="610"/>
      <c r="S21" s="610"/>
      <c r="T21" s="610"/>
      <c r="U21" s="610"/>
      <c r="V21" s="610"/>
      <c r="W21" s="610"/>
      <c r="X21" s="610"/>
      <c r="Y21" s="610"/>
      <c r="Z21" s="610"/>
      <c r="AA21" s="601"/>
      <c r="AB21" s="601"/>
      <c r="AC21" s="601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19">
        <v>4680115886643</v>
      </c>
      <c r="E22" s="62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19">
        <v>4680115889071</v>
      </c>
      <c r="E23" s="62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5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16"/>
      <c r="B24" s="610"/>
      <c r="C24" s="610"/>
      <c r="D24" s="610"/>
      <c r="E24" s="610"/>
      <c r="F24" s="610"/>
      <c r="G24" s="610"/>
      <c r="H24" s="610"/>
      <c r="I24" s="610"/>
      <c r="J24" s="610"/>
      <c r="K24" s="610"/>
      <c r="L24" s="610"/>
      <c r="M24" s="610"/>
      <c r="N24" s="610"/>
      <c r="O24" s="617"/>
      <c r="P24" s="621" t="s">
        <v>72</v>
      </c>
      <c r="Q24" s="622"/>
      <c r="R24" s="622"/>
      <c r="S24" s="622"/>
      <c r="T24" s="622"/>
      <c r="U24" s="622"/>
      <c r="V24" s="623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hidden="1" x14ac:dyDescent="0.2">
      <c r="A25" s="610"/>
      <c r="B25" s="610"/>
      <c r="C25" s="610"/>
      <c r="D25" s="610"/>
      <c r="E25" s="610"/>
      <c r="F25" s="610"/>
      <c r="G25" s="610"/>
      <c r="H25" s="610"/>
      <c r="I25" s="610"/>
      <c r="J25" s="610"/>
      <c r="K25" s="610"/>
      <c r="L25" s="610"/>
      <c r="M25" s="610"/>
      <c r="N25" s="610"/>
      <c r="O25" s="617"/>
      <c r="P25" s="621" t="s">
        <v>72</v>
      </c>
      <c r="Q25" s="622"/>
      <c r="R25" s="622"/>
      <c r="S25" s="622"/>
      <c r="T25" s="622"/>
      <c r="U25" s="622"/>
      <c r="V25" s="623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hidden="1" customHeight="1" x14ac:dyDescent="0.25">
      <c r="A26" s="609" t="s">
        <v>74</v>
      </c>
      <c r="B26" s="610"/>
      <c r="C26" s="610"/>
      <c r="D26" s="610"/>
      <c r="E26" s="610"/>
      <c r="F26" s="610"/>
      <c r="G26" s="610"/>
      <c r="H26" s="610"/>
      <c r="I26" s="610"/>
      <c r="J26" s="610"/>
      <c r="K26" s="610"/>
      <c r="L26" s="610"/>
      <c r="M26" s="610"/>
      <c r="N26" s="610"/>
      <c r="O26" s="610"/>
      <c r="P26" s="610"/>
      <c r="Q26" s="610"/>
      <c r="R26" s="610"/>
      <c r="S26" s="610"/>
      <c r="T26" s="610"/>
      <c r="U26" s="610"/>
      <c r="V26" s="610"/>
      <c r="W26" s="610"/>
      <c r="X26" s="610"/>
      <c r="Y26" s="610"/>
      <c r="Z26" s="610"/>
      <c r="AA26" s="601"/>
      <c r="AB26" s="601"/>
      <c r="AC26" s="601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19">
        <v>4680115885912</v>
      </c>
      <c r="E27" s="62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19">
        <v>4607091388237</v>
      </c>
      <c r="E28" s="62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 t="shared" si="0"/>
        <v>0</v>
      </c>
      <c r="Z28" s="36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19">
        <v>4680115887350</v>
      </c>
      <c r="E29" s="62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0</v>
      </c>
      <c r="Y29" s="606">
        <f t="shared" si="0"/>
        <v>0</v>
      </c>
      <c r="Z29" s="36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19">
        <v>4680115885905</v>
      </c>
      <c r="E30" s="62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0</v>
      </c>
      <c r="Y30" s="606">
        <f t="shared" si="0"/>
        <v>0</v>
      </c>
      <c r="Z30" s="36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4301052078</v>
      </c>
      <c r="D31" s="619">
        <v>4680115887657</v>
      </c>
      <c r="E31" s="62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84</v>
      </c>
      <c r="N31" s="33"/>
      <c r="O31" s="32">
        <v>40</v>
      </c>
      <c r="P31" s="68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 t="shared" si="0"/>
        <v>0</v>
      </c>
      <c r="Z31" s="36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hidden="1" customHeight="1" x14ac:dyDescent="0.25">
      <c r="A32" s="54" t="s">
        <v>92</v>
      </c>
      <c r="B32" s="54" t="s">
        <v>93</v>
      </c>
      <c r="C32" s="31">
        <v>4301052071</v>
      </c>
      <c r="D32" s="619">
        <v>4680115887619</v>
      </c>
      <c r="E32" s="620"/>
      <c r="F32" s="604">
        <v>0.33</v>
      </c>
      <c r="G32" s="32">
        <v>6</v>
      </c>
      <c r="H32" s="604">
        <v>1.98</v>
      </c>
      <c r="I32" s="604">
        <v>2.16</v>
      </c>
      <c r="J32" s="32">
        <v>182</v>
      </c>
      <c r="K32" s="32" t="s">
        <v>77</v>
      </c>
      <c r="L32" s="32"/>
      <c r="M32" s="33" t="s">
        <v>78</v>
      </c>
      <c r="N32" s="33"/>
      <c r="O32" s="32">
        <v>40</v>
      </c>
      <c r="P32" s="65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12"/>
      <c r="R32" s="612"/>
      <c r="S32" s="612"/>
      <c r="T32" s="613"/>
      <c r="U32" s="34"/>
      <c r="V32" s="34"/>
      <c r="W32" s="35" t="s">
        <v>67</v>
      </c>
      <c r="X32" s="605">
        <v>0</v>
      </c>
      <c r="Y32" s="606">
        <f t="shared" si="0"/>
        <v>0</v>
      </c>
      <c r="Z32" s="36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hidden="1" x14ac:dyDescent="0.2">
      <c r="A33" s="616"/>
      <c r="B33" s="610"/>
      <c r="C33" s="610"/>
      <c r="D33" s="610"/>
      <c r="E33" s="610"/>
      <c r="F33" s="610"/>
      <c r="G33" s="610"/>
      <c r="H33" s="610"/>
      <c r="I33" s="610"/>
      <c r="J33" s="610"/>
      <c r="K33" s="610"/>
      <c r="L33" s="610"/>
      <c r="M33" s="610"/>
      <c r="N33" s="610"/>
      <c r="O33" s="617"/>
      <c r="P33" s="621" t="s">
        <v>72</v>
      </c>
      <c r="Q33" s="622"/>
      <c r="R33" s="622"/>
      <c r="S33" s="622"/>
      <c r="T33" s="622"/>
      <c r="U33" s="622"/>
      <c r="V33" s="623"/>
      <c r="W33" s="37" t="s">
        <v>73</v>
      </c>
      <c r="X33" s="607">
        <f>IFERROR(X27/H27,"0")+IFERROR(X28/H28,"0")+IFERROR(X29/H29,"0")+IFERROR(X30/H30,"0")+IFERROR(X31/H31,"0")+IFERROR(X32/H32,"0")</f>
        <v>0</v>
      </c>
      <c r="Y33" s="607">
        <f>IFERROR(Y27/H27,"0")+IFERROR(Y28/H28,"0")+IFERROR(Y29/H29,"0")+IFERROR(Y30/H30,"0")+IFERROR(Y31/H31,"0")+IFERROR(Y32/H32,"0")</f>
        <v>0</v>
      </c>
      <c r="Z33" s="607">
        <f>IFERROR(IF(Z27="",0,Z27),"0")+IFERROR(IF(Z28="",0,Z28),"0")+IFERROR(IF(Z29="",0,Z29),"0")+IFERROR(IF(Z30="",0,Z30),"0")+IFERROR(IF(Z31="",0,Z31),"0")+IFERROR(IF(Z32="",0,Z32),"0")</f>
        <v>0</v>
      </c>
      <c r="AA33" s="608"/>
      <c r="AB33" s="608"/>
      <c r="AC33" s="608"/>
    </row>
    <row r="34" spans="1:68" hidden="1" x14ac:dyDescent="0.2">
      <c r="A34" s="610"/>
      <c r="B34" s="610"/>
      <c r="C34" s="610"/>
      <c r="D34" s="610"/>
      <c r="E34" s="610"/>
      <c r="F34" s="610"/>
      <c r="G34" s="610"/>
      <c r="H34" s="610"/>
      <c r="I34" s="610"/>
      <c r="J34" s="610"/>
      <c r="K34" s="610"/>
      <c r="L34" s="610"/>
      <c r="M34" s="610"/>
      <c r="N34" s="610"/>
      <c r="O34" s="617"/>
      <c r="P34" s="621" t="s">
        <v>72</v>
      </c>
      <c r="Q34" s="622"/>
      <c r="R34" s="622"/>
      <c r="S34" s="622"/>
      <c r="T34" s="622"/>
      <c r="U34" s="622"/>
      <c r="V34" s="623"/>
      <c r="W34" s="37" t="s">
        <v>67</v>
      </c>
      <c r="X34" s="607">
        <f>IFERROR(SUM(X27:X32),"0")</f>
        <v>0</v>
      </c>
      <c r="Y34" s="607">
        <f>IFERROR(SUM(Y27:Y32),"0")</f>
        <v>0</v>
      </c>
      <c r="Z34" s="37"/>
      <c r="AA34" s="608"/>
      <c r="AB34" s="608"/>
      <c r="AC34" s="608"/>
    </row>
    <row r="35" spans="1:68" ht="14.25" hidden="1" customHeight="1" x14ac:dyDescent="0.25">
      <c r="A35" s="609" t="s">
        <v>95</v>
      </c>
      <c r="B35" s="610"/>
      <c r="C35" s="610"/>
      <c r="D35" s="610"/>
      <c r="E35" s="610"/>
      <c r="F35" s="610"/>
      <c r="G35" s="610"/>
      <c r="H35" s="610"/>
      <c r="I35" s="610"/>
      <c r="J35" s="610"/>
      <c r="K35" s="610"/>
      <c r="L35" s="610"/>
      <c r="M35" s="610"/>
      <c r="N35" s="610"/>
      <c r="O35" s="610"/>
      <c r="P35" s="610"/>
      <c r="Q35" s="610"/>
      <c r="R35" s="610"/>
      <c r="S35" s="610"/>
      <c r="T35" s="610"/>
      <c r="U35" s="610"/>
      <c r="V35" s="610"/>
      <c r="W35" s="610"/>
      <c r="X35" s="610"/>
      <c r="Y35" s="610"/>
      <c r="Z35" s="610"/>
      <c r="AA35" s="601"/>
      <c r="AB35" s="601"/>
      <c r="AC35" s="601"/>
    </row>
    <row r="36" spans="1:68" ht="27" hidden="1" customHeight="1" x14ac:dyDescent="0.25">
      <c r="A36" s="54" t="s">
        <v>96</v>
      </c>
      <c r="B36" s="54" t="s">
        <v>97</v>
      </c>
      <c r="C36" s="31">
        <v>4301032013</v>
      </c>
      <c r="D36" s="619">
        <v>4607091388503</v>
      </c>
      <c r="E36" s="620"/>
      <c r="F36" s="604">
        <v>0.05</v>
      </c>
      <c r="G36" s="32">
        <v>12</v>
      </c>
      <c r="H36" s="604">
        <v>0.6</v>
      </c>
      <c r="I36" s="604">
        <v>0.82199999999999995</v>
      </c>
      <c r="J36" s="32">
        <v>182</v>
      </c>
      <c r="K36" s="32" t="s">
        <v>77</v>
      </c>
      <c r="L36" s="32"/>
      <c r="M36" s="33" t="s">
        <v>98</v>
      </c>
      <c r="N36" s="33"/>
      <c r="O36" s="32">
        <v>120</v>
      </c>
      <c r="P36" s="9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12"/>
      <c r="R36" s="612"/>
      <c r="S36" s="612"/>
      <c r="T36" s="613"/>
      <c r="U36" s="34"/>
      <c r="V36" s="34"/>
      <c r="W36" s="35" t="s">
        <v>67</v>
      </c>
      <c r="X36" s="605">
        <v>0</v>
      </c>
      <c r="Y36" s="606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idden="1" x14ac:dyDescent="0.2">
      <c r="A37" s="616"/>
      <c r="B37" s="610"/>
      <c r="C37" s="610"/>
      <c r="D37" s="610"/>
      <c r="E37" s="610"/>
      <c r="F37" s="610"/>
      <c r="G37" s="610"/>
      <c r="H37" s="610"/>
      <c r="I37" s="610"/>
      <c r="J37" s="610"/>
      <c r="K37" s="610"/>
      <c r="L37" s="610"/>
      <c r="M37" s="610"/>
      <c r="N37" s="610"/>
      <c r="O37" s="617"/>
      <c r="P37" s="621" t="s">
        <v>72</v>
      </c>
      <c r="Q37" s="622"/>
      <c r="R37" s="622"/>
      <c r="S37" s="622"/>
      <c r="T37" s="622"/>
      <c r="U37" s="622"/>
      <c r="V37" s="623"/>
      <c r="W37" s="37" t="s">
        <v>73</v>
      </c>
      <c r="X37" s="607">
        <f>IFERROR(X36/H36,"0")</f>
        <v>0</v>
      </c>
      <c r="Y37" s="607">
        <f>IFERROR(Y36/H36,"0")</f>
        <v>0</v>
      </c>
      <c r="Z37" s="607">
        <f>IFERROR(IF(Z36="",0,Z36),"0")</f>
        <v>0</v>
      </c>
      <c r="AA37" s="608"/>
      <c r="AB37" s="608"/>
      <c r="AC37" s="608"/>
    </row>
    <row r="38" spans="1:68" hidden="1" x14ac:dyDescent="0.2">
      <c r="A38" s="610"/>
      <c r="B38" s="610"/>
      <c r="C38" s="610"/>
      <c r="D38" s="610"/>
      <c r="E38" s="610"/>
      <c r="F38" s="610"/>
      <c r="G38" s="610"/>
      <c r="H38" s="610"/>
      <c r="I38" s="610"/>
      <c r="J38" s="610"/>
      <c r="K38" s="610"/>
      <c r="L38" s="610"/>
      <c r="M38" s="610"/>
      <c r="N38" s="610"/>
      <c r="O38" s="617"/>
      <c r="P38" s="621" t="s">
        <v>72</v>
      </c>
      <c r="Q38" s="622"/>
      <c r="R38" s="622"/>
      <c r="S38" s="622"/>
      <c r="T38" s="622"/>
      <c r="U38" s="622"/>
      <c r="V38" s="623"/>
      <c r="W38" s="37" t="s">
        <v>67</v>
      </c>
      <c r="X38" s="607">
        <f>IFERROR(SUM(X36:X36),"0")</f>
        <v>0</v>
      </c>
      <c r="Y38" s="607">
        <f>IFERROR(SUM(Y36:Y36),"0")</f>
        <v>0</v>
      </c>
      <c r="Z38" s="37"/>
      <c r="AA38" s="608"/>
      <c r="AB38" s="608"/>
      <c r="AC38" s="608"/>
    </row>
    <row r="39" spans="1:68" ht="27.75" hidden="1" customHeight="1" x14ac:dyDescent="0.2">
      <c r="A39" s="630" t="s">
        <v>101</v>
      </c>
      <c r="B39" s="631"/>
      <c r="C39" s="631"/>
      <c r="D39" s="631"/>
      <c r="E39" s="631"/>
      <c r="F39" s="631"/>
      <c r="G39" s="631"/>
      <c r="H39" s="631"/>
      <c r="I39" s="631"/>
      <c r="J39" s="631"/>
      <c r="K39" s="631"/>
      <c r="L39" s="631"/>
      <c r="M39" s="631"/>
      <c r="N39" s="631"/>
      <c r="O39" s="631"/>
      <c r="P39" s="631"/>
      <c r="Q39" s="631"/>
      <c r="R39" s="631"/>
      <c r="S39" s="631"/>
      <c r="T39" s="631"/>
      <c r="U39" s="631"/>
      <c r="V39" s="631"/>
      <c r="W39" s="631"/>
      <c r="X39" s="631"/>
      <c r="Y39" s="631"/>
      <c r="Z39" s="631"/>
      <c r="AA39" s="48"/>
      <c r="AB39" s="48"/>
      <c r="AC39" s="48"/>
    </row>
    <row r="40" spans="1:68" ht="16.5" hidden="1" customHeight="1" x14ac:dyDescent="0.25">
      <c r="A40" s="647" t="s">
        <v>102</v>
      </c>
      <c r="B40" s="610"/>
      <c r="C40" s="610"/>
      <c r="D40" s="610"/>
      <c r="E40" s="610"/>
      <c r="F40" s="610"/>
      <c r="G40" s="610"/>
      <c r="H40" s="610"/>
      <c r="I40" s="610"/>
      <c r="J40" s="610"/>
      <c r="K40" s="610"/>
      <c r="L40" s="610"/>
      <c r="M40" s="610"/>
      <c r="N40" s="610"/>
      <c r="O40" s="610"/>
      <c r="P40" s="610"/>
      <c r="Q40" s="610"/>
      <c r="R40" s="610"/>
      <c r="S40" s="610"/>
      <c r="T40" s="610"/>
      <c r="U40" s="610"/>
      <c r="V40" s="610"/>
      <c r="W40" s="610"/>
      <c r="X40" s="610"/>
      <c r="Y40" s="610"/>
      <c r="Z40" s="610"/>
      <c r="AA40" s="600"/>
      <c r="AB40" s="600"/>
      <c r="AC40" s="600"/>
    </row>
    <row r="41" spans="1:68" ht="14.25" hidden="1" customHeight="1" x14ac:dyDescent="0.25">
      <c r="A41" s="609" t="s">
        <v>74</v>
      </c>
      <c r="B41" s="610"/>
      <c r="C41" s="610"/>
      <c r="D41" s="610"/>
      <c r="E41" s="610"/>
      <c r="F41" s="610"/>
      <c r="G41" s="610"/>
      <c r="H41" s="610"/>
      <c r="I41" s="610"/>
      <c r="J41" s="610"/>
      <c r="K41" s="610"/>
      <c r="L41" s="610"/>
      <c r="M41" s="610"/>
      <c r="N41" s="610"/>
      <c r="O41" s="610"/>
      <c r="P41" s="610"/>
      <c r="Q41" s="610"/>
      <c r="R41" s="610"/>
      <c r="S41" s="610"/>
      <c r="T41" s="610"/>
      <c r="U41" s="610"/>
      <c r="V41" s="610"/>
      <c r="W41" s="610"/>
      <c r="X41" s="610"/>
      <c r="Y41" s="610"/>
      <c r="Z41" s="610"/>
      <c r="AA41" s="601"/>
      <c r="AB41" s="601"/>
      <c r="AC41" s="601"/>
    </row>
    <row r="42" spans="1:68" ht="27" hidden="1" customHeight="1" x14ac:dyDescent="0.25">
      <c r="A42" s="54" t="s">
        <v>103</v>
      </c>
      <c r="B42" s="54" t="s">
        <v>104</v>
      </c>
      <c r="C42" s="31">
        <v>4301052187</v>
      </c>
      <c r="D42" s="619">
        <v>4680115889354</v>
      </c>
      <c r="E42" s="62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84</v>
      </c>
      <c r="N42" s="33"/>
      <c r="O42" s="32">
        <v>40</v>
      </c>
      <c r="P42" s="69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 t="s">
        <v>105</v>
      </c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107</v>
      </c>
      <c r="B43" s="54" t="s">
        <v>108</v>
      </c>
      <c r="C43" s="31">
        <v>4301052198</v>
      </c>
      <c r="D43" s="619">
        <v>4680115888463</v>
      </c>
      <c r="E43" s="62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110</v>
      </c>
      <c r="B44" s="54" t="s">
        <v>111</v>
      </c>
      <c r="C44" s="31">
        <v>4301052202</v>
      </c>
      <c r="D44" s="619">
        <v>4680115888494</v>
      </c>
      <c r="E44" s="62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113</v>
      </c>
      <c r="B45" s="54" t="s">
        <v>114</v>
      </c>
      <c r="C45" s="31">
        <v>4301052184</v>
      </c>
      <c r="D45" s="619">
        <v>4680115888272</v>
      </c>
      <c r="E45" s="62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t="27" hidden="1" customHeight="1" x14ac:dyDescent="0.25">
      <c r="A46" s="54" t="s">
        <v>116</v>
      </c>
      <c r="B46" s="54" t="s">
        <v>117</v>
      </c>
      <c r="C46" s="31">
        <v>4301052188</v>
      </c>
      <c r="D46" s="619">
        <v>4680115888364</v>
      </c>
      <c r="E46" s="620"/>
      <c r="F46" s="604">
        <v>0.32</v>
      </c>
      <c r="G46" s="32">
        <v>6</v>
      </c>
      <c r="H46" s="604">
        <v>1.92</v>
      </c>
      <c r="I46" s="604">
        <v>2.1</v>
      </c>
      <c r="J46" s="32">
        <v>182</v>
      </c>
      <c r="K46" s="32" t="s">
        <v>77</v>
      </c>
      <c r="L46" s="32"/>
      <c r="M46" s="33" t="s">
        <v>78</v>
      </c>
      <c r="N46" s="33"/>
      <c r="O46" s="32">
        <v>40</v>
      </c>
      <c r="P46" s="9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12"/>
      <c r="R46" s="612"/>
      <c r="S46" s="612"/>
      <c r="T46" s="613"/>
      <c r="U46" s="34"/>
      <c r="V46" s="34"/>
      <c r="W46" s="35" t="s">
        <v>67</v>
      </c>
      <c r="X46" s="605">
        <v>0</v>
      </c>
      <c r="Y46" s="60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95" t="s">
        <v>118</v>
      </c>
      <c r="AG46" s="64"/>
      <c r="AJ46" s="68"/>
      <c r="AK46" s="68">
        <v>0</v>
      </c>
      <c r="BB46" s="96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616"/>
      <c r="B47" s="610"/>
      <c r="C47" s="610"/>
      <c r="D47" s="610"/>
      <c r="E47" s="610"/>
      <c r="F47" s="610"/>
      <c r="G47" s="610"/>
      <c r="H47" s="610"/>
      <c r="I47" s="610"/>
      <c r="J47" s="610"/>
      <c r="K47" s="610"/>
      <c r="L47" s="610"/>
      <c r="M47" s="610"/>
      <c r="N47" s="610"/>
      <c r="O47" s="617"/>
      <c r="P47" s="621" t="s">
        <v>72</v>
      </c>
      <c r="Q47" s="622"/>
      <c r="R47" s="622"/>
      <c r="S47" s="622"/>
      <c r="T47" s="622"/>
      <c r="U47" s="622"/>
      <c r="V47" s="623"/>
      <c r="W47" s="37" t="s">
        <v>73</v>
      </c>
      <c r="X47" s="607">
        <f>IFERROR(X42/H42,"0")+IFERROR(X43/H43,"0")+IFERROR(X44/H44,"0")+IFERROR(X45/H45,"0")+IFERROR(X46/H46,"0")</f>
        <v>0</v>
      </c>
      <c r="Y47" s="607">
        <f>IFERROR(Y42/H42,"0")+IFERROR(Y43/H43,"0")+IFERROR(Y44/H44,"0")+IFERROR(Y45/H45,"0")+IFERROR(Y46/H46,"0")</f>
        <v>0</v>
      </c>
      <c r="Z47" s="607">
        <f>IFERROR(IF(Z42="",0,Z42),"0")+IFERROR(IF(Z43="",0,Z43),"0")+IFERROR(IF(Z44="",0,Z44),"0")+IFERROR(IF(Z45="",0,Z45),"0")+IFERROR(IF(Z46="",0,Z46),"0")</f>
        <v>0</v>
      </c>
      <c r="AA47" s="608"/>
      <c r="AB47" s="608"/>
      <c r="AC47" s="608"/>
    </row>
    <row r="48" spans="1:68" hidden="1" x14ac:dyDescent="0.2">
      <c r="A48" s="610"/>
      <c r="B48" s="610"/>
      <c r="C48" s="610"/>
      <c r="D48" s="610"/>
      <c r="E48" s="610"/>
      <c r="F48" s="610"/>
      <c r="G48" s="610"/>
      <c r="H48" s="610"/>
      <c r="I48" s="610"/>
      <c r="J48" s="610"/>
      <c r="K48" s="610"/>
      <c r="L48" s="610"/>
      <c r="M48" s="610"/>
      <c r="N48" s="610"/>
      <c r="O48" s="617"/>
      <c r="P48" s="621" t="s">
        <v>72</v>
      </c>
      <c r="Q48" s="622"/>
      <c r="R48" s="622"/>
      <c r="S48" s="622"/>
      <c r="T48" s="622"/>
      <c r="U48" s="622"/>
      <c r="V48" s="623"/>
      <c r="W48" s="37" t="s">
        <v>67</v>
      </c>
      <c r="X48" s="607">
        <f>IFERROR(SUM(X42:X46),"0")</f>
        <v>0</v>
      </c>
      <c r="Y48" s="607">
        <f>IFERROR(SUM(Y42:Y46),"0")</f>
        <v>0</v>
      </c>
      <c r="Z48" s="37"/>
      <c r="AA48" s="608"/>
      <c r="AB48" s="608"/>
      <c r="AC48" s="608"/>
    </row>
    <row r="49" spans="1:68" ht="27.75" hidden="1" customHeight="1" x14ac:dyDescent="0.2">
      <c r="A49" s="630" t="s">
        <v>119</v>
      </c>
      <c r="B49" s="631"/>
      <c r="C49" s="631"/>
      <c r="D49" s="631"/>
      <c r="E49" s="631"/>
      <c r="F49" s="631"/>
      <c r="G49" s="631"/>
      <c r="H49" s="631"/>
      <c r="I49" s="631"/>
      <c r="J49" s="631"/>
      <c r="K49" s="631"/>
      <c r="L49" s="631"/>
      <c r="M49" s="631"/>
      <c r="N49" s="631"/>
      <c r="O49" s="631"/>
      <c r="P49" s="631"/>
      <c r="Q49" s="631"/>
      <c r="R49" s="631"/>
      <c r="S49" s="631"/>
      <c r="T49" s="631"/>
      <c r="U49" s="631"/>
      <c r="V49" s="631"/>
      <c r="W49" s="631"/>
      <c r="X49" s="631"/>
      <c r="Y49" s="631"/>
      <c r="Z49" s="631"/>
      <c r="AA49" s="48"/>
      <c r="AB49" s="48"/>
      <c r="AC49" s="48"/>
    </row>
    <row r="50" spans="1:68" ht="16.5" hidden="1" customHeight="1" x14ac:dyDescent="0.25">
      <c r="A50" s="647" t="s">
        <v>120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0"/>
      <c r="V50" s="610"/>
      <c r="W50" s="610"/>
      <c r="X50" s="610"/>
      <c r="Y50" s="610"/>
      <c r="Z50" s="610"/>
      <c r="AA50" s="600"/>
      <c r="AB50" s="600"/>
      <c r="AC50" s="600"/>
    </row>
    <row r="51" spans="1:68" ht="14.25" hidden="1" customHeight="1" x14ac:dyDescent="0.25">
      <c r="A51" s="609" t="s">
        <v>121</v>
      </c>
      <c r="B51" s="610"/>
      <c r="C51" s="610"/>
      <c r="D51" s="610"/>
      <c r="E51" s="610"/>
      <c r="F51" s="610"/>
      <c r="G51" s="610"/>
      <c r="H51" s="610"/>
      <c r="I51" s="610"/>
      <c r="J51" s="610"/>
      <c r="K51" s="610"/>
      <c r="L51" s="610"/>
      <c r="M51" s="610"/>
      <c r="N51" s="610"/>
      <c r="O51" s="610"/>
      <c r="P51" s="610"/>
      <c r="Q51" s="610"/>
      <c r="R51" s="610"/>
      <c r="S51" s="610"/>
      <c r="T51" s="610"/>
      <c r="U51" s="610"/>
      <c r="V51" s="610"/>
      <c r="W51" s="610"/>
      <c r="X51" s="610"/>
      <c r="Y51" s="610"/>
      <c r="Z51" s="610"/>
      <c r="AA51" s="601"/>
      <c r="AB51" s="601"/>
      <c r="AC51" s="601"/>
    </row>
    <row r="52" spans="1:68" ht="16.5" hidden="1" customHeight="1" x14ac:dyDescent="0.25">
      <c r="A52" s="54" t="s">
        <v>122</v>
      </c>
      <c r="B52" s="54" t="s">
        <v>123</v>
      </c>
      <c r="C52" s="31">
        <v>4301011380</v>
      </c>
      <c r="D52" s="619">
        <v>4607091385670</v>
      </c>
      <c r="E52" s="620"/>
      <c r="F52" s="604">
        <v>1.35</v>
      </c>
      <c r="G52" s="32">
        <v>8</v>
      </c>
      <c r="H52" s="604">
        <v>10.8</v>
      </c>
      <c r="I52" s="604">
        <v>11.21</v>
      </c>
      <c r="J52" s="32">
        <v>64</v>
      </c>
      <c r="K52" s="32" t="s">
        <v>124</v>
      </c>
      <c r="L52" s="32"/>
      <c r="M52" s="33" t="s">
        <v>125</v>
      </c>
      <c r="N52" s="33"/>
      <c r="O52" s="32">
        <v>50</v>
      </c>
      <c r="P52" s="76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4301012053</v>
      </c>
      <c r="D53" s="619">
        <v>4680115887725</v>
      </c>
      <c r="E53" s="620"/>
      <c r="F53" s="604">
        <v>0.11</v>
      </c>
      <c r="G53" s="32">
        <v>10</v>
      </c>
      <c r="H53" s="604">
        <v>1.1000000000000001</v>
      </c>
      <c r="I53" s="604">
        <v>1.31</v>
      </c>
      <c r="J53" s="32">
        <v>192</v>
      </c>
      <c r="K53" s="32" t="s">
        <v>129</v>
      </c>
      <c r="L53" s="32"/>
      <c r="M53" s="33" t="s">
        <v>66</v>
      </c>
      <c r="N53" s="33"/>
      <c r="O53" s="32">
        <v>30</v>
      </c>
      <c r="P53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12"/>
      <c r="R53" s="612"/>
      <c r="S53" s="612"/>
      <c r="T53" s="613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IFERROR(IF(Y53=0,"",ROUNDUP(Y53/H53,0)*0.00726),"")</f>
        <v/>
      </c>
      <c r="AA53" s="56"/>
      <c r="AB53" s="57"/>
      <c r="AC53" s="99" t="s">
        <v>130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4301011382</v>
      </c>
      <c r="D54" s="619">
        <v>4607091385687</v>
      </c>
      <c r="E54" s="620"/>
      <c r="F54" s="604">
        <v>0.4</v>
      </c>
      <c r="G54" s="32">
        <v>10</v>
      </c>
      <c r="H54" s="604">
        <v>4</v>
      </c>
      <c r="I54" s="604">
        <v>4.1900000000000004</v>
      </c>
      <c r="J54" s="32">
        <v>132</v>
      </c>
      <c r="K54" s="32" t="s">
        <v>133</v>
      </c>
      <c r="L54" s="32"/>
      <c r="M54" s="33" t="s">
        <v>78</v>
      </c>
      <c r="N54" s="33"/>
      <c r="O54" s="32">
        <v>50</v>
      </c>
      <c r="P54" s="89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12"/>
      <c r="R54" s="612"/>
      <c r="S54" s="612"/>
      <c r="T54" s="613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126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t="27" hidden="1" customHeight="1" x14ac:dyDescent="0.25">
      <c r="A55" s="54" t="s">
        <v>134</v>
      </c>
      <c r="B55" s="54" t="s">
        <v>135</v>
      </c>
      <c r="C55" s="31">
        <v>4301011565</v>
      </c>
      <c r="D55" s="619">
        <v>4680115882539</v>
      </c>
      <c r="E55" s="620"/>
      <c r="F55" s="604">
        <v>0.37</v>
      </c>
      <c r="G55" s="32">
        <v>10</v>
      </c>
      <c r="H55" s="604">
        <v>3.7</v>
      </c>
      <c r="I55" s="604">
        <v>3.89</v>
      </c>
      <c r="J55" s="32">
        <v>132</v>
      </c>
      <c r="K55" s="32" t="s">
        <v>133</v>
      </c>
      <c r="L55" s="32"/>
      <c r="M55" s="33" t="s">
        <v>78</v>
      </c>
      <c r="N55" s="33"/>
      <c r="O55" s="32">
        <v>50</v>
      </c>
      <c r="P55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12"/>
      <c r="R55" s="612"/>
      <c r="S55" s="612"/>
      <c r="T55" s="613"/>
      <c r="U55" s="34"/>
      <c r="V55" s="34"/>
      <c r="W55" s="35" t="s">
        <v>67</v>
      </c>
      <c r="X55" s="605">
        <v>0</v>
      </c>
      <c r="Y55" s="606">
        <f>IFERROR(IF(X55="",0,CEILING((X55/$H55),1)*$H55),"")</f>
        <v>0</v>
      </c>
      <c r="Z55" s="36" t="str">
        <f>IFERROR(IF(Y55=0,"",ROUNDUP(Y55/H55,0)*0.00902),"")</f>
        <v/>
      </c>
      <c r="AA55" s="56"/>
      <c r="AB55" s="57"/>
      <c r="AC55" s="103" t="s">
        <v>126</v>
      </c>
      <c r="AG55" s="64"/>
      <c r="AJ55" s="68"/>
      <c r="AK55" s="68">
        <v>0</v>
      </c>
      <c r="BB55" s="104" t="s">
        <v>1</v>
      </c>
      <c r="BM55" s="64">
        <f>IFERROR(X55*I55/H55,"0")</f>
        <v>0</v>
      </c>
      <c r="BN55" s="64">
        <f>IFERROR(Y55*I55/H55,"0")</f>
        <v>0</v>
      </c>
      <c r="BO55" s="64">
        <f>IFERROR(1/J55*(X55/H55),"0")</f>
        <v>0</v>
      </c>
      <c r="BP55" s="64">
        <f>IFERROR(1/J55*(Y55/H55),"0")</f>
        <v>0</v>
      </c>
    </row>
    <row r="56" spans="1:68" hidden="1" x14ac:dyDescent="0.2">
      <c r="A56" s="616"/>
      <c r="B56" s="610"/>
      <c r="C56" s="610"/>
      <c r="D56" s="610"/>
      <c r="E56" s="610"/>
      <c r="F56" s="610"/>
      <c r="G56" s="610"/>
      <c r="H56" s="610"/>
      <c r="I56" s="610"/>
      <c r="J56" s="610"/>
      <c r="K56" s="610"/>
      <c r="L56" s="610"/>
      <c r="M56" s="610"/>
      <c r="N56" s="610"/>
      <c r="O56" s="617"/>
      <c r="P56" s="621" t="s">
        <v>72</v>
      </c>
      <c r="Q56" s="622"/>
      <c r="R56" s="622"/>
      <c r="S56" s="622"/>
      <c r="T56" s="622"/>
      <c r="U56" s="622"/>
      <c r="V56" s="623"/>
      <c r="W56" s="37" t="s">
        <v>73</v>
      </c>
      <c r="X56" s="607">
        <f>IFERROR(X52/H52,"0")+IFERROR(X53/H53,"0")+IFERROR(X54/H54,"0")+IFERROR(X55/H55,"0")</f>
        <v>0</v>
      </c>
      <c r="Y56" s="607">
        <f>IFERROR(Y52/H52,"0")+IFERROR(Y53/H53,"0")+IFERROR(Y54/H54,"0")+IFERROR(Y55/H55,"0")</f>
        <v>0</v>
      </c>
      <c r="Z56" s="607">
        <f>IFERROR(IF(Z52="",0,Z52),"0")+IFERROR(IF(Z53="",0,Z53),"0")+IFERROR(IF(Z54="",0,Z54),"0")+IFERROR(IF(Z55="",0,Z55),"0")</f>
        <v>0</v>
      </c>
      <c r="AA56" s="608"/>
      <c r="AB56" s="608"/>
      <c r="AC56" s="608"/>
    </row>
    <row r="57" spans="1:68" hidden="1" x14ac:dyDescent="0.2">
      <c r="A57" s="610"/>
      <c r="B57" s="610"/>
      <c r="C57" s="610"/>
      <c r="D57" s="610"/>
      <c r="E57" s="610"/>
      <c r="F57" s="610"/>
      <c r="G57" s="610"/>
      <c r="H57" s="610"/>
      <c r="I57" s="610"/>
      <c r="J57" s="610"/>
      <c r="K57" s="610"/>
      <c r="L57" s="610"/>
      <c r="M57" s="610"/>
      <c r="N57" s="610"/>
      <c r="O57" s="617"/>
      <c r="P57" s="621" t="s">
        <v>72</v>
      </c>
      <c r="Q57" s="622"/>
      <c r="R57" s="622"/>
      <c r="S57" s="622"/>
      <c r="T57" s="622"/>
      <c r="U57" s="622"/>
      <c r="V57" s="623"/>
      <c r="W57" s="37" t="s">
        <v>67</v>
      </c>
      <c r="X57" s="607">
        <f>IFERROR(SUM(X52:X55),"0")</f>
        <v>0</v>
      </c>
      <c r="Y57" s="607">
        <f>IFERROR(SUM(Y52:Y55),"0")</f>
        <v>0</v>
      </c>
      <c r="Z57" s="37"/>
      <c r="AA57" s="608"/>
      <c r="AB57" s="608"/>
      <c r="AC57" s="608"/>
    </row>
    <row r="58" spans="1:68" ht="16.5" hidden="1" customHeight="1" x14ac:dyDescent="0.25">
      <c r="A58" s="647" t="s">
        <v>136</v>
      </c>
      <c r="B58" s="610"/>
      <c r="C58" s="610"/>
      <c r="D58" s="610"/>
      <c r="E58" s="610"/>
      <c r="F58" s="610"/>
      <c r="G58" s="610"/>
      <c r="H58" s="610"/>
      <c r="I58" s="610"/>
      <c r="J58" s="610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610"/>
      <c r="W58" s="610"/>
      <c r="X58" s="610"/>
      <c r="Y58" s="610"/>
      <c r="Z58" s="610"/>
      <c r="AA58" s="600"/>
      <c r="AB58" s="600"/>
      <c r="AC58" s="600"/>
    </row>
    <row r="59" spans="1:68" ht="14.25" hidden="1" customHeight="1" x14ac:dyDescent="0.25">
      <c r="A59" s="609" t="s">
        <v>121</v>
      </c>
      <c r="B59" s="610"/>
      <c r="C59" s="610"/>
      <c r="D59" s="610"/>
      <c r="E59" s="610"/>
      <c r="F59" s="610"/>
      <c r="G59" s="610"/>
      <c r="H59" s="610"/>
      <c r="I59" s="610"/>
      <c r="J59" s="610"/>
      <c r="K59" s="610"/>
      <c r="L59" s="610"/>
      <c r="M59" s="610"/>
      <c r="N59" s="610"/>
      <c r="O59" s="610"/>
      <c r="P59" s="610"/>
      <c r="Q59" s="610"/>
      <c r="R59" s="610"/>
      <c r="S59" s="610"/>
      <c r="T59" s="610"/>
      <c r="U59" s="610"/>
      <c r="V59" s="610"/>
      <c r="W59" s="610"/>
      <c r="X59" s="610"/>
      <c r="Y59" s="610"/>
      <c r="Z59" s="610"/>
      <c r="AA59" s="601"/>
      <c r="AB59" s="601"/>
      <c r="AC59" s="601"/>
    </row>
    <row r="60" spans="1:68" ht="27" hidden="1" customHeight="1" x14ac:dyDescent="0.25">
      <c r="A60" s="54" t="s">
        <v>137</v>
      </c>
      <c r="B60" s="54" t="s">
        <v>138</v>
      </c>
      <c r="C60" s="31">
        <v>4301012030</v>
      </c>
      <c r="D60" s="619">
        <v>4680115885882</v>
      </c>
      <c r="E60" s="62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124</v>
      </c>
      <c r="L60" s="32"/>
      <c r="M60" s="33" t="s">
        <v>78</v>
      </c>
      <c r="N60" s="33"/>
      <c r="O60" s="32">
        <v>50</v>
      </c>
      <c r="P60" s="95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ref="Y60:Y66" si="6"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5" t="s">
        <v>139</v>
      </c>
      <c r="AG60" s="64"/>
      <c r="AJ60" s="68"/>
      <c r="AK60" s="68">
        <v>0</v>
      </c>
      <c r="BB60" s="106" t="s">
        <v>1</v>
      </c>
      <c r="BM60" s="64">
        <f t="shared" ref="BM60:BM66" si="7">IFERROR(X60*I60/H60,"0")</f>
        <v>0</v>
      </c>
      <c r="BN60" s="64">
        <f t="shared" ref="BN60:BN66" si="8">IFERROR(Y60*I60/H60,"0")</f>
        <v>0</v>
      </c>
      <c r="BO60" s="64">
        <f t="shared" ref="BO60:BO66" si="9">IFERROR(1/J60*(X60/H60),"0")</f>
        <v>0</v>
      </c>
      <c r="BP60" s="64">
        <f t="shared" ref="BP60:BP66" si="10">IFERROR(1/J60*(Y60/H60),"0")</f>
        <v>0</v>
      </c>
    </row>
    <row r="61" spans="1:68" ht="27" hidden="1" customHeight="1" x14ac:dyDescent="0.25">
      <c r="A61" s="54" t="s">
        <v>137</v>
      </c>
      <c r="B61" s="54" t="s">
        <v>140</v>
      </c>
      <c r="C61" s="31">
        <v>4301012161</v>
      </c>
      <c r="D61" s="619">
        <v>4680115885882</v>
      </c>
      <c r="E61" s="620"/>
      <c r="F61" s="604">
        <v>1.4</v>
      </c>
      <c r="G61" s="32">
        <v>8</v>
      </c>
      <c r="H61" s="604">
        <v>11.2</v>
      </c>
      <c r="I61" s="604">
        <v>11.61</v>
      </c>
      <c r="J61" s="32">
        <v>64</v>
      </c>
      <c r="K61" s="32" t="s">
        <v>124</v>
      </c>
      <c r="L61" s="32"/>
      <c r="M61" s="33" t="s">
        <v>125</v>
      </c>
      <c r="N61" s="33"/>
      <c r="O61" s="32">
        <v>50</v>
      </c>
      <c r="P61" s="86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0</v>
      </c>
      <c r="Y61" s="606">
        <f t="shared" si="6"/>
        <v>0</v>
      </c>
      <c r="Z61" s="36" t="str">
        <f>IFERROR(IF(Y61=0,"",ROUNDUP(Y61/H61,0)*0.01898),"")</f>
        <v/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4301011816</v>
      </c>
      <c r="D62" s="619">
        <v>4680115881426</v>
      </c>
      <c r="E62" s="620"/>
      <c r="F62" s="604">
        <v>1.35</v>
      </c>
      <c r="G62" s="32">
        <v>8</v>
      </c>
      <c r="H62" s="604">
        <v>10.8</v>
      </c>
      <c r="I62" s="604">
        <v>11.21</v>
      </c>
      <c r="J62" s="32">
        <v>64</v>
      </c>
      <c r="K62" s="32" t="s">
        <v>124</v>
      </c>
      <c r="L62" s="32"/>
      <c r="M62" s="33" t="s">
        <v>125</v>
      </c>
      <c r="N62" s="33"/>
      <c r="O62" s="32">
        <v>50</v>
      </c>
      <c r="P62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12"/>
      <c r="R62" s="612"/>
      <c r="S62" s="612"/>
      <c r="T62" s="613"/>
      <c r="U62" s="34"/>
      <c r="V62" s="34"/>
      <c r="W62" s="35" t="s">
        <v>67</v>
      </c>
      <c r="X62" s="605">
        <v>0</v>
      </c>
      <c r="Y62" s="606">
        <f t="shared" si="6"/>
        <v>0</v>
      </c>
      <c r="Z62" s="36" t="str">
        <f>IFERROR(IF(Y62=0,"",ROUNDUP(Y62/H62,0)*0.01898),"")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hidden="1" customHeight="1" x14ac:dyDescent="0.25">
      <c r="A63" s="54" t="s">
        <v>145</v>
      </c>
      <c r="B63" s="54" t="s">
        <v>146</v>
      </c>
      <c r="C63" s="31">
        <v>4301011386</v>
      </c>
      <c r="D63" s="619">
        <v>4680115880283</v>
      </c>
      <c r="E63" s="62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133</v>
      </c>
      <c r="L63" s="32"/>
      <c r="M63" s="33" t="s">
        <v>125</v>
      </c>
      <c r="N63" s="33"/>
      <c r="O63" s="32">
        <v>45</v>
      </c>
      <c r="P63" s="65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12"/>
      <c r="R63" s="612"/>
      <c r="S63" s="612"/>
      <c r="T63" s="613"/>
      <c r="U63" s="34"/>
      <c r="V63" s="34"/>
      <c r="W63" s="35" t="s">
        <v>67</v>
      </c>
      <c r="X63" s="605">
        <v>0</v>
      </c>
      <c r="Y63" s="606">
        <f t="shared" si="6"/>
        <v>0</v>
      </c>
      <c r="Z63" s="36" t="str">
        <f>IFERROR(IF(Y63=0,"",ROUNDUP(Y63/H63,0)*0.00902),"")</f>
        <v/>
      </c>
      <c r="AA63" s="56"/>
      <c r="AB63" s="57"/>
      <c r="AC63" s="111" t="s">
        <v>147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hidden="1" customHeight="1" x14ac:dyDescent="0.25">
      <c r="A64" s="54" t="s">
        <v>148</v>
      </c>
      <c r="B64" s="54" t="s">
        <v>149</v>
      </c>
      <c r="C64" s="31">
        <v>4301011806</v>
      </c>
      <c r="D64" s="619">
        <v>4680115881525</v>
      </c>
      <c r="E64" s="62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133</v>
      </c>
      <c r="L64" s="32"/>
      <c r="M64" s="33" t="s">
        <v>125</v>
      </c>
      <c r="N64" s="33"/>
      <c r="O64" s="32">
        <v>50</v>
      </c>
      <c r="P64" s="9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0</v>
      </c>
      <c r="Y64" s="606">
        <f t="shared" si="6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19">
        <v>4680115885899</v>
      </c>
      <c r="E65" s="62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125</v>
      </c>
      <c r="N65" s="33"/>
      <c r="O65" s="32">
        <v>50</v>
      </c>
      <c r="P65" s="90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6"/>
        <v>0</v>
      </c>
      <c r="Z65" s="36" t="str">
        <f>IFERROR(IF(Y65=0,"",ROUNDUP(Y65/H65,0)*0.00651),"")</f>
        <v/>
      </c>
      <c r="AA65" s="56"/>
      <c r="AB65" s="57"/>
      <c r="AC65" s="115" t="s">
        <v>141</v>
      </c>
      <c r="AG65" s="64"/>
      <c r="AJ65" s="68"/>
      <c r="AK65" s="68">
        <v>0</v>
      </c>
      <c r="BB65" s="116" t="s">
        <v>1</v>
      </c>
      <c r="BM65" s="64">
        <f t="shared" si="7"/>
        <v>0</v>
      </c>
      <c r="BN65" s="64">
        <f t="shared" si="8"/>
        <v>0</v>
      </c>
      <c r="BO65" s="64">
        <f t="shared" si="9"/>
        <v>0</v>
      </c>
      <c r="BP65" s="64">
        <f t="shared" si="10"/>
        <v>0</v>
      </c>
    </row>
    <row r="66" spans="1:68" ht="37.5" hidden="1" customHeight="1" x14ac:dyDescent="0.25">
      <c r="A66" s="54" t="s">
        <v>153</v>
      </c>
      <c r="B66" s="54" t="s">
        <v>154</v>
      </c>
      <c r="C66" s="31">
        <v>4301011801</v>
      </c>
      <c r="D66" s="619">
        <v>4680115881419</v>
      </c>
      <c r="E66" s="62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133</v>
      </c>
      <c r="L66" s="32"/>
      <c r="M66" s="33" t="s">
        <v>125</v>
      </c>
      <c r="N66" s="33"/>
      <c r="O66" s="32">
        <v>50</v>
      </c>
      <c r="P66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0</v>
      </c>
      <c r="Y66" s="606">
        <f t="shared" si="6"/>
        <v>0</v>
      </c>
      <c r="Z66" s="36" t="str">
        <f>IFERROR(IF(Y66=0,"",ROUNDUP(Y66/H66,0)*0.00902),"")</f>
        <v/>
      </c>
      <c r="AA66" s="56"/>
      <c r="AB66" s="57"/>
      <c r="AC66" s="117" t="s">
        <v>155</v>
      </c>
      <c r="AG66" s="64"/>
      <c r="AJ66" s="68"/>
      <c r="AK66" s="68">
        <v>0</v>
      </c>
      <c r="BB66" s="118" t="s">
        <v>1</v>
      </c>
      <c r="BM66" s="64">
        <f t="shared" si="7"/>
        <v>0</v>
      </c>
      <c r="BN66" s="64">
        <f t="shared" si="8"/>
        <v>0</v>
      </c>
      <c r="BO66" s="64">
        <f t="shared" si="9"/>
        <v>0</v>
      </c>
      <c r="BP66" s="64">
        <f t="shared" si="10"/>
        <v>0</v>
      </c>
    </row>
    <row r="67" spans="1:68" hidden="1" x14ac:dyDescent="0.2">
      <c r="A67" s="616"/>
      <c r="B67" s="610"/>
      <c r="C67" s="610"/>
      <c r="D67" s="610"/>
      <c r="E67" s="610"/>
      <c r="F67" s="610"/>
      <c r="G67" s="610"/>
      <c r="H67" s="610"/>
      <c r="I67" s="610"/>
      <c r="J67" s="610"/>
      <c r="K67" s="610"/>
      <c r="L67" s="610"/>
      <c r="M67" s="610"/>
      <c r="N67" s="610"/>
      <c r="O67" s="617"/>
      <c r="P67" s="621" t="s">
        <v>72</v>
      </c>
      <c r="Q67" s="622"/>
      <c r="R67" s="622"/>
      <c r="S67" s="622"/>
      <c r="T67" s="622"/>
      <c r="U67" s="622"/>
      <c r="V67" s="623"/>
      <c r="W67" s="37" t="s">
        <v>73</v>
      </c>
      <c r="X67" s="607">
        <f>IFERROR(X60/H60,"0")+IFERROR(X61/H61,"0")+IFERROR(X62/H62,"0")+IFERROR(X63/H63,"0")+IFERROR(X64/H64,"0")+IFERROR(X65/H65,"0")+IFERROR(X66/H66,"0")</f>
        <v>0</v>
      </c>
      <c r="Y67" s="607">
        <f>IFERROR(Y60/H60,"0")+IFERROR(Y61/H61,"0")+IFERROR(Y62/H62,"0")+IFERROR(Y63/H63,"0")+IFERROR(Y64/H64,"0")+IFERROR(Y65/H65,"0")+IFERROR(Y66/H66,"0")</f>
        <v>0</v>
      </c>
      <c r="Z67" s="607">
        <f>IFERROR(IF(Z60="",0,Z60),"0")+IFERROR(IF(Z61="",0,Z61),"0")+IFERROR(IF(Z62="",0,Z62),"0")+IFERROR(IF(Z63="",0,Z63),"0")+IFERROR(IF(Z64="",0,Z64),"0")+IFERROR(IF(Z65="",0,Z65),"0")+IFERROR(IF(Z66="",0,Z66),"0")</f>
        <v>0</v>
      </c>
      <c r="AA67" s="608"/>
      <c r="AB67" s="608"/>
      <c r="AC67" s="608"/>
    </row>
    <row r="68" spans="1:68" hidden="1" x14ac:dyDescent="0.2">
      <c r="A68" s="610"/>
      <c r="B68" s="610"/>
      <c r="C68" s="610"/>
      <c r="D68" s="610"/>
      <c r="E68" s="610"/>
      <c r="F68" s="610"/>
      <c r="G68" s="610"/>
      <c r="H68" s="610"/>
      <c r="I68" s="610"/>
      <c r="J68" s="610"/>
      <c r="K68" s="610"/>
      <c r="L68" s="610"/>
      <c r="M68" s="610"/>
      <c r="N68" s="610"/>
      <c r="O68" s="617"/>
      <c r="P68" s="621" t="s">
        <v>72</v>
      </c>
      <c r="Q68" s="622"/>
      <c r="R68" s="622"/>
      <c r="S68" s="622"/>
      <c r="T68" s="622"/>
      <c r="U68" s="622"/>
      <c r="V68" s="623"/>
      <c r="W68" s="37" t="s">
        <v>67</v>
      </c>
      <c r="X68" s="607">
        <f>IFERROR(SUM(X60:X66),"0")</f>
        <v>0</v>
      </c>
      <c r="Y68" s="607">
        <f>IFERROR(SUM(Y60:Y66),"0")</f>
        <v>0</v>
      </c>
      <c r="Z68" s="37"/>
      <c r="AA68" s="608"/>
      <c r="AB68" s="608"/>
      <c r="AC68" s="608"/>
    </row>
    <row r="69" spans="1:68" ht="14.25" hidden="1" customHeight="1" x14ac:dyDescent="0.25">
      <c r="A69" s="609" t="s">
        <v>156</v>
      </c>
      <c r="B69" s="610"/>
      <c r="C69" s="610"/>
      <c r="D69" s="610"/>
      <c r="E69" s="610"/>
      <c r="F69" s="610"/>
      <c r="G69" s="610"/>
      <c r="H69" s="610"/>
      <c r="I69" s="610"/>
      <c r="J69" s="610"/>
      <c r="K69" s="610"/>
      <c r="L69" s="610"/>
      <c r="M69" s="610"/>
      <c r="N69" s="610"/>
      <c r="O69" s="610"/>
      <c r="P69" s="610"/>
      <c r="Q69" s="610"/>
      <c r="R69" s="610"/>
      <c r="S69" s="610"/>
      <c r="T69" s="610"/>
      <c r="U69" s="610"/>
      <c r="V69" s="610"/>
      <c r="W69" s="610"/>
      <c r="X69" s="610"/>
      <c r="Y69" s="610"/>
      <c r="Z69" s="610"/>
      <c r="AA69" s="601"/>
      <c r="AB69" s="601"/>
      <c r="AC69" s="601"/>
    </row>
    <row r="70" spans="1:68" ht="16.5" hidden="1" customHeight="1" x14ac:dyDescent="0.25">
      <c r="A70" s="54" t="s">
        <v>157</v>
      </c>
      <c r="B70" s="54" t="s">
        <v>158</v>
      </c>
      <c r="C70" s="31">
        <v>4301020298</v>
      </c>
      <c r="D70" s="619">
        <v>4680115881440</v>
      </c>
      <c r="E70" s="62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124</v>
      </c>
      <c r="L70" s="32"/>
      <c r="M70" s="33" t="s">
        <v>125</v>
      </c>
      <c r="N70" s="33"/>
      <c r="O70" s="32">
        <v>50</v>
      </c>
      <c r="P70" s="90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0</v>
      </c>
      <c r="Y70" s="60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159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160</v>
      </c>
      <c r="B71" s="54" t="s">
        <v>161</v>
      </c>
      <c r="C71" s="31">
        <v>4301020358</v>
      </c>
      <c r="D71" s="619">
        <v>4680115885950</v>
      </c>
      <c r="E71" s="62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159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19">
        <v>4680115887688</v>
      </c>
      <c r="E72" s="62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129</v>
      </c>
      <c r="L72" s="32"/>
      <c r="M72" s="33" t="s">
        <v>66</v>
      </c>
      <c r="N72" s="33"/>
      <c r="O72" s="32">
        <v>30</v>
      </c>
      <c r="P72" s="92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4301020296</v>
      </c>
      <c r="D73" s="619">
        <v>4680115881433</v>
      </c>
      <c r="E73" s="62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125</v>
      </c>
      <c r="N73" s="33"/>
      <c r="O73" s="32">
        <v>50</v>
      </c>
      <c r="P73" s="6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159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16"/>
      <c r="B74" s="610"/>
      <c r="C74" s="610"/>
      <c r="D74" s="610"/>
      <c r="E74" s="610"/>
      <c r="F74" s="610"/>
      <c r="G74" s="610"/>
      <c r="H74" s="610"/>
      <c r="I74" s="610"/>
      <c r="J74" s="610"/>
      <c r="K74" s="610"/>
      <c r="L74" s="610"/>
      <c r="M74" s="610"/>
      <c r="N74" s="610"/>
      <c r="O74" s="617"/>
      <c r="P74" s="621" t="s">
        <v>72</v>
      </c>
      <c r="Q74" s="622"/>
      <c r="R74" s="622"/>
      <c r="S74" s="622"/>
      <c r="T74" s="622"/>
      <c r="U74" s="622"/>
      <c r="V74" s="623"/>
      <c r="W74" s="37" t="s">
        <v>73</v>
      </c>
      <c r="X74" s="607">
        <f>IFERROR(X70/H70,"0")+IFERROR(X71/H71,"0")+IFERROR(X72/H72,"0")+IFERROR(X73/H73,"0")</f>
        <v>0</v>
      </c>
      <c r="Y74" s="607">
        <f>IFERROR(Y70/H70,"0")+IFERROR(Y71/H71,"0")+IFERROR(Y72/H72,"0")+IFERROR(Y73/H73,"0")</f>
        <v>0</v>
      </c>
      <c r="Z74" s="607">
        <f>IFERROR(IF(Z70="",0,Z70),"0")+IFERROR(IF(Z71="",0,Z71),"0")+IFERROR(IF(Z72="",0,Z72),"0")+IFERROR(IF(Z73="",0,Z73),"0")</f>
        <v>0</v>
      </c>
      <c r="AA74" s="608"/>
      <c r="AB74" s="608"/>
      <c r="AC74" s="608"/>
    </row>
    <row r="75" spans="1:68" hidden="1" x14ac:dyDescent="0.2">
      <c r="A75" s="610"/>
      <c r="B75" s="610"/>
      <c r="C75" s="610"/>
      <c r="D75" s="610"/>
      <c r="E75" s="610"/>
      <c r="F75" s="610"/>
      <c r="G75" s="610"/>
      <c r="H75" s="610"/>
      <c r="I75" s="610"/>
      <c r="J75" s="610"/>
      <c r="K75" s="610"/>
      <c r="L75" s="610"/>
      <c r="M75" s="610"/>
      <c r="N75" s="610"/>
      <c r="O75" s="617"/>
      <c r="P75" s="621" t="s">
        <v>72</v>
      </c>
      <c r="Q75" s="622"/>
      <c r="R75" s="622"/>
      <c r="S75" s="622"/>
      <c r="T75" s="622"/>
      <c r="U75" s="622"/>
      <c r="V75" s="623"/>
      <c r="W75" s="37" t="s">
        <v>67</v>
      </c>
      <c r="X75" s="607">
        <f>IFERROR(SUM(X70:X73),"0")</f>
        <v>0</v>
      </c>
      <c r="Y75" s="607">
        <f>IFERROR(SUM(Y70:Y73),"0")</f>
        <v>0</v>
      </c>
      <c r="Z75" s="37"/>
      <c r="AA75" s="608"/>
      <c r="AB75" s="608"/>
      <c r="AC75" s="608"/>
    </row>
    <row r="76" spans="1:68" ht="14.25" hidden="1" customHeight="1" x14ac:dyDescent="0.25">
      <c r="A76" s="609" t="s">
        <v>74</v>
      </c>
      <c r="B76" s="610"/>
      <c r="C76" s="610"/>
      <c r="D76" s="610"/>
      <c r="E76" s="610"/>
      <c r="F76" s="610"/>
      <c r="G76" s="610"/>
      <c r="H76" s="610"/>
      <c r="I76" s="610"/>
      <c r="J76" s="610"/>
      <c r="K76" s="610"/>
      <c r="L76" s="610"/>
      <c r="M76" s="610"/>
      <c r="N76" s="610"/>
      <c r="O76" s="610"/>
      <c r="P76" s="610"/>
      <c r="Q76" s="610"/>
      <c r="R76" s="610"/>
      <c r="S76" s="610"/>
      <c r="T76" s="610"/>
      <c r="U76" s="610"/>
      <c r="V76" s="610"/>
      <c r="W76" s="610"/>
      <c r="X76" s="610"/>
      <c r="Y76" s="610"/>
      <c r="Z76" s="610"/>
      <c r="AA76" s="601"/>
      <c r="AB76" s="601"/>
      <c r="AC76" s="60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19">
        <v>4680115884311</v>
      </c>
      <c r="E77" s="62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4301051929</v>
      </c>
      <c r="D78" s="619">
        <v>4680115884403</v>
      </c>
      <c r="E78" s="62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16"/>
      <c r="B79" s="610"/>
      <c r="C79" s="610"/>
      <c r="D79" s="610"/>
      <c r="E79" s="610"/>
      <c r="F79" s="610"/>
      <c r="G79" s="610"/>
      <c r="H79" s="610"/>
      <c r="I79" s="610"/>
      <c r="J79" s="610"/>
      <c r="K79" s="610"/>
      <c r="L79" s="610"/>
      <c r="M79" s="610"/>
      <c r="N79" s="610"/>
      <c r="O79" s="617"/>
      <c r="P79" s="621" t="s">
        <v>72</v>
      </c>
      <c r="Q79" s="622"/>
      <c r="R79" s="622"/>
      <c r="S79" s="622"/>
      <c r="T79" s="622"/>
      <c r="U79" s="622"/>
      <c r="V79" s="623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hidden="1" x14ac:dyDescent="0.2">
      <c r="A80" s="610"/>
      <c r="B80" s="610"/>
      <c r="C80" s="610"/>
      <c r="D80" s="610"/>
      <c r="E80" s="610"/>
      <c r="F80" s="610"/>
      <c r="G80" s="610"/>
      <c r="H80" s="610"/>
      <c r="I80" s="610"/>
      <c r="J80" s="610"/>
      <c r="K80" s="610"/>
      <c r="L80" s="610"/>
      <c r="M80" s="610"/>
      <c r="N80" s="610"/>
      <c r="O80" s="617"/>
      <c r="P80" s="621" t="s">
        <v>72</v>
      </c>
      <c r="Q80" s="622"/>
      <c r="R80" s="622"/>
      <c r="S80" s="622"/>
      <c r="T80" s="622"/>
      <c r="U80" s="622"/>
      <c r="V80" s="623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hidden="1" customHeight="1" x14ac:dyDescent="0.25">
      <c r="A81" s="609" t="s">
        <v>173</v>
      </c>
      <c r="B81" s="610"/>
      <c r="C81" s="610"/>
      <c r="D81" s="610"/>
      <c r="E81" s="610"/>
      <c r="F81" s="610"/>
      <c r="G81" s="610"/>
      <c r="H81" s="610"/>
      <c r="I81" s="610"/>
      <c r="J81" s="610"/>
      <c r="K81" s="610"/>
      <c r="L81" s="610"/>
      <c r="M81" s="610"/>
      <c r="N81" s="610"/>
      <c r="O81" s="610"/>
      <c r="P81" s="610"/>
      <c r="Q81" s="610"/>
      <c r="R81" s="610"/>
      <c r="S81" s="610"/>
      <c r="T81" s="610"/>
      <c r="U81" s="610"/>
      <c r="V81" s="610"/>
      <c r="W81" s="610"/>
      <c r="X81" s="610"/>
      <c r="Y81" s="610"/>
      <c r="Z81" s="610"/>
      <c r="AA81" s="601"/>
      <c r="AB81" s="601"/>
      <c r="AC81" s="601"/>
    </row>
    <row r="82" spans="1:68" ht="27" hidden="1" customHeight="1" x14ac:dyDescent="0.25">
      <c r="A82" s="54" t="s">
        <v>174</v>
      </c>
      <c r="B82" s="54" t="s">
        <v>175</v>
      </c>
      <c r="C82" s="31">
        <v>4301060455</v>
      </c>
      <c r="D82" s="619">
        <v>4680115881532</v>
      </c>
      <c r="E82" s="62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124</v>
      </c>
      <c r="L82" s="32"/>
      <c r="M82" s="33" t="s">
        <v>84</v>
      </c>
      <c r="N82" s="33"/>
      <c r="O82" s="32">
        <v>30</v>
      </c>
      <c r="P82" s="92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0</v>
      </c>
      <c r="Y82" s="60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177</v>
      </c>
      <c r="B83" s="54" t="s">
        <v>178</v>
      </c>
      <c r="C83" s="31">
        <v>4301060351</v>
      </c>
      <c r="D83" s="619">
        <v>4680115881464</v>
      </c>
      <c r="E83" s="62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133</v>
      </c>
      <c r="L83" s="32"/>
      <c r="M83" s="33" t="s">
        <v>78</v>
      </c>
      <c r="N83" s="33"/>
      <c r="O83" s="32">
        <v>30</v>
      </c>
      <c r="P83" s="9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179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16"/>
      <c r="B84" s="610"/>
      <c r="C84" s="610"/>
      <c r="D84" s="610"/>
      <c r="E84" s="610"/>
      <c r="F84" s="610"/>
      <c r="G84" s="610"/>
      <c r="H84" s="610"/>
      <c r="I84" s="610"/>
      <c r="J84" s="610"/>
      <c r="K84" s="610"/>
      <c r="L84" s="610"/>
      <c r="M84" s="610"/>
      <c r="N84" s="610"/>
      <c r="O84" s="617"/>
      <c r="P84" s="621" t="s">
        <v>72</v>
      </c>
      <c r="Q84" s="622"/>
      <c r="R84" s="622"/>
      <c r="S84" s="622"/>
      <c r="T84" s="622"/>
      <c r="U84" s="622"/>
      <c r="V84" s="623"/>
      <c r="W84" s="37" t="s">
        <v>73</v>
      </c>
      <c r="X84" s="607">
        <f>IFERROR(X82/H82,"0")+IFERROR(X83/H83,"0")</f>
        <v>0</v>
      </c>
      <c r="Y84" s="607">
        <f>IFERROR(Y82/H82,"0")+IFERROR(Y83/H83,"0")</f>
        <v>0</v>
      </c>
      <c r="Z84" s="607">
        <f>IFERROR(IF(Z82="",0,Z82),"0")+IFERROR(IF(Z83="",0,Z83),"0")</f>
        <v>0</v>
      </c>
      <c r="AA84" s="608"/>
      <c r="AB84" s="608"/>
      <c r="AC84" s="608"/>
    </row>
    <row r="85" spans="1:68" hidden="1" x14ac:dyDescent="0.2">
      <c r="A85" s="610"/>
      <c r="B85" s="610"/>
      <c r="C85" s="610"/>
      <c r="D85" s="610"/>
      <c r="E85" s="610"/>
      <c r="F85" s="610"/>
      <c r="G85" s="610"/>
      <c r="H85" s="610"/>
      <c r="I85" s="610"/>
      <c r="J85" s="610"/>
      <c r="K85" s="610"/>
      <c r="L85" s="610"/>
      <c r="M85" s="610"/>
      <c r="N85" s="610"/>
      <c r="O85" s="617"/>
      <c r="P85" s="621" t="s">
        <v>72</v>
      </c>
      <c r="Q85" s="622"/>
      <c r="R85" s="622"/>
      <c r="S85" s="622"/>
      <c r="T85" s="622"/>
      <c r="U85" s="622"/>
      <c r="V85" s="623"/>
      <c r="W85" s="37" t="s">
        <v>67</v>
      </c>
      <c r="X85" s="607">
        <f>IFERROR(SUM(X82:X83),"0")</f>
        <v>0</v>
      </c>
      <c r="Y85" s="607">
        <f>IFERROR(SUM(Y82:Y83),"0")</f>
        <v>0</v>
      </c>
      <c r="Z85" s="37"/>
      <c r="AA85" s="608"/>
      <c r="AB85" s="608"/>
      <c r="AC85" s="608"/>
    </row>
    <row r="86" spans="1:68" ht="16.5" hidden="1" customHeight="1" x14ac:dyDescent="0.25">
      <c r="A86" s="647" t="s">
        <v>180</v>
      </c>
      <c r="B86" s="610"/>
      <c r="C86" s="610"/>
      <c r="D86" s="610"/>
      <c r="E86" s="610"/>
      <c r="F86" s="610"/>
      <c r="G86" s="610"/>
      <c r="H86" s="610"/>
      <c r="I86" s="610"/>
      <c r="J86" s="610"/>
      <c r="K86" s="610"/>
      <c r="L86" s="610"/>
      <c r="M86" s="610"/>
      <c r="N86" s="610"/>
      <c r="O86" s="610"/>
      <c r="P86" s="610"/>
      <c r="Q86" s="610"/>
      <c r="R86" s="610"/>
      <c r="S86" s="610"/>
      <c r="T86" s="610"/>
      <c r="U86" s="610"/>
      <c r="V86" s="610"/>
      <c r="W86" s="610"/>
      <c r="X86" s="610"/>
      <c r="Y86" s="610"/>
      <c r="Z86" s="610"/>
      <c r="AA86" s="600"/>
      <c r="AB86" s="600"/>
      <c r="AC86" s="600"/>
    </row>
    <row r="87" spans="1:68" ht="14.25" hidden="1" customHeight="1" x14ac:dyDescent="0.25">
      <c r="A87" s="609" t="s">
        <v>121</v>
      </c>
      <c r="B87" s="610"/>
      <c r="C87" s="610"/>
      <c r="D87" s="610"/>
      <c r="E87" s="610"/>
      <c r="F87" s="610"/>
      <c r="G87" s="610"/>
      <c r="H87" s="610"/>
      <c r="I87" s="610"/>
      <c r="J87" s="610"/>
      <c r="K87" s="610"/>
      <c r="L87" s="610"/>
      <c r="M87" s="610"/>
      <c r="N87" s="610"/>
      <c r="O87" s="610"/>
      <c r="P87" s="610"/>
      <c r="Q87" s="610"/>
      <c r="R87" s="610"/>
      <c r="S87" s="610"/>
      <c r="T87" s="610"/>
      <c r="U87" s="610"/>
      <c r="V87" s="610"/>
      <c r="W87" s="610"/>
      <c r="X87" s="610"/>
      <c r="Y87" s="610"/>
      <c r="Z87" s="610"/>
      <c r="AA87" s="601"/>
      <c r="AB87" s="601"/>
      <c r="AC87" s="601"/>
    </row>
    <row r="88" spans="1:68" ht="27" hidden="1" customHeight="1" x14ac:dyDescent="0.25">
      <c r="A88" s="54" t="s">
        <v>181</v>
      </c>
      <c r="B88" s="54" t="s">
        <v>182</v>
      </c>
      <c r="C88" s="31">
        <v>4301011468</v>
      </c>
      <c r="D88" s="619">
        <v>4680115881327</v>
      </c>
      <c r="E88" s="62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124</v>
      </c>
      <c r="L88" s="32"/>
      <c r="M88" s="33" t="s">
        <v>84</v>
      </c>
      <c r="N88" s="33"/>
      <c r="O88" s="32">
        <v>50</v>
      </c>
      <c r="P88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0</v>
      </c>
      <c r="Y88" s="60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183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4301011261</v>
      </c>
      <c r="D89" s="619">
        <v>4680115887732</v>
      </c>
      <c r="E89" s="62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129</v>
      </c>
      <c r="L89" s="32"/>
      <c r="M89" s="33" t="s">
        <v>66</v>
      </c>
      <c r="N89" s="33"/>
      <c r="O89" s="32">
        <v>30</v>
      </c>
      <c r="P89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186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187</v>
      </c>
      <c r="B90" s="54" t="s">
        <v>188</v>
      </c>
      <c r="C90" s="31">
        <v>4301011476</v>
      </c>
      <c r="D90" s="619">
        <v>4680115881518</v>
      </c>
      <c r="E90" s="62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133</v>
      </c>
      <c r="L90" s="32"/>
      <c r="M90" s="33" t="s">
        <v>78</v>
      </c>
      <c r="N90" s="33"/>
      <c r="O90" s="32">
        <v>50</v>
      </c>
      <c r="P90" s="8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189</v>
      </c>
      <c r="B91" s="54" t="s">
        <v>190</v>
      </c>
      <c r="C91" s="31">
        <v>4301011443</v>
      </c>
      <c r="D91" s="619">
        <v>4680115881303</v>
      </c>
      <c r="E91" s="62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133</v>
      </c>
      <c r="L91" s="32"/>
      <c r="M91" s="33" t="s">
        <v>84</v>
      </c>
      <c r="N91" s="33"/>
      <c r="O91" s="32">
        <v>50</v>
      </c>
      <c r="P91" s="81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0</v>
      </c>
      <c r="Y91" s="60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183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16"/>
      <c r="B92" s="610"/>
      <c r="C92" s="610"/>
      <c r="D92" s="610"/>
      <c r="E92" s="610"/>
      <c r="F92" s="610"/>
      <c r="G92" s="610"/>
      <c r="H92" s="610"/>
      <c r="I92" s="610"/>
      <c r="J92" s="610"/>
      <c r="K92" s="610"/>
      <c r="L92" s="610"/>
      <c r="M92" s="610"/>
      <c r="N92" s="610"/>
      <c r="O92" s="617"/>
      <c r="P92" s="621" t="s">
        <v>72</v>
      </c>
      <c r="Q92" s="622"/>
      <c r="R92" s="622"/>
      <c r="S92" s="622"/>
      <c r="T92" s="622"/>
      <c r="U92" s="622"/>
      <c r="V92" s="623"/>
      <c r="W92" s="37" t="s">
        <v>73</v>
      </c>
      <c r="X92" s="607">
        <f>IFERROR(X88/H88,"0")+IFERROR(X89/H89,"0")+IFERROR(X90/H90,"0")+IFERROR(X91/H91,"0")</f>
        <v>0</v>
      </c>
      <c r="Y92" s="607">
        <f>IFERROR(Y88/H88,"0")+IFERROR(Y89/H89,"0")+IFERROR(Y90/H90,"0")+IFERROR(Y91/H91,"0")</f>
        <v>0</v>
      </c>
      <c r="Z92" s="607">
        <f>IFERROR(IF(Z88="",0,Z88),"0")+IFERROR(IF(Z89="",0,Z89),"0")+IFERROR(IF(Z90="",0,Z90),"0")+IFERROR(IF(Z91="",0,Z91),"0")</f>
        <v>0</v>
      </c>
      <c r="AA92" s="608"/>
      <c r="AB92" s="608"/>
      <c r="AC92" s="608"/>
    </row>
    <row r="93" spans="1:68" hidden="1" x14ac:dyDescent="0.2">
      <c r="A93" s="610"/>
      <c r="B93" s="610"/>
      <c r="C93" s="610"/>
      <c r="D93" s="610"/>
      <c r="E93" s="610"/>
      <c r="F93" s="610"/>
      <c r="G93" s="610"/>
      <c r="H93" s="610"/>
      <c r="I93" s="610"/>
      <c r="J93" s="610"/>
      <c r="K93" s="610"/>
      <c r="L93" s="610"/>
      <c r="M93" s="610"/>
      <c r="N93" s="610"/>
      <c r="O93" s="617"/>
      <c r="P93" s="621" t="s">
        <v>72</v>
      </c>
      <c r="Q93" s="622"/>
      <c r="R93" s="622"/>
      <c r="S93" s="622"/>
      <c r="T93" s="622"/>
      <c r="U93" s="622"/>
      <c r="V93" s="623"/>
      <c r="W93" s="37" t="s">
        <v>67</v>
      </c>
      <c r="X93" s="607">
        <f>IFERROR(SUM(X88:X91),"0")</f>
        <v>0</v>
      </c>
      <c r="Y93" s="607">
        <f>IFERROR(SUM(Y88:Y91),"0")</f>
        <v>0</v>
      </c>
      <c r="Z93" s="37"/>
      <c r="AA93" s="608"/>
      <c r="AB93" s="608"/>
      <c r="AC93" s="608"/>
    </row>
    <row r="94" spans="1:68" ht="14.25" hidden="1" customHeight="1" x14ac:dyDescent="0.25">
      <c r="A94" s="609" t="s">
        <v>74</v>
      </c>
      <c r="B94" s="610"/>
      <c r="C94" s="610"/>
      <c r="D94" s="610"/>
      <c r="E94" s="610"/>
      <c r="F94" s="610"/>
      <c r="G94" s="610"/>
      <c r="H94" s="610"/>
      <c r="I94" s="610"/>
      <c r="J94" s="610"/>
      <c r="K94" s="610"/>
      <c r="L94" s="610"/>
      <c r="M94" s="610"/>
      <c r="N94" s="610"/>
      <c r="O94" s="610"/>
      <c r="P94" s="610"/>
      <c r="Q94" s="610"/>
      <c r="R94" s="610"/>
      <c r="S94" s="610"/>
      <c r="T94" s="610"/>
      <c r="U94" s="610"/>
      <c r="V94" s="610"/>
      <c r="W94" s="610"/>
      <c r="X94" s="610"/>
      <c r="Y94" s="610"/>
      <c r="Z94" s="610"/>
      <c r="AA94" s="601"/>
      <c r="AB94" s="601"/>
      <c r="AC94" s="601"/>
    </row>
    <row r="95" spans="1:68" ht="27" customHeight="1" x14ac:dyDescent="0.25">
      <c r="A95" s="54" t="s">
        <v>191</v>
      </c>
      <c r="B95" s="54" t="s">
        <v>192</v>
      </c>
      <c r="C95" s="31">
        <v>4301051712</v>
      </c>
      <c r="D95" s="619">
        <v>4607091386967</v>
      </c>
      <c r="E95" s="62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124</v>
      </c>
      <c r="L95" s="32"/>
      <c r="M95" s="33" t="s">
        <v>84</v>
      </c>
      <c r="N95" s="33"/>
      <c r="O95" s="32">
        <v>45</v>
      </c>
      <c r="P95" s="6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250</v>
      </c>
      <c r="Y95" s="606">
        <f>IFERROR(IF(X95="",0,CEILING((X95/$H95),1)*$H95),"")</f>
        <v>251.1</v>
      </c>
      <c r="Z95" s="36">
        <f>IFERROR(IF(Y95=0,"",ROUNDUP(Y95/H95,0)*0.01898),"")</f>
        <v>0.58838000000000001</v>
      </c>
      <c r="AA95" s="56"/>
      <c r="AB95" s="57"/>
      <c r="AC95" s="143" t="s">
        <v>193</v>
      </c>
      <c r="AG95" s="64"/>
      <c r="AJ95" s="68"/>
      <c r="AK95" s="68">
        <v>0</v>
      </c>
      <c r="BB95" s="144" t="s">
        <v>1</v>
      </c>
      <c r="BM95" s="64">
        <f>IFERROR(X95*I95/H95,"0")</f>
        <v>265.24691358024694</v>
      </c>
      <c r="BN95" s="64">
        <f>IFERROR(Y95*I95/H95,"0")</f>
        <v>266.41399999999999</v>
      </c>
      <c r="BO95" s="64">
        <f>IFERROR(1/J95*(X95/H95),"0")</f>
        <v>0.48225308641975312</v>
      </c>
      <c r="BP95" s="64">
        <f>IFERROR(1/J95*(Y95/H95),"0")</f>
        <v>0.484375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19">
        <v>4680115884953</v>
      </c>
      <c r="E96" s="62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7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193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196</v>
      </c>
      <c r="B97" s="54" t="s">
        <v>197</v>
      </c>
      <c r="C97" s="31">
        <v>4301051718</v>
      </c>
      <c r="D97" s="619">
        <v>4607091385731</v>
      </c>
      <c r="E97" s="62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0</v>
      </c>
      <c r="Y97" s="60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193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198</v>
      </c>
      <c r="B98" s="54" t="s">
        <v>199</v>
      </c>
      <c r="C98" s="31">
        <v>4301052092</v>
      </c>
      <c r="D98" s="619">
        <v>4680115880894</v>
      </c>
      <c r="E98" s="62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200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16"/>
      <c r="B99" s="610"/>
      <c r="C99" s="610"/>
      <c r="D99" s="610"/>
      <c r="E99" s="610"/>
      <c r="F99" s="610"/>
      <c r="G99" s="610"/>
      <c r="H99" s="610"/>
      <c r="I99" s="610"/>
      <c r="J99" s="610"/>
      <c r="K99" s="610"/>
      <c r="L99" s="610"/>
      <c r="M99" s="610"/>
      <c r="N99" s="610"/>
      <c r="O99" s="617"/>
      <c r="P99" s="621" t="s">
        <v>72</v>
      </c>
      <c r="Q99" s="622"/>
      <c r="R99" s="622"/>
      <c r="S99" s="622"/>
      <c r="T99" s="622"/>
      <c r="U99" s="622"/>
      <c r="V99" s="623"/>
      <c r="W99" s="37" t="s">
        <v>73</v>
      </c>
      <c r="X99" s="607">
        <f>IFERROR(X95/H95,"0")+IFERROR(X96/H96,"0")+IFERROR(X97/H97,"0")+IFERROR(X98/H98,"0")</f>
        <v>30.8641975308642</v>
      </c>
      <c r="Y99" s="607">
        <f>IFERROR(Y95/H95,"0")+IFERROR(Y96/H96,"0")+IFERROR(Y97/H97,"0")+IFERROR(Y98/H98,"0")</f>
        <v>31</v>
      </c>
      <c r="Z99" s="607">
        <f>IFERROR(IF(Z95="",0,Z95),"0")+IFERROR(IF(Z96="",0,Z96),"0")+IFERROR(IF(Z97="",0,Z97),"0")+IFERROR(IF(Z98="",0,Z98),"0")</f>
        <v>0.58838000000000001</v>
      </c>
      <c r="AA99" s="608"/>
      <c r="AB99" s="608"/>
      <c r="AC99" s="608"/>
    </row>
    <row r="100" spans="1:68" x14ac:dyDescent="0.2">
      <c r="A100" s="610"/>
      <c r="B100" s="610"/>
      <c r="C100" s="610"/>
      <c r="D100" s="610"/>
      <c r="E100" s="610"/>
      <c r="F100" s="610"/>
      <c r="G100" s="610"/>
      <c r="H100" s="610"/>
      <c r="I100" s="610"/>
      <c r="J100" s="610"/>
      <c r="K100" s="610"/>
      <c r="L100" s="610"/>
      <c r="M100" s="610"/>
      <c r="N100" s="610"/>
      <c r="O100" s="617"/>
      <c r="P100" s="621" t="s">
        <v>72</v>
      </c>
      <c r="Q100" s="622"/>
      <c r="R100" s="622"/>
      <c r="S100" s="622"/>
      <c r="T100" s="622"/>
      <c r="U100" s="622"/>
      <c r="V100" s="623"/>
      <c r="W100" s="37" t="s">
        <v>67</v>
      </c>
      <c r="X100" s="607">
        <f>IFERROR(SUM(X95:X98),"0")</f>
        <v>250</v>
      </c>
      <c r="Y100" s="607">
        <f>IFERROR(SUM(Y95:Y98),"0")</f>
        <v>251.1</v>
      </c>
      <c r="Z100" s="37"/>
      <c r="AA100" s="608"/>
      <c r="AB100" s="608"/>
      <c r="AC100" s="608"/>
    </row>
    <row r="101" spans="1:68" ht="16.5" hidden="1" customHeight="1" x14ac:dyDescent="0.25">
      <c r="A101" s="647" t="s">
        <v>201</v>
      </c>
      <c r="B101" s="610"/>
      <c r="C101" s="610"/>
      <c r="D101" s="610"/>
      <c r="E101" s="610"/>
      <c r="F101" s="610"/>
      <c r="G101" s="610"/>
      <c r="H101" s="610"/>
      <c r="I101" s="610"/>
      <c r="J101" s="610"/>
      <c r="K101" s="610"/>
      <c r="L101" s="610"/>
      <c r="M101" s="610"/>
      <c r="N101" s="610"/>
      <c r="O101" s="610"/>
      <c r="P101" s="610"/>
      <c r="Q101" s="610"/>
      <c r="R101" s="610"/>
      <c r="S101" s="610"/>
      <c r="T101" s="610"/>
      <c r="U101" s="610"/>
      <c r="V101" s="610"/>
      <c r="W101" s="610"/>
      <c r="X101" s="610"/>
      <c r="Y101" s="610"/>
      <c r="Z101" s="610"/>
      <c r="AA101" s="600"/>
      <c r="AB101" s="600"/>
      <c r="AC101" s="600"/>
    </row>
    <row r="102" spans="1:68" ht="14.25" hidden="1" customHeight="1" x14ac:dyDescent="0.25">
      <c r="A102" s="609" t="s">
        <v>121</v>
      </c>
      <c r="B102" s="610"/>
      <c r="C102" s="610"/>
      <c r="D102" s="610"/>
      <c r="E102" s="610"/>
      <c r="F102" s="610"/>
      <c r="G102" s="610"/>
      <c r="H102" s="610"/>
      <c r="I102" s="610"/>
      <c r="J102" s="610"/>
      <c r="K102" s="610"/>
      <c r="L102" s="610"/>
      <c r="M102" s="610"/>
      <c r="N102" s="610"/>
      <c r="O102" s="610"/>
      <c r="P102" s="610"/>
      <c r="Q102" s="610"/>
      <c r="R102" s="610"/>
      <c r="S102" s="610"/>
      <c r="T102" s="610"/>
      <c r="U102" s="610"/>
      <c r="V102" s="610"/>
      <c r="W102" s="610"/>
      <c r="X102" s="610"/>
      <c r="Y102" s="610"/>
      <c r="Z102" s="610"/>
      <c r="AA102" s="601"/>
      <c r="AB102" s="601"/>
      <c r="AC102" s="601"/>
    </row>
    <row r="103" spans="1:68" ht="37.5" hidden="1" customHeight="1" x14ac:dyDescent="0.25">
      <c r="A103" s="54" t="s">
        <v>202</v>
      </c>
      <c r="B103" s="54" t="s">
        <v>203</v>
      </c>
      <c r="C103" s="31">
        <v>4301011514</v>
      </c>
      <c r="D103" s="619">
        <v>4680115882133</v>
      </c>
      <c r="E103" s="62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124</v>
      </c>
      <c r="L103" s="32"/>
      <c r="M103" s="33" t="s">
        <v>125</v>
      </c>
      <c r="N103" s="33"/>
      <c r="O103" s="32">
        <v>50</v>
      </c>
      <c r="P103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0</v>
      </c>
      <c r="Y103" s="606">
        <f t="shared" ref="Y103:Y109" si="11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204</v>
      </c>
      <c r="AG103" s="64"/>
      <c r="AJ103" s="68"/>
      <c r="AK103" s="68">
        <v>0</v>
      </c>
      <c r="BB103" s="152" t="s">
        <v>1</v>
      </c>
      <c r="BM103" s="64">
        <f t="shared" ref="BM103:BM109" si="12">IFERROR(X103*I103/H103,"0")</f>
        <v>0</v>
      </c>
      <c r="BN103" s="64">
        <f t="shared" ref="BN103:BN109" si="13">IFERROR(Y103*I103/H103,"0")</f>
        <v>0</v>
      </c>
      <c r="BO103" s="64">
        <f t="shared" ref="BO103:BO109" si="14">IFERROR(1/J103*(X103/H103),"0")</f>
        <v>0</v>
      </c>
      <c r="BP103" s="64">
        <f t="shared" ref="BP103:BP109" si="15">IFERROR(1/J103*(Y103/H103),"0")</f>
        <v>0</v>
      </c>
    </row>
    <row r="104" spans="1:68" ht="27" hidden="1" customHeight="1" x14ac:dyDescent="0.25">
      <c r="A104" s="54" t="s">
        <v>205</v>
      </c>
      <c r="B104" s="54" t="s">
        <v>206</v>
      </c>
      <c r="C104" s="31">
        <v>4301012051</v>
      </c>
      <c r="D104" s="619">
        <v>4680115887718</v>
      </c>
      <c r="E104" s="62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129</v>
      </c>
      <c r="L104" s="32"/>
      <c r="M104" s="33" t="s">
        <v>66</v>
      </c>
      <c r="N104" s="33"/>
      <c r="O104" s="32">
        <v>30</v>
      </c>
      <c r="P104" s="64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0</v>
      </c>
      <c r="Y104" s="606">
        <f t="shared" si="11"/>
        <v>0</v>
      </c>
      <c r="Z104" s="36" t="str">
        <f>IFERROR(IF(Y104=0,"",ROUNDUP(Y104/H104,0)*0.00726),"")</f>
        <v/>
      </c>
      <c r="AA104" s="56"/>
      <c r="AB104" s="57"/>
      <c r="AC104" s="153" t="s">
        <v>207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hidden="1" customHeight="1" x14ac:dyDescent="0.25">
      <c r="A105" s="54" t="s">
        <v>205</v>
      </c>
      <c r="B105" s="54" t="s">
        <v>208</v>
      </c>
      <c r="C105" s="31">
        <v>4301012334</v>
      </c>
      <c r="D105" s="619">
        <v>4680115887718</v>
      </c>
      <c r="E105" s="62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129</v>
      </c>
      <c r="L105" s="32"/>
      <c r="M105" s="33" t="s">
        <v>66</v>
      </c>
      <c r="N105" s="33"/>
      <c r="O105" s="32">
        <v>30</v>
      </c>
      <c r="P105" s="8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11"/>
        <v>0</v>
      </c>
      <c r="Z105" s="36" t="str">
        <f>IFERROR(IF(Y105=0,"",ROUNDUP(Y105/H105,0)*0.00726),"")</f>
        <v/>
      </c>
      <c r="AA105" s="56"/>
      <c r="AB105" s="57"/>
      <c r="AC105" s="155" t="s">
        <v>207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27" hidden="1" customHeight="1" x14ac:dyDescent="0.25">
      <c r="A106" s="54" t="s">
        <v>209</v>
      </c>
      <c r="B106" s="54" t="s">
        <v>210</v>
      </c>
      <c r="C106" s="31">
        <v>4301012226</v>
      </c>
      <c r="D106" s="619">
        <v>4680115887749</v>
      </c>
      <c r="E106" s="620"/>
      <c r="F106" s="604">
        <v>0.17</v>
      </c>
      <c r="G106" s="32">
        <v>10</v>
      </c>
      <c r="H106" s="604">
        <v>1.7</v>
      </c>
      <c r="I106" s="604">
        <v>1.91</v>
      </c>
      <c r="J106" s="32">
        <v>192</v>
      </c>
      <c r="K106" s="32" t="s">
        <v>129</v>
      </c>
      <c r="L106" s="32"/>
      <c r="M106" s="33" t="s">
        <v>66</v>
      </c>
      <c r="N106" s="33"/>
      <c r="O106" s="32">
        <v>30</v>
      </c>
      <c r="P106" s="857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0</v>
      </c>
      <c r="Y106" s="606">
        <f t="shared" si="11"/>
        <v>0</v>
      </c>
      <c r="Z106" s="36" t="str">
        <f>IFERROR(IF(Y106=0,"",ROUNDUP(Y106/H106,0)*0.00726),"")</f>
        <v/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hidden="1" customHeight="1" x14ac:dyDescent="0.25">
      <c r="A107" s="54" t="s">
        <v>211</v>
      </c>
      <c r="B107" s="54" t="s">
        <v>212</v>
      </c>
      <c r="C107" s="31">
        <v>4301011417</v>
      </c>
      <c r="D107" s="619">
        <v>4680115880269</v>
      </c>
      <c r="E107" s="620"/>
      <c r="F107" s="604">
        <v>0.375</v>
      </c>
      <c r="G107" s="32">
        <v>10</v>
      </c>
      <c r="H107" s="604">
        <v>3.75</v>
      </c>
      <c r="I107" s="604">
        <v>3.94</v>
      </c>
      <c r="J107" s="32">
        <v>132</v>
      </c>
      <c r="K107" s="32" t="s">
        <v>133</v>
      </c>
      <c r="L107" s="32"/>
      <c r="M107" s="33" t="s">
        <v>78</v>
      </c>
      <c r="N107" s="33"/>
      <c r="O107" s="32">
        <v>50</v>
      </c>
      <c r="P107" s="88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0</v>
      </c>
      <c r="Y107" s="606">
        <f t="shared" si="11"/>
        <v>0</v>
      </c>
      <c r="Z107" s="36" t="str">
        <f>IFERROR(IF(Y107=0,"",ROUNDUP(Y107/H107,0)*0.00902),"")</f>
        <v/>
      </c>
      <c r="AA107" s="56"/>
      <c r="AB107" s="57"/>
      <c r="AC107" s="159" t="s">
        <v>204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37.5" hidden="1" customHeight="1" x14ac:dyDescent="0.25">
      <c r="A108" s="54" t="s">
        <v>213</v>
      </c>
      <c r="B108" s="54" t="s">
        <v>214</v>
      </c>
      <c r="C108" s="31">
        <v>4301011415</v>
      </c>
      <c r="D108" s="619">
        <v>4680115880429</v>
      </c>
      <c r="E108" s="620"/>
      <c r="F108" s="604">
        <v>0.45</v>
      </c>
      <c r="G108" s="32">
        <v>10</v>
      </c>
      <c r="H108" s="604">
        <v>4.5</v>
      </c>
      <c r="I108" s="604">
        <v>4.6900000000000004</v>
      </c>
      <c r="J108" s="32">
        <v>132</v>
      </c>
      <c r="K108" s="32" t="s">
        <v>133</v>
      </c>
      <c r="L108" s="32"/>
      <c r="M108" s="33" t="s">
        <v>78</v>
      </c>
      <c r="N108" s="33"/>
      <c r="O108" s="32">
        <v>50</v>
      </c>
      <c r="P108" s="82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0</v>
      </c>
      <c r="Y108" s="606">
        <f t="shared" si="11"/>
        <v>0</v>
      </c>
      <c r="Z108" s="36" t="str">
        <f>IFERROR(IF(Y108=0,"",ROUNDUP(Y108/H108,0)*0.00902),"")</f>
        <v/>
      </c>
      <c r="AA108" s="56"/>
      <c r="AB108" s="57"/>
      <c r="AC108" s="161" t="s">
        <v>204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ht="37.5" hidden="1" customHeight="1" x14ac:dyDescent="0.25">
      <c r="A109" s="54" t="s">
        <v>215</v>
      </c>
      <c r="B109" s="54" t="s">
        <v>216</v>
      </c>
      <c r="C109" s="31">
        <v>4301011462</v>
      </c>
      <c r="D109" s="619">
        <v>4680115881457</v>
      </c>
      <c r="E109" s="620"/>
      <c r="F109" s="604">
        <v>0.75</v>
      </c>
      <c r="G109" s="32">
        <v>6</v>
      </c>
      <c r="H109" s="604">
        <v>4.5</v>
      </c>
      <c r="I109" s="604">
        <v>4.6900000000000004</v>
      </c>
      <c r="J109" s="32">
        <v>132</v>
      </c>
      <c r="K109" s="32" t="s">
        <v>133</v>
      </c>
      <c r="L109" s="32"/>
      <c r="M109" s="33" t="s">
        <v>78</v>
      </c>
      <c r="N109" s="33"/>
      <c r="O109" s="32">
        <v>50</v>
      </c>
      <c r="P109" s="8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12"/>
      <c r="R109" s="612"/>
      <c r="S109" s="612"/>
      <c r="T109" s="613"/>
      <c r="U109" s="34"/>
      <c r="V109" s="34"/>
      <c r="W109" s="35" t="s">
        <v>67</v>
      </c>
      <c r="X109" s="605">
        <v>0</v>
      </c>
      <c r="Y109" s="606">
        <f t="shared" si="11"/>
        <v>0</v>
      </c>
      <c r="Z109" s="36" t="str">
        <f>IFERROR(IF(Y109=0,"",ROUNDUP(Y109/H109,0)*0.00902),"")</f>
        <v/>
      </c>
      <c r="AA109" s="56"/>
      <c r="AB109" s="57"/>
      <c r="AC109" s="163" t="s">
        <v>204</v>
      </c>
      <c r="AG109" s="64"/>
      <c r="AJ109" s="68"/>
      <c r="AK109" s="68">
        <v>0</v>
      </c>
      <c r="BB109" s="164" t="s">
        <v>1</v>
      </c>
      <c r="BM109" s="64">
        <f t="shared" si="12"/>
        <v>0</v>
      </c>
      <c r="BN109" s="64">
        <f t="shared" si="13"/>
        <v>0</v>
      </c>
      <c r="BO109" s="64">
        <f t="shared" si="14"/>
        <v>0</v>
      </c>
      <c r="BP109" s="64">
        <f t="shared" si="15"/>
        <v>0</v>
      </c>
    </row>
    <row r="110" spans="1:68" hidden="1" x14ac:dyDescent="0.2">
      <c r="A110" s="616"/>
      <c r="B110" s="610"/>
      <c r="C110" s="610"/>
      <c r="D110" s="610"/>
      <c r="E110" s="610"/>
      <c r="F110" s="610"/>
      <c r="G110" s="610"/>
      <c r="H110" s="610"/>
      <c r="I110" s="610"/>
      <c r="J110" s="610"/>
      <c r="K110" s="610"/>
      <c r="L110" s="610"/>
      <c r="M110" s="610"/>
      <c r="N110" s="610"/>
      <c r="O110" s="617"/>
      <c r="P110" s="621" t="s">
        <v>72</v>
      </c>
      <c r="Q110" s="622"/>
      <c r="R110" s="622"/>
      <c r="S110" s="622"/>
      <c r="T110" s="622"/>
      <c r="U110" s="622"/>
      <c r="V110" s="623"/>
      <c r="W110" s="37" t="s">
        <v>73</v>
      </c>
      <c r="X110" s="607">
        <f>IFERROR(X103/H103,"0")+IFERROR(X104/H104,"0")+IFERROR(X105/H105,"0")+IFERROR(X106/H106,"0")+IFERROR(X107/H107,"0")+IFERROR(X108/H108,"0")+IFERROR(X109/H109,"0")</f>
        <v>0</v>
      </c>
      <c r="Y110" s="607">
        <f>IFERROR(Y103/H103,"0")+IFERROR(Y104/H104,"0")+IFERROR(Y105/H105,"0")+IFERROR(Y106/H106,"0")+IFERROR(Y107/H107,"0")+IFERROR(Y108/H108,"0")+IFERROR(Y109/H109,"0")</f>
        <v>0</v>
      </c>
      <c r="Z110" s="607">
        <f>IFERROR(IF(Z103="",0,Z103),"0")+IFERROR(IF(Z104="",0,Z104),"0")+IFERROR(IF(Z105="",0,Z105),"0")+IFERROR(IF(Z106="",0,Z106),"0")+IFERROR(IF(Z107="",0,Z107),"0")+IFERROR(IF(Z108="",0,Z108),"0")+IFERROR(IF(Z109="",0,Z109),"0")</f>
        <v>0</v>
      </c>
      <c r="AA110" s="608"/>
      <c r="AB110" s="608"/>
      <c r="AC110" s="608"/>
    </row>
    <row r="111" spans="1:68" hidden="1" x14ac:dyDescent="0.2">
      <c r="A111" s="610"/>
      <c r="B111" s="610"/>
      <c r="C111" s="610"/>
      <c r="D111" s="610"/>
      <c r="E111" s="610"/>
      <c r="F111" s="610"/>
      <c r="G111" s="610"/>
      <c r="H111" s="610"/>
      <c r="I111" s="610"/>
      <c r="J111" s="610"/>
      <c r="K111" s="610"/>
      <c r="L111" s="610"/>
      <c r="M111" s="610"/>
      <c r="N111" s="610"/>
      <c r="O111" s="617"/>
      <c r="P111" s="621" t="s">
        <v>72</v>
      </c>
      <c r="Q111" s="622"/>
      <c r="R111" s="622"/>
      <c r="S111" s="622"/>
      <c r="T111" s="622"/>
      <c r="U111" s="622"/>
      <c r="V111" s="623"/>
      <c r="W111" s="37" t="s">
        <v>67</v>
      </c>
      <c r="X111" s="607">
        <f>IFERROR(SUM(X103:X109),"0")</f>
        <v>0</v>
      </c>
      <c r="Y111" s="607">
        <f>IFERROR(SUM(Y103:Y109),"0")</f>
        <v>0</v>
      </c>
      <c r="Z111" s="37"/>
      <c r="AA111" s="608"/>
      <c r="AB111" s="608"/>
      <c r="AC111" s="608"/>
    </row>
    <row r="112" spans="1:68" ht="14.25" hidden="1" customHeight="1" x14ac:dyDescent="0.25">
      <c r="A112" s="609" t="s">
        <v>156</v>
      </c>
      <c r="B112" s="610"/>
      <c r="C112" s="610"/>
      <c r="D112" s="610"/>
      <c r="E112" s="610"/>
      <c r="F112" s="610"/>
      <c r="G112" s="610"/>
      <c r="H112" s="610"/>
      <c r="I112" s="610"/>
      <c r="J112" s="610"/>
      <c r="K112" s="610"/>
      <c r="L112" s="610"/>
      <c r="M112" s="610"/>
      <c r="N112" s="610"/>
      <c r="O112" s="610"/>
      <c r="P112" s="610"/>
      <c r="Q112" s="610"/>
      <c r="R112" s="610"/>
      <c r="S112" s="610"/>
      <c r="T112" s="610"/>
      <c r="U112" s="610"/>
      <c r="V112" s="610"/>
      <c r="W112" s="610"/>
      <c r="X112" s="610"/>
      <c r="Y112" s="610"/>
      <c r="Z112" s="610"/>
      <c r="AA112" s="601"/>
      <c r="AB112" s="601"/>
      <c r="AC112" s="601"/>
    </row>
    <row r="113" spans="1:68" ht="16.5" hidden="1" customHeight="1" x14ac:dyDescent="0.25">
      <c r="A113" s="54" t="s">
        <v>217</v>
      </c>
      <c r="B113" s="54" t="s">
        <v>218</v>
      </c>
      <c r="C113" s="31">
        <v>4301020345</v>
      </c>
      <c r="D113" s="619">
        <v>4680115881488</v>
      </c>
      <c r="E113" s="62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124</v>
      </c>
      <c r="L113" s="32"/>
      <c r="M113" s="33" t="s">
        <v>125</v>
      </c>
      <c r="N113" s="33"/>
      <c r="O113" s="32">
        <v>55</v>
      </c>
      <c r="P113" s="70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0</v>
      </c>
      <c r="Y113" s="606">
        <f t="shared" ref="Y113:Y119" si="16"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5" t="s">
        <v>219</v>
      </c>
      <c r="AG113" s="64"/>
      <c r="AJ113" s="68"/>
      <c r="AK113" s="68">
        <v>0</v>
      </c>
      <c r="BB113" s="166" t="s">
        <v>1</v>
      </c>
      <c r="BM113" s="64">
        <f t="shared" ref="BM113:BM119" si="17">IFERROR(X113*I113/H113,"0")</f>
        <v>0</v>
      </c>
      <c r="BN113" s="64">
        <f t="shared" ref="BN113:BN119" si="18">IFERROR(Y113*I113/H113,"0")</f>
        <v>0</v>
      </c>
      <c r="BO113" s="64">
        <f t="shared" ref="BO113:BO119" si="19">IFERROR(1/J113*(X113/H113),"0")</f>
        <v>0</v>
      </c>
      <c r="BP113" s="64">
        <f t="shared" ref="BP113:BP119" si="20">IFERROR(1/J113*(Y113/H113),"0")</f>
        <v>0</v>
      </c>
    </row>
    <row r="114" spans="1:68" ht="27" hidden="1" customHeight="1" x14ac:dyDescent="0.25">
      <c r="A114" s="54" t="s">
        <v>217</v>
      </c>
      <c r="B114" s="54" t="s">
        <v>220</v>
      </c>
      <c r="C114" s="31">
        <v>4301020391</v>
      </c>
      <c r="D114" s="619">
        <v>4680115881488</v>
      </c>
      <c r="E114" s="620"/>
      <c r="F114" s="604">
        <v>1.35</v>
      </c>
      <c r="G114" s="32">
        <v>8</v>
      </c>
      <c r="H114" s="604">
        <v>10.8</v>
      </c>
      <c r="I114" s="604">
        <v>11.21</v>
      </c>
      <c r="J114" s="32">
        <v>64</v>
      </c>
      <c r="K114" s="32" t="s">
        <v>124</v>
      </c>
      <c r="L114" s="32"/>
      <c r="M114" s="33" t="s">
        <v>125</v>
      </c>
      <c r="N114" s="33"/>
      <c r="O114" s="32">
        <v>55</v>
      </c>
      <c r="P114" s="88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0</v>
      </c>
      <c r="Y114" s="606">
        <f t="shared" si="16"/>
        <v>0</v>
      </c>
      <c r="Z114" s="36" t="str">
        <f>IFERROR(IF(Y114=0,"",ROUNDUP(Y114/H114,0)*0.01898),"")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4301020186</v>
      </c>
      <c r="D115" s="619">
        <v>4680115887664</v>
      </c>
      <c r="E115" s="620"/>
      <c r="F115" s="604">
        <v>0.1</v>
      </c>
      <c r="G115" s="32">
        <v>10</v>
      </c>
      <c r="H115" s="604">
        <v>1</v>
      </c>
      <c r="I115" s="604">
        <v>1.21</v>
      </c>
      <c r="J115" s="32">
        <v>392</v>
      </c>
      <c r="K115" s="32" t="s">
        <v>224</v>
      </c>
      <c r="L115" s="32"/>
      <c r="M115" s="33" t="s">
        <v>66</v>
      </c>
      <c r="N115" s="33"/>
      <c r="O115" s="32">
        <v>30</v>
      </c>
      <c r="P115" s="86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6"/>
        <v>0</v>
      </c>
      <c r="Z115" s="36" t="str">
        <f>IFERROR(IF(Y115=0,"",ROUNDUP(Y115/H115,0)*0.00358),"")</f>
        <v/>
      </c>
      <c r="AA115" s="56"/>
      <c r="AB115" s="57"/>
      <c r="AC115" s="169" t="s">
        <v>225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hidden="1" customHeight="1" x14ac:dyDescent="0.25">
      <c r="A116" s="54" t="s">
        <v>222</v>
      </c>
      <c r="B116" s="54" t="s">
        <v>226</v>
      </c>
      <c r="C116" s="31">
        <v>4301020430</v>
      </c>
      <c r="D116" s="619">
        <v>4680115887664</v>
      </c>
      <c r="E116" s="620"/>
      <c r="F116" s="604">
        <v>0.1</v>
      </c>
      <c r="G116" s="32">
        <v>8</v>
      </c>
      <c r="H116" s="604">
        <v>0.8</v>
      </c>
      <c r="I116" s="604">
        <v>0.98799999999999999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7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6"/>
        <v>0</v>
      </c>
      <c r="Z116" s="36" t="str">
        <f>IFERROR(IF(Y116=0,"",ROUNDUP(Y116/H116,0)*0.00358),"")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4301020393</v>
      </c>
      <c r="D117" s="619">
        <v>4680115882775</v>
      </c>
      <c r="E117" s="620"/>
      <c r="F117" s="604">
        <v>0.3</v>
      </c>
      <c r="G117" s="32">
        <v>8</v>
      </c>
      <c r="H117" s="604">
        <v>2.4</v>
      </c>
      <c r="I117" s="604">
        <v>2.5</v>
      </c>
      <c r="J117" s="32">
        <v>234</v>
      </c>
      <c r="K117" s="32" t="s">
        <v>65</v>
      </c>
      <c r="L117" s="32"/>
      <c r="M117" s="33" t="s">
        <v>125</v>
      </c>
      <c r="N117" s="33"/>
      <c r="O117" s="32">
        <v>55</v>
      </c>
      <c r="P117" s="7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0</v>
      </c>
      <c r="Y117" s="606">
        <f t="shared" si="16"/>
        <v>0</v>
      </c>
      <c r="Z117" s="36" t="str">
        <f>IFERROR(IF(Y117=0,"",ROUNDUP(Y117/H117,0)*0.00502),"")</f>
        <v/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 t="shared" si="17"/>
        <v>0</v>
      </c>
      <c r="BN117" s="64">
        <f t="shared" si="18"/>
        <v>0</v>
      </c>
      <c r="BO117" s="64">
        <f t="shared" si="19"/>
        <v>0</v>
      </c>
      <c r="BP117" s="64">
        <f t="shared" si="20"/>
        <v>0</v>
      </c>
    </row>
    <row r="118" spans="1:68" ht="16.5" hidden="1" customHeight="1" x14ac:dyDescent="0.25">
      <c r="A118" s="54" t="s">
        <v>229</v>
      </c>
      <c r="B118" s="54" t="s">
        <v>230</v>
      </c>
      <c r="C118" s="31">
        <v>4301020344</v>
      </c>
      <c r="D118" s="619">
        <v>4680115880658</v>
      </c>
      <c r="E118" s="62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125</v>
      </c>
      <c r="N118" s="33"/>
      <c r="O118" s="32">
        <v>55</v>
      </c>
      <c r="P118" s="73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0</v>
      </c>
      <c r="Y118" s="606">
        <f t="shared" si="16"/>
        <v>0</v>
      </c>
      <c r="Z118" s="36" t="str">
        <f>IFERROR(IF(Y118=0,"",ROUNDUP(Y118/H118,0)*0.00651),"")</f>
        <v/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 t="shared" si="17"/>
        <v>0</v>
      </c>
      <c r="BN118" s="64">
        <f t="shared" si="18"/>
        <v>0</v>
      </c>
      <c r="BO118" s="64">
        <f t="shared" si="19"/>
        <v>0</v>
      </c>
      <c r="BP118" s="64">
        <f t="shared" si="20"/>
        <v>0</v>
      </c>
    </row>
    <row r="119" spans="1:68" ht="27" hidden="1" customHeight="1" x14ac:dyDescent="0.25">
      <c r="A119" s="54" t="s">
        <v>229</v>
      </c>
      <c r="B119" s="54" t="s">
        <v>231</v>
      </c>
      <c r="C119" s="31">
        <v>4301020392</v>
      </c>
      <c r="D119" s="619">
        <v>4680115880658</v>
      </c>
      <c r="E119" s="620"/>
      <c r="F119" s="604">
        <v>0.4</v>
      </c>
      <c r="G119" s="32">
        <v>6</v>
      </c>
      <c r="H119" s="604">
        <v>2.4</v>
      </c>
      <c r="I119" s="604">
        <v>2.58</v>
      </c>
      <c r="J119" s="32">
        <v>182</v>
      </c>
      <c r="K119" s="32" t="s">
        <v>77</v>
      </c>
      <c r="L119" s="32"/>
      <c r="M119" s="33" t="s">
        <v>125</v>
      </c>
      <c r="N119" s="33"/>
      <c r="O119" s="32">
        <v>55</v>
      </c>
      <c r="P119" s="74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12"/>
      <c r="R119" s="612"/>
      <c r="S119" s="612"/>
      <c r="T119" s="613"/>
      <c r="U119" s="34"/>
      <c r="V119" s="34"/>
      <c r="W119" s="35" t="s">
        <v>67</v>
      </c>
      <c r="X119" s="605">
        <v>0</v>
      </c>
      <c r="Y119" s="606">
        <f t="shared" si="16"/>
        <v>0</v>
      </c>
      <c r="Z119" s="36" t="str">
        <f>IFERROR(IF(Y119=0,"",ROUNDUP(Y119/H119,0)*0.00651),"")</f>
        <v/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 t="shared" si="17"/>
        <v>0</v>
      </c>
      <c r="BN119" s="64">
        <f t="shared" si="18"/>
        <v>0</v>
      </c>
      <c r="BO119" s="64">
        <f t="shared" si="19"/>
        <v>0</v>
      </c>
      <c r="BP119" s="64">
        <f t="shared" si="20"/>
        <v>0</v>
      </c>
    </row>
    <row r="120" spans="1:68" hidden="1" x14ac:dyDescent="0.2">
      <c r="A120" s="616"/>
      <c r="B120" s="610"/>
      <c r="C120" s="610"/>
      <c r="D120" s="610"/>
      <c r="E120" s="610"/>
      <c r="F120" s="610"/>
      <c r="G120" s="610"/>
      <c r="H120" s="610"/>
      <c r="I120" s="610"/>
      <c r="J120" s="610"/>
      <c r="K120" s="610"/>
      <c r="L120" s="610"/>
      <c r="M120" s="610"/>
      <c r="N120" s="610"/>
      <c r="O120" s="617"/>
      <c r="P120" s="621" t="s">
        <v>72</v>
      </c>
      <c r="Q120" s="622"/>
      <c r="R120" s="622"/>
      <c r="S120" s="622"/>
      <c r="T120" s="622"/>
      <c r="U120" s="622"/>
      <c r="V120" s="623"/>
      <c r="W120" s="37" t="s">
        <v>73</v>
      </c>
      <c r="X120" s="607">
        <f>IFERROR(X113/H113,"0")+IFERROR(X114/H114,"0")+IFERROR(X115/H115,"0")+IFERROR(X116/H116,"0")+IFERROR(X117/H117,"0")+IFERROR(X118/H118,"0")+IFERROR(X119/H119,"0")</f>
        <v>0</v>
      </c>
      <c r="Y120" s="607">
        <f>IFERROR(Y113/H113,"0")+IFERROR(Y114/H114,"0")+IFERROR(Y115/H115,"0")+IFERROR(Y116/H116,"0")+IFERROR(Y117/H117,"0")+IFERROR(Y118/H118,"0")+IFERROR(Y119/H119,"0")</f>
        <v>0</v>
      </c>
      <c r="Z120" s="607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08"/>
      <c r="AB120" s="608"/>
      <c r="AC120" s="608"/>
    </row>
    <row r="121" spans="1:68" hidden="1" x14ac:dyDescent="0.2">
      <c r="A121" s="610"/>
      <c r="B121" s="610"/>
      <c r="C121" s="610"/>
      <c r="D121" s="610"/>
      <c r="E121" s="610"/>
      <c r="F121" s="610"/>
      <c r="G121" s="610"/>
      <c r="H121" s="610"/>
      <c r="I121" s="610"/>
      <c r="J121" s="610"/>
      <c r="K121" s="610"/>
      <c r="L121" s="610"/>
      <c r="M121" s="610"/>
      <c r="N121" s="610"/>
      <c r="O121" s="617"/>
      <c r="P121" s="621" t="s">
        <v>72</v>
      </c>
      <c r="Q121" s="622"/>
      <c r="R121" s="622"/>
      <c r="S121" s="622"/>
      <c r="T121" s="622"/>
      <c r="U121" s="622"/>
      <c r="V121" s="623"/>
      <c r="W121" s="37" t="s">
        <v>67</v>
      </c>
      <c r="X121" s="607">
        <f>IFERROR(SUM(X113:X119),"0")</f>
        <v>0</v>
      </c>
      <c r="Y121" s="607">
        <f>IFERROR(SUM(Y113:Y119),"0")</f>
        <v>0</v>
      </c>
      <c r="Z121" s="37"/>
      <c r="AA121" s="608"/>
      <c r="AB121" s="608"/>
      <c r="AC121" s="608"/>
    </row>
    <row r="122" spans="1:68" ht="14.25" hidden="1" customHeight="1" x14ac:dyDescent="0.25">
      <c r="A122" s="609" t="s">
        <v>74</v>
      </c>
      <c r="B122" s="610"/>
      <c r="C122" s="610"/>
      <c r="D122" s="610"/>
      <c r="E122" s="610"/>
      <c r="F122" s="610"/>
      <c r="G122" s="610"/>
      <c r="H122" s="610"/>
      <c r="I122" s="610"/>
      <c r="J122" s="610"/>
      <c r="K122" s="610"/>
      <c r="L122" s="610"/>
      <c r="M122" s="610"/>
      <c r="N122" s="610"/>
      <c r="O122" s="610"/>
      <c r="P122" s="610"/>
      <c r="Q122" s="610"/>
      <c r="R122" s="610"/>
      <c r="S122" s="610"/>
      <c r="T122" s="610"/>
      <c r="U122" s="610"/>
      <c r="V122" s="610"/>
      <c r="W122" s="610"/>
      <c r="X122" s="610"/>
      <c r="Y122" s="610"/>
      <c r="Z122" s="610"/>
      <c r="AA122" s="601"/>
      <c r="AB122" s="601"/>
      <c r="AC122" s="601"/>
    </row>
    <row r="123" spans="1:68" ht="27" customHeight="1" x14ac:dyDescent="0.25">
      <c r="A123" s="54" t="s">
        <v>232</v>
      </c>
      <c r="B123" s="54" t="s">
        <v>233</v>
      </c>
      <c r="C123" s="31">
        <v>4301051724</v>
      </c>
      <c r="D123" s="619">
        <v>4607091385168</v>
      </c>
      <c r="E123" s="620"/>
      <c r="F123" s="604">
        <v>1.35</v>
      </c>
      <c r="G123" s="32">
        <v>6</v>
      </c>
      <c r="H123" s="604">
        <v>8.1</v>
      </c>
      <c r="I123" s="604">
        <v>8.5879999999999992</v>
      </c>
      <c r="J123" s="32">
        <v>64</v>
      </c>
      <c r="K123" s="32" t="s">
        <v>124</v>
      </c>
      <c r="L123" s="32"/>
      <c r="M123" s="33" t="s">
        <v>84</v>
      </c>
      <c r="N123" s="33"/>
      <c r="O123" s="32">
        <v>45</v>
      </c>
      <c r="P123" s="91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350</v>
      </c>
      <c r="Y123" s="606">
        <f>IFERROR(IF(X123="",0,CEILING((X123/$H123),1)*$H123),"")</f>
        <v>356.4</v>
      </c>
      <c r="Z123" s="36">
        <f>IFERROR(IF(Y123=0,"",ROUNDUP(Y123/H123,0)*0.01898),"")</f>
        <v>0.83511999999999997</v>
      </c>
      <c r="AA123" s="56"/>
      <c r="AB123" s="57"/>
      <c r="AC123" s="179" t="s">
        <v>234</v>
      </c>
      <c r="AG123" s="64"/>
      <c r="AJ123" s="68"/>
      <c r="AK123" s="68">
        <v>0</v>
      </c>
      <c r="BB123" s="180" t="s">
        <v>1</v>
      </c>
      <c r="BM123" s="64">
        <f>IFERROR(X123*I123/H123,"0")</f>
        <v>371.08641975308637</v>
      </c>
      <c r="BN123" s="64">
        <f>IFERROR(Y123*I123/H123,"0")</f>
        <v>377.87199999999996</v>
      </c>
      <c r="BO123" s="64">
        <f>IFERROR(1/J123*(X123/H123),"0")</f>
        <v>0.67515432098765438</v>
      </c>
      <c r="BP123" s="64">
        <f>IFERROR(1/J123*(Y123/H123),"0")</f>
        <v>0.6875</v>
      </c>
    </row>
    <row r="124" spans="1:68" ht="27" hidden="1" customHeight="1" x14ac:dyDescent="0.25">
      <c r="A124" s="54" t="s">
        <v>235</v>
      </c>
      <c r="B124" s="54" t="s">
        <v>236</v>
      </c>
      <c r="C124" s="31">
        <v>4301051730</v>
      </c>
      <c r="D124" s="619">
        <v>4607091383256</v>
      </c>
      <c r="E124" s="620"/>
      <c r="F124" s="604">
        <v>0.33</v>
      </c>
      <c r="G124" s="32">
        <v>6</v>
      </c>
      <c r="H124" s="604">
        <v>1.98</v>
      </c>
      <c r="I124" s="604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4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0</v>
      </c>
      <c r="Y124" s="606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234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237</v>
      </c>
      <c r="B125" s="54" t="s">
        <v>238</v>
      </c>
      <c r="C125" s="31">
        <v>4301051721</v>
      </c>
      <c r="D125" s="619">
        <v>4607091385748</v>
      </c>
      <c r="E125" s="620"/>
      <c r="F125" s="604">
        <v>0.45</v>
      </c>
      <c r="G125" s="32">
        <v>6</v>
      </c>
      <c r="H125" s="604">
        <v>2.7</v>
      </c>
      <c r="I125" s="604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8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113</v>
      </c>
      <c r="Y125" s="606">
        <f>IFERROR(IF(X125="",0,CEILING((X125/$H125),1)*$H125),"")</f>
        <v>113.4</v>
      </c>
      <c r="Z125" s="36">
        <f>IFERROR(IF(Y125=0,"",ROUNDUP(Y125/H125,0)*0.00651),"")</f>
        <v>0.27342</v>
      </c>
      <c r="AA125" s="56"/>
      <c r="AB125" s="57"/>
      <c r="AC125" s="183" t="s">
        <v>234</v>
      </c>
      <c r="AG125" s="64"/>
      <c r="AJ125" s="68"/>
      <c r="AK125" s="68">
        <v>0</v>
      </c>
      <c r="BB125" s="184" t="s">
        <v>1</v>
      </c>
      <c r="BM125" s="64">
        <f>IFERROR(X125*I125/H125,"0")</f>
        <v>123.54666666666667</v>
      </c>
      <c r="BN125" s="64">
        <f>IFERROR(Y125*I125/H125,"0")</f>
        <v>123.98399999999999</v>
      </c>
      <c r="BO125" s="64">
        <f>IFERROR(1/J125*(X125/H125),"0")</f>
        <v>0.22995522995522996</v>
      </c>
      <c r="BP125" s="64">
        <f>IFERROR(1/J125*(Y125/H125),"0")</f>
        <v>0.23076923076923078</v>
      </c>
    </row>
    <row r="126" spans="1:68" ht="16.5" hidden="1" customHeight="1" x14ac:dyDescent="0.25">
      <c r="A126" s="54" t="s">
        <v>239</v>
      </c>
      <c r="B126" s="54" t="s">
        <v>240</v>
      </c>
      <c r="C126" s="31">
        <v>4301051740</v>
      </c>
      <c r="D126" s="619">
        <v>4680115884533</v>
      </c>
      <c r="E126" s="620"/>
      <c r="F126" s="604">
        <v>0.3</v>
      </c>
      <c r="G126" s="32">
        <v>6</v>
      </c>
      <c r="H126" s="604">
        <v>1.8</v>
      </c>
      <c r="I126" s="604">
        <v>1.98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9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12"/>
      <c r="R126" s="612"/>
      <c r="S126" s="612"/>
      <c r="T126" s="613"/>
      <c r="U126" s="34"/>
      <c r="V126" s="34"/>
      <c r="W126" s="35" t="s">
        <v>67</v>
      </c>
      <c r="X126" s="605">
        <v>0</v>
      </c>
      <c r="Y126" s="60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241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16"/>
      <c r="B127" s="610"/>
      <c r="C127" s="610"/>
      <c r="D127" s="610"/>
      <c r="E127" s="610"/>
      <c r="F127" s="610"/>
      <c r="G127" s="610"/>
      <c r="H127" s="610"/>
      <c r="I127" s="610"/>
      <c r="J127" s="610"/>
      <c r="K127" s="610"/>
      <c r="L127" s="610"/>
      <c r="M127" s="610"/>
      <c r="N127" s="610"/>
      <c r="O127" s="617"/>
      <c r="P127" s="621" t="s">
        <v>72</v>
      </c>
      <c r="Q127" s="622"/>
      <c r="R127" s="622"/>
      <c r="S127" s="622"/>
      <c r="T127" s="622"/>
      <c r="U127" s="622"/>
      <c r="V127" s="623"/>
      <c r="W127" s="37" t="s">
        <v>73</v>
      </c>
      <c r="X127" s="607">
        <f>IFERROR(X123/H123,"0")+IFERROR(X124/H124,"0")+IFERROR(X125/H125,"0")+IFERROR(X126/H126,"0")</f>
        <v>85.061728395061721</v>
      </c>
      <c r="Y127" s="607">
        <f>IFERROR(Y123/H123,"0")+IFERROR(Y124/H124,"0")+IFERROR(Y125/H125,"0")+IFERROR(Y126/H126,"0")</f>
        <v>86</v>
      </c>
      <c r="Z127" s="607">
        <f>IFERROR(IF(Z123="",0,Z123),"0")+IFERROR(IF(Z124="",0,Z124),"0")+IFERROR(IF(Z125="",0,Z125),"0")+IFERROR(IF(Z126="",0,Z126),"0")</f>
        <v>1.1085400000000001</v>
      </c>
      <c r="AA127" s="608"/>
      <c r="AB127" s="608"/>
      <c r="AC127" s="608"/>
    </row>
    <row r="128" spans="1:68" x14ac:dyDescent="0.2">
      <c r="A128" s="610"/>
      <c r="B128" s="610"/>
      <c r="C128" s="610"/>
      <c r="D128" s="610"/>
      <c r="E128" s="610"/>
      <c r="F128" s="610"/>
      <c r="G128" s="610"/>
      <c r="H128" s="610"/>
      <c r="I128" s="610"/>
      <c r="J128" s="610"/>
      <c r="K128" s="610"/>
      <c r="L128" s="610"/>
      <c r="M128" s="610"/>
      <c r="N128" s="610"/>
      <c r="O128" s="617"/>
      <c r="P128" s="621" t="s">
        <v>72</v>
      </c>
      <c r="Q128" s="622"/>
      <c r="R128" s="622"/>
      <c r="S128" s="622"/>
      <c r="T128" s="622"/>
      <c r="U128" s="622"/>
      <c r="V128" s="623"/>
      <c r="W128" s="37" t="s">
        <v>67</v>
      </c>
      <c r="X128" s="607">
        <f>IFERROR(SUM(X123:X126),"0")</f>
        <v>463</v>
      </c>
      <c r="Y128" s="607">
        <f>IFERROR(SUM(Y123:Y126),"0")</f>
        <v>469.79999999999995</v>
      </c>
      <c r="Z128" s="37"/>
      <c r="AA128" s="608"/>
      <c r="AB128" s="608"/>
      <c r="AC128" s="608"/>
    </row>
    <row r="129" spans="1:68" ht="14.25" hidden="1" customHeight="1" x14ac:dyDescent="0.25">
      <c r="A129" s="609" t="s">
        <v>173</v>
      </c>
      <c r="B129" s="610"/>
      <c r="C129" s="610"/>
      <c r="D129" s="610"/>
      <c r="E129" s="610"/>
      <c r="F129" s="610"/>
      <c r="G129" s="610"/>
      <c r="H129" s="610"/>
      <c r="I129" s="610"/>
      <c r="J129" s="610"/>
      <c r="K129" s="610"/>
      <c r="L129" s="610"/>
      <c r="M129" s="610"/>
      <c r="N129" s="610"/>
      <c r="O129" s="610"/>
      <c r="P129" s="610"/>
      <c r="Q129" s="610"/>
      <c r="R129" s="610"/>
      <c r="S129" s="610"/>
      <c r="T129" s="610"/>
      <c r="U129" s="610"/>
      <c r="V129" s="610"/>
      <c r="W129" s="610"/>
      <c r="X129" s="610"/>
      <c r="Y129" s="610"/>
      <c r="Z129" s="610"/>
      <c r="AA129" s="601"/>
      <c r="AB129" s="601"/>
      <c r="AC129" s="601"/>
    </row>
    <row r="130" spans="1:68" ht="16.5" hidden="1" customHeight="1" x14ac:dyDescent="0.25">
      <c r="A130" s="54" t="s">
        <v>242</v>
      </c>
      <c r="B130" s="54" t="s">
        <v>243</v>
      </c>
      <c r="C130" s="31">
        <v>4301060317</v>
      </c>
      <c r="D130" s="619">
        <v>4680115880238</v>
      </c>
      <c r="E130" s="620"/>
      <c r="F130" s="604">
        <v>0.33</v>
      </c>
      <c r="G130" s="32">
        <v>6</v>
      </c>
      <c r="H130" s="604">
        <v>1.98</v>
      </c>
      <c r="I130" s="604">
        <v>2.238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40</v>
      </c>
      <c r="P130" s="8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12"/>
      <c r="R130" s="612"/>
      <c r="S130" s="612"/>
      <c r="T130" s="613"/>
      <c r="U130" s="34"/>
      <c r="V130" s="34"/>
      <c r="W130" s="35" t="s">
        <v>67</v>
      </c>
      <c r="X130" s="605">
        <v>0</v>
      </c>
      <c r="Y130" s="60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7" t="s">
        <v>244</v>
      </c>
      <c r="AG130" s="64"/>
      <c r="AJ130" s="68"/>
      <c r="AK130" s="68">
        <v>0</v>
      </c>
      <c r="BB130" s="188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16"/>
      <c r="B131" s="610"/>
      <c r="C131" s="610"/>
      <c r="D131" s="610"/>
      <c r="E131" s="610"/>
      <c r="F131" s="610"/>
      <c r="G131" s="610"/>
      <c r="H131" s="610"/>
      <c r="I131" s="610"/>
      <c r="J131" s="610"/>
      <c r="K131" s="610"/>
      <c r="L131" s="610"/>
      <c r="M131" s="610"/>
      <c r="N131" s="610"/>
      <c r="O131" s="617"/>
      <c r="P131" s="621" t="s">
        <v>72</v>
      </c>
      <c r="Q131" s="622"/>
      <c r="R131" s="622"/>
      <c r="S131" s="622"/>
      <c r="T131" s="622"/>
      <c r="U131" s="622"/>
      <c r="V131" s="623"/>
      <c r="W131" s="37" t="s">
        <v>73</v>
      </c>
      <c r="X131" s="607">
        <f>IFERROR(X130/H130,"0")</f>
        <v>0</v>
      </c>
      <c r="Y131" s="607">
        <f>IFERROR(Y130/H130,"0")</f>
        <v>0</v>
      </c>
      <c r="Z131" s="607">
        <f>IFERROR(IF(Z130="",0,Z130),"0")</f>
        <v>0</v>
      </c>
      <c r="AA131" s="608"/>
      <c r="AB131" s="608"/>
      <c r="AC131" s="608"/>
    </row>
    <row r="132" spans="1:68" hidden="1" x14ac:dyDescent="0.2">
      <c r="A132" s="610"/>
      <c r="B132" s="610"/>
      <c r="C132" s="610"/>
      <c r="D132" s="610"/>
      <c r="E132" s="610"/>
      <c r="F132" s="610"/>
      <c r="G132" s="610"/>
      <c r="H132" s="610"/>
      <c r="I132" s="610"/>
      <c r="J132" s="610"/>
      <c r="K132" s="610"/>
      <c r="L132" s="610"/>
      <c r="M132" s="610"/>
      <c r="N132" s="610"/>
      <c r="O132" s="617"/>
      <c r="P132" s="621" t="s">
        <v>72</v>
      </c>
      <c r="Q132" s="622"/>
      <c r="R132" s="622"/>
      <c r="S132" s="622"/>
      <c r="T132" s="622"/>
      <c r="U132" s="622"/>
      <c r="V132" s="623"/>
      <c r="W132" s="37" t="s">
        <v>67</v>
      </c>
      <c r="X132" s="607">
        <f>IFERROR(SUM(X130:X130),"0")</f>
        <v>0</v>
      </c>
      <c r="Y132" s="607">
        <f>IFERROR(SUM(Y130:Y130),"0")</f>
        <v>0</v>
      </c>
      <c r="Z132" s="37"/>
      <c r="AA132" s="608"/>
      <c r="AB132" s="608"/>
      <c r="AC132" s="608"/>
    </row>
    <row r="133" spans="1:68" ht="16.5" hidden="1" customHeight="1" x14ac:dyDescent="0.25">
      <c r="A133" s="647" t="s">
        <v>245</v>
      </c>
      <c r="B133" s="610"/>
      <c r="C133" s="610"/>
      <c r="D133" s="610"/>
      <c r="E133" s="610"/>
      <c r="F133" s="610"/>
      <c r="G133" s="610"/>
      <c r="H133" s="610"/>
      <c r="I133" s="610"/>
      <c r="J133" s="610"/>
      <c r="K133" s="610"/>
      <c r="L133" s="610"/>
      <c r="M133" s="610"/>
      <c r="N133" s="610"/>
      <c r="O133" s="610"/>
      <c r="P133" s="610"/>
      <c r="Q133" s="610"/>
      <c r="R133" s="610"/>
      <c r="S133" s="610"/>
      <c r="T133" s="610"/>
      <c r="U133" s="610"/>
      <c r="V133" s="610"/>
      <c r="W133" s="610"/>
      <c r="X133" s="610"/>
      <c r="Y133" s="610"/>
      <c r="Z133" s="610"/>
      <c r="AA133" s="600"/>
      <c r="AB133" s="600"/>
      <c r="AC133" s="600"/>
    </row>
    <row r="134" spans="1:68" ht="14.25" hidden="1" customHeight="1" x14ac:dyDescent="0.25">
      <c r="A134" s="609" t="s">
        <v>121</v>
      </c>
      <c r="B134" s="610"/>
      <c r="C134" s="610"/>
      <c r="D134" s="610"/>
      <c r="E134" s="610"/>
      <c r="F134" s="610"/>
      <c r="G134" s="610"/>
      <c r="H134" s="610"/>
      <c r="I134" s="610"/>
      <c r="J134" s="610"/>
      <c r="K134" s="610"/>
      <c r="L134" s="610"/>
      <c r="M134" s="610"/>
      <c r="N134" s="610"/>
      <c r="O134" s="610"/>
      <c r="P134" s="610"/>
      <c r="Q134" s="610"/>
      <c r="R134" s="610"/>
      <c r="S134" s="610"/>
      <c r="T134" s="610"/>
      <c r="U134" s="610"/>
      <c r="V134" s="610"/>
      <c r="W134" s="610"/>
      <c r="X134" s="610"/>
      <c r="Y134" s="610"/>
      <c r="Z134" s="610"/>
      <c r="AA134" s="601"/>
      <c r="AB134" s="601"/>
      <c r="AC134" s="601"/>
    </row>
    <row r="135" spans="1:68" ht="27" hidden="1" customHeight="1" x14ac:dyDescent="0.25">
      <c r="A135" s="54" t="s">
        <v>246</v>
      </c>
      <c r="B135" s="54" t="s">
        <v>247</v>
      </c>
      <c r="C135" s="31">
        <v>4301011562</v>
      </c>
      <c r="D135" s="619">
        <v>4680115882577</v>
      </c>
      <c r="E135" s="62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98</v>
      </c>
      <c r="N135" s="33"/>
      <c r="O135" s="32">
        <v>90</v>
      </c>
      <c r="P135" s="9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246</v>
      </c>
      <c r="B136" s="54" t="s">
        <v>249</v>
      </c>
      <c r="C136" s="31">
        <v>4301011564</v>
      </c>
      <c r="D136" s="619">
        <v>4680115882577</v>
      </c>
      <c r="E136" s="620"/>
      <c r="F136" s="604">
        <v>0.4</v>
      </c>
      <c r="G136" s="32">
        <v>8</v>
      </c>
      <c r="H136" s="604">
        <v>3.2</v>
      </c>
      <c r="I136" s="604">
        <v>3.38</v>
      </c>
      <c r="J136" s="32">
        <v>182</v>
      </c>
      <c r="K136" s="32" t="s">
        <v>77</v>
      </c>
      <c r="L136" s="32"/>
      <c r="M136" s="33" t="s">
        <v>98</v>
      </c>
      <c r="N136" s="33"/>
      <c r="O136" s="32">
        <v>90</v>
      </c>
      <c r="P136" s="90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12"/>
      <c r="R136" s="612"/>
      <c r="S136" s="612"/>
      <c r="T136" s="613"/>
      <c r="U136" s="34"/>
      <c r="V136" s="34"/>
      <c r="W136" s="35" t="s">
        <v>67</v>
      </c>
      <c r="X136" s="605">
        <v>0</v>
      </c>
      <c r="Y136" s="60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16"/>
      <c r="B137" s="610"/>
      <c r="C137" s="610"/>
      <c r="D137" s="610"/>
      <c r="E137" s="610"/>
      <c r="F137" s="610"/>
      <c r="G137" s="610"/>
      <c r="H137" s="610"/>
      <c r="I137" s="610"/>
      <c r="J137" s="610"/>
      <c r="K137" s="610"/>
      <c r="L137" s="610"/>
      <c r="M137" s="610"/>
      <c r="N137" s="610"/>
      <c r="O137" s="617"/>
      <c r="P137" s="621" t="s">
        <v>72</v>
      </c>
      <c r="Q137" s="622"/>
      <c r="R137" s="622"/>
      <c r="S137" s="622"/>
      <c r="T137" s="622"/>
      <c r="U137" s="622"/>
      <c r="V137" s="623"/>
      <c r="W137" s="37" t="s">
        <v>73</v>
      </c>
      <c r="X137" s="607">
        <f>IFERROR(X135/H135,"0")+IFERROR(X136/H136,"0")</f>
        <v>0</v>
      </c>
      <c r="Y137" s="607">
        <f>IFERROR(Y135/H135,"0")+IFERROR(Y136/H136,"0")</f>
        <v>0</v>
      </c>
      <c r="Z137" s="607">
        <f>IFERROR(IF(Z135="",0,Z135),"0")+IFERROR(IF(Z136="",0,Z136),"0")</f>
        <v>0</v>
      </c>
      <c r="AA137" s="608"/>
      <c r="AB137" s="608"/>
      <c r="AC137" s="608"/>
    </row>
    <row r="138" spans="1:68" hidden="1" x14ac:dyDescent="0.2">
      <c r="A138" s="610"/>
      <c r="B138" s="610"/>
      <c r="C138" s="610"/>
      <c r="D138" s="610"/>
      <c r="E138" s="610"/>
      <c r="F138" s="610"/>
      <c r="G138" s="610"/>
      <c r="H138" s="610"/>
      <c r="I138" s="610"/>
      <c r="J138" s="610"/>
      <c r="K138" s="610"/>
      <c r="L138" s="610"/>
      <c r="M138" s="610"/>
      <c r="N138" s="610"/>
      <c r="O138" s="617"/>
      <c r="P138" s="621" t="s">
        <v>72</v>
      </c>
      <c r="Q138" s="622"/>
      <c r="R138" s="622"/>
      <c r="S138" s="622"/>
      <c r="T138" s="622"/>
      <c r="U138" s="622"/>
      <c r="V138" s="623"/>
      <c r="W138" s="37" t="s">
        <v>67</v>
      </c>
      <c r="X138" s="607">
        <f>IFERROR(SUM(X135:X136),"0")</f>
        <v>0</v>
      </c>
      <c r="Y138" s="607">
        <f>IFERROR(SUM(Y135:Y136),"0")</f>
        <v>0</v>
      </c>
      <c r="Z138" s="37"/>
      <c r="AA138" s="608"/>
      <c r="AB138" s="608"/>
      <c r="AC138" s="608"/>
    </row>
    <row r="139" spans="1:68" ht="14.25" hidden="1" customHeight="1" x14ac:dyDescent="0.25">
      <c r="A139" s="609" t="s">
        <v>62</v>
      </c>
      <c r="B139" s="610"/>
      <c r="C139" s="610"/>
      <c r="D139" s="610"/>
      <c r="E139" s="610"/>
      <c r="F139" s="610"/>
      <c r="G139" s="610"/>
      <c r="H139" s="610"/>
      <c r="I139" s="610"/>
      <c r="J139" s="610"/>
      <c r="K139" s="610"/>
      <c r="L139" s="610"/>
      <c r="M139" s="610"/>
      <c r="N139" s="610"/>
      <c r="O139" s="610"/>
      <c r="P139" s="610"/>
      <c r="Q139" s="610"/>
      <c r="R139" s="610"/>
      <c r="S139" s="610"/>
      <c r="T139" s="610"/>
      <c r="U139" s="610"/>
      <c r="V139" s="610"/>
      <c r="W139" s="610"/>
      <c r="X139" s="610"/>
      <c r="Y139" s="610"/>
      <c r="Z139" s="610"/>
      <c r="AA139" s="601"/>
      <c r="AB139" s="601"/>
      <c r="AC139" s="601"/>
    </row>
    <row r="140" spans="1:68" ht="27" hidden="1" customHeight="1" x14ac:dyDescent="0.25">
      <c r="A140" s="54" t="s">
        <v>250</v>
      </c>
      <c r="B140" s="54" t="s">
        <v>251</v>
      </c>
      <c r="C140" s="31">
        <v>4301031234</v>
      </c>
      <c r="D140" s="619">
        <v>4680115883444</v>
      </c>
      <c r="E140" s="62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98</v>
      </c>
      <c r="N140" s="33"/>
      <c r="O140" s="32">
        <v>90</v>
      </c>
      <c r="P140" s="7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252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250</v>
      </c>
      <c r="B141" s="54" t="s">
        <v>253</v>
      </c>
      <c r="C141" s="31">
        <v>4301031235</v>
      </c>
      <c r="D141" s="619">
        <v>4680115883444</v>
      </c>
      <c r="E141" s="620"/>
      <c r="F141" s="604">
        <v>0.35</v>
      </c>
      <c r="G141" s="32">
        <v>8</v>
      </c>
      <c r="H141" s="604">
        <v>2.8</v>
      </c>
      <c r="I141" s="604">
        <v>3.0680000000000001</v>
      </c>
      <c r="J141" s="32">
        <v>182</v>
      </c>
      <c r="K141" s="32" t="s">
        <v>77</v>
      </c>
      <c r="L141" s="32"/>
      <c r="M141" s="33" t="s">
        <v>98</v>
      </c>
      <c r="N141" s="33"/>
      <c r="O141" s="32">
        <v>90</v>
      </c>
      <c r="P141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12"/>
      <c r="R141" s="612"/>
      <c r="S141" s="612"/>
      <c r="T141" s="613"/>
      <c r="U141" s="34"/>
      <c r="V141" s="34"/>
      <c r="W141" s="35" t="s">
        <v>67</v>
      </c>
      <c r="X141" s="605">
        <v>0</v>
      </c>
      <c r="Y141" s="60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252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16"/>
      <c r="B142" s="610"/>
      <c r="C142" s="610"/>
      <c r="D142" s="610"/>
      <c r="E142" s="610"/>
      <c r="F142" s="610"/>
      <c r="G142" s="610"/>
      <c r="H142" s="610"/>
      <c r="I142" s="610"/>
      <c r="J142" s="610"/>
      <c r="K142" s="610"/>
      <c r="L142" s="610"/>
      <c r="M142" s="610"/>
      <c r="N142" s="610"/>
      <c r="O142" s="617"/>
      <c r="P142" s="621" t="s">
        <v>72</v>
      </c>
      <c r="Q142" s="622"/>
      <c r="R142" s="622"/>
      <c r="S142" s="622"/>
      <c r="T142" s="622"/>
      <c r="U142" s="622"/>
      <c r="V142" s="623"/>
      <c r="W142" s="37" t="s">
        <v>73</v>
      </c>
      <c r="X142" s="607">
        <f>IFERROR(X140/H140,"0")+IFERROR(X141/H141,"0")</f>
        <v>0</v>
      </c>
      <c r="Y142" s="607">
        <f>IFERROR(Y140/H140,"0")+IFERROR(Y141/H141,"0")</f>
        <v>0</v>
      </c>
      <c r="Z142" s="607">
        <f>IFERROR(IF(Z140="",0,Z140),"0")+IFERROR(IF(Z141="",0,Z141),"0")</f>
        <v>0</v>
      </c>
      <c r="AA142" s="608"/>
      <c r="AB142" s="608"/>
      <c r="AC142" s="608"/>
    </row>
    <row r="143" spans="1:68" hidden="1" x14ac:dyDescent="0.2">
      <c r="A143" s="610"/>
      <c r="B143" s="610"/>
      <c r="C143" s="610"/>
      <c r="D143" s="610"/>
      <c r="E143" s="610"/>
      <c r="F143" s="610"/>
      <c r="G143" s="610"/>
      <c r="H143" s="610"/>
      <c r="I143" s="610"/>
      <c r="J143" s="610"/>
      <c r="K143" s="610"/>
      <c r="L143" s="610"/>
      <c r="M143" s="610"/>
      <c r="N143" s="610"/>
      <c r="O143" s="617"/>
      <c r="P143" s="621" t="s">
        <v>72</v>
      </c>
      <c r="Q143" s="622"/>
      <c r="R143" s="622"/>
      <c r="S143" s="622"/>
      <c r="T143" s="622"/>
      <c r="U143" s="622"/>
      <c r="V143" s="623"/>
      <c r="W143" s="37" t="s">
        <v>67</v>
      </c>
      <c r="X143" s="607">
        <f>IFERROR(SUM(X140:X141),"0")</f>
        <v>0</v>
      </c>
      <c r="Y143" s="607">
        <f>IFERROR(SUM(Y140:Y141),"0")</f>
        <v>0</v>
      </c>
      <c r="Z143" s="37"/>
      <c r="AA143" s="608"/>
      <c r="AB143" s="608"/>
      <c r="AC143" s="608"/>
    </row>
    <row r="144" spans="1:68" ht="14.25" hidden="1" customHeight="1" x14ac:dyDescent="0.25">
      <c r="A144" s="609" t="s">
        <v>74</v>
      </c>
      <c r="B144" s="610"/>
      <c r="C144" s="610"/>
      <c r="D144" s="610"/>
      <c r="E144" s="610"/>
      <c r="F144" s="610"/>
      <c r="G144" s="610"/>
      <c r="H144" s="610"/>
      <c r="I144" s="610"/>
      <c r="J144" s="610"/>
      <c r="K144" s="610"/>
      <c r="L144" s="610"/>
      <c r="M144" s="610"/>
      <c r="N144" s="610"/>
      <c r="O144" s="610"/>
      <c r="P144" s="610"/>
      <c r="Q144" s="610"/>
      <c r="R144" s="610"/>
      <c r="S144" s="610"/>
      <c r="T144" s="610"/>
      <c r="U144" s="610"/>
      <c r="V144" s="610"/>
      <c r="W144" s="610"/>
      <c r="X144" s="610"/>
      <c r="Y144" s="610"/>
      <c r="Z144" s="610"/>
      <c r="AA144" s="601"/>
      <c r="AB144" s="601"/>
      <c r="AC144" s="601"/>
    </row>
    <row r="145" spans="1:68" ht="16.5" hidden="1" customHeight="1" x14ac:dyDescent="0.25">
      <c r="A145" s="54" t="s">
        <v>254</v>
      </c>
      <c r="B145" s="54" t="s">
        <v>255</v>
      </c>
      <c r="C145" s="31">
        <v>4301051476</v>
      </c>
      <c r="D145" s="619">
        <v>4680115882584</v>
      </c>
      <c r="E145" s="62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98</v>
      </c>
      <c r="N145" s="33"/>
      <c r="O145" s="32">
        <v>60</v>
      </c>
      <c r="P145" s="67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248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254</v>
      </c>
      <c r="B146" s="54" t="s">
        <v>256</v>
      </c>
      <c r="C146" s="31">
        <v>4301051477</v>
      </c>
      <c r="D146" s="619">
        <v>4680115882584</v>
      </c>
      <c r="E146" s="620"/>
      <c r="F146" s="604">
        <v>0.33</v>
      </c>
      <c r="G146" s="32">
        <v>8</v>
      </c>
      <c r="H146" s="604">
        <v>2.64</v>
      </c>
      <c r="I146" s="604">
        <v>2.9079999999999999</v>
      </c>
      <c r="J146" s="32">
        <v>182</v>
      </c>
      <c r="K146" s="32" t="s">
        <v>77</v>
      </c>
      <c r="L146" s="32"/>
      <c r="M146" s="33" t="s">
        <v>98</v>
      </c>
      <c r="N146" s="33"/>
      <c r="O146" s="32">
        <v>60</v>
      </c>
      <c r="P146" s="92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12"/>
      <c r="R146" s="612"/>
      <c r="S146" s="612"/>
      <c r="T146" s="613"/>
      <c r="U146" s="34"/>
      <c r="V146" s="34"/>
      <c r="W146" s="35" t="s">
        <v>67</v>
      </c>
      <c r="X146" s="605">
        <v>0</v>
      </c>
      <c r="Y146" s="60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248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16"/>
      <c r="B147" s="610"/>
      <c r="C147" s="610"/>
      <c r="D147" s="610"/>
      <c r="E147" s="610"/>
      <c r="F147" s="610"/>
      <c r="G147" s="610"/>
      <c r="H147" s="610"/>
      <c r="I147" s="610"/>
      <c r="J147" s="610"/>
      <c r="K147" s="610"/>
      <c r="L147" s="610"/>
      <c r="M147" s="610"/>
      <c r="N147" s="610"/>
      <c r="O147" s="617"/>
      <c r="P147" s="621" t="s">
        <v>72</v>
      </c>
      <c r="Q147" s="622"/>
      <c r="R147" s="622"/>
      <c r="S147" s="622"/>
      <c r="T147" s="622"/>
      <c r="U147" s="622"/>
      <c r="V147" s="623"/>
      <c r="W147" s="37" t="s">
        <v>73</v>
      </c>
      <c r="X147" s="607">
        <f>IFERROR(X145/H145,"0")+IFERROR(X146/H146,"0")</f>
        <v>0</v>
      </c>
      <c r="Y147" s="607">
        <f>IFERROR(Y145/H145,"0")+IFERROR(Y146/H146,"0")</f>
        <v>0</v>
      </c>
      <c r="Z147" s="607">
        <f>IFERROR(IF(Z145="",0,Z145),"0")+IFERROR(IF(Z146="",0,Z146),"0")</f>
        <v>0</v>
      </c>
      <c r="AA147" s="608"/>
      <c r="AB147" s="608"/>
      <c r="AC147" s="608"/>
    </row>
    <row r="148" spans="1:68" hidden="1" x14ac:dyDescent="0.2">
      <c r="A148" s="610"/>
      <c r="B148" s="610"/>
      <c r="C148" s="610"/>
      <c r="D148" s="610"/>
      <c r="E148" s="610"/>
      <c r="F148" s="610"/>
      <c r="G148" s="610"/>
      <c r="H148" s="610"/>
      <c r="I148" s="610"/>
      <c r="J148" s="610"/>
      <c r="K148" s="610"/>
      <c r="L148" s="610"/>
      <c r="M148" s="610"/>
      <c r="N148" s="610"/>
      <c r="O148" s="617"/>
      <c r="P148" s="621" t="s">
        <v>72</v>
      </c>
      <c r="Q148" s="622"/>
      <c r="R148" s="622"/>
      <c r="S148" s="622"/>
      <c r="T148" s="622"/>
      <c r="U148" s="622"/>
      <c r="V148" s="623"/>
      <c r="W148" s="37" t="s">
        <v>67</v>
      </c>
      <c r="X148" s="607">
        <f>IFERROR(SUM(X145:X146),"0")</f>
        <v>0</v>
      </c>
      <c r="Y148" s="607">
        <f>IFERROR(SUM(Y145:Y146),"0")</f>
        <v>0</v>
      </c>
      <c r="Z148" s="37"/>
      <c r="AA148" s="608"/>
      <c r="AB148" s="608"/>
      <c r="AC148" s="608"/>
    </row>
    <row r="149" spans="1:68" ht="16.5" hidden="1" customHeight="1" x14ac:dyDescent="0.25">
      <c r="A149" s="647" t="s">
        <v>257</v>
      </c>
      <c r="B149" s="610"/>
      <c r="C149" s="610"/>
      <c r="D149" s="610"/>
      <c r="E149" s="610"/>
      <c r="F149" s="610"/>
      <c r="G149" s="610"/>
      <c r="H149" s="610"/>
      <c r="I149" s="610"/>
      <c r="J149" s="610"/>
      <c r="K149" s="610"/>
      <c r="L149" s="610"/>
      <c r="M149" s="610"/>
      <c r="N149" s="610"/>
      <c r="O149" s="610"/>
      <c r="P149" s="610"/>
      <c r="Q149" s="610"/>
      <c r="R149" s="610"/>
      <c r="S149" s="610"/>
      <c r="T149" s="610"/>
      <c r="U149" s="610"/>
      <c r="V149" s="610"/>
      <c r="W149" s="610"/>
      <c r="X149" s="610"/>
      <c r="Y149" s="610"/>
      <c r="Z149" s="610"/>
      <c r="AA149" s="600"/>
      <c r="AB149" s="600"/>
      <c r="AC149" s="600"/>
    </row>
    <row r="150" spans="1:68" ht="14.25" hidden="1" customHeight="1" x14ac:dyDescent="0.25">
      <c r="A150" s="609" t="s">
        <v>74</v>
      </c>
      <c r="B150" s="610"/>
      <c r="C150" s="610"/>
      <c r="D150" s="610"/>
      <c r="E150" s="610"/>
      <c r="F150" s="610"/>
      <c r="G150" s="610"/>
      <c r="H150" s="610"/>
      <c r="I150" s="610"/>
      <c r="J150" s="610"/>
      <c r="K150" s="610"/>
      <c r="L150" s="610"/>
      <c r="M150" s="610"/>
      <c r="N150" s="610"/>
      <c r="O150" s="610"/>
      <c r="P150" s="610"/>
      <c r="Q150" s="610"/>
      <c r="R150" s="610"/>
      <c r="S150" s="610"/>
      <c r="T150" s="610"/>
      <c r="U150" s="610"/>
      <c r="V150" s="610"/>
      <c r="W150" s="610"/>
      <c r="X150" s="610"/>
      <c r="Y150" s="610"/>
      <c r="Z150" s="610"/>
      <c r="AA150" s="601"/>
      <c r="AB150" s="601"/>
      <c r="AC150" s="601"/>
    </row>
    <row r="151" spans="1:68" ht="27" hidden="1" customHeight="1" x14ac:dyDescent="0.25">
      <c r="A151" s="54" t="s">
        <v>258</v>
      </c>
      <c r="B151" s="54" t="s">
        <v>259</v>
      </c>
      <c r="C151" s="31">
        <v>4301052174</v>
      </c>
      <c r="D151" s="619">
        <v>4680115888203</v>
      </c>
      <c r="E151" s="62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44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261</v>
      </c>
      <c r="B152" s="54" t="s">
        <v>262</v>
      </c>
      <c r="C152" s="31">
        <v>4301052172</v>
      </c>
      <c r="D152" s="619">
        <v>4680115888180</v>
      </c>
      <c r="E152" s="62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264</v>
      </c>
      <c r="B153" s="54" t="s">
        <v>265</v>
      </c>
      <c r="C153" s="31">
        <v>4301052173</v>
      </c>
      <c r="D153" s="619">
        <v>4680115888197</v>
      </c>
      <c r="E153" s="62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0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267</v>
      </c>
      <c r="B154" s="54" t="s">
        <v>268</v>
      </c>
      <c r="C154" s="31">
        <v>4301052175</v>
      </c>
      <c r="D154" s="619">
        <v>4680115888210</v>
      </c>
      <c r="E154" s="620"/>
      <c r="F154" s="604">
        <v>0.22</v>
      </c>
      <c r="G154" s="32">
        <v>9</v>
      </c>
      <c r="H154" s="604">
        <v>1.98</v>
      </c>
      <c r="I154" s="604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1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12"/>
      <c r="R154" s="612"/>
      <c r="S154" s="612"/>
      <c r="T154" s="613"/>
      <c r="U154" s="34"/>
      <c r="V154" s="34"/>
      <c r="W154" s="35" t="s">
        <v>67</v>
      </c>
      <c r="X154" s="605">
        <v>0</v>
      </c>
      <c r="Y154" s="60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269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16"/>
      <c r="B155" s="610"/>
      <c r="C155" s="610"/>
      <c r="D155" s="610"/>
      <c r="E155" s="610"/>
      <c r="F155" s="610"/>
      <c r="G155" s="610"/>
      <c r="H155" s="610"/>
      <c r="I155" s="610"/>
      <c r="J155" s="610"/>
      <c r="K155" s="610"/>
      <c r="L155" s="610"/>
      <c r="M155" s="610"/>
      <c r="N155" s="610"/>
      <c r="O155" s="617"/>
      <c r="P155" s="621" t="s">
        <v>72</v>
      </c>
      <c r="Q155" s="622"/>
      <c r="R155" s="622"/>
      <c r="S155" s="622"/>
      <c r="T155" s="622"/>
      <c r="U155" s="622"/>
      <c r="V155" s="623"/>
      <c r="W155" s="37" t="s">
        <v>73</v>
      </c>
      <c r="X155" s="607">
        <f>IFERROR(X151/H151,"0")+IFERROR(X152/H152,"0")+IFERROR(X153/H153,"0")+IFERROR(X154/H154,"0")</f>
        <v>0</v>
      </c>
      <c r="Y155" s="607">
        <f>IFERROR(Y151/H151,"0")+IFERROR(Y152/H152,"0")+IFERROR(Y153/H153,"0")+IFERROR(Y154/H154,"0")</f>
        <v>0</v>
      </c>
      <c r="Z155" s="607">
        <f>IFERROR(IF(Z151="",0,Z151),"0")+IFERROR(IF(Z152="",0,Z152),"0")+IFERROR(IF(Z153="",0,Z153),"0")+IFERROR(IF(Z154="",0,Z154),"0")</f>
        <v>0</v>
      </c>
      <c r="AA155" s="608"/>
      <c r="AB155" s="608"/>
      <c r="AC155" s="608"/>
    </row>
    <row r="156" spans="1:68" hidden="1" x14ac:dyDescent="0.2">
      <c r="A156" s="610"/>
      <c r="B156" s="610"/>
      <c r="C156" s="610"/>
      <c r="D156" s="610"/>
      <c r="E156" s="610"/>
      <c r="F156" s="610"/>
      <c r="G156" s="610"/>
      <c r="H156" s="610"/>
      <c r="I156" s="610"/>
      <c r="J156" s="610"/>
      <c r="K156" s="610"/>
      <c r="L156" s="610"/>
      <c r="M156" s="610"/>
      <c r="N156" s="610"/>
      <c r="O156" s="617"/>
      <c r="P156" s="621" t="s">
        <v>72</v>
      </c>
      <c r="Q156" s="622"/>
      <c r="R156" s="622"/>
      <c r="S156" s="622"/>
      <c r="T156" s="622"/>
      <c r="U156" s="622"/>
      <c r="V156" s="623"/>
      <c r="W156" s="37" t="s">
        <v>67</v>
      </c>
      <c r="X156" s="607">
        <f>IFERROR(SUM(X151:X154),"0")</f>
        <v>0</v>
      </c>
      <c r="Y156" s="607">
        <f>IFERROR(SUM(Y151:Y154),"0")</f>
        <v>0</v>
      </c>
      <c r="Z156" s="37"/>
      <c r="AA156" s="608"/>
      <c r="AB156" s="608"/>
      <c r="AC156" s="608"/>
    </row>
    <row r="157" spans="1:68" ht="16.5" hidden="1" customHeight="1" x14ac:dyDescent="0.25">
      <c r="A157" s="647" t="s">
        <v>119</v>
      </c>
      <c r="B157" s="610"/>
      <c r="C157" s="610"/>
      <c r="D157" s="610"/>
      <c r="E157" s="610"/>
      <c r="F157" s="610"/>
      <c r="G157" s="610"/>
      <c r="H157" s="610"/>
      <c r="I157" s="610"/>
      <c r="J157" s="610"/>
      <c r="K157" s="610"/>
      <c r="L157" s="610"/>
      <c r="M157" s="610"/>
      <c r="N157" s="610"/>
      <c r="O157" s="610"/>
      <c r="P157" s="610"/>
      <c r="Q157" s="610"/>
      <c r="R157" s="610"/>
      <c r="S157" s="610"/>
      <c r="T157" s="610"/>
      <c r="U157" s="610"/>
      <c r="V157" s="610"/>
      <c r="W157" s="610"/>
      <c r="X157" s="610"/>
      <c r="Y157" s="610"/>
      <c r="Z157" s="610"/>
      <c r="AA157" s="600"/>
      <c r="AB157" s="600"/>
      <c r="AC157" s="600"/>
    </row>
    <row r="158" spans="1:68" ht="14.25" hidden="1" customHeight="1" x14ac:dyDescent="0.25">
      <c r="A158" s="609" t="s">
        <v>121</v>
      </c>
      <c r="B158" s="610"/>
      <c r="C158" s="610"/>
      <c r="D158" s="610"/>
      <c r="E158" s="610"/>
      <c r="F158" s="610"/>
      <c r="G158" s="610"/>
      <c r="H158" s="610"/>
      <c r="I158" s="610"/>
      <c r="J158" s="610"/>
      <c r="K158" s="610"/>
      <c r="L158" s="610"/>
      <c r="M158" s="610"/>
      <c r="N158" s="610"/>
      <c r="O158" s="610"/>
      <c r="P158" s="610"/>
      <c r="Q158" s="610"/>
      <c r="R158" s="610"/>
      <c r="S158" s="610"/>
      <c r="T158" s="610"/>
      <c r="U158" s="610"/>
      <c r="V158" s="610"/>
      <c r="W158" s="610"/>
      <c r="X158" s="610"/>
      <c r="Y158" s="610"/>
      <c r="Z158" s="610"/>
      <c r="AA158" s="601"/>
      <c r="AB158" s="601"/>
      <c r="AC158" s="601"/>
    </row>
    <row r="159" spans="1:68" ht="27" hidden="1" customHeight="1" x14ac:dyDescent="0.25">
      <c r="A159" s="54" t="s">
        <v>270</v>
      </c>
      <c r="B159" s="54" t="s">
        <v>271</v>
      </c>
      <c r="C159" s="31">
        <v>4301012244</v>
      </c>
      <c r="D159" s="619">
        <v>4680115887374</v>
      </c>
      <c r="E159" s="620"/>
      <c r="F159" s="604">
        <v>1.6</v>
      </c>
      <c r="G159" s="32">
        <v>8</v>
      </c>
      <c r="H159" s="604">
        <v>12.8</v>
      </c>
      <c r="I159" s="604">
        <v>13.21</v>
      </c>
      <c r="J159" s="32">
        <v>64</v>
      </c>
      <c r="K159" s="32" t="s">
        <v>124</v>
      </c>
      <c r="L159" s="32"/>
      <c r="M159" s="33" t="s">
        <v>125</v>
      </c>
      <c r="N159" s="33"/>
      <c r="O159" s="32">
        <v>55</v>
      </c>
      <c r="P159" s="79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19">
        <v>4607091384604</v>
      </c>
      <c r="E160" s="620"/>
      <c r="F160" s="604">
        <v>0.4</v>
      </c>
      <c r="G160" s="32">
        <v>10</v>
      </c>
      <c r="H160" s="604">
        <v>4</v>
      </c>
      <c r="I160" s="604">
        <v>4.1900000000000004</v>
      </c>
      <c r="J160" s="32">
        <v>132</v>
      </c>
      <c r="K160" s="32" t="s">
        <v>133</v>
      </c>
      <c r="L160" s="32"/>
      <c r="M160" s="33" t="s">
        <v>125</v>
      </c>
      <c r="N160" s="33"/>
      <c r="O160" s="32">
        <v>50</v>
      </c>
      <c r="P160" s="6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12"/>
      <c r="R160" s="612"/>
      <c r="S160" s="612"/>
      <c r="T160" s="613"/>
      <c r="U160" s="34"/>
      <c r="V160" s="34"/>
      <c r="W160" s="35" t="s">
        <v>67</v>
      </c>
      <c r="X160" s="605">
        <v>0</v>
      </c>
      <c r="Y160" s="60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16"/>
      <c r="B161" s="610"/>
      <c r="C161" s="610"/>
      <c r="D161" s="610"/>
      <c r="E161" s="610"/>
      <c r="F161" s="610"/>
      <c r="G161" s="610"/>
      <c r="H161" s="610"/>
      <c r="I161" s="610"/>
      <c r="J161" s="610"/>
      <c r="K161" s="610"/>
      <c r="L161" s="610"/>
      <c r="M161" s="610"/>
      <c r="N161" s="610"/>
      <c r="O161" s="617"/>
      <c r="P161" s="621" t="s">
        <v>72</v>
      </c>
      <c r="Q161" s="622"/>
      <c r="R161" s="622"/>
      <c r="S161" s="622"/>
      <c r="T161" s="622"/>
      <c r="U161" s="622"/>
      <c r="V161" s="623"/>
      <c r="W161" s="37" t="s">
        <v>73</v>
      </c>
      <c r="X161" s="607">
        <f>IFERROR(X159/H159,"0")+IFERROR(X160/H160,"0")</f>
        <v>0</v>
      </c>
      <c r="Y161" s="607">
        <f>IFERROR(Y159/H159,"0")+IFERROR(Y160/H160,"0")</f>
        <v>0</v>
      </c>
      <c r="Z161" s="607">
        <f>IFERROR(IF(Z159="",0,Z159),"0")+IFERROR(IF(Z160="",0,Z160),"0")</f>
        <v>0</v>
      </c>
      <c r="AA161" s="608"/>
      <c r="AB161" s="608"/>
      <c r="AC161" s="608"/>
    </row>
    <row r="162" spans="1:68" hidden="1" x14ac:dyDescent="0.2">
      <c r="A162" s="610"/>
      <c r="B162" s="610"/>
      <c r="C162" s="610"/>
      <c r="D162" s="610"/>
      <c r="E162" s="610"/>
      <c r="F162" s="610"/>
      <c r="G162" s="610"/>
      <c r="H162" s="610"/>
      <c r="I162" s="610"/>
      <c r="J162" s="610"/>
      <c r="K162" s="610"/>
      <c r="L162" s="610"/>
      <c r="M162" s="610"/>
      <c r="N162" s="610"/>
      <c r="O162" s="617"/>
      <c r="P162" s="621" t="s">
        <v>72</v>
      </c>
      <c r="Q162" s="622"/>
      <c r="R162" s="622"/>
      <c r="S162" s="622"/>
      <c r="T162" s="622"/>
      <c r="U162" s="622"/>
      <c r="V162" s="623"/>
      <c r="W162" s="37" t="s">
        <v>67</v>
      </c>
      <c r="X162" s="607">
        <f>IFERROR(SUM(X159:X160),"0")</f>
        <v>0</v>
      </c>
      <c r="Y162" s="607">
        <f>IFERROR(SUM(Y159:Y160),"0")</f>
        <v>0</v>
      </c>
      <c r="Z162" s="37"/>
      <c r="AA162" s="608"/>
      <c r="AB162" s="608"/>
      <c r="AC162" s="608"/>
    </row>
    <row r="163" spans="1:68" ht="14.25" hidden="1" customHeight="1" x14ac:dyDescent="0.25">
      <c r="A163" s="609" t="s">
        <v>156</v>
      </c>
      <c r="B163" s="610"/>
      <c r="C163" s="610"/>
      <c r="D163" s="610"/>
      <c r="E163" s="610"/>
      <c r="F163" s="610"/>
      <c r="G163" s="610"/>
      <c r="H163" s="610"/>
      <c r="I163" s="610"/>
      <c r="J163" s="610"/>
      <c r="K163" s="610"/>
      <c r="L163" s="610"/>
      <c r="M163" s="610"/>
      <c r="N163" s="610"/>
      <c r="O163" s="610"/>
      <c r="P163" s="610"/>
      <c r="Q163" s="610"/>
      <c r="R163" s="610"/>
      <c r="S163" s="610"/>
      <c r="T163" s="610"/>
      <c r="U163" s="610"/>
      <c r="V163" s="610"/>
      <c r="W163" s="610"/>
      <c r="X163" s="610"/>
      <c r="Y163" s="610"/>
      <c r="Z163" s="610"/>
      <c r="AA163" s="601"/>
      <c r="AB163" s="601"/>
      <c r="AC163" s="601"/>
    </row>
    <row r="164" spans="1:68" ht="16.5" hidden="1" customHeight="1" x14ac:dyDescent="0.25">
      <c r="A164" s="54" t="s">
        <v>276</v>
      </c>
      <c r="B164" s="54" t="s">
        <v>277</v>
      </c>
      <c r="C164" s="31">
        <v>4301020410</v>
      </c>
      <c r="D164" s="619">
        <v>4680115887695</v>
      </c>
      <c r="E164" s="620"/>
      <c r="F164" s="604">
        <v>0.12</v>
      </c>
      <c r="G164" s="32">
        <v>6</v>
      </c>
      <c r="H164" s="604">
        <v>0.72</v>
      </c>
      <c r="I164" s="604">
        <v>0.85</v>
      </c>
      <c r="J164" s="32">
        <v>252</v>
      </c>
      <c r="K164" s="32" t="s">
        <v>65</v>
      </c>
      <c r="L164" s="32"/>
      <c r="M164" s="33" t="s">
        <v>66</v>
      </c>
      <c r="N164" s="33"/>
      <c r="O164" s="32">
        <v>30</v>
      </c>
      <c r="P164" s="71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12"/>
      <c r="R164" s="612"/>
      <c r="S164" s="612"/>
      <c r="T164" s="613"/>
      <c r="U164" s="34"/>
      <c r="V164" s="34"/>
      <c r="W164" s="35" t="s">
        <v>67</v>
      </c>
      <c r="X164" s="605">
        <v>0</v>
      </c>
      <c r="Y164" s="606">
        <f>IFERROR(IF(X164="",0,CEILING((X164/$H164),1)*$H164),"")</f>
        <v>0</v>
      </c>
      <c r="Z164" s="36" t="str">
        <f>IFERROR(IF(Y164=0,"",ROUNDUP(Y164/H164,0)*0.00556),"")</f>
        <v/>
      </c>
      <c r="AA164" s="56"/>
      <c r="AB164" s="57"/>
      <c r="AC164" s="213" t="s">
        <v>278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16"/>
      <c r="B165" s="610"/>
      <c r="C165" s="610"/>
      <c r="D165" s="610"/>
      <c r="E165" s="610"/>
      <c r="F165" s="610"/>
      <c r="G165" s="610"/>
      <c r="H165" s="610"/>
      <c r="I165" s="610"/>
      <c r="J165" s="610"/>
      <c r="K165" s="610"/>
      <c r="L165" s="610"/>
      <c r="M165" s="610"/>
      <c r="N165" s="610"/>
      <c r="O165" s="617"/>
      <c r="P165" s="621" t="s">
        <v>72</v>
      </c>
      <c r="Q165" s="622"/>
      <c r="R165" s="622"/>
      <c r="S165" s="622"/>
      <c r="T165" s="622"/>
      <c r="U165" s="622"/>
      <c r="V165" s="623"/>
      <c r="W165" s="37" t="s">
        <v>73</v>
      </c>
      <c r="X165" s="607">
        <f>IFERROR(X164/H164,"0")</f>
        <v>0</v>
      </c>
      <c r="Y165" s="607">
        <f>IFERROR(Y164/H164,"0")</f>
        <v>0</v>
      </c>
      <c r="Z165" s="607">
        <f>IFERROR(IF(Z164="",0,Z164),"0")</f>
        <v>0</v>
      </c>
      <c r="AA165" s="608"/>
      <c r="AB165" s="608"/>
      <c r="AC165" s="608"/>
    </row>
    <row r="166" spans="1:68" hidden="1" x14ac:dyDescent="0.2">
      <c r="A166" s="610"/>
      <c r="B166" s="610"/>
      <c r="C166" s="610"/>
      <c r="D166" s="610"/>
      <c r="E166" s="610"/>
      <c r="F166" s="610"/>
      <c r="G166" s="610"/>
      <c r="H166" s="610"/>
      <c r="I166" s="610"/>
      <c r="J166" s="610"/>
      <c r="K166" s="610"/>
      <c r="L166" s="610"/>
      <c r="M166" s="610"/>
      <c r="N166" s="610"/>
      <c r="O166" s="617"/>
      <c r="P166" s="621" t="s">
        <v>72</v>
      </c>
      <c r="Q166" s="622"/>
      <c r="R166" s="622"/>
      <c r="S166" s="622"/>
      <c r="T166" s="622"/>
      <c r="U166" s="622"/>
      <c r="V166" s="623"/>
      <c r="W166" s="37" t="s">
        <v>67</v>
      </c>
      <c r="X166" s="607">
        <f>IFERROR(SUM(X164:X164),"0")</f>
        <v>0</v>
      </c>
      <c r="Y166" s="607">
        <f>IFERROR(SUM(Y164:Y164),"0")</f>
        <v>0</v>
      </c>
      <c r="Z166" s="37"/>
      <c r="AA166" s="608"/>
      <c r="AB166" s="608"/>
      <c r="AC166" s="608"/>
    </row>
    <row r="167" spans="1:68" ht="14.25" hidden="1" customHeight="1" x14ac:dyDescent="0.25">
      <c r="A167" s="609" t="s">
        <v>62</v>
      </c>
      <c r="B167" s="610"/>
      <c r="C167" s="610"/>
      <c r="D167" s="610"/>
      <c r="E167" s="610"/>
      <c r="F167" s="610"/>
      <c r="G167" s="610"/>
      <c r="H167" s="610"/>
      <c r="I167" s="610"/>
      <c r="J167" s="610"/>
      <c r="K167" s="610"/>
      <c r="L167" s="610"/>
      <c r="M167" s="610"/>
      <c r="N167" s="610"/>
      <c r="O167" s="610"/>
      <c r="P167" s="610"/>
      <c r="Q167" s="610"/>
      <c r="R167" s="610"/>
      <c r="S167" s="610"/>
      <c r="T167" s="610"/>
      <c r="U167" s="610"/>
      <c r="V167" s="610"/>
      <c r="W167" s="610"/>
      <c r="X167" s="610"/>
      <c r="Y167" s="610"/>
      <c r="Z167" s="610"/>
      <c r="AA167" s="601"/>
      <c r="AB167" s="601"/>
      <c r="AC167" s="601"/>
    </row>
    <row r="168" spans="1:68" ht="27" hidden="1" customHeight="1" x14ac:dyDescent="0.25">
      <c r="A168" s="54" t="s">
        <v>279</v>
      </c>
      <c r="B168" s="54" t="s">
        <v>280</v>
      </c>
      <c r="C168" s="31">
        <v>4301031496</v>
      </c>
      <c r="D168" s="619">
        <v>4680115887428</v>
      </c>
      <c r="E168" s="620"/>
      <c r="F168" s="604">
        <v>0.7</v>
      </c>
      <c r="G168" s="32">
        <v>5</v>
      </c>
      <c r="H168" s="604">
        <v>3.5</v>
      </c>
      <c r="I168" s="604">
        <v>3.69</v>
      </c>
      <c r="J168" s="32">
        <v>132</v>
      </c>
      <c r="K168" s="32" t="s">
        <v>133</v>
      </c>
      <c r="L168" s="32"/>
      <c r="M168" s="33" t="s">
        <v>66</v>
      </c>
      <c r="N168" s="33"/>
      <c r="O168" s="32">
        <v>40</v>
      </c>
      <c r="P168" s="71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0</v>
      </c>
      <c r="Y168" s="606">
        <f t="shared" ref="Y168:Y178" si="21"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ref="BM168:BM178" si="22">IFERROR(X168*I168/H168,"0")</f>
        <v>0</v>
      </c>
      <c r="BN168" s="64">
        <f t="shared" ref="BN168:BN178" si="23">IFERROR(Y168*I168/H168,"0")</f>
        <v>0</v>
      </c>
      <c r="BO168" s="64">
        <f t="shared" ref="BO168:BO178" si="24">IFERROR(1/J168*(X168/H168),"0")</f>
        <v>0</v>
      </c>
      <c r="BP168" s="64">
        <f t="shared" ref="BP168:BP178" si="25">IFERROR(1/J168*(Y168/H168),"0")</f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4301030963</v>
      </c>
      <c r="D169" s="619">
        <v>4607091382426</v>
      </c>
      <c r="E169" s="620"/>
      <c r="F169" s="604">
        <v>0.9</v>
      </c>
      <c r="G169" s="32">
        <v>10</v>
      </c>
      <c r="H169" s="604">
        <v>9</v>
      </c>
      <c r="I169" s="604">
        <v>9.56</v>
      </c>
      <c r="J169" s="32">
        <v>64</v>
      </c>
      <c r="K169" s="32" t="s">
        <v>124</v>
      </c>
      <c r="L169" s="32"/>
      <c r="M169" s="33" t="s">
        <v>66</v>
      </c>
      <c r="N169" s="33"/>
      <c r="O169" s="32">
        <v>40</v>
      </c>
      <c r="P169" s="73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0</v>
      </c>
      <c r="Y169" s="606">
        <f t="shared" si="21"/>
        <v>0</v>
      </c>
      <c r="Z169" s="36" t="str">
        <f>IFERROR(IF(Y169=0,"",ROUNDUP(Y169/H169,0)*0.01898),"")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4301031498</v>
      </c>
      <c r="D170" s="619">
        <v>4680115887398</v>
      </c>
      <c r="E170" s="62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133</v>
      </c>
      <c r="L170" s="32"/>
      <c r="M170" s="33" t="s">
        <v>66</v>
      </c>
      <c r="N170" s="33"/>
      <c r="O170" s="32">
        <v>40</v>
      </c>
      <c r="P170" s="6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0</v>
      </c>
      <c r="Y170" s="606">
        <f t="shared" si="21"/>
        <v>0</v>
      </c>
      <c r="Z170" s="36" t="str">
        <f>IFERROR(IF(Y170=0,"",ROUNDUP(Y170/H170,0)*0.00902),"")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22"/>
        <v>0</v>
      </c>
      <c r="BN170" s="64">
        <f t="shared" si="23"/>
        <v>0</v>
      </c>
      <c r="BO170" s="64">
        <f t="shared" si="24"/>
        <v>0</v>
      </c>
      <c r="BP170" s="64">
        <f t="shared" si="25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4301031497</v>
      </c>
      <c r="D171" s="619">
        <v>4680115887336</v>
      </c>
      <c r="E171" s="620"/>
      <c r="F171" s="604">
        <v>0.7</v>
      </c>
      <c r="G171" s="32">
        <v>5</v>
      </c>
      <c r="H171" s="604">
        <v>3.5</v>
      </c>
      <c r="I171" s="604">
        <v>3.69</v>
      </c>
      <c r="J171" s="32">
        <v>132</v>
      </c>
      <c r="K171" s="32" t="s">
        <v>133</v>
      </c>
      <c r="L171" s="32"/>
      <c r="M171" s="33" t="s">
        <v>66</v>
      </c>
      <c r="N171" s="33"/>
      <c r="O171" s="32">
        <v>40</v>
      </c>
      <c r="P171" s="69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0</v>
      </c>
      <c r="Y171" s="606">
        <f t="shared" si="21"/>
        <v>0</v>
      </c>
      <c r="Z171" s="36" t="str">
        <f>IFERROR(IF(Y171=0,"",ROUNDUP(Y171/H171,0)*0.00902),"")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22"/>
        <v>0</v>
      </c>
      <c r="BN171" s="64">
        <f t="shared" si="23"/>
        <v>0</v>
      </c>
      <c r="BO171" s="64">
        <f t="shared" si="24"/>
        <v>0</v>
      </c>
      <c r="BP171" s="64">
        <f t="shared" si="25"/>
        <v>0</v>
      </c>
    </row>
    <row r="172" spans="1:68" ht="16.5" hidden="1" customHeight="1" x14ac:dyDescent="0.25">
      <c r="A172" s="54" t="s">
        <v>291</v>
      </c>
      <c r="B172" s="54" t="s">
        <v>292</v>
      </c>
      <c r="C172" s="31">
        <v>4301032049</v>
      </c>
      <c r="D172" s="619">
        <v>4680115887787</v>
      </c>
      <c r="E172" s="620"/>
      <c r="F172" s="604">
        <v>0.09</v>
      </c>
      <c r="G172" s="32">
        <v>10</v>
      </c>
      <c r="H172" s="604">
        <v>0.9</v>
      </c>
      <c r="I172" s="604">
        <v>1.1100000000000001</v>
      </c>
      <c r="J172" s="32">
        <v>336</v>
      </c>
      <c r="K172" s="32" t="s">
        <v>129</v>
      </c>
      <c r="L172" s="32"/>
      <c r="M172" s="33" t="s">
        <v>66</v>
      </c>
      <c r="N172" s="33"/>
      <c r="O172" s="32">
        <v>45</v>
      </c>
      <c r="P172" s="62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0</v>
      </c>
      <c r="Y172" s="606">
        <f t="shared" si="21"/>
        <v>0</v>
      </c>
      <c r="Z172" s="36" t="str">
        <f>IFERROR(IF(Y172=0,"",ROUNDUP(Y172/H172,0)*0.00417),"")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22"/>
        <v>0</v>
      </c>
      <c r="BN172" s="64">
        <f t="shared" si="23"/>
        <v>0</v>
      </c>
      <c r="BO172" s="64">
        <f t="shared" si="24"/>
        <v>0</v>
      </c>
      <c r="BP172" s="64">
        <f t="shared" si="25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4301031448</v>
      </c>
      <c r="D173" s="619">
        <v>4680115887503</v>
      </c>
      <c r="E173" s="620"/>
      <c r="F173" s="604">
        <v>0.28000000000000003</v>
      </c>
      <c r="G173" s="32">
        <v>6</v>
      </c>
      <c r="H173" s="604">
        <v>1.68</v>
      </c>
      <c r="I173" s="604">
        <v>1.78</v>
      </c>
      <c r="J173" s="32">
        <v>234</v>
      </c>
      <c r="K173" s="32" t="s">
        <v>65</v>
      </c>
      <c r="L173" s="32"/>
      <c r="M173" s="33" t="s">
        <v>66</v>
      </c>
      <c r="N173" s="33"/>
      <c r="O173" s="32">
        <v>40</v>
      </c>
      <c r="P173" s="68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0</v>
      </c>
      <c r="Y173" s="606">
        <f t="shared" si="21"/>
        <v>0</v>
      </c>
      <c r="Z173" s="36" t="str">
        <f>IFERROR(IF(Y173=0,"",ROUNDUP(Y173/H173,0)*0.00502),"")</f>
        <v/>
      </c>
      <c r="AA173" s="56"/>
      <c r="AB173" s="57"/>
      <c r="AC173" s="225" t="s">
        <v>281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hidden="1" customHeight="1" x14ac:dyDescent="0.25">
      <c r="A174" s="54" t="s">
        <v>296</v>
      </c>
      <c r="B174" s="54" t="s">
        <v>297</v>
      </c>
      <c r="C174" s="31">
        <v>4301031389</v>
      </c>
      <c r="D174" s="619">
        <v>4680115887763</v>
      </c>
      <c r="E174" s="620"/>
      <c r="F174" s="604">
        <v>0.09</v>
      </c>
      <c r="G174" s="32">
        <v>10</v>
      </c>
      <c r="H174" s="604">
        <v>0.9</v>
      </c>
      <c r="I174" s="604">
        <v>1.1100000000000001</v>
      </c>
      <c r="J174" s="32">
        <v>336</v>
      </c>
      <c r="K174" s="32" t="s">
        <v>129</v>
      </c>
      <c r="L174" s="32"/>
      <c r="M174" s="33" t="s">
        <v>66</v>
      </c>
      <c r="N174" s="33"/>
      <c r="O174" s="32">
        <v>45</v>
      </c>
      <c r="P174" s="9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0</v>
      </c>
      <c r="Y174" s="606">
        <f t="shared" si="21"/>
        <v>0</v>
      </c>
      <c r="Z174" s="36" t="str">
        <f>IFERROR(IF(Y174=0,"",ROUNDUP(Y174/H174,0)*0.00417),"")</f>
        <v/>
      </c>
      <c r="AA174" s="56"/>
      <c r="AB174" s="57"/>
      <c r="AC174" s="227" t="s">
        <v>298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hidden="1" customHeight="1" x14ac:dyDescent="0.25">
      <c r="A175" s="54" t="s">
        <v>296</v>
      </c>
      <c r="B175" s="54" t="s">
        <v>299</v>
      </c>
      <c r="C175" s="31">
        <v>4301031510</v>
      </c>
      <c r="D175" s="619">
        <v>4680115887763</v>
      </c>
      <c r="E175" s="620"/>
      <c r="F175" s="604">
        <v>0.09</v>
      </c>
      <c r="G175" s="32">
        <v>8</v>
      </c>
      <c r="H175" s="604">
        <v>0.72</v>
      </c>
      <c r="I175" s="604">
        <v>0.90800000000000003</v>
      </c>
      <c r="J175" s="32">
        <v>336</v>
      </c>
      <c r="K175" s="32" t="s">
        <v>129</v>
      </c>
      <c r="L175" s="32"/>
      <c r="M175" s="33" t="s">
        <v>66</v>
      </c>
      <c r="N175" s="33"/>
      <c r="O175" s="32">
        <v>45</v>
      </c>
      <c r="P175" s="85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0</v>
      </c>
      <c r="Y175" s="606">
        <f t="shared" si="21"/>
        <v>0</v>
      </c>
      <c r="Z175" s="36" t="str">
        <f>IFERROR(IF(Y175=0,"",ROUNDUP(Y175/H175,0)*0.00417),"")</f>
        <v/>
      </c>
      <c r="AA175" s="56"/>
      <c r="AB175" s="57"/>
      <c r="AC175" s="229" t="s">
        <v>298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4301031454</v>
      </c>
      <c r="D176" s="619">
        <v>4680115887480</v>
      </c>
      <c r="E176" s="620"/>
      <c r="F176" s="604">
        <v>0.28000000000000003</v>
      </c>
      <c r="G176" s="32">
        <v>6</v>
      </c>
      <c r="H176" s="604">
        <v>1.68</v>
      </c>
      <c r="I176" s="604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8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0</v>
      </c>
      <c r="Y176" s="606">
        <f t="shared" si="21"/>
        <v>0</v>
      </c>
      <c r="Z176" s="36" t="str">
        <f>IFERROR(IF(Y176=0,"",ROUNDUP(Y176/H176,0)*0.00502),"")</f>
        <v/>
      </c>
      <c r="AA176" s="56"/>
      <c r="AB176" s="57"/>
      <c r="AC176" s="231" t="s">
        <v>287</v>
      </c>
      <c r="AG176" s="64"/>
      <c r="AJ176" s="68"/>
      <c r="AK176" s="68">
        <v>0</v>
      </c>
      <c r="BB176" s="232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4301031434</v>
      </c>
      <c r="D177" s="619">
        <v>4680115888067</v>
      </c>
      <c r="E177" s="620"/>
      <c r="F177" s="604">
        <v>0.09</v>
      </c>
      <c r="G177" s="32">
        <v>10</v>
      </c>
      <c r="H177" s="604">
        <v>0.9</v>
      </c>
      <c r="I177" s="604">
        <v>1</v>
      </c>
      <c r="J177" s="32">
        <v>336</v>
      </c>
      <c r="K177" s="32" t="s">
        <v>129</v>
      </c>
      <c r="L177" s="32"/>
      <c r="M177" s="33" t="s">
        <v>66</v>
      </c>
      <c r="N177" s="33"/>
      <c r="O177" s="32">
        <v>45</v>
      </c>
      <c r="P177" s="8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0</v>
      </c>
      <c r="Y177" s="606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304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4301031451</v>
      </c>
      <c r="D178" s="619">
        <v>4680115887435</v>
      </c>
      <c r="E178" s="620"/>
      <c r="F178" s="604">
        <v>0.28000000000000003</v>
      </c>
      <c r="G178" s="32">
        <v>6</v>
      </c>
      <c r="H178" s="604">
        <v>1.68</v>
      </c>
      <c r="I178" s="604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40</v>
      </c>
      <c r="P178" s="86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12"/>
      <c r="R178" s="612"/>
      <c r="S178" s="612"/>
      <c r="T178" s="613"/>
      <c r="U178" s="34"/>
      <c r="V178" s="34"/>
      <c r="W178" s="35" t="s">
        <v>67</v>
      </c>
      <c r="X178" s="605">
        <v>0</v>
      </c>
      <c r="Y178" s="606">
        <f t="shared" si="21"/>
        <v>0</v>
      </c>
      <c r="Z178" s="36" t="str">
        <f>IFERROR(IF(Y178=0,"",ROUNDUP(Y178/H178,0)*0.00502),"")</f>
        <v/>
      </c>
      <c r="AA178" s="56"/>
      <c r="AB178" s="57"/>
      <c r="AC178" s="235" t="s">
        <v>290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idden="1" x14ac:dyDescent="0.2">
      <c r="A179" s="616"/>
      <c r="B179" s="610"/>
      <c r="C179" s="610"/>
      <c r="D179" s="610"/>
      <c r="E179" s="610"/>
      <c r="F179" s="610"/>
      <c r="G179" s="610"/>
      <c r="H179" s="610"/>
      <c r="I179" s="610"/>
      <c r="J179" s="610"/>
      <c r="K179" s="610"/>
      <c r="L179" s="610"/>
      <c r="M179" s="610"/>
      <c r="N179" s="610"/>
      <c r="O179" s="617"/>
      <c r="P179" s="621" t="s">
        <v>72</v>
      </c>
      <c r="Q179" s="622"/>
      <c r="R179" s="622"/>
      <c r="S179" s="622"/>
      <c r="T179" s="622"/>
      <c r="U179" s="622"/>
      <c r="V179" s="623"/>
      <c r="W179" s="37" t="s">
        <v>73</v>
      </c>
      <c r="X179" s="607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607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607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08"/>
      <c r="AB179" s="608"/>
      <c r="AC179" s="608"/>
    </row>
    <row r="180" spans="1:68" hidden="1" x14ac:dyDescent="0.2">
      <c r="A180" s="610"/>
      <c r="B180" s="610"/>
      <c r="C180" s="610"/>
      <c r="D180" s="610"/>
      <c r="E180" s="610"/>
      <c r="F180" s="610"/>
      <c r="G180" s="610"/>
      <c r="H180" s="610"/>
      <c r="I180" s="610"/>
      <c r="J180" s="610"/>
      <c r="K180" s="610"/>
      <c r="L180" s="610"/>
      <c r="M180" s="610"/>
      <c r="N180" s="610"/>
      <c r="O180" s="617"/>
      <c r="P180" s="621" t="s">
        <v>72</v>
      </c>
      <c r="Q180" s="622"/>
      <c r="R180" s="622"/>
      <c r="S180" s="622"/>
      <c r="T180" s="622"/>
      <c r="U180" s="622"/>
      <c r="V180" s="623"/>
      <c r="W180" s="37" t="s">
        <v>67</v>
      </c>
      <c r="X180" s="607">
        <f>IFERROR(SUM(X168:X178),"0")</f>
        <v>0</v>
      </c>
      <c r="Y180" s="607">
        <f>IFERROR(SUM(Y168:Y178),"0")</f>
        <v>0</v>
      </c>
      <c r="Z180" s="37"/>
      <c r="AA180" s="608"/>
      <c r="AB180" s="608"/>
      <c r="AC180" s="608"/>
    </row>
    <row r="181" spans="1:68" ht="14.25" hidden="1" customHeight="1" x14ac:dyDescent="0.25">
      <c r="A181" s="609" t="s">
        <v>74</v>
      </c>
      <c r="B181" s="610"/>
      <c r="C181" s="610"/>
      <c r="D181" s="610"/>
      <c r="E181" s="610"/>
      <c r="F181" s="610"/>
      <c r="G181" s="610"/>
      <c r="H181" s="610"/>
      <c r="I181" s="610"/>
      <c r="J181" s="610"/>
      <c r="K181" s="610"/>
      <c r="L181" s="610"/>
      <c r="M181" s="610"/>
      <c r="N181" s="610"/>
      <c r="O181" s="610"/>
      <c r="P181" s="610"/>
      <c r="Q181" s="610"/>
      <c r="R181" s="610"/>
      <c r="S181" s="610"/>
      <c r="T181" s="610"/>
      <c r="U181" s="610"/>
      <c r="V181" s="610"/>
      <c r="W181" s="610"/>
      <c r="X181" s="610"/>
      <c r="Y181" s="610"/>
      <c r="Z181" s="610"/>
      <c r="AA181" s="601"/>
      <c r="AB181" s="601"/>
      <c r="AC181" s="601"/>
    </row>
    <row r="182" spans="1:68" ht="16.5" hidden="1" customHeight="1" x14ac:dyDescent="0.25">
      <c r="A182" s="54" t="s">
        <v>307</v>
      </c>
      <c r="B182" s="54" t="s">
        <v>308</v>
      </c>
      <c r="C182" s="31">
        <v>4301052193</v>
      </c>
      <c r="D182" s="619">
        <v>4680115888395</v>
      </c>
      <c r="E182" s="62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16.5" hidden="1" customHeight="1" x14ac:dyDescent="0.25">
      <c r="A183" s="54" t="s">
        <v>310</v>
      </c>
      <c r="B183" s="54" t="s">
        <v>311</v>
      </c>
      <c r="C183" s="31">
        <v>4301052191</v>
      </c>
      <c r="D183" s="619">
        <v>4680115888371</v>
      </c>
      <c r="E183" s="620"/>
      <c r="F183" s="604">
        <v>0.42</v>
      </c>
      <c r="G183" s="32">
        <v>6</v>
      </c>
      <c r="H183" s="604">
        <v>2.52</v>
      </c>
      <c r="I183" s="604">
        <v>2.766</v>
      </c>
      <c r="J183" s="32">
        <v>182</v>
      </c>
      <c r="K183" s="32" t="s">
        <v>77</v>
      </c>
      <c r="L183" s="32"/>
      <c r="M183" s="33" t="s">
        <v>84</v>
      </c>
      <c r="N183" s="33"/>
      <c r="O183" s="32">
        <v>40</v>
      </c>
      <c r="P183" s="89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313</v>
      </c>
      <c r="B184" s="54" t="s">
        <v>314</v>
      </c>
      <c r="C184" s="31">
        <v>4301052064</v>
      </c>
      <c r="D184" s="619">
        <v>4680115887459</v>
      </c>
      <c r="E184" s="620"/>
      <c r="F184" s="604">
        <v>0.3</v>
      </c>
      <c r="G184" s="32">
        <v>6</v>
      </c>
      <c r="H184" s="604">
        <v>1.8</v>
      </c>
      <c r="I184" s="604">
        <v>2.0579999999999998</v>
      </c>
      <c r="J184" s="32">
        <v>182</v>
      </c>
      <c r="K184" s="32" t="s">
        <v>77</v>
      </c>
      <c r="L184" s="32"/>
      <c r="M184" s="33" t="s">
        <v>78</v>
      </c>
      <c r="N184" s="33"/>
      <c r="O184" s="32">
        <v>45</v>
      </c>
      <c r="P184" s="69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12"/>
      <c r="R184" s="612"/>
      <c r="S184" s="612"/>
      <c r="T184" s="613"/>
      <c r="U184" s="34"/>
      <c r="V184" s="34"/>
      <c r="W184" s="35" t="s">
        <v>67</v>
      </c>
      <c r="X184" s="605">
        <v>0</v>
      </c>
      <c r="Y184" s="60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616"/>
      <c r="B185" s="610"/>
      <c r="C185" s="610"/>
      <c r="D185" s="610"/>
      <c r="E185" s="610"/>
      <c r="F185" s="610"/>
      <c r="G185" s="610"/>
      <c r="H185" s="610"/>
      <c r="I185" s="610"/>
      <c r="J185" s="610"/>
      <c r="K185" s="610"/>
      <c r="L185" s="610"/>
      <c r="M185" s="610"/>
      <c r="N185" s="610"/>
      <c r="O185" s="617"/>
      <c r="P185" s="621" t="s">
        <v>72</v>
      </c>
      <c r="Q185" s="622"/>
      <c r="R185" s="622"/>
      <c r="S185" s="622"/>
      <c r="T185" s="622"/>
      <c r="U185" s="622"/>
      <c r="V185" s="623"/>
      <c r="W185" s="37" t="s">
        <v>73</v>
      </c>
      <c r="X185" s="607">
        <f>IFERROR(X182/H182,"0")+IFERROR(X183/H183,"0")+IFERROR(X184/H184,"0")</f>
        <v>0</v>
      </c>
      <c r="Y185" s="607">
        <f>IFERROR(Y182/H182,"0")+IFERROR(Y183/H183,"0")+IFERROR(Y184/H184,"0")</f>
        <v>0</v>
      </c>
      <c r="Z185" s="607">
        <f>IFERROR(IF(Z182="",0,Z182),"0")+IFERROR(IF(Z183="",0,Z183),"0")+IFERROR(IF(Z184="",0,Z184),"0")</f>
        <v>0</v>
      </c>
      <c r="AA185" s="608"/>
      <c r="AB185" s="608"/>
      <c r="AC185" s="608"/>
    </row>
    <row r="186" spans="1:68" hidden="1" x14ac:dyDescent="0.2">
      <c r="A186" s="610"/>
      <c r="B186" s="610"/>
      <c r="C186" s="610"/>
      <c r="D186" s="610"/>
      <c r="E186" s="610"/>
      <c r="F186" s="610"/>
      <c r="G186" s="610"/>
      <c r="H186" s="610"/>
      <c r="I186" s="610"/>
      <c r="J186" s="610"/>
      <c r="K186" s="610"/>
      <c r="L186" s="610"/>
      <c r="M186" s="610"/>
      <c r="N186" s="610"/>
      <c r="O186" s="617"/>
      <c r="P186" s="621" t="s">
        <v>72</v>
      </c>
      <c r="Q186" s="622"/>
      <c r="R186" s="622"/>
      <c r="S186" s="622"/>
      <c r="T186" s="622"/>
      <c r="U186" s="622"/>
      <c r="V186" s="623"/>
      <c r="W186" s="37" t="s">
        <v>67</v>
      </c>
      <c r="X186" s="607">
        <f>IFERROR(SUM(X182:X184),"0")</f>
        <v>0</v>
      </c>
      <c r="Y186" s="607">
        <f>IFERROR(SUM(Y182:Y184),"0")</f>
        <v>0</v>
      </c>
      <c r="Z186" s="37"/>
      <c r="AA186" s="608"/>
      <c r="AB186" s="608"/>
      <c r="AC186" s="608"/>
    </row>
    <row r="187" spans="1:68" ht="14.25" hidden="1" customHeight="1" x14ac:dyDescent="0.25">
      <c r="A187" s="609" t="s">
        <v>95</v>
      </c>
      <c r="B187" s="610"/>
      <c r="C187" s="610"/>
      <c r="D187" s="610"/>
      <c r="E187" s="610"/>
      <c r="F187" s="610"/>
      <c r="G187" s="610"/>
      <c r="H187" s="610"/>
      <c r="I187" s="610"/>
      <c r="J187" s="610"/>
      <c r="K187" s="610"/>
      <c r="L187" s="610"/>
      <c r="M187" s="610"/>
      <c r="N187" s="610"/>
      <c r="O187" s="610"/>
      <c r="P187" s="610"/>
      <c r="Q187" s="610"/>
      <c r="R187" s="610"/>
      <c r="S187" s="610"/>
      <c r="T187" s="610"/>
      <c r="U187" s="610"/>
      <c r="V187" s="610"/>
      <c r="W187" s="610"/>
      <c r="X187" s="610"/>
      <c r="Y187" s="610"/>
      <c r="Z187" s="610"/>
      <c r="AA187" s="601"/>
      <c r="AB187" s="601"/>
      <c r="AC187" s="601"/>
    </row>
    <row r="188" spans="1:68" ht="16.5" hidden="1" customHeight="1" x14ac:dyDescent="0.25">
      <c r="A188" s="54" t="s">
        <v>316</v>
      </c>
      <c r="B188" s="54" t="s">
        <v>317</v>
      </c>
      <c r="C188" s="31">
        <v>4301032058</v>
      </c>
      <c r="D188" s="619">
        <v>4680115889026</v>
      </c>
      <c r="E188" s="62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318</v>
      </c>
      <c r="L188" s="32"/>
      <c r="M188" s="33" t="s">
        <v>319</v>
      </c>
      <c r="N188" s="33"/>
      <c r="O188" s="32">
        <v>60</v>
      </c>
      <c r="P188" s="87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321</v>
      </c>
      <c r="B189" s="54" t="s">
        <v>322</v>
      </c>
      <c r="C189" s="31">
        <v>4301032057</v>
      </c>
      <c r="D189" s="619">
        <v>4680115889088</v>
      </c>
      <c r="E189" s="620"/>
      <c r="F189" s="604">
        <v>0.06</v>
      </c>
      <c r="G189" s="32">
        <v>18</v>
      </c>
      <c r="H189" s="604">
        <v>1.08</v>
      </c>
      <c r="I189" s="604">
        <v>1.36</v>
      </c>
      <c r="J189" s="32">
        <v>216</v>
      </c>
      <c r="K189" s="32" t="s">
        <v>318</v>
      </c>
      <c r="L189" s="32"/>
      <c r="M189" s="33" t="s">
        <v>319</v>
      </c>
      <c r="N189" s="33"/>
      <c r="O189" s="32">
        <v>45</v>
      </c>
      <c r="P189" s="71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12"/>
      <c r="R189" s="612"/>
      <c r="S189" s="612"/>
      <c r="T189" s="613"/>
      <c r="U189" s="34"/>
      <c r="V189" s="34"/>
      <c r="W189" s="35" t="s">
        <v>67</v>
      </c>
      <c r="X189" s="605">
        <v>0</v>
      </c>
      <c r="Y189" s="60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16"/>
      <c r="B190" s="610"/>
      <c r="C190" s="610"/>
      <c r="D190" s="610"/>
      <c r="E190" s="610"/>
      <c r="F190" s="610"/>
      <c r="G190" s="610"/>
      <c r="H190" s="610"/>
      <c r="I190" s="610"/>
      <c r="J190" s="610"/>
      <c r="K190" s="610"/>
      <c r="L190" s="610"/>
      <c r="M190" s="610"/>
      <c r="N190" s="610"/>
      <c r="O190" s="617"/>
      <c r="P190" s="621" t="s">
        <v>72</v>
      </c>
      <c r="Q190" s="622"/>
      <c r="R190" s="622"/>
      <c r="S190" s="622"/>
      <c r="T190" s="622"/>
      <c r="U190" s="622"/>
      <c r="V190" s="623"/>
      <c r="W190" s="37" t="s">
        <v>73</v>
      </c>
      <c r="X190" s="607">
        <f>IFERROR(X188/H188,"0")+IFERROR(X189/H189,"0")</f>
        <v>0</v>
      </c>
      <c r="Y190" s="607">
        <f>IFERROR(Y188/H188,"0")+IFERROR(Y189/H189,"0")</f>
        <v>0</v>
      </c>
      <c r="Z190" s="607">
        <f>IFERROR(IF(Z188="",0,Z188),"0")+IFERROR(IF(Z189="",0,Z189),"0")</f>
        <v>0</v>
      </c>
      <c r="AA190" s="608"/>
      <c r="AB190" s="608"/>
      <c r="AC190" s="608"/>
    </row>
    <row r="191" spans="1:68" hidden="1" x14ac:dyDescent="0.2">
      <c r="A191" s="610"/>
      <c r="B191" s="610"/>
      <c r="C191" s="610"/>
      <c r="D191" s="610"/>
      <c r="E191" s="610"/>
      <c r="F191" s="610"/>
      <c r="G191" s="610"/>
      <c r="H191" s="610"/>
      <c r="I191" s="610"/>
      <c r="J191" s="610"/>
      <c r="K191" s="610"/>
      <c r="L191" s="610"/>
      <c r="M191" s="610"/>
      <c r="N191" s="610"/>
      <c r="O191" s="617"/>
      <c r="P191" s="621" t="s">
        <v>72</v>
      </c>
      <c r="Q191" s="622"/>
      <c r="R191" s="622"/>
      <c r="S191" s="622"/>
      <c r="T191" s="622"/>
      <c r="U191" s="622"/>
      <c r="V191" s="623"/>
      <c r="W191" s="37" t="s">
        <v>67</v>
      </c>
      <c r="X191" s="607">
        <f>IFERROR(SUM(X188:X189),"0")</f>
        <v>0</v>
      </c>
      <c r="Y191" s="607">
        <f>IFERROR(SUM(Y188:Y189),"0")</f>
        <v>0</v>
      </c>
      <c r="Z191" s="37"/>
      <c r="AA191" s="608"/>
      <c r="AB191" s="608"/>
      <c r="AC191" s="608"/>
    </row>
    <row r="192" spans="1:68" ht="14.25" hidden="1" customHeight="1" x14ac:dyDescent="0.25">
      <c r="A192" s="609" t="s">
        <v>324</v>
      </c>
      <c r="B192" s="610"/>
      <c r="C192" s="610"/>
      <c r="D192" s="610"/>
      <c r="E192" s="610"/>
      <c r="F192" s="610"/>
      <c r="G192" s="610"/>
      <c r="H192" s="610"/>
      <c r="I192" s="610"/>
      <c r="J192" s="610"/>
      <c r="K192" s="610"/>
      <c r="L192" s="610"/>
      <c r="M192" s="610"/>
      <c r="N192" s="610"/>
      <c r="O192" s="610"/>
      <c r="P192" s="610"/>
      <c r="Q192" s="610"/>
      <c r="R192" s="610"/>
      <c r="S192" s="610"/>
      <c r="T192" s="610"/>
      <c r="U192" s="610"/>
      <c r="V192" s="610"/>
      <c r="W192" s="610"/>
      <c r="X192" s="610"/>
      <c r="Y192" s="610"/>
      <c r="Z192" s="610"/>
      <c r="AA192" s="601"/>
      <c r="AB192" s="601"/>
      <c r="AC192" s="601"/>
    </row>
    <row r="193" spans="1:68" ht="27" hidden="1" customHeight="1" x14ac:dyDescent="0.25">
      <c r="A193" s="54" t="s">
        <v>325</v>
      </c>
      <c r="B193" s="54" t="s">
        <v>326</v>
      </c>
      <c r="C193" s="31">
        <v>4301041009</v>
      </c>
      <c r="D193" s="619">
        <v>4680115889033</v>
      </c>
      <c r="E193" s="620"/>
      <c r="F193" s="604">
        <v>0.11</v>
      </c>
      <c r="G193" s="32">
        <v>15</v>
      </c>
      <c r="H193" s="604">
        <v>1.65</v>
      </c>
      <c r="I193" s="604">
        <v>1.9</v>
      </c>
      <c r="J193" s="32">
        <v>216</v>
      </c>
      <c r="K193" s="32" t="s">
        <v>318</v>
      </c>
      <c r="L193" s="32"/>
      <c r="M193" s="33" t="s">
        <v>319</v>
      </c>
      <c r="N193" s="33"/>
      <c r="O193" s="32">
        <v>60</v>
      </c>
      <c r="P193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12"/>
      <c r="R193" s="612"/>
      <c r="S193" s="612"/>
      <c r="T193" s="613"/>
      <c r="U193" s="34"/>
      <c r="V193" s="34"/>
      <c r="W193" s="35" t="s">
        <v>67</v>
      </c>
      <c r="X193" s="605">
        <v>0</v>
      </c>
      <c r="Y193" s="60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16"/>
      <c r="B194" s="610"/>
      <c r="C194" s="610"/>
      <c r="D194" s="610"/>
      <c r="E194" s="610"/>
      <c r="F194" s="610"/>
      <c r="G194" s="610"/>
      <c r="H194" s="610"/>
      <c r="I194" s="610"/>
      <c r="J194" s="610"/>
      <c r="K194" s="610"/>
      <c r="L194" s="610"/>
      <c r="M194" s="610"/>
      <c r="N194" s="610"/>
      <c r="O194" s="617"/>
      <c r="P194" s="621" t="s">
        <v>72</v>
      </c>
      <c r="Q194" s="622"/>
      <c r="R194" s="622"/>
      <c r="S194" s="622"/>
      <c r="T194" s="622"/>
      <c r="U194" s="622"/>
      <c r="V194" s="623"/>
      <c r="W194" s="37" t="s">
        <v>73</v>
      </c>
      <c r="X194" s="607">
        <f>IFERROR(X193/H193,"0")</f>
        <v>0</v>
      </c>
      <c r="Y194" s="607">
        <f>IFERROR(Y193/H193,"0")</f>
        <v>0</v>
      </c>
      <c r="Z194" s="607">
        <f>IFERROR(IF(Z193="",0,Z193),"0")</f>
        <v>0</v>
      </c>
      <c r="AA194" s="608"/>
      <c r="AB194" s="608"/>
      <c r="AC194" s="608"/>
    </row>
    <row r="195" spans="1:68" hidden="1" x14ac:dyDescent="0.2">
      <c r="A195" s="610"/>
      <c r="B195" s="610"/>
      <c r="C195" s="610"/>
      <c r="D195" s="610"/>
      <c r="E195" s="610"/>
      <c r="F195" s="610"/>
      <c r="G195" s="610"/>
      <c r="H195" s="610"/>
      <c r="I195" s="610"/>
      <c r="J195" s="610"/>
      <c r="K195" s="610"/>
      <c r="L195" s="610"/>
      <c r="M195" s="610"/>
      <c r="N195" s="610"/>
      <c r="O195" s="617"/>
      <c r="P195" s="621" t="s">
        <v>72</v>
      </c>
      <c r="Q195" s="622"/>
      <c r="R195" s="622"/>
      <c r="S195" s="622"/>
      <c r="T195" s="622"/>
      <c r="U195" s="622"/>
      <c r="V195" s="623"/>
      <c r="W195" s="37" t="s">
        <v>67</v>
      </c>
      <c r="X195" s="607">
        <f>IFERROR(SUM(X193:X193),"0")</f>
        <v>0</v>
      </c>
      <c r="Y195" s="607">
        <f>IFERROR(SUM(Y193:Y193),"0")</f>
        <v>0</v>
      </c>
      <c r="Z195" s="37"/>
      <c r="AA195" s="608"/>
      <c r="AB195" s="608"/>
      <c r="AC195" s="608"/>
    </row>
    <row r="196" spans="1:68" ht="27.75" hidden="1" customHeight="1" x14ac:dyDescent="0.2">
      <c r="A196" s="630" t="s">
        <v>328</v>
      </c>
      <c r="B196" s="631"/>
      <c r="C196" s="631"/>
      <c r="D196" s="631"/>
      <c r="E196" s="631"/>
      <c r="F196" s="631"/>
      <c r="G196" s="631"/>
      <c r="H196" s="631"/>
      <c r="I196" s="631"/>
      <c r="J196" s="631"/>
      <c r="K196" s="631"/>
      <c r="L196" s="631"/>
      <c r="M196" s="631"/>
      <c r="N196" s="631"/>
      <c r="O196" s="631"/>
      <c r="P196" s="631"/>
      <c r="Q196" s="631"/>
      <c r="R196" s="631"/>
      <c r="S196" s="631"/>
      <c r="T196" s="631"/>
      <c r="U196" s="631"/>
      <c r="V196" s="631"/>
      <c r="W196" s="631"/>
      <c r="X196" s="631"/>
      <c r="Y196" s="631"/>
      <c r="Z196" s="631"/>
      <c r="AA196" s="48"/>
      <c r="AB196" s="48"/>
      <c r="AC196" s="48"/>
    </row>
    <row r="197" spans="1:68" ht="16.5" hidden="1" customHeight="1" x14ac:dyDescent="0.25">
      <c r="A197" s="647" t="s">
        <v>329</v>
      </c>
      <c r="B197" s="610"/>
      <c r="C197" s="610"/>
      <c r="D197" s="610"/>
      <c r="E197" s="610"/>
      <c r="F197" s="610"/>
      <c r="G197" s="610"/>
      <c r="H197" s="610"/>
      <c r="I197" s="610"/>
      <c r="J197" s="610"/>
      <c r="K197" s="610"/>
      <c r="L197" s="610"/>
      <c r="M197" s="610"/>
      <c r="N197" s="610"/>
      <c r="O197" s="610"/>
      <c r="P197" s="610"/>
      <c r="Q197" s="610"/>
      <c r="R197" s="610"/>
      <c r="S197" s="610"/>
      <c r="T197" s="610"/>
      <c r="U197" s="610"/>
      <c r="V197" s="610"/>
      <c r="W197" s="610"/>
      <c r="X197" s="610"/>
      <c r="Y197" s="610"/>
      <c r="Z197" s="610"/>
      <c r="AA197" s="600"/>
      <c r="AB197" s="600"/>
      <c r="AC197" s="600"/>
    </row>
    <row r="198" spans="1:68" ht="14.25" hidden="1" customHeight="1" x14ac:dyDescent="0.25">
      <c r="A198" s="609" t="s">
        <v>121</v>
      </c>
      <c r="B198" s="610"/>
      <c r="C198" s="610"/>
      <c r="D198" s="610"/>
      <c r="E198" s="610"/>
      <c r="F198" s="610"/>
      <c r="G198" s="610"/>
      <c r="H198" s="610"/>
      <c r="I198" s="610"/>
      <c r="J198" s="610"/>
      <c r="K198" s="610"/>
      <c r="L198" s="610"/>
      <c r="M198" s="610"/>
      <c r="N198" s="610"/>
      <c r="O198" s="610"/>
      <c r="P198" s="610"/>
      <c r="Q198" s="610"/>
      <c r="R198" s="610"/>
      <c r="S198" s="610"/>
      <c r="T198" s="610"/>
      <c r="U198" s="610"/>
      <c r="V198" s="610"/>
      <c r="W198" s="610"/>
      <c r="X198" s="610"/>
      <c r="Y198" s="610"/>
      <c r="Z198" s="610"/>
      <c r="AA198" s="601"/>
      <c r="AB198" s="601"/>
      <c r="AC198" s="601"/>
    </row>
    <row r="199" spans="1:68" ht="27" hidden="1" customHeight="1" x14ac:dyDescent="0.25">
      <c r="A199" s="54" t="s">
        <v>330</v>
      </c>
      <c r="B199" s="54" t="s">
        <v>331</v>
      </c>
      <c r="C199" s="31">
        <v>4301012340</v>
      </c>
      <c r="D199" s="619">
        <v>4680115888760</v>
      </c>
      <c r="E199" s="62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124</v>
      </c>
      <c r="L199" s="32"/>
      <c r="M199" s="33" t="s">
        <v>78</v>
      </c>
      <c r="N199" s="33"/>
      <c r="O199" s="32">
        <v>35</v>
      </c>
      <c r="P199" s="93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ref="Y199:Y205" si="26">IFERROR(IF(X199="",0,CEILING((X199/$H199),1)*$H199),"")</f>
        <v>0</v>
      </c>
      <c r="Z199" s="36" t="str">
        <f t="shared" ref="Z199:Z205" si="27">IFERROR(IF(Y199=0,"",ROUNDUP(Y199/H199,0)*0.01898),"")</f>
        <v/>
      </c>
      <c r="AA199" s="56"/>
      <c r="AB199" s="57" t="s">
        <v>105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ref="BM199:BM205" si="28">IFERROR(X199*I199/H199,"0")</f>
        <v>0</v>
      </c>
      <c r="BN199" s="64">
        <f t="shared" ref="BN199:BN205" si="29">IFERROR(Y199*I199/H199,"0")</f>
        <v>0</v>
      </c>
      <c r="BO199" s="64">
        <f t="shared" ref="BO199:BO205" si="30">IFERROR(1/J199*(X199/H199),"0")</f>
        <v>0</v>
      </c>
      <c r="BP199" s="64">
        <f t="shared" ref="BP199:BP205" si="31">IFERROR(1/J199*(Y199/H199),"0")</f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4301012341</v>
      </c>
      <c r="D200" s="619">
        <v>4680115888807</v>
      </c>
      <c r="E200" s="620"/>
      <c r="F200" s="604">
        <v>1.4</v>
      </c>
      <c r="G200" s="32">
        <v>6</v>
      </c>
      <c r="H200" s="604">
        <v>8.4</v>
      </c>
      <c r="I200" s="604">
        <v>8.81</v>
      </c>
      <c r="J200" s="32">
        <v>64</v>
      </c>
      <c r="K200" s="32" t="s">
        <v>124</v>
      </c>
      <c r="L200" s="32"/>
      <c r="M200" s="33" t="s">
        <v>78</v>
      </c>
      <c r="N200" s="33"/>
      <c r="O200" s="32">
        <v>35</v>
      </c>
      <c r="P200" s="93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6"/>
        <v>0</v>
      </c>
      <c r="Z200" s="36" t="str">
        <f t="shared" si="27"/>
        <v/>
      </c>
      <c r="AA200" s="56"/>
      <c r="AB200" s="57" t="s">
        <v>105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8"/>
        <v>0</v>
      </c>
      <c r="BN200" s="64">
        <f t="shared" si="29"/>
        <v>0</v>
      </c>
      <c r="BO200" s="64">
        <f t="shared" si="30"/>
        <v>0</v>
      </c>
      <c r="BP200" s="64">
        <f t="shared" si="31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4301012342</v>
      </c>
      <c r="D201" s="619">
        <v>4680115888852</v>
      </c>
      <c r="E201" s="620"/>
      <c r="F201" s="604">
        <v>0.9</v>
      </c>
      <c r="G201" s="32">
        <v>6</v>
      </c>
      <c r="H201" s="604">
        <v>5.4</v>
      </c>
      <c r="I201" s="604">
        <v>5.81</v>
      </c>
      <c r="J201" s="32">
        <v>64</v>
      </c>
      <c r="K201" s="32" t="s">
        <v>124</v>
      </c>
      <c r="L201" s="32"/>
      <c r="M201" s="33" t="s">
        <v>78</v>
      </c>
      <c r="N201" s="33"/>
      <c r="O201" s="32">
        <v>35</v>
      </c>
      <c r="P201" s="87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6"/>
        <v>0</v>
      </c>
      <c r="Z201" s="36" t="str">
        <f t="shared" si="27"/>
        <v/>
      </c>
      <c r="AA201" s="56"/>
      <c r="AB201" s="57" t="s">
        <v>105</v>
      </c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8"/>
        <v>0</v>
      </c>
      <c r="BN201" s="64">
        <f t="shared" si="29"/>
        <v>0</v>
      </c>
      <c r="BO201" s="64">
        <f t="shared" si="30"/>
        <v>0</v>
      </c>
      <c r="BP201" s="64">
        <f t="shared" si="31"/>
        <v>0</v>
      </c>
    </row>
    <row r="202" spans="1:68" ht="27" hidden="1" customHeight="1" x14ac:dyDescent="0.25">
      <c r="A202" s="54" t="s">
        <v>339</v>
      </c>
      <c r="B202" s="54" t="s">
        <v>340</v>
      </c>
      <c r="C202" s="31">
        <v>4301011223</v>
      </c>
      <c r="D202" s="619">
        <v>4607091383423</v>
      </c>
      <c r="E202" s="620"/>
      <c r="F202" s="604">
        <v>1.35</v>
      </c>
      <c r="G202" s="32">
        <v>8</v>
      </c>
      <c r="H202" s="604">
        <v>10.8</v>
      </c>
      <c r="I202" s="604">
        <v>11.305999999999999</v>
      </c>
      <c r="J202" s="32">
        <v>64</v>
      </c>
      <c r="K202" s="32" t="s">
        <v>124</v>
      </c>
      <c r="L202" s="32"/>
      <c r="M202" s="33" t="s">
        <v>78</v>
      </c>
      <c r="N202" s="33"/>
      <c r="O202" s="32">
        <v>35</v>
      </c>
      <c r="P202" s="96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6"/>
        <v>0</v>
      </c>
      <c r="Z202" s="36" t="str">
        <f t="shared" si="27"/>
        <v/>
      </c>
      <c r="AA202" s="56"/>
      <c r="AB202" s="57"/>
      <c r="AC202" s="255" t="s">
        <v>126</v>
      </c>
      <c r="AG202" s="64"/>
      <c r="AJ202" s="68"/>
      <c r="AK202" s="68">
        <v>0</v>
      </c>
      <c r="BB202" s="256" t="s">
        <v>1</v>
      </c>
      <c r="BM202" s="64">
        <f t="shared" si="28"/>
        <v>0</v>
      </c>
      <c r="BN202" s="64">
        <f t="shared" si="29"/>
        <v>0</v>
      </c>
      <c r="BO202" s="64">
        <f t="shared" si="30"/>
        <v>0</v>
      </c>
      <c r="BP202" s="64">
        <f t="shared" si="31"/>
        <v>0</v>
      </c>
    </row>
    <row r="203" spans="1:68" ht="37.5" hidden="1" customHeight="1" x14ac:dyDescent="0.25">
      <c r="A203" s="54" t="s">
        <v>341</v>
      </c>
      <c r="B203" s="54" t="s">
        <v>342</v>
      </c>
      <c r="C203" s="31">
        <v>4301012370</v>
      </c>
      <c r="D203" s="619">
        <v>4680115886957</v>
      </c>
      <c r="E203" s="620"/>
      <c r="F203" s="604">
        <v>1.35</v>
      </c>
      <c r="G203" s="32">
        <v>8</v>
      </c>
      <c r="H203" s="604">
        <v>10.8</v>
      </c>
      <c r="I203" s="604">
        <v>11.29</v>
      </c>
      <c r="J203" s="32">
        <v>64</v>
      </c>
      <c r="K203" s="32" t="s">
        <v>124</v>
      </c>
      <c r="L203" s="32"/>
      <c r="M203" s="33" t="s">
        <v>78</v>
      </c>
      <c r="N203" s="33"/>
      <c r="O203" s="32">
        <v>35</v>
      </c>
      <c r="P203" s="77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6"/>
        <v>0</v>
      </c>
      <c r="Z203" s="36" t="str">
        <f t="shared" si="27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8"/>
        <v>0</v>
      </c>
      <c r="BN203" s="64">
        <f t="shared" si="29"/>
        <v>0</v>
      </c>
      <c r="BO203" s="64">
        <f t="shared" si="30"/>
        <v>0</v>
      </c>
      <c r="BP203" s="64">
        <f t="shared" si="31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4301012098</v>
      </c>
      <c r="D204" s="619">
        <v>4680115885660</v>
      </c>
      <c r="E204" s="620"/>
      <c r="F204" s="604">
        <v>1.35</v>
      </c>
      <c r="G204" s="32">
        <v>8</v>
      </c>
      <c r="H204" s="604">
        <v>10.8</v>
      </c>
      <c r="I204" s="604">
        <v>11.21</v>
      </c>
      <c r="J204" s="32">
        <v>64</v>
      </c>
      <c r="K204" s="32" t="s">
        <v>124</v>
      </c>
      <c r="L204" s="32"/>
      <c r="M204" s="33" t="s">
        <v>78</v>
      </c>
      <c r="N204" s="33"/>
      <c r="O204" s="32">
        <v>35</v>
      </c>
      <c r="P204" s="80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6"/>
        <v>0</v>
      </c>
      <c r="Z204" s="36" t="str">
        <f t="shared" si="27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347</v>
      </c>
      <c r="B205" s="54" t="s">
        <v>348</v>
      </c>
      <c r="C205" s="31">
        <v>4301012369</v>
      </c>
      <c r="D205" s="619">
        <v>4680115886773</v>
      </c>
      <c r="E205" s="620"/>
      <c r="F205" s="604">
        <v>0.9</v>
      </c>
      <c r="G205" s="32">
        <v>10</v>
      </c>
      <c r="H205" s="604">
        <v>9</v>
      </c>
      <c r="I205" s="604">
        <v>9.51</v>
      </c>
      <c r="J205" s="32">
        <v>64</v>
      </c>
      <c r="K205" s="32" t="s">
        <v>124</v>
      </c>
      <c r="L205" s="32"/>
      <c r="M205" s="33" t="s">
        <v>78</v>
      </c>
      <c r="N205" s="33"/>
      <c r="O205" s="32">
        <v>35</v>
      </c>
      <c r="P205" s="72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12"/>
      <c r="R205" s="612"/>
      <c r="S205" s="612"/>
      <c r="T205" s="613"/>
      <c r="U205" s="34"/>
      <c r="V205" s="34"/>
      <c r="W205" s="35" t="s">
        <v>67</v>
      </c>
      <c r="X205" s="605">
        <v>0</v>
      </c>
      <c r="Y205" s="606">
        <f t="shared" si="26"/>
        <v>0</v>
      </c>
      <c r="Z205" s="36" t="str">
        <f t="shared" si="27"/>
        <v/>
      </c>
      <c r="AA205" s="56"/>
      <c r="AB205" s="57"/>
      <c r="AC205" s="261" t="s">
        <v>349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idden="1" x14ac:dyDescent="0.2">
      <c r="A206" s="616"/>
      <c r="B206" s="610"/>
      <c r="C206" s="610"/>
      <c r="D206" s="610"/>
      <c r="E206" s="610"/>
      <c r="F206" s="610"/>
      <c r="G206" s="610"/>
      <c r="H206" s="610"/>
      <c r="I206" s="610"/>
      <c r="J206" s="610"/>
      <c r="K206" s="610"/>
      <c r="L206" s="610"/>
      <c r="M206" s="610"/>
      <c r="N206" s="610"/>
      <c r="O206" s="617"/>
      <c r="P206" s="621" t="s">
        <v>72</v>
      </c>
      <c r="Q206" s="622"/>
      <c r="R206" s="622"/>
      <c r="S206" s="622"/>
      <c r="T206" s="622"/>
      <c r="U206" s="622"/>
      <c r="V206" s="623"/>
      <c r="W206" s="37" t="s">
        <v>73</v>
      </c>
      <c r="X206" s="607">
        <f>IFERROR(X199/H199,"0")+IFERROR(X200/H200,"0")+IFERROR(X201/H201,"0")+IFERROR(X202/H202,"0")+IFERROR(X203/H203,"0")+IFERROR(X204/H204,"0")+IFERROR(X205/H205,"0")</f>
        <v>0</v>
      </c>
      <c r="Y206" s="607">
        <f>IFERROR(Y199/H199,"0")+IFERROR(Y200/H200,"0")+IFERROR(Y201/H201,"0")+IFERROR(Y202/H202,"0")+IFERROR(Y203/H203,"0")+IFERROR(Y204/H204,"0")+IFERROR(Y205/H205,"0")</f>
        <v>0</v>
      </c>
      <c r="Z206" s="60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08"/>
      <c r="AB206" s="608"/>
      <c r="AC206" s="608"/>
    </row>
    <row r="207" spans="1:68" hidden="1" x14ac:dyDescent="0.2">
      <c r="A207" s="610"/>
      <c r="B207" s="610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0"/>
      <c r="O207" s="617"/>
      <c r="P207" s="621" t="s">
        <v>72</v>
      </c>
      <c r="Q207" s="622"/>
      <c r="R207" s="622"/>
      <c r="S207" s="622"/>
      <c r="T207" s="622"/>
      <c r="U207" s="622"/>
      <c r="V207" s="623"/>
      <c r="W207" s="37" t="s">
        <v>67</v>
      </c>
      <c r="X207" s="607">
        <f>IFERROR(SUM(X199:X205),"0")</f>
        <v>0</v>
      </c>
      <c r="Y207" s="607">
        <f>IFERROR(SUM(Y199:Y205),"0")</f>
        <v>0</v>
      </c>
      <c r="Z207" s="37"/>
      <c r="AA207" s="608"/>
      <c r="AB207" s="608"/>
      <c r="AC207" s="608"/>
    </row>
    <row r="208" spans="1:68" ht="16.5" hidden="1" customHeight="1" x14ac:dyDescent="0.25">
      <c r="A208" s="647" t="s">
        <v>350</v>
      </c>
      <c r="B208" s="610"/>
      <c r="C208" s="610"/>
      <c r="D208" s="610"/>
      <c r="E208" s="610"/>
      <c r="F208" s="610"/>
      <c r="G208" s="610"/>
      <c r="H208" s="610"/>
      <c r="I208" s="610"/>
      <c r="J208" s="610"/>
      <c r="K208" s="610"/>
      <c r="L208" s="610"/>
      <c r="M208" s="610"/>
      <c r="N208" s="610"/>
      <c r="O208" s="610"/>
      <c r="P208" s="610"/>
      <c r="Q208" s="610"/>
      <c r="R208" s="610"/>
      <c r="S208" s="610"/>
      <c r="T208" s="610"/>
      <c r="U208" s="610"/>
      <c r="V208" s="610"/>
      <c r="W208" s="610"/>
      <c r="X208" s="610"/>
      <c r="Y208" s="610"/>
      <c r="Z208" s="610"/>
      <c r="AA208" s="600"/>
      <c r="AB208" s="600"/>
      <c r="AC208" s="600"/>
    </row>
    <row r="209" spans="1:68" ht="14.25" hidden="1" customHeight="1" x14ac:dyDescent="0.25">
      <c r="A209" s="609" t="s">
        <v>156</v>
      </c>
      <c r="B209" s="610"/>
      <c r="C209" s="610"/>
      <c r="D209" s="610"/>
      <c r="E209" s="610"/>
      <c r="F209" s="610"/>
      <c r="G209" s="610"/>
      <c r="H209" s="610"/>
      <c r="I209" s="610"/>
      <c r="J209" s="610"/>
      <c r="K209" s="610"/>
      <c r="L209" s="610"/>
      <c r="M209" s="610"/>
      <c r="N209" s="610"/>
      <c r="O209" s="610"/>
      <c r="P209" s="610"/>
      <c r="Q209" s="610"/>
      <c r="R209" s="610"/>
      <c r="S209" s="610"/>
      <c r="T209" s="610"/>
      <c r="U209" s="610"/>
      <c r="V209" s="610"/>
      <c r="W209" s="610"/>
      <c r="X209" s="610"/>
      <c r="Y209" s="610"/>
      <c r="Z209" s="610"/>
      <c r="AA209" s="601"/>
      <c r="AB209" s="601"/>
      <c r="AC209" s="601"/>
    </row>
    <row r="210" spans="1:68" ht="27" hidden="1" customHeight="1" x14ac:dyDescent="0.25">
      <c r="A210" s="54" t="s">
        <v>351</v>
      </c>
      <c r="B210" s="54" t="s">
        <v>352</v>
      </c>
      <c r="C210" s="31">
        <v>4301020323</v>
      </c>
      <c r="D210" s="619">
        <v>4680115886223</v>
      </c>
      <c r="E210" s="620"/>
      <c r="F210" s="604">
        <v>0.33</v>
      </c>
      <c r="G210" s="32">
        <v>6</v>
      </c>
      <c r="H210" s="604">
        <v>1.98</v>
      </c>
      <c r="I210" s="604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6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12"/>
      <c r="R210" s="612"/>
      <c r="S210" s="612"/>
      <c r="T210" s="613"/>
      <c r="U210" s="34"/>
      <c r="V210" s="34"/>
      <c r="W210" s="35" t="s">
        <v>67</v>
      </c>
      <c r="X210" s="605">
        <v>0</v>
      </c>
      <c r="Y210" s="60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353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16"/>
      <c r="B211" s="610"/>
      <c r="C211" s="610"/>
      <c r="D211" s="610"/>
      <c r="E211" s="610"/>
      <c r="F211" s="610"/>
      <c r="G211" s="610"/>
      <c r="H211" s="610"/>
      <c r="I211" s="610"/>
      <c r="J211" s="610"/>
      <c r="K211" s="610"/>
      <c r="L211" s="610"/>
      <c r="M211" s="610"/>
      <c r="N211" s="610"/>
      <c r="O211" s="617"/>
      <c r="P211" s="621" t="s">
        <v>72</v>
      </c>
      <c r="Q211" s="622"/>
      <c r="R211" s="622"/>
      <c r="S211" s="622"/>
      <c r="T211" s="622"/>
      <c r="U211" s="622"/>
      <c r="V211" s="623"/>
      <c r="W211" s="37" t="s">
        <v>73</v>
      </c>
      <c r="X211" s="607">
        <f>IFERROR(X210/H210,"0")</f>
        <v>0</v>
      </c>
      <c r="Y211" s="607">
        <f>IFERROR(Y210/H210,"0")</f>
        <v>0</v>
      </c>
      <c r="Z211" s="607">
        <f>IFERROR(IF(Z210="",0,Z210),"0")</f>
        <v>0</v>
      </c>
      <c r="AA211" s="608"/>
      <c r="AB211" s="608"/>
      <c r="AC211" s="608"/>
    </row>
    <row r="212" spans="1:68" hidden="1" x14ac:dyDescent="0.2">
      <c r="A212" s="610"/>
      <c r="B212" s="610"/>
      <c r="C212" s="610"/>
      <c r="D212" s="610"/>
      <c r="E212" s="610"/>
      <c r="F212" s="610"/>
      <c r="G212" s="610"/>
      <c r="H212" s="610"/>
      <c r="I212" s="610"/>
      <c r="J212" s="610"/>
      <c r="K212" s="610"/>
      <c r="L212" s="610"/>
      <c r="M212" s="610"/>
      <c r="N212" s="610"/>
      <c r="O212" s="617"/>
      <c r="P212" s="621" t="s">
        <v>72</v>
      </c>
      <c r="Q212" s="622"/>
      <c r="R212" s="622"/>
      <c r="S212" s="622"/>
      <c r="T212" s="622"/>
      <c r="U212" s="622"/>
      <c r="V212" s="623"/>
      <c r="W212" s="37" t="s">
        <v>67</v>
      </c>
      <c r="X212" s="607">
        <f>IFERROR(SUM(X210:X210),"0")</f>
        <v>0</v>
      </c>
      <c r="Y212" s="607">
        <f>IFERROR(SUM(Y210:Y210),"0")</f>
        <v>0</v>
      </c>
      <c r="Z212" s="37"/>
      <c r="AA212" s="608"/>
      <c r="AB212" s="608"/>
      <c r="AC212" s="608"/>
    </row>
    <row r="213" spans="1:68" ht="14.25" hidden="1" customHeight="1" x14ac:dyDescent="0.25">
      <c r="A213" s="609" t="s">
        <v>62</v>
      </c>
      <c r="B213" s="610"/>
      <c r="C213" s="610"/>
      <c r="D213" s="610"/>
      <c r="E213" s="610"/>
      <c r="F213" s="610"/>
      <c r="G213" s="610"/>
      <c r="H213" s="610"/>
      <c r="I213" s="610"/>
      <c r="J213" s="610"/>
      <c r="K213" s="610"/>
      <c r="L213" s="610"/>
      <c r="M213" s="610"/>
      <c r="N213" s="610"/>
      <c r="O213" s="610"/>
      <c r="P213" s="610"/>
      <c r="Q213" s="610"/>
      <c r="R213" s="610"/>
      <c r="S213" s="610"/>
      <c r="T213" s="610"/>
      <c r="U213" s="610"/>
      <c r="V213" s="610"/>
      <c r="W213" s="610"/>
      <c r="X213" s="610"/>
      <c r="Y213" s="610"/>
      <c r="Z213" s="610"/>
      <c r="AA213" s="601"/>
      <c r="AB213" s="601"/>
      <c r="AC213" s="601"/>
    </row>
    <row r="214" spans="1:68" ht="27" hidden="1" customHeight="1" x14ac:dyDescent="0.25">
      <c r="A214" s="54" t="s">
        <v>354</v>
      </c>
      <c r="B214" s="54" t="s">
        <v>355</v>
      </c>
      <c r="C214" s="31">
        <v>4301031191</v>
      </c>
      <c r="D214" s="619">
        <v>4680115880993</v>
      </c>
      <c r="E214" s="62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133</v>
      </c>
      <c r="L214" s="32"/>
      <c r="M214" s="33" t="s">
        <v>66</v>
      </c>
      <c r="N214" s="33"/>
      <c r="O214" s="32">
        <v>40</v>
      </c>
      <c r="P214" s="86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ref="Y214:Y227" si="32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ref="BM214:BM227" si="33">IFERROR(X214*I214/H214,"0")</f>
        <v>0</v>
      </c>
      <c r="BN214" s="64">
        <f t="shared" ref="BN214:BN227" si="34">IFERROR(Y214*I214/H214,"0")</f>
        <v>0</v>
      </c>
      <c r="BO214" s="64">
        <f t="shared" ref="BO214:BO227" si="35">IFERROR(1/J214*(X214/H214),"0")</f>
        <v>0</v>
      </c>
      <c r="BP214" s="64">
        <f t="shared" ref="BP214:BP227" si="36">IFERROR(1/J214*(Y214/H214),"0")</f>
        <v>0</v>
      </c>
    </row>
    <row r="215" spans="1:68" ht="27" hidden="1" customHeight="1" x14ac:dyDescent="0.25">
      <c r="A215" s="54" t="s">
        <v>357</v>
      </c>
      <c r="B215" s="54" t="s">
        <v>358</v>
      </c>
      <c r="C215" s="31">
        <v>4301031204</v>
      </c>
      <c r="D215" s="619">
        <v>4680115881761</v>
      </c>
      <c r="E215" s="620"/>
      <c r="F215" s="604">
        <v>0.7</v>
      </c>
      <c r="G215" s="32">
        <v>6</v>
      </c>
      <c r="H215" s="604">
        <v>4.2</v>
      </c>
      <c r="I215" s="604">
        <v>4.45</v>
      </c>
      <c r="J215" s="32">
        <v>132</v>
      </c>
      <c r="K215" s="32" t="s">
        <v>133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0</v>
      </c>
      <c r="Y215" s="606">
        <f t="shared" si="32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4301031201</v>
      </c>
      <c r="D216" s="619">
        <v>4680115881563</v>
      </c>
      <c r="E216" s="620"/>
      <c r="F216" s="604">
        <v>0.7</v>
      </c>
      <c r="G216" s="32">
        <v>6</v>
      </c>
      <c r="H216" s="604">
        <v>4.2</v>
      </c>
      <c r="I216" s="604">
        <v>4.3899999999999997</v>
      </c>
      <c r="J216" s="32">
        <v>132</v>
      </c>
      <c r="K216" s="32" t="s">
        <v>133</v>
      </c>
      <c r="L216" s="32"/>
      <c r="M216" s="33" t="s">
        <v>66</v>
      </c>
      <c r="N216" s="33"/>
      <c r="O216" s="32">
        <v>40</v>
      </c>
      <c r="P216" s="78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0</v>
      </c>
      <c r="Y216" s="606">
        <f t="shared" si="32"/>
        <v>0</v>
      </c>
      <c r="Z216" s="36" t="str">
        <f>IFERROR(IF(Y216=0,"",ROUNDUP(Y216/H216,0)*0.00902),"")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37.5" hidden="1" customHeight="1" x14ac:dyDescent="0.25">
      <c r="A217" s="54" t="s">
        <v>363</v>
      </c>
      <c r="B217" s="54" t="s">
        <v>364</v>
      </c>
      <c r="C217" s="31">
        <v>4301031447</v>
      </c>
      <c r="D217" s="619">
        <v>4680115887565</v>
      </c>
      <c r="E217" s="620"/>
      <c r="F217" s="604">
        <v>0.08</v>
      </c>
      <c r="G217" s="32">
        <v>10</v>
      </c>
      <c r="H217" s="604">
        <v>0.8</v>
      </c>
      <c r="I217" s="604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1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0</v>
      </c>
      <c r="Y217" s="606">
        <f t="shared" si="32"/>
        <v>0</v>
      </c>
      <c r="Z217" s="36" t="str">
        <f>IFERROR(IF(Y217=0,"",ROUNDUP(Y217/H217,0)*0.00556),"")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4301031199</v>
      </c>
      <c r="D218" s="619">
        <v>4680115880986</v>
      </c>
      <c r="E218" s="620"/>
      <c r="F218" s="604">
        <v>0.35</v>
      </c>
      <c r="G218" s="32">
        <v>6</v>
      </c>
      <c r="H218" s="604">
        <v>2.1</v>
      </c>
      <c r="I218" s="604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0</v>
      </c>
      <c r="Y218" s="606">
        <f t="shared" si="32"/>
        <v>0</v>
      </c>
      <c r="Z218" s="36" t="str">
        <f t="shared" ref="Z218:Z223" si="37">IFERROR(IF(Y218=0,"",ROUNDUP(Y218/H218,0)*0.00502),"")</f>
        <v/>
      </c>
      <c r="AA218" s="56"/>
      <c r="AB218" s="57"/>
      <c r="AC218" s="273" t="s">
        <v>356</v>
      </c>
      <c r="AG218" s="64"/>
      <c r="AJ218" s="68"/>
      <c r="AK218" s="68">
        <v>0</v>
      </c>
      <c r="BB218" s="274" t="s">
        <v>1</v>
      </c>
      <c r="BM218" s="64">
        <f t="shared" si="33"/>
        <v>0</v>
      </c>
      <c r="BN218" s="64">
        <f t="shared" si="34"/>
        <v>0</v>
      </c>
      <c r="BO218" s="64">
        <f t="shared" si="35"/>
        <v>0</v>
      </c>
      <c r="BP218" s="64">
        <f t="shared" si="36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4301031443</v>
      </c>
      <c r="D219" s="619">
        <v>4680115887213</v>
      </c>
      <c r="E219" s="620"/>
      <c r="F219" s="604">
        <v>0.3</v>
      </c>
      <c r="G219" s="32">
        <v>6</v>
      </c>
      <c r="H219" s="604">
        <v>1.8</v>
      </c>
      <c r="I219" s="604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80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32"/>
        <v>0</v>
      </c>
      <c r="Z219" s="36" t="str">
        <f t="shared" si="37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4301031205</v>
      </c>
      <c r="D220" s="619">
        <v>4680115881785</v>
      </c>
      <c r="E220" s="620"/>
      <c r="F220" s="604">
        <v>0.35</v>
      </c>
      <c r="G220" s="32">
        <v>6</v>
      </c>
      <c r="H220" s="604">
        <v>2.1</v>
      </c>
      <c r="I220" s="604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32"/>
        <v>0</v>
      </c>
      <c r="Z220" s="36" t="str">
        <f t="shared" si="37"/>
        <v/>
      </c>
      <c r="AA220" s="56"/>
      <c r="AB220" s="57"/>
      <c r="AC220" s="277" t="s">
        <v>359</v>
      </c>
      <c r="AG220" s="64"/>
      <c r="AJ220" s="68"/>
      <c r="AK220" s="68">
        <v>0</v>
      </c>
      <c r="BB220" s="278" t="s">
        <v>1</v>
      </c>
      <c r="BM220" s="64">
        <f t="shared" si="33"/>
        <v>0</v>
      </c>
      <c r="BN220" s="64">
        <f t="shared" si="34"/>
        <v>0</v>
      </c>
      <c r="BO220" s="64">
        <f t="shared" si="35"/>
        <v>0</v>
      </c>
      <c r="BP220" s="64">
        <f t="shared" si="36"/>
        <v>0</v>
      </c>
    </row>
    <row r="221" spans="1:68" ht="27" hidden="1" customHeight="1" x14ac:dyDescent="0.25">
      <c r="A221" s="54" t="s">
        <v>373</v>
      </c>
      <c r="B221" s="54" t="s">
        <v>374</v>
      </c>
      <c r="C221" s="31">
        <v>4301031499</v>
      </c>
      <c r="D221" s="619">
        <v>4680115888432</v>
      </c>
      <c r="E221" s="620"/>
      <c r="F221" s="604">
        <v>0.3</v>
      </c>
      <c r="G221" s="32">
        <v>6</v>
      </c>
      <c r="H221" s="604">
        <v>1.8</v>
      </c>
      <c r="I221" s="604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32"/>
        <v>0</v>
      </c>
      <c r="Z221" s="36" t="str">
        <f t="shared" si="37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33"/>
        <v>0</v>
      </c>
      <c r="BN221" s="64">
        <f t="shared" si="34"/>
        <v>0</v>
      </c>
      <c r="BO221" s="64">
        <f t="shared" si="35"/>
        <v>0</v>
      </c>
      <c r="BP221" s="64">
        <f t="shared" si="36"/>
        <v>0</v>
      </c>
    </row>
    <row r="222" spans="1:68" ht="27" hidden="1" customHeight="1" x14ac:dyDescent="0.25">
      <c r="A222" s="54" t="s">
        <v>376</v>
      </c>
      <c r="B222" s="54" t="s">
        <v>377</v>
      </c>
      <c r="C222" s="31">
        <v>4301031427</v>
      </c>
      <c r="D222" s="619">
        <v>4680115888104</v>
      </c>
      <c r="E222" s="620"/>
      <c r="F222" s="604">
        <v>0.35</v>
      </c>
      <c r="G222" s="32">
        <v>6</v>
      </c>
      <c r="H222" s="604">
        <v>2.1</v>
      </c>
      <c r="I222" s="604">
        <v>2.2000000000000002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0</v>
      </c>
      <c r="Y222" s="606">
        <f t="shared" si="32"/>
        <v>0</v>
      </c>
      <c r="Z222" s="36" t="str">
        <f t="shared" si="37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hidden="1" customHeight="1" x14ac:dyDescent="0.25">
      <c r="A223" s="54" t="s">
        <v>379</v>
      </c>
      <c r="B223" s="54" t="s">
        <v>380</v>
      </c>
      <c r="C223" s="31">
        <v>4301031399</v>
      </c>
      <c r="D223" s="619">
        <v>4680115886537</v>
      </c>
      <c r="E223" s="620"/>
      <c r="F223" s="604">
        <v>0.3</v>
      </c>
      <c r="G223" s="32">
        <v>6</v>
      </c>
      <c r="H223" s="604">
        <v>1.8</v>
      </c>
      <c r="I223" s="604">
        <v>1.93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6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0</v>
      </c>
      <c r="Y223" s="606">
        <f t="shared" si="32"/>
        <v>0</v>
      </c>
      <c r="Z223" s="36" t="str">
        <f t="shared" si="37"/>
        <v/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382</v>
      </c>
      <c r="B224" s="54" t="s">
        <v>383</v>
      </c>
      <c r="C224" s="31">
        <v>4301031279</v>
      </c>
      <c r="D224" s="619">
        <v>4680115887596</v>
      </c>
      <c r="E224" s="620"/>
      <c r="F224" s="604">
        <v>0.08</v>
      </c>
      <c r="G224" s="32">
        <v>10</v>
      </c>
      <c r="H224" s="604">
        <v>0.8</v>
      </c>
      <c r="I224" s="604">
        <v>1.01</v>
      </c>
      <c r="J224" s="32">
        <v>336</v>
      </c>
      <c r="K224" s="32" t="s">
        <v>129</v>
      </c>
      <c r="L224" s="32"/>
      <c r="M224" s="33" t="s">
        <v>66</v>
      </c>
      <c r="N224" s="33"/>
      <c r="O224" s="32">
        <v>45</v>
      </c>
      <c r="P224" s="77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0</v>
      </c>
      <c r="Y224" s="606">
        <f t="shared" si="32"/>
        <v>0</v>
      </c>
      <c r="Z224" s="36" t="str">
        <f>IFERROR(IF(Y224=0,"",ROUNDUP(Y224/H224,0)*0.00417),"")</f>
        <v/>
      </c>
      <c r="AA224" s="56"/>
      <c r="AB224" s="57"/>
      <c r="AC224" s="285" t="s">
        <v>384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37.5" customHeight="1" x14ac:dyDescent="0.25">
      <c r="A225" s="54" t="s">
        <v>385</v>
      </c>
      <c r="B225" s="54" t="s">
        <v>386</v>
      </c>
      <c r="C225" s="31">
        <v>4301031202</v>
      </c>
      <c r="D225" s="619">
        <v>4680115881679</v>
      </c>
      <c r="E225" s="620"/>
      <c r="F225" s="604">
        <v>0.35</v>
      </c>
      <c r="G225" s="32">
        <v>6</v>
      </c>
      <c r="H225" s="604">
        <v>2.1</v>
      </c>
      <c r="I225" s="604">
        <v>2.2000000000000002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4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210</v>
      </c>
      <c r="Y225" s="606">
        <f t="shared" si="32"/>
        <v>210</v>
      </c>
      <c r="Z225" s="36">
        <f>IFERROR(IF(Y225=0,"",ROUNDUP(Y225/H225,0)*0.00502),"")</f>
        <v>0.502</v>
      </c>
      <c r="AA225" s="56"/>
      <c r="AB225" s="57"/>
      <c r="AC225" s="287" t="s">
        <v>362</v>
      </c>
      <c r="AG225" s="64"/>
      <c r="AJ225" s="68"/>
      <c r="AK225" s="68">
        <v>0</v>
      </c>
      <c r="BB225" s="288" t="s">
        <v>1</v>
      </c>
      <c r="BM225" s="64">
        <f t="shared" si="33"/>
        <v>220.00000000000003</v>
      </c>
      <c r="BN225" s="64">
        <f t="shared" si="34"/>
        <v>220.00000000000003</v>
      </c>
      <c r="BO225" s="64">
        <f t="shared" si="35"/>
        <v>0.42735042735042739</v>
      </c>
      <c r="BP225" s="64">
        <f t="shared" si="36"/>
        <v>0.42735042735042739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4301031158</v>
      </c>
      <c r="D226" s="619">
        <v>4680115880191</v>
      </c>
      <c r="E226" s="620"/>
      <c r="F226" s="604">
        <v>0.4</v>
      </c>
      <c r="G226" s="32">
        <v>6</v>
      </c>
      <c r="H226" s="604">
        <v>2.4</v>
      </c>
      <c r="I226" s="604">
        <v>2.58</v>
      </c>
      <c r="J226" s="32">
        <v>182</v>
      </c>
      <c r="K226" s="32" t="s">
        <v>77</v>
      </c>
      <c r="L226" s="32"/>
      <c r="M226" s="33" t="s">
        <v>66</v>
      </c>
      <c r="N226" s="33"/>
      <c r="O226" s="32">
        <v>40</v>
      </c>
      <c r="P226" s="8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32"/>
        <v>0</v>
      </c>
      <c r="Z226" s="36" t="str">
        <f>IFERROR(IF(Y226=0,"",ROUNDUP(Y226/H226,0)*0.00651),"")</f>
        <v/>
      </c>
      <c r="AA226" s="56"/>
      <c r="AB226" s="57"/>
      <c r="AC226" s="289" t="s">
        <v>362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389</v>
      </c>
      <c r="B227" s="54" t="s">
        <v>390</v>
      </c>
      <c r="C227" s="31">
        <v>4301031245</v>
      </c>
      <c r="D227" s="619">
        <v>4680115883963</v>
      </c>
      <c r="E227" s="620"/>
      <c r="F227" s="604">
        <v>0.28000000000000003</v>
      </c>
      <c r="G227" s="32">
        <v>6</v>
      </c>
      <c r="H227" s="604">
        <v>1.68</v>
      </c>
      <c r="I227" s="604">
        <v>1.78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12"/>
      <c r="R227" s="612"/>
      <c r="S227" s="612"/>
      <c r="T227" s="613"/>
      <c r="U227" s="34"/>
      <c r="V227" s="34"/>
      <c r="W227" s="35" t="s">
        <v>67</v>
      </c>
      <c r="X227" s="605">
        <v>0</v>
      </c>
      <c r="Y227" s="606">
        <f t="shared" si="32"/>
        <v>0</v>
      </c>
      <c r="Z227" s="36" t="str">
        <f>IFERROR(IF(Y227=0,"",ROUNDUP(Y227/H227,0)*0.00502),"")</f>
        <v/>
      </c>
      <c r="AA227" s="56"/>
      <c r="AB227" s="57"/>
      <c r="AC227" s="291" t="s">
        <v>391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x14ac:dyDescent="0.2">
      <c r="A228" s="616"/>
      <c r="B228" s="610"/>
      <c r="C228" s="610"/>
      <c r="D228" s="610"/>
      <c r="E228" s="610"/>
      <c r="F228" s="610"/>
      <c r="G228" s="610"/>
      <c r="H228" s="610"/>
      <c r="I228" s="610"/>
      <c r="J228" s="610"/>
      <c r="K228" s="610"/>
      <c r="L228" s="610"/>
      <c r="M228" s="610"/>
      <c r="N228" s="610"/>
      <c r="O228" s="617"/>
      <c r="P228" s="621" t="s">
        <v>72</v>
      </c>
      <c r="Q228" s="622"/>
      <c r="R228" s="622"/>
      <c r="S228" s="622"/>
      <c r="T228" s="622"/>
      <c r="U228" s="622"/>
      <c r="V228" s="623"/>
      <c r="W228" s="37" t="s">
        <v>73</v>
      </c>
      <c r="X228" s="60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100</v>
      </c>
      <c r="Y228" s="60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100</v>
      </c>
      <c r="Z228" s="60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0.502</v>
      </c>
      <c r="AA228" s="608"/>
      <c r="AB228" s="608"/>
      <c r="AC228" s="608"/>
    </row>
    <row r="229" spans="1:68" x14ac:dyDescent="0.2">
      <c r="A229" s="610"/>
      <c r="B229" s="610"/>
      <c r="C229" s="610"/>
      <c r="D229" s="610"/>
      <c r="E229" s="610"/>
      <c r="F229" s="610"/>
      <c r="G229" s="610"/>
      <c r="H229" s="610"/>
      <c r="I229" s="610"/>
      <c r="J229" s="610"/>
      <c r="K229" s="610"/>
      <c r="L229" s="610"/>
      <c r="M229" s="610"/>
      <c r="N229" s="610"/>
      <c r="O229" s="617"/>
      <c r="P229" s="621" t="s">
        <v>72</v>
      </c>
      <c r="Q229" s="622"/>
      <c r="R229" s="622"/>
      <c r="S229" s="622"/>
      <c r="T229" s="622"/>
      <c r="U229" s="622"/>
      <c r="V229" s="623"/>
      <c r="W229" s="37" t="s">
        <v>67</v>
      </c>
      <c r="X229" s="607">
        <f>IFERROR(SUM(X214:X227),"0")</f>
        <v>210</v>
      </c>
      <c r="Y229" s="607">
        <f>IFERROR(SUM(Y214:Y227),"0")</f>
        <v>210</v>
      </c>
      <c r="Z229" s="37"/>
      <c r="AA229" s="608"/>
      <c r="AB229" s="608"/>
      <c r="AC229" s="608"/>
    </row>
    <row r="230" spans="1:68" ht="14.25" hidden="1" customHeight="1" x14ac:dyDescent="0.25">
      <c r="A230" s="609" t="s">
        <v>74</v>
      </c>
      <c r="B230" s="610"/>
      <c r="C230" s="610"/>
      <c r="D230" s="610"/>
      <c r="E230" s="610"/>
      <c r="F230" s="610"/>
      <c r="G230" s="610"/>
      <c r="H230" s="610"/>
      <c r="I230" s="610"/>
      <c r="J230" s="610"/>
      <c r="K230" s="610"/>
      <c r="L230" s="610"/>
      <c r="M230" s="610"/>
      <c r="N230" s="610"/>
      <c r="O230" s="610"/>
      <c r="P230" s="610"/>
      <c r="Q230" s="610"/>
      <c r="R230" s="610"/>
      <c r="S230" s="610"/>
      <c r="T230" s="610"/>
      <c r="U230" s="610"/>
      <c r="V230" s="610"/>
      <c r="W230" s="610"/>
      <c r="X230" s="610"/>
      <c r="Y230" s="610"/>
      <c r="Z230" s="610"/>
      <c r="AA230" s="601"/>
      <c r="AB230" s="601"/>
      <c r="AC230" s="601"/>
    </row>
    <row r="231" spans="1:68" ht="16.5" hidden="1" customHeight="1" x14ac:dyDescent="0.25">
      <c r="A231" s="54" t="s">
        <v>392</v>
      </c>
      <c r="B231" s="54" t="s">
        <v>393</v>
      </c>
      <c r="C231" s="31">
        <v>4301052209</v>
      </c>
      <c r="D231" s="619">
        <v>4680115888692</v>
      </c>
      <c r="E231" s="62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124</v>
      </c>
      <c r="L231" s="32"/>
      <c r="M231" s="33" t="s">
        <v>84</v>
      </c>
      <c r="N231" s="33"/>
      <c r="O231" s="32">
        <v>35</v>
      </c>
      <c r="P231" s="61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 t="s">
        <v>105</v>
      </c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4301052213</v>
      </c>
      <c r="D232" s="619">
        <v>4680115888722</v>
      </c>
      <c r="E232" s="62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124</v>
      </c>
      <c r="L232" s="32"/>
      <c r="M232" s="33" t="s">
        <v>84</v>
      </c>
      <c r="N232" s="33"/>
      <c r="O232" s="32">
        <v>35</v>
      </c>
      <c r="P232" s="79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 t="s">
        <v>105</v>
      </c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4301052177</v>
      </c>
      <c r="D233" s="619">
        <v>4680115888951</v>
      </c>
      <c r="E233" s="62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133</v>
      </c>
      <c r="L233" s="32"/>
      <c r="M233" s="33" t="s">
        <v>84</v>
      </c>
      <c r="N233" s="33"/>
      <c r="O233" s="32">
        <v>35</v>
      </c>
      <c r="P233" s="81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4301052176</v>
      </c>
      <c r="D234" s="619">
        <v>4680115888982</v>
      </c>
      <c r="E234" s="62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133</v>
      </c>
      <c r="L234" s="32"/>
      <c r="M234" s="33" t="s">
        <v>84</v>
      </c>
      <c r="N234" s="33"/>
      <c r="O234" s="32">
        <v>35</v>
      </c>
      <c r="P234" s="6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16"/>
      <c r="B235" s="610"/>
      <c r="C235" s="610"/>
      <c r="D235" s="610"/>
      <c r="E235" s="610"/>
      <c r="F235" s="610"/>
      <c r="G235" s="610"/>
      <c r="H235" s="610"/>
      <c r="I235" s="610"/>
      <c r="J235" s="610"/>
      <c r="K235" s="610"/>
      <c r="L235" s="610"/>
      <c r="M235" s="610"/>
      <c r="N235" s="610"/>
      <c r="O235" s="617"/>
      <c r="P235" s="621" t="s">
        <v>72</v>
      </c>
      <c r="Q235" s="622"/>
      <c r="R235" s="622"/>
      <c r="S235" s="622"/>
      <c r="T235" s="622"/>
      <c r="U235" s="622"/>
      <c r="V235" s="623"/>
      <c r="W235" s="37" t="s">
        <v>73</v>
      </c>
      <c r="X235" s="607">
        <f>IFERROR(X231/H231,"0")+IFERROR(X232/H232,"0")+IFERROR(X233/H233,"0")+IFERROR(X234/H234,"0")</f>
        <v>0</v>
      </c>
      <c r="Y235" s="607">
        <f>IFERROR(Y231/H231,"0")+IFERROR(Y232/H232,"0")+IFERROR(Y233/H233,"0")+IFERROR(Y234/H234,"0")</f>
        <v>0</v>
      </c>
      <c r="Z235" s="607">
        <f>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hidden="1" x14ac:dyDescent="0.2">
      <c r="A236" s="610"/>
      <c r="B236" s="610"/>
      <c r="C236" s="610"/>
      <c r="D236" s="610"/>
      <c r="E236" s="610"/>
      <c r="F236" s="610"/>
      <c r="G236" s="610"/>
      <c r="H236" s="610"/>
      <c r="I236" s="610"/>
      <c r="J236" s="610"/>
      <c r="K236" s="610"/>
      <c r="L236" s="610"/>
      <c r="M236" s="610"/>
      <c r="N236" s="610"/>
      <c r="O236" s="617"/>
      <c r="P236" s="621" t="s">
        <v>72</v>
      </c>
      <c r="Q236" s="622"/>
      <c r="R236" s="622"/>
      <c r="S236" s="622"/>
      <c r="T236" s="622"/>
      <c r="U236" s="622"/>
      <c r="V236" s="623"/>
      <c r="W236" s="37" t="s">
        <v>67</v>
      </c>
      <c r="X236" s="607">
        <f>IFERROR(SUM(X231:X234),"0")</f>
        <v>0</v>
      </c>
      <c r="Y236" s="607">
        <f>IFERROR(SUM(Y231:Y234),"0")</f>
        <v>0</v>
      </c>
      <c r="Z236" s="37"/>
      <c r="AA236" s="608"/>
      <c r="AB236" s="608"/>
      <c r="AC236" s="608"/>
    </row>
    <row r="237" spans="1:68" ht="14.25" hidden="1" customHeight="1" x14ac:dyDescent="0.25">
      <c r="A237" s="609" t="s">
        <v>95</v>
      </c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0"/>
      <c r="O237" s="610"/>
      <c r="P237" s="610"/>
      <c r="Q237" s="610"/>
      <c r="R237" s="610"/>
      <c r="S237" s="610"/>
      <c r="T237" s="610"/>
      <c r="U237" s="610"/>
      <c r="V237" s="610"/>
      <c r="W237" s="610"/>
      <c r="X237" s="610"/>
      <c r="Y237" s="610"/>
      <c r="Z237" s="610"/>
      <c r="AA237" s="601"/>
      <c r="AB237" s="601"/>
      <c r="AC237" s="601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19">
        <v>4680115886780</v>
      </c>
      <c r="E238" s="62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318</v>
      </c>
      <c r="L238" s="32"/>
      <c r="M238" s="33" t="s">
        <v>319</v>
      </c>
      <c r="N238" s="33"/>
      <c r="O238" s="32">
        <v>60</v>
      </c>
      <c r="P238" s="8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4301032051</v>
      </c>
      <c r="D239" s="619">
        <v>4680115886742</v>
      </c>
      <c r="E239" s="62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318</v>
      </c>
      <c r="L239" s="32"/>
      <c r="M239" s="33" t="s">
        <v>319</v>
      </c>
      <c r="N239" s="33"/>
      <c r="O239" s="32">
        <v>90</v>
      </c>
      <c r="P239" s="7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0</v>
      </c>
      <c r="Y239" s="60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4301032052</v>
      </c>
      <c r="D240" s="619">
        <v>4680115886766</v>
      </c>
      <c r="E240" s="62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318</v>
      </c>
      <c r="L240" s="32"/>
      <c r="M240" s="33" t="s">
        <v>319</v>
      </c>
      <c r="N240" s="33"/>
      <c r="O240" s="32">
        <v>90</v>
      </c>
      <c r="P240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0</v>
      </c>
      <c r="Y240" s="60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16"/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10"/>
      <c r="O241" s="617"/>
      <c r="P241" s="621" t="s">
        <v>72</v>
      </c>
      <c r="Q241" s="622"/>
      <c r="R241" s="622"/>
      <c r="S241" s="622"/>
      <c r="T241" s="622"/>
      <c r="U241" s="622"/>
      <c r="V241" s="623"/>
      <c r="W241" s="37" t="s">
        <v>73</v>
      </c>
      <c r="X241" s="607">
        <f>IFERROR(X238/H238,"0")+IFERROR(X239/H239,"0")+IFERROR(X240/H240,"0")</f>
        <v>0</v>
      </c>
      <c r="Y241" s="607">
        <f>IFERROR(Y238/H238,"0")+IFERROR(Y239/H239,"0")+IFERROR(Y240/H240,"0")</f>
        <v>0</v>
      </c>
      <c r="Z241" s="607">
        <f>IFERROR(IF(Z238="",0,Z238),"0")+IFERROR(IF(Z239="",0,Z239),"0")+IFERROR(IF(Z240="",0,Z240),"0")</f>
        <v>0</v>
      </c>
      <c r="AA241" s="608"/>
      <c r="AB241" s="608"/>
      <c r="AC241" s="608"/>
    </row>
    <row r="242" spans="1:68" hidden="1" x14ac:dyDescent="0.2">
      <c r="A242" s="610"/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0"/>
      <c r="O242" s="617"/>
      <c r="P242" s="621" t="s">
        <v>72</v>
      </c>
      <c r="Q242" s="622"/>
      <c r="R242" s="622"/>
      <c r="S242" s="622"/>
      <c r="T242" s="622"/>
      <c r="U242" s="622"/>
      <c r="V242" s="623"/>
      <c r="W242" s="37" t="s">
        <v>67</v>
      </c>
      <c r="X242" s="607">
        <f>IFERROR(SUM(X238:X240),"0")</f>
        <v>0</v>
      </c>
      <c r="Y242" s="607">
        <f>IFERROR(SUM(Y238:Y240),"0")</f>
        <v>0</v>
      </c>
      <c r="Z242" s="37"/>
      <c r="AA242" s="608"/>
      <c r="AB242" s="608"/>
      <c r="AC242" s="608"/>
    </row>
    <row r="243" spans="1:68" ht="14.25" hidden="1" customHeight="1" x14ac:dyDescent="0.25">
      <c r="A243" s="609" t="s">
        <v>411</v>
      </c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0"/>
      <c r="O243" s="610"/>
      <c r="P243" s="610"/>
      <c r="Q243" s="610"/>
      <c r="R243" s="610"/>
      <c r="S243" s="610"/>
      <c r="T243" s="610"/>
      <c r="U243" s="610"/>
      <c r="V243" s="610"/>
      <c r="W243" s="610"/>
      <c r="X243" s="610"/>
      <c r="Y243" s="610"/>
      <c r="Z243" s="610"/>
      <c r="AA243" s="601"/>
      <c r="AB243" s="601"/>
      <c r="AC243" s="601"/>
    </row>
    <row r="244" spans="1:68" ht="27" hidden="1" customHeight="1" x14ac:dyDescent="0.25">
      <c r="A244" s="54" t="s">
        <v>412</v>
      </c>
      <c r="B244" s="54" t="s">
        <v>413</v>
      </c>
      <c r="C244" s="31">
        <v>4301170013</v>
      </c>
      <c r="D244" s="619">
        <v>4680115886797</v>
      </c>
      <c r="E244" s="62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318</v>
      </c>
      <c r="L244" s="32"/>
      <c r="M244" s="33" t="s">
        <v>319</v>
      </c>
      <c r="N244" s="33"/>
      <c r="O244" s="32">
        <v>90</v>
      </c>
      <c r="P244" s="6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0</v>
      </c>
      <c r="Y244" s="60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16"/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10"/>
      <c r="O245" s="617"/>
      <c r="P245" s="621" t="s">
        <v>72</v>
      </c>
      <c r="Q245" s="622"/>
      <c r="R245" s="622"/>
      <c r="S245" s="622"/>
      <c r="T245" s="622"/>
      <c r="U245" s="622"/>
      <c r="V245" s="623"/>
      <c r="W245" s="37" t="s">
        <v>73</v>
      </c>
      <c r="X245" s="607">
        <f>IFERROR(X244/H244,"0")</f>
        <v>0</v>
      </c>
      <c r="Y245" s="607">
        <f>IFERROR(Y244/H244,"0")</f>
        <v>0</v>
      </c>
      <c r="Z245" s="607">
        <f>IFERROR(IF(Z244="",0,Z244),"0")</f>
        <v>0</v>
      </c>
      <c r="AA245" s="608"/>
      <c r="AB245" s="608"/>
      <c r="AC245" s="608"/>
    </row>
    <row r="246" spans="1:68" hidden="1" x14ac:dyDescent="0.2">
      <c r="A246" s="610"/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0"/>
      <c r="O246" s="617"/>
      <c r="P246" s="621" t="s">
        <v>72</v>
      </c>
      <c r="Q246" s="622"/>
      <c r="R246" s="622"/>
      <c r="S246" s="622"/>
      <c r="T246" s="622"/>
      <c r="U246" s="622"/>
      <c r="V246" s="623"/>
      <c r="W246" s="37" t="s">
        <v>67</v>
      </c>
      <c r="X246" s="607">
        <f>IFERROR(SUM(X244:X244),"0")</f>
        <v>0</v>
      </c>
      <c r="Y246" s="607">
        <f>IFERROR(SUM(Y244:Y244),"0")</f>
        <v>0</v>
      </c>
      <c r="Z246" s="37"/>
      <c r="AA246" s="608"/>
      <c r="AB246" s="608"/>
      <c r="AC246" s="608"/>
    </row>
    <row r="247" spans="1:68" ht="16.5" hidden="1" customHeight="1" x14ac:dyDescent="0.25">
      <c r="A247" s="647" t="s">
        <v>414</v>
      </c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0"/>
      <c r="O247" s="610"/>
      <c r="P247" s="610"/>
      <c r="Q247" s="610"/>
      <c r="R247" s="610"/>
      <c r="S247" s="610"/>
      <c r="T247" s="610"/>
      <c r="U247" s="610"/>
      <c r="V247" s="610"/>
      <c r="W247" s="610"/>
      <c r="X247" s="610"/>
      <c r="Y247" s="610"/>
      <c r="Z247" s="610"/>
      <c r="AA247" s="600"/>
      <c r="AB247" s="600"/>
      <c r="AC247" s="600"/>
    </row>
    <row r="248" spans="1:68" ht="14.25" hidden="1" customHeight="1" x14ac:dyDescent="0.25">
      <c r="A248" s="609" t="s">
        <v>121</v>
      </c>
      <c r="B248" s="610"/>
      <c r="C248" s="610"/>
      <c r="D248" s="610"/>
      <c r="E248" s="610"/>
      <c r="F248" s="610"/>
      <c r="G248" s="610"/>
      <c r="H248" s="610"/>
      <c r="I248" s="610"/>
      <c r="J248" s="610"/>
      <c r="K248" s="610"/>
      <c r="L248" s="610"/>
      <c r="M248" s="610"/>
      <c r="N248" s="610"/>
      <c r="O248" s="610"/>
      <c r="P248" s="610"/>
      <c r="Q248" s="610"/>
      <c r="R248" s="610"/>
      <c r="S248" s="610"/>
      <c r="T248" s="610"/>
      <c r="U248" s="610"/>
      <c r="V248" s="610"/>
      <c r="W248" s="610"/>
      <c r="X248" s="610"/>
      <c r="Y248" s="610"/>
      <c r="Z248" s="610"/>
      <c r="AA248" s="601"/>
      <c r="AB248" s="601"/>
      <c r="AC248" s="601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19">
        <v>4680115881402</v>
      </c>
      <c r="E249" s="62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124</v>
      </c>
      <c r="L249" s="32"/>
      <c r="M249" s="33" t="s">
        <v>125</v>
      </c>
      <c r="N249" s="33"/>
      <c r="O249" s="32">
        <v>55</v>
      </c>
      <c r="P249" s="63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19">
        <v>4680115881396</v>
      </c>
      <c r="E250" s="62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125</v>
      </c>
      <c r="N250" s="33"/>
      <c r="O250" s="32">
        <v>55</v>
      </c>
      <c r="P250" s="7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16"/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0"/>
      <c r="O251" s="617"/>
      <c r="P251" s="621" t="s">
        <v>72</v>
      </c>
      <c r="Q251" s="622"/>
      <c r="R251" s="622"/>
      <c r="S251" s="622"/>
      <c r="T251" s="622"/>
      <c r="U251" s="622"/>
      <c r="V251" s="623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hidden="1" x14ac:dyDescent="0.2">
      <c r="A252" s="610"/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10"/>
      <c r="O252" s="617"/>
      <c r="P252" s="621" t="s">
        <v>72</v>
      </c>
      <c r="Q252" s="622"/>
      <c r="R252" s="622"/>
      <c r="S252" s="622"/>
      <c r="T252" s="622"/>
      <c r="U252" s="622"/>
      <c r="V252" s="623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hidden="1" customHeight="1" x14ac:dyDescent="0.25">
      <c r="A253" s="609" t="s">
        <v>156</v>
      </c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0"/>
      <c r="O253" s="610"/>
      <c r="P253" s="610"/>
      <c r="Q253" s="610"/>
      <c r="R253" s="610"/>
      <c r="S253" s="610"/>
      <c r="T253" s="610"/>
      <c r="U253" s="610"/>
      <c r="V253" s="610"/>
      <c r="W253" s="610"/>
      <c r="X253" s="610"/>
      <c r="Y253" s="610"/>
      <c r="Z253" s="610"/>
      <c r="AA253" s="601"/>
      <c r="AB253" s="601"/>
      <c r="AC253" s="601"/>
    </row>
    <row r="254" spans="1:68" ht="16.5" hidden="1" customHeight="1" x14ac:dyDescent="0.25">
      <c r="A254" s="54" t="s">
        <v>420</v>
      </c>
      <c r="B254" s="54" t="s">
        <v>421</v>
      </c>
      <c r="C254" s="31">
        <v>4301020261</v>
      </c>
      <c r="D254" s="619">
        <v>4680115882935</v>
      </c>
      <c r="E254" s="62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124</v>
      </c>
      <c r="L254" s="32"/>
      <c r="M254" s="33" t="s">
        <v>125</v>
      </c>
      <c r="N254" s="33"/>
      <c r="O254" s="32">
        <v>50</v>
      </c>
      <c r="P254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423</v>
      </c>
      <c r="B255" s="54" t="s">
        <v>424</v>
      </c>
      <c r="C255" s="31">
        <v>4301020220</v>
      </c>
      <c r="D255" s="619">
        <v>4680115880764</v>
      </c>
      <c r="E255" s="62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125</v>
      </c>
      <c r="N255" s="33"/>
      <c r="O255" s="32">
        <v>50</v>
      </c>
      <c r="P255" s="71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16"/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7"/>
      <c r="P256" s="621" t="s">
        <v>72</v>
      </c>
      <c r="Q256" s="622"/>
      <c r="R256" s="622"/>
      <c r="S256" s="622"/>
      <c r="T256" s="622"/>
      <c r="U256" s="622"/>
      <c r="V256" s="623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hidden="1" x14ac:dyDescent="0.2">
      <c r="A257" s="610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7"/>
      <c r="P257" s="621" t="s">
        <v>72</v>
      </c>
      <c r="Q257" s="622"/>
      <c r="R257" s="622"/>
      <c r="S257" s="622"/>
      <c r="T257" s="622"/>
      <c r="U257" s="622"/>
      <c r="V257" s="623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hidden="1" customHeight="1" x14ac:dyDescent="0.25">
      <c r="A258" s="609" t="s">
        <v>62</v>
      </c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  <c r="P258" s="610"/>
      <c r="Q258" s="610"/>
      <c r="R258" s="610"/>
      <c r="S258" s="610"/>
      <c r="T258" s="610"/>
      <c r="U258" s="610"/>
      <c r="V258" s="610"/>
      <c r="W258" s="610"/>
      <c r="X258" s="610"/>
      <c r="Y258" s="610"/>
      <c r="Z258" s="610"/>
      <c r="AA258" s="601"/>
      <c r="AB258" s="601"/>
      <c r="AC258" s="601"/>
    </row>
    <row r="259" spans="1:68" ht="27" hidden="1" customHeight="1" x14ac:dyDescent="0.25">
      <c r="A259" s="54" t="s">
        <v>425</v>
      </c>
      <c r="B259" s="54" t="s">
        <v>426</v>
      </c>
      <c r="C259" s="31">
        <v>4301031224</v>
      </c>
      <c r="D259" s="619">
        <v>4680115882683</v>
      </c>
      <c r="E259" s="62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133</v>
      </c>
      <c r="L259" s="32"/>
      <c r="M259" s="33" t="s">
        <v>66</v>
      </c>
      <c r="N259" s="33"/>
      <c r="O259" s="32">
        <v>40</v>
      </c>
      <c r="P259" s="6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0</v>
      </c>
      <c r="Y259" s="606">
        <f t="shared" ref="Y259:Y266" si="38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9">IFERROR(X259*I259/H259,"0")</f>
        <v>0</v>
      </c>
      <c r="BN259" s="64">
        <f t="shared" ref="BN259:BN266" si="40">IFERROR(Y259*I259/H259,"0")</f>
        <v>0</v>
      </c>
      <c r="BO259" s="64">
        <f t="shared" ref="BO259:BO266" si="41">IFERROR(1/J259*(X259/H259),"0")</f>
        <v>0</v>
      </c>
      <c r="BP259" s="64">
        <f t="shared" ref="BP259:BP266" si="42">IFERROR(1/J259*(Y259/H259),"0")</f>
        <v>0</v>
      </c>
    </row>
    <row r="260" spans="1:68" ht="27" hidden="1" customHeight="1" x14ac:dyDescent="0.25">
      <c r="A260" s="54" t="s">
        <v>428</v>
      </c>
      <c r="B260" s="54" t="s">
        <v>429</v>
      </c>
      <c r="C260" s="31">
        <v>4301031230</v>
      </c>
      <c r="D260" s="619">
        <v>4680115882690</v>
      </c>
      <c r="E260" s="62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133</v>
      </c>
      <c r="L260" s="32"/>
      <c r="M260" s="33" t="s">
        <v>66</v>
      </c>
      <c r="N260" s="33"/>
      <c r="O260" s="32">
        <v>40</v>
      </c>
      <c r="P260" s="7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0</v>
      </c>
      <c r="Y260" s="606">
        <f t="shared" si="38"/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9"/>
        <v>0</v>
      </c>
      <c r="BN260" s="64">
        <f t="shared" si="40"/>
        <v>0</v>
      </c>
      <c r="BO260" s="64">
        <f t="shared" si="41"/>
        <v>0</v>
      </c>
      <c r="BP260" s="64">
        <f t="shared" si="42"/>
        <v>0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4301031220</v>
      </c>
      <c r="D261" s="619">
        <v>4680115882669</v>
      </c>
      <c r="E261" s="62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133</v>
      </c>
      <c r="L261" s="32"/>
      <c r="M261" s="33" t="s">
        <v>66</v>
      </c>
      <c r="N261" s="33"/>
      <c r="O261" s="32">
        <v>40</v>
      </c>
      <c r="P261" s="7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0</v>
      </c>
      <c r="Y261" s="606">
        <f t="shared" si="38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9"/>
        <v>0</v>
      </c>
      <c r="BN261" s="64">
        <f t="shared" si="40"/>
        <v>0</v>
      </c>
      <c r="BO261" s="64">
        <f t="shared" si="41"/>
        <v>0</v>
      </c>
      <c r="BP261" s="64">
        <f t="shared" si="42"/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4301031221</v>
      </c>
      <c r="D262" s="619">
        <v>4680115882676</v>
      </c>
      <c r="E262" s="62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133</v>
      </c>
      <c r="L262" s="32"/>
      <c r="M262" s="33" t="s">
        <v>66</v>
      </c>
      <c r="N262" s="33"/>
      <c r="O262" s="32">
        <v>40</v>
      </c>
      <c r="P262" s="92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0</v>
      </c>
      <c r="Y262" s="606">
        <f t="shared" si="38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9"/>
        <v>0</v>
      </c>
      <c r="BN262" s="64">
        <f t="shared" si="40"/>
        <v>0</v>
      </c>
      <c r="BO262" s="64">
        <f t="shared" si="41"/>
        <v>0</v>
      </c>
      <c r="BP262" s="64">
        <f t="shared" si="42"/>
        <v>0</v>
      </c>
    </row>
    <row r="263" spans="1:68" ht="27" hidden="1" customHeight="1" x14ac:dyDescent="0.25">
      <c r="A263" s="54" t="s">
        <v>437</v>
      </c>
      <c r="B263" s="54" t="s">
        <v>438</v>
      </c>
      <c r="C263" s="31">
        <v>4301031223</v>
      </c>
      <c r="D263" s="619">
        <v>4680115884014</v>
      </c>
      <c r="E263" s="62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0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0</v>
      </c>
      <c r="Y263" s="606">
        <f t="shared" si="38"/>
        <v>0</v>
      </c>
      <c r="Z263" s="36" t="str">
        <f>IFERROR(IF(Y263=0,"",ROUNDUP(Y263/H263,0)*0.00502),"")</f>
        <v/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9"/>
        <v>0</v>
      </c>
      <c r="BN263" s="64">
        <f t="shared" si="40"/>
        <v>0</v>
      </c>
      <c r="BO263" s="64">
        <f t="shared" si="41"/>
        <v>0</v>
      </c>
      <c r="BP263" s="64">
        <f t="shared" si="42"/>
        <v>0</v>
      </c>
    </row>
    <row r="264" spans="1:68" ht="27" hidden="1" customHeight="1" x14ac:dyDescent="0.25">
      <c r="A264" s="54" t="s">
        <v>439</v>
      </c>
      <c r="B264" s="54" t="s">
        <v>440</v>
      </c>
      <c r="C264" s="31">
        <v>4301031222</v>
      </c>
      <c r="D264" s="619">
        <v>4680115884007</v>
      </c>
      <c r="E264" s="62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0</v>
      </c>
      <c r="Y264" s="606">
        <f t="shared" si="38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9"/>
        <v>0</v>
      </c>
      <c r="BN264" s="64">
        <f t="shared" si="40"/>
        <v>0</v>
      </c>
      <c r="BO264" s="64">
        <f t="shared" si="41"/>
        <v>0</v>
      </c>
      <c r="BP264" s="64">
        <f t="shared" si="42"/>
        <v>0</v>
      </c>
    </row>
    <row r="265" spans="1:68" ht="27" hidden="1" customHeight="1" x14ac:dyDescent="0.25">
      <c r="A265" s="54" t="s">
        <v>441</v>
      </c>
      <c r="B265" s="54" t="s">
        <v>442</v>
      </c>
      <c r="C265" s="31">
        <v>4301031229</v>
      </c>
      <c r="D265" s="619">
        <v>4680115884038</v>
      </c>
      <c r="E265" s="62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8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9"/>
        <v>0</v>
      </c>
      <c r="BN265" s="64">
        <f t="shared" si="40"/>
        <v>0</v>
      </c>
      <c r="BO265" s="64">
        <f t="shared" si="41"/>
        <v>0</v>
      </c>
      <c r="BP265" s="64">
        <f t="shared" si="42"/>
        <v>0</v>
      </c>
    </row>
    <row r="266" spans="1:68" ht="27" hidden="1" customHeight="1" x14ac:dyDescent="0.25">
      <c r="A266" s="54" t="s">
        <v>443</v>
      </c>
      <c r="B266" s="54" t="s">
        <v>444</v>
      </c>
      <c r="C266" s="31">
        <v>4301031225</v>
      </c>
      <c r="D266" s="619">
        <v>4680115884021</v>
      </c>
      <c r="E266" s="62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0</v>
      </c>
      <c r="Y266" s="606">
        <f t="shared" si="38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9"/>
        <v>0</v>
      </c>
      <c r="BN266" s="64">
        <f t="shared" si="40"/>
        <v>0</v>
      </c>
      <c r="BO266" s="64">
        <f t="shared" si="41"/>
        <v>0</v>
      </c>
      <c r="BP266" s="64">
        <f t="shared" si="42"/>
        <v>0</v>
      </c>
    </row>
    <row r="267" spans="1:68" hidden="1" x14ac:dyDescent="0.2">
      <c r="A267" s="616"/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7"/>
      <c r="P267" s="621" t="s">
        <v>72</v>
      </c>
      <c r="Q267" s="622"/>
      <c r="R267" s="622"/>
      <c r="S267" s="622"/>
      <c r="T267" s="622"/>
      <c r="U267" s="622"/>
      <c r="V267" s="623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0</v>
      </c>
      <c r="Y267" s="607">
        <f>IFERROR(Y259/H259,"0")+IFERROR(Y260/H260,"0")+IFERROR(Y261/H261,"0")+IFERROR(Y262/H262,"0")+IFERROR(Y263/H263,"0")+IFERROR(Y264/H264,"0")+IFERROR(Y265/H265,"0")+IFERROR(Y266/H266,"0")</f>
        <v>0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08"/>
      <c r="AB267" s="608"/>
      <c r="AC267" s="608"/>
    </row>
    <row r="268" spans="1:68" hidden="1" x14ac:dyDescent="0.2">
      <c r="A268" s="610"/>
      <c r="B268" s="610"/>
      <c r="C268" s="610"/>
      <c r="D268" s="610"/>
      <c r="E268" s="610"/>
      <c r="F268" s="610"/>
      <c r="G268" s="610"/>
      <c r="H268" s="610"/>
      <c r="I268" s="610"/>
      <c r="J268" s="610"/>
      <c r="K268" s="610"/>
      <c r="L268" s="610"/>
      <c r="M268" s="610"/>
      <c r="N268" s="610"/>
      <c r="O268" s="617"/>
      <c r="P268" s="621" t="s">
        <v>72</v>
      </c>
      <c r="Q268" s="622"/>
      <c r="R268" s="622"/>
      <c r="S268" s="622"/>
      <c r="T268" s="622"/>
      <c r="U268" s="622"/>
      <c r="V268" s="623"/>
      <c r="W268" s="37" t="s">
        <v>67</v>
      </c>
      <c r="X268" s="607">
        <f>IFERROR(SUM(X259:X266),"0")</f>
        <v>0</v>
      </c>
      <c r="Y268" s="607">
        <f>IFERROR(SUM(Y259:Y266),"0")</f>
        <v>0</v>
      </c>
      <c r="Z268" s="37"/>
      <c r="AA268" s="608"/>
      <c r="AB268" s="608"/>
      <c r="AC268" s="608"/>
    </row>
    <row r="269" spans="1:68" ht="14.25" hidden="1" customHeight="1" x14ac:dyDescent="0.25">
      <c r="A269" s="609" t="s">
        <v>74</v>
      </c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0"/>
      <c r="O269" s="610"/>
      <c r="P269" s="610"/>
      <c r="Q269" s="610"/>
      <c r="R269" s="610"/>
      <c r="S269" s="610"/>
      <c r="T269" s="610"/>
      <c r="U269" s="610"/>
      <c r="V269" s="610"/>
      <c r="W269" s="610"/>
      <c r="X269" s="610"/>
      <c r="Y269" s="610"/>
      <c r="Z269" s="610"/>
      <c r="AA269" s="601"/>
      <c r="AB269" s="601"/>
      <c r="AC269" s="601"/>
    </row>
    <row r="270" spans="1:68" ht="27" hidden="1" customHeight="1" x14ac:dyDescent="0.25">
      <c r="A270" s="54" t="s">
        <v>445</v>
      </c>
      <c r="B270" s="54" t="s">
        <v>446</v>
      </c>
      <c r="C270" s="31">
        <v>4301051408</v>
      </c>
      <c r="D270" s="619">
        <v>4680115881594</v>
      </c>
      <c r="E270" s="62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124</v>
      </c>
      <c r="L270" s="32"/>
      <c r="M270" s="33" t="s">
        <v>78</v>
      </c>
      <c r="N270" s="33"/>
      <c r="O270" s="32">
        <v>40</v>
      </c>
      <c r="P270" s="8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0</v>
      </c>
      <c r="Y270" s="606">
        <f t="shared" ref="Y270:Y281" si="43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44">IFERROR(X270*I270/H270,"0")</f>
        <v>0</v>
      </c>
      <c r="BN270" s="64">
        <f t="shared" ref="BN270:BN281" si="45">IFERROR(Y270*I270/H270,"0")</f>
        <v>0</v>
      </c>
      <c r="BO270" s="64">
        <f t="shared" ref="BO270:BO281" si="46">IFERROR(1/J270*(X270/H270),"0")</f>
        <v>0</v>
      </c>
      <c r="BP270" s="64">
        <f t="shared" ref="BP270:BP281" si="47">IFERROR(1/J270*(Y270/H270),"0")</f>
        <v>0</v>
      </c>
    </row>
    <row r="271" spans="1:68" ht="27" hidden="1" customHeight="1" x14ac:dyDescent="0.25">
      <c r="A271" s="54" t="s">
        <v>448</v>
      </c>
      <c r="B271" s="54" t="s">
        <v>449</v>
      </c>
      <c r="C271" s="31">
        <v>4301051411</v>
      </c>
      <c r="D271" s="619">
        <v>4680115881617</v>
      </c>
      <c r="E271" s="62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124</v>
      </c>
      <c r="L271" s="32"/>
      <c r="M271" s="33" t="s">
        <v>78</v>
      </c>
      <c r="N271" s="33"/>
      <c r="O271" s="32">
        <v>40</v>
      </c>
      <c r="P271" s="68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0</v>
      </c>
      <c r="Y271" s="606">
        <f t="shared" si="43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44"/>
        <v>0</v>
      </c>
      <c r="BN271" s="64">
        <f t="shared" si="45"/>
        <v>0</v>
      </c>
      <c r="BO271" s="64">
        <f t="shared" si="46"/>
        <v>0</v>
      </c>
      <c r="BP271" s="64">
        <f t="shared" si="47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4301051656</v>
      </c>
      <c r="D272" s="619">
        <v>4680115880573</v>
      </c>
      <c r="E272" s="62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124</v>
      </c>
      <c r="L272" s="32"/>
      <c r="M272" s="33" t="s">
        <v>78</v>
      </c>
      <c r="N272" s="33"/>
      <c r="O272" s="32">
        <v>45</v>
      </c>
      <c r="P272" s="7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0</v>
      </c>
      <c r="Y272" s="606">
        <f t="shared" si="43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44"/>
        <v>0</v>
      </c>
      <c r="BN272" s="64">
        <f t="shared" si="45"/>
        <v>0</v>
      </c>
      <c r="BO272" s="64">
        <f t="shared" si="46"/>
        <v>0</v>
      </c>
      <c r="BP272" s="64">
        <f t="shared" si="47"/>
        <v>0</v>
      </c>
    </row>
    <row r="273" spans="1:68" ht="27" hidden="1" customHeight="1" x14ac:dyDescent="0.25">
      <c r="A273" s="54" t="s">
        <v>454</v>
      </c>
      <c r="B273" s="54" t="s">
        <v>455</v>
      </c>
      <c r="C273" s="31">
        <v>4301051407</v>
      </c>
      <c r="D273" s="619">
        <v>4680115882195</v>
      </c>
      <c r="E273" s="62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0</v>
      </c>
      <c r="Y273" s="606">
        <f t="shared" si="43"/>
        <v>0</v>
      </c>
      <c r="Z273" s="36" t="str">
        <f>IFERROR(IF(Y273=0,"",ROUNDUP(Y273/H273,0)*0.00651),"")</f>
        <v/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hidden="1" customHeight="1" x14ac:dyDescent="0.25">
      <c r="A274" s="54" t="s">
        <v>456</v>
      </c>
      <c r="B274" s="54" t="s">
        <v>457</v>
      </c>
      <c r="C274" s="31">
        <v>4301051752</v>
      </c>
      <c r="D274" s="619">
        <v>4680115882607</v>
      </c>
      <c r="E274" s="62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43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hidden="1" customHeight="1" x14ac:dyDescent="0.25">
      <c r="A275" s="54" t="s">
        <v>458</v>
      </c>
      <c r="B275" s="54" t="s">
        <v>459</v>
      </c>
      <c r="C275" s="31">
        <v>4301052143</v>
      </c>
      <c r="D275" s="619">
        <v>4680115882607</v>
      </c>
      <c r="E275" s="62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133</v>
      </c>
      <c r="L275" s="32"/>
      <c r="M275" s="33" t="s">
        <v>78</v>
      </c>
      <c r="N275" s="33"/>
      <c r="O275" s="32">
        <v>45</v>
      </c>
      <c r="P275" s="64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43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19">
        <v>4680115880092</v>
      </c>
      <c r="E276" s="62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400</v>
      </c>
      <c r="Y276" s="606">
        <f t="shared" si="43"/>
        <v>400.8</v>
      </c>
      <c r="Z276" s="36">
        <f>IFERROR(IF(Y276=0,"",ROUNDUP(Y276/H276,0)*0.00651),"")</f>
        <v>1.08717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44"/>
        <v>442</v>
      </c>
      <c r="BN276" s="64">
        <f t="shared" si="45"/>
        <v>442.88400000000007</v>
      </c>
      <c r="BO276" s="64">
        <f t="shared" si="46"/>
        <v>0.91575091575091594</v>
      </c>
      <c r="BP276" s="64">
        <f t="shared" si="47"/>
        <v>0.91758241758241765</v>
      </c>
    </row>
    <row r="277" spans="1:68" ht="27" hidden="1" customHeight="1" x14ac:dyDescent="0.25">
      <c r="A277" s="54" t="s">
        <v>463</v>
      </c>
      <c r="B277" s="54" t="s">
        <v>464</v>
      </c>
      <c r="C277" s="31">
        <v>4301052214</v>
      </c>
      <c r="D277" s="619">
        <v>4680115889064</v>
      </c>
      <c r="E277" s="62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124</v>
      </c>
      <c r="L277" s="32"/>
      <c r="M277" s="33" t="s">
        <v>78</v>
      </c>
      <c r="N277" s="33"/>
      <c r="O277" s="32">
        <v>45</v>
      </c>
      <c r="P277" s="7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43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19">
        <v>4680115880221</v>
      </c>
      <c r="E278" s="62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100</v>
      </c>
      <c r="Y278" s="606">
        <f t="shared" si="43"/>
        <v>100.8</v>
      </c>
      <c r="Z278" s="36">
        <f>IFERROR(IF(Y278=0,"",ROUNDUP(Y278/H278,0)*0.00651),"")</f>
        <v>0.27342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44"/>
        <v>110.5</v>
      </c>
      <c r="BN278" s="64">
        <f t="shared" si="45"/>
        <v>111.384</v>
      </c>
      <c r="BO278" s="64">
        <f t="shared" si="46"/>
        <v>0.22893772893772898</v>
      </c>
      <c r="BP278" s="64">
        <f t="shared" si="47"/>
        <v>0.23076923076923078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4301051945</v>
      </c>
      <c r="D279" s="619">
        <v>4680115880504</v>
      </c>
      <c r="E279" s="62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2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0</v>
      </c>
      <c r="Y279" s="606">
        <f t="shared" si="43"/>
        <v>0</v>
      </c>
      <c r="Z279" s="36" t="str">
        <f>IFERROR(IF(Y279=0,"",ROUNDUP(Y279/H279,0)*0.00651),"")</f>
        <v/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44"/>
        <v>0</v>
      </c>
      <c r="BN279" s="64">
        <f t="shared" si="45"/>
        <v>0</v>
      </c>
      <c r="BO279" s="64">
        <f t="shared" si="46"/>
        <v>0</v>
      </c>
      <c r="BP279" s="64">
        <f t="shared" si="47"/>
        <v>0</v>
      </c>
    </row>
    <row r="280" spans="1:68" ht="27" hidden="1" customHeight="1" x14ac:dyDescent="0.25">
      <c r="A280" s="54" t="s">
        <v>470</v>
      </c>
      <c r="B280" s="54" t="s">
        <v>471</v>
      </c>
      <c r="C280" s="31">
        <v>4301051410</v>
      </c>
      <c r="D280" s="619">
        <v>4680115882164</v>
      </c>
      <c r="E280" s="62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0</v>
      </c>
      <c r="Y280" s="606">
        <f t="shared" si="43"/>
        <v>0</v>
      </c>
      <c r="Z280" s="36" t="str">
        <f>IFERROR(IF(Y280=0,"",ROUNDUP(Y280/H280,0)*0.00651),"")</f>
        <v/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44"/>
        <v>0</v>
      </c>
      <c r="BN280" s="64">
        <f t="shared" si="45"/>
        <v>0</v>
      </c>
      <c r="BO280" s="64">
        <f t="shared" si="46"/>
        <v>0</v>
      </c>
      <c r="BP280" s="64">
        <f t="shared" si="47"/>
        <v>0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4301052180</v>
      </c>
      <c r="D281" s="619">
        <v>4680115888340</v>
      </c>
      <c r="E281" s="62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1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43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44"/>
        <v>0</v>
      </c>
      <c r="BN281" s="64">
        <f t="shared" si="45"/>
        <v>0</v>
      </c>
      <c r="BO281" s="64">
        <f t="shared" si="46"/>
        <v>0</v>
      </c>
      <c r="BP281" s="64">
        <f t="shared" si="47"/>
        <v>0</v>
      </c>
    </row>
    <row r="282" spans="1:68" x14ac:dyDescent="0.2">
      <c r="A282" s="616"/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0"/>
      <c r="O282" s="617"/>
      <c r="P282" s="621" t="s">
        <v>72</v>
      </c>
      <c r="Q282" s="622"/>
      <c r="R282" s="622"/>
      <c r="S282" s="622"/>
      <c r="T282" s="622"/>
      <c r="U282" s="622"/>
      <c r="V282" s="623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208.33333333333337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209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1.36059</v>
      </c>
      <c r="AA282" s="608"/>
      <c r="AB282" s="608"/>
      <c r="AC282" s="608"/>
    </row>
    <row r="283" spans="1:68" x14ac:dyDescent="0.2">
      <c r="A283" s="610"/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7"/>
      <c r="P283" s="621" t="s">
        <v>72</v>
      </c>
      <c r="Q283" s="622"/>
      <c r="R283" s="622"/>
      <c r="S283" s="622"/>
      <c r="T283" s="622"/>
      <c r="U283" s="622"/>
      <c r="V283" s="623"/>
      <c r="W283" s="37" t="s">
        <v>67</v>
      </c>
      <c r="X283" s="607">
        <f>IFERROR(SUM(X270:X281),"0")</f>
        <v>500</v>
      </c>
      <c r="Y283" s="607">
        <f>IFERROR(SUM(Y270:Y281),"0")</f>
        <v>501.6</v>
      </c>
      <c r="Z283" s="37"/>
      <c r="AA283" s="608"/>
      <c r="AB283" s="608"/>
      <c r="AC283" s="608"/>
    </row>
    <row r="284" spans="1:68" ht="14.25" hidden="1" customHeight="1" x14ac:dyDescent="0.25">
      <c r="A284" s="609" t="s">
        <v>173</v>
      </c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  <c r="P284" s="610"/>
      <c r="Q284" s="610"/>
      <c r="R284" s="610"/>
      <c r="S284" s="610"/>
      <c r="T284" s="610"/>
      <c r="U284" s="610"/>
      <c r="V284" s="610"/>
      <c r="W284" s="610"/>
      <c r="X284" s="610"/>
      <c r="Y284" s="610"/>
      <c r="Z284" s="610"/>
      <c r="AA284" s="601"/>
      <c r="AB284" s="601"/>
      <c r="AC284" s="601"/>
    </row>
    <row r="285" spans="1:68" ht="27" hidden="1" customHeight="1" x14ac:dyDescent="0.25">
      <c r="A285" s="54" t="s">
        <v>476</v>
      </c>
      <c r="B285" s="54" t="s">
        <v>477</v>
      </c>
      <c r="C285" s="31">
        <v>4301060463</v>
      </c>
      <c r="D285" s="619">
        <v>4680115880818</v>
      </c>
      <c r="E285" s="62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5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0</v>
      </c>
      <c r="Y285" s="60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4301060389</v>
      </c>
      <c r="D286" s="619">
        <v>4680115880801</v>
      </c>
      <c r="E286" s="62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16"/>
      <c r="B287" s="610"/>
      <c r="C287" s="610"/>
      <c r="D287" s="610"/>
      <c r="E287" s="610"/>
      <c r="F287" s="610"/>
      <c r="G287" s="610"/>
      <c r="H287" s="610"/>
      <c r="I287" s="610"/>
      <c r="J287" s="610"/>
      <c r="K287" s="610"/>
      <c r="L287" s="610"/>
      <c r="M287" s="610"/>
      <c r="N287" s="610"/>
      <c r="O287" s="617"/>
      <c r="P287" s="621" t="s">
        <v>72</v>
      </c>
      <c r="Q287" s="622"/>
      <c r="R287" s="622"/>
      <c r="S287" s="622"/>
      <c r="T287" s="622"/>
      <c r="U287" s="622"/>
      <c r="V287" s="623"/>
      <c r="W287" s="37" t="s">
        <v>73</v>
      </c>
      <c r="X287" s="607">
        <f>IFERROR(X285/H285,"0")+IFERROR(X286/H286,"0")</f>
        <v>0</v>
      </c>
      <c r="Y287" s="607">
        <f>IFERROR(Y285/H285,"0")+IFERROR(Y286/H286,"0")</f>
        <v>0</v>
      </c>
      <c r="Z287" s="607">
        <f>IFERROR(IF(Z285="",0,Z285),"0")+IFERROR(IF(Z286="",0,Z286),"0")</f>
        <v>0</v>
      </c>
      <c r="AA287" s="608"/>
      <c r="AB287" s="608"/>
      <c r="AC287" s="608"/>
    </row>
    <row r="288" spans="1:68" hidden="1" x14ac:dyDescent="0.2">
      <c r="A288" s="610"/>
      <c r="B288" s="610"/>
      <c r="C288" s="610"/>
      <c r="D288" s="610"/>
      <c r="E288" s="610"/>
      <c r="F288" s="610"/>
      <c r="G288" s="610"/>
      <c r="H288" s="610"/>
      <c r="I288" s="610"/>
      <c r="J288" s="610"/>
      <c r="K288" s="610"/>
      <c r="L288" s="610"/>
      <c r="M288" s="610"/>
      <c r="N288" s="610"/>
      <c r="O288" s="617"/>
      <c r="P288" s="621" t="s">
        <v>72</v>
      </c>
      <c r="Q288" s="622"/>
      <c r="R288" s="622"/>
      <c r="S288" s="622"/>
      <c r="T288" s="622"/>
      <c r="U288" s="622"/>
      <c r="V288" s="623"/>
      <c r="W288" s="37" t="s">
        <v>67</v>
      </c>
      <c r="X288" s="607">
        <f>IFERROR(SUM(X285:X286),"0")</f>
        <v>0</v>
      </c>
      <c r="Y288" s="607">
        <f>IFERROR(SUM(Y285:Y286),"0")</f>
        <v>0</v>
      </c>
      <c r="Z288" s="37"/>
      <c r="AA288" s="608"/>
      <c r="AB288" s="608"/>
      <c r="AC288" s="608"/>
    </row>
    <row r="289" spans="1:68" ht="16.5" hidden="1" customHeight="1" x14ac:dyDescent="0.25">
      <c r="A289" s="647" t="s">
        <v>482</v>
      </c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0"/>
      <c r="O289" s="610"/>
      <c r="P289" s="610"/>
      <c r="Q289" s="610"/>
      <c r="R289" s="610"/>
      <c r="S289" s="610"/>
      <c r="T289" s="610"/>
      <c r="U289" s="610"/>
      <c r="V289" s="610"/>
      <c r="W289" s="610"/>
      <c r="X289" s="610"/>
      <c r="Y289" s="610"/>
      <c r="Z289" s="610"/>
      <c r="AA289" s="600"/>
      <c r="AB289" s="600"/>
      <c r="AC289" s="600"/>
    </row>
    <row r="290" spans="1:68" ht="14.25" hidden="1" customHeight="1" x14ac:dyDescent="0.25">
      <c r="A290" s="609" t="s">
        <v>121</v>
      </c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0"/>
      <c r="O290" s="610"/>
      <c r="P290" s="610"/>
      <c r="Q290" s="610"/>
      <c r="R290" s="610"/>
      <c r="S290" s="610"/>
      <c r="T290" s="610"/>
      <c r="U290" s="610"/>
      <c r="V290" s="610"/>
      <c r="W290" s="610"/>
      <c r="X290" s="610"/>
      <c r="Y290" s="610"/>
      <c r="Z290" s="610"/>
      <c r="AA290" s="601"/>
      <c r="AB290" s="601"/>
      <c r="AC290" s="601"/>
    </row>
    <row r="291" spans="1:68" ht="27" hidden="1" customHeight="1" x14ac:dyDescent="0.25">
      <c r="A291" s="54" t="s">
        <v>483</v>
      </c>
      <c r="B291" s="54" t="s">
        <v>484</v>
      </c>
      <c r="C291" s="31">
        <v>4301011826</v>
      </c>
      <c r="D291" s="619">
        <v>4680115884137</v>
      </c>
      <c r="E291" s="62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124</v>
      </c>
      <c r="L291" s="32"/>
      <c r="M291" s="33" t="s">
        <v>125</v>
      </c>
      <c r="N291" s="33"/>
      <c r="O291" s="32">
        <v>55</v>
      </c>
      <c r="P291" s="9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0</v>
      </c>
      <c r="Y291" s="606">
        <f t="shared" ref="Y291:Y297" si="48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9">IFERROR(X291*I291/H291,"0")</f>
        <v>0</v>
      </c>
      <c r="BN291" s="64">
        <f t="shared" ref="BN291:BN297" si="50">IFERROR(Y291*I291/H291,"0")</f>
        <v>0</v>
      </c>
      <c r="BO291" s="64">
        <f t="shared" ref="BO291:BO297" si="51">IFERROR(1/J291*(X291/H291),"0")</f>
        <v>0</v>
      </c>
      <c r="BP291" s="64">
        <f t="shared" ref="BP291:BP297" si="52">IFERROR(1/J291*(Y291/H291),"0")</f>
        <v>0</v>
      </c>
    </row>
    <row r="292" spans="1:68" ht="27" hidden="1" customHeight="1" x14ac:dyDescent="0.25">
      <c r="A292" s="54" t="s">
        <v>486</v>
      </c>
      <c r="B292" s="54" t="s">
        <v>487</v>
      </c>
      <c r="C292" s="31">
        <v>4301011724</v>
      </c>
      <c r="D292" s="619">
        <v>4680115884236</v>
      </c>
      <c r="E292" s="62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124</v>
      </c>
      <c r="L292" s="32"/>
      <c r="M292" s="33" t="s">
        <v>125</v>
      </c>
      <c r="N292" s="33"/>
      <c r="O292" s="32">
        <v>55</v>
      </c>
      <c r="P292" s="9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0</v>
      </c>
      <c r="Y292" s="606">
        <f t="shared" si="48"/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9"/>
        <v>0</v>
      </c>
      <c r="BN292" s="64">
        <f t="shared" si="50"/>
        <v>0</v>
      </c>
      <c r="BO292" s="64">
        <f t="shared" si="51"/>
        <v>0</v>
      </c>
      <c r="BP292" s="64">
        <f t="shared" si="52"/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4301011721</v>
      </c>
      <c r="D293" s="619">
        <v>4680115884175</v>
      </c>
      <c r="E293" s="62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124</v>
      </c>
      <c r="L293" s="32"/>
      <c r="M293" s="33" t="s">
        <v>125</v>
      </c>
      <c r="N293" s="33"/>
      <c r="O293" s="32">
        <v>55</v>
      </c>
      <c r="P293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8"/>
        <v>0</v>
      </c>
      <c r="Z293" s="36" t="str">
        <f>IFERROR(IF(Y293=0,"",ROUNDUP(Y293/H293,0)*0.01898),"")</f>
        <v/>
      </c>
      <c r="AA293" s="56"/>
      <c r="AB293" s="57"/>
      <c r="AC293" s="365" t="s">
        <v>346</v>
      </c>
      <c r="AG293" s="64"/>
      <c r="AJ293" s="68"/>
      <c r="AK293" s="68">
        <v>0</v>
      </c>
      <c r="BB293" s="366" t="s">
        <v>1</v>
      </c>
      <c r="BM293" s="64">
        <f t="shared" si="49"/>
        <v>0</v>
      </c>
      <c r="BN293" s="64">
        <f t="shared" si="50"/>
        <v>0</v>
      </c>
      <c r="BO293" s="64">
        <f t="shared" si="51"/>
        <v>0</v>
      </c>
      <c r="BP293" s="64">
        <f t="shared" si="52"/>
        <v>0</v>
      </c>
    </row>
    <row r="294" spans="1:68" ht="27" hidden="1" customHeight="1" x14ac:dyDescent="0.25">
      <c r="A294" s="54" t="s">
        <v>491</v>
      </c>
      <c r="B294" s="54" t="s">
        <v>492</v>
      </c>
      <c r="C294" s="31">
        <v>4301011824</v>
      </c>
      <c r="D294" s="619">
        <v>4680115884144</v>
      </c>
      <c r="E294" s="62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133</v>
      </c>
      <c r="L294" s="32"/>
      <c r="M294" s="33" t="s">
        <v>125</v>
      </c>
      <c r="N294" s="33"/>
      <c r="O294" s="32">
        <v>55</v>
      </c>
      <c r="P294" s="96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0</v>
      </c>
      <c r="Y294" s="606">
        <f t="shared" si="48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ht="27" hidden="1" customHeight="1" x14ac:dyDescent="0.25">
      <c r="A295" s="54" t="s">
        <v>493</v>
      </c>
      <c r="B295" s="54" t="s">
        <v>494</v>
      </c>
      <c r="C295" s="31">
        <v>4301012149</v>
      </c>
      <c r="D295" s="619">
        <v>4680115886551</v>
      </c>
      <c r="E295" s="62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133</v>
      </c>
      <c r="L295" s="32"/>
      <c r="M295" s="33" t="s">
        <v>125</v>
      </c>
      <c r="N295" s="33"/>
      <c r="O295" s="32">
        <v>55</v>
      </c>
      <c r="P295" s="8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8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9"/>
        <v>0</v>
      </c>
      <c r="BN295" s="64">
        <f t="shared" si="50"/>
        <v>0</v>
      </c>
      <c r="BO295" s="64">
        <f t="shared" si="51"/>
        <v>0</v>
      </c>
      <c r="BP295" s="64">
        <f t="shared" si="52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4301012228</v>
      </c>
      <c r="D296" s="619">
        <v>4680115887282</v>
      </c>
      <c r="E296" s="62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125</v>
      </c>
      <c r="N296" s="33"/>
      <c r="O296" s="32">
        <v>55</v>
      </c>
      <c r="P296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8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9"/>
        <v>0</v>
      </c>
      <c r="BN296" s="64">
        <f t="shared" si="50"/>
        <v>0</v>
      </c>
      <c r="BO296" s="64">
        <f t="shared" si="51"/>
        <v>0</v>
      </c>
      <c r="BP296" s="64">
        <f t="shared" si="52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4301011722</v>
      </c>
      <c r="D297" s="619">
        <v>4680115884205</v>
      </c>
      <c r="E297" s="62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133</v>
      </c>
      <c r="L297" s="32"/>
      <c r="M297" s="33" t="s">
        <v>125</v>
      </c>
      <c r="N297" s="33"/>
      <c r="O297" s="32">
        <v>55</v>
      </c>
      <c r="P297" s="9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0</v>
      </c>
      <c r="Y297" s="606">
        <f t="shared" si="48"/>
        <v>0</v>
      </c>
      <c r="Z297" s="36" t="str">
        <f>IFERROR(IF(Y297=0,"",ROUNDUP(Y297/H297,0)*0.00902),"")</f>
        <v/>
      </c>
      <c r="AA297" s="56"/>
      <c r="AB297" s="57"/>
      <c r="AC297" s="373" t="s">
        <v>346</v>
      </c>
      <c r="AG297" s="64"/>
      <c r="AJ297" s="68"/>
      <c r="AK297" s="68">
        <v>0</v>
      </c>
      <c r="BB297" s="374" t="s">
        <v>1</v>
      </c>
      <c r="BM297" s="64">
        <f t="shared" si="49"/>
        <v>0</v>
      </c>
      <c r="BN297" s="64">
        <f t="shared" si="50"/>
        <v>0</v>
      </c>
      <c r="BO297" s="64">
        <f t="shared" si="51"/>
        <v>0</v>
      </c>
      <c r="BP297" s="64">
        <f t="shared" si="52"/>
        <v>0</v>
      </c>
    </row>
    <row r="298" spans="1:68" hidden="1" x14ac:dyDescent="0.2">
      <c r="A298" s="616"/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7"/>
      <c r="P298" s="621" t="s">
        <v>72</v>
      </c>
      <c r="Q298" s="622"/>
      <c r="R298" s="622"/>
      <c r="S298" s="622"/>
      <c r="T298" s="622"/>
      <c r="U298" s="622"/>
      <c r="V298" s="623"/>
      <c r="W298" s="37" t="s">
        <v>73</v>
      </c>
      <c r="X298" s="607">
        <f>IFERROR(X291/H291,"0")+IFERROR(X292/H292,"0")+IFERROR(X293/H293,"0")+IFERROR(X294/H294,"0")+IFERROR(X295/H295,"0")+IFERROR(X296/H296,"0")+IFERROR(X297/H297,"0")</f>
        <v>0</v>
      </c>
      <c r="Y298" s="607">
        <f>IFERROR(Y291/H291,"0")+IFERROR(Y292/H292,"0")+IFERROR(Y293/H293,"0")+IFERROR(Y294/H294,"0")+IFERROR(Y295/H295,"0")+IFERROR(Y296/H296,"0")+IFERROR(Y297/H297,"0")</f>
        <v>0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08"/>
      <c r="AB298" s="608"/>
      <c r="AC298" s="608"/>
    </row>
    <row r="299" spans="1:68" hidden="1" x14ac:dyDescent="0.2">
      <c r="A299" s="610"/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10"/>
      <c r="O299" s="617"/>
      <c r="P299" s="621" t="s">
        <v>72</v>
      </c>
      <c r="Q299" s="622"/>
      <c r="R299" s="622"/>
      <c r="S299" s="622"/>
      <c r="T299" s="622"/>
      <c r="U299" s="622"/>
      <c r="V299" s="623"/>
      <c r="W299" s="37" t="s">
        <v>67</v>
      </c>
      <c r="X299" s="607">
        <f>IFERROR(SUM(X291:X297),"0")</f>
        <v>0</v>
      </c>
      <c r="Y299" s="607">
        <f>IFERROR(SUM(Y291:Y297),"0")</f>
        <v>0</v>
      </c>
      <c r="Z299" s="37"/>
      <c r="AA299" s="608"/>
      <c r="AB299" s="608"/>
      <c r="AC299" s="608"/>
    </row>
    <row r="300" spans="1:68" ht="14.25" hidden="1" customHeight="1" x14ac:dyDescent="0.25">
      <c r="A300" s="609" t="s">
        <v>156</v>
      </c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0"/>
      <c r="O300" s="610"/>
      <c r="P300" s="610"/>
      <c r="Q300" s="610"/>
      <c r="R300" s="610"/>
      <c r="S300" s="610"/>
      <c r="T300" s="610"/>
      <c r="U300" s="610"/>
      <c r="V300" s="610"/>
      <c r="W300" s="610"/>
      <c r="X300" s="610"/>
      <c r="Y300" s="610"/>
      <c r="Z300" s="610"/>
      <c r="AA300" s="601"/>
      <c r="AB300" s="601"/>
      <c r="AC300" s="601"/>
    </row>
    <row r="301" spans="1:68" ht="27" hidden="1" customHeight="1" x14ac:dyDescent="0.25">
      <c r="A301" s="54" t="s">
        <v>501</v>
      </c>
      <c r="B301" s="54" t="s">
        <v>502</v>
      </c>
      <c r="C301" s="31">
        <v>4301020377</v>
      </c>
      <c r="D301" s="619">
        <v>4680115885981</v>
      </c>
      <c r="E301" s="62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6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16"/>
      <c r="B302" s="610"/>
      <c r="C302" s="610"/>
      <c r="D302" s="610"/>
      <c r="E302" s="610"/>
      <c r="F302" s="610"/>
      <c r="G302" s="610"/>
      <c r="H302" s="610"/>
      <c r="I302" s="610"/>
      <c r="J302" s="610"/>
      <c r="K302" s="610"/>
      <c r="L302" s="610"/>
      <c r="M302" s="610"/>
      <c r="N302" s="610"/>
      <c r="O302" s="617"/>
      <c r="P302" s="621" t="s">
        <v>72</v>
      </c>
      <c r="Q302" s="622"/>
      <c r="R302" s="622"/>
      <c r="S302" s="622"/>
      <c r="T302" s="622"/>
      <c r="U302" s="622"/>
      <c r="V302" s="623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hidden="1" x14ac:dyDescent="0.2">
      <c r="A303" s="610"/>
      <c r="B303" s="610"/>
      <c r="C303" s="610"/>
      <c r="D303" s="610"/>
      <c r="E303" s="610"/>
      <c r="F303" s="610"/>
      <c r="G303" s="610"/>
      <c r="H303" s="610"/>
      <c r="I303" s="610"/>
      <c r="J303" s="610"/>
      <c r="K303" s="610"/>
      <c r="L303" s="610"/>
      <c r="M303" s="610"/>
      <c r="N303" s="610"/>
      <c r="O303" s="617"/>
      <c r="P303" s="621" t="s">
        <v>72</v>
      </c>
      <c r="Q303" s="622"/>
      <c r="R303" s="622"/>
      <c r="S303" s="622"/>
      <c r="T303" s="622"/>
      <c r="U303" s="622"/>
      <c r="V303" s="623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hidden="1" customHeight="1" x14ac:dyDescent="0.25">
      <c r="A304" s="609" t="s">
        <v>504</v>
      </c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0"/>
      <c r="O304" s="610"/>
      <c r="P304" s="610"/>
      <c r="Q304" s="610"/>
      <c r="R304" s="610"/>
      <c r="S304" s="610"/>
      <c r="T304" s="610"/>
      <c r="U304" s="610"/>
      <c r="V304" s="610"/>
      <c r="W304" s="610"/>
      <c r="X304" s="610"/>
      <c r="Y304" s="610"/>
      <c r="Z304" s="610"/>
      <c r="AA304" s="601"/>
      <c r="AB304" s="601"/>
      <c r="AC304" s="601"/>
    </row>
    <row r="305" spans="1:68" ht="27" hidden="1" customHeight="1" x14ac:dyDescent="0.25">
      <c r="A305" s="54" t="s">
        <v>505</v>
      </c>
      <c r="B305" s="54" t="s">
        <v>506</v>
      </c>
      <c r="C305" s="31">
        <v>4301040362</v>
      </c>
      <c r="D305" s="619">
        <v>4680115886803</v>
      </c>
      <c r="E305" s="62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318</v>
      </c>
      <c r="L305" s="32"/>
      <c r="M305" s="33" t="s">
        <v>319</v>
      </c>
      <c r="N305" s="33"/>
      <c r="O305" s="32">
        <v>45</v>
      </c>
      <c r="P305" s="73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16"/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7"/>
      <c r="P306" s="621" t="s">
        <v>72</v>
      </c>
      <c r="Q306" s="622"/>
      <c r="R306" s="622"/>
      <c r="S306" s="622"/>
      <c r="T306" s="622"/>
      <c r="U306" s="622"/>
      <c r="V306" s="623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hidden="1" x14ac:dyDescent="0.2">
      <c r="A307" s="610"/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10"/>
      <c r="O307" s="617"/>
      <c r="P307" s="621" t="s">
        <v>72</v>
      </c>
      <c r="Q307" s="622"/>
      <c r="R307" s="622"/>
      <c r="S307" s="622"/>
      <c r="T307" s="622"/>
      <c r="U307" s="622"/>
      <c r="V307" s="623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hidden="1" customHeight="1" x14ac:dyDescent="0.25">
      <c r="A308" s="609" t="s">
        <v>324</v>
      </c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0"/>
      <c r="O308" s="610"/>
      <c r="P308" s="610"/>
      <c r="Q308" s="610"/>
      <c r="R308" s="610"/>
      <c r="S308" s="610"/>
      <c r="T308" s="610"/>
      <c r="U308" s="610"/>
      <c r="V308" s="610"/>
      <c r="W308" s="610"/>
      <c r="X308" s="610"/>
      <c r="Y308" s="610"/>
      <c r="Z308" s="610"/>
      <c r="AA308" s="601"/>
      <c r="AB308" s="601"/>
      <c r="AC308" s="601"/>
    </row>
    <row r="309" spans="1:68" ht="27" hidden="1" customHeight="1" x14ac:dyDescent="0.25">
      <c r="A309" s="54" t="s">
        <v>508</v>
      </c>
      <c r="B309" s="54" t="s">
        <v>509</v>
      </c>
      <c r="C309" s="31">
        <v>4301041004</v>
      </c>
      <c r="D309" s="619">
        <v>4680115886704</v>
      </c>
      <c r="E309" s="62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318</v>
      </c>
      <c r="L309" s="32"/>
      <c r="M309" s="33" t="s">
        <v>319</v>
      </c>
      <c r="N309" s="33"/>
      <c r="O309" s="32">
        <v>90</v>
      </c>
      <c r="P309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19">
        <v>4680115886681</v>
      </c>
      <c r="E310" s="62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318</v>
      </c>
      <c r="L310" s="32"/>
      <c r="M310" s="33" t="s">
        <v>319</v>
      </c>
      <c r="N310" s="33"/>
      <c r="O310" s="32">
        <v>90</v>
      </c>
      <c r="P310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513</v>
      </c>
      <c r="B311" s="54" t="s">
        <v>514</v>
      </c>
      <c r="C311" s="31">
        <v>4301041007</v>
      </c>
      <c r="D311" s="619">
        <v>4680115886735</v>
      </c>
      <c r="E311" s="62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318</v>
      </c>
      <c r="L311" s="32"/>
      <c r="M311" s="33" t="s">
        <v>319</v>
      </c>
      <c r="N311" s="33"/>
      <c r="O311" s="32">
        <v>90</v>
      </c>
      <c r="P311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0</v>
      </c>
      <c r="Y311" s="60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16"/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0"/>
      <c r="O312" s="617"/>
      <c r="P312" s="621" t="s">
        <v>72</v>
      </c>
      <c r="Q312" s="622"/>
      <c r="R312" s="622"/>
      <c r="S312" s="622"/>
      <c r="T312" s="622"/>
      <c r="U312" s="622"/>
      <c r="V312" s="623"/>
      <c r="W312" s="37" t="s">
        <v>73</v>
      </c>
      <c r="X312" s="607">
        <f>IFERROR(X309/H309,"0")+IFERROR(X310/H310,"0")+IFERROR(X311/H311,"0")</f>
        <v>0</v>
      </c>
      <c r="Y312" s="607">
        <f>IFERROR(Y309/H309,"0")+IFERROR(Y310/H310,"0")+IFERROR(Y311/H311,"0")</f>
        <v>0</v>
      </c>
      <c r="Z312" s="607">
        <f>IFERROR(IF(Z309="",0,Z309),"0")+IFERROR(IF(Z310="",0,Z310),"0")+IFERROR(IF(Z311="",0,Z311),"0")</f>
        <v>0</v>
      </c>
      <c r="AA312" s="608"/>
      <c r="AB312" s="608"/>
      <c r="AC312" s="608"/>
    </row>
    <row r="313" spans="1:68" hidden="1" x14ac:dyDescent="0.2">
      <c r="A313" s="610"/>
      <c r="B313" s="610"/>
      <c r="C313" s="610"/>
      <c r="D313" s="610"/>
      <c r="E313" s="610"/>
      <c r="F313" s="610"/>
      <c r="G313" s="610"/>
      <c r="H313" s="610"/>
      <c r="I313" s="610"/>
      <c r="J313" s="610"/>
      <c r="K313" s="610"/>
      <c r="L313" s="610"/>
      <c r="M313" s="610"/>
      <c r="N313" s="610"/>
      <c r="O313" s="617"/>
      <c r="P313" s="621" t="s">
        <v>72</v>
      </c>
      <c r="Q313" s="622"/>
      <c r="R313" s="622"/>
      <c r="S313" s="622"/>
      <c r="T313" s="622"/>
      <c r="U313" s="622"/>
      <c r="V313" s="623"/>
      <c r="W313" s="37" t="s">
        <v>67</v>
      </c>
      <c r="X313" s="607">
        <f>IFERROR(SUM(X309:X311),"0")</f>
        <v>0</v>
      </c>
      <c r="Y313" s="607">
        <f>IFERROR(SUM(Y309:Y311),"0")</f>
        <v>0</v>
      </c>
      <c r="Z313" s="37"/>
      <c r="AA313" s="608"/>
      <c r="AB313" s="608"/>
      <c r="AC313" s="608"/>
    </row>
    <row r="314" spans="1:68" ht="16.5" hidden="1" customHeight="1" x14ac:dyDescent="0.25">
      <c r="A314" s="647" t="s">
        <v>515</v>
      </c>
      <c r="B314" s="610"/>
      <c r="C314" s="610"/>
      <c r="D314" s="610"/>
      <c r="E314" s="610"/>
      <c r="F314" s="610"/>
      <c r="G314" s="610"/>
      <c r="H314" s="610"/>
      <c r="I314" s="610"/>
      <c r="J314" s="610"/>
      <c r="K314" s="610"/>
      <c r="L314" s="610"/>
      <c r="M314" s="610"/>
      <c r="N314" s="610"/>
      <c r="O314" s="610"/>
      <c r="P314" s="610"/>
      <c r="Q314" s="610"/>
      <c r="R314" s="610"/>
      <c r="S314" s="610"/>
      <c r="T314" s="610"/>
      <c r="U314" s="610"/>
      <c r="V314" s="610"/>
      <c r="W314" s="610"/>
      <c r="X314" s="610"/>
      <c r="Y314" s="610"/>
      <c r="Z314" s="610"/>
      <c r="AA314" s="600"/>
      <c r="AB314" s="600"/>
      <c r="AC314" s="600"/>
    </row>
    <row r="315" spans="1:68" ht="14.25" hidden="1" customHeight="1" x14ac:dyDescent="0.25">
      <c r="A315" s="609" t="s">
        <v>121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601"/>
      <c r="AB315" s="601"/>
      <c r="AC315" s="601"/>
    </row>
    <row r="316" spans="1:68" ht="27" hidden="1" customHeight="1" x14ac:dyDescent="0.25">
      <c r="A316" s="54" t="s">
        <v>516</v>
      </c>
      <c r="B316" s="54" t="s">
        <v>517</v>
      </c>
      <c r="C316" s="31">
        <v>4301011855</v>
      </c>
      <c r="D316" s="619">
        <v>4680115885837</v>
      </c>
      <c r="E316" s="62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124</v>
      </c>
      <c r="L316" s="32"/>
      <c r="M316" s="33" t="s">
        <v>125</v>
      </c>
      <c r="N316" s="33"/>
      <c r="O316" s="32">
        <v>55</v>
      </c>
      <c r="P316" s="6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519</v>
      </c>
      <c r="B317" s="54" t="s">
        <v>520</v>
      </c>
      <c r="C317" s="31">
        <v>4301012234</v>
      </c>
      <c r="D317" s="619">
        <v>4680115887237</v>
      </c>
      <c r="E317" s="62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124</v>
      </c>
      <c r="L317" s="32"/>
      <c r="M317" s="33" t="s">
        <v>125</v>
      </c>
      <c r="N317" s="33"/>
      <c r="O317" s="32">
        <v>55</v>
      </c>
      <c r="P317" s="9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522</v>
      </c>
      <c r="B318" s="54" t="s">
        <v>523</v>
      </c>
      <c r="C318" s="31">
        <v>4301011850</v>
      </c>
      <c r="D318" s="619">
        <v>4680115885806</v>
      </c>
      <c r="E318" s="62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124</v>
      </c>
      <c r="L318" s="32"/>
      <c r="M318" s="33" t="s">
        <v>125</v>
      </c>
      <c r="N318" s="33"/>
      <c r="O318" s="32">
        <v>55</v>
      </c>
      <c r="P318" s="8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525</v>
      </c>
      <c r="B319" s="54" t="s">
        <v>526</v>
      </c>
      <c r="C319" s="31">
        <v>4301011852</v>
      </c>
      <c r="D319" s="619">
        <v>4680115885844</v>
      </c>
      <c r="E319" s="62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133</v>
      </c>
      <c r="L319" s="32"/>
      <c r="M319" s="33" t="s">
        <v>125</v>
      </c>
      <c r="N319" s="33"/>
      <c r="O319" s="32">
        <v>55</v>
      </c>
      <c r="P319" s="95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528</v>
      </c>
      <c r="B320" s="54" t="s">
        <v>529</v>
      </c>
      <c r="C320" s="31">
        <v>4301011851</v>
      </c>
      <c r="D320" s="619">
        <v>4680115885820</v>
      </c>
      <c r="E320" s="62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133</v>
      </c>
      <c r="L320" s="32"/>
      <c r="M320" s="33" t="s">
        <v>125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16"/>
      <c r="B321" s="610"/>
      <c r="C321" s="610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0"/>
      <c r="O321" s="617"/>
      <c r="P321" s="621" t="s">
        <v>72</v>
      </c>
      <c r="Q321" s="622"/>
      <c r="R321" s="622"/>
      <c r="S321" s="622"/>
      <c r="T321" s="622"/>
      <c r="U321" s="622"/>
      <c r="V321" s="623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hidden="1" x14ac:dyDescent="0.2">
      <c r="A322" s="610"/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7"/>
      <c r="P322" s="621" t="s">
        <v>72</v>
      </c>
      <c r="Q322" s="622"/>
      <c r="R322" s="622"/>
      <c r="S322" s="622"/>
      <c r="T322" s="622"/>
      <c r="U322" s="622"/>
      <c r="V322" s="623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hidden="1" customHeight="1" x14ac:dyDescent="0.25">
      <c r="A323" s="647" t="s">
        <v>531</v>
      </c>
      <c r="B323" s="610"/>
      <c r="C323" s="610"/>
      <c r="D323" s="610"/>
      <c r="E323" s="610"/>
      <c r="F323" s="610"/>
      <c r="G323" s="610"/>
      <c r="H323" s="610"/>
      <c r="I323" s="610"/>
      <c r="J323" s="610"/>
      <c r="K323" s="610"/>
      <c r="L323" s="610"/>
      <c r="M323" s="610"/>
      <c r="N323" s="610"/>
      <c r="O323" s="610"/>
      <c r="P323" s="610"/>
      <c r="Q323" s="610"/>
      <c r="R323" s="610"/>
      <c r="S323" s="610"/>
      <c r="T323" s="610"/>
      <c r="U323" s="610"/>
      <c r="V323" s="610"/>
      <c r="W323" s="610"/>
      <c r="X323" s="610"/>
      <c r="Y323" s="610"/>
      <c r="Z323" s="610"/>
      <c r="AA323" s="600"/>
      <c r="AB323" s="600"/>
      <c r="AC323" s="600"/>
    </row>
    <row r="324" spans="1:68" ht="14.25" hidden="1" customHeight="1" x14ac:dyDescent="0.25">
      <c r="A324" s="609" t="s">
        <v>74</v>
      </c>
      <c r="B324" s="610"/>
      <c r="C324" s="610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0"/>
      <c r="O324" s="610"/>
      <c r="P324" s="610"/>
      <c r="Q324" s="610"/>
      <c r="R324" s="610"/>
      <c r="S324" s="610"/>
      <c r="T324" s="610"/>
      <c r="U324" s="610"/>
      <c r="V324" s="610"/>
      <c r="W324" s="610"/>
      <c r="X324" s="610"/>
      <c r="Y324" s="610"/>
      <c r="Z324" s="610"/>
      <c r="AA324" s="601"/>
      <c r="AB324" s="601"/>
      <c r="AC324" s="601"/>
    </row>
    <row r="325" spans="1:68" ht="27" hidden="1" customHeight="1" x14ac:dyDescent="0.25">
      <c r="A325" s="54" t="s">
        <v>532</v>
      </c>
      <c r="B325" s="54" t="s">
        <v>533</v>
      </c>
      <c r="C325" s="31">
        <v>4301051893</v>
      </c>
      <c r="D325" s="619">
        <v>4680115886186</v>
      </c>
      <c r="E325" s="62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1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4301051795</v>
      </c>
      <c r="D326" s="619">
        <v>4680115881228</v>
      </c>
      <c r="E326" s="62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0</v>
      </c>
      <c r="Y326" s="60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538</v>
      </c>
      <c r="B327" s="54" t="s">
        <v>539</v>
      </c>
      <c r="C327" s="31">
        <v>4301051388</v>
      </c>
      <c r="D327" s="619">
        <v>4680115881211</v>
      </c>
      <c r="E327" s="62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0</v>
      </c>
      <c r="Y327" s="60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616"/>
      <c r="B328" s="610"/>
      <c r="C328" s="610"/>
      <c r="D328" s="610"/>
      <c r="E328" s="610"/>
      <c r="F328" s="610"/>
      <c r="G328" s="610"/>
      <c r="H328" s="610"/>
      <c r="I328" s="610"/>
      <c r="J328" s="610"/>
      <c r="K328" s="610"/>
      <c r="L328" s="610"/>
      <c r="M328" s="610"/>
      <c r="N328" s="610"/>
      <c r="O328" s="617"/>
      <c r="P328" s="621" t="s">
        <v>72</v>
      </c>
      <c r="Q328" s="622"/>
      <c r="R328" s="622"/>
      <c r="S328" s="622"/>
      <c r="T328" s="622"/>
      <c r="U328" s="622"/>
      <c r="V328" s="623"/>
      <c r="W328" s="37" t="s">
        <v>73</v>
      </c>
      <c r="X328" s="607">
        <f>IFERROR(X325/H325,"0")+IFERROR(X326/H326,"0")+IFERROR(X327/H327,"0")</f>
        <v>0</v>
      </c>
      <c r="Y328" s="607">
        <f>IFERROR(Y325/H325,"0")+IFERROR(Y326/H326,"0")+IFERROR(Y327/H327,"0")</f>
        <v>0</v>
      </c>
      <c r="Z328" s="607">
        <f>IFERROR(IF(Z325="",0,Z325),"0")+IFERROR(IF(Z326="",0,Z326),"0")+IFERROR(IF(Z327="",0,Z327),"0")</f>
        <v>0</v>
      </c>
      <c r="AA328" s="608"/>
      <c r="AB328" s="608"/>
      <c r="AC328" s="608"/>
    </row>
    <row r="329" spans="1:68" hidden="1" x14ac:dyDescent="0.2">
      <c r="A329" s="610"/>
      <c r="B329" s="610"/>
      <c r="C329" s="610"/>
      <c r="D329" s="610"/>
      <c r="E329" s="610"/>
      <c r="F329" s="610"/>
      <c r="G329" s="610"/>
      <c r="H329" s="610"/>
      <c r="I329" s="610"/>
      <c r="J329" s="610"/>
      <c r="K329" s="610"/>
      <c r="L329" s="610"/>
      <c r="M329" s="610"/>
      <c r="N329" s="610"/>
      <c r="O329" s="617"/>
      <c r="P329" s="621" t="s">
        <v>72</v>
      </c>
      <c r="Q329" s="622"/>
      <c r="R329" s="622"/>
      <c r="S329" s="622"/>
      <c r="T329" s="622"/>
      <c r="U329" s="622"/>
      <c r="V329" s="623"/>
      <c r="W329" s="37" t="s">
        <v>67</v>
      </c>
      <c r="X329" s="607">
        <f>IFERROR(SUM(X325:X327),"0")</f>
        <v>0</v>
      </c>
      <c r="Y329" s="607">
        <f>IFERROR(SUM(Y325:Y327),"0")</f>
        <v>0</v>
      </c>
      <c r="Z329" s="37"/>
      <c r="AA329" s="608"/>
      <c r="AB329" s="608"/>
      <c r="AC329" s="608"/>
    </row>
    <row r="330" spans="1:68" ht="16.5" hidden="1" customHeight="1" x14ac:dyDescent="0.25">
      <c r="A330" s="647" t="s">
        <v>540</v>
      </c>
      <c r="B330" s="610"/>
      <c r="C330" s="610"/>
      <c r="D330" s="610"/>
      <c r="E330" s="610"/>
      <c r="F330" s="610"/>
      <c r="G330" s="610"/>
      <c r="H330" s="610"/>
      <c r="I330" s="610"/>
      <c r="J330" s="610"/>
      <c r="K330" s="610"/>
      <c r="L330" s="610"/>
      <c r="M330" s="610"/>
      <c r="N330" s="610"/>
      <c r="O330" s="610"/>
      <c r="P330" s="610"/>
      <c r="Q330" s="610"/>
      <c r="R330" s="610"/>
      <c r="S330" s="610"/>
      <c r="T330" s="610"/>
      <c r="U330" s="610"/>
      <c r="V330" s="610"/>
      <c r="W330" s="610"/>
      <c r="X330" s="610"/>
      <c r="Y330" s="610"/>
      <c r="Z330" s="610"/>
      <c r="AA330" s="600"/>
      <c r="AB330" s="600"/>
      <c r="AC330" s="600"/>
    </row>
    <row r="331" spans="1:68" ht="14.25" hidden="1" customHeight="1" x14ac:dyDescent="0.25">
      <c r="A331" s="609" t="s">
        <v>62</v>
      </c>
      <c r="B331" s="610"/>
      <c r="C331" s="610"/>
      <c r="D331" s="610"/>
      <c r="E331" s="610"/>
      <c r="F331" s="610"/>
      <c r="G331" s="610"/>
      <c r="H331" s="610"/>
      <c r="I331" s="610"/>
      <c r="J331" s="610"/>
      <c r="K331" s="610"/>
      <c r="L331" s="610"/>
      <c r="M331" s="610"/>
      <c r="N331" s="610"/>
      <c r="O331" s="610"/>
      <c r="P331" s="610"/>
      <c r="Q331" s="610"/>
      <c r="R331" s="610"/>
      <c r="S331" s="610"/>
      <c r="T331" s="610"/>
      <c r="U331" s="610"/>
      <c r="V331" s="610"/>
      <c r="W331" s="610"/>
      <c r="X331" s="610"/>
      <c r="Y331" s="610"/>
      <c r="Z331" s="610"/>
      <c r="AA331" s="601"/>
      <c r="AB331" s="601"/>
      <c r="AC331" s="601"/>
    </row>
    <row r="332" spans="1:68" ht="27" hidden="1" customHeight="1" x14ac:dyDescent="0.25">
      <c r="A332" s="54" t="s">
        <v>541</v>
      </c>
      <c r="B332" s="54" t="s">
        <v>542</v>
      </c>
      <c r="C332" s="31">
        <v>4301031445</v>
      </c>
      <c r="D332" s="619">
        <v>4680115888319</v>
      </c>
      <c r="E332" s="62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378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19">
        <v>4680115884700</v>
      </c>
      <c r="E333" s="62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19">
        <v>4680115880344</v>
      </c>
      <c r="E334" s="62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19">
        <v>4680115886919</v>
      </c>
      <c r="E335" s="62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552</v>
      </c>
      <c r="B336" s="54" t="s">
        <v>553</v>
      </c>
      <c r="C336" s="31">
        <v>4301031246</v>
      </c>
      <c r="D336" s="619">
        <v>4680115883970</v>
      </c>
      <c r="E336" s="62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3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16"/>
      <c r="B337" s="610"/>
      <c r="C337" s="610"/>
      <c r="D337" s="610"/>
      <c r="E337" s="610"/>
      <c r="F337" s="610"/>
      <c r="G337" s="610"/>
      <c r="H337" s="610"/>
      <c r="I337" s="610"/>
      <c r="J337" s="610"/>
      <c r="K337" s="610"/>
      <c r="L337" s="610"/>
      <c r="M337" s="610"/>
      <c r="N337" s="610"/>
      <c r="O337" s="617"/>
      <c r="P337" s="621" t="s">
        <v>72</v>
      </c>
      <c r="Q337" s="622"/>
      <c r="R337" s="622"/>
      <c r="S337" s="622"/>
      <c r="T337" s="622"/>
      <c r="U337" s="622"/>
      <c r="V337" s="623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hidden="1" x14ac:dyDescent="0.2">
      <c r="A338" s="610"/>
      <c r="B338" s="610"/>
      <c r="C338" s="610"/>
      <c r="D338" s="610"/>
      <c r="E338" s="610"/>
      <c r="F338" s="610"/>
      <c r="G338" s="610"/>
      <c r="H338" s="610"/>
      <c r="I338" s="610"/>
      <c r="J338" s="610"/>
      <c r="K338" s="610"/>
      <c r="L338" s="610"/>
      <c r="M338" s="610"/>
      <c r="N338" s="610"/>
      <c r="O338" s="617"/>
      <c r="P338" s="621" t="s">
        <v>72</v>
      </c>
      <c r="Q338" s="622"/>
      <c r="R338" s="622"/>
      <c r="S338" s="622"/>
      <c r="T338" s="622"/>
      <c r="U338" s="622"/>
      <c r="V338" s="623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hidden="1" customHeight="1" x14ac:dyDescent="0.25">
      <c r="A339" s="609" t="s">
        <v>74</v>
      </c>
      <c r="B339" s="610"/>
      <c r="C339" s="610"/>
      <c r="D339" s="610"/>
      <c r="E339" s="610"/>
      <c r="F339" s="610"/>
      <c r="G339" s="610"/>
      <c r="H339" s="610"/>
      <c r="I339" s="610"/>
      <c r="J339" s="610"/>
      <c r="K339" s="610"/>
      <c r="L339" s="610"/>
      <c r="M339" s="610"/>
      <c r="N339" s="610"/>
      <c r="O339" s="610"/>
      <c r="P339" s="610"/>
      <c r="Q339" s="610"/>
      <c r="R339" s="610"/>
      <c r="S339" s="610"/>
      <c r="T339" s="610"/>
      <c r="U339" s="610"/>
      <c r="V339" s="610"/>
      <c r="W339" s="610"/>
      <c r="X339" s="610"/>
      <c r="Y339" s="610"/>
      <c r="Z339" s="610"/>
      <c r="AA339" s="601"/>
      <c r="AB339" s="601"/>
      <c r="AC339" s="601"/>
    </row>
    <row r="340" spans="1:68" ht="27" hidden="1" customHeight="1" x14ac:dyDescent="0.25">
      <c r="A340" s="54" t="s">
        <v>555</v>
      </c>
      <c r="B340" s="54" t="s">
        <v>556</v>
      </c>
      <c r="C340" s="31">
        <v>4301051782</v>
      </c>
      <c r="D340" s="619">
        <v>4680115884618</v>
      </c>
      <c r="E340" s="62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133</v>
      </c>
      <c r="L340" s="32"/>
      <c r="M340" s="33" t="s">
        <v>78</v>
      </c>
      <c r="N340" s="33"/>
      <c r="O340" s="32">
        <v>45</v>
      </c>
      <c r="P340" s="7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4301052057</v>
      </c>
      <c r="D341" s="619">
        <v>4680115887114</v>
      </c>
      <c r="E341" s="62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133</v>
      </c>
      <c r="L341" s="32"/>
      <c r="M341" s="33" t="s">
        <v>78</v>
      </c>
      <c r="N341" s="33"/>
      <c r="O341" s="32">
        <v>45</v>
      </c>
      <c r="P341" s="71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16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0"/>
      <c r="O342" s="617"/>
      <c r="P342" s="621" t="s">
        <v>72</v>
      </c>
      <c r="Q342" s="622"/>
      <c r="R342" s="622"/>
      <c r="S342" s="622"/>
      <c r="T342" s="622"/>
      <c r="U342" s="622"/>
      <c r="V342" s="623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hidden="1" x14ac:dyDescent="0.2">
      <c r="A343" s="610"/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7"/>
      <c r="P343" s="621" t="s">
        <v>72</v>
      </c>
      <c r="Q343" s="622"/>
      <c r="R343" s="622"/>
      <c r="S343" s="622"/>
      <c r="T343" s="622"/>
      <c r="U343" s="622"/>
      <c r="V343" s="623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hidden="1" customHeight="1" x14ac:dyDescent="0.25">
      <c r="A344" s="647" t="s">
        <v>561</v>
      </c>
      <c r="B344" s="610"/>
      <c r="C344" s="610"/>
      <c r="D344" s="610"/>
      <c r="E344" s="610"/>
      <c r="F344" s="610"/>
      <c r="G344" s="610"/>
      <c r="H344" s="610"/>
      <c r="I344" s="610"/>
      <c r="J344" s="610"/>
      <c r="K344" s="610"/>
      <c r="L344" s="610"/>
      <c r="M344" s="610"/>
      <c r="N344" s="610"/>
      <c r="O344" s="610"/>
      <c r="P344" s="610"/>
      <c r="Q344" s="610"/>
      <c r="R344" s="610"/>
      <c r="S344" s="610"/>
      <c r="T344" s="610"/>
      <c r="U344" s="610"/>
      <c r="V344" s="610"/>
      <c r="W344" s="610"/>
      <c r="X344" s="610"/>
      <c r="Y344" s="610"/>
      <c r="Z344" s="610"/>
      <c r="AA344" s="600"/>
      <c r="AB344" s="600"/>
      <c r="AC344" s="600"/>
    </row>
    <row r="345" spans="1:68" ht="14.25" hidden="1" customHeight="1" x14ac:dyDescent="0.25">
      <c r="A345" s="609" t="s">
        <v>121</v>
      </c>
      <c r="B345" s="610"/>
      <c r="C345" s="610"/>
      <c r="D345" s="610"/>
      <c r="E345" s="610"/>
      <c r="F345" s="610"/>
      <c r="G345" s="610"/>
      <c r="H345" s="610"/>
      <c r="I345" s="610"/>
      <c r="J345" s="610"/>
      <c r="K345" s="610"/>
      <c r="L345" s="610"/>
      <c r="M345" s="610"/>
      <c r="N345" s="610"/>
      <c r="O345" s="610"/>
      <c r="P345" s="610"/>
      <c r="Q345" s="610"/>
      <c r="R345" s="610"/>
      <c r="S345" s="610"/>
      <c r="T345" s="610"/>
      <c r="U345" s="610"/>
      <c r="V345" s="610"/>
      <c r="W345" s="610"/>
      <c r="X345" s="610"/>
      <c r="Y345" s="610"/>
      <c r="Z345" s="610"/>
      <c r="AA345" s="601"/>
      <c r="AB345" s="601"/>
      <c r="AC345" s="601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19">
        <v>4680115887947</v>
      </c>
      <c r="E346" s="62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124</v>
      </c>
      <c r="L346" s="32"/>
      <c r="M346" s="33" t="s">
        <v>78</v>
      </c>
      <c r="N346" s="33"/>
      <c r="O346" s="32">
        <v>60</v>
      </c>
      <c r="P346" s="8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0</v>
      </c>
      <c r="Y346" s="60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335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564</v>
      </c>
      <c r="B347" s="54" t="s">
        <v>565</v>
      </c>
      <c r="C347" s="31">
        <v>4301012325</v>
      </c>
      <c r="D347" s="619">
        <v>4680115887978</v>
      </c>
      <c r="E347" s="62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124</v>
      </c>
      <c r="L347" s="32"/>
      <c r="M347" s="33" t="s">
        <v>78</v>
      </c>
      <c r="N347" s="33"/>
      <c r="O347" s="32">
        <v>60</v>
      </c>
      <c r="P34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0</v>
      </c>
      <c r="Y347" s="60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19">
        <v>4680115887992</v>
      </c>
      <c r="E348" s="62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124</v>
      </c>
      <c r="L348" s="32"/>
      <c r="M348" s="33" t="s">
        <v>78</v>
      </c>
      <c r="N348" s="33"/>
      <c r="O348" s="32">
        <v>60</v>
      </c>
      <c r="P348" s="87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0</v>
      </c>
      <c r="Y348" s="60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16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0"/>
      <c r="M349" s="610"/>
      <c r="N349" s="610"/>
      <c r="O349" s="617"/>
      <c r="P349" s="621" t="s">
        <v>72</v>
      </c>
      <c r="Q349" s="622"/>
      <c r="R349" s="622"/>
      <c r="S349" s="622"/>
      <c r="T349" s="622"/>
      <c r="U349" s="622"/>
      <c r="V349" s="623"/>
      <c r="W349" s="37" t="s">
        <v>73</v>
      </c>
      <c r="X349" s="607">
        <f>IFERROR(X346/H346,"0")+IFERROR(X347/H347,"0")+IFERROR(X348/H348,"0")</f>
        <v>0</v>
      </c>
      <c r="Y349" s="607">
        <f>IFERROR(Y346/H346,"0")+IFERROR(Y347/H347,"0")+IFERROR(Y348/H348,"0")</f>
        <v>0</v>
      </c>
      <c r="Z349" s="607">
        <f>IFERROR(IF(Z346="",0,Z346),"0")+IFERROR(IF(Z347="",0,Z347),"0")+IFERROR(IF(Z348="",0,Z348),"0")</f>
        <v>0</v>
      </c>
      <c r="AA349" s="608"/>
      <c r="AB349" s="608"/>
      <c r="AC349" s="608"/>
    </row>
    <row r="350" spans="1:68" hidden="1" x14ac:dyDescent="0.2">
      <c r="A350" s="610"/>
      <c r="B350" s="610"/>
      <c r="C350" s="610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10"/>
      <c r="O350" s="617"/>
      <c r="P350" s="621" t="s">
        <v>72</v>
      </c>
      <c r="Q350" s="622"/>
      <c r="R350" s="622"/>
      <c r="S350" s="622"/>
      <c r="T350" s="622"/>
      <c r="U350" s="622"/>
      <c r="V350" s="623"/>
      <c r="W350" s="37" t="s">
        <v>67</v>
      </c>
      <c r="X350" s="607">
        <f>IFERROR(SUM(X346:X348),"0")</f>
        <v>0</v>
      </c>
      <c r="Y350" s="607">
        <f>IFERROR(SUM(Y346:Y348),"0")</f>
        <v>0</v>
      </c>
      <c r="Z350" s="37"/>
      <c r="AA350" s="608"/>
      <c r="AB350" s="608"/>
      <c r="AC350" s="608"/>
    </row>
    <row r="351" spans="1:68" ht="16.5" hidden="1" customHeight="1" x14ac:dyDescent="0.25">
      <c r="A351" s="647" t="s">
        <v>570</v>
      </c>
      <c r="B351" s="610"/>
      <c r="C351" s="610"/>
      <c r="D351" s="610"/>
      <c r="E351" s="610"/>
      <c r="F351" s="610"/>
      <c r="G351" s="610"/>
      <c r="H351" s="610"/>
      <c r="I351" s="610"/>
      <c r="J351" s="610"/>
      <c r="K351" s="610"/>
      <c r="L351" s="610"/>
      <c r="M351" s="610"/>
      <c r="N351" s="610"/>
      <c r="O351" s="610"/>
      <c r="P351" s="610"/>
      <c r="Q351" s="610"/>
      <c r="R351" s="610"/>
      <c r="S351" s="610"/>
      <c r="T351" s="610"/>
      <c r="U351" s="610"/>
      <c r="V351" s="610"/>
      <c r="W351" s="610"/>
      <c r="X351" s="610"/>
      <c r="Y351" s="610"/>
      <c r="Z351" s="610"/>
      <c r="AA351" s="600"/>
      <c r="AB351" s="600"/>
      <c r="AC351" s="600"/>
    </row>
    <row r="352" spans="1:68" ht="14.25" hidden="1" customHeight="1" x14ac:dyDescent="0.25">
      <c r="A352" s="609" t="s">
        <v>121</v>
      </c>
      <c r="B352" s="610"/>
      <c r="C352" s="610"/>
      <c r="D352" s="610"/>
      <c r="E352" s="610"/>
      <c r="F352" s="610"/>
      <c r="G352" s="610"/>
      <c r="H352" s="610"/>
      <c r="I352" s="610"/>
      <c r="J352" s="610"/>
      <c r="K352" s="610"/>
      <c r="L352" s="610"/>
      <c r="M352" s="610"/>
      <c r="N352" s="610"/>
      <c r="O352" s="610"/>
      <c r="P352" s="610"/>
      <c r="Q352" s="610"/>
      <c r="R352" s="610"/>
      <c r="S352" s="610"/>
      <c r="T352" s="610"/>
      <c r="U352" s="610"/>
      <c r="V352" s="610"/>
      <c r="W352" s="610"/>
      <c r="X352" s="610"/>
      <c r="Y352" s="610"/>
      <c r="Z352" s="610"/>
      <c r="AA352" s="601"/>
      <c r="AB352" s="601"/>
      <c r="AC352" s="601"/>
    </row>
    <row r="353" spans="1:68" ht="27" hidden="1" customHeight="1" x14ac:dyDescent="0.25">
      <c r="A353" s="54" t="s">
        <v>571</v>
      </c>
      <c r="B353" s="54" t="s">
        <v>572</v>
      </c>
      <c r="C353" s="31">
        <v>4301012235</v>
      </c>
      <c r="D353" s="619">
        <v>4680115887190</v>
      </c>
      <c r="E353" s="62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124</v>
      </c>
      <c r="L353" s="32"/>
      <c r="M353" s="33" t="s">
        <v>125</v>
      </c>
      <c r="N353" s="33"/>
      <c r="O353" s="32">
        <v>55</v>
      </c>
      <c r="P353" s="72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574</v>
      </c>
      <c r="B354" s="54" t="s">
        <v>575</v>
      </c>
      <c r="C354" s="31">
        <v>4301012233</v>
      </c>
      <c r="D354" s="619">
        <v>4680115887138</v>
      </c>
      <c r="E354" s="62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124</v>
      </c>
      <c r="L354" s="32"/>
      <c r="M354" s="33" t="s">
        <v>125</v>
      </c>
      <c r="N354" s="33"/>
      <c r="O354" s="32">
        <v>55</v>
      </c>
      <c r="P354" s="89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4301012016</v>
      </c>
      <c r="D355" s="619">
        <v>4680115885554</v>
      </c>
      <c r="E355" s="62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124</v>
      </c>
      <c r="L355" s="32"/>
      <c r="M355" s="33" t="s">
        <v>78</v>
      </c>
      <c r="N355" s="33"/>
      <c r="O355" s="32">
        <v>55</v>
      </c>
      <c r="P355" s="94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580</v>
      </c>
      <c r="B356" s="54" t="s">
        <v>581</v>
      </c>
      <c r="C356" s="31">
        <v>4301012236</v>
      </c>
      <c r="D356" s="619">
        <v>4680115887220</v>
      </c>
      <c r="E356" s="62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133</v>
      </c>
      <c r="L356" s="32"/>
      <c r="M356" s="33" t="s">
        <v>125</v>
      </c>
      <c r="N356" s="33"/>
      <c r="O356" s="32">
        <v>55</v>
      </c>
      <c r="P356" s="78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4301011859</v>
      </c>
      <c r="D357" s="619">
        <v>4680115885608</v>
      </c>
      <c r="E357" s="62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133</v>
      </c>
      <c r="L357" s="32"/>
      <c r="M357" s="33" t="s">
        <v>125</v>
      </c>
      <c r="N357" s="33"/>
      <c r="O357" s="32">
        <v>55</v>
      </c>
      <c r="P357" s="92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16"/>
      <c r="B358" s="610"/>
      <c r="C358" s="610"/>
      <c r="D358" s="610"/>
      <c r="E358" s="610"/>
      <c r="F358" s="610"/>
      <c r="G358" s="610"/>
      <c r="H358" s="610"/>
      <c r="I358" s="610"/>
      <c r="J358" s="610"/>
      <c r="K358" s="610"/>
      <c r="L358" s="610"/>
      <c r="M358" s="610"/>
      <c r="N358" s="610"/>
      <c r="O358" s="617"/>
      <c r="P358" s="621" t="s">
        <v>72</v>
      </c>
      <c r="Q358" s="622"/>
      <c r="R358" s="622"/>
      <c r="S358" s="622"/>
      <c r="T358" s="622"/>
      <c r="U358" s="622"/>
      <c r="V358" s="623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hidden="1" x14ac:dyDescent="0.2">
      <c r="A359" s="610"/>
      <c r="B359" s="610"/>
      <c r="C359" s="610"/>
      <c r="D359" s="610"/>
      <c r="E359" s="610"/>
      <c r="F359" s="610"/>
      <c r="G359" s="610"/>
      <c r="H359" s="610"/>
      <c r="I359" s="610"/>
      <c r="J359" s="610"/>
      <c r="K359" s="610"/>
      <c r="L359" s="610"/>
      <c r="M359" s="610"/>
      <c r="N359" s="610"/>
      <c r="O359" s="617"/>
      <c r="P359" s="621" t="s">
        <v>72</v>
      </c>
      <c r="Q359" s="622"/>
      <c r="R359" s="622"/>
      <c r="S359" s="622"/>
      <c r="T359" s="622"/>
      <c r="U359" s="622"/>
      <c r="V359" s="623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hidden="1" customHeight="1" x14ac:dyDescent="0.25">
      <c r="A360" s="609" t="s">
        <v>62</v>
      </c>
      <c r="B360" s="610"/>
      <c r="C360" s="610"/>
      <c r="D360" s="610"/>
      <c r="E360" s="610"/>
      <c r="F360" s="610"/>
      <c r="G360" s="610"/>
      <c r="H360" s="610"/>
      <c r="I360" s="610"/>
      <c r="J360" s="610"/>
      <c r="K360" s="610"/>
      <c r="L360" s="610"/>
      <c r="M360" s="610"/>
      <c r="N360" s="610"/>
      <c r="O360" s="610"/>
      <c r="P360" s="610"/>
      <c r="Q360" s="610"/>
      <c r="R360" s="610"/>
      <c r="S360" s="610"/>
      <c r="T360" s="610"/>
      <c r="U360" s="610"/>
      <c r="V360" s="610"/>
      <c r="W360" s="610"/>
      <c r="X360" s="610"/>
      <c r="Y360" s="610"/>
      <c r="Z360" s="610"/>
      <c r="AA360" s="601"/>
      <c r="AB360" s="601"/>
      <c r="AC360" s="601"/>
    </row>
    <row r="361" spans="1:68" ht="27" hidden="1" customHeight="1" x14ac:dyDescent="0.25">
      <c r="A361" s="54" t="s">
        <v>585</v>
      </c>
      <c r="B361" s="54" t="s">
        <v>586</v>
      </c>
      <c r="C361" s="31">
        <v>4301030878</v>
      </c>
      <c r="D361" s="619">
        <v>4607091387193</v>
      </c>
      <c r="E361" s="62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133</v>
      </c>
      <c r="L361" s="32"/>
      <c r="M361" s="33" t="s">
        <v>66</v>
      </c>
      <c r="N361" s="33"/>
      <c r="O361" s="32">
        <v>35</v>
      </c>
      <c r="P361" s="77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0</v>
      </c>
      <c r="Y361" s="606">
        <f t="shared" ref="Y361:Y367" si="53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54">IFERROR(X361*I361/H361,"0")</f>
        <v>0</v>
      </c>
      <c r="BN361" s="64">
        <f t="shared" ref="BN361:BN367" si="55">IFERROR(Y361*I361/H361,"0")</f>
        <v>0</v>
      </c>
      <c r="BO361" s="64">
        <f t="shared" ref="BO361:BO367" si="56">IFERROR(1/J361*(X361/H361),"0")</f>
        <v>0</v>
      </c>
      <c r="BP361" s="64">
        <f t="shared" ref="BP361:BP367" si="57">IFERROR(1/J361*(Y361/H361),"0")</f>
        <v>0</v>
      </c>
    </row>
    <row r="362" spans="1:68" ht="27" hidden="1" customHeight="1" x14ac:dyDescent="0.25">
      <c r="A362" s="54" t="s">
        <v>588</v>
      </c>
      <c r="B362" s="54" t="s">
        <v>589</v>
      </c>
      <c r="C362" s="31">
        <v>4301031153</v>
      </c>
      <c r="D362" s="619">
        <v>4607091387230</v>
      </c>
      <c r="E362" s="62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133</v>
      </c>
      <c r="L362" s="32"/>
      <c r="M362" s="33" t="s">
        <v>66</v>
      </c>
      <c r="N362" s="33"/>
      <c r="O362" s="32">
        <v>40</v>
      </c>
      <c r="P362" s="9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0</v>
      </c>
      <c r="Y362" s="606">
        <f t="shared" si="53"/>
        <v>0</v>
      </c>
      <c r="Z362" s="36" t="str">
        <f>IFERROR(IF(Y362=0,"",ROUNDUP(Y362/H362,0)*0.00902),"")</f>
        <v/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54"/>
        <v>0</v>
      </c>
      <c r="BN362" s="64">
        <f t="shared" si="55"/>
        <v>0</v>
      </c>
      <c r="BO362" s="64">
        <f t="shared" si="56"/>
        <v>0</v>
      </c>
      <c r="BP362" s="64">
        <f t="shared" si="57"/>
        <v>0</v>
      </c>
    </row>
    <row r="363" spans="1:68" ht="27" hidden="1" customHeight="1" x14ac:dyDescent="0.25">
      <c r="A363" s="54" t="s">
        <v>591</v>
      </c>
      <c r="B363" s="54" t="s">
        <v>592</v>
      </c>
      <c r="C363" s="31">
        <v>4301031154</v>
      </c>
      <c r="D363" s="619">
        <v>4607091387292</v>
      </c>
      <c r="E363" s="62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133</v>
      </c>
      <c r="L363" s="32"/>
      <c r="M363" s="33" t="s">
        <v>66</v>
      </c>
      <c r="N363" s="33"/>
      <c r="O363" s="32">
        <v>45</v>
      </c>
      <c r="P363" s="9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53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54"/>
        <v>0</v>
      </c>
      <c r="BN363" s="64">
        <f t="shared" si="55"/>
        <v>0</v>
      </c>
      <c r="BO363" s="64">
        <f t="shared" si="56"/>
        <v>0</v>
      </c>
      <c r="BP363" s="64">
        <f t="shared" si="57"/>
        <v>0</v>
      </c>
    </row>
    <row r="364" spans="1:68" ht="27" hidden="1" customHeight="1" x14ac:dyDescent="0.25">
      <c r="A364" s="54" t="s">
        <v>594</v>
      </c>
      <c r="B364" s="54" t="s">
        <v>595</v>
      </c>
      <c r="C364" s="31">
        <v>4301031152</v>
      </c>
      <c r="D364" s="619">
        <v>4607091387285</v>
      </c>
      <c r="E364" s="62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1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53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54"/>
        <v>0</v>
      </c>
      <c r="BN364" s="64">
        <f t="shared" si="55"/>
        <v>0</v>
      </c>
      <c r="BO364" s="64">
        <f t="shared" si="56"/>
        <v>0</v>
      </c>
      <c r="BP364" s="64">
        <f t="shared" si="57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4301031305</v>
      </c>
      <c r="D365" s="619">
        <v>4607091389845</v>
      </c>
      <c r="E365" s="62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53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4"/>
        <v>0</v>
      </c>
      <c r="BN365" s="64">
        <f t="shared" si="55"/>
        <v>0</v>
      </c>
      <c r="BO365" s="64">
        <f t="shared" si="56"/>
        <v>0</v>
      </c>
      <c r="BP365" s="64">
        <f t="shared" si="57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4301031460</v>
      </c>
      <c r="D366" s="619">
        <v>4680115887442</v>
      </c>
      <c r="E366" s="62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133</v>
      </c>
      <c r="L366" s="32"/>
      <c r="M366" s="33" t="s">
        <v>66</v>
      </c>
      <c r="N366" s="33"/>
      <c r="O366" s="32">
        <v>45</v>
      </c>
      <c r="P366" s="67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53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54"/>
        <v>0</v>
      </c>
      <c r="BN366" s="64">
        <f t="shared" si="55"/>
        <v>0</v>
      </c>
      <c r="BO366" s="64">
        <f t="shared" si="56"/>
        <v>0</v>
      </c>
      <c r="BP366" s="64">
        <f t="shared" si="57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4301031066</v>
      </c>
      <c r="D367" s="619">
        <v>4607091383836</v>
      </c>
      <c r="E367" s="62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2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0</v>
      </c>
      <c r="Y367" s="606">
        <f t="shared" si="53"/>
        <v>0</v>
      </c>
      <c r="Z367" s="36" t="str">
        <f>IFERROR(IF(Y367=0,"",ROUNDUP(Y367/H367,0)*0.00651),"")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4"/>
        <v>0</v>
      </c>
      <c r="BN367" s="64">
        <f t="shared" si="55"/>
        <v>0</v>
      </c>
      <c r="BO367" s="64">
        <f t="shared" si="56"/>
        <v>0</v>
      </c>
      <c r="BP367" s="64">
        <f t="shared" si="57"/>
        <v>0</v>
      </c>
    </row>
    <row r="368" spans="1:68" hidden="1" x14ac:dyDescent="0.2">
      <c r="A368" s="616"/>
      <c r="B368" s="610"/>
      <c r="C368" s="610"/>
      <c r="D368" s="610"/>
      <c r="E368" s="610"/>
      <c r="F368" s="610"/>
      <c r="G368" s="610"/>
      <c r="H368" s="610"/>
      <c r="I368" s="610"/>
      <c r="J368" s="610"/>
      <c r="K368" s="610"/>
      <c r="L368" s="610"/>
      <c r="M368" s="610"/>
      <c r="N368" s="610"/>
      <c r="O368" s="617"/>
      <c r="P368" s="621" t="s">
        <v>72</v>
      </c>
      <c r="Q368" s="622"/>
      <c r="R368" s="622"/>
      <c r="S368" s="622"/>
      <c r="T368" s="622"/>
      <c r="U368" s="622"/>
      <c r="V368" s="623"/>
      <c r="W368" s="37" t="s">
        <v>73</v>
      </c>
      <c r="X368" s="607">
        <f>IFERROR(X361/H361,"0")+IFERROR(X362/H362,"0")+IFERROR(X363/H363,"0")+IFERROR(X364/H364,"0")+IFERROR(X365/H365,"0")+IFERROR(X366/H366,"0")+IFERROR(X367/H367,"0")</f>
        <v>0</v>
      </c>
      <c r="Y368" s="607">
        <f>IFERROR(Y361/H361,"0")+IFERROR(Y362/H362,"0")+IFERROR(Y363/H363,"0")+IFERROR(Y364/H364,"0")+IFERROR(Y365/H365,"0")+IFERROR(Y366/H366,"0")+IFERROR(Y367/H367,"0")</f>
        <v>0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08"/>
      <c r="AB368" s="608"/>
      <c r="AC368" s="608"/>
    </row>
    <row r="369" spans="1:68" hidden="1" x14ac:dyDescent="0.2">
      <c r="A369" s="610"/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10"/>
      <c r="O369" s="617"/>
      <c r="P369" s="621" t="s">
        <v>72</v>
      </c>
      <c r="Q369" s="622"/>
      <c r="R369" s="622"/>
      <c r="S369" s="622"/>
      <c r="T369" s="622"/>
      <c r="U369" s="622"/>
      <c r="V369" s="623"/>
      <c r="W369" s="37" t="s">
        <v>67</v>
      </c>
      <c r="X369" s="607">
        <f>IFERROR(SUM(X361:X367),"0")</f>
        <v>0</v>
      </c>
      <c r="Y369" s="607">
        <f>IFERROR(SUM(Y361:Y367),"0")</f>
        <v>0</v>
      </c>
      <c r="Z369" s="37"/>
      <c r="AA369" s="608"/>
      <c r="AB369" s="608"/>
      <c r="AC369" s="608"/>
    </row>
    <row r="370" spans="1:68" ht="14.25" hidden="1" customHeight="1" x14ac:dyDescent="0.25">
      <c r="A370" s="609" t="s">
        <v>74</v>
      </c>
      <c r="B370" s="610"/>
      <c r="C370" s="610"/>
      <c r="D370" s="610"/>
      <c r="E370" s="610"/>
      <c r="F370" s="610"/>
      <c r="G370" s="610"/>
      <c r="H370" s="610"/>
      <c r="I370" s="610"/>
      <c r="J370" s="610"/>
      <c r="K370" s="610"/>
      <c r="L370" s="610"/>
      <c r="M370" s="610"/>
      <c r="N370" s="610"/>
      <c r="O370" s="610"/>
      <c r="P370" s="610"/>
      <c r="Q370" s="610"/>
      <c r="R370" s="610"/>
      <c r="S370" s="610"/>
      <c r="T370" s="610"/>
      <c r="U370" s="610"/>
      <c r="V370" s="610"/>
      <c r="W370" s="610"/>
      <c r="X370" s="610"/>
      <c r="Y370" s="610"/>
      <c r="Z370" s="610"/>
      <c r="AA370" s="601"/>
      <c r="AB370" s="601"/>
      <c r="AC370" s="601"/>
    </row>
    <row r="371" spans="1:68" ht="27" hidden="1" customHeight="1" x14ac:dyDescent="0.25">
      <c r="A371" s="54" t="s">
        <v>604</v>
      </c>
      <c r="B371" s="54" t="s">
        <v>605</v>
      </c>
      <c r="C371" s="31">
        <v>4301051100</v>
      </c>
      <c r="D371" s="619">
        <v>4607091387766</v>
      </c>
      <c r="E371" s="62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124</v>
      </c>
      <c r="L371" s="32"/>
      <c r="M371" s="33" t="s">
        <v>78</v>
      </c>
      <c r="N371" s="33"/>
      <c r="O371" s="32">
        <v>40</v>
      </c>
      <c r="P371" s="74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0</v>
      </c>
      <c r="Y371" s="60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4301051818</v>
      </c>
      <c r="D372" s="619">
        <v>4607091387957</v>
      </c>
      <c r="E372" s="62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124</v>
      </c>
      <c r="L372" s="32"/>
      <c r="M372" s="33" t="s">
        <v>78</v>
      </c>
      <c r="N372" s="33"/>
      <c r="O372" s="32">
        <v>40</v>
      </c>
      <c r="P372" s="76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610</v>
      </c>
      <c r="B373" s="54" t="s">
        <v>611</v>
      </c>
      <c r="C373" s="31">
        <v>4301051819</v>
      </c>
      <c r="D373" s="619">
        <v>4607091387964</v>
      </c>
      <c r="E373" s="62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124</v>
      </c>
      <c r="L373" s="32"/>
      <c r="M373" s="33" t="s">
        <v>78</v>
      </c>
      <c r="N373" s="33"/>
      <c r="O373" s="32">
        <v>40</v>
      </c>
      <c r="P373" s="9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613</v>
      </c>
      <c r="B374" s="54" t="s">
        <v>614</v>
      </c>
      <c r="C374" s="31">
        <v>4301051734</v>
      </c>
      <c r="D374" s="619">
        <v>4680115884588</v>
      </c>
      <c r="E374" s="62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16"/>
      <c r="B375" s="610"/>
      <c r="C375" s="610"/>
      <c r="D375" s="610"/>
      <c r="E375" s="610"/>
      <c r="F375" s="610"/>
      <c r="G375" s="610"/>
      <c r="H375" s="610"/>
      <c r="I375" s="610"/>
      <c r="J375" s="610"/>
      <c r="K375" s="610"/>
      <c r="L375" s="610"/>
      <c r="M375" s="610"/>
      <c r="N375" s="610"/>
      <c r="O375" s="617"/>
      <c r="P375" s="621" t="s">
        <v>72</v>
      </c>
      <c r="Q375" s="622"/>
      <c r="R375" s="622"/>
      <c r="S375" s="622"/>
      <c r="T375" s="622"/>
      <c r="U375" s="622"/>
      <c r="V375" s="623"/>
      <c r="W375" s="37" t="s">
        <v>73</v>
      </c>
      <c r="X375" s="607">
        <f>IFERROR(X371/H371,"0")+IFERROR(X372/H372,"0")+IFERROR(X373/H373,"0")+IFERROR(X374/H374,"0")</f>
        <v>0</v>
      </c>
      <c r="Y375" s="607">
        <f>IFERROR(Y371/H371,"0")+IFERROR(Y372/H372,"0")+IFERROR(Y373/H373,"0")+IFERROR(Y374/H374,"0")</f>
        <v>0</v>
      </c>
      <c r="Z375" s="607">
        <f>IFERROR(IF(Z371="",0,Z371),"0")+IFERROR(IF(Z372="",0,Z372),"0")+IFERROR(IF(Z373="",0,Z373),"0")+IFERROR(IF(Z374="",0,Z374),"0")</f>
        <v>0</v>
      </c>
      <c r="AA375" s="608"/>
      <c r="AB375" s="608"/>
      <c r="AC375" s="608"/>
    </row>
    <row r="376" spans="1:68" hidden="1" x14ac:dyDescent="0.2">
      <c r="A376" s="610"/>
      <c r="B376" s="610"/>
      <c r="C376" s="610"/>
      <c r="D376" s="610"/>
      <c r="E376" s="610"/>
      <c r="F376" s="610"/>
      <c r="G376" s="610"/>
      <c r="H376" s="610"/>
      <c r="I376" s="610"/>
      <c r="J376" s="610"/>
      <c r="K376" s="610"/>
      <c r="L376" s="610"/>
      <c r="M376" s="610"/>
      <c r="N376" s="610"/>
      <c r="O376" s="617"/>
      <c r="P376" s="621" t="s">
        <v>72</v>
      </c>
      <c r="Q376" s="622"/>
      <c r="R376" s="622"/>
      <c r="S376" s="622"/>
      <c r="T376" s="622"/>
      <c r="U376" s="622"/>
      <c r="V376" s="623"/>
      <c r="W376" s="37" t="s">
        <v>67</v>
      </c>
      <c r="X376" s="607">
        <f>IFERROR(SUM(X371:X374),"0")</f>
        <v>0</v>
      </c>
      <c r="Y376" s="607">
        <f>IFERROR(SUM(Y371:Y374),"0")</f>
        <v>0</v>
      </c>
      <c r="Z376" s="37"/>
      <c r="AA376" s="608"/>
      <c r="AB376" s="608"/>
      <c r="AC376" s="608"/>
    </row>
    <row r="377" spans="1:68" ht="14.25" hidden="1" customHeight="1" x14ac:dyDescent="0.25">
      <c r="A377" s="609" t="s">
        <v>173</v>
      </c>
      <c r="B377" s="610"/>
      <c r="C377" s="610"/>
      <c r="D377" s="610"/>
      <c r="E377" s="610"/>
      <c r="F377" s="610"/>
      <c r="G377" s="610"/>
      <c r="H377" s="610"/>
      <c r="I377" s="610"/>
      <c r="J377" s="610"/>
      <c r="K377" s="610"/>
      <c r="L377" s="610"/>
      <c r="M377" s="610"/>
      <c r="N377" s="610"/>
      <c r="O377" s="610"/>
      <c r="P377" s="610"/>
      <c r="Q377" s="610"/>
      <c r="R377" s="610"/>
      <c r="S377" s="610"/>
      <c r="T377" s="610"/>
      <c r="U377" s="610"/>
      <c r="V377" s="610"/>
      <c r="W377" s="610"/>
      <c r="X377" s="610"/>
      <c r="Y377" s="610"/>
      <c r="Z377" s="610"/>
      <c r="AA377" s="601"/>
      <c r="AB377" s="601"/>
      <c r="AC377" s="601"/>
    </row>
    <row r="378" spans="1:68" ht="27" hidden="1" customHeight="1" x14ac:dyDescent="0.25">
      <c r="A378" s="54" t="s">
        <v>615</v>
      </c>
      <c r="B378" s="54" t="s">
        <v>616</v>
      </c>
      <c r="C378" s="31">
        <v>4301060387</v>
      </c>
      <c r="D378" s="619">
        <v>4607091380880</v>
      </c>
      <c r="E378" s="62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124</v>
      </c>
      <c r="L378" s="32"/>
      <c r="M378" s="33" t="s">
        <v>78</v>
      </c>
      <c r="N378" s="33"/>
      <c r="O378" s="32">
        <v>30</v>
      </c>
      <c r="P378" s="7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19">
        <v>4607091384482</v>
      </c>
      <c r="E379" s="62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124</v>
      </c>
      <c r="L379" s="32"/>
      <c r="M379" s="33" t="s">
        <v>78</v>
      </c>
      <c r="N379" s="33"/>
      <c r="O379" s="32">
        <v>30</v>
      </c>
      <c r="P379" s="66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600</v>
      </c>
      <c r="Y379" s="606">
        <f>IFERROR(IF(X379="",0,CEILING((X379/$H379),1)*$H379),"")</f>
        <v>600.6</v>
      </c>
      <c r="Z379" s="36">
        <f>IFERROR(IF(Y379=0,"",ROUNDUP(Y379/H379,0)*0.01898),"")</f>
        <v>1.46146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638.00000000000011</v>
      </c>
      <c r="BN379" s="64">
        <f>IFERROR(Y379*I379/H379,"0")</f>
        <v>638.63800000000003</v>
      </c>
      <c r="BO379" s="64">
        <f>IFERROR(1/J379*(X379/H379),"0")</f>
        <v>1.2019230769230769</v>
      </c>
      <c r="BP379" s="64">
        <f>IFERROR(1/J379*(Y379/H379),"0")</f>
        <v>1.203125</v>
      </c>
    </row>
    <row r="380" spans="1:68" ht="16.5" hidden="1" customHeight="1" x14ac:dyDescent="0.25">
      <c r="A380" s="54" t="s">
        <v>621</v>
      </c>
      <c r="B380" s="54" t="s">
        <v>622</v>
      </c>
      <c r="C380" s="31">
        <v>4301060484</v>
      </c>
      <c r="D380" s="619">
        <v>4607091380897</v>
      </c>
      <c r="E380" s="62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124</v>
      </c>
      <c r="L380" s="32"/>
      <c r="M380" s="33" t="s">
        <v>84</v>
      </c>
      <c r="N380" s="33"/>
      <c r="O380" s="32">
        <v>30</v>
      </c>
      <c r="P380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16"/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610"/>
      <c r="O381" s="617"/>
      <c r="P381" s="621" t="s">
        <v>72</v>
      </c>
      <c r="Q381" s="622"/>
      <c r="R381" s="622"/>
      <c r="S381" s="622"/>
      <c r="T381" s="622"/>
      <c r="U381" s="622"/>
      <c r="V381" s="623"/>
      <c r="W381" s="37" t="s">
        <v>73</v>
      </c>
      <c r="X381" s="607">
        <f>IFERROR(X378/H378,"0")+IFERROR(X379/H379,"0")+IFERROR(X380/H380,"0")</f>
        <v>76.92307692307692</v>
      </c>
      <c r="Y381" s="607">
        <f>IFERROR(Y378/H378,"0")+IFERROR(Y379/H379,"0")+IFERROR(Y380/H380,"0")</f>
        <v>77</v>
      </c>
      <c r="Z381" s="607">
        <f>IFERROR(IF(Z378="",0,Z378),"0")+IFERROR(IF(Z379="",0,Z379),"0")+IFERROR(IF(Z380="",0,Z380),"0")</f>
        <v>1.46146</v>
      </c>
      <c r="AA381" s="608"/>
      <c r="AB381" s="608"/>
      <c r="AC381" s="608"/>
    </row>
    <row r="382" spans="1:68" x14ac:dyDescent="0.2">
      <c r="A382" s="610"/>
      <c r="B382" s="610"/>
      <c r="C382" s="610"/>
      <c r="D382" s="610"/>
      <c r="E382" s="610"/>
      <c r="F382" s="610"/>
      <c r="G382" s="610"/>
      <c r="H382" s="610"/>
      <c r="I382" s="610"/>
      <c r="J382" s="610"/>
      <c r="K382" s="610"/>
      <c r="L382" s="610"/>
      <c r="M382" s="610"/>
      <c r="N382" s="610"/>
      <c r="O382" s="617"/>
      <c r="P382" s="621" t="s">
        <v>72</v>
      </c>
      <c r="Q382" s="622"/>
      <c r="R382" s="622"/>
      <c r="S382" s="622"/>
      <c r="T382" s="622"/>
      <c r="U382" s="622"/>
      <c r="V382" s="623"/>
      <c r="W382" s="37" t="s">
        <v>67</v>
      </c>
      <c r="X382" s="607">
        <f>IFERROR(SUM(X378:X380),"0")</f>
        <v>600</v>
      </c>
      <c r="Y382" s="607">
        <f>IFERROR(SUM(Y378:Y380),"0")</f>
        <v>600.6</v>
      </c>
      <c r="Z382" s="37"/>
      <c r="AA382" s="608"/>
      <c r="AB382" s="608"/>
      <c r="AC382" s="608"/>
    </row>
    <row r="383" spans="1:68" ht="14.25" hidden="1" customHeight="1" x14ac:dyDescent="0.25">
      <c r="A383" s="609" t="s">
        <v>95</v>
      </c>
      <c r="B383" s="610"/>
      <c r="C383" s="610"/>
      <c r="D383" s="610"/>
      <c r="E383" s="610"/>
      <c r="F383" s="610"/>
      <c r="G383" s="610"/>
      <c r="H383" s="610"/>
      <c r="I383" s="610"/>
      <c r="J383" s="610"/>
      <c r="K383" s="610"/>
      <c r="L383" s="610"/>
      <c r="M383" s="610"/>
      <c r="N383" s="610"/>
      <c r="O383" s="610"/>
      <c r="P383" s="610"/>
      <c r="Q383" s="610"/>
      <c r="R383" s="610"/>
      <c r="S383" s="610"/>
      <c r="T383" s="610"/>
      <c r="U383" s="610"/>
      <c r="V383" s="610"/>
      <c r="W383" s="610"/>
      <c r="X383" s="610"/>
      <c r="Y383" s="610"/>
      <c r="Z383" s="610"/>
      <c r="AA383" s="601"/>
      <c r="AB383" s="601"/>
      <c r="AC383" s="601"/>
    </row>
    <row r="384" spans="1:68" ht="27" hidden="1" customHeight="1" x14ac:dyDescent="0.25">
      <c r="A384" s="54" t="s">
        <v>624</v>
      </c>
      <c r="B384" s="54" t="s">
        <v>625</v>
      </c>
      <c r="C384" s="31">
        <v>4301030235</v>
      </c>
      <c r="D384" s="619">
        <v>4607091388381</v>
      </c>
      <c r="E384" s="62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133</v>
      </c>
      <c r="L384" s="32"/>
      <c r="M384" s="33" t="s">
        <v>98</v>
      </c>
      <c r="N384" s="33"/>
      <c r="O384" s="32">
        <v>180</v>
      </c>
      <c r="P384" s="6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627</v>
      </c>
      <c r="B385" s="54" t="s">
        <v>628</v>
      </c>
      <c r="C385" s="31">
        <v>4301030232</v>
      </c>
      <c r="D385" s="619">
        <v>4607091388374</v>
      </c>
      <c r="E385" s="62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133</v>
      </c>
      <c r="L385" s="32"/>
      <c r="M385" s="33" t="s">
        <v>98</v>
      </c>
      <c r="N385" s="33"/>
      <c r="O385" s="32">
        <v>180</v>
      </c>
      <c r="P385" s="9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4301032015</v>
      </c>
      <c r="D386" s="619">
        <v>4607091383102</v>
      </c>
      <c r="E386" s="62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98</v>
      </c>
      <c r="N386" s="33"/>
      <c r="O386" s="32">
        <v>180</v>
      </c>
      <c r="P386" s="6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4301030233</v>
      </c>
      <c r="D387" s="619">
        <v>4607091388404</v>
      </c>
      <c r="E387" s="62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98</v>
      </c>
      <c r="N387" s="33"/>
      <c r="O387" s="32">
        <v>180</v>
      </c>
      <c r="P387" s="78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0</v>
      </c>
      <c r="Y387" s="60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16"/>
      <c r="B388" s="610"/>
      <c r="C388" s="610"/>
      <c r="D388" s="610"/>
      <c r="E388" s="610"/>
      <c r="F388" s="610"/>
      <c r="G388" s="610"/>
      <c r="H388" s="610"/>
      <c r="I388" s="610"/>
      <c r="J388" s="610"/>
      <c r="K388" s="610"/>
      <c r="L388" s="610"/>
      <c r="M388" s="610"/>
      <c r="N388" s="610"/>
      <c r="O388" s="617"/>
      <c r="P388" s="621" t="s">
        <v>72</v>
      </c>
      <c r="Q388" s="622"/>
      <c r="R388" s="622"/>
      <c r="S388" s="622"/>
      <c r="T388" s="622"/>
      <c r="U388" s="622"/>
      <c r="V388" s="623"/>
      <c r="W388" s="37" t="s">
        <v>73</v>
      </c>
      <c r="X388" s="607">
        <f>IFERROR(X384/H384,"0")+IFERROR(X385/H385,"0")+IFERROR(X386/H386,"0")+IFERROR(X387/H387,"0")</f>
        <v>0</v>
      </c>
      <c r="Y388" s="607">
        <f>IFERROR(Y384/H384,"0")+IFERROR(Y385/H385,"0")+IFERROR(Y386/H386,"0")+IFERROR(Y387/H387,"0")</f>
        <v>0</v>
      </c>
      <c r="Z388" s="607">
        <f>IFERROR(IF(Z384="",0,Z384),"0")+IFERROR(IF(Z385="",0,Z385),"0")+IFERROR(IF(Z386="",0,Z386),"0")+IFERROR(IF(Z387="",0,Z387),"0")</f>
        <v>0</v>
      </c>
      <c r="AA388" s="608"/>
      <c r="AB388" s="608"/>
      <c r="AC388" s="608"/>
    </row>
    <row r="389" spans="1:68" hidden="1" x14ac:dyDescent="0.2">
      <c r="A389" s="610"/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7"/>
      <c r="P389" s="621" t="s">
        <v>72</v>
      </c>
      <c r="Q389" s="622"/>
      <c r="R389" s="622"/>
      <c r="S389" s="622"/>
      <c r="T389" s="622"/>
      <c r="U389" s="622"/>
      <c r="V389" s="623"/>
      <c r="W389" s="37" t="s">
        <v>67</v>
      </c>
      <c r="X389" s="607">
        <f>IFERROR(SUM(X384:X387),"0")</f>
        <v>0</v>
      </c>
      <c r="Y389" s="607">
        <f>IFERROR(SUM(Y384:Y387),"0")</f>
        <v>0</v>
      </c>
      <c r="Z389" s="37"/>
      <c r="AA389" s="608"/>
      <c r="AB389" s="608"/>
      <c r="AC389" s="608"/>
    </row>
    <row r="390" spans="1:68" ht="14.25" hidden="1" customHeight="1" x14ac:dyDescent="0.25">
      <c r="A390" s="609" t="s">
        <v>633</v>
      </c>
      <c r="B390" s="610"/>
      <c r="C390" s="610"/>
      <c r="D390" s="610"/>
      <c r="E390" s="610"/>
      <c r="F390" s="610"/>
      <c r="G390" s="610"/>
      <c r="H390" s="610"/>
      <c r="I390" s="610"/>
      <c r="J390" s="610"/>
      <c r="K390" s="610"/>
      <c r="L390" s="610"/>
      <c r="M390" s="610"/>
      <c r="N390" s="610"/>
      <c r="O390" s="610"/>
      <c r="P390" s="610"/>
      <c r="Q390" s="610"/>
      <c r="R390" s="610"/>
      <c r="S390" s="610"/>
      <c r="T390" s="610"/>
      <c r="U390" s="610"/>
      <c r="V390" s="610"/>
      <c r="W390" s="610"/>
      <c r="X390" s="610"/>
      <c r="Y390" s="610"/>
      <c r="Z390" s="610"/>
      <c r="AA390" s="601"/>
      <c r="AB390" s="601"/>
      <c r="AC390" s="601"/>
    </row>
    <row r="391" spans="1:68" ht="16.5" hidden="1" customHeight="1" x14ac:dyDescent="0.25">
      <c r="A391" s="54" t="s">
        <v>634</v>
      </c>
      <c r="B391" s="54" t="s">
        <v>635</v>
      </c>
      <c r="C391" s="31">
        <v>4301180007</v>
      </c>
      <c r="D391" s="619">
        <v>4680115881808</v>
      </c>
      <c r="E391" s="62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638</v>
      </c>
      <c r="B392" s="54" t="s">
        <v>639</v>
      </c>
      <c r="C392" s="31">
        <v>4301180006</v>
      </c>
      <c r="D392" s="619">
        <v>4680115881822</v>
      </c>
      <c r="E392" s="62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4301180001</v>
      </c>
      <c r="D393" s="619">
        <v>4680115880016</v>
      </c>
      <c r="E393" s="62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79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16"/>
      <c r="B394" s="610"/>
      <c r="C394" s="610"/>
      <c r="D394" s="610"/>
      <c r="E394" s="610"/>
      <c r="F394" s="610"/>
      <c r="G394" s="610"/>
      <c r="H394" s="610"/>
      <c r="I394" s="610"/>
      <c r="J394" s="610"/>
      <c r="K394" s="610"/>
      <c r="L394" s="610"/>
      <c r="M394" s="610"/>
      <c r="N394" s="610"/>
      <c r="O394" s="617"/>
      <c r="P394" s="621" t="s">
        <v>72</v>
      </c>
      <c r="Q394" s="622"/>
      <c r="R394" s="622"/>
      <c r="S394" s="622"/>
      <c r="T394" s="622"/>
      <c r="U394" s="622"/>
      <c r="V394" s="623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hidden="1" x14ac:dyDescent="0.2">
      <c r="A395" s="610"/>
      <c r="B395" s="610"/>
      <c r="C395" s="610"/>
      <c r="D395" s="610"/>
      <c r="E395" s="610"/>
      <c r="F395" s="610"/>
      <c r="G395" s="610"/>
      <c r="H395" s="610"/>
      <c r="I395" s="610"/>
      <c r="J395" s="610"/>
      <c r="K395" s="610"/>
      <c r="L395" s="610"/>
      <c r="M395" s="610"/>
      <c r="N395" s="610"/>
      <c r="O395" s="617"/>
      <c r="P395" s="621" t="s">
        <v>72</v>
      </c>
      <c r="Q395" s="622"/>
      <c r="R395" s="622"/>
      <c r="S395" s="622"/>
      <c r="T395" s="622"/>
      <c r="U395" s="622"/>
      <c r="V395" s="623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hidden="1" customHeight="1" x14ac:dyDescent="0.25">
      <c r="A396" s="647" t="s">
        <v>642</v>
      </c>
      <c r="B396" s="610"/>
      <c r="C396" s="610"/>
      <c r="D396" s="610"/>
      <c r="E396" s="610"/>
      <c r="F396" s="610"/>
      <c r="G396" s="610"/>
      <c r="H396" s="610"/>
      <c r="I396" s="610"/>
      <c r="J396" s="610"/>
      <c r="K396" s="610"/>
      <c r="L396" s="610"/>
      <c r="M396" s="610"/>
      <c r="N396" s="610"/>
      <c r="O396" s="610"/>
      <c r="P396" s="610"/>
      <c r="Q396" s="610"/>
      <c r="R396" s="610"/>
      <c r="S396" s="610"/>
      <c r="T396" s="610"/>
      <c r="U396" s="610"/>
      <c r="V396" s="610"/>
      <c r="W396" s="610"/>
      <c r="X396" s="610"/>
      <c r="Y396" s="610"/>
      <c r="Z396" s="610"/>
      <c r="AA396" s="600"/>
      <c r="AB396" s="600"/>
      <c r="AC396" s="600"/>
    </row>
    <row r="397" spans="1:68" ht="14.25" hidden="1" customHeight="1" x14ac:dyDescent="0.25">
      <c r="A397" s="609" t="s">
        <v>74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601"/>
      <c r="AB397" s="601"/>
      <c r="AC397" s="601"/>
    </row>
    <row r="398" spans="1:68" ht="27" hidden="1" customHeight="1" x14ac:dyDescent="0.25">
      <c r="A398" s="54" t="s">
        <v>643</v>
      </c>
      <c r="B398" s="54" t="s">
        <v>644</v>
      </c>
      <c r="C398" s="31">
        <v>4301051489</v>
      </c>
      <c r="D398" s="619">
        <v>4607091387919</v>
      </c>
      <c r="E398" s="62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124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646</v>
      </c>
      <c r="B399" s="54" t="s">
        <v>647</v>
      </c>
      <c r="C399" s="31">
        <v>4301051461</v>
      </c>
      <c r="D399" s="619">
        <v>4680115883604</v>
      </c>
      <c r="E399" s="62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8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649</v>
      </c>
      <c r="B400" s="54" t="s">
        <v>650</v>
      </c>
      <c r="C400" s="31">
        <v>4301051864</v>
      </c>
      <c r="D400" s="619">
        <v>4680115883567</v>
      </c>
      <c r="E400" s="62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7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0</v>
      </c>
      <c r="Y400" s="606">
        <f>IFERROR(IF(X400="",0,CEILING((X400/$H400),1)*$H400),"")</f>
        <v>0</v>
      </c>
      <c r="Z400" s="36" t="str">
        <f>IFERROR(IF(Y400=0,"",ROUNDUP(Y400/H400,0)*0.00651),"")</f>
        <v/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idden="1" x14ac:dyDescent="0.2">
      <c r="A401" s="616"/>
      <c r="B401" s="610"/>
      <c r="C401" s="610"/>
      <c r="D401" s="610"/>
      <c r="E401" s="610"/>
      <c r="F401" s="610"/>
      <c r="G401" s="610"/>
      <c r="H401" s="610"/>
      <c r="I401" s="610"/>
      <c r="J401" s="610"/>
      <c r="K401" s="610"/>
      <c r="L401" s="610"/>
      <c r="M401" s="610"/>
      <c r="N401" s="610"/>
      <c r="O401" s="617"/>
      <c r="P401" s="621" t="s">
        <v>72</v>
      </c>
      <c r="Q401" s="622"/>
      <c r="R401" s="622"/>
      <c r="S401" s="622"/>
      <c r="T401" s="622"/>
      <c r="U401" s="622"/>
      <c r="V401" s="623"/>
      <c r="W401" s="37" t="s">
        <v>73</v>
      </c>
      <c r="X401" s="607">
        <f>IFERROR(X398/H398,"0")+IFERROR(X399/H399,"0")+IFERROR(X400/H400,"0")</f>
        <v>0</v>
      </c>
      <c r="Y401" s="607">
        <f>IFERROR(Y398/H398,"0")+IFERROR(Y399/H399,"0")+IFERROR(Y400/H400,"0")</f>
        <v>0</v>
      </c>
      <c r="Z401" s="607">
        <f>IFERROR(IF(Z398="",0,Z398),"0")+IFERROR(IF(Z399="",0,Z399),"0")+IFERROR(IF(Z400="",0,Z400),"0")</f>
        <v>0</v>
      </c>
      <c r="AA401" s="608"/>
      <c r="AB401" s="608"/>
      <c r="AC401" s="608"/>
    </row>
    <row r="402" spans="1:68" hidden="1" x14ac:dyDescent="0.2">
      <c r="A402" s="610"/>
      <c r="B402" s="610"/>
      <c r="C402" s="610"/>
      <c r="D402" s="610"/>
      <c r="E402" s="610"/>
      <c r="F402" s="610"/>
      <c r="G402" s="610"/>
      <c r="H402" s="610"/>
      <c r="I402" s="610"/>
      <c r="J402" s="610"/>
      <c r="K402" s="610"/>
      <c r="L402" s="610"/>
      <c r="M402" s="610"/>
      <c r="N402" s="610"/>
      <c r="O402" s="617"/>
      <c r="P402" s="621" t="s">
        <v>72</v>
      </c>
      <c r="Q402" s="622"/>
      <c r="R402" s="622"/>
      <c r="S402" s="622"/>
      <c r="T402" s="622"/>
      <c r="U402" s="622"/>
      <c r="V402" s="623"/>
      <c r="W402" s="37" t="s">
        <v>67</v>
      </c>
      <c r="X402" s="607">
        <f>IFERROR(SUM(X398:X400),"0")</f>
        <v>0</v>
      </c>
      <c r="Y402" s="607">
        <f>IFERROR(SUM(Y398:Y400),"0")</f>
        <v>0</v>
      </c>
      <c r="Z402" s="37"/>
      <c r="AA402" s="608"/>
      <c r="AB402" s="608"/>
      <c r="AC402" s="608"/>
    </row>
    <row r="403" spans="1:68" ht="27.75" hidden="1" customHeight="1" x14ac:dyDescent="0.2">
      <c r="A403" s="630" t="s">
        <v>652</v>
      </c>
      <c r="B403" s="631"/>
      <c r="C403" s="631"/>
      <c r="D403" s="631"/>
      <c r="E403" s="631"/>
      <c r="F403" s="631"/>
      <c r="G403" s="631"/>
      <c r="H403" s="631"/>
      <c r="I403" s="631"/>
      <c r="J403" s="631"/>
      <c r="K403" s="631"/>
      <c r="L403" s="631"/>
      <c r="M403" s="631"/>
      <c r="N403" s="631"/>
      <c r="O403" s="631"/>
      <c r="P403" s="631"/>
      <c r="Q403" s="631"/>
      <c r="R403" s="631"/>
      <c r="S403" s="631"/>
      <c r="T403" s="631"/>
      <c r="U403" s="631"/>
      <c r="V403" s="631"/>
      <c r="W403" s="631"/>
      <c r="X403" s="631"/>
      <c r="Y403" s="631"/>
      <c r="Z403" s="631"/>
      <c r="AA403" s="48"/>
      <c r="AB403" s="48"/>
      <c r="AC403" s="48"/>
    </row>
    <row r="404" spans="1:68" ht="16.5" hidden="1" customHeight="1" x14ac:dyDescent="0.25">
      <c r="A404" s="647" t="s">
        <v>653</v>
      </c>
      <c r="B404" s="610"/>
      <c r="C404" s="610"/>
      <c r="D404" s="610"/>
      <c r="E404" s="610"/>
      <c r="F404" s="610"/>
      <c r="G404" s="610"/>
      <c r="H404" s="610"/>
      <c r="I404" s="610"/>
      <c r="J404" s="610"/>
      <c r="K404" s="610"/>
      <c r="L404" s="610"/>
      <c r="M404" s="610"/>
      <c r="N404" s="610"/>
      <c r="O404" s="610"/>
      <c r="P404" s="610"/>
      <c r="Q404" s="610"/>
      <c r="R404" s="610"/>
      <c r="S404" s="610"/>
      <c r="T404" s="610"/>
      <c r="U404" s="610"/>
      <c r="V404" s="610"/>
      <c r="W404" s="610"/>
      <c r="X404" s="610"/>
      <c r="Y404" s="610"/>
      <c r="Z404" s="610"/>
      <c r="AA404" s="600"/>
      <c r="AB404" s="600"/>
      <c r="AC404" s="600"/>
    </row>
    <row r="405" spans="1:68" ht="14.25" hidden="1" customHeight="1" x14ac:dyDescent="0.25">
      <c r="A405" s="609" t="s">
        <v>121</v>
      </c>
      <c r="B405" s="610"/>
      <c r="C405" s="610"/>
      <c r="D405" s="610"/>
      <c r="E405" s="610"/>
      <c r="F405" s="610"/>
      <c r="G405" s="610"/>
      <c r="H405" s="610"/>
      <c r="I405" s="610"/>
      <c r="J405" s="610"/>
      <c r="K405" s="610"/>
      <c r="L405" s="610"/>
      <c r="M405" s="610"/>
      <c r="N405" s="610"/>
      <c r="O405" s="610"/>
      <c r="P405" s="610"/>
      <c r="Q405" s="610"/>
      <c r="R405" s="610"/>
      <c r="S405" s="610"/>
      <c r="T405" s="610"/>
      <c r="U405" s="610"/>
      <c r="V405" s="610"/>
      <c r="W405" s="610"/>
      <c r="X405" s="610"/>
      <c r="Y405" s="610"/>
      <c r="Z405" s="610"/>
      <c r="AA405" s="601"/>
      <c r="AB405" s="601"/>
      <c r="AC405" s="601"/>
    </row>
    <row r="406" spans="1:68" ht="27" hidden="1" customHeight="1" x14ac:dyDescent="0.25">
      <c r="A406" s="54" t="s">
        <v>654</v>
      </c>
      <c r="B406" s="54" t="s">
        <v>655</v>
      </c>
      <c r="C406" s="31">
        <v>4301012332</v>
      </c>
      <c r="D406" s="619">
        <v>4680115888401</v>
      </c>
      <c r="E406" s="62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124</v>
      </c>
      <c r="L406" s="32"/>
      <c r="M406" s="33" t="s">
        <v>84</v>
      </c>
      <c r="N406" s="33"/>
      <c r="O406" s="32">
        <v>60</v>
      </c>
      <c r="P40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0</v>
      </c>
      <c r="Y406" s="606">
        <f t="shared" ref="Y406:Y413" si="58">IFERROR(IF(X406="",0,CEILING((X406/$H406),1)*$H406),"")</f>
        <v>0</v>
      </c>
      <c r="Z406" s="36" t="str">
        <f>IFERROR(IF(Y406=0,"",ROUNDUP(Y406/H406,0)*0.02175),"")</f>
        <v/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9">IFERROR(X406*I406/H406,"0")</f>
        <v>0</v>
      </c>
      <c r="BN406" s="64">
        <f t="shared" ref="BN406:BN413" si="60">IFERROR(Y406*I406/H406,"0")</f>
        <v>0</v>
      </c>
      <c r="BO406" s="64">
        <f t="shared" ref="BO406:BO413" si="61">IFERROR(1/J406*(X406/H406),"0")</f>
        <v>0</v>
      </c>
      <c r="BP406" s="64">
        <f t="shared" ref="BP406:BP413" si="62">IFERROR(1/J406*(Y406/H406),"0")</f>
        <v>0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19">
        <v>4680115884847</v>
      </c>
      <c r="E407" s="62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124</v>
      </c>
      <c r="L407" s="32"/>
      <c r="M407" s="33" t="s">
        <v>66</v>
      </c>
      <c r="N407" s="33"/>
      <c r="O407" s="32">
        <v>60</v>
      </c>
      <c r="P407" s="69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900</v>
      </c>
      <c r="Y407" s="606">
        <f t="shared" si="58"/>
        <v>900</v>
      </c>
      <c r="Z407" s="36">
        <f>IFERROR(IF(Y407=0,"",ROUNDUP(Y407/H407,0)*0.02175),"")</f>
        <v>1.3049999999999999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9"/>
        <v>928.2</v>
      </c>
      <c r="BN407" s="64">
        <f t="shared" si="60"/>
        <v>928.2</v>
      </c>
      <c r="BO407" s="64">
        <f t="shared" si="61"/>
        <v>1.25</v>
      </c>
      <c r="BP407" s="64">
        <f t="shared" si="62"/>
        <v>1.25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19">
        <v>4680115884854</v>
      </c>
      <c r="E408" s="62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124</v>
      </c>
      <c r="L408" s="32"/>
      <c r="M408" s="33" t="s">
        <v>125</v>
      </c>
      <c r="N408" s="33"/>
      <c r="O408" s="32">
        <v>60</v>
      </c>
      <c r="P408" s="9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650</v>
      </c>
      <c r="Y408" s="606">
        <f t="shared" si="58"/>
        <v>660</v>
      </c>
      <c r="Z408" s="36">
        <f>IFERROR(IF(Y408=0,"",ROUNDUP(Y408/H408,0)*0.02175),"")</f>
        <v>0.95699999999999996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9"/>
        <v>670.36666666666667</v>
      </c>
      <c r="BN408" s="64">
        <f t="shared" si="60"/>
        <v>680.68000000000006</v>
      </c>
      <c r="BO408" s="64">
        <f t="shared" si="61"/>
        <v>0.90277777777777779</v>
      </c>
      <c r="BP408" s="64">
        <f t="shared" si="62"/>
        <v>0.91666666666666663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19">
        <v>4680115884830</v>
      </c>
      <c r="E409" s="62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124</v>
      </c>
      <c r="L409" s="32"/>
      <c r="M409" s="33" t="s">
        <v>66</v>
      </c>
      <c r="N409" s="33"/>
      <c r="O409" s="32">
        <v>60</v>
      </c>
      <c r="P409" s="8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800</v>
      </c>
      <c r="Y409" s="606">
        <f t="shared" si="58"/>
        <v>810</v>
      </c>
      <c r="Z409" s="36">
        <f>IFERROR(IF(Y409=0,"",ROUNDUP(Y409/H409,0)*0.02175),"")</f>
        <v>1.1744999999999999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9"/>
        <v>825.06666666666672</v>
      </c>
      <c r="BN409" s="64">
        <f t="shared" si="60"/>
        <v>835.38</v>
      </c>
      <c r="BO409" s="64">
        <f t="shared" si="61"/>
        <v>1.1111111111111112</v>
      </c>
      <c r="BP409" s="64">
        <f t="shared" si="62"/>
        <v>1.125</v>
      </c>
    </row>
    <row r="410" spans="1:68" ht="27" hidden="1" customHeight="1" x14ac:dyDescent="0.25">
      <c r="A410" s="54" t="s">
        <v>666</v>
      </c>
      <c r="B410" s="54" t="s">
        <v>667</v>
      </c>
      <c r="C410" s="31">
        <v>4301012356</v>
      </c>
      <c r="D410" s="619">
        <v>4680115889231</v>
      </c>
      <c r="E410" s="62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124</v>
      </c>
      <c r="L410" s="32"/>
      <c r="M410" s="33" t="s">
        <v>84</v>
      </c>
      <c r="N410" s="33"/>
      <c r="O410" s="32">
        <v>60</v>
      </c>
      <c r="P410" s="95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0</v>
      </c>
      <c r="Y410" s="606">
        <f t="shared" si="58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9"/>
        <v>0</v>
      </c>
      <c r="BN410" s="64">
        <f t="shared" si="60"/>
        <v>0</v>
      </c>
      <c r="BO410" s="64">
        <f t="shared" si="61"/>
        <v>0</v>
      </c>
      <c r="BP410" s="64">
        <f t="shared" si="62"/>
        <v>0</v>
      </c>
    </row>
    <row r="411" spans="1:68" ht="27" hidden="1" customHeight="1" x14ac:dyDescent="0.25">
      <c r="A411" s="54" t="s">
        <v>669</v>
      </c>
      <c r="B411" s="54" t="s">
        <v>670</v>
      </c>
      <c r="C411" s="31">
        <v>4301011433</v>
      </c>
      <c r="D411" s="619">
        <v>4680115882638</v>
      </c>
      <c r="E411" s="62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133</v>
      </c>
      <c r="L411" s="32"/>
      <c r="M411" s="33" t="s">
        <v>125</v>
      </c>
      <c r="N411" s="33"/>
      <c r="O411" s="32">
        <v>90</v>
      </c>
      <c r="P411" s="74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8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9"/>
        <v>0</v>
      </c>
      <c r="BN411" s="64">
        <f t="shared" si="60"/>
        <v>0</v>
      </c>
      <c r="BO411" s="64">
        <f t="shared" si="61"/>
        <v>0</v>
      </c>
      <c r="BP411" s="64">
        <f t="shared" si="62"/>
        <v>0</v>
      </c>
    </row>
    <row r="412" spans="1:68" ht="27" hidden="1" customHeight="1" x14ac:dyDescent="0.25">
      <c r="A412" s="54" t="s">
        <v>672</v>
      </c>
      <c r="B412" s="54" t="s">
        <v>673</v>
      </c>
      <c r="C412" s="31">
        <v>4301011952</v>
      </c>
      <c r="D412" s="619">
        <v>4680115884922</v>
      </c>
      <c r="E412" s="62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133</v>
      </c>
      <c r="L412" s="32"/>
      <c r="M412" s="33" t="s">
        <v>66</v>
      </c>
      <c r="N412" s="33"/>
      <c r="O412" s="32">
        <v>60</v>
      </c>
      <c r="P412" s="9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8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9"/>
        <v>0</v>
      </c>
      <c r="BN412" s="64">
        <f t="shared" si="60"/>
        <v>0</v>
      </c>
      <c r="BO412" s="64">
        <f t="shared" si="61"/>
        <v>0</v>
      </c>
      <c r="BP412" s="64">
        <f t="shared" si="62"/>
        <v>0</v>
      </c>
    </row>
    <row r="413" spans="1:68" ht="37.5" hidden="1" customHeight="1" x14ac:dyDescent="0.25">
      <c r="A413" s="54" t="s">
        <v>675</v>
      </c>
      <c r="B413" s="54" t="s">
        <v>676</v>
      </c>
      <c r="C413" s="31">
        <v>4301011868</v>
      </c>
      <c r="D413" s="619">
        <v>4680115884861</v>
      </c>
      <c r="E413" s="62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133</v>
      </c>
      <c r="L413" s="32"/>
      <c r="M413" s="33" t="s">
        <v>66</v>
      </c>
      <c r="N413" s="33"/>
      <c r="O413" s="32">
        <v>60</v>
      </c>
      <c r="P413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8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9"/>
        <v>0</v>
      </c>
      <c r="BN413" s="64">
        <f t="shared" si="60"/>
        <v>0</v>
      </c>
      <c r="BO413" s="64">
        <f t="shared" si="61"/>
        <v>0</v>
      </c>
      <c r="BP413" s="64">
        <f t="shared" si="62"/>
        <v>0</v>
      </c>
    </row>
    <row r="414" spans="1:68" x14ac:dyDescent="0.2">
      <c r="A414" s="616"/>
      <c r="B414" s="610"/>
      <c r="C414" s="610"/>
      <c r="D414" s="610"/>
      <c r="E414" s="610"/>
      <c r="F414" s="610"/>
      <c r="G414" s="610"/>
      <c r="H414" s="610"/>
      <c r="I414" s="610"/>
      <c r="J414" s="610"/>
      <c r="K414" s="610"/>
      <c r="L414" s="610"/>
      <c r="M414" s="610"/>
      <c r="N414" s="610"/>
      <c r="O414" s="617"/>
      <c r="P414" s="621" t="s">
        <v>72</v>
      </c>
      <c r="Q414" s="622"/>
      <c r="R414" s="622"/>
      <c r="S414" s="622"/>
      <c r="T414" s="622"/>
      <c r="U414" s="622"/>
      <c r="V414" s="623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156.66666666666669</v>
      </c>
      <c r="Y414" s="607">
        <f>IFERROR(Y406/H406,"0")+IFERROR(Y407/H407,"0")+IFERROR(Y408/H408,"0")+IFERROR(Y409/H409,"0")+IFERROR(Y410/H410,"0")+IFERROR(Y411/H411,"0")+IFERROR(Y412/H412,"0")+IFERROR(Y413/H413,"0")</f>
        <v>158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3.4364999999999997</v>
      </c>
      <c r="AA414" s="608"/>
      <c r="AB414" s="608"/>
      <c r="AC414" s="608"/>
    </row>
    <row r="415" spans="1:68" x14ac:dyDescent="0.2">
      <c r="A415" s="610"/>
      <c r="B415" s="610"/>
      <c r="C415" s="610"/>
      <c r="D415" s="610"/>
      <c r="E415" s="610"/>
      <c r="F415" s="610"/>
      <c r="G415" s="610"/>
      <c r="H415" s="610"/>
      <c r="I415" s="610"/>
      <c r="J415" s="610"/>
      <c r="K415" s="610"/>
      <c r="L415" s="610"/>
      <c r="M415" s="610"/>
      <c r="N415" s="610"/>
      <c r="O415" s="617"/>
      <c r="P415" s="621" t="s">
        <v>72</v>
      </c>
      <c r="Q415" s="622"/>
      <c r="R415" s="622"/>
      <c r="S415" s="622"/>
      <c r="T415" s="622"/>
      <c r="U415" s="622"/>
      <c r="V415" s="623"/>
      <c r="W415" s="37" t="s">
        <v>67</v>
      </c>
      <c r="X415" s="607">
        <f>IFERROR(SUM(X406:X413),"0")</f>
        <v>2350</v>
      </c>
      <c r="Y415" s="607">
        <f>IFERROR(SUM(Y406:Y413),"0")</f>
        <v>2370</v>
      </c>
      <c r="Z415" s="37"/>
      <c r="AA415" s="608"/>
      <c r="AB415" s="608"/>
      <c r="AC415" s="608"/>
    </row>
    <row r="416" spans="1:68" ht="14.25" hidden="1" customHeight="1" x14ac:dyDescent="0.25">
      <c r="A416" s="609" t="s">
        <v>156</v>
      </c>
      <c r="B416" s="610"/>
      <c r="C416" s="610"/>
      <c r="D416" s="610"/>
      <c r="E416" s="610"/>
      <c r="F416" s="610"/>
      <c r="G416" s="610"/>
      <c r="H416" s="610"/>
      <c r="I416" s="610"/>
      <c r="J416" s="610"/>
      <c r="K416" s="610"/>
      <c r="L416" s="610"/>
      <c r="M416" s="610"/>
      <c r="N416" s="610"/>
      <c r="O416" s="610"/>
      <c r="P416" s="610"/>
      <c r="Q416" s="610"/>
      <c r="R416" s="610"/>
      <c r="S416" s="610"/>
      <c r="T416" s="610"/>
      <c r="U416" s="610"/>
      <c r="V416" s="610"/>
      <c r="W416" s="610"/>
      <c r="X416" s="610"/>
      <c r="Y416" s="610"/>
      <c r="Z416" s="610"/>
      <c r="AA416" s="601"/>
      <c r="AB416" s="601"/>
      <c r="AC416" s="601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19">
        <v>4607091383980</v>
      </c>
      <c r="E417" s="62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124</v>
      </c>
      <c r="L417" s="32"/>
      <c r="M417" s="33" t="s">
        <v>125</v>
      </c>
      <c r="N417" s="33"/>
      <c r="O417" s="32">
        <v>50</v>
      </c>
      <c r="P417" s="8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200</v>
      </c>
      <c r="Y417" s="606">
        <f>IFERROR(IF(X417="",0,CEILING((X417/$H417),1)*$H417),"")</f>
        <v>210</v>
      </c>
      <c r="Z417" s="36">
        <f>IFERROR(IF(Y417=0,"",ROUNDUP(Y417/H417,0)*0.02175),"")</f>
        <v>0.30449999999999999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206.26666666666668</v>
      </c>
      <c r="BN417" s="64">
        <f>IFERROR(Y417*I417/H417,"0")</f>
        <v>216.58</v>
      </c>
      <c r="BO417" s="64">
        <f>IFERROR(1/J417*(X417/H417),"0")</f>
        <v>0.27777777777777779</v>
      </c>
      <c r="BP417" s="64">
        <f>IFERROR(1/J417*(Y417/H417),"0")</f>
        <v>0.29166666666666663</v>
      </c>
    </row>
    <row r="418" spans="1:68" ht="27" hidden="1" customHeight="1" x14ac:dyDescent="0.25">
      <c r="A418" s="54" t="s">
        <v>681</v>
      </c>
      <c r="B418" s="54" t="s">
        <v>682</v>
      </c>
      <c r="C418" s="31">
        <v>4301020355</v>
      </c>
      <c r="D418" s="619">
        <v>4680115888425</v>
      </c>
      <c r="E418" s="62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124</v>
      </c>
      <c r="L418" s="32"/>
      <c r="M418" s="33" t="s">
        <v>125</v>
      </c>
      <c r="N418" s="33"/>
      <c r="O418" s="32">
        <v>50</v>
      </c>
      <c r="P418" s="90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684</v>
      </c>
      <c r="B419" s="54" t="s">
        <v>685</v>
      </c>
      <c r="C419" s="31">
        <v>4301020179</v>
      </c>
      <c r="D419" s="619">
        <v>4607091384178</v>
      </c>
      <c r="E419" s="62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133</v>
      </c>
      <c r="L419" s="32"/>
      <c r="M419" s="33" t="s">
        <v>125</v>
      </c>
      <c r="N419" s="33"/>
      <c r="O419" s="32">
        <v>50</v>
      </c>
      <c r="P419" s="8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16"/>
      <c r="B420" s="610"/>
      <c r="C420" s="610"/>
      <c r="D420" s="610"/>
      <c r="E420" s="610"/>
      <c r="F420" s="610"/>
      <c r="G420" s="610"/>
      <c r="H420" s="610"/>
      <c r="I420" s="610"/>
      <c r="J420" s="610"/>
      <c r="K420" s="610"/>
      <c r="L420" s="610"/>
      <c r="M420" s="610"/>
      <c r="N420" s="610"/>
      <c r="O420" s="617"/>
      <c r="P420" s="621" t="s">
        <v>72</v>
      </c>
      <c r="Q420" s="622"/>
      <c r="R420" s="622"/>
      <c r="S420" s="622"/>
      <c r="T420" s="622"/>
      <c r="U420" s="622"/>
      <c r="V420" s="623"/>
      <c r="W420" s="37" t="s">
        <v>73</v>
      </c>
      <c r="X420" s="607">
        <f>IFERROR(X417/H417,"0")+IFERROR(X418/H418,"0")+IFERROR(X419/H419,"0")</f>
        <v>13.333333333333334</v>
      </c>
      <c r="Y420" s="607">
        <f>IFERROR(Y417/H417,"0")+IFERROR(Y418/H418,"0")+IFERROR(Y419/H419,"0")</f>
        <v>14</v>
      </c>
      <c r="Z420" s="607">
        <f>IFERROR(IF(Z417="",0,Z417),"0")+IFERROR(IF(Z418="",0,Z418),"0")+IFERROR(IF(Z419="",0,Z419),"0")</f>
        <v>0.30449999999999999</v>
      </c>
      <c r="AA420" s="608"/>
      <c r="AB420" s="608"/>
      <c r="AC420" s="608"/>
    </row>
    <row r="421" spans="1:68" x14ac:dyDescent="0.2">
      <c r="A421" s="610"/>
      <c r="B421" s="610"/>
      <c r="C421" s="610"/>
      <c r="D421" s="610"/>
      <c r="E421" s="610"/>
      <c r="F421" s="610"/>
      <c r="G421" s="610"/>
      <c r="H421" s="610"/>
      <c r="I421" s="610"/>
      <c r="J421" s="610"/>
      <c r="K421" s="610"/>
      <c r="L421" s="610"/>
      <c r="M421" s="610"/>
      <c r="N421" s="610"/>
      <c r="O421" s="617"/>
      <c r="P421" s="621" t="s">
        <v>72</v>
      </c>
      <c r="Q421" s="622"/>
      <c r="R421" s="622"/>
      <c r="S421" s="622"/>
      <c r="T421" s="622"/>
      <c r="U421" s="622"/>
      <c r="V421" s="623"/>
      <c r="W421" s="37" t="s">
        <v>67</v>
      </c>
      <c r="X421" s="607">
        <f>IFERROR(SUM(X417:X419),"0")</f>
        <v>200</v>
      </c>
      <c r="Y421" s="607">
        <f>IFERROR(SUM(Y417:Y419),"0")</f>
        <v>210</v>
      </c>
      <c r="Z421" s="37"/>
      <c r="AA421" s="608"/>
      <c r="AB421" s="608"/>
      <c r="AC421" s="608"/>
    </row>
    <row r="422" spans="1:68" ht="14.25" hidden="1" customHeight="1" x14ac:dyDescent="0.25">
      <c r="A422" s="609" t="s">
        <v>74</v>
      </c>
      <c r="B422" s="610"/>
      <c r="C422" s="610"/>
      <c r="D422" s="610"/>
      <c r="E422" s="610"/>
      <c r="F422" s="610"/>
      <c r="G422" s="610"/>
      <c r="H422" s="610"/>
      <c r="I422" s="610"/>
      <c r="J422" s="610"/>
      <c r="K422" s="610"/>
      <c r="L422" s="610"/>
      <c r="M422" s="610"/>
      <c r="N422" s="610"/>
      <c r="O422" s="610"/>
      <c r="P422" s="610"/>
      <c r="Q422" s="610"/>
      <c r="R422" s="610"/>
      <c r="S422" s="610"/>
      <c r="T422" s="610"/>
      <c r="U422" s="610"/>
      <c r="V422" s="610"/>
      <c r="W422" s="610"/>
      <c r="X422" s="610"/>
      <c r="Y422" s="610"/>
      <c r="Z422" s="610"/>
      <c r="AA422" s="601"/>
      <c r="AB422" s="601"/>
      <c r="AC422" s="601"/>
    </row>
    <row r="423" spans="1:68" ht="27" hidden="1" customHeight="1" x14ac:dyDescent="0.25">
      <c r="A423" s="54" t="s">
        <v>687</v>
      </c>
      <c r="B423" s="54" t="s">
        <v>688</v>
      </c>
      <c r="C423" s="31">
        <v>4301051903</v>
      </c>
      <c r="D423" s="619">
        <v>4607091383928</v>
      </c>
      <c r="E423" s="62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124</v>
      </c>
      <c r="L423" s="32"/>
      <c r="M423" s="33" t="s">
        <v>78</v>
      </c>
      <c r="N423" s="33"/>
      <c r="O423" s="32">
        <v>40</v>
      </c>
      <c r="P423" s="76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690</v>
      </c>
      <c r="B424" s="54" t="s">
        <v>691</v>
      </c>
      <c r="C424" s="31">
        <v>4301051897</v>
      </c>
      <c r="D424" s="619">
        <v>4607091384260</v>
      </c>
      <c r="E424" s="62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124</v>
      </c>
      <c r="L424" s="32"/>
      <c r="M424" s="33" t="s">
        <v>78</v>
      </c>
      <c r="N424" s="33"/>
      <c r="O424" s="32">
        <v>40</v>
      </c>
      <c r="P424" s="7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16"/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0"/>
      <c r="O425" s="617"/>
      <c r="P425" s="621" t="s">
        <v>72</v>
      </c>
      <c r="Q425" s="622"/>
      <c r="R425" s="622"/>
      <c r="S425" s="622"/>
      <c r="T425" s="622"/>
      <c r="U425" s="622"/>
      <c r="V425" s="623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hidden="1" x14ac:dyDescent="0.2">
      <c r="A426" s="610"/>
      <c r="B426" s="610"/>
      <c r="C426" s="610"/>
      <c r="D426" s="610"/>
      <c r="E426" s="610"/>
      <c r="F426" s="610"/>
      <c r="G426" s="610"/>
      <c r="H426" s="610"/>
      <c r="I426" s="610"/>
      <c r="J426" s="610"/>
      <c r="K426" s="610"/>
      <c r="L426" s="610"/>
      <c r="M426" s="610"/>
      <c r="N426" s="610"/>
      <c r="O426" s="617"/>
      <c r="P426" s="621" t="s">
        <v>72</v>
      </c>
      <c r="Q426" s="622"/>
      <c r="R426" s="622"/>
      <c r="S426" s="622"/>
      <c r="T426" s="622"/>
      <c r="U426" s="622"/>
      <c r="V426" s="623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hidden="1" customHeight="1" x14ac:dyDescent="0.25">
      <c r="A427" s="609" t="s">
        <v>173</v>
      </c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601"/>
      <c r="AB427" s="601"/>
      <c r="AC427" s="601"/>
    </row>
    <row r="428" spans="1:68" ht="16.5" hidden="1" customHeight="1" x14ac:dyDescent="0.25">
      <c r="A428" s="54" t="s">
        <v>693</v>
      </c>
      <c r="B428" s="54" t="s">
        <v>694</v>
      </c>
      <c r="C428" s="31">
        <v>4301060524</v>
      </c>
      <c r="D428" s="619">
        <v>4607091384673</v>
      </c>
      <c r="E428" s="62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124</v>
      </c>
      <c r="L428" s="32"/>
      <c r="M428" s="33" t="s">
        <v>78</v>
      </c>
      <c r="N428" s="33"/>
      <c r="O428" s="32">
        <v>40</v>
      </c>
      <c r="P428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0</v>
      </c>
      <c r="Y428" s="60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idden="1" x14ac:dyDescent="0.2">
      <c r="A429" s="616"/>
      <c r="B429" s="610"/>
      <c r="C429" s="610"/>
      <c r="D429" s="610"/>
      <c r="E429" s="610"/>
      <c r="F429" s="610"/>
      <c r="G429" s="610"/>
      <c r="H429" s="610"/>
      <c r="I429" s="610"/>
      <c r="J429" s="610"/>
      <c r="K429" s="610"/>
      <c r="L429" s="610"/>
      <c r="M429" s="610"/>
      <c r="N429" s="610"/>
      <c r="O429" s="617"/>
      <c r="P429" s="621" t="s">
        <v>72</v>
      </c>
      <c r="Q429" s="622"/>
      <c r="R429" s="622"/>
      <c r="S429" s="622"/>
      <c r="T429" s="622"/>
      <c r="U429" s="622"/>
      <c r="V429" s="623"/>
      <c r="W429" s="37" t="s">
        <v>73</v>
      </c>
      <c r="X429" s="607">
        <f>IFERROR(X428/H428,"0")</f>
        <v>0</v>
      </c>
      <c r="Y429" s="607">
        <f>IFERROR(Y428/H428,"0")</f>
        <v>0</v>
      </c>
      <c r="Z429" s="607">
        <f>IFERROR(IF(Z428="",0,Z428),"0")</f>
        <v>0</v>
      </c>
      <c r="AA429" s="608"/>
      <c r="AB429" s="608"/>
      <c r="AC429" s="608"/>
    </row>
    <row r="430" spans="1:68" hidden="1" x14ac:dyDescent="0.2">
      <c r="A430" s="610"/>
      <c r="B430" s="610"/>
      <c r="C430" s="610"/>
      <c r="D430" s="610"/>
      <c r="E430" s="610"/>
      <c r="F430" s="610"/>
      <c r="G430" s="610"/>
      <c r="H430" s="610"/>
      <c r="I430" s="610"/>
      <c r="J430" s="610"/>
      <c r="K430" s="610"/>
      <c r="L430" s="610"/>
      <c r="M430" s="610"/>
      <c r="N430" s="610"/>
      <c r="O430" s="617"/>
      <c r="P430" s="621" t="s">
        <v>72</v>
      </c>
      <c r="Q430" s="622"/>
      <c r="R430" s="622"/>
      <c r="S430" s="622"/>
      <c r="T430" s="622"/>
      <c r="U430" s="622"/>
      <c r="V430" s="623"/>
      <c r="W430" s="37" t="s">
        <v>67</v>
      </c>
      <c r="X430" s="607">
        <f>IFERROR(SUM(X428:X428),"0")</f>
        <v>0</v>
      </c>
      <c r="Y430" s="607">
        <f>IFERROR(SUM(Y428:Y428),"0")</f>
        <v>0</v>
      </c>
      <c r="Z430" s="37"/>
      <c r="AA430" s="608"/>
      <c r="AB430" s="608"/>
      <c r="AC430" s="608"/>
    </row>
    <row r="431" spans="1:68" ht="16.5" hidden="1" customHeight="1" x14ac:dyDescent="0.25">
      <c r="A431" s="647" t="s">
        <v>696</v>
      </c>
      <c r="B431" s="610"/>
      <c r="C431" s="610"/>
      <c r="D431" s="610"/>
      <c r="E431" s="610"/>
      <c r="F431" s="610"/>
      <c r="G431" s="610"/>
      <c r="H431" s="610"/>
      <c r="I431" s="610"/>
      <c r="J431" s="610"/>
      <c r="K431" s="610"/>
      <c r="L431" s="610"/>
      <c r="M431" s="610"/>
      <c r="N431" s="610"/>
      <c r="O431" s="610"/>
      <c r="P431" s="610"/>
      <c r="Q431" s="610"/>
      <c r="R431" s="610"/>
      <c r="S431" s="610"/>
      <c r="T431" s="610"/>
      <c r="U431" s="610"/>
      <c r="V431" s="610"/>
      <c r="W431" s="610"/>
      <c r="X431" s="610"/>
      <c r="Y431" s="610"/>
      <c r="Z431" s="610"/>
      <c r="AA431" s="600"/>
      <c r="AB431" s="600"/>
      <c r="AC431" s="600"/>
    </row>
    <row r="432" spans="1:68" ht="14.25" hidden="1" customHeight="1" x14ac:dyDescent="0.25">
      <c r="A432" s="609" t="s">
        <v>121</v>
      </c>
      <c r="B432" s="610"/>
      <c r="C432" s="610"/>
      <c r="D432" s="610"/>
      <c r="E432" s="610"/>
      <c r="F432" s="610"/>
      <c r="G432" s="610"/>
      <c r="H432" s="610"/>
      <c r="I432" s="610"/>
      <c r="J432" s="610"/>
      <c r="K432" s="610"/>
      <c r="L432" s="610"/>
      <c r="M432" s="610"/>
      <c r="N432" s="610"/>
      <c r="O432" s="610"/>
      <c r="P432" s="610"/>
      <c r="Q432" s="610"/>
      <c r="R432" s="610"/>
      <c r="S432" s="610"/>
      <c r="T432" s="610"/>
      <c r="U432" s="610"/>
      <c r="V432" s="610"/>
      <c r="W432" s="610"/>
      <c r="X432" s="610"/>
      <c r="Y432" s="610"/>
      <c r="Z432" s="610"/>
      <c r="AA432" s="601"/>
      <c r="AB432" s="601"/>
      <c r="AC432" s="601"/>
    </row>
    <row r="433" spans="1:68" ht="27" hidden="1" customHeight="1" x14ac:dyDescent="0.25">
      <c r="A433" s="54" t="s">
        <v>697</v>
      </c>
      <c r="B433" s="54" t="s">
        <v>698</v>
      </c>
      <c r="C433" s="31">
        <v>4301011875</v>
      </c>
      <c r="D433" s="619">
        <v>4680115884885</v>
      </c>
      <c r="E433" s="62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124</v>
      </c>
      <c r="L433" s="32"/>
      <c r="M433" s="33" t="s">
        <v>66</v>
      </c>
      <c r="N433" s="33"/>
      <c r="O433" s="32">
        <v>60</v>
      </c>
      <c r="P433" s="9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hidden="1" customHeight="1" x14ac:dyDescent="0.25">
      <c r="A434" s="54" t="s">
        <v>700</v>
      </c>
      <c r="B434" s="54" t="s">
        <v>701</v>
      </c>
      <c r="C434" s="31">
        <v>4301011871</v>
      </c>
      <c r="D434" s="619">
        <v>4680115884908</v>
      </c>
      <c r="E434" s="62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133</v>
      </c>
      <c r="L434" s="32"/>
      <c r="M434" s="33" t="s">
        <v>66</v>
      </c>
      <c r="N434" s="33"/>
      <c r="O434" s="32">
        <v>60</v>
      </c>
      <c r="P434" s="8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idden="1" x14ac:dyDescent="0.2">
      <c r="A435" s="616"/>
      <c r="B435" s="610"/>
      <c r="C435" s="610"/>
      <c r="D435" s="610"/>
      <c r="E435" s="610"/>
      <c r="F435" s="610"/>
      <c r="G435" s="610"/>
      <c r="H435" s="610"/>
      <c r="I435" s="610"/>
      <c r="J435" s="610"/>
      <c r="K435" s="610"/>
      <c r="L435" s="610"/>
      <c r="M435" s="610"/>
      <c r="N435" s="610"/>
      <c r="O435" s="617"/>
      <c r="P435" s="621" t="s">
        <v>72</v>
      </c>
      <c r="Q435" s="622"/>
      <c r="R435" s="622"/>
      <c r="S435" s="622"/>
      <c r="T435" s="622"/>
      <c r="U435" s="622"/>
      <c r="V435" s="623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hidden="1" x14ac:dyDescent="0.2">
      <c r="A436" s="610"/>
      <c r="B436" s="610"/>
      <c r="C436" s="610"/>
      <c r="D436" s="610"/>
      <c r="E436" s="610"/>
      <c r="F436" s="610"/>
      <c r="G436" s="610"/>
      <c r="H436" s="610"/>
      <c r="I436" s="610"/>
      <c r="J436" s="610"/>
      <c r="K436" s="610"/>
      <c r="L436" s="610"/>
      <c r="M436" s="610"/>
      <c r="N436" s="610"/>
      <c r="O436" s="617"/>
      <c r="P436" s="621" t="s">
        <v>72</v>
      </c>
      <c r="Q436" s="622"/>
      <c r="R436" s="622"/>
      <c r="S436" s="622"/>
      <c r="T436" s="622"/>
      <c r="U436" s="622"/>
      <c r="V436" s="623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hidden="1" customHeight="1" x14ac:dyDescent="0.25">
      <c r="A437" s="609" t="s">
        <v>62</v>
      </c>
      <c r="B437" s="610"/>
      <c r="C437" s="610"/>
      <c r="D437" s="610"/>
      <c r="E437" s="610"/>
      <c r="F437" s="610"/>
      <c r="G437" s="610"/>
      <c r="H437" s="610"/>
      <c r="I437" s="610"/>
      <c r="J437" s="610"/>
      <c r="K437" s="610"/>
      <c r="L437" s="610"/>
      <c r="M437" s="610"/>
      <c r="N437" s="610"/>
      <c r="O437" s="610"/>
      <c r="P437" s="610"/>
      <c r="Q437" s="610"/>
      <c r="R437" s="610"/>
      <c r="S437" s="610"/>
      <c r="T437" s="610"/>
      <c r="U437" s="610"/>
      <c r="V437" s="610"/>
      <c r="W437" s="610"/>
      <c r="X437" s="610"/>
      <c r="Y437" s="610"/>
      <c r="Z437" s="610"/>
      <c r="AA437" s="601"/>
      <c r="AB437" s="601"/>
      <c r="AC437" s="601"/>
    </row>
    <row r="438" spans="1:68" ht="27" hidden="1" customHeight="1" x14ac:dyDescent="0.25">
      <c r="A438" s="54" t="s">
        <v>702</v>
      </c>
      <c r="B438" s="54" t="s">
        <v>703</v>
      </c>
      <c r="C438" s="31">
        <v>4301031457</v>
      </c>
      <c r="D438" s="619">
        <v>4607091384802</v>
      </c>
      <c r="E438" s="62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133</v>
      </c>
      <c r="L438" s="32"/>
      <c r="M438" s="33" t="s">
        <v>66</v>
      </c>
      <c r="N438" s="33"/>
      <c r="O438" s="32">
        <v>50</v>
      </c>
      <c r="P438" s="78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616"/>
      <c r="B439" s="610"/>
      <c r="C439" s="610"/>
      <c r="D439" s="610"/>
      <c r="E439" s="610"/>
      <c r="F439" s="610"/>
      <c r="G439" s="610"/>
      <c r="H439" s="610"/>
      <c r="I439" s="610"/>
      <c r="J439" s="610"/>
      <c r="K439" s="610"/>
      <c r="L439" s="610"/>
      <c r="M439" s="610"/>
      <c r="N439" s="610"/>
      <c r="O439" s="617"/>
      <c r="P439" s="621" t="s">
        <v>72</v>
      </c>
      <c r="Q439" s="622"/>
      <c r="R439" s="622"/>
      <c r="S439" s="622"/>
      <c r="T439" s="622"/>
      <c r="U439" s="622"/>
      <c r="V439" s="623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hidden="1" x14ac:dyDescent="0.2">
      <c r="A440" s="610"/>
      <c r="B440" s="610"/>
      <c r="C440" s="610"/>
      <c r="D440" s="610"/>
      <c r="E440" s="610"/>
      <c r="F440" s="610"/>
      <c r="G440" s="610"/>
      <c r="H440" s="610"/>
      <c r="I440" s="610"/>
      <c r="J440" s="610"/>
      <c r="K440" s="610"/>
      <c r="L440" s="610"/>
      <c r="M440" s="610"/>
      <c r="N440" s="610"/>
      <c r="O440" s="617"/>
      <c r="P440" s="621" t="s">
        <v>72</v>
      </c>
      <c r="Q440" s="622"/>
      <c r="R440" s="622"/>
      <c r="S440" s="622"/>
      <c r="T440" s="622"/>
      <c r="U440" s="622"/>
      <c r="V440" s="623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hidden="1" customHeight="1" x14ac:dyDescent="0.25">
      <c r="A441" s="609" t="s">
        <v>74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601"/>
      <c r="AB441" s="601"/>
      <c r="AC441" s="601"/>
    </row>
    <row r="442" spans="1:68" ht="27" hidden="1" customHeight="1" x14ac:dyDescent="0.25">
      <c r="A442" s="54" t="s">
        <v>705</v>
      </c>
      <c r="B442" s="54" t="s">
        <v>706</v>
      </c>
      <c r="C442" s="31">
        <v>4301051899</v>
      </c>
      <c r="D442" s="619">
        <v>4607091384246</v>
      </c>
      <c r="E442" s="62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124</v>
      </c>
      <c r="L442" s="32"/>
      <c r="M442" s="33" t="s">
        <v>78</v>
      </c>
      <c r="N442" s="33"/>
      <c r="O442" s="32">
        <v>40</v>
      </c>
      <c r="P442" s="7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0</v>
      </c>
      <c r="Y442" s="606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708</v>
      </c>
      <c r="B443" s="54" t="s">
        <v>709</v>
      </c>
      <c r="C443" s="31">
        <v>4301051660</v>
      </c>
      <c r="D443" s="619">
        <v>4607091384253</v>
      </c>
      <c r="E443" s="62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708</v>
      </c>
      <c r="B444" s="54" t="s">
        <v>710</v>
      </c>
      <c r="C444" s="31">
        <v>4301052069</v>
      </c>
      <c r="D444" s="619">
        <v>4607091384253</v>
      </c>
      <c r="E444" s="62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16"/>
      <c r="B445" s="610"/>
      <c r="C445" s="610"/>
      <c r="D445" s="610"/>
      <c r="E445" s="610"/>
      <c r="F445" s="610"/>
      <c r="G445" s="610"/>
      <c r="H445" s="610"/>
      <c r="I445" s="610"/>
      <c r="J445" s="610"/>
      <c r="K445" s="610"/>
      <c r="L445" s="610"/>
      <c r="M445" s="610"/>
      <c r="N445" s="610"/>
      <c r="O445" s="617"/>
      <c r="P445" s="621" t="s">
        <v>72</v>
      </c>
      <c r="Q445" s="622"/>
      <c r="R445" s="622"/>
      <c r="S445" s="622"/>
      <c r="T445" s="622"/>
      <c r="U445" s="622"/>
      <c r="V445" s="623"/>
      <c r="W445" s="37" t="s">
        <v>73</v>
      </c>
      <c r="X445" s="607">
        <f>IFERROR(X442/H442,"0")+IFERROR(X443/H443,"0")+IFERROR(X444/H444,"0")</f>
        <v>0</v>
      </c>
      <c r="Y445" s="607">
        <f>IFERROR(Y442/H442,"0")+IFERROR(Y443/H443,"0")+IFERROR(Y444/H444,"0")</f>
        <v>0</v>
      </c>
      <c r="Z445" s="607">
        <f>IFERROR(IF(Z442="",0,Z442),"0")+IFERROR(IF(Z443="",0,Z443),"0")+IFERROR(IF(Z444="",0,Z444),"0")</f>
        <v>0</v>
      </c>
      <c r="AA445" s="608"/>
      <c r="AB445" s="608"/>
      <c r="AC445" s="608"/>
    </row>
    <row r="446" spans="1:68" hidden="1" x14ac:dyDescent="0.2">
      <c r="A446" s="610"/>
      <c r="B446" s="610"/>
      <c r="C446" s="610"/>
      <c r="D446" s="610"/>
      <c r="E446" s="610"/>
      <c r="F446" s="610"/>
      <c r="G446" s="610"/>
      <c r="H446" s="610"/>
      <c r="I446" s="610"/>
      <c r="J446" s="610"/>
      <c r="K446" s="610"/>
      <c r="L446" s="610"/>
      <c r="M446" s="610"/>
      <c r="N446" s="610"/>
      <c r="O446" s="617"/>
      <c r="P446" s="621" t="s">
        <v>72</v>
      </c>
      <c r="Q446" s="622"/>
      <c r="R446" s="622"/>
      <c r="S446" s="622"/>
      <c r="T446" s="622"/>
      <c r="U446" s="622"/>
      <c r="V446" s="623"/>
      <c r="W446" s="37" t="s">
        <v>67</v>
      </c>
      <c r="X446" s="607">
        <f>IFERROR(SUM(X442:X444),"0")</f>
        <v>0</v>
      </c>
      <c r="Y446" s="607">
        <f>IFERROR(SUM(Y442:Y444),"0")</f>
        <v>0</v>
      </c>
      <c r="Z446" s="37"/>
      <c r="AA446" s="608"/>
      <c r="AB446" s="608"/>
      <c r="AC446" s="608"/>
    </row>
    <row r="447" spans="1:68" ht="27.75" hidden="1" customHeight="1" x14ac:dyDescent="0.2">
      <c r="A447" s="630" t="s">
        <v>712</v>
      </c>
      <c r="B447" s="631"/>
      <c r="C447" s="631"/>
      <c r="D447" s="631"/>
      <c r="E447" s="631"/>
      <c r="F447" s="631"/>
      <c r="G447" s="631"/>
      <c r="H447" s="631"/>
      <c r="I447" s="631"/>
      <c r="J447" s="631"/>
      <c r="K447" s="631"/>
      <c r="L447" s="631"/>
      <c r="M447" s="631"/>
      <c r="N447" s="631"/>
      <c r="O447" s="631"/>
      <c r="P447" s="631"/>
      <c r="Q447" s="631"/>
      <c r="R447" s="631"/>
      <c r="S447" s="631"/>
      <c r="T447" s="631"/>
      <c r="U447" s="631"/>
      <c r="V447" s="631"/>
      <c r="W447" s="631"/>
      <c r="X447" s="631"/>
      <c r="Y447" s="631"/>
      <c r="Z447" s="631"/>
      <c r="AA447" s="48"/>
      <c r="AB447" s="48"/>
      <c r="AC447" s="48"/>
    </row>
    <row r="448" spans="1:68" ht="16.5" hidden="1" customHeight="1" x14ac:dyDescent="0.25">
      <c r="A448" s="647" t="s">
        <v>713</v>
      </c>
      <c r="B448" s="610"/>
      <c r="C448" s="610"/>
      <c r="D448" s="610"/>
      <c r="E448" s="610"/>
      <c r="F448" s="610"/>
      <c r="G448" s="610"/>
      <c r="H448" s="610"/>
      <c r="I448" s="610"/>
      <c r="J448" s="610"/>
      <c r="K448" s="610"/>
      <c r="L448" s="610"/>
      <c r="M448" s="610"/>
      <c r="N448" s="610"/>
      <c r="O448" s="610"/>
      <c r="P448" s="610"/>
      <c r="Q448" s="610"/>
      <c r="R448" s="610"/>
      <c r="S448" s="610"/>
      <c r="T448" s="610"/>
      <c r="U448" s="610"/>
      <c r="V448" s="610"/>
      <c r="W448" s="610"/>
      <c r="X448" s="610"/>
      <c r="Y448" s="610"/>
      <c r="Z448" s="610"/>
      <c r="AA448" s="600"/>
      <c r="AB448" s="600"/>
      <c r="AC448" s="600"/>
    </row>
    <row r="449" spans="1:68" ht="14.25" hidden="1" customHeight="1" x14ac:dyDescent="0.25">
      <c r="A449" s="609" t="s">
        <v>62</v>
      </c>
      <c r="B449" s="610"/>
      <c r="C449" s="610"/>
      <c r="D449" s="610"/>
      <c r="E449" s="610"/>
      <c r="F449" s="610"/>
      <c r="G449" s="610"/>
      <c r="H449" s="610"/>
      <c r="I449" s="610"/>
      <c r="J449" s="610"/>
      <c r="K449" s="610"/>
      <c r="L449" s="610"/>
      <c r="M449" s="610"/>
      <c r="N449" s="610"/>
      <c r="O449" s="610"/>
      <c r="P449" s="610"/>
      <c r="Q449" s="610"/>
      <c r="R449" s="610"/>
      <c r="S449" s="610"/>
      <c r="T449" s="610"/>
      <c r="U449" s="610"/>
      <c r="V449" s="610"/>
      <c r="W449" s="610"/>
      <c r="X449" s="610"/>
      <c r="Y449" s="610"/>
      <c r="Z449" s="610"/>
      <c r="AA449" s="601"/>
      <c r="AB449" s="601"/>
      <c r="AC449" s="601"/>
    </row>
    <row r="450" spans="1:68" ht="27" hidden="1" customHeight="1" x14ac:dyDescent="0.25">
      <c r="A450" s="54" t="s">
        <v>714</v>
      </c>
      <c r="B450" s="54" t="s">
        <v>715</v>
      </c>
      <c r="C450" s="31">
        <v>4301031405</v>
      </c>
      <c r="D450" s="619">
        <v>4680115886100</v>
      </c>
      <c r="E450" s="62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133</v>
      </c>
      <c r="L450" s="32"/>
      <c r="M450" s="33" t="s">
        <v>66</v>
      </c>
      <c r="N450" s="33"/>
      <c r="O450" s="32">
        <v>50</v>
      </c>
      <c r="P450" s="8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0</v>
      </c>
      <c r="Y450" s="606">
        <f t="shared" ref="Y450:Y455" si="63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64">IFERROR(X450*I450/H450,"0")</f>
        <v>0</v>
      </c>
      <c r="BN450" s="64">
        <f t="shared" ref="BN450:BN455" si="65">IFERROR(Y450*I450/H450,"0")</f>
        <v>0</v>
      </c>
      <c r="BO450" s="64">
        <f t="shared" ref="BO450:BO455" si="66">IFERROR(1/J450*(X450/H450),"0")</f>
        <v>0</v>
      </c>
      <c r="BP450" s="64">
        <f t="shared" ref="BP450:BP455" si="67">IFERROR(1/J450*(Y450/H450),"0")</f>
        <v>0</v>
      </c>
    </row>
    <row r="451" spans="1:68" ht="27" hidden="1" customHeight="1" x14ac:dyDescent="0.25">
      <c r="A451" s="54" t="s">
        <v>717</v>
      </c>
      <c r="B451" s="54" t="s">
        <v>718</v>
      </c>
      <c r="C451" s="31">
        <v>4301031402</v>
      </c>
      <c r="D451" s="619">
        <v>4680115886124</v>
      </c>
      <c r="E451" s="62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133</v>
      </c>
      <c r="L451" s="32"/>
      <c r="M451" s="33" t="s">
        <v>66</v>
      </c>
      <c r="N451" s="33"/>
      <c r="O451" s="32">
        <v>50</v>
      </c>
      <c r="P451" s="7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63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64"/>
        <v>0</v>
      </c>
      <c r="BN451" s="64">
        <f t="shared" si="65"/>
        <v>0</v>
      </c>
      <c r="BO451" s="64">
        <f t="shared" si="66"/>
        <v>0</v>
      </c>
      <c r="BP451" s="64">
        <f t="shared" si="67"/>
        <v>0</v>
      </c>
    </row>
    <row r="452" spans="1:68" ht="27" hidden="1" customHeight="1" x14ac:dyDescent="0.25">
      <c r="A452" s="54" t="s">
        <v>720</v>
      </c>
      <c r="B452" s="54" t="s">
        <v>721</v>
      </c>
      <c r="C452" s="31">
        <v>4301031362</v>
      </c>
      <c r="D452" s="619">
        <v>4607091384338</v>
      </c>
      <c r="E452" s="62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63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64"/>
        <v>0</v>
      </c>
      <c r="BN452" s="64">
        <f t="shared" si="65"/>
        <v>0</v>
      </c>
      <c r="BO452" s="64">
        <f t="shared" si="66"/>
        <v>0</v>
      </c>
      <c r="BP452" s="64">
        <f t="shared" si="67"/>
        <v>0</v>
      </c>
    </row>
    <row r="453" spans="1:68" ht="27" hidden="1" customHeight="1" x14ac:dyDescent="0.25">
      <c r="A453" s="54" t="s">
        <v>722</v>
      </c>
      <c r="B453" s="54" t="s">
        <v>723</v>
      </c>
      <c r="C453" s="31">
        <v>4301031364</v>
      </c>
      <c r="D453" s="619">
        <v>4680115883161</v>
      </c>
      <c r="E453" s="62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63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64"/>
        <v>0</v>
      </c>
      <c r="BN453" s="64">
        <f t="shared" si="65"/>
        <v>0</v>
      </c>
      <c r="BO453" s="64">
        <f t="shared" si="66"/>
        <v>0</v>
      </c>
      <c r="BP453" s="64">
        <f t="shared" si="67"/>
        <v>0</v>
      </c>
    </row>
    <row r="454" spans="1:68" ht="27" hidden="1" customHeight="1" x14ac:dyDescent="0.25">
      <c r="A454" s="54" t="s">
        <v>725</v>
      </c>
      <c r="B454" s="54" t="s">
        <v>726</v>
      </c>
      <c r="C454" s="31">
        <v>4301031358</v>
      </c>
      <c r="D454" s="619">
        <v>4607091389531</v>
      </c>
      <c r="E454" s="62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63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64"/>
        <v>0</v>
      </c>
      <c r="BN454" s="64">
        <f t="shared" si="65"/>
        <v>0</v>
      </c>
      <c r="BO454" s="64">
        <f t="shared" si="66"/>
        <v>0</v>
      </c>
      <c r="BP454" s="64">
        <f t="shared" si="67"/>
        <v>0</v>
      </c>
    </row>
    <row r="455" spans="1:68" ht="37.5" hidden="1" customHeight="1" x14ac:dyDescent="0.25">
      <c r="A455" s="54" t="s">
        <v>728</v>
      </c>
      <c r="B455" s="54" t="s">
        <v>729</v>
      </c>
      <c r="C455" s="31">
        <v>4301031360</v>
      </c>
      <c r="D455" s="619">
        <v>4607091384345</v>
      </c>
      <c r="E455" s="62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63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64"/>
        <v>0</v>
      </c>
      <c r="BN455" s="64">
        <f t="shared" si="65"/>
        <v>0</v>
      </c>
      <c r="BO455" s="64">
        <f t="shared" si="66"/>
        <v>0</v>
      </c>
      <c r="BP455" s="64">
        <f t="shared" si="67"/>
        <v>0</v>
      </c>
    </row>
    <row r="456" spans="1:68" hidden="1" x14ac:dyDescent="0.2">
      <c r="A456" s="616"/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7"/>
      <c r="P456" s="621" t="s">
        <v>72</v>
      </c>
      <c r="Q456" s="622"/>
      <c r="R456" s="622"/>
      <c r="S456" s="622"/>
      <c r="T456" s="622"/>
      <c r="U456" s="622"/>
      <c r="V456" s="623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hidden="1" x14ac:dyDescent="0.2">
      <c r="A457" s="610"/>
      <c r="B457" s="610"/>
      <c r="C457" s="610"/>
      <c r="D457" s="610"/>
      <c r="E457" s="610"/>
      <c r="F457" s="610"/>
      <c r="G457" s="610"/>
      <c r="H457" s="610"/>
      <c r="I457" s="610"/>
      <c r="J457" s="610"/>
      <c r="K457" s="610"/>
      <c r="L457" s="610"/>
      <c r="M457" s="610"/>
      <c r="N457" s="610"/>
      <c r="O457" s="617"/>
      <c r="P457" s="621" t="s">
        <v>72</v>
      </c>
      <c r="Q457" s="622"/>
      <c r="R457" s="622"/>
      <c r="S457" s="622"/>
      <c r="T457" s="622"/>
      <c r="U457" s="622"/>
      <c r="V457" s="623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hidden="1" customHeight="1" x14ac:dyDescent="0.25">
      <c r="A458" s="609" t="s">
        <v>74</v>
      </c>
      <c r="B458" s="610"/>
      <c r="C458" s="610"/>
      <c r="D458" s="610"/>
      <c r="E458" s="610"/>
      <c r="F458" s="610"/>
      <c r="G458" s="610"/>
      <c r="H458" s="610"/>
      <c r="I458" s="610"/>
      <c r="J458" s="610"/>
      <c r="K458" s="610"/>
      <c r="L458" s="610"/>
      <c r="M458" s="610"/>
      <c r="N458" s="610"/>
      <c r="O458" s="610"/>
      <c r="P458" s="610"/>
      <c r="Q458" s="610"/>
      <c r="R458" s="610"/>
      <c r="S458" s="610"/>
      <c r="T458" s="610"/>
      <c r="U458" s="610"/>
      <c r="V458" s="610"/>
      <c r="W458" s="610"/>
      <c r="X458" s="610"/>
      <c r="Y458" s="610"/>
      <c r="Z458" s="610"/>
      <c r="AA458" s="601"/>
      <c r="AB458" s="601"/>
      <c r="AC458" s="601"/>
    </row>
    <row r="459" spans="1:68" ht="27" hidden="1" customHeight="1" x14ac:dyDescent="0.25">
      <c r="A459" s="54" t="s">
        <v>730</v>
      </c>
      <c r="B459" s="54" t="s">
        <v>731</v>
      </c>
      <c r="C459" s="31">
        <v>4301051284</v>
      </c>
      <c r="D459" s="619">
        <v>4607091384352</v>
      </c>
      <c r="E459" s="62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133</v>
      </c>
      <c r="L459" s="32"/>
      <c r="M459" s="33" t="s">
        <v>78</v>
      </c>
      <c r="N459" s="33"/>
      <c r="O459" s="32">
        <v>45</v>
      </c>
      <c r="P459" s="8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733</v>
      </c>
      <c r="B460" s="54" t="s">
        <v>734</v>
      </c>
      <c r="C460" s="31">
        <v>4301051431</v>
      </c>
      <c r="D460" s="619">
        <v>4607091389654</v>
      </c>
      <c r="E460" s="62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16"/>
      <c r="B461" s="610"/>
      <c r="C461" s="610"/>
      <c r="D461" s="610"/>
      <c r="E461" s="610"/>
      <c r="F461" s="610"/>
      <c r="G461" s="610"/>
      <c r="H461" s="610"/>
      <c r="I461" s="610"/>
      <c r="J461" s="610"/>
      <c r="K461" s="610"/>
      <c r="L461" s="610"/>
      <c r="M461" s="610"/>
      <c r="N461" s="610"/>
      <c r="O461" s="617"/>
      <c r="P461" s="621" t="s">
        <v>72</v>
      </c>
      <c r="Q461" s="622"/>
      <c r="R461" s="622"/>
      <c r="S461" s="622"/>
      <c r="T461" s="622"/>
      <c r="U461" s="622"/>
      <c r="V461" s="623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hidden="1" x14ac:dyDescent="0.2">
      <c r="A462" s="610"/>
      <c r="B462" s="610"/>
      <c r="C462" s="610"/>
      <c r="D462" s="610"/>
      <c r="E462" s="610"/>
      <c r="F462" s="610"/>
      <c r="G462" s="610"/>
      <c r="H462" s="610"/>
      <c r="I462" s="610"/>
      <c r="J462" s="610"/>
      <c r="K462" s="610"/>
      <c r="L462" s="610"/>
      <c r="M462" s="610"/>
      <c r="N462" s="610"/>
      <c r="O462" s="617"/>
      <c r="P462" s="621" t="s">
        <v>72</v>
      </c>
      <c r="Q462" s="622"/>
      <c r="R462" s="622"/>
      <c r="S462" s="622"/>
      <c r="T462" s="622"/>
      <c r="U462" s="622"/>
      <c r="V462" s="623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hidden="1" customHeight="1" x14ac:dyDescent="0.25">
      <c r="A463" s="647" t="s">
        <v>736</v>
      </c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600"/>
      <c r="AB463" s="600"/>
      <c r="AC463" s="600"/>
    </row>
    <row r="464" spans="1:68" ht="14.25" hidden="1" customHeight="1" x14ac:dyDescent="0.25">
      <c r="A464" s="609" t="s">
        <v>156</v>
      </c>
      <c r="B464" s="610"/>
      <c r="C464" s="610"/>
      <c r="D464" s="610"/>
      <c r="E464" s="610"/>
      <c r="F464" s="610"/>
      <c r="G464" s="610"/>
      <c r="H464" s="610"/>
      <c r="I464" s="610"/>
      <c r="J464" s="610"/>
      <c r="K464" s="610"/>
      <c r="L464" s="610"/>
      <c r="M464" s="610"/>
      <c r="N464" s="610"/>
      <c r="O464" s="610"/>
      <c r="P464" s="610"/>
      <c r="Q464" s="610"/>
      <c r="R464" s="610"/>
      <c r="S464" s="610"/>
      <c r="T464" s="610"/>
      <c r="U464" s="610"/>
      <c r="V464" s="610"/>
      <c r="W464" s="610"/>
      <c r="X464" s="610"/>
      <c r="Y464" s="610"/>
      <c r="Z464" s="610"/>
      <c r="AA464" s="601"/>
      <c r="AB464" s="601"/>
      <c r="AC464" s="601"/>
    </row>
    <row r="465" spans="1:68" ht="27" hidden="1" customHeight="1" x14ac:dyDescent="0.25">
      <c r="A465" s="54" t="s">
        <v>737</v>
      </c>
      <c r="B465" s="54" t="s">
        <v>738</v>
      </c>
      <c r="C465" s="31">
        <v>4301020416</v>
      </c>
      <c r="D465" s="619">
        <v>4680115885240</v>
      </c>
      <c r="E465" s="62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16"/>
      <c r="B466" s="610"/>
      <c r="C466" s="610"/>
      <c r="D466" s="610"/>
      <c r="E466" s="610"/>
      <c r="F466" s="610"/>
      <c r="G466" s="610"/>
      <c r="H466" s="610"/>
      <c r="I466" s="610"/>
      <c r="J466" s="610"/>
      <c r="K466" s="610"/>
      <c r="L466" s="610"/>
      <c r="M466" s="610"/>
      <c r="N466" s="610"/>
      <c r="O466" s="617"/>
      <c r="P466" s="621" t="s">
        <v>72</v>
      </c>
      <c r="Q466" s="622"/>
      <c r="R466" s="622"/>
      <c r="S466" s="622"/>
      <c r="T466" s="622"/>
      <c r="U466" s="622"/>
      <c r="V466" s="623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hidden="1" x14ac:dyDescent="0.2">
      <c r="A467" s="610"/>
      <c r="B467" s="610"/>
      <c r="C467" s="610"/>
      <c r="D467" s="610"/>
      <c r="E467" s="610"/>
      <c r="F467" s="610"/>
      <c r="G467" s="610"/>
      <c r="H467" s="610"/>
      <c r="I467" s="610"/>
      <c r="J467" s="610"/>
      <c r="K467" s="610"/>
      <c r="L467" s="610"/>
      <c r="M467" s="610"/>
      <c r="N467" s="610"/>
      <c r="O467" s="617"/>
      <c r="P467" s="621" t="s">
        <v>72</v>
      </c>
      <c r="Q467" s="622"/>
      <c r="R467" s="622"/>
      <c r="S467" s="622"/>
      <c r="T467" s="622"/>
      <c r="U467" s="622"/>
      <c r="V467" s="623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hidden="1" customHeight="1" x14ac:dyDescent="0.25">
      <c r="A468" s="609" t="s">
        <v>62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601"/>
      <c r="AB468" s="601"/>
      <c r="AC468" s="601"/>
    </row>
    <row r="469" spans="1:68" ht="27" hidden="1" customHeight="1" x14ac:dyDescent="0.25">
      <c r="A469" s="54" t="s">
        <v>740</v>
      </c>
      <c r="B469" s="54" t="s">
        <v>741</v>
      </c>
      <c r="C469" s="31">
        <v>4301031407</v>
      </c>
      <c r="D469" s="619">
        <v>4680115886094</v>
      </c>
      <c r="E469" s="62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133</v>
      </c>
      <c r="L469" s="32"/>
      <c r="M469" s="33" t="s">
        <v>66</v>
      </c>
      <c r="N469" s="33"/>
      <c r="O469" s="32">
        <v>50</v>
      </c>
      <c r="P469" s="71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743</v>
      </c>
      <c r="B470" s="54" t="s">
        <v>744</v>
      </c>
      <c r="C470" s="31">
        <v>4301031373</v>
      </c>
      <c r="D470" s="619">
        <v>4680115880771</v>
      </c>
      <c r="E470" s="62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746</v>
      </c>
      <c r="B471" s="54" t="s">
        <v>747</v>
      </c>
      <c r="C471" s="31">
        <v>4301031359</v>
      </c>
      <c r="D471" s="619">
        <v>4607091389500</v>
      </c>
      <c r="E471" s="62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16"/>
      <c r="B472" s="610"/>
      <c r="C472" s="610"/>
      <c r="D472" s="610"/>
      <c r="E472" s="610"/>
      <c r="F472" s="610"/>
      <c r="G472" s="610"/>
      <c r="H472" s="610"/>
      <c r="I472" s="610"/>
      <c r="J472" s="610"/>
      <c r="K472" s="610"/>
      <c r="L472" s="610"/>
      <c r="M472" s="610"/>
      <c r="N472" s="610"/>
      <c r="O472" s="617"/>
      <c r="P472" s="621" t="s">
        <v>72</v>
      </c>
      <c r="Q472" s="622"/>
      <c r="R472" s="622"/>
      <c r="S472" s="622"/>
      <c r="T472" s="622"/>
      <c r="U472" s="622"/>
      <c r="V472" s="623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hidden="1" x14ac:dyDescent="0.2">
      <c r="A473" s="610"/>
      <c r="B473" s="610"/>
      <c r="C473" s="610"/>
      <c r="D473" s="610"/>
      <c r="E473" s="610"/>
      <c r="F473" s="610"/>
      <c r="G473" s="610"/>
      <c r="H473" s="610"/>
      <c r="I473" s="610"/>
      <c r="J473" s="610"/>
      <c r="K473" s="610"/>
      <c r="L473" s="610"/>
      <c r="M473" s="610"/>
      <c r="N473" s="610"/>
      <c r="O473" s="617"/>
      <c r="P473" s="621" t="s">
        <v>72</v>
      </c>
      <c r="Q473" s="622"/>
      <c r="R473" s="622"/>
      <c r="S473" s="622"/>
      <c r="T473" s="622"/>
      <c r="U473" s="622"/>
      <c r="V473" s="623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hidden="1" customHeight="1" x14ac:dyDescent="0.2">
      <c r="A474" s="630" t="s">
        <v>748</v>
      </c>
      <c r="B474" s="631"/>
      <c r="C474" s="631"/>
      <c r="D474" s="631"/>
      <c r="E474" s="631"/>
      <c r="F474" s="631"/>
      <c r="G474" s="631"/>
      <c r="H474" s="631"/>
      <c r="I474" s="631"/>
      <c r="J474" s="631"/>
      <c r="K474" s="631"/>
      <c r="L474" s="631"/>
      <c r="M474" s="631"/>
      <c r="N474" s="631"/>
      <c r="O474" s="631"/>
      <c r="P474" s="631"/>
      <c r="Q474" s="631"/>
      <c r="R474" s="631"/>
      <c r="S474" s="631"/>
      <c r="T474" s="631"/>
      <c r="U474" s="631"/>
      <c r="V474" s="631"/>
      <c r="W474" s="631"/>
      <c r="X474" s="631"/>
      <c r="Y474" s="631"/>
      <c r="Z474" s="631"/>
      <c r="AA474" s="48"/>
      <c r="AB474" s="48"/>
      <c r="AC474" s="48"/>
    </row>
    <row r="475" spans="1:68" ht="16.5" hidden="1" customHeight="1" x14ac:dyDescent="0.25">
      <c r="A475" s="647" t="s">
        <v>748</v>
      </c>
      <c r="B475" s="610"/>
      <c r="C475" s="610"/>
      <c r="D475" s="610"/>
      <c r="E475" s="610"/>
      <c r="F475" s="610"/>
      <c r="G475" s="610"/>
      <c r="H475" s="610"/>
      <c r="I475" s="610"/>
      <c r="J475" s="610"/>
      <c r="K475" s="610"/>
      <c r="L475" s="610"/>
      <c r="M475" s="610"/>
      <c r="N475" s="610"/>
      <c r="O475" s="610"/>
      <c r="P475" s="610"/>
      <c r="Q475" s="610"/>
      <c r="R475" s="610"/>
      <c r="S475" s="610"/>
      <c r="T475" s="610"/>
      <c r="U475" s="610"/>
      <c r="V475" s="610"/>
      <c r="W475" s="610"/>
      <c r="X475" s="610"/>
      <c r="Y475" s="610"/>
      <c r="Z475" s="610"/>
      <c r="AA475" s="600"/>
      <c r="AB475" s="600"/>
      <c r="AC475" s="600"/>
    </row>
    <row r="476" spans="1:68" ht="14.25" hidden="1" customHeight="1" x14ac:dyDescent="0.25">
      <c r="A476" s="609" t="s">
        <v>121</v>
      </c>
      <c r="B476" s="610"/>
      <c r="C476" s="610"/>
      <c r="D476" s="610"/>
      <c r="E476" s="610"/>
      <c r="F476" s="610"/>
      <c r="G476" s="610"/>
      <c r="H476" s="610"/>
      <c r="I476" s="610"/>
      <c r="J476" s="610"/>
      <c r="K476" s="610"/>
      <c r="L476" s="610"/>
      <c r="M476" s="610"/>
      <c r="N476" s="610"/>
      <c r="O476" s="610"/>
      <c r="P476" s="610"/>
      <c r="Q476" s="610"/>
      <c r="R476" s="610"/>
      <c r="S476" s="610"/>
      <c r="T476" s="610"/>
      <c r="U476" s="610"/>
      <c r="V476" s="610"/>
      <c r="W476" s="610"/>
      <c r="X476" s="610"/>
      <c r="Y476" s="610"/>
      <c r="Z476" s="610"/>
      <c r="AA476" s="601"/>
      <c r="AB476" s="601"/>
      <c r="AC476" s="601"/>
    </row>
    <row r="477" spans="1:68" ht="27" hidden="1" customHeight="1" x14ac:dyDescent="0.25">
      <c r="A477" s="54" t="s">
        <v>749</v>
      </c>
      <c r="B477" s="54" t="s">
        <v>750</v>
      </c>
      <c r="C477" s="31">
        <v>4301011769</v>
      </c>
      <c r="D477" s="619">
        <v>4607091389067</v>
      </c>
      <c r="E477" s="62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124</v>
      </c>
      <c r="L477" s="32"/>
      <c r="M477" s="33" t="s">
        <v>78</v>
      </c>
      <c r="N477" s="33"/>
      <c r="O477" s="32">
        <v>60</v>
      </c>
      <c r="P477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0</v>
      </c>
      <c r="Y477" s="606">
        <f t="shared" ref="Y477:Y485" si="68">IFERROR(IF(X477="",0,CEILING((X477/$H477),1)*$H477),"")</f>
        <v>0</v>
      </c>
      <c r="Z477" s="36" t="str">
        <f t="shared" ref="Z477:Z482" si="69">IFERROR(IF(Y477=0,"",ROUNDUP(Y477/H477,0)*0.01196),"")</f>
        <v/>
      </c>
      <c r="AA477" s="56"/>
      <c r="AB477" s="57"/>
      <c r="AC477" s="543" t="s">
        <v>126</v>
      </c>
      <c r="AG477" s="64"/>
      <c r="AJ477" s="68"/>
      <c r="AK477" s="68">
        <v>0</v>
      </c>
      <c r="BB477" s="544" t="s">
        <v>1</v>
      </c>
      <c r="BM477" s="64">
        <f t="shared" ref="BM477:BM485" si="70">IFERROR(X477*I477/H477,"0")</f>
        <v>0</v>
      </c>
      <c r="BN477" s="64">
        <f t="shared" ref="BN477:BN485" si="71">IFERROR(Y477*I477/H477,"0")</f>
        <v>0</v>
      </c>
      <c r="BO477" s="64">
        <f t="shared" ref="BO477:BO485" si="72">IFERROR(1/J477*(X477/H477),"0")</f>
        <v>0</v>
      </c>
      <c r="BP477" s="64">
        <f t="shared" ref="BP477:BP485" si="73">IFERROR(1/J477*(Y477/H477),"0")</f>
        <v>0</v>
      </c>
    </row>
    <row r="478" spans="1:68" ht="27" hidden="1" customHeight="1" x14ac:dyDescent="0.25">
      <c r="A478" s="54" t="s">
        <v>751</v>
      </c>
      <c r="B478" s="54" t="s">
        <v>752</v>
      </c>
      <c r="C478" s="31">
        <v>4301012210</v>
      </c>
      <c r="D478" s="619">
        <v>4607091383522</v>
      </c>
      <c r="E478" s="62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124</v>
      </c>
      <c r="L478" s="32"/>
      <c r="M478" s="33" t="s">
        <v>125</v>
      </c>
      <c r="N478" s="33"/>
      <c r="O478" s="32">
        <v>60</v>
      </c>
      <c r="P478" s="88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8"/>
        <v>0</v>
      </c>
      <c r="Z478" s="36" t="str">
        <f t="shared" si="69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70"/>
        <v>0</v>
      </c>
      <c r="BN478" s="64">
        <f t="shared" si="71"/>
        <v>0</v>
      </c>
      <c r="BO478" s="64">
        <f t="shared" si="72"/>
        <v>0</v>
      </c>
      <c r="BP478" s="64">
        <f t="shared" si="73"/>
        <v>0</v>
      </c>
    </row>
    <row r="479" spans="1:68" ht="27" hidden="1" customHeight="1" x14ac:dyDescent="0.25">
      <c r="A479" s="54" t="s">
        <v>754</v>
      </c>
      <c r="B479" s="54" t="s">
        <v>755</v>
      </c>
      <c r="C479" s="31">
        <v>4301011961</v>
      </c>
      <c r="D479" s="619">
        <v>4680115885271</v>
      </c>
      <c r="E479" s="62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124</v>
      </c>
      <c r="L479" s="32"/>
      <c r="M479" s="33" t="s">
        <v>125</v>
      </c>
      <c r="N479" s="33"/>
      <c r="O479" s="32">
        <v>60</v>
      </c>
      <c r="P479" s="8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0</v>
      </c>
      <c r="Y479" s="606">
        <f t="shared" si="68"/>
        <v>0</v>
      </c>
      <c r="Z479" s="36" t="str">
        <f t="shared" si="69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70"/>
        <v>0</v>
      </c>
      <c r="BN479" s="64">
        <f t="shared" si="71"/>
        <v>0</v>
      </c>
      <c r="BO479" s="64">
        <f t="shared" si="72"/>
        <v>0</v>
      </c>
      <c r="BP479" s="64">
        <f t="shared" si="73"/>
        <v>0</v>
      </c>
    </row>
    <row r="480" spans="1:68" ht="27" hidden="1" customHeight="1" x14ac:dyDescent="0.25">
      <c r="A480" s="54" t="s">
        <v>757</v>
      </c>
      <c r="B480" s="54" t="s">
        <v>758</v>
      </c>
      <c r="C480" s="31">
        <v>4301011369</v>
      </c>
      <c r="D480" s="619">
        <v>4680115885226</v>
      </c>
      <c r="E480" s="62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124</v>
      </c>
      <c r="L480" s="32"/>
      <c r="M480" s="33" t="s">
        <v>125</v>
      </c>
      <c r="N480" s="33"/>
      <c r="O480" s="32">
        <v>60</v>
      </c>
      <c r="P480" s="71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0</v>
      </c>
      <c r="Y480" s="606">
        <f t="shared" si="68"/>
        <v>0</v>
      </c>
      <c r="Z480" s="36" t="str">
        <f t="shared" si="69"/>
        <v/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70"/>
        <v>0</v>
      </c>
      <c r="BN480" s="64">
        <f t="shared" si="71"/>
        <v>0</v>
      </c>
      <c r="BO480" s="64">
        <f t="shared" si="72"/>
        <v>0</v>
      </c>
      <c r="BP480" s="64">
        <f t="shared" si="73"/>
        <v>0</v>
      </c>
    </row>
    <row r="481" spans="1:68" ht="16.5" hidden="1" customHeight="1" x14ac:dyDescent="0.25">
      <c r="A481" s="54" t="s">
        <v>760</v>
      </c>
      <c r="B481" s="54" t="s">
        <v>761</v>
      </c>
      <c r="C481" s="31">
        <v>4301011797</v>
      </c>
      <c r="D481" s="619">
        <v>4680115884502</v>
      </c>
      <c r="E481" s="62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124</v>
      </c>
      <c r="L481" s="32"/>
      <c r="M481" s="33" t="s">
        <v>78</v>
      </c>
      <c r="N481" s="33"/>
      <c r="O481" s="32">
        <v>60</v>
      </c>
      <c r="P481" s="8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8"/>
        <v>0</v>
      </c>
      <c r="Z481" s="36" t="str">
        <f t="shared" si="69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19">
        <v>4607091389104</v>
      </c>
      <c r="E482" s="62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124</v>
      </c>
      <c r="L482" s="32"/>
      <c r="M482" s="33" t="s">
        <v>125</v>
      </c>
      <c r="N482" s="33"/>
      <c r="O482" s="32">
        <v>60</v>
      </c>
      <c r="P482" s="70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500</v>
      </c>
      <c r="Y482" s="606">
        <f t="shared" si="68"/>
        <v>501.6</v>
      </c>
      <c r="Z482" s="36">
        <f t="shared" si="69"/>
        <v>1.1362000000000001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70"/>
        <v>533.14393939393938</v>
      </c>
      <c r="BN482" s="64">
        <f t="shared" si="71"/>
        <v>534.85</v>
      </c>
      <c r="BO482" s="64">
        <f t="shared" si="72"/>
        <v>0.91054778554778548</v>
      </c>
      <c r="BP482" s="64">
        <f t="shared" si="73"/>
        <v>0.91346153846153855</v>
      </c>
    </row>
    <row r="483" spans="1:68" ht="27" hidden="1" customHeight="1" x14ac:dyDescent="0.25">
      <c r="A483" s="54" t="s">
        <v>766</v>
      </c>
      <c r="B483" s="54" t="s">
        <v>767</v>
      </c>
      <c r="C483" s="31">
        <v>4301012125</v>
      </c>
      <c r="D483" s="619">
        <v>4680115886391</v>
      </c>
      <c r="E483" s="62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8"/>
        <v>0</v>
      </c>
      <c r="Z483" s="36" t="str">
        <f>IFERROR(IF(Y483=0,"",ROUNDUP(Y483/H483,0)*0.00651),"")</f>
        <v/>
      </c>
      <c r="AA483" s="56"/>
      <c r="AB483" s="57"/>
      <c r="AC483" s="555" t="s">
        <v>126</v>
      </c>
      <c r="AG483" s="64"/>
      <c r="AJ483" s="68"/>
      <c r="AK483" s="68">
        <v>0</v>
      </c>
      <c r="BB483" s="556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27" hidden="1" customHeight="1" x14ac:dyDescent="0.25">
      <c r="A484" s="54" t="s">
        <v>768</v>
      </c>
      <c r="B484" s="54" t="s">
        <v>769</v>
      </c>
      <c r="C484" s="31">
        <v>4301012048</v>
      </c>
      <c r="D484" s="619">
        <v>4680115880603</v>
      </c>
      <c r="E484" s="62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133</v>
      </c>
      <c r="L484" s="32"/>
      <c r="M484" s="33" t="s">
        <v>78</v>
      </c>
      <c r="N484" s="33"/>
      <c r="O484" s="32">
        <v>60</v>
      </c>
      <c r="P484" s="8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0</v>
      </c>
      <c r="Y484" s="606">
        <f t="shared" si="68"/>
        <v>0</v>
      </c>
      <c r="Z484" s="36" t="str">
        <f>IFERROR(IF(Y484=0,"",ROUNDUP(Y484/H484,0)*0.00902),"")</f>
        <v/>
      </c>
      <c r="AA484" s="56"/>
      <c r="AB484" s="57"/>
      <c r="AC484" s="557" t="s">
        <v>126</v>
      </c>
      <c r="AG484" s="64"/>
      <c r="AJ484" s="68"/>
      <c r="AK484" s="68">
        <v>0</v>
      </c>
      <c r="BB484" s="558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770</v>
      </c>
      <c r="B485" s="54" t="s">
        <v>771</v>
      </c>
      <c r="C485" s="31">
        <v>4301012034</v>
      </c>
      <c r="D485" s="619">
        <v>4607091389982</v>
      </c>
      <c r="E485" s="62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133</v>
      </c>
      <c r="L485" s="32"/>
      <c r="M485" s="33" t="s">
        <v>125</v>
      </c>
      <c r="N485" s="33"/>
      <c r="O485" s="32">
        <v>60</v>
      </c>
      <c r="P485" s="82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0</v>
      </c>
      <c r="Y485" s="606">
        <f t="shared" si="68"/>
        <v>0</v>
      </c>
      <c r="Z485" s="36" t="str">
        <f>IFERROR(IF(Y485=0,"",ROUNDUP(Y485/H485,0)*0.00902),"")</f>
        <v/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x14ac:dyDescent="0.2">
      <c r="A486" s="616"/>
      <c r="B486" s="610"/>
      <c r="C486" s="610"/>
      <c r="D486" s="610"/>
      <c r="E486" s="610"/>
      <c r="F486" s="610"/>
      <c r="G486" s="610"/>
      <c r="H486" s="610"/>
      <c r="I486" s="610"/>
      <c r="J486" s="610"/>
      <c r="K486" s="610"/>
      <c r="L486" s="610"/>
      <c r="M486" s="610"/>
      <c r="N486" s="610"/>
      <c r="O486" s="617"/>
      <c r="P486" s="621" t="s">
        <v>72</v>
      </c>
      <c r="Q486" s="622"/>
      <c r="R486" s="622"/>
      <c r="S486" s="622"/>
      <c r="T486" s="622"/>
      <c r="U486" s="622"/>
      <c r="V486" s="623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94.696969696969688</v>
      </c>
      <c r="Y486" s="607">
        <f>IFERROR(Y477/H477,"0")+IFERROR(Y478/H478,"0")+IFERROR(Y479/H479,"0")+IFERROR(Y480/H480,"0")+IFERROR(Y481/H481,"0")+IFERROR(Y482/H482,"0")+IFERROR(Y483/H483,"0")+IFERROR(Y484/H484,"0")+IFERROR(Y485/H485,"0")</f>
        <v>95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1.1362000000000001</v>
      </c>
      <c r="AA486" s="608"/>
      <c r="AB486" s="608"/>
      <c r="AC486" s="608"/>
    </row>
    <row r="487" spans="1:68" x14ac:dyDescent="0.2">
      <c r="A487" s="610"/>
      <c r="B487" s="610"/>
      <c r="C487" s="610"/>
      <c r="D487" s="610"/>
      <c r="E487" s="610"/>
      <c r="F487" s="610"/>
      <c r="G487" s="610"/>
      <c r="H487" s="610"/>
      <c r="I487" s="610"/>
      <c r="J487" s="610"/>
      <c r="K487" s="610"/>
      <c r="L487" s="610"/>
      <c r="M487" s="610"/>
      <c r="N487" s="610"/>
      <c r="O487" s="617"/>
      <c r="P487" s="621" t="s">
        <v>72</v>
      </c>
      <c r="Q487" s="622"/>
      <c r="R487" s="622"/>
      <c r="S487" s="622"/>
      <c r="T487" s="622"/>
      <c r="U487" s="622"/>
      <c r="V487" s="623"/>
      <c r="W487" s="37" t="s">
        <v>67</v>
      </c>
      <c r="X487" s="607">
        <f>IFERROR(SUM(X477:X485),"0")</f>
        <v>500</v>
      </c>
      <c r="Y487" s="607">
        <f>IFERROR(SUM(Y477:Y485),"0")</f>
        <v>501.6</v>
      </c>
      <c r="Z487" s="37"/>
      <c r="AA487" s="608"/>
      <c r="AB487" s="608"/>
      <c r="AC487" s="608"/>
    </row>
    <row r="488" spans="1:68" ht="14.25" hidden="1" customHeight="1" x14ac:dyDescent="0.25">
      <c r="A488" s="609" t="s">
        <v>156</v>
      </c>
      <c r="B488" s="610"/>
      <c r="C488" s="610"/>
      <c r="D488" s="610"/>
      <c r="E488" s="610"/>
      <c r="F488" s="610"/>
      <c r="G488" s="610"/>
      <c r="H488" s="610"/>
      <c r="I488" s="610"/>
      <c r="J488" s="610"/>
      <c r="K488" s="610"/>
      <c r="L488" s="610"/>
      <c r="M488" s="610"/>
      <c r="N488" s="610"/>
      <c r="O488" s="610"/>
      <c r="P488" s="610"/>
      <c r="Q488" s="610"/>
      <c r="R488" s="610"/>
      <c r="S488" s="610"/>
      <c r="T488" s="610"/>
      <c r="U488" s="610"/>
      <c r="V488" s="610"/>
      <c r="W488" s="610"/>
      <c r="X488" s="610"/>
      <c r="Y488" s="610"/>
      <c r="Z488" s="610"/>
      <c r="AA488" s="601"/>
      <c r="AB488" s="601"/>
      <c r="AC488" s="601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19">
        <v>4607091388930</v>
      </c>
      <c r="E489" s="62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124</v>
      </c>
      <c r="L489" s="32"/>
      <c r="M489" s="33" t="s">
        <v>78</v>
      </c>
      <c r="N489" s="33"/>
      <c r="O489" s="32">
        <v>70</v>
      </c>
      <c r="P489" s="7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250</v>
      </c>
      <c r="Y489" s="606">
        <f>IFERROR(IF(X489="",0,CEILING((X489/$H489),1)*$H489),"")</f>
        <v>253.44</v>
      </c>
      <c r="Z489" s="36">
        <f>IFERROR(IF(Y489=0,"",ROUNDUP(Y489/H489,0)*0.01196),"")</f>
        <v>0.57408000000000003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266.57196969696969</v>
      </c>
      <c r="BN489" s="64">
        <f>IFERROR(Y489*I489/H489,"0")</f>
        <v>270.23999999999995</v>
      </c>
      <c r="BO489" s="64">
        <f>IFERROR(1/J489*(X489/H489),"0")</f>
        <v>0.45527389277389274</v>
      </c>
      <c r="BP489" s="64">
        <f>IFERROR(1/J489*(Y489/H489),"0")</f>
        <v>0.46153846153846156</v>
      </c>
    </row>
    <row r="490" spans="1:68" ht="16.5" hidden="1" customHeight="1" x14ac:dyDescent="0.25">
      <c r="A490" s="54" t="s">
        <v>775</v>
      </c>
      <c r="B490" s="54" t="s">
        <v>776</v>
      </c>
      <c r="C490" s="31">
        <v>4301020374</v>
      </c>
      <c r="D490" s="619">
        <v>4680115886407</v>
      </c>
      <c r="E490" s="62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125</v>
      </c>
      <c r="N490" s="33"/>
      <c r="O490" s="32">
        <v>70</v>
      </c>
      <c r="P490" s="8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hidden="1" customHeight="1" x14ac:dyDescent="0.25">
      <c r="A491" s="54" t="s">
        <v>777</v>
      </c>
      <c r="B491" s="54" t="s">
        <v>778</v>
      </c>
      <c r="C491" s="31">
        <v>4301020385</v>
      </c>
      <c r="D491" s="619">
        <v>4680115880054</v>
      </c>
      <c r="E491" s="62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133</v>
      </c>
      <c r="L491" s="32"/>
      <c r="M491" s="33" t="s">
        <v>125</v>
      </c>
      <c r="N491" s="33"/>
      <c r="O491" s="32">
        <v>70</v>
      </c>
      <c r="P491" s="75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0</v>
      </c>
      <c r="Y491" s="60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16"/>
      <c r="B492" s="610"/>
      <c r="C492" s="610"/>
      <c r="D492" s="610"/>
      <c r="E492" s="610"/>
      <c r="F492" s="610"/>
      <c r="G492" s="610"/>
      <c r="H492" s="610"/>
      <c r="I492" s="610"/>
      <c r="J492" s="610"/>
      <c r="K492" s="610"/>
      <c r="L492" s="610"/>
      <c r="M492" s="610"/>
      <c r="N492" s="610"/>
      <c r="O492" s="617"/>
      <c r="P492" s="621" t="s">
        <v>72</v>
      </c>
      <c r="Q492" s="622"/>
      <c r="R492" s="622"/>
      <c r="S492" s="622"/>
      <c r="T492" s="622"/>
      <c r="U492" s="622"/>
      <c r="V492" s="623"/>
      <c r="W492" s="37" t="s">
        <v>73</v>
      </c>
      <c r="X492" s="607">
        <f>IFERROR(X489/H489,"0")+IFERROR(X490/H490,"0")+IFERROR(X491/H491,"0")</f>
        <v>47.348484848484844</v>
      </c>
      <c r="Y492" s="607">
        <f>IFERROR(Y489/H489,"0")+IFERROR(Y490/H490,"0")+IFERROR(Y491/H491,"0")</f>
        <v>48</v>
      </c>
      <c r="Z492" s="607">
        <f>IFERROR(IF(Z489="",0,Z489),"0")+IFERROR(IF(Z490="",0,Z490),"0")+IFERROR(IF(Z491="",0,Z491),"0")</f>
        <v>0.57408000000000003</v>
      </c>
      <c r="AA492" s="608"/>
      <c r="AB492" s="608"/>
      <c r="AC492" s="608"/>
    </row>
    <row r="493" spans="1:68" x14ac:dyDescent="0.2">
      <c r="A493" s="610"/>
      <c r="B493" s="610"/>
      <c r="C493" s="610"/>
      <c r="D493" s="610"/>
      <c r="E493" s="610"/>
      <c r="F493" s="610"/>
      <c r="G493" s="610"/>
      <c r="H493" s="610"/>
      <c r="I493" s="610"/>
      <c r="J493" s="610"/>
      <c r="K493" s="610"/>
      <c r="L493" s="610"/>
      <c r="M493" s="610"/>
      <c r="N493" s="610"/>
      <c r="O493" s="617"/>
      <c r="P493" s="621" t="s">
        <v>72</v>
      </c>
      <c r="Q493" s="622"/>
      <c r="R493" s="622"/>
      <c r="S493" s="622"/>
      <c r="T493" s="622"/>
      <c r="U493" s="622"/>
      <c r="V493" s="623"/>
      <c r="W493" s="37" t="s">
        <v>67</v>
      </c>
      <c r="X493" s="607">
        <f>IFERROR(SUM(X489:X491),"0")</f>
        <v>250</v>
      </c>
      <c r="Y493" s="607">
        <f>IFERROR(SUM(Y489:Y491),"0")</f>
        <v>253.44</v>
      </c>
      <c r="Z493" s="37"/>
      <c r="AA493" s="608"/>
      <c r="AB493" s="608"/>
      <c r="AC493" s="608"/>
    </row>
    <row r="494" spans="1:68" ht="14.25" hidden="1" customHeight="1" x14ac:dyDescent="0.25">
      <c r="A494" s="609" t="s">
        <v>62</v>
      </c>
      <c r="B494" s="610"/>
      <c r="C494" s="610"/>
      <c r="D494" s="610"/>
      <c r="E494" s="610"/>
      <c r="F494" s="610"/>
      <c r="G494" s="610"/>
      <c r="H494" s="610"/>
      <c r="I494" s="610"/>
      <c r="J494" s="610"/>
      <c r="K494" s="610"/>
      <c r="L494" s="610"/>
      <c r="M494" s="610"/>
      <c r="N494" s="610"/>
      <c r="O494" s="610"/>
      <c r="P494" s="610"/>
      <c r="Q494" s="610"/>
      <c r="R494" s="610"/>
      <c r="S494" s="610"/>
      <c r="T494" s="610"/>
      <c r="U494" s="610"/>
      <c r="V494" s="610"/>
      <c r="W494" s="610"/>
      <c r="X494" s="610"/>
      <c r="Y494" s="610"/>
      <c r="Z494" s="610"/>
      <c r="AA494" s="601"/>
      <c r="AB494" s="601"/>
      <c r="AC494" s="601"/>
    </row>
    <row r="495" spans="1:68" ht="27" hidden="1" customHeight="1" x14ac:dyDescent="0.25">
      <c r="A495" s="54" t="s">
        <v>779</v>
      </c>
      <c r="B495" s="54" t="s">
        <v>780</v>
      </c>
      <c r="C495" s="31">
        <v>4301031349</v>
      </c>
      <c r="D495" s="619">
        <v>4680115883116</v>
      </c>
      <c r="E495" s="62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124</v>
      </c>
      <c r="L495" s="32"/>
      <c r="M495" s="33" t="s">
        <v>125</v>
      </c>
      <c r="N495" s="33"/>
      <c r="O495" s="32">
        <v>70</v>
      </c>
      <c r="P495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0</v>
      </c>
      <c r="Y495" s="606">
        <f t="shared" ref="Y495:Y501" si="74">IFERROR(IF(X495="",0,CEILING((X495/$H495),1)*$H495),"")</f>
        <v>0</v>
      </c>
      <c r="Z495" s="36" t="str">
        <f>IFERROR(IF(Y495=0,"",ROUNDUP(Y495/H495,0)*0.01196),"")</f>
        <v/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75">IFERROR(X495*I495/H495,"0")</f>
        <v>0</v>
      </c>
      <c r="BN495" s="64">
        <f t="shared" ref="BN495:BN501" si="76">IFERROR(Y495*I495/H495,"0")</f>
        <v>0</v>
      </c>
      <c r="BO495" s="64">
        <f t="shared" ref="BO495:BO501" si="77">IFERROR(1/J495*(X495/H495),"0")</f>
        <v>0</v>
      </c>
      <c r="BP495" s="64">
        <f t="shared" ref="BP495:BP501" si="78">IFERROR(1/J495*(Y495/H495),"0")</f>
        <v>0</v>
      </c>
    </row>
    <row r="496" spans="1:68" ht="27" hidden="1" customHeight="1" x14ac:dyDescent="0.25">
      <c r="A496" s="54" t="s">
        <v>782</v>
      </c>
      <c r="B496" s="54" t="s">
        <v>783</v>
      </c>
      <c r="C496" s="31">
        <v>4301031350</v>
      </c>
      <c r="D496" s="619">
        <v>4680115883093</v>
      </c>
      <c r="E496" s="62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124</v>
      </c>
      <c r="L496" s="32"/>
      <c r="M496" s="33" t="s">
        <v>66</v>
      </c>
      <c r="N496" s="33"/>
      <c r="O496" s="32">
        <v>70</v>
      </c>
      <c r="P496" s="7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0</v>
      </c>
      <c r="Y496" s="606">
        <f t="shared" si="74"/>
        <v>0</v>
      </c>
      <c r="Z496" s="36" t="str">
        <f>IFERROR(IF(Y496=0,"",ROUNDUP(Y496/H496,0)*0.01196),"")</f>
        <v/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75"/>
        <v>0</v>
      </c>
      <c r="BN496" s="64">
        <f t="shared" si="76"/>
        <v>0</v>
      </c>
      <c r="BO496" s="64">
        <f t="shared" si="77"/>
        <v>0</v>
      </c>
      <c r="BP496" s="64">
        <f t="shared" si="78"/>
        <v>0</v>
      </c>
    </row>
    <row r="497" spans="1:68" ht="27" hidden="1" customHeight="1" x14ac:dyDescent="0.25">
      <c r="A497" s="54" t="s">
        <v>785</v>
      </c>
      <c r="B497" s="54" t="s">
        <v>786</v>
      </c>
      <c r="C497" s="31">
        <v>4301031353</v>
      </c>
      <c r="D497" s="619">
        <v>4680115883109</v>
      </c>
      <c r="E497" s="62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124</v>
      </c>
      <c r="L497" s="32"/>
      <c r="M497" s="33" t="s">
        <v>66</v>
      </c>
      <c r="N497" s="33"/>
      <c r="O497" s="32">
        <v>70</v>
      </c>
      <c r="P497" s="93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0</v>
      </c>
      <c r="Y497" s="606">
        <f t="shared" si="74"/>
        <v>0</v>
      </c>
      <c r="Z497" s="36" t="str">
        <f>IFERROR(IF(Y497=0,"",ROUNDUP(Y497/H497,0)*0.01196),"")</f>
        <v/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75"/>
        <v>0</v>
      </c>
      <c r="BN497" s="64">
        <f t="shared" si="76"/>
        <v>0</v>
      </c>
      <c r="BO497" s="64">
        <f t="shared" si="77"/>
        <v>0</v>
      </c>
      <c r="BP497" s="64">
        <f t="shared" si="78"/>
        <v>0</v>
      </c>
    </row>
    <row r="498" spans="1:68" ht="27" hidden="1" customHeight="1" x14ac:dyDescent="0.25">
      <c r="A498" s="54" t="s">
        <v>788</v>
      </c>
      <c r="B498" s="54" t="s">
        <v>789</v>
      </c>
      <c r="C498" s="31">
        <v>4301031419</v>
      </c>
      <c r="D498" s="619">
        <v>4680115882072</v>
      </c>
      <c r="E498" s="62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133</v>
      </c>
      <c r="L498" s="32"/>
      <c r="M498" s="33" t="s">
        <v>125</v>
      </c>
      <c r="N498" s="33"/>
      <c r="O498" s="32">
        <v>70</v>
      </c>
      <c r="P498" s="71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74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75"/>
        <v>0</v>
      </c>
      <c r="BN498" s="64">
        <f t="shared" si="76"/>
        <v>0</v>
      </c>
      <c r="BO498" s="64">
        <f t="shared" si="77"/>
        <v>0</v>
      </c>
      <c r="BP498" s="64">
        <f t="shared" si="78"/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4301031352</v>
      </c>
      <c r="D499" s="619">
        <v>4680115882102</v>
      </c>
      <c r="E499" s="62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133</v>
      </c>
      <c r="L499" s="32"/>
      <c r="M499" s="33" t="s">
        <v>66</v>
      </c>
      <c r="N499" s="33"/>
      <c r="O499" s="32">
        <v>70</v>
      </c>
      <c r="P499" s="94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74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75"/>
        <v>0</v>
      </c>
      <c r="BN499" s="64">
        <f t="shared" si="76"/>
        <v>0</v>
      </c>
      <c r="BO499" s="64">
        <f t="shared" si="77"/>
        <v>0</v>
      </c>
      <c r="BP499" s="64">
        <f t="shared" si="78"/>
        <v>0</v>
      </c>
    </row>
    <row r="500" spans="1:68" ht="27" hidden="1" customHeight="1" x14ac:dyDescent="0.25">
      <c r="A500" s="54" t="s">
        <v>790</v>
      </c>
      <c r="B500" s="54" t="s">
        <v>792</v>
      </c>
      <c r="C500" s="31">
        <v>4301031418</v>
      </c>
      <c r="D500" s="619">
        <v>4680115882102</v>
      </c>
      <c r="E500" s="62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133</v>
      </c>
      <c r="L500" s="32"/>
      <c r="M500" s="33" t="s">
        <v>66</v>
      </c>
      <c r="N500" s="33"/>
      <c r="O500" s="32">
        <v>70</v>
      </c>
      <c r="P500" s="8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74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75"/>
        <v>0</v>
      </c>
      <c r="BN500" s="64">
        <f t="shared" si="76"/>
        <v>0</v>
      </c>
      <c r="BO500" s="64">
        <f t="shared" si="77"/>
        <v>0</v>
      </c>
      <c r="BP500" s="64">
        <f t="shared" si="78"/>
        <v>0</v>
      </c>
    </row>
    <row r="501" spans="1:68" ht="27" hidden="1" customHeight="1" x14ac:dyDescent="0.25">
      <c r="A501" s="54" t="s">
        <v>793</v>
      </c>
      <c r="B501" s="54" t="s">
        <v>794</v>
      </c>
      <c r="C501" s="31">
        <v>4301031417</v>
      </c>
      <c r="D501" s="619">
        <v>4680115882096</v>
      </c>
      <c r="E501" s="62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133</v>
      </c>
      <c r="L501" s="32"/>
      <c r="M501" s="33" t="s">
        <v>66</v>
      </c>
      <c r="N501" s="33"/>
      <c r="O501" s="32">
        <v>70</v>
      </c>
      <c r="P501" s="7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0</v>
      </c>
      <c r="Y501" s="606">
        <f t="shared" si="74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75"/>
        <v>0</v>
      </c>
      <c r="BN501" s="64">
        <f t="shared" si="76"/>
        <v>0</v>
      </c>
      <c r="BO501" s="64">
        <f t="shared" si="77"/>
        <v>0</v>
      </c>
      <c r="BP501" s="64">
        <f t="shared" si="78"/>
        <v>0</v>
      </c>
    </row>
    <row r="502" spans="1:68" hidden="1" x14ac:dyDescent="0.2">
      <c r="A502" s="616"/>
      <c r="B502" s="610"/>
      <c r="C502" s="610"/>
      <c r="D502" s="610"/>
      <c r="E502" s="610"/>
      <c r="F502" s="610"/>
      <c r="G502" s="610"/>
      <c r="H502" s="610"/>
      <c r="I502" s="610"/>
      <c r="J502" s="610"/>
      <c r="K502" s="610"/>
      <c r="L502" s="610"/>
      <c r="M502" s="610"/>
      <c r="N502" s="610"/>
      <c r="O502" s="617"/>
      <c r="P502" s="621" t="s">
        <v>72</v>
      </c>
      <c r="Q502" s="622"/>
      <c r="R502" s="622"/>
      <c r="S502" s="622"/>
      <c r="T502" s="622"/>
      <c r="U502" s="622"/>
      <c r="V502" s="623"/>
      <c r="W502" s="37" t="s">
        <v>73</v>
      </c>
      <c r="X502" s="607">
        <f>IFERROR(X495/H495,"0")+IFERROR(X496/H496,"0")+IFERROR(X497/H497,"0")+IFERROR(X498/H498,"0")+IFERROR(X499/H499,"0")+IFERROR(X500/H500,"0")+IFERROR(X501/H501,"0")</f>
        <v>0</v>
      </c>
      <c r="Y502" s="607">
        <f>IFERROR(Y495/H495,"0")+IFERROR(Y496/H496,"0")+IFERROR(Y497/H497,"0")+IFERROR(Y498/H498,"0")+IFERROR(Y499/H499,"0")+IFERROR(Y500/H500,"0")+IFERROR(Y501/H501,"0")</f>
        <v>0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0</v>
      </c>
      <c r="AA502" s="608"/>
      <c r="AB502" s="608"/>
      <c r="AC502" s="608"/>
    </row>
    <row r="503" spans="1:68" hidden="1" x14ac:dyDescent="0.2">
      <c r="A503" s="610"/>
      <c r="B503" s="610"/>
      <c r="C503" s="610"/>
      <c r="D503" s="610"/>
      <c r="E503" s="610"/>
      <c r="F503" s="610"/>
      <c r="G503" s="610"/>
      <c r="H503" s="610"/>
      <c r="I503" s="610"/>
      <c r="J503" s="610"/>
      <c r="K503" s="610"/>
      <c r="L503" s="610"/>
      <c r="M503" s="610"/>
      <c r="N503" s="610"/>
      <c r="O503" s="617"/>
      <c r="P503" s="621" t="s">
        <v>72</v>
      </c>
      <c r="Q503" s="622"/>
      <c r="R503" s="622"/>
      <c r="S503" s="622"/>
      <c r="T503" s="622"/>
      <c r="U503" s="622"/>
      <c r="V503" s="623"/>
      <c r="W503" s="37" t="s">
        <v>67</v>
      </c>
      <c r="X503" s="607">
        <f>IFERROR(SUM(X495:X501),"0")</f>
        <v>0</v>
      </c>
      <c r="Y503" s="607">
        <f>IFERROR(SUM(Y495:Y501),"0")</f>
        <v>0</v>
      </c>
      <c r="Z503" s="37"/>
      <c r="AA503" s="608"/>
      <c r="AB503" s="608"/>
      <c r="AC503" s="608"/>
    </row>
    <row r="504" spans="1:68" ht="27.75" hidden="1" customHeight="1" x14ac:dyDescent="0.2">
      <c r="A504" s="630" t="s">
        <v>795</v>
      </c>
      <c r="B504" s="631"/>
      <c r="C504" s="631"/>
      <c r="D504" s="631"/>
      <c r="E504" s="631"/>
      <c r="F504" s="631"/>
      <c r="G504" s="631"/>
      <c r="H504" s="631"/>
      <c r="I504" s="631"/>
      <c r="J504" s="631"/>
      <c r="K504" s="631"/>
      <c r="L504" s="631"/>
      <c r="M504" s="631"/>
      <c r="N504" s="631"/>
      <c r="O504" s="631"/>
      <c r="P504" s="631"/>
      <c r="Q504" s="631"/>
      <c r="R504" s="631"/>
      <c r="S504" s="631"/>
      <c r="T504" s="631"/>
      <c r="U504" s="631"/>
      <c r="V504" s="631"/>
      <c r="W504" s="631"/>
      <c r="X504" s="631"/>
      <c r="Y504" s="631"/>
      <c r="Z504" s="631"/>
      <c r="AA504" s="48"/>
      <c r="AB504" s="48"/>
      <c r="AC504" s="48"/>
    </row>
    <row r="505" spans="1:68" ht="16.5" hidden="1" customHeight="1" x14ac:dyDescent="0.25">
      <c r="A505" s="647" t="s">
        <v>795</v>
      </c>
      <c r="B505" s="610"/>
      <c r="C505" s="610"/>
      <c r="D505" s="610"/>
      <c r="E505" s="610"/>
      <c r="F505" s="610"/>
      <c r="G505" s="610"/>
      <c r="H505" s="610"/>
      <c r="I505" s="610"/>
      <c r="J505" s="610"/>
      <c r="K505" s="610"/>
      <c r="L505" s="610"/>
      <c r="M505" s="610"/>
      <c r="N505" s="610"/>
      <c r="O505" s="610"/>
      <c r="P505" s="610"/>
      <c r="Q505" s="610"/>
      <c r="R505" s="610"/>
      <c r="S505" s="610"/>
      <c r="T505" s="610"/>
      <c r="U505" s="610"/>
      <c r="V505" s="610"/>
      <c r="W505" s="610"/>
      <c r="X505" s="610"/>
      <c r="Y505" s="610"/>
      <c r="Z505" s="610"/>
      <c r="AA505" s="600"/>
      <c r="AB505" s="600"/>
      <c r="AC505" s="600"/>
    </row>
    <row r="506" spans="1:68" ht="14.25" hidden="1" customHeight="1" x14ac:dyDescent="0.25">
      <c r="A506" s="609" t="s">
        <v>121</v>
      </c>
      <c r="B506" s="610"/>
      <c r="C506" s="610"/>
      <c r="D506" s="610"/>
      <c r="E506" s="610"/>
      <c r="F506" s="610"/>
      <c r="G506" s="610"/>
      <c r="H506" s="610"/>
      <c r="I506" s="610"/>
      <c r="J506" s="610"/>
      <c r="K506" s="610"/>
      <c r="L506" s="610"/>
      <c r="M506" s="610"/>
      <c r="N506" s="610"/>
      <c r="O506" s="610"/>
      <c r="P506" s="610"/>
      <c r="Q506" s="610"/>
      <c r="R506" s="610"/>
      <c r="S506" s="610"/>
      <c r="T506" s="610"/>
      <c r="U506" s="610"/>
      <c r="V506" s="610"/>
      <c r="W506" s="610"/>
      <c r="X506" s="610"/>
      <c r="Y506" s="610"/>
      <c r="Z506" s="610"/>
      <c r="AA506" s="601"/>
      <c r="AB506" s="601"/>
      <c r="AC506" s="601"/>
    </row>
    <row r="507" spans="1:68" ht="27" hidden="1" customHeight="1" x14ac:dyDescent="0.25">
      <c r="A507" s="54" t="s">
        <v>796</v>
      </c>
      <c r="B507" s="54" t="s">
        <v>797</v>
      </c>
      <c r="C507" s="31">
        <v>4301011584</v>
      </c>
      <c r="D507" s="619">
        <v>4640242180564</v>
      </c>
      <c r="E507" s="62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124</v>
      </c>
      <c r="L507" s="32"/>
      <c r="M507" s="33" t="s">
        <v>125</v>
      </c>
      <c r="N507" s="33"/>
      <c r="O507" s="32">
        <v>50</v>
      </c>
      <c r="P507" s="95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idden="1" x14ac:dyDescent="0.2">
      <c r="A508" s="616"/>
      <c r="B508" s="610"/>
      <c r="C508" s="610"/>
      <c r="D508" s="610"/>
      <c r="E508" s="610"/>
      <c r="F508" s="610"/>
      <c r="G508" s="610"/>
      <c r="H508" s="610"/>
      <c r="I508" s="610"/>
      <c r="J508" s="610"/>
      <c r="K508" s="610"/>
      <c r="L508" s="610"/>
      <c r="M508" s="610"/>
      <c r="N508" s="610"/>
      <c r="O508" s="617"/>
      <c r="P508" s="621" t="s">
        <v>72</v>
      </c>
      <c r="Q508" s="622"/>
      <c r="R508" s="622"/>
      <c r="S508" s="622"/>
      <c r="T508" s="622"/>
      <c r="U508" s="622"/>
      <c r="V508" s="623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hidden="1" x14ac:dyDescent="0.2">
      <c r="A509" s="610"/>
      <c r="B509" s="610"/>
      <c r="C509" s="610"/>
      <c r="D509" s="610"/>
      <c r="E509" s="610"/>
      <c r="F509" s="610"/>
      <c r="G509" s="610"/>
      <c r="H509" s="610"/>
      <c r="I509" s="610"/>
      <c r="J509" s="610"/>
      <c r="K509" s="610"/>
      <c r="L509" s="610"/>
      <c r="M509" s="610"/>
      <c r="N509" s="610"/>
      <c r="O509" s="617"/>
      <c r="P509" s="621" t="s">
        <v>72</v>
      </c>
      <c r="Q509" s="622"/>
      <c r="R509" s="622"/>
      <c r="S509" s="622"/>
      <c r="T509" s="622"/>
      <c r="U509" s="622"/>
      <c r="V509" s="623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hidden="1" customHeight="1" x14ac:dyDescent="0.25">
      <c r="A510" s="609" t="s">
        <v>156</v>
      </c>
      <c r="B510" s="610"/>
      <c r="C510" s="610"/>
      <c r="D510" s="610"/>
      <c r="E510" s="610"/>
      <c r="F510" s="610"/>
      <c r="G510" s="610"/>
      <c r="H510" s="610"/>
      <c r="I510" s="610"/>
      <c r="J510" s="610"/>
      <c r="K510" s="610"/>
      <c r="L510" s="610"/>
      <c r="M510" s="610"/>
      <c r="N510" s="610"/>
      <c r="O510" s="610"/>
      <c r="P510" s="610"/>
      <c r="Q510" s="610"/>
      <c r="R510" s="610"/>
      <c r="S510" s="610"/>
      <c r="T510" s="610"/>
      <c r="U510" s="610"/>
      <c r="V510" s="610"/>
      <c r="W510" s="610"/>
      <c r="X510" s="610"/>
      <c r="Y510" s="610"/>
      <c r="Z510" s="610"/>
      <c r="AA510" s="601"/>
      <c r="AB510" s="601"/>
      <c r="AC510" s="601"/>
    </row>
    <row r="511" spans="1:68" ht="27" hidden="1" customHeight="1" x14ac:dyDescent="0.25">
      <c r="A511" s="54" t="s">
        <v>799</v>
      </c>
      <c r="B511" s="54" t="s">
        <v>800</v>
      </c>
      <c r="C511" s="31">
        <v>4301020400</v>
      </c>
      <c r="D511" s="619">
        <v>4640242180519</v>
      </c>
      <c r="E511" s="62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124</v>
      </c>
      <c r="L511" s="32"/>
      <c r="M511" s="33" t="s">
        <v>125</v>
      </c>
      <c r="N511" s="33"/>
      <c r="O511" s="32">
        <v>50</v>
      </c>
      <c r="P511" s="8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idden="1" x14ac:dyDescent="0.2">
      <c r="A512" s="616"/>
      <c r="B512" s="610"/>
      <c r="C512" s="610"/>
      <c r="D512" s="610"/>
      <c r="E512" s="610"/>
      <c r="F512" s="610"/>
      <c r="G512" s="610"/>
      <c r="H512" s="610"/>
      <c r="I512" s="610"/>
      <c r="J512" s="610"/>
      <c r="K512" s="610"/>
      <c r="L512" s="610"/>
      <c r="M512" s="610"/>
      <c r="N512" s="610"/>
      <c r="O512" s="617"/>
      <c r="P512" s="621" t="s">
        <v>72</v>
      </c>
      <c r="Q512" s="622"/>
      <c r="R512" s="622"/>
      <c r="S512" s="622"/>
      <c r="T512" s="622"/>
      <c r="U512" s="622"/>
      <c r="V512" s="623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hidden="1" x14ac:dyDescent="0.2">
      <c r="A513" s="610"/>
      <c r="B513" s="610"/>
      <c r="C513" s="610"/>
      <c r="D513" s="610"/>
      <c r="E513" s="610"/>
      <c r="F513" s="610"/>
      <c r="G513" s="610"/>
      <c r="H513" s="610"/>
      <c r="I513" s="610"/>
      <c r="J513" s="610"/>
      <c r="K513" s="610"/>
      <c r="L513" s="610"/>
      <c r="M513" s="610"/>
      <c r="N513" s="610"/>
      <c r="O513" s="617"/>
      <c r="P513" s="621" t="s">
        <v>72</v>
      </c>
      <c r="Q513" s="622"/>
      <c r="R513" s="622"/>
      <c r="S513" s="622"/>
      <c r="T513" s="622"/>
      <c r="U513" s="622"/>
      <c r="V513" s="623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hidden="1" customHeight="1" x14ac:dyDescent="0.25">
      <c r="A514" s="609" t="s">
        <v>62</v>
      </c>
      <c r="B514" s="610"/>
      <c r="C514" s="610"/>
      <c r="D514" s="610"/>
      <c r="E514" s="610"/>
      <c r="F514" s="610"/>
      <c r="G514" s="610"/>
      <c r="H514" s="610"/>
      <c r="I514" s="610"/>
      <c r="J514" s="610"/>
      <c r="K514" s="610"/>
      <c r="L514" s="610"/>
      <c r="M514" s="610"/>
      <c r="N514" s="610"/>
      <c r="O514" s="610"/>
      <c r="P514" s="610"/>
      <c r="Q514" s="610"/>
      <c r="R514" s="610"/>
      <c r="S514" s="610"/>
      <c r="T514" s="610"/>
      <c r="U514" s="610"/>
      <c r="V514" s="610"/>
      <c r="W514" s="610"/>
      <c r="X514" s="610"/>
      <c r="Y514" s="610"/>
      <c r="Z514" s="610"/>
      <c r="AA514" s="601"/>
      <c r="AB514" s="601"/>
      <c r="AC514" s="601"/>
    </row>
    <row r="515" spans="1:68" ht="27" hidden="1" customHeight="1" x14ac:dyDescent="0.25">
      <c r="A515" s="54" t="s">
        <v>802</v>
      </c>
      <c r="B515" s="54" t="s">
        <v>803</v>
      </c>
      <c r="C515" s="31">
        <v>4301031467</v>
      </c>
      <c r="D515" s="619">
        <v>4640242180595</v>
      </c>
      <c r="E515" s="62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133</v>
      </c>
      <c r="L515" s="32"/>
      <c r="M515" s="33" t="s">
        <v>66</v>
      </c>
      <c r="N515" s="33"/>
      <c r="O515" s="32">
        <v>40</v>
      </c>
      <c r="P515" s="91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hidden="1" customHeight="1" x14ac:dyDescent="0.25">
      <c r="A516" s="54" t="s">
        <v>802</v>
      </c>
      <c r="B516" s="54" t="s">
        <v>805</v>
      </c>
      <c r="C516" s="31">
        <v>4301031500</v>
      </c>
      <c r="D516" s="619">
        <v>4640242180595</v>
      </c>
      <c r="E516" s="62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133</v>
      </c>
      <c r="L516" s="32"/>
      <c r="M516" s="33" t="s">
        <v>66</v>
      </c>
      <c r="N516" s="33"/>
      <c r="O516" s="32">
        <v>40</v>
      </c>
      <c r="P516" s="7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16"/>
      <c r="B517" s="610"/>
      <c r="C517" s="610"/>
      <c r="D517" s="610"/>
      <c r="E517" s="610"/>
      <c r="F517" s="610"/>
      <c r="G517" s="610"/>
      <c r="H517" s="610"/>
      <c r="I517" s="610"/>
      <c r="J517" s="610"/>
      <c r="K517" s="610"/>
      <c r="L517" s="610"/>
      <c r="M517" s="610"/>
      <c r="N517" s="610"/>
      <c r="O517" s="617"/>
      <c r="P517" s="621" t="s">
        <v>72</v>
      </c>
      <c r="Q517" s="622"/>
      <c r="R517" s="622"/>
      <c r="S517" s="622"/>
      <c r="T517" s="622"/>
      <c r="U517" s="622"/>
      <c r="V517" s="623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hidden="1" x14ac:dyDescent="0.2">
      <c r="A518" s="610"/>
      <c r="B518" s="610"/>
      <c r="C518" s="610"/>
      <c r="D518" s="610"/>
      <c r="E518" s="610"/>
      <c r="F518" s="610"/>
      <c r="G518" s="610"/>
      <c r="H518" s="610"/>
      <c r="I518" s="610"/>
      <c r="J518" s="610"/>
      <c r="K518" s="610"/>
      <c r="L518" s="610"/>
      <c r="M518" s="610"/>
      <c r="N518" s="610"/>
      <c r="O518" s="617"/>
      <c r="P518" s="621" t="s">
        <v>72</v>
      </c>
      <c r="Q518" s="622"/>
      <c r="R518" s="622"/>
      <c r="S518" s="622"/>
      <c r="T518" s="622"/>
      <c r="U518" s="622"/>
      <c r="V518" s="623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hidden="1" customHeight="1" x14ac:dyDescent="0.25">
      <c r="A519" s="609" t="s">
        <v>74</v>
      </c>
      <c r="B519" s="610"/>
      <c r="C519" s="610"/>
      <c r="D519" s="610"/>
      <c r="E519" s="610"/>
      <c r="F519" s="610"/>
      <c r="G519" s="610"/>
      <c r="H519" s="610"/>
      <c r="I519" s="610"/>
      <c r="J519" s="610"/>
      <c r="K519" s="610"/>
      <c r="L519" s="610"/>
      <c r="M519" s="610"/>
      <c r="N519" s="610"/>
      <c r="O519" s="610"/>
      <c r="P519" s="610"/>
      <c r="Q519" s="610"/>
      <c r="R519" s="610"/>
      <c r="S519" s="610"/>
      <c r="T519" s="610"/>
      <c r="U519" s="610"/>
      <c r="V519" s="610"/>
      <c r="W519" s="610"/>
      <c r="X519" s="610"/>
      <c r="Y519" s="610"/>
      <c r="Z519" s="610"/>
      <c r="AA519" s="601"/>
      <c r="AB519" s="601"/>
      <c r="AC519" s="601"/>
    </row>
    <row r="520" spans="1:68" ht="27" hidden="1" customHeight="1" x14ac:dyDescent="0.25">
      <c r="A520" s="54" t="s">
        <v>807</v>
      </c>
      <c r="B520" s="54" t="s">
        <v>808</v>
      </c>
      <c r="C520" s="31">
        <v>4301052043</v>
      </c>
      <c r="D520" s="619">
        <v>4640242180533</v>
      </c>
      <c r="E520" s="62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124</v>
      </c>
      <c r="L520" s="32"/>
      <c r="M520" s="33" t="s">
        <v>78</v>
      </c>
      <c r="N520" s="33"/>
      <c r="O520" s="32">
        <v>45</v>
      </c>
      <c r="P520" s="6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idden="1" x14ac:dyDescent="0.2">
      <c r="A521" s="616"/>
      <c r="B521" s="610"/>
      <c r="C521" s="610"/>
      <c r="D521" s="610"/>
      <c r="E521" s="610"/>
      <c r="F521" s="610"/>
      <c r="G521" s="610"/>
      <c r="H521" s="610"/>
      <c r="I521" s="610"/>
      <c r="J521" s="610"/>
      <c r="K521" s="610"/>
      <c r="L521" s="610"/>
      <c r="M521" s="610"/>
      <c r="N521" s="610"/>
      <c r="O521" s="617"/>
      <c r="P521" s="621" t="s">
        <v>72</v>
      </c>
      <c r="Q521" s="622"/>
      <c r="R521" s="622"/>
      <c r="S521" s="622"/>
      <c r="T521" s="622"/>
      <c r="U521" s="622"/>
      <c r="V521" s="623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hidden="1" x14ac:dyDescent="0.2">
      <c r="A522" s="610"/>
      <c r="B522" s="610"/>
      <c r="C522" s="610"/>
      <c r="D522" s="610"/>
      <c r="E522" s="610"/>
      <c r="F522" s="610"/>
      <c r="G522" s="610"/>
      <c r="H522" s="610"/>
      <c r="I522" s="610"/>
      <c r="J522" s="610"/>
      <c r="K522" s="610"/>
      <c r="L522" s="610"/>
      <c r="M522" s="610"/>
      <c r="N522" s="610"/>
      <c r="O522" s="617"/>
      <c r="P522" s="621" t="s">
        <v>72</v>
      </c>
      <c r="Q522" s="622"/>
      <c r="R522" s="622"/>
      <c r="S522" s="622"/>
      <c r="T522" s="622"/>
      <c r="U522" s="622"/>
      <c r="V522" s="623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hidden="1" customHeight="1" x14ac:dyDescent="0.25">
      <c r="A523" s="609" t="s">
        <v>173</v>
      </c>
      <c r="B523" s="610"/>
      <c r="C523" s="610"/>
      <c r="D523" s="610"/>
      <c r="E523" s="610"/>
      <c r="F523" s="610"/>
      <c r="G523" s="610"/>
      <c r="H523" s="610"/>
      <c r="I523" s="610"/>
      <c r="J523" s="610"/>
      <c r="K523" s="610"/>
      <c r="L523" s="610"/>
      <c r="M523" s="610"/>
      <c r="N523" s="610"/>
      <c r="O523" s="610"/>
      <c r="P523" s="610"/>
      <c r="Q523" s="610"/>
      <c r="R523" s="610"/>
      <c r="S523" s="610"/>
      <c r="T523" s="610"/>
      <c r="U523" s="610"/>
      <c r="V523" s="610"/>
      <c r="W523" s="610"/>
      <c r="X523" s="610"/>
      <c r="Y523" s="610"/>
      <c r="Z523" s="610"/>
      <c r="AA523" s="601"/>
      <c r="AB523" s="601"/>
      <c r="AC523" s="601"/>
    </row>
    <row r="524" spans="1:68" ht="27" hidden="1" customHeight="1" x14ac:dyDescent="0.25">
      <c r="A524" s="54" t="s">
        <v>810</v>
      </c>
      <c r="B524" s="54" t="s">
        <v>811</v>
      </c>
      <c r="C524" s="31">
        <v>4301060535</v>
      </c>
      <c r="D524" s="619">
        <v>4640242180120</v>
      </c>
      <c r="E524" s="62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124</v>
      </c>
      <c r="L524" s="32"/>
      <c r="M524" s="33" t="s">
        <v>78</v>
      </c>
      <c r="N524" s="33"/>
      <c r="O524" s="32">
        <v>40</v>
      </c>
      <c r="P524" s="72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hidden="1" customHeight="1" x14ac:dyDescent="0.25">
      <c r="A525" s="54" t="s">
        <v>813</v>
      </c>
      <c r="B525" s="54" t="s">
        <v>814</v>
      </c>
      <c r="C525" s="31">
        <v>4301060536</v>
      </c>
      <c r="D525" s="619">
        <v>4640242180137</v>
      </c>
      <c r="E525" s="62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124</v>
      </c>
      <c r="L525" s="32"/>
      <c r="M525" s="33" t="s">
        <v>78</v>
      </c>
      <c r="N525" s="33"/>
      <c r="O525" s="32">
        <v>40</v>
      </c>
      <c r="P525" s="8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16"/>
      <c r="B526" s="610"/>
      <c r="C526" s="610"/>
      <c r="D526" s="610"/>
      <c r="E526" s="610"/>
      <c r="F526" s="610"/>
      <c r="G526" s="610"/>
      <c r="H526" s="610"/>
      <c r="I526" s="610"/>
      <c r="J526" s="610"/>
      <c r="K526" s="610"/>
      <c r="L526" s="610"/>
      <c r="M526" s="610"/>
      <c r="N526" s="610"/>
      <c r="O526" s="617"/>
      <c r="P526" s="621" t="s">
        <v>72</v>
      </c>
      <c r="Q526" s="622"/>
      <c r="R526" s="622"/>
      <c r="S526" s="622"/>
      <c r="T526" s="622"/>
      <c r="U526" s="622"/>
      <c r="V526" s="623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hidden="1" x14ac:dyDescent="0.2">
      <c r="A527" s="610"/>
      <c r="B527" s="610"/>
      <c r="C527" s="610"/>
      <c r="D527" s="610"/>
      <c r="E527" s="610"/>
      <c r="F527" s="610"/>
      <c r="G527" s="610"/>
      <c r="H527" s="610"/>
      <c r="I527" s="610"/>
      <c r="J527" s="610"/>
      <c r="K527" s="610"/>
      <c r="L527" s="610"/>
      <c r="M527" s="610"/>
      <c r="N527" s="610"/>
      <c r="O527" s="617"/>
      <c r="P527" s="621" t="s">
        <v>72</v>
      </c>
      <c r="Q527" s="622"/>
      <c r="R527" s="622"/>
      <c r="S527" s="622"/>
      <c r="T527" s="622"/>
      <c r="U527" s="622"/>
      <c r="V527" s="623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hidden="1" customHeight="1" x14ac:dyDescent="0.25">
      <c r="A528" s="647" t="s">
        <v>816</v>
      </c>
      <c r="B528" s="610"/>
      <c r="C528" s="610"/>
      <c r="D528" s="610"/>
      <c r="E528" s="610"/>
      <c r="F528" s="610"/>
      <c r="G528" s="610"/>
      <c r="H528" s="610"/>
      <c r="I528" s="610"/>
      <c r="J528" s="610"/>
      <c r="K528" s="610"/>
      <c r="L528" s="610"/>
      <c r="M528" s="610"/>
      <c r="N528" s="610"/>
      <c r="O528" s="610"/>
      <c r="P528" s="610"/>
      <c r="Q528" s="610"/>
      <c r="R528" s="610"/>
      <c r="S528" s="610"/>
      <c r="T528" s="610"/>
      <c r="U528" s="610"/>
      <c r="V528" s="610"/>
      <c r="W528" s="610"/>
      <c r="X528" s="610"/>
      <c r="Y528" s="610"/>
      <c r="Z528" s="610"/>
      <c r="AA528" s="600"/>
      <c r="AB528" s="600"/>
      <c r="AC528" s="600"/>
    </row>
    <row r="529" spans="1:68" ht="14.25" hidden="1" customHeight="1" x14ac:dyDescent="0.25">
      <c r="A529" s="609" t="s">
        <v>156</v>
      </c>
      <c r="B529" s="610"/>
      <c r="C529" s="610"/>
      <c r="D529" s="610"/>
      <c r="E529" s="610"/>
      <c r="F529" s="610"/>
      <c r="G529" s="610"/>
      <c r="H529" s="610"/>
      <c r="I529" s="610"/>
      <c r="J529" s="610"/>
      <c r="K529" s="610"/>
      <c r="L529" s="610"/>
      <c r="M529" s="610"/>
      <c r="N529" s="610"/>
      <c r="O529" s="610"/>
      <c r="P529" s="610"/>
      <c r="Q529" s="610"/>
      <c r="R529" s="610"/>
      <c r="S529" s="610"/>
      <c r="T529" s="610"/>
      <c r="U529" s="610"/>
      <c r="V529" s="610"/>
      <c r="W529" s="610"/>
      <c r="X529" s="610"/>
      <c r="Y529" s="610"/>
      <c r="Z529" s="610"/>
      <c r="AA529" s="601"/>
      <c r="AB529" s="601"/>
      <c r="AC529" s="601"/>
    </row>
    <row r="530" spans="1:68" ht="27" hidden="1" customHeight="1" x14ac:dyDescent="0.25">
      <c r="A530" s="54" t="s">
        <v>817</v>
      </c>
      <c r="B530" s="54" t="s">
        <v>818</v>
      </c>
      <c r="C530" s="31">
        <v>4301020428</v>
      </c>
      <c r="D530" s="619">
        <v>4640242180090</v>
      </c>
      <c r="E530" s="62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124</v>
      </c>
      <c r="L530" s="32"/>
      <c r="M530" s="33" t="s">
        <v>125</v>
      </c>
      <c r="N530" s="33"/>
      <c r="O530" s="32">
        <v>50</v>
      </c>
      <c r="P530" s="8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hidden="1" x14ac:dyDescent="0.2">
      <c r="A531" s="616"/>
      <c r="B531" s="610"/>
      <c r="C531" s="610"/>
      <c r="D531" s="610"/>
      <c r="E531" s="610"/>
      <c r="F531" s="610"/>
      <c r="G531" s="610"/>
      <c r="H531" s="610"/>
      <c r="I531" s="610"/>
      <c r="J531" s="610"/>
      <c r="K531" s="610"/>
      <c r="L531" s="610"/>
      <c r="M531" s="610"/>
      <c r="N531" s="610"/>
      <c r="O531" s="617"/>
      <c r="P531" s="621" t="s">
        <v>72</v>
      </c>
      <c r="Q531" s="622"/>
      <c r="R531" s="622"/>
      <c r="S531" s="622"/>
      <c r="T531" s="622"/>
      <c r="U531" s="622"/>
      <c r="V531" s="623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hidden="1" x14ac:dyDescent="0.2">
      <c r="A532" s="610"/>
      <c r="B532" s="610"/>
      <c r="C532" s="610"/>
      <c r="D532" s="610"/>
      <c r="E532" s="610"/>
      <c r="F532" s="610"/>
      <c r="G532" s="610"/>
      <c r="H532" s="610"/>
      <c r="I532" s="610"/>
      <c r="J532" s="610"/>
      <c r="K532" s="610"/>
      <c r="L532" s="610"/>
      <c r="M532" s="610"/>
      <c r="N532" s="610"/>
      <c r="O532" s="617"/>
      <c r="P532" s="621" t="s">
        <v>72</v>
      </c>
      <c r="Q532" s="622"/>
      <c r="R532" s="622"/>
      <c r="S532" s="622"/>
      <c r="T532" s="622"/>
      <c r="U532" s="622"/>
      <c r="V532" s="623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8"/>
      <c r="B533" s="610"/>
      <c r="C533" s="610"/>
      <c r="D533" s="610"/>
      <c r="E533" s="610"/>
      <c r="F533" s="610"/>
      <c r="G533" s="610"/>
      <c r="H533" s="610"/>
      <c r="I533" s="610"/>
      <c r="J533" s="610"/>
      <c r="K533" s="610"/>
      <c r="L533" s="610"/>
      <c r="M533" s="610"/>
      <c r="N533" s="610"/>
      <c r="O533" s="774"/>
      <c r="P533" s="661" t="s">
        <v>820</v>
      </c>
      <c r="Q533" s="662"/>
      <c r="R533" s="662"/>
      <c r="S533" s="662"/>
      <c r="T533" s="662"/>
      <c r="U533" s="662"/>
      <c r="V533" s="663"/>
      <c r="W533" s="37" t="s">
        <v>67</v>
      </c>
      <c r="X533" s="607">
        <f>IFERROR(X25+X34+X38+X48+X57+X68+X75+X80+X85+X93+X100+X111+X121+X128+X132+X138+X143+X148+X156+X162+X166+X180+X186+X191+X195+X207+X212+X229+X236+X242+X246+X252+X257+X268+X283+X288+X299+X303+X307+X313+X322+X329+X338+X343+X350+X359+X369+X376+X382+X389+X395+X402+X415+X421+X426+X430+X436+X440+X446+X457+X462+X467+X473+X487+X493+X503+X509+X513+X518+X522+X527+X532,"0")</f>
        <v>5323</v>
      </c>
      <c r="Y533" s="607">
        <f>IFERROR(Y25+Y34+Y38+Y48+Y57+Y68+Y75+Y80+Y85+Y93+Y100+Y111+Y121+Y128+Y132+Y138+Y143+Y148+Y156+Y162+Y166+Y180+Y186+Y191+Y195+Y207+Y212+Y229+Y236+Y242+Y246+Y252+Y257+Y268+Y283+Y288+Y299+Y303+Y307+Y313+Y322+Y329+Y338+Y343+Y350+Y359+Y369+Y376+Y382+Y389+Y395+Y402+Y415+Y421+Y426+Y430+Y436+Y440+Y446+Y457+Y462+Y467+Y473+Y487+Y493+Y503+Y509+Y513+Y518+Y522+Y527+Y532,"0")</f>
        <v>5368.14</v>
      </c>
      <c r="Z533" s="37"/>
      <c r="AA533" s="608"/>
      <c r="AB533" s="608"/>
      <c r="AC533" s="608"/>
    </row>
    <row r="534" spans="1:68" x14ac:dyDescent="0.2">
      <c r="A534" s="610"/>
      <c r="B534" s="610"/>
      <c r="C534" s="610"/>
      <c r="D534" s="610"/>
      <c r="E534" s="610"/>
      <c r="F534" s="610"/>
      <c r="G534" s="610"/>
      <c r="H534" s="610"/>
      <c r="I534" s="610"/>
      <c r="J534" s="610"/>
      <c r="K534" s="610"/>
      <c r="L534" s="610"/>
      <c r="M534" s="610"/>
      <c r="N534" s="610"/>
      <c r="O534" s="774"/>
      <c r="P534" s="661" t="s">
        <v>821</v>
      </c>
      <c r="Q534" s="662"/>
      <c r="R534" s="662"/>
      <c r="S534" s="662"/>
      <c r="T534" s="662"/>
      <c r="U534" s="662"/>
      <c r="V534" s="663"/>
      <c r="W534" s="37" t="s">
        <v>67</v>
      </c>
      <c r="X534" s="607">
        <f>IFERROR(SUM(BM22:BM530),"0")</f>
        <v>5599.9959090909088</v>
      </c>
      <c r="Y534" s="607">
        <f>IFERROR(SUM(BN22:BN530),"0")</f>
        <v>5647.1060000000007</v>
      </c>
      <c r="Z534" s="37"/>
      <c r="AA534" s="608"/>
      <c r="AB534" s="608"/>
      <c r="AC534" s="608"/>
    </row>
    <row r="535" spans="1:68" x14ac:dyDescent="0.2">
      <c r="A535" s="610"/>
      <c r="B535" s="610"/>
      <c r="C535" s="610"/>
      <c r="D535" s="610"/>
      <c r="E535" s="610"/>
      <c r="F535" s="610"/>
      <c r="G535" s="610"/>
      <c r="H535" s="610"/>
      <c r="I535" s="610"/>
      <c r="J535" s="610"/>
      <c r="K535" s="610"/>
      <c r="L535" s="610"/>
      <c r="M535" s="610"/>
      <c r="N535" s="610"/>
      <c r="O535" s="774"/>
      <c r="P535" s="661" t="s">
        <v>822</v>
      </c>
      <c r="Q535" s="662"/>
      <c r="R535" s="662"/>
      <c r="S535" s="662"/>
      <c r="T535" s="662"/>
      <c r="U535" s="662"/>
      <c r="V535" s="663"/>
      <c r="W535" s="37" t="s">
        <v>823</v>
      </c>
      <c r="X535" s="38">
        <f>ROUNDUP(SUM(BO22:BO530),0)</f>
        <v>10</v>
      </c>
      <c r="Y535" s="38">
        <f>ROUNDUP(SUM(BP22:BP530),0)</f>
        <v>10</v>
      </c>
      <c r="Z535" s="37"/>
      <c r="AA535" s="608"/>
      <c r="AB535" s="608"/>
      <c r="AC535" s="608"/>
    </row>
    <row r="536" spans="1:68" x14ac:dyDescent="0.2">
      <c r="A536" s="610"/>
      <c r="B536" s="610"/>
      <c r="C536" s="610"/>
      <c r="D536" s="610"/>
      <c r="E536" s="610"/>
      <c r="F536" s="610"/>
      <c r="G536" s="610"/>
      <c r="H536" s="610"/>
      <c r="I536" s="610"/>
      <c r="J536" s="610"/>
      <c r="K536" s="610"/>
      <c r="L536" s="610"/>
      <c r="M536" s="610"/>
      <c r="N536" s="610"/>
      <c r="O536" s="774"/>
      <c r="P536" s="661" t="s">
        <v>824</v>
      </c>
      <c r="Q536" s="662"/>
      <c r="R536" s="662"/>
      <c r="S536" s="662"/>
      <c r="T536" s="662"/>
      <c r="U536" s="662"/>
      <c r="V536" s="663"/>
      <c r="W536" s="37" t="s">
        <v>67</v>
      </c>
      <c r="X536" s="607">
        <f>GrossWeightTotal+PalletQtyTotal*25</f>
        <v>5849.9959090909088</v>
      </c>
      <c r="Y536" s="607">
        <f>GrossWeightTotalR+PalletQtyTotalR*25</f>
        <v>5897.1060000000007</v>
      </c>
      <c r="Z536" s="37"/>
      <c r="AA536" s="608"/>
      <c r="AB536" s="608"/>
      <c r="AC536" s="608"/>
    </row>
    <row r="537" spans="1:68" x14ac:dyDescent="0.2">
      <c r="A537" s="610"/>
      <c r="B537" s="610"/>
      <c r="C537" s="610"/>
      <c r="D537" s="610"/>
      <c r="E537" s="610"/>
      <c r="F537" s="610"/>
      <c r="G537" s="610"/>
      <c r="H537" s="610"/>
      <c r="I537" s="610"/>
      <c r="J537" s="610"/>
      <c r="K537" s="610"/>
      <c r="L537" s="610"/>
      <c r="M537" s="610"/>
      <c r="N537" s="610"/>
      <c r="O537" s="774"/>
      <c r="P537" s="661" t="s">
        <v>825</v>
      </c>
      <c r="Q537" s="662"/>
      <c r="R537" s="662"/>
      <c r="S537" s="662"/>
      <c r="T537" s="662"/>
      <c r="U537" s="662"/>
      <c r="V537" s="663"/>
      <c r="W537" s="37" t="s">
        <v>823</v>
      </c>
      <c r="X537" s="607">
        <f>IFERROR(X24+X33+X37+X47+X56+X67+X74+X79+X84+X92+X99+X110+X120+X127+X131+X137+X142+X147+X155+X161+X165+X179+X185+X190+X194+X206+X211+X228+X235+X241+X245+X251+X256+X267+X282+X287+X298+X302+X306+X312+X321+X328+X337+X342+X349+X358+X368+X375+X381+X388+X394+X401+X414+X420+X425+X429+X435+X439+X445+X456+X461+X466+X472+X486+X492+X502+X508+X512+X517+X521+X526+X531,"0")</f>
        <v>813.22779072779088</v>
      </c>
      <c r="Y537" s="607">
        <f>IFERROR(Y24+Y33+Y37+Y47+Y56+Y67+Y74+Y79+Y84+Y92+Y99+Y110+Y120+Y127+Y131+Y137+Y142+Y147+Y155+Y161+Y165+Y179+Y185+Y190+Y194+Y206+Y211+Y228+Y235+Y241+Y245+Y251+Y256+Y267+Y282+Y287+Y298+Y302+Y306+Y312+Y321+Y328+Y337+Y342+Y349+Y358+Y368+Y375+Y381+Y388+Y394+Y401+Y414+Y420+Y425+Y429+Y435+Y439+Y445+Y456+Y461+Y466+Y472+Y486+Y492+Y502+Y508+Y512+Y517+Y521+Y526+Y531,"0")</f>
        <v>818</v>
      </c>
      <c r="Z537" s="37"/>
      <c r="AA537" s="608"/>
      <c r="AB537" s="608"/>
      <c r="AC537" s="608"/>
    </row>
    <row r="538" spans="1:68" ht="14.25" hidden="1" customHeight="1" x14ac:dyDescent="0.2">
      <c r="A538" s="610"/>
      <c r="B538" s="610"/>
      <c r="C538" s="610"/>
      <c r="D538" s="610"/>
      <c r="E538" s="610"/>
      <c r="F538" s="610"/>
      <c r="G538" s="610"/>
      <c r="H538" s="610"/>
      <c r="I538" s="610"/>
      <c r="J538" s="610"/>
      <c r="K538" s="610"/>
      <c r="L538" s="610"/>
      <c r="M538" s="610"/>
      <c r="N538" s="610"/>
      <c r="O538" s="774"/>
      <c r="P538" s="661" t="s">
        <v>826</v>
      </c>
      <c r="Q538" s="662"/>
      <c r="R538" s="662"/>
      <c r="S538" s="662"/>
      <c r="T538" s="662"/>
      <c r="U538" s="662"/>
      <c r="V538" s="663"/>
      <c r="W538" s="39" t="s">
        <v>827</v>
      </c>
      <c r="X538" s="37"/>
      <c r="Y538" s="37"/>
      <c r="Z538" s="37">
        <f>IFERROR(Z24+Z33+Z37+Z47+Z56+Z67+Z74+Z79+Z84+Z92+Z99+Z110+Z120+Z127+Z131+Z137+Z142+Z147+Z155+Z161+Z165+Z179+Z185+Z190+Z194+Z206+Z211+Z228+Z235+Z241+Z245+Z251+Z256+Z267+Z282+Z287+Z298+Z302+Z306+Z312+Z321+Z328+Z337+Z342+Z349+Z358+Z368+Z375+Z381+Z388+Z394+Z401+Z414+Z420+Z425+Z429+Z435+Z439+Z445+Z456+Z461+Z466+Z472+Z486+Z492+Z502+Z508+Z512+Z517+Z521+Z526+Z531,"0")</f>
        <v>10.472250000000003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602" t="s">
        <v>61</v>
      </c>
      <c r="C540" s="602" t="s">
        <v>101</v>
      </c>
      <c r="D540" s="614" t="s">
        <v>119</v>
      </c>
      <c r="E540" s="823"/>
      <c r="F540" s="823"/>
      <c r="G540" s="823"/>
      <c r="H540" s="823"/>
      <c r="I540" s="823"/>
      <c r="J540" s="670"/>
      <c r="K540" s="614" t="s">
        <v>328</v>
      </c>
      <c r="L540" s="823"/>
      <c r="M540" s="823"/>
      <c r="N540" s="823"/>
      <c r="O540" s="823"/>
      <c r="P540" s="823"/>
      <c r="Q540" s="823"/>
      <c r="R540" s="823"/>
      <c r="S540" s="823"/>
      <c r="T540" s="823"/>
      <c r="U540" s="670"/>
      <c r="V540" s="614" t="s">
        <v>652</v>
      </c>
      <c r="W540" s="670"/>
      <c r="X540" s="614" t="s">
        <v>712</v>
      </c>
      <c r="Y540" s="670"/>
      <c r="Z540" s="602" t="s">
        <v>748</v>
      </c>
      <c r="AA540" s="614" t="s">
        <v>795</v>
      </c>
      <c r="AB540" s="670"/>
      <c r="AC540" s="52"/>
      <c r="AF540" s="603"/>
    </row>
    <row r="541" spans="1:68" ht="14.25" customHeight="1" thickTop="1" x14ac:dyDescent="0.2">
      <c r="A541" s="875" t="s">
        <v>829</v>
      </c>
      <c r="B541" s="614" t="s">
        <v>61</v>
      </c>
      <c r="C541" s="614" t="s">
        <v>102</v>
      </c>
      <c r="D541" s="614" t="s">
        <v>120</v>
      </c>
      <c r="E541" s="614" t="s">
        <v>136</v>
      </c>
      <c r="F541" s="614" t="s">
        <v>180</v>
      </c>
      <c r="G541" s="614" t="s">
        <v>201</v>
      </c>
      <c r="H541" s="614" t="s">
        <v>245</v>
      </c>
      <c r="I541" s="614" t="s">
        <v>257</v>
      </c>
      <c r="J541" s="614" t="s">
        <v>119</v>
      </c>
      <c r="K541" s="614" t="s">
        <v>329</v>
      </c>
      <c r="L541" s="614" t="s">
        <v>350</v>
      </c>
      <c r="M541" s="614" t="s">
        <v>414</v>
      </c>
      <c r="N541" s="603"/>
      <c r="O541" s="614" t="s">
        <v>482</v>
      </c>
      <c r="P541" s="614" t="s">
        <v>515</v>
      </c>
      <c r="Q541" s="614" t="s">
        <v>531</v>
      </c>
      <c r="R541" s="614" t="s">
        <v>540</v>
      </c>
      <c r="S541" s="614" t="s">
        <v>561</v>
      </c>
      <c r="T541" s="614" t="s">
        <v>570</v>
      </c>
      <c r="U541" s="614" t="s">
        <v>642</v>
      </c>
      <c r="V541" s="614" t="s">
        <v>653</v>
      </c>
      <c r="W541" s="614" t="s">
        <v>696</v>
      </c>
      <c r="X541" s="614" t="s">
        <v>713</v>
      </c>
      <c r="Y541" s="614" t="s">
        <v>736</v>
      </c>
      <c r="Z541" s="614" t="s">
        <v>748</v>
      </c>
      <c r="AA541" s="614" t="s">
        <v>795</v>
      </c>
      <c r="AB541" s="614" t="s">
        <v>816</v>
      </c>
      <c r="AC541" s="52"/>
      <c r="AF541" s="603"/>
    </row>
    <row r="542" spans="1:68" ht="13.5" customHeight="1" thickBot="1" x14ac:dyDescent="0.25">
      <c r="A542" s="876"/>
      <c r="B542" s="615"/>
      <c r="C542" s="615"/>
      <c r="D542" s="615"/>
      <c r="E542" s="615"/>
      <c r="F542" s="615"/>
      <c r="G542" s="615"/>
      <c r="H542" s="615"/>
      <c r="I542" s="615"/>
      <c r="J542" s="615"/>
      <c r="K542" s="615"/>
      <c r="L542" s="615"/>
      <c r="M542" s="615"/>
      <c r="N542" s="603"/>
      <c r="O542" s="615"/>
      <c r="P542" s="615"/>
      <c r="Q542" s="615"/>
      <c r="R542" s="615"/>
      <c r="S542" s="615"/>
      <c r="T542" s="615"/>
      <c r="U542" s="615"/>
      <c r="V542" s="615"/>
      <c r="W542" s="615"/>
      <c r="X542" s="615"/>
      <c r="Y542" s="615"/>
      <c r="Z542" s="615"/>
      <c r="AA542" s="615"/>
      <c r="AB542" s="615"/>
      <c r="AC542" s="52"/>
      <c r="AF542" s="603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IFERROR(Y22*1,"0")+IFERROR(Y23*1,"0")+IFERROR(Y27*1,"0")+IFERROR(Y28*1,"0")+IFERROR(Y29*1,"0")+IFERROR(Y30*1,"0")+IFERROR(Y31*1,"0")+IFERROR(Y32*1,"0")+IFERROR(Y36*1,"0")</f>
        <v>0</v>
      </c>
      <c r="C543" s="46">
        <f>IFERROR(Y42*1,"0")+IFERROR(Y43*1,"0")+IFERROR(Y44*1,"0")+IFERROR(Y45*1,"0")+IFERROR(Y46*1,"0")</f>
        <v>0</v>
      </c>
      <c r="D543" s="46">
        <f>IFERROR(Y52*1,"0")+IFERROR(Y53*1,"0")+IFERROR(Y54*1,"0")+IFERROR(Y55*1,"0")</f>
        <v>0</v>
      </c>
      <c r="E543" s="46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43" s="46">
        <f>IFERROR(Y88*1,"0")+IFERROR(Y89*1,"0")+IFERROR(Y90*1,"0")+IFERROR(Y91*1,"0")+IFERROR(Y95*1,"0")+IFERROR(Y96*1,"0")+IFERROR(Y97*1,"0")+IFERROR(Y98*1,"0")</f>
        <v>251.1</v>
      </c>
      <c r="G543" s="46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469.79999999999995</v>
      </c>
      <c r="H543" s="46">
        <f>IFERROR(Y135*1,"0")+IFERROR(Y136*1,"0")+IFERROR(Y140*1,"0")+IFERROR(Y141*1,"0")+IFERROR(Y145*1,"0")+IFERROR(Y146*1,"0")</f>
        <v>0</v>
      </c>
      <c r="I543" s="46">
        <f>IFERROR(Y151*1,"0")+IFERROR(Y152*1,"0")+IFERROR(Y153*1,"0")+IFERROR(Y154*1,"0")</f>
        <v>0</v>
      </c>
      <c r="J543" s="46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3" s="46">
        <f>IFERROR(Y199*1,"0")+IFERROR(Y200*1,"0")+IFERROR(Y201*1,"0")+IFERROR(Y202*1,"0")+IFERROR(Y203*1,"0")+IFERROR(Y204*1,"0")+IFERROR(Y205*1,"0")</f>
        <v>0</v>
      </c>
      <c r="L543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210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501.6</v>
      </c>
      <c r="N543" s="603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0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0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600.6</v>
      </c>
      <c r="U543" s="46">
        <f>IFERROR(Y398*1,"0")+IFERROR(Y399*1,"0")+IFERROR(Y400*1,"0")</f>
        <v>0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2580</v>
      </c>
      <c r="W543" s="46">
        <f>IFERROR(Y433*1,"0")+IFERROR(Y434*1,"0")+IFERROR(Y438*1,"0")+IFERROR(Y442*1,"0")+IFERROR(Y443*1,"0")+IFERROR(Y444*1,"0")</f>
        <v>0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755.04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603"/>
    </row>
  </sheetData>
  <sheetProtection algorithmName="SHA-512" hashValue="st3nMHveNfTQOkkcP86Izg7xLT0v4QZecODhWhXsm7NhD3YUBk6h/s3ke6YRRd+lpgGx5/SXCGGOeDDbwczGSw==" saltValue="ntThJpp4f0cnVX3tnc5jiA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"/>
        <filter val="100,00"/>
        <filter val="113,00"/>
        <filter val="13,33"/>
        <filter val="156,67"/>
        <filter val="2 350,00"/>
        <filter val="200,00"/>
        <filter val="208,33"/>
        <filter val="210,00"/>
        <filter val="250,00"/>
        <filter val="30,86"/>
        <filter val="350,00"/>
        <filter val="400,00"/>
        <filter val="463,00"/>
        <filter val="47,35"/>
        <filter val="5 323,00"/>
        <filter val="5 600,00"/>
        <filter val="5 850,00"/>
        <filter val="500,00"/>
        <filter val="600,00"/>
        <filter val="650,00"/>
        <filter val="76,92"/>
        <filter val="800,00"/>
        <filter val="813,23"/>
        <filter val="85,06"/>
        <filter val="900,00"/>
        <filter val="94,70"/>
      </filters>
    </filterColumn>
    <filterColumn colId="29" showButton="0"/>
    <filterColumn colId="30" showButton="0"/>
  </autoFilter>
  <mergeCells count="955">
    <mergeCell ref="A181:Z181"/>
    <mergeCell ref="D515:E515"/>
    <mergeCell ref="D173:E173"/>
    <mergeCell ref="D42:E42"/>
    <mergeCell ref="D471:E471"/>
    <mergeCell ref="D17:E18"/>
    <mergeCell ref="P71:T71"/>
    <mergeCell ref="P373:T373"/>
    <mergeCell ref="P202:T202"/>
    <mergeCell ref="P444:T444"/>
    <mergeCell ref="D250:E250"/>
    <mergeCell ref="D123:E123"/>
    <mergeCell ref="A494:Z494"/>
    <mergeCell ref="X17:X18"/>
    <mergeCell ref="D44:E44"/>
    <mergeCell ref="D286:E286"/>
    <mergeCell ref="P513:V513"/>
    <mergeCell ref="A251:O252"/>
    <mergeCell ref="P292:T292"/>
    <mergeCell ref="A269:Z269"/>
    <mergeCell ref="P294:T294"/>
    <mergeCell ref="Y541:Y542"/>
    <mergeCell ref="D483:E483"/>
    <mergeCell ref="P83:T83"/>
    <mergeCell ref="D271:E271"/>
    <mergeCell ref="V12:W12"/>
    <mergeCell ref="P319:T319"/>
    <mergeCell ref="D433:E433"/>
    <mergeCell ref="D262:E262"/>
    <mergeCell ref="A506:Z506"/>
    <mergeCell ref="D145:E145"/>
    <mergeCell ref="A39:Z39"/>
    <mergeCell ref="P541:P542"/>
    <mergeCell ref="A142:O143"/>
    <mergeCell ref="P60:T60"/>
    <mergeCell ref="D291:E291"/>
    <mergeCell ref="D239:E239"/>
    <mergeCell ref="D266:E266"/>
    <mergeCell ref="P174:T174"/>
    <mergeCell ref="A339:Z339"/>
    <mergeCell ref="D95:E95"/>
    <mergeCell ref="P74:V74"/>
    <mergeCell ref="P410:T410"/>
    <mergeCell ref="P385:T385"/>
    <mergeCell ref="Y17:Y18"/>
    <mergeCell ref="A529:Z529"/>
    <mergeCell ref="A504:Z504"/>
    <mergeCell ref="D54:E54"/>
    <mergeCell ref="P185:V185"/>
    <mergeCell ref="P283:V283"/>
    <mergeCell ref="P124:T124"/>
    <mergeCell ref="D355:E355"/>
    <mergeCell ref="A502:O503"/>
    <mergeCell ref="D293:E293"/>
    <mergeCell ref="P138:V138"/>
    <mergeCell ref="P151:T151"/>
    <mergeCell ref="A137:O138"/>
    <mergeCell ref="D97:E97"/>
    <mergeCell ref="P126:T126"/>
    <mergeCell ref="P218:T218"/>
    <mergeCell ref="A192:Z192"/>
    <mergeCell ref="D184:E184"/>
    <mergeCell ref="P499:T499"/>
    <mergeCell ref="A429:O430"/>
    <mergeCell ref="P355:T355"/>
    <mergeCell ref="D171:E171"/>
    <mergeCell ref="D336:E336"/>
    <mergeCell ref="P527:V527"/>
    <mergeCell ref="P507:T507"/>
    <mergeCell ref="Q6:R6"/>
    <mergeCell ref="P200:T200"/>
    <mergeCell ref="A8:C8"/>
    <mergeCell ref="D32:E32"/>
    <mergeCell ref="A10:C10"/>
    <mergeCell ref="A21:Z21"/>
    <mergeCell ref="P425:V425"/>
    <mergeCell ref="A129:Z129"/>
    <mergeCell ref="A99:O100"/>
    <mergeCell ref="M17:M18"/>
    <mergeCell ref="O17:O18"/>
    <mergeCell ref="P336:T336"/>
    <mergeCell ref="P131:V131"/>
    <mergeCell ref="D164:E164"/>
    <mergeCell ref="P62:T62"/>
    <mergeCell ref="U17:V17"/>
    <mergeCell ref="P36:T36"/>
    <mergeCell ref="A9:C9"/>
    <mergeCell ref="Q13:R13"/>
    <mergeCell ref="D22:E22"/>
    <mergeCell ref="G17:G18"/>
    <mergeCell ref="P46:T46"/>
    <mergeCell ref="P381:V381"/>
    <mergeCell ref="A35:Z35"/>
    <mergeCell ref="K540:U540"/>
    <mergeCell ref="D218:E218"/>
    <mergeCell ref="P137:V137"/>
    <mergeCell ref="A314:Z314"/>
    <mergeCell ref="P68:V68"/>
    <mergeCell ref="D249:E249"/>
    <mergeCell ref="P433:T433"/>
    <mergeCell ref="D276:E276"/>
    <mergeCell ref="P262:T262"/>
    <mergeCell ref="D105:E105"/>
    <mergeCell ref="A476:Z476"/>
    <mergeCell ref="D341:E341"/>
    <mergeCell ref="D170:E170"/>
    <mergeCell ref="P303:V303"/>
    <mergeCell ref="P132:V132"/>
    <mergeCell ref="P72:T72"/>
    <mergeCell ref="P199:T199"/>
    <mergeCell ref="A315:Z315"/>
    <mergeCell ref="P497:T497"/>
    <mergeCell ref="P297:T297"/>
    <mergeCell ref="D478:E478"/>
    <mergeCell ref="D278:E278"/>
    <mergeCell ref="P291:T291"/>
    <mergeCell ref="D107:E107"/>
    <mergeCell ref="AD17:AF18"/>
    <mergeCell ref="P142:V142"/>
    <mergeCell ref="A337:O338"/>
    <mergeCell ref="F5:G5"/>
    <mergeCell ref="O541:O542"/>
    <mergeCell ref="A488:Z488"/>
    <mergeCell ref="Q541:Q542"/>
    <mergeCell ref="P467:V467"/>
    <mergeCell ref="A463:Z463"/>
    <mergeCell ref="A368:O369"/>
    <mergeCell ref="D455:E455"/>
    <mergeCell ref="D175:E175"/>
    <mergeCell ref="P82:T82"/>
    <mergeCell ref="D392:E392"/>
    <mergeCell ref="D221:E221"/>
    <mergeCell ref="V11:W11"/>
    <mergeCell ref="P367:T367"/>
    <mergeCell ref="P317:T317"/>
    <mergeCell ref="D152:E152"/>
    <mergeCell ref="P146:T146"/>
    <mergeCell ref="D223:E223"/>
    <mergeCell ref="D450:E450"/>
    <mergeCell ref="D279:E279"/>
    <mergeCell ref="P357:T357"/>
    <mergeCell ref="A533:O538"/>
    <mergeCell ref="P64:T64"/>
    <mergeCell ref="P135:T135"/>
    <mergeCell ref="P362:T362"/>
    <mergeCell ref="F10:G10"/>
    <mergeCell ref="D305:E305"/>
    <mergeCell ref="D270:E270"/>
    <mergeCell ref="P376:V376"/>
    <mergeCell ref="D310:E310"/>
    <mergeCell ref="P364:T364"/>
    <mergeCell ref="A245:O246"/>
    <mergeCell ref="D29:E29"/>
    <mergeCell ref="D23:E23"/>
    <mergeCell ref="P515:T515"/>
    <mergeCell ref="D265:E265"/>
    <mergeCell ref="D216:E216"/>
    <mergeCell ref="P195:V195"/>
    <mergeCell ref="A194:O195"/>
    <mergeCell ref="P493:V493"/>
    <mergeCell ref="D452:E452"/>
    <mergeCell ref="A20:Z20"/>
    <mergeCell ref="P123:T123"/>
    <mergeCell ref="A112:Z112"/>
    <mergeCell ref="P358:V358"/>
    <mergeCell ref="P2:W3"/>
    <mergeCell ref="A323:Z323"/>
    <mergeCell ref="P347:T347"/>
    <mergeCell ref="P54:T54"/>
    <mergeCell ref="P418:T418"/>
    <mergeCell ref="P412:T412"/>
    <mergeCell ref="A342:O343"/>
    <mergeCell ref="D333:E333"/>
    <mergeCell ref="P312:V312"/>
    <mergeCell ref="A289:Z289"/>
    <mergeCell ref="D10:E10"/>
    <mergeCell ref="P408:T408"/>
    <mergeCell ref="A51:Z51"/>
    <mergeCell ref="Q5:R5"/>
    <mergeCell ref="N17:N18"/>
    <mergeCell ref="F17:F18"/>
    <mergeCell ref="D234:E234"/>
    <mergeCell ref="A24:O25"/>
    <mergeCell ref="P65:T65"/>
    <mergeCell ref="P136:T136"/>
    <mergeCell ref="P70:T70"/>
    <mergeCell ref="P263:T263"/>
    <mergeCell ref="D244:E244"/>
    <mergeCell ref="A358:O359"/>
    <mergeCell ref="P125:T125"/>
    <mergeCell ref="D373:E373"/>
    <mergeCell ref="D202:E202"/>
    <mergeCell ref="A167:Z167"/>
    <mergeCell ref="P242:V242"/>
    <mergeCell ref="D159:E159"/>
    <mergeCell ref="A403:Z403"/>
    <mergeCell ref="P121:V121"/>
    <mergeCell ref="D489:E489"/>
    <mergeCell ref="A427:Z427"/>
    <mergeCell ref="D477:E477"/>
    <mergeCell ref="P459:T459"/>
    <mergeCell ref="P429:V429"/>
    <mergeCell ref="A248:Z248"/>
    <mergeCell ref="P350:V350"/>
    <mergeCell ref="P417:T417"/>
    <mergeCell ref="A247:Z247"/>
    <mergeCell ref="P287:V287"/>
    <mergeCell ref="D177:E177"/>
    <mergeCell ref="P414:V414"/>
    <mergeCell ref="P354:T354"/>
    <mergeCell ref="D226:E226"/>
    <mergeCell ref="P183:T183"/>
    <mergeCell ref="A404:Z404"/>
    <mergeCell ref="P537:V537"/>
    <mergeCell ref="P508:V508"/>
    <mergeCell ref="D408:E408"/>
    <mergeCell ref="P337:V337"/>
    <mergeCell ref="A33:O34"/>
    <mergeCell ref="P401:V401"/>
    <mergeCell ref="P268:V268"/>
    <mergeCell ref="D318:E318"/>
    <mergeCell ref="P201:T201"/>
    <mergeCell ref="P47:V47"/>
    <mergeCell ref="P176:T176"/>
    <mergeCell ref="P114:T114"/>
    <mergeCell ref="P483:T483"/>
    <mergeCell ref="A157:Z157"/>
    <mergeCell ref="A508:O509"/>
    <mergeCell ref="A230:Z230"/>
    <mergeCell ref="D222:E222"/>
    <mergeCell ref="P399:T399"/>
    <mergeCell ref="P333:T333"/>
    <mergeCell ref="P57:V57"/>
    <mergeCell ref="P478:T478"/>
    <mergeCell ref="P278:T278"/>
    <mergeCell ref="P107:T107"/>
    <mergeCell ref="P465:T465"/>
    <mergeCell ref="AB541:AB542"/>
    <mergeCell ref="P382:V382"/>
    <mergeCell ref="P188:T188"/>
    <mergeCell ref="A505:Z505"/>
    <mergeCell ref="D459:E459"/>
    <mergeCell ref="P148:V148"/>
    <mergeCell ref="P130:T130"/>
    <mergeCell ref="P421:V421"/>
    <mergeCell ref="D136:E136"/>
    <mergeCell ref="D434:E434"/>
    <mergeCell ref="A241:O242"/>
    <mergeCell ref="D154:E154"/>
    <mergeCell ref="D225:E225"/>
    <mergeCell ref="P409:T409"/>
    <mergeCell ref="D200:E200"/>
    <mergeCell ref="P490:T490"/>
    <mergeCell ref="D292:E292"/>
    <mergeCell ref="P346:T346"/>
    <mergeCell ref="D227:E227"/>
    <mergeCell ref="D525:E525"/>
    <mergeCell ref="A541:A542"/>
    <mergeCell ref="D320:E320"/>
    <mergeCell ref="A284:Z284"/>
    <mergeCell ref="P470:T470"/>
    <mergeCell ref="P61:T61"/>
    <mergeCell ref="A127:O128"/>
    <mergeCell ref="P426:V426"/>
    <mergeCell ref="D385:E385"/>
    <mergeCell ref="P301:T301"/>
    <mergeCell ref="P295:T295"/>
    <mergeCell ref="P178:T178"/>
    <mergeCell ref="P276:T276"/>
    <mergeCell ref="P105:T105"/>
    <mergeCell ref="P214:T214"/>
    <mergeCell ref="P270:T270"/>
    <mergeCell ref="A94:Z94"/>
    <mergeCell ref="P79:V79"/>
    <mergeCell ref="A69:Z69"/>
    <mergeCell ref="A196:Z196"/>
    <mergeCell ref="P115:T115"/>
    <mergeCell ref="D254:E254"/>
    <mergeCell ref="P302:V302"/>
    <mergeCell ref="P238:T238"/>
    <mergeCell ref="D346:E346"/>
    <mergeCell ref="D204:E204"/>
    <mergeCell ref="D294:E294"/>
    <mergeCell ref="P348:T348"/>
    <mergeCell ref="D231:E231"/>
    <mergeCell ref="H5:M5"/>
    <mergeCell ref="P473:V473"/>
    <mergeCell ref="P329:V329"/>
    <mergeCell ref="A228:O229"/>
    <mergeCell ref="P522:V522"/>
    <mergeCell ref="A526:O527"/>
    <mergeCell ref="D317:E317"/>
    <mergeCell ref="P225:T225"/>
    <mergeCell ref="A390:Z390"/>
    <mergeCell ref="D146:E146"/>
    <mergeCell ref="P98:T98"/>
    <mergeCell ref="D6:M6"/>
    <mergeCell ref="P175:T175"/>
    <mergeCell ref="D83:E83"/>
    <mergeCell ref="P502:V502"/>
    <mergeCell ref="P460:T460"/>
    <mergeCell ref="P398:T398"/>
    <mergeCell ref="D319:E319"/>
    <mergeCell ref="P227:T227"/>
    <mergeCell ref="P525:T525"/>
    <mergeCell ref="P106:T106"/>
    <mergeCell ref="P177:T177"/>
    <mergeCell ref="D481:E481"/>
    <mergeCell ref="P226:T226"/>
    <mergeCell ref="V6:W9"/>
    <mergeCell ref="D199:E199"/>
    <mergeCell ref="H541:H542"/>
    <mergeCell ref="D497:E497"/>
    <mergeCell ref="D364:E364"/>
    <mergeCell ref="P109:T109"/>
    <mergeCell ref="P274:T274"/>
    <mergeCell ref="D413:E413"/>
    <mergeCell ref="D217:E217"/>
    <mergeCell ref="D484:E484"/>
    <mergeCell ref="A155:O156"/>
    <mergeCell ref="A59:Z59"/>
    <mergeCell ref="P222:T222"/>
    <mergeCell ref="P193:T193"/>
    <mergeCell ref="D65:E65"/>
    <mergeCell ref="P22:T22"/>
    <mergeCell ref="P320:T320"/>
    <mergeCell ref="D428:E428"/>
    <mergeCell ref="P236:V236"/>
    <mergeCell ref="P92:V92"/>
    <mergeCell ref="P394:V394"/>
    <mergeCell ref="P521:V521"/>
    <mergeCell ref="Z17:Z18"/>
    <mergeCell ref="P100:V100"/>
    <mergeCell ref="AA17:AA18"/>
    <mergeCell ref="H10:M10"/>
    <mergeCell ref="A377:Z377"/>
    <mergeCell ref="AC17:AC18"/>
    <mergeCell ref="P485:T485"/>
    <mergeCell ref="A122:Z122"/>
    <mergeCell ref="P279:T279"/>
    <mergeCell ref="D418:E418"/>
    <mergeCell ref="D393:E393"/>
    <mergeCell ref="P108:T108"/>
    <mergeCell ref="D89:E89"/>
    <mergeCell ref="P254:T254"/>
    <mergeCell ref="P147:V147"/>
    <mergeCell ref="P445:V445"/>
    <mergeCell ref="P45:T45"/>
    <mergeCell ref="A235:O236"/>
    <mergeCell ref="D153:E153"/>
    <mergeCell ref="P430:V430"/>
    <mergeCell ref="P318:T318"/>
    <mergeCell ref="AB17:AB18"/>
    <mergeCell ref="A41:Z41"/>
    <mergeCell ref="A448:Z448"/>
    <mergeCell ref="D367:E367"/>
    <mergeCell ref="P335:T335"/>
    <mergeCell ref="P27:T27"/>
    <mergeCell ref="AA541:AA542"/>
    <mergeCell ref="P325:T325"/>
    <mergeCell ref="X540:Y540"/>
    <mergeCell ref="P154:T154"/>
    <mergeCell ref="A84:O85"/>
    <mergeCell ref="P241:V241"/>
    <mergeCell ref="A158:Z158"/>
    <mergeCell ref="P91:T91"/>
    <mergeCell ref="A351:Z351"/>
    <mergeCell ref="D273:E273"/>
    <mergeCell ref="P327:T327"/>
    <mergeCell ref="P252:V252"/>
    <mergeCell ref="P56:V56"/>
    <mergeCell ref="P500:T500"/>
    <mergeCell ref="P99:V99"/>
    <mergeCell ref="A464:Z464"/>
    <mergeCell ref="P530:T530"/>
    <mergeCell ref="D540:J540"/>
    <mergeCell ref="F541:F542"/>
    <mergeCell ref="A519:Z519"/>
    <mergeCell ref="G541:G542"/>
    <mergeCell ref="I541:I542"/>
    <mergeCell ref="P536:V536"/>
    <mergeCell ref="J9:M9"/>
    <mergeCell ref="V540:W540"/>
    <mergeCell ref="P389:V389"/>
    <mergeCell ref="D348:E348"/>
    <mergeCell ref="A388:O389"/>
    <mergeCell ref="P141:T141"/>
    <mergeCell ref="D62:E62"/>
    <mergeCell ref="D193:E193"/>
    <mergeCell ref="D491:E491"/>
    <mergeCell ref="P233:T233"/>
    <mergeCell ref="D347:E347"/>
    <mergeCell ref="D176:E176"/>
    <mergeCell ref="A298:O299"/>
    <mergeCell ref="D285:E285"/>
    <mergeCell ref="P155:V155"/>
    <mergeCell ref="D412:E412"/>
    <mergeCell ref="D114:E114"/>
    <mergeCell ref="A56:O57"/>
    <mergeCell ref="P518:V518"/>
    <mergeCell ref="A514:Z514"/>
    <mergeCell ref="D64:E64"/>
    <mergeCell ref="D362:E362"/>
    <mergeCell ref="P477:T477"/>
    <mergeCell ref="P328:V328"/>
    <mergeCell ref="P77:T77"/>
    <mergeCell ref="P204:T204"/>
    <mergeCell ref="D125:E125"/>
    <mergeCell ref="A198:Z198"/>
    <mergeCell ref="A209:Z209"/>
    <mergeCell ref="A302:O303"/>
    <mergeCell ref="A131:O132"/>
    <mergeCell ref="A432:Z432"/>
    <mergeCell ref="P457:V457"/>
    <mergeCell ref="A435:O436"/>
    <mergeCell ref="D116:E116"/>
    <mergeCell ref="P419:T419"/>
    <mergeCell ref="P219:T219"/>
    <mergeCell ref="D91:E91"/>
    <mergeCell ref="D160:E160"/>
    <mergeCell ref="P153:T153"/>
    <mergeCell ref="P90:T90"/>
    <mergeCell ref="P332:T332"/>
    <mergeCell ref="P217:T217"/>
    <mergeCell ref="D386:E386"/>
    <mergeCell ref="D215:E215"/>
    <mergeCell ref="P194:V194"/>
    <mergeCell ref="P456:V456"/>
    <mergeCell ref="P434:T434"/>
    <mergeCell ref="P534:V534"/>
    <mergeCell ref="P338:V338"/>
    <mergeCell ref="D36:E36"/>
    <mergeCell ref="P313:V313"/>
    <mergeCell ref="P307:V307"/>
    <mergeCell ref="P380:T380"/>
    <mergeCell ref="A13:M13"/>
    <mergeCell ref="D61:E61"/>
    <mergeCell ref="A15:M15"/>
    <mergeCell ref="A40:Z40"/>
    <mergeCell ref="P393:T393"/>
    <mergeCell ref="D374:E374"/>
    <mergeCell ref="D203:E203"/>
    <mergeCell ref="P165:V165"/>
    <mergeCell ref="P232:T232"/>
    <mergeCell ref="P159:T159"/>
    <mergeCell ref="D140:E140"/>
    <mergeCell ref="D438:E438"/>
    <mergeCell ref="P96:T96"/>
    <mergeCell ref="P531:V531"/>
    <mergeCell ref="H17:H18"/>
    <mergeCell ref="P261:T261"/>
    <mergeCell ref="P15:T16"/>
    <mergeCell ref="P450:T450"/>
    <mergeCell ref="T6:U9"/>
    <mergeCell ref="P512:V512"/>
    <mergeCell ref="Q10:R10"/>
    <mergeCell ref="P368:V368"/>
    <mergeCell ref="P296:T296"/>
    <mergeCell ref="A486:O487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D43:E43"/>
    <mergeCell ref="D485:E485"/>
    <mergeCell ref="P387:T387"/>
    <mergeCell ref="P216:T216"/>
    <mergeCell ref="A139:Z139"/>
    <mergeCell ref="P489:T489"/>
    <mergeCell ref="P80:V80"/>
    <mergeCell ref="D130:E130"/>
    <mergeCell ref="P451:T451"/>
    <mergeCell ref="D372:E372"/>
    <mergeCell ref="T5:U5"/>
    <mergeCell ref="D119:E119"/>
    <mergeCell ref="V5:W5"/>
    <mergeCell ref="P496:T496"/>
    <mergeCell ref="P374:T374"/>
    <mergeCell ref="P203:T203"/>
    <mergeCell ref="D46:E46"/>
    <mergeCell ref="A466:O467"/>
    <mergeCell ref="P361:T361"/>
    <mergeCell ref="D233:E233"/>
    <mergeCell ref="D409:E409"/>
    <mergeCell ref="P212:V212"/>
    <mergeCell ref="D469:E469"/>
    <mergeCell ref="Q8:R8"/>
    <mergeCell ref="P311:T311"/>
    <mergeCell ref="D183:E183"/>
    <mergeCell ref="P140:T140"/>
    <mergeCell ref="P438:T438"/>
    <mergeCell ref="D444:E444"/>
    <mergeCell ref="D419:E419"/>
    <mergeCell ref="D219:E219"/>
    <mergeCell ref="D275:E275"/>
    <mergeCell ref="D104:E104"/>
    <mergeCell ref="A349:O350"/>
    <mergeCell ref="A12:M12"/>
    <mergeCell ref="A416:Z416"/>
    <mergeCell ref="A19:Z19"/>
    <mergeCell ref="P436:V436"/>
    <mergeCell ref="P372:T372"/>
    <mergeCell ref="P310:T310"/>
    <mergeCell ref="D182:E182"/>
    <mergeCell ref="D480:E480"/>
    <mergeCell ref="D280:E280"/>
    <mergeCell ref="D109:E109"/>
    <mergeCell ref="A14:M14"/>
    <mergeCell ref="P424:T424"/>
    <mergeCell ref="D340:E340"/>
    <mergeCell ref="D335:E335"/>
    <mergeCell ref="A375:O376"/>
    <mergeCell ref="D201:E201"/>
    <mergeCell ref="D188:E188"/>
    <mergeCell ref="D424:E424"/>
    <mergeCell ref="P224:T224"/>
    <mergeCell ref="D399:E399"/>
    <mergeCell ref="P260:T260"/>
    <mergeCell ref="A439:O440"/>
    <mergeCell ref="P309:T309"/>
    <mergeCell ref="A206:O207"/>
    <mergeCell ref="P23:T23"/>
    <mergeCell ref="P272:T272"/>
    <mergeCell ref="D460:E460"/>
    <mergeCell ref="D327:E327"/>
    <mergeCell ref="P439:V439"/>
    <mergeCell ref="D454:E454"/>
    <mergeCell ref="D398:E398"/>
    <mergeCell ref="A267:O268"/>
    <mergeCell ref="P210:T210"/>
    <mergeCell ref="D106:E106"/>
    <mergeCell ref="D264:E264"/>
    <mergeCell ref="P277:T277"/>
    <mergeCell ref="D391:E391"/>
    <mergeCell ref="D220:E220"/>
    <mergeCell ref="A394:O395"/>
    <mergeCell ref="P435:V435"/>
    <mergeCell ref="P288:V288"/>
    <mergeCell ref="P43:T43"/>
    <mergeCell ref="D400:E400"/>
    <mergeCell ref="D77:E77"/>
    <mergeCell ref="D108:E108"/>
    <mergeCell ref="P423:T423"/>
    <mergeCell ref="P223:T223"/>
    <mergeCell ref="P52:T52"/>
    <mergeCell ref="V541:V542"/>
    <mergeCell ref="D96:E96"/>
    <mergeCell ref="A396:Z396"/>
    <mergeCell ref="P306:V306"/>
    <mergeCell ref="D52:E52"/>
    <mergeCell ref="P110:V110"/>
    <mergeCell ref="D27:E27"/>
    <mergeCell ref="A67:O68"/>
    <mergeCell ref="D325:E325"/>
    <mergeCell ref="P285:T285"/>
    <mergeCell ref="P501:T501"/>
    <mergeCell ref="A253:Z253"/>
    <mergeCell ref="A324:Z324"/>
    <mergeCell ref="P228:V228"/>
    <mergeCell ref="P516:T516"/>
    <mergeCell ref="P491:T491"/>
    <mergeCell ref="S541:S542"/>
    <mergeCell ref="U541:U542"/>
    <mergeCell ref="P89:T89"/>
    <mergeCell ref="D295:E295"/>
    <mergeCell ref="D178:E178"/>
    <mergeCell ref="D172:E172"/>
    <mergeCell ref="P88:T88"/>
    <mergeCell ref="P461:V461"/>
    <mergeCell ref="A5:C5"/>
    <mergeCell ref="A237:Z237"/>
    <mergeCell ref="P406:T406"/>
    <mergeCell ref="P340:T340"/>
    <mergeCell ref="P191:V191"/>
    <mergeCell ref="A187:Z187"/>
    <mergeCell ref="P349:V349"/>
    <mergeCell ref="P420:V420"/>
    <mergeCell ref="P128:V128"/>
    <mergeCell ref="A17:A18"/>
    <mergeCell ref="K17:K18"/>
    <mergeCell ref="P371:T371"/>
    <mergeCell ref="C17:C18"/>
    <mergeCell ref="D103:E103"/>
    <mergeCell ref="D168:E168"/>
    <mergeCell ref="P66:T66"/>
    <mergeCell ref="D9:E9"/>
    <mergeCell ref="D118:E118"/>
    <mergeCell ref="F9:G9"/>
    <mergeCell ref="P53:T53"/>
    <mergeCell ref="D232:E232"/>
    <mergeCell ref="P67:V67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378:T378"/>
    <mergeCell ref="P117:T117"/>
    <mergeCell ref="D311:E311"/>
    <mergeCell ref="D115:E115"/>
    <mergeCell ref="P55:T55"/>
    <mergeCell ref="P182:T182"/>
    <mergeCell ref="P280:T280"/>
    <mergeCell ref="Q12:R12"/>
    <mergeCell ref="D261:E261"/>
    <mergeCell ref="P169:T169"/>
    <mergeCell ref="P411:T411"/>
    <mergeCell ref="D90:E90"/>
    <mergeCell ref="P119:T119"/>
    <mergeCell ref="A328:O329"/>
    <mergeCell ref="P298:V298"/>
    <mergeCell ref="P369:V369"/>
    <mergeCell ref="P127:V127"/>
    <mergeCell ref="P186:V186"/>
    <mergeCell ref="Q9:R9"/>
    <mergeCell ref="P267:V267"/>
    <mergeCell ref="D451:E451"/>
    <mergeCell ref="D255:E255"/>
    <mergeCell ref="A331:Z331"/>
    <mergeCell ref="A37:O38"/>
    <mergeCell ref="P78:T78"/>
    <mergeCell ref="Q11:R11"/>
    <mergeCell ref="A290:Z290"/>
    <mergeCell ref="D260:E260"/>
    <mergeCell ref="P205:T205"/>
    <mergeCell ref="P442:T442"/>
    <mergeCell ref="A425:O426"/>
    <mergeCell ref="A185:O186"/>
    <mergeCell ref="A312:O313"/>
    <mergeCell ref="P353:T353"/>
    <mergeCell ref="D169:E169"/>
    <mergeCell ref="A134:Z134"/>
    <mergeCell ref="P440:V440"/>
    <mergeCell ref="A420:O421"/>
    <mergeCell ref="P75:V75"/>
    <mergeCell ref="P342:V342"/>
    <mergeCell ref="D63:E63"/>
    <mergeCell ref="P305:T305"/>
    <mergeCell ref="I17:I18"/>
    <mergeCell ref="D141:E141"/>
    <mergeCell ref="D135:E135"/>
    <mergeCell ref="P189:T189"/>
    <mergeCell ref="P281:T281"/>
    <mergeCell ref="D72:E72"/>
    <mergeCell ref="P498:T498"/>
    <mergeCell ref="J541:J542"/>
    <mergeCell ref="P34:V34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A304:Z304"/>
    <mergeCell ref="T541:T542"/>
    <mergeCell ref="P97:T97"/>
    <mergeCell ref="P168:T168"/>
    <mergeCell ref="P190:V190"/>
    <mergeCell ref="D1:F1"/>
    <mergeCell ref="A456:O457"/>
    <mergeCell ref="A512:O513"/>
    <mergeCell ref="P282:V282"/>
    <mergeCell ref="P111:V111"/>
    <mergeCell ref="A405:Z405"/>
    <mergeCell ref="J17:J18"/>
    <mergeCell ref="D82:E82"/>
    <mergeCell ref="L17:L18"/>
    <mergeCell ref="P359:V359"/>
    <mergeCell ref="D240:E240"/>
    <mergeCell ref="D511:E511"/>
    <mergeCell ref="P48:V48"/>
    <mergeCell ref="P255:T255"/>
    <mergeCell ref="D334:E334"/>
    <mergeCell ref="P321:V321"/>
    <mergeCell ref="A308:Z308"/>
    <mergeCell ref="P428:T428"/>
    <mergeCell ref="A414:O415"/>
    <mergeCell ref="D465:E465"/>
    <mergeCell ref="D296:E296"/>
    <mergeCell ref="P116:T116"/>
    <mergeCell ref="D224:E224"/>
    <mergeCell ref="P103:T103"/>
    <mergeCell ref="A102:Z102"/>
    <mergeCell ref="A344:Z344"/>
    <mergeCell ref="P113:T113"/>
    <mergeCell ref="P250:T250"/>
    <mergeCell ref="P286:T286"/>
    <mergeCell ref="A531:O532"/>
    <mergeCell ref="A468:Z468"/>
    <mergeCell ref="A321:O322"/>
    <mergeCell ref="P164:T164"/>
    <mergeCell ref="P120:V120"/>
    <mergeCell ref="D384:E384"/>
    <mergeCell ref="P341:T341"/>
    <mergeCell ref="D151:E151"/>
    <mergeCell ref="A110:O111"/>
    <mergeCell ref="P206:V206"/>
    <mergeCell ref="A258:Z258"/>
    <mergeCell ref="A517:O518"/>
    <mergeCell ref="A133:Z133"/>
    <mergeCell ref="P511:T511"/>
    <mergeCell ref="P479:T479"/>
    <mergeCell ref="P481:T481"/>
    <mergeCell ref="D316:E316"/>
    <mergeCell ref="P526:V526"/>
    <mergeCell ref="D387:E387"/>
    <mergeCell ref="D443:E443"/>
    <mergeCell ref="P400:T400"/>
    <mergeCell ref="A345:Z345"/>
    <mergeCell ref="P273:T273"/>
    <mergeCell ref="D272:E272"/>
    <mergeCell ref="D210:E210"/>
    <mergeCell ref="A492:O493"/>
    <mergeCell ref="D380:E380"/>
    <mergeCell ref="D274:E274"/>
    <mergeCell ref="D516:E516"/>
    <mergeCell ref="D301:E301"/>
    <mergeCell ref="D500:E500"/>
    <mergeCell ref="P492:V492"/>
    <mergeCell ref="P484:T484"/>
    <mergeCell ref="D490:E490"/>
    <mergeCell ref="P365:T365"/>
    <mergeCell ref="P293:T293"/>
    <mergeCell ref="D407:E407"/>
    <mergeCell ref="P363:T363"/>
    <mergeCell ref="D353:E353"/>
    <mergeCell ref="D55:E55"/>
    <mergeCell ref="D30:E30"/>
    <mergeCell ref="D5:E5"/>
    <mergeCell ref="D496:E496"/>
    <mergeCell ref="M541:M542"/>
    <mergeCell ref="P453:T453"/>
    <mergeCell ref="P42:T42"/>
    <mergeCell ref="D361:E361"/>
    <mergeCell ref="D417:E417"/>
    <mergeCell ref="P471:T471"/>
    <mergeCell ref="A401:O402"/>
    <mergeCell ref="P259:T259"/>
    <mergeCell ref="A47:O48"/>
    <mergeCell ref="D498:E498"/>
    <mergeCell ref="P240:T240"/>
    <mergeCell ref="P482:T482"/>
    <mergeCell ref="A475:Z475"/>
    <mergeCell ref="D354:E354"/>
    <mergeCell ref="P162:V162"/>
    <mergeCell ref="P33:V33"/>
    <mergeCell ref="D356:E356"/>
    <mergeCell ref="A523:Z523"/>
    <mergeCell ref="A87:Z87"/>
    <mergeCell ref="P38:V38"/>
    <mergeCell ref="A330:Z330"/>
    <mergeCell ref="H1:Q1"/>
    <mergeCell ref="A243:Z243"/>
    <mergeCell ref="A397:Z397"/>
    <mergeCell ref="D214:E214"/>
    <mergeCell ref="A528:Z528"/>
    <mergeCell ref="D520:E520"/>
    <mergeCell ref="P246:V246"/>
    <mergeCell ref="D259:E259"/>
    <mergeCell ref="D501:E501"/>
    <mergeCell ref="D495:E495"/>
    <mergeCell ref="A163:Z163"/>
    <mergeCell ref="A101:Z101"/>
    <mergeCell ref="D326:E326"/>
    <mergeCell ref="D28:E28"/>
    <mergeCell ref="P257:V257"/>
    <mergeCell ref="A76:Z76"/>
    <mergeCell ref="P184:T184"/>
    <mergeCell ref="A472:O473"/>
    <mergeCell ref="A179:O180"/>
    <mergeCell ref="P171:T171"/>
    <mergeCell ref="D524:E524"/>
    <mergeCell ref="P407:T407"/>
    <mergeCell ref="D7:M7"/>
    <mergeCell ref="B541:B542"/>
    <mergeCell ref="D365:E365"/>
    <mergeCell ref="D541:D542"/>
    <mergeCell ref="A81:Z81"/>
    <mergeCell ref="P156:V156"/>
    <mergeCell ref="P334:T334"/>
    <mergeCell ref="D442:E442"/>
    <mergeCell ref="P173:T173"/>
    <mergeCell ref="P29:T29"/>
    <mergeCell ref="P271:T271"/>
    <mergeCell ref="P535:V535"/>
    <mergeCell ref="P265:T265"/>
    <mergeCell ref="D379:E379"/>
    <mergeCell ref="D8:M8"/>
    <mergeCell ref="A211:O212"/>
    <mergeCell ref="D366:E366"/>
    <mergeCell ref="P44:T44"/>
    <mergeCell ref="P472:V472"/>
    <mergeCell ref="A161:O162"/>
    <mergeCell ref="P31:T31"/>
    <mergeCell ref="P180:V180"/>
    <mergeCell ref="D406:E406"/>
    <mergeCell ref="P251:V251"/>
    <mergeCell ref="AA540:AB540"/>
    <mergeCell ref="P366:T366"/>
    <mergeCell ref="A360:Z360"/>
    <mergeCell ref="P170:T170"/>
    <mergeCell ref="P316:T316"/>
    <mergeCell ref="P145:T145"/>
    <mergeCell ref="D126:E126"/>
    <mergeCell ref="P443:T443"/>
    <mergeCell ref="D66:E66"/>
    <mergeCell ref="D411:E411"/>
    <mergeCell ref="D482:E482"/>
    <mergeCell ref="P160:T160"/>
    <mergeCell ref="A149:Z149"/>
    <mergeCell ref="P517:V517"/>
    <mergeCell ref="P395:V395"/>
    <mergeCell ref="A447:Z447"/>
    <mergeCell ref="P532:V532"/>
    <mergeCell ref="P503:V503"/>
    <mergeCell ref="P388:V388"/>
    <mergeCell ref="A213:Z213"/>
    <mergeCell ref="P161:V161"/>
    <mergeCell ref="A86:Z86"/>
    <mergeCell ref="A449:Z449"/>
    <mergeCell ref="A306:O307"/>
    <mergeCell ref="A92:O93"/>
    <mergeCell ref="P207:V207"/>
    <mergeCell ref="A521:O522"/>
    <mergeCell ref="D124:E124"/>
    <mergeCell ref="A197:Z197"/>
    <mergeCell ref="P379:T379"/>
    <mergeCell ref="V10:W10"/>
    <mergeCell ref="P299:V299"/>
    <mergeCell ref="D189:E189"/>
    <mergeCell ref="A422:Z422"/>
    <mergeCell ref="D53:E53"/>
    <mergeCell ref="A50:Z50"/>
    <mergeCell ref="W17:W18"/>
    <mergeCell ref="P234:T234"/>
    <mergeCell ref="A150:Z150"/>
    <mergeCell ref="A144:Z144"/>
    <mergeCell ref="A120:O121"/>
    <mergeCell ref="D378:E378"/>
    <mergeCell ref="P487:V487"/>
    <mergeCell ref="P343:V343"/>
    <mergeCell ref="P266:T266"/>
    <mergeCell ref="P95:T95"/>
    <mergeCell ref="A461:O462"/>
    <mergeCell ref="D470:E470"/>
    <mergeCell ref="A58:Z58"/>
    <mergeCell ref="P37:V37"/>
    <mergeCell ref="P275:T275"/>
    <mergeCell ref="P104:T104"/>
    <mergeCell ref="P466:V466"/>
    <mergeCell ref="B17:B18"/>
    <mergeCell ref="D479:E479"/>
    <mergeCell ref="P143:V143"/>
    <mergeCell ref="A437:Z437"/>
    <mergeCell ref="A431:Z431"/>
    <mergeCell ref="P235:V235"/>
    <mergeCell ref="P413:T413"/>
    <mergeCell ref="D117:E117"/>
    <mergeCell ref="A300:Z300"/>
    <mergeCell ref="P93:V93"/>
    <mergeCell ref="P462:V462"/>
    <mergeCell ref="A458:Z458"/>
    <mergeCell ref="P32:T32"/>
    <mergeCell ref="A26:Z26"/>
    <mergeCell ref="P17:T18"/>
    <mergeCell ref="P63:T63"/>
    <mergeCell ref="D31:E31"/>
    <mergeCell ref="D60:E60"/>
    <mergeCell ref="P73:T73"/>
    <mergeCell ref="R1:T1"/>
    <mergeCell ref="D71:E71"/>
    <mergeCell ref="P28:T28"/>
    <mergeCell ref="X541:X542"/>
    <mergeCell ref="P392:T392"/>
    <mergeCell ref="D332:E332"/>
    <mergeCell ref="Z541:Z542"/>
    <mergeCell ref="P386:T386"/>
    <mergeCell ref="P326:T326"/>
    <mergeCell ref="P221:T221"/>
    <mergeCell ref="P215:T215"/>
    <mergeCell ref="A381:O382"/>
    <mergeCell ref="A74:O75"/>
    <mergeCell ref="P229:V229"/>
    <mergeCell ref="A282:O283"/>
    <mergeCell ref="P152:T152"/>
    <mergeCell ref="D98:E98"/>
    <mergeCell ref="D73:E73"/>
    <mergeCell ref="P30:T30"/>
    <mergeCell ref="P375:V375"/>
    <mergeCell ref="P179:V179"/>
    <mergeCell ref="P446:V446"/>
    <mergeCell ref="A147:O148"/>
    <mergeCell ref="A445:O446"/>
    <mergeCell ref="H9:I9"/>
    <mergeCell ref="D45:E45"/>
    <mergeCell ref="A49:Z49"/>
    <mergeCell ref="P24:V24"/>
    <mergeCell ref="P322:V322"/>
    <mergeCell ref="D281:E281"/>
    <mergeCell ref="P211:V211"/>
    <mergeCell ref="A383:Z383"/>
    <mergeCell ref="P454:T454"/>
    <mergeCell ref="D297:E297"/>
    <mergeCell ref="A370:Z370"/>
    <mergeCell ref="A256:O257"/>
    <mergeCell ref="A79:O80"/>
    <mergeCell ref="D70:E70"/>
    <mergeCell ref="P391:T391"/>
    <mergeCell ref="D263:E263"/>
    <mergeCell ref="P220:T220"/>
    <mergeCell ref="D238:E238"/>
    <mergeCell ref="A287:O288"/>
    <mergeCell ref="D78:E78"/>
    <mergeCell ref="P384:T384"/>
    <mergeCell ref="D205:E205"/>
    <mergeCell ref="P249:T249"/>
    <mergeCell ref="D363:E363"/>
    <mergeCell ref="A510:Z510"/>
    <mergeCell ref="P244:T244"/>
    <mergeCell ref="R541:R542"/>
    <mergeCell ref="A190:O191"/>
    <mergeCell ref="P231:T231"/>
    <mergeCell ref="D423:E423"/>
    <mergeCell ref="D174:E174"/>
    <mergeCell ref="A165:O166"/>
    <mergeCell ref="A352:Z352"/>
    <mergeCell ref="D410:E410"/>
    <mergeCell ref="A441:Z441"/>
    <mergeCell ref="P245:V245"/>
    <mergeCell ref="C541:C542"/>
    <mergeCell ref="E541:E542"/>
    <mergeCell ref="D499:E499"/>
    <mergeCell ref="P455:T455"/>
    <mergeCell ref="P520:T520"/>
    <mergeCell ref="D357:E357"/>
    <mergeCell ref="P172:T172"/>
    <mergeCell ref="P166:V166"/>
    <mergeCell ref="P402:V402"/>
    <mergeCell ref="P452:T452"/>
    <mergeCell ref="P533:V533"/>
    <mergeCell ref="W541:W54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cn70bHbm4krecNLqEyyOB0rRUiDNWBfJAMkRmmrVcHiwxPEFQO8rHLZ3vcYQymq3AoalRBDH0qyDQjnva8folA==" saltValue="LeerTXvyqfmUWwmy4r4+C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2026-07-08T11:22:58Z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