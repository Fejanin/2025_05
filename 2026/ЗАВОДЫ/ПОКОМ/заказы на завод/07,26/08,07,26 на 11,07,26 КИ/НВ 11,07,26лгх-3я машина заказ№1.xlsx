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F03A79-163F-4AA7-B8A5-9899F42587B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O525" i="1"/>
  <c r="BM525" i="1"/>
  <c r="Z525" i="1"/>
  <c r="Y525" i="1"/>
  <c r="BN525" i="1" s="1"/>
  <c r="P525" i="1"/>
  <c r="BO524" i="1"/>
  <c r="BM524" i="1"/>
  <c r="Y524" i="1"/>
  <c r="Y526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Z515" i="1"/>
  <c r="Y515" i="1"/>
  <c r="Y517" i="1" s="1"/>
  <c r="P515" i="1"/>
  <c r="X513" i="1"/>
  <c r="Y512" i="1"/>
  <c r="X512" i="1"/>
  <c r="BP511" i="1"/>
  <c r="BO511" i="1"/>
  <c r="BN511" i="1"/>
  <c r="BM511" i="1"/>
  <c r="Z511" i="1"/>
  <c r="Z512" i="1" s="1"/>
  <c r="Y511" i="1"/>
  <c r="Y513" i="1" s="1"/>
  <c r="P511" i="1"/>
  <c r="X509" i="1"/>
  <c r="X508" i="1"/>
  <c r="BO507" i="1"/>
  <c r="BM507" i="1"/>
  <c r="Z507" i="1"/>
  <c r="Z508" i="1" s="1"/>
  <c r="Y507" i="1"/>
  <c r="Y508" i="1" s="1"/>
  <c r="P507" i="1"/>
  <c r="X503" i="1"/>
  <c r="X502" i="1"/>
  <c r="BO501" i="1"/>
  <c r="BM501" i="1"/>
  <c r="Y501" i="1"/>
  <c r="BP501" i="1" s="1"/>
  <c r="P501" i="1"/>
  <c r="BO500" i="1"/>
  <c r="BM500" i="1"/>
  <c r="Y500" i="1"/>
  <c r="P500" i="1"/>
  <c r="BO499" i="1"/>
  <c r="BM499" i="1"/>
  <c r="Z499" i="1"/>
  <c r="Y499" i="1"/>
  <c r="BN499" i="1" s="1"/>
  <c r="P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BN495" i="1" s="1"/>
  <c r="P495" i="1"/>
  <c r="X493" i="1"/>
  <c r="X492" i="1"/>
  <c r="BO491" i="1"/>
  <c r="BM491" i="1"/>
  <c r="Y491" i="1"/>
  <c r="P491" i="1"/>
  <c r="BO490" i="1"/>
  <c r="BM490" i="1"/>
  <c r="Y490" i="1"/>
  <c r="Y492" i="1" s="1"/>
  <c r="P490" i="1"/>
  <c r="BO489" i="1"/>
  <c r="BM489" i="1"/>
  <c r="Y489" i="1"/>
  <c r="BN489" i="1" s="1"/>
  <c r="P489" i="1"/>
  <c r="X487" i="1"/>
  <c r="X486" i="1"/>
  <c r="BO485" i="1"/>
  <c r="BM485" i="1"/>
  <c r="Y485" i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P480" i="1"/>
  <c r="BO479" i="1"/>
  <c r="BM479" i="1"/>
  <c r="Z479" i="1"/>
  <c r="Y479" i="1"/>
  <c r="BN479" i="1" s="1"/>
  <c r="P479" i="1"/>
  <c r="BO478" i="1"/>
  <c r="BM478" i="1"/>
  <c r="Y478" i="1"/>
  <c r="P478" i="1"/>
  <c r="BO477" i="1"/>
  <c r="BM477" i="1"/>
  <c r="Y477" i="1"/>
  <c r="P477" i="1"/>
  <c r="X473" i="1"/>
  <c r="Y472" i="1"/>
  <c r="X472" i="1"/>
  <c r="BO471" i="1"/>
  <c r="BM471" i="1"/>
  <c r="Y471" i="1"/>
  <c r="BP471" i="1" s="1"/>
  <c r="P471" i="1"/>
  <c r="BO470" i="1"/>
  <c r="BM470" i="1"/>
  <c r="Y470" i="1"/>
  <c r="P470" i="1"/>
  <c r="BO469" i="1"/>
  <c r="BM469" i="1"/>
  <c r="Z469" i="1"/>
  <c r="Y469" i="1"/>
  <c r="Y473" i="1" s="1"/>
  <c r="P469" i="1"/>
  <c r="X467" i="1"/>
  <c r="Y466" i="1"/>
  <c r="X466" i="1"/>
  <c r="BO465" i="1"/>
  <c r="BM465" i="1"/>
  <c r="Y465" i="1"/>
  <c r="Y543" i="1" s="1"/>
  <c r="P465" i="1"/>
  <c r="X462" i="1"/>
  <c r="X461" i="1"/>
  <c r="BO460" i="1"/>
  <c r="BM460" i="1"/>
  <c r="Y460" i="1"/>
  <c r="P460" i="1"/>
  <c r="BO459" i="1"/>
  <c r="BM459" i="1"/>
  <c r="Y459" i="1"/>
  <c r="Y461" i="1" s="1"/>
  <c r="P459" i="1"/>
  <c r="X457" i="1"/>
  <c r="X456" i="1"/>
  <c r="BO455" i="1"/>
  <c r="BM455" i="1"/>
  <c r="Y455" i="1"/>
  <c r="P455" i="1"/>
  <c r="BO454" i="1"/>
  <c r="BM454" i="1"/>
  <c r="Z454" i="1"/>
  <c r="Y454" i="1"/>
  <c r="BN454" i="1" s="1"/>
  <c r="P454" i="1"/>
  <c r="BO453" i="1"/>
  <c r="BM453" i="1"/>
  <c r="Y453" i="1"/>
  <c r="Z453" i="1" s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BP450" i="1" s="1"/>
  <c r="P450" i="1"/>
  <c r="X446" i="1"/>
  <c r="X445" i="1"/>
  <c r="BO444" i="1"/>
  <c r="BM444" i="1"/>
  <c r="Y444" i="1"/>
  <c r="P444" i="1"/>
  <c r="BO443" i="1"/>
  <c r="BM443" i="1"/>
  <c r="Y443" i="1"/>
  <c r="Y445" i="1" s="1"/>
  <c r="P443" i="1"/>
  <c r="BO442" i="1"/>
  <c r="BM442" i="1"/>
  <c r="Y442" i="1"/>
  <c r="BN442" i="1" s="1"/>
  <c r="P442" i="1"/>
  <c r="X440" i="1"/>
  <c r="X439" i="1"/>
  <c r="BO438" i="1"/>
  <c r="BM438" i="1"/>
  <c r="Z438" i="1"/>
  <c r="Z439" i="1" s="1"/>
  <c r="Y438" i="1"/>
  <c r="Y440" i="1" s="1"/>
  <c r="P438" i="1"/>
  <c r="X436" i="1"/>
  <c r="X435" i="1"/>
  <c r="BO434" i="1"/>
  <c r="BM434" i="1"/>
  <c r="Y434" i="1"/>
  <c r="P434" i="1"/>
  <c r="BO433" i="1"/>
  <c r="BM433" i="1"/>
  <c r="Y433" i="1"/>
  <c r="P433" i="1"/>
  <c r="X430" i="1"/>
  <c r="X429" i="1"/>
  <c r="BO428" i="1"/>
  <c r="BM428" i="1"/>
  <c r="Y428" i="1"/>
  <c r="Y430" i="1" s="1"/>
  <c r="P428" i="1"/>
  <c r="X426" i="1"/>
  <c r="X425" i="1"/>
  <c r="BO424" i="1"/>
  <c r="BM424" i="1"/>
  <c r="Y424" i="1"/>
  <c r="P424" i="1"/>
  <c r="BP423" i="1"/>
  <c r="BO423" i="1"/>
  <c r="BM423" i="1"/>
  <c r="Y423" i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Z417" i="1"/>
  <c r="Y417" i="1"/>
  <c r="Y421" i="1" s="1"/>
  <c r="P417" i="1"/>
  <c r="X415" i="1"/>
  <c r="X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BP407" i="1" s="1"/>
  <c r="P407" i="1"/>
  <c r="BO406" i="1"/>
  <c r="BM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O392" i="1"/>
  <c r="BM392" i="1"/>
  <c r="Z392" i="1"/>
  <c r="Y392" i="1"/>
  <c r="BN392" i="1" s="1"/>
  <c r="P392" i="1"/>
  <c r="BO391" i="1"/>
  <c r="BM391" i="1"/>
  <c r="Y391" i="1"/>
  <c r="Y395" i="1" s="1"/>
  <c r="P391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Z378" i="1"/>
  <c r="Y378" i="1"/>
  <c r="Y382" i="1" s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P372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O364" i="1"/>
  <c r="BM364" i="1"/>
  <c r="Z364" i="1"/>
  <c r="Y364" i="1"/>
  <c r="BN364" i="1" s="1"/>
  <c r="P364" i="1"/>
  <c r="BO363" i="1"/>
  <c r="BM363" i="1"/>
  <c r="Y363" i="1"/>
  <c r="BP363" i="1" s="1"/>
  <c r="P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Z356" i="1"/>
  <c r="Y356" i="1"/>
  <c r="BN356" i="1" s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Z347" i="1"/>
  <c r="Y347" i="1"/>
  <c r="BN347" i="1" s="1"/>
  <c r="P347" i="1"/>
  <c r="BO346" i="1"/>
  <c r="BM346" i="1"/>
  <c r="Y346" i="1"/>
  <c r="S543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Z325" i="1"/>
  <c r="Y325" i="1"/>
  <c r="BN325" i="1" s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P318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Z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X246" i="1"/>
  <c r="X245" i="1"/>
  <c r="BP244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Z238" i="1"/>
  <c r="Y238" i="1"/>
  <c r="Y242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Y236" i="1" s="1"/>
  <c r="P231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Z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Z216" i="1"/>
  <c r="Y216" i="1"/>
  <c r="BN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Y211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Z200" i="1"/>
  <c r="Y200" i="1"/>
  <c r="BN200" i="1" s="1"/>
  <c r="P200" i="1"/>
  <c r="BO199" i="1"/>
  <c r="BM199" i="1"/>
  <c r="Y199" i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P189" i="1"/>
  <c r="BO188" i="1"/>
  <c r="BM188" i="1"/>
  <c r="Y188" i="1"/>
  <c r="P188" i="1"/>
  <c r="X186" i="1"/>
  <c r="X185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Z178" i="1"/>
  <c r="Y178" i="1"/>
  <c r="BN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Z170" i="1"/>
  <c r="Y170" i="1"/>
  <c r="BN170" i="1" s="1"/>
  <c r="P170" i="1"/>
  <c r="BO169" i="1"/>
  <c r="BM169" i="1"/>
  <c r="Y169" i="1"/>
  <c r="BP169" i="1" s="1"/>
  <c r="P169" i="1"/>
  <c r="BO168" i="1"/>
  <c r="BM168" i="1"/>
  <c r="Y168" i="1"/>
  <c r="Z168" i="1" s="1"/>
  <c r="P168" i="1"/>
  <c r="X166" i="1"/>
  <c r="X165" i="1"/>
  <c r="BO164" i="1"/>
  <c r="BM164" i="1"/>
  <c r="Y164" i="1"/>
  <c r="P164" i="1"/>
  <c r="X162" i="1"/>
  <c r="X161" i="1"/>
  <c r="BO160" i="1"/>
  <c r="BM160" i="1"/>
  <c r="Y160" i="1"/>
  <c r="BN160" i="1" s="1"/>
  <c r="P160" i="1"/>
  <c r="BO159" i="1"/>
  <c r="BM159" i="1"/>
  <c r="Y159" i="1"/>
  <c r="P159" i="1"/>
  <c r="X156" i="1"/>
  <c r="X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P152" i="1"/>
  <c r="BO151" i="1"/>
  <c r="BM151" i="1"/>
  <c r="Y151" i="1"/>
  <c r="BN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Z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P114" i="1"/>
  <c r="BO113" i="1"/>
  <c r="BM113" i="1"/>
  <c r="Y113" i="1"/>
  <c r="Y121" i="1" s="1"/>
  <c r="P113" i="1"/>
  <c r="X111" i="1"/>
  <c r="X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BP88" i="1" s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7" i="1"/>
  <c r="X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Y57" i="1" s="1"/>
  <c r="P53" i="1"/>
  <c r="BO52" i="1"/>
  <c r="BM52" i="1"/>
  <c r="Y52" i="1"/>
  <c r="BP52" i="1" s="1"/>
  <c r="P52" i="1"/>
  <c r="X48" i="1"/>
  <c r="X47" i="1"/>
  <c r="BO46" i="1"/>
  <c r="BM46" i="1"/>
  <c r="Y46" i="1"/>
  <c r="BP46" i="1" s="1"/>
  <c r="P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P43" i="1"/>
  <c r="BP42" i="1"/>
  <c r="BO42" i="1"/>
  <c r="BN42" i="1"/>
  <c r="BM42" i="1"/>
  <c r="Z42" i="1"/>
  <c r="Y42" i="1"/>
  <c r="P42" i="1"/>
  <c r="X38" i="1"/>
  <c r="X37" i="1"/>
  <c r="BO36" i="1"/>
  <c r="BM36" i="1"/>
  <c r="Y36" i="1"/>
  <c r="Y38" i="1" s="1"/>
  <c r="P36" i="1"/>
  <c r="X34" i="1"/>
  <c r="X33" i="1"/>
  <c r="BO32" i="1"/>
  <c r="BM32" i="1"/>
  <c r="Z32" i="1"/>
  <c r="Y32" i="1"/>
  <c r="BN32" i="1" s="1"/>
  <c r="P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N28" i="1" l="1"/>
  <c r="BN44" i="1"/>
  <c r="BN61" i="1"/>
  <c r="BP109" i="1"/>
  <c r="BP115" i="1"/>
  <c r="Y166" i="1"/>
  <c r="Y165" i="1"/>
  <c r="BP164" i="1"/>
  <c r="BN164" i="1"/>
  <c r="BN204" i="1"/>
  <c r="BN232" i="1"/>
  <c r="Z232" i="1"/>
  <c r="BN249" i="1"/>
  <c r="BN259" i="1"/>
  <c r="Z259" i="1"/>
  <c r="BN279" i="1"/>
  <c r="Y307" i="1"/>
  <c r="Y306" i="1"/>
  <c r="BP305" i="1"/>
  <c r="BN305" i="1"/>
  <c r="Z305" i="1"/>
  <c r="Z306" i="1" s="1"/>
  <c r="BN311" i="1"/>
  <c r="Z311" i="1"/>
  <c r="BP320" i="1"/>
  <c r="BN320" i="1"/>
  <c r="Z320" i="1"/>
  <c r="BN332" i="1"/>
  <c r="Z332" i="1"/>
  <c r="BP374" i="1"/>
  <c r="BN374" i="1"/>
  <c r="Z374" i="1"/>
  <c r="BN384" i="1"/>
  <c r="Z384" i="1"/>
  <c r="BN411" i="1"/>
  <c r="Z411" i="1"/>
  <c r="BP434" i="1"/>
  <c r="BN434" i="1"/>
  <c r="Z434" i="1"/>
  <c r="BP32" i="1"/>
  <c r="BN52" i="1"/>
  <c r="BP65" i="1"/>
  <c r="BP73" i="1"/>
  <c r="BN83" i="1"/>
  <c r="Z88" i="1"/>
  <c r="BN88" i="1"/>
  <c r="BN90" i="1"/>
  <c r="Z96" i="1"/>
  <c r="BN96" i="1"/>
  <c r="BN98" i="1"/>
  <c r="Z103" i="1"/>
  <c r="BN103" i="1"/>
  <c r="BN105" i="1"/>
  <c r="Z109" i="1"/>
  <c r="Z115" i="1"/>
  <c r="Z117" i="1"/>
  <c r="BN117" i="1"/>
  <c r="BN119" i="1"/>
  <c r="Z123" i="1"/>
  <c r="BN123" i="1"/>
  <c r="BN125" i="1"/>
  <c r="Z136" i="1"/>
  <c r="BN136" i="1"/>
  <c r="Z153" i="1"/>
  <c r="Z164" i="1"/>
  <c r="Z165" i="1" s="1"/>
  <c r="BN174" i="1"/>
  <c r="BN220" i="1"/>
  <c r="BP232" i="1"/>
  <c r="BP234" i="1"/>
  <c r="BN234" i="1"/>
  <c r="Z234" i="1"/>
  <c r="Y246" i="1"/>
  <c r="Z244" i="1"/>
  <c r="Z245" i="1" s="1"/>
  <c r="BP259" i="1"/>
  <c r="BP261" i="1"/>
  <c r="BN261" i="1"/>
  <c r="Z261" i="1"/>
  <c r="BN271" i="1"/>
  <c r="BP291" i="1"/>
  <c r="BN291" i="1"/>
  <c r="Z291" i="1"/>
  <c r="BN297" i="1"/>
  <c r="Z297" i="1"/>
  <c r="BP311" i="1"/>
  <c r="BN318" i="1"/>
  <c r="Z318" i="1"/>
  <c r="BP332" i="1"/>
  <c r="BP334" i="1"/>
  <c r="BN334" i="1"/>
  <c r="Z334" i="1"/>
  <c r="BP340" i="1"/>
  <c r="BN340" i="1"/>
  <c r="Z340" i="1"/>
  <c r="Y375" i="1"/>
  <c r="BN372" i="1"/>
  <c r="Z372" i="1"/>
  <c r="BP384" i="1"/>
  <c r="BP386" i="1"/>
  <c r="BN386" i="1"/>
  <c r="Z386" i="1"/>
  <c r="BP411" i="1"/>
  <c r="BP413" i="1"/>
  <c r="BN413" i="1"/>
  <c r="Z413" i="1"/>
  <c r="Y425" i="1"/>
  <c r="Z423" i="1"/>
  <c r="BN450" i="1"/>
  <c r="BN483" i="1"/>
  <c r="BP170" i="1"/>
  <c r="BP178" i="1"/>
  <c r="BP184" i="1"/>
  <c r="BP200" i="1"/>
  <c r="BP216" i="1"/>
  <c r="BP224" i="1"/>
  <c r="BP238" i="1"/>
  <c r="BN263" i="1"/>
  <c r="BP275" i="1"/>
  <c r="BN286" i="1"/>
  <c r="BN293" i="1"/>
  <c r="BP325" i="1"/>
  <c r="BN336" i="1"/>
  <c r="Y343" i="1"/>
  <c r="BP347" i="1"/>
  <c r="T543" i="1"/>
  <c r="BP356" i="1"/>
  <c r="Y369" i="1"/>
  <c r="BP364" i="1"/>
  <c r="BP378" i="1"/>
  <c r="BP392" i="1"/>
  <c r="BN407" i="1"/>
  <c r="BP417" i="1"/>
  <c r="BP438" i="1"/>
  <c r="BP454" i="1"/>
  <c r="BN465" i="1"/>
  <c r="BP469" i="1"/>
  <c r="BN471" i="1"/>
  <c r="BP479" i="1"/>
  <c r="BN481" i="1"/>
  <c r="BP499" i="1"/>
  <c r="BP507" i="1"/>
  <c r="BP515" i="1"/>
  <c r="BP525" i="1"/>
  <c r="X537" i="1"/>
  <c r="Z28" i="1"/>
  <c r="Z44" i="1"/>
  <c r="Z52" i="1"/>
  <c r="Z61" i="1"/>
  <c r="Z83" i="1"/>
  <c r="Z90" i="1"/>
  <c r="Y99" i="1"/>
  <c r="Z98" i="1"/>
  <c r="Z105" i="1"/>
  <c r="Z119" i="1"/>
  <c r="Y127" i="1"/>
  <c r="Z125" i="1"/>
  <c r="Z146" i="1"/>
  <c r="Y156" i="1"/>
  <c r="BP153" i="1"/>
  <c r="J543" i="1"/>
  <c r="BP160" i="1"/>
  <c r="Z160" i="1"/>
  <c r="BN265" i="1"/>
  <c r="BP265" i="1"/>
  <c r="Z265" i="1"/>
  <c r="BN409" i="1"/>
  <c r="BP409" i="1"/>
  <c r="Z409" i="1"/>
  <c r="BN491" i="1"/>
  <c r="BP491" i="1"/>
  <c r="Z491" i="1"/>
  <c r="BN22" i="1"/>
  <c r="Y25" i="1"/>
  <c r="BN30" i="1"/>
  <c r="BN36" i="1"/>
  <c r="Y37" i="1"/>
  <c r="BN46" i="1"/>
  <c r="BN54" i="1"/>
  <c r="BN63" i="1"/>
  <c r="BN71" i="1"/>
  <c r="BN77" i="1"/>
  <c r="Y80" i="1"/>
  <c r="BN107" i="1"/>
  <c r="BN113" i="1"/>
  <c r="Y120" i="1"/>
  <c r="Y179" i="1"/>
  <c r="BN168" i="1"/>
  <c r="BP168" i="1"/>
  <c r="BN176" i="1"/>
  <c r="BP176" i="1"/>
  <c r="Z176" i="1"/>
  <c r="Y186" i="1"/>
  <c r="BN182" i="1"/>
  <c r="BP182" i="1"/>
  <c r="Z182" i="1"/>
  <c r="Y190" i="1"/>
  <c r="BN188" i="1"/>
  <c r="BP188" i="1"/>
  <c r="Z188" i="1"/>
  <c r="BN222" i="1"/>
  <c r="BP222" i="1"/>
  <c r="Z222" i="1"/>
  <c r="BN281" i="1"/>
  <c r="BP281" i="1"/>
  <c r="Z281" i="1"/>
  <c r="BN354" i="1"/>
  <c r="BP354" i="1"/>
  <c r="Z354" i="1"/>
  <c r="BN362" i="1"/>
  <c r="BP362" i="1"/>
  <c r="Z362" i="1"/>
  <c r="BN399" i="1"/>
  <c r="BP399" i="1"/>
  <c r="Z399" i="1"/>
  <c r="BN452" i="1"/>
  <c r="BP452" i="1"/>
  <c r="Z452" i="1"/>
  <c r="BN460" i="1"/>
  <c r="BP460" i="1"/>
  <c r="Z460" i="1"/>
  <c r="BN477" i="1"/>
  <c r="BP477" i="1"/>
  <c r="Z477" i="1"/>
  <c r="BN485" i="1"/>
  <c r="BP485" i="1"/>
  <c r="Z485" i="1"/>
  <c r="BN295" i="1"/>
  <c r="BP295" i="1"/>
  <c r="Z295" i="1"/>
  <c r="Y303" i="1"/>
  <c r="Y302" i="1"/>
  <c r="BN301" i="1"/>
  <c r="BP301" i="1"/>
  <c r="Z301" i="1"/>
  <c r="Z302" i="1" s="1"/>
  <c r="Y313" i="1"/>
  <c r="BN309" i="1"/>
  <c r="BP309" i="1"/>
  <c r="Z309" i="1"/>
  <c r="BN316" i="1"/>
  <c r="BP316" i="1"/>
  <c r="Z316" i="1"/>
  <c r="BN444" i="1"/>
  <c r="BP444" i="1"/>
  <c r="Z444" i="1"/>
  <c r="Z22" i="1"/>
  <c r="Y33" i="1"/>
  <c r="Z30" i="1"/>
  <c r="Z36" i="1"/>
  <c r="Z37" i="1" s="1"/>
  <c r="BP36" i="1"/>
  <c r="Y47" i="1"/>
  <c r="Z46" i="1"/>
  <c r="Z54" i="1"/>
  <c r="E543" i="1"/>
  <c r="Z63" i="1"/>
  <c r="Z71" i="1"/>
  <c r="Z77" i="1"/>
  <c r="BP77" i="1"/>
  <c r="Y93" i="1"/>
  <c r="Y110" i="1"/>
  <c r="Z107" i="1"/>
  <c r="Z113" i="1"/>
  <c r="BP113" i="1"/>
  <c r="Y128" i="1"/>
  <c r="Y142" i="1"/>
  <c r="BN140" i="1"/>
  <c r="BP140" i="1"/>
  <c r="BP146" i="1"/>
  <c r="BP151" i="1"/>
  <c r="Z151" i="1"/>
  <c r="BN214" i="1"/>
  <c r="BP214" i="1"/>
  <c r="Z214" i="1"/>
  <c r="BN273" i="1"/>
  <c r="BP273" i="1"/>
  <c r="Z273" i="1"/>
  <c r="BN497" i="1"/>
  <c r="BP497" i="1"/>
  <c r="Z497" i="1"/>
  <c r="Y282" i="1"/>
  <c r="V543" i="1"/>
  <c r="Y446" i="1"/>
  <c r="Y493" i="1"/>
  <c r="Y503" i="1"/>
  <c r="BN501" i="1"/>
  <c r="H543" i="1"/>
  <c r="Y143" i="1"/>
  <c r="Z174" i="1"/>
  <c r="Z204" i="1"/>
  <c r="Z220" i="1"/>
  <c r="BN238" i="1"/>
  <c r="BN244" i="1"/>
  <c r="Y245" i="1"/>
  <c r="Z249" i="1"/>
  <c r="Z263" i="1"/>
  <c r="Z271" i="1"/>
  <c r="Z279" i="1"/>
  <c r="Z286" i="1"/>
  <c r="Z293" i="1"/>
  <c r="Y328" i="1"/>
  <c r="Y337" i="1"/>
  <c r="Z336" i="1"/>
  <c r="Y342" i="1"/>
  <c r="BN378" i="1"/>
  <c r="Y381" i="1"/>
  <c r="Y389" i="1"/>
  <c r="Z407" i="1"/>
  <c r="BN417" i="1"/>
  <c r="Y420" i="1"/>
  <c r="BN423" i="1"/>
  <c r="Y426" i="1"/>
  <c r="W543" i="1"/>
  <c r="BN438" i="1"/>
  <c r="Y439" i="1"/>
  <c r="Z442" i="1"/>
  <c r="BP442" i="1"/>
  <c r="Z450" i="1"/>
  <c r="Z465" i="1"/>
  <c r="Z466" i="1" s="1"/>
  <c r="BP465" i="1"/>
  <c r="BN469" i="1"/>
  <c r="Z483" i="1"/>
  <c r="Z489" i="1"/>
  <c r="BP489" i="1"/>
  <c r="Z495" i="1"/>
  <c r="BP495" i="1"/>
  <c r="BN507" i="1"/>
  <c r="BN515" i="1"/>
  <c r="Y185" i="1"/>
  <c r="Y191" i="1"/>
  <c r="K543" i="1"/>
  <c r="Y267" i="1"/>
  <c r="Y388" i="1"/>
  <c r="Z471" i="1"/>
  <c r="Z481" i="1"/>
  <c r="Z501" i="1"/>
  <c r="AA543" i="1"/>
  <c r="H9" i="1"/>
  <c r="A10" i="1"/>
  <c r="B543" i="1"/>
  <c r="X534" i="1"/>
  <c r="X535" i="1"/>
  <c r="Z23" i="1"/>
  <c r="Z24" i="1" s="1"/>
  <c r="BN23" i="1"/>
  <c r="BP23" i="1"/>
  <c r="Y24" i="1"/>
  <c r="X533" i="1"/>
  <c r="Z27" i="1"/>
  <c r="BN27" i="1"/>
  <c r="BP27" i="1"/>
  <c r="Z29" i="1"/>
  <c r="BN29" i="1"/>
  <c r="Z31" i="1"/>
  <c r="BN31" i="1"/>
  <c r="Y34" i="1"/>
  <c r="C543" i="1"/>
  <c r="Z43" i="1"/>
  <c r="BN43" i="1"/>
  <c r="BP43" i="1"/>
  <c r="Z45" i="1"/>
  <c r="BN45" i="1"/>
  <c r="Y48" i="1"/>
  <c r="D543" i="1"/>
  <c r="Z53" i="1"/>
  <c r="BN53" i="1"/>
  <c r="BP53" i="1"/>
  <c r="Z55" i="1"/>
  <c r="BN55" i="1"/>
  <c r="Y56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43" i="1"/>
  <c r="Z104" i="1"/>
  <c r="BN104" i="1"/>
  <c r="BP104" i="1"/>
  <c r="Z106" i="1"/>
  <c r="BN106" i="1"/>
  <c r="Z108" i="1"/>
  <c r="BN108" i="1"/>
  <c r="Y111" i="1"/>
  <c r="Z114" i="1"/>
  <c r="BN114" i="1"/>
  <c r="BP114" i="1"/>
  <c r="Z116" i="1"/>
  <c r="BN116" i="1"/>
  <c r="Z118" i="1"/>
  <c r="BN118" i="1"/>
  <c r="Z124" i="1"/>
  <c r="Z127" i="1" s="1"/>
  <c r="BN124" i="1"/>
  <c r="BP124" i="1"/>
  <c r="Z126" i="1"/>
  <c r="BN126" i="1"/>
  <c r="Z130" i="1"/>
  <c r="Z131" i="1" s="1"/>
  <c r="BN130" i="1"/>
  <c r="BP130" i="1"/>
  <c r="Y131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I543" i="1"/>
  <c r="Z152" i="1"/>
  <c r="BN152" i="1"/>
  <c r="BP152" i="1"/>
  <c r="Z154" i="1"/>
  <c r="BN154" i="1"/>
  <c r="Y155" i="1"/>
  <c r="Z159" i="1"/>
  <c r="BN159" i="1"/>
  <c r="BP159" i="1"/>
  <c r="Y162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Z189" i="1"/>
  <c r="Z190" i="1" s="1"/>
  <c r="BN189" i="1"/>
  <c r="BP189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28" i="1"/>
  <c r="BP217" i="1"/>
  <c r="BN217" i="1"/>
  <c r="Z217" i="1"/>
  <c r="BP221" i="1"/>
  <c r="BN221" i="1"/>
  <c r="Z221" i="1"/>
  <c r="F9" i="1"/>
  <c r="J9" i="1"/>
  <c r="Y68" i="1"/>
  <c r="Y137" i="1"/>
  <c r="Y161" i="1"/>
  <c r="Y207" i="1"/>
  <c r="L543" i="1"/>
  <c r="Y212" i="1"/>
  <c r="BP215" i="1"/>
  <c r="BN215" i="1"/>
  <c r="Z215" i="1"/>
  <c r="BP219" i="1"/>
  <c r="BN219" i="1"/>
  <c r="Z219" i="1"/>
  <c r="Y229" i="1"/>
  <c r="Y235" i="1"/>
  <c r="Y241" i="1"/>
  <c r="Y252" i="1"/>
  <c r="Y256" i="1"/>
  <c r="Y268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223" i="1"/>
  <c r="BN223" i="1"/>
  <c r="Z225" i="1"/>
  <c r="BN225" i="1"/>
  <c r="Z227" i="1"/>
  <c r="BN227" i="1"/>
  <c r="Z231" i="1"/>
  <c r="BN231" i="1"/>
  <c r="BP231" i="1"/>
  <c r="Z233" i="1"/>
  <c r="BN233" i="1"/>
  <c r="Z239" i="1"/>
  <c r="Z241" i="1" s="1"/>
  <c r="BN239" i="1"/>
  <c r="M543" i="1"/>
  <c r="Z250" i="1"/>
  <c r="Z251" i="1" s="1"/>
  <c r="BN250" i="1"/>
  <c r="Y251" i="1"/>
  <c r="Z254" i="1"/>
  <c r="Z256" i="1" s="1"/>
  <c r="BN254" i="1"/>
  <c r="BP254" i="1"/>
  <c r="Z260" i="1"/>
  <c r="BN260" i="1"/>
  <c r="Z262" i="1"/>
  <c r="BN262" i="1"/>
  <c r="Z264" i="1"/>
  <c r="BN264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Y287" i="1"/>
  <c r="BP292" i="1"/>
  <c r="BN292" i="1"/>
  <c r="Z292" i="1"/>
  <c r="BP296" i="1"/>
  <c r="BN296" i="1"/>
  <c r="Z296" i="1"/>
  <c r="Y312" i="1"/>
  <c r="Y321" i="1"/>
  <c r="BP317" i="1"/>
  <c r="BN317" i="1"/>
  <c r="Z317" i="1"/>
  <c r="O543" i="1"/>
  <c r="Y299" i="1"/>
  <c r="P543" i="1"/>
  <c r="Z319" i="1"/>
  <c r="BN319" i="1"/>
  <c r="Y322" i="1"/>
  <c r="Q543" i="1"/>
  <c r="Z326" i="1"/>
  <c r="Z328" i="1" s="1"/>
  <c r="BN326" i="1"/>
  <c r="BP326" i="1"/>
  <c r="Y329" i="1"/>
  <c r="R543" i="1"/>
  <c r="Z333" i="1"/>
  <c r="BN333" i="1"/>
  <c r="BP333" i="1"/>
  <c r="Z335" i="1"/>
  <c r="BN335" i="1"/>
  <c r="Y338" i="1"/>
  <c r="Z341" i="1"/>
  <c r="BN341" i="1"/>
  <c r="BP341" i="1"/>
  <c r="Z346" i="1"/>
  <c r="Z349" i="1" s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Y368" i="1"/>
  <c r="Z371" i="1"/>
  <c r="Z375" i="1" s="1"/>
  <c r="BN371" i="1"/>
  <c r="BP371" i="1"/>
  <c r="Z373" i="1"/>
  <c r="BN373" i="1"/>
  <c r="Y376" i="1"/>
  <c r="Z379" i="1"/>
  <c r="Z381" i="1" s="1"/>
  <c r="BN379" i="1"/>
  <c r="BP379" i="1"/>
  <c r="Z385" i="1"/>
  <c r="BN385" i="1"/>
  <c r="BP385" i="1"/>
  <c r="Z387" i="1"/>
  <c r="BN387" i="1"/>
  <c r="Z391" i="1"/>
  <c r="BN391" i="1"/>
  <c r="BP391" i="1"/>
  <c r="Z393" i="1"/>
  <c r="BN393" i="1"/>
  <c r="Y394" i="1"/>
  <c r="Z398" i="1"/>
  <c r="Z401" i="1" s="1"/>
  <c r="BN398" i="1"/>
  <c r="BP398" i="1"/>
  <c r="Z400" i="1"/>
  <c r="BN400" i="1"/>
  <c r="Y401" i="1"/>
  <c r="Z406" i="1"/>
  <c r="BN406" i="1"/>
  <c r="BP406" i="1"/>
  <c r="Z408" i="1"/>
  <c r="BN408" i="1"/>
  <c r="Z410" i="1"/>
  <c r="BN410" i="1"/>
  <c r="Z412" i="1"/>
  <c r="BN412" i="1"/>
  <c r="Y415" i="1"/>
  <c r="Z418" i="1"/>
  <c r="Z420" i="1" s="1"/>
  <c r="BN418" i="1"/>
  <c r="BP418" i="1"/>
  <c r="Z424" i="1"/>
  <c r="Z425" i="1" s="1"/>
  <c r="BN424" i="1"/>
  <c r="BP424" i="1"/>
  <c r="Z428" i="1"/>
  <c r="Z429" i="1" s="1"/>
  <c r="BN428" i="1"/>
  <c r="BP428" i="1"/>
  <c r="Y429" i="1"/>
  <c r="Z433" i="1"/>
  <c r="Z435" i="1" s="1"/>
  <c r="BN433" i="1"/>
  <c r="BP433" i="1"/>
  <c r="Y436" i="1"/>
  <c r="Z443" i="1"/>
  <c r="Z445" i="1" s="1"/>
  <c r="BN443" i="1"/>
  <c r="BP443" i="1"/>
  <c r="X543" i="1"/>
  <c r="Y456" i="1"/>
  <c r="Z451" i="1"/>
  <c r="BN451" i="1"/>
  <c r="BP470" i="1"/>
  <c r="BN470" i="1"/>
  <c r="Z470" i="1"/>
  <c r="Z543" i="1"/>
  <c r="BP480" i="1"/>
  <c r="BN480" i="1"/>
  <c r="Z480" i="1"/>
  <c r="BP484" i="1"/>
  <c r="BN484" i="1"/>
  <c r="Z484" i="1"/>
  <c r="BP496" i="1"/>
  <c r="BN496" i="1"/>
  <c r="Z496" i="1"/>
  <c r="BP500" i="1"/>
  <c r="BN500" i="1"/>
  <c r="Z500" i="1"/>
  <c r="Y350" i="1"/>
  <c r="Y359" i="1"/>
  <c r="Y402" i="1"/>
  <c r="Y414" i="1"/>
  <c r="Y435" i="1"/>
  <c r="BP453" i="1"/>
  <c r="BN453" i="1"/>
  <c r="BP455" i="1"/>
  <c r="BN455" i="1"/>
  <c r="Z455" i="1"/>
  <c r="Y457" i="1"/>
  <c r="Y462" i="1"/>
  <c r="BP459" i="1"/>
  <c r="BN459" i="1"/>
  <c r="Z459" i="1"/>
  <c r="BP478" i="1"/>
  <c r="BN478" i="1"/>
  <c r="Z478" i="1"/>
  <c r="BP482" i="1"/>
  <c r="BN482" i="1"/>
  <c r="Z482" i="1"/>
  <c r="Y486" i="1"/>
  <c r="BP490" i="1"/>
  <c r="BN490" i="1"/>
  <c r="Z490" i="1"/>
  <c r="Z492" i="1" s="1"/>
  <c r="BP498" i="1"/>
  <c r="BN498" i="1"/>
  <c r="Z498" i="1"/>
  <c r="Y502" i="1"/>
  <c r="BP516" i="1"/>
  <c r="BN516" i="1"/>
  <c r="Z516" i="1"/>
  <c r="Z517" i="1" s="1"/>
  <c r="Y518" i="1"/>
  <c r="Y521" i="1"/>
  <c r="BP520" i="1"/>
  <c r="BN520" i="1"/>
  <c r="Z520" i="1"/>
  <c r="Z521" i="1" s="1"/>
  <c r="Y522" i="1"/>
  <c r="Y527" i="1"/>
  <c r="BP524" i="1"/>
  <c r="BN524" i="1"/>
  <c r="Z524" i="1"/>
  <c r="Z526" i="1" s="1"/>
  <c r="Y467" i="1"/>
  <c r="Y487" i="1"/>
  <c r="Y509" i="1"/>
  <c r="Y532" i="1"/>
  <c r="Z530" i="1"/>
  <c r="Z531" i="1" s="1"/>
  <c r="BN530" i="1"/>
  <c r="BP530" i="1"/>
  <c r="Y531" i="1"/>
  <c r="Z321" i="1" l="1"/>
  <c r="Z486" i="1"/>
  <c r="Z461" i="1"/>
  <c r="Z456" i="1"/>
  <c r="Z342" i="1"/>
  <c r="Z337" i="1"/>
  <c r="Z312" i="1"/>
  <c r="Z161" i="1"/>
  <c r="Z47" i="1"/>
  <c r="Z179" i="1"/>
  <c r="Z472" i="1"/>
  <c r="Z414" i="1"/>
  <c r="Z394" i="1"/>
  <c r="Z368" i="1"/>
  <c r="Z358" i="1"/>
  <c r="Z56" i="1"/>
  <c r="Z502" i="1"/>
  <c r="Z388" i="1"/>
  <c r="Z298" i="1"/>
  <c r="Z267" i="1"/>
  <c r="Z228" i="1"/>
  <c r="Y534" i="1"/>
  <c r="Y536" i="1" s="1"/>
  <c r="Z155" i="1"/>
  <c r="Z120" i="1"/>
  <c r="Z110" i="1"/>
  <c r="Y533" i="1"/>
  <c r="Y535" i="1"/>
  <c r="X536" i="1"/>
  <c r="Z282" i="1"/>
  <c r="Z235" i="1"/>
  <c r="Z206" i="1"/>
  <c r="Z99" i="1"/>
  <c r="Z74" i="1"/>
  <c r="Z67" i="1"/>
  <c r="Z33" i="1"/>
  <c r="Y537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<sst xmlns="http://schemas.openxmlformats.org/spreadsheetml/2006/main" count="2409" uniqueCount="873">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</sst>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90" t="s">
        <v>0</v>
      </c>
      <c r="E1" s="638"/>
      <c r="F1" s="638"/>
      <c r="G1" s="12" t="s">
        <v>1</v>
      </c>
      <c r="H1" s="690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31" t="s">
        <v>8</v>
      </c>
      <c r="B5" s="662"/>
      <c r="C5" s="663"/>
      <c r="D5" s="694"/>
      <c r="E5" s="695"/>
      <c r="F5" s="920" t="s">
        <v>9</v>
      </c>
      <c r="G5" s="663"/>
      <c r="H5" s="694" t="s">
        <v>872</v>
      </c>
      <c r="I5" s="847"/>
      <c r="J5" s="847"/>
      <c r="K5" s="847"/>
      <c r="L5" s="847"/>
      <c r="M5" s="695"/>
      <c r="N5" s="58"/>
      <c r="P5" s="24" t="s">
        <v>10</v>
      </c>
      <c r="Q5" s="903">
        <v>46214</v>
      </c>
      <c r="R5" s="726"/>
      <c r="T5" s="773" t="s">
        <v>11</v>
      </c>
      <c r="U5" s="774"/>
      <c r="V5" s="775" t="s">
        <v>12</v>
      </c>
      <c r="W5" s="726"/>
      <c r="AB5" s="51"/>
      <c r="AC5" s="51"/>
      <c r="AD5" s="51"/>
      <c r="AE5" s="51"/>
    </row>
    <row r="6" spans="1:32" s="599" customFormat="1" ht="24" customHeight="1" x14ac:dyDescent="0.2">
      <c r="A6" s="731" t="s">
        <v>13</v>
      </c>
      <c r="B6" s="662"/>
      <c r="C6" s="663"/>
      <c r="D6" s="850" t="s">
        <v>848</v>
      </c>
      <c r="E6" s="851"/>
      <c r="F6" s="851"/>
      <c r="G6" s="851"/>
      <c r="H6" s="851"/>
      <c r="I6" s="851"/>
      <c r="J6" s="851"/>
      <c r="K6" s="851"/>
      <c r="L6" s="851"/>
      <c r="M6" s="726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20"/>
      <c r="T6" s="783" t="s">
        <v>15</v>
      </c>
      <c r="U6" s="774"/>
      <c r="V6" s="834" t="s">
        <v>16</v>
      </c>
      <c r="W6" s="666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77" t="str">
        <f>IFERROR(VLOOKUP(DeliveryAddress,Table,3,0),1)</f>
        <v>6</v>
      </c>
      <c r="E7" s="678"/>
      <c r="F7" s="678"/>
      <c r="G7" s="678"/>
      <c r="H7" s="678"/>
      <c r="I7" s="678"/>
      <c r="J7" s="678"/>
      <c r="K7" s="678"/>
      <c r="L7" s="678"/>
      <c r="M7" s="679"/>
      <c r="N7" s="60"/>
      <c r="P7" s="24"/>
      <c r="Q7" s="42"/>
      <c r="R7" s="42"/>
      <c r="T7" s="610"/>
      <c r="U7" s="774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37" t="s">
        <v>17</v>
      </c>
      <c r="B8" s="622"/>
      <c r="C8" s="623"/>
      <c r="D8" s="685"/>
      <c r="E8" s="686"/>
      <c r="F8" s="686"/>
      <c r="G8" s="686"/>
      <c r="H8" s="686"/>
      <c r="I8" s="686"/>
      <c r="J8" s="686"/>
      <c r="K8" s="686"/>
      <c r="L8" s="686"/>
      <c r="M8" s="687"/>
      <c r="N8" s="61"/>
      <c r="P8" s="24" t="s">
        <v>18</v>
      </c>
      <c r="Q8" s="738">
        <v>0.45833333333333331</v>
      </c>
      <c r="R8" s="679"/>
      <c r="T8" s="610"/>
      <c r="U8" s="774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47"/>
      <c r="E9" s="629"/>
      <c r="F9" s="7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97"/>
      <c r="P9" s="26" t="s">
        <v>19</v>
      </c>
      <c r="Q9" s="722"/>
      <c r="R9" s="723"/>
      <c r="T9" s="610"/>
      <c r="U9" s="774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47"/>
      <c r="E10" s="629"/>
      <c r="F10" s="7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6" t="str">
        <f>IFERROR(VLOOKUP($D$10,Proxy,2,FALSE),"")</f>
        <v/>
      </c>
      <c r="I10" s="610"/>
      <c r="J10" s="610"/>
      <c r="K10" s="610"/>
      <c r="L10" s="610"/>
      <c r="M10" s="610"/>
      <c r="N10" s="598"/>
      <c r="P10" s="26" t="s">
        <v>20</v>
      </c>
      <c r="Q10" s="784"/>
      <c r="R10" s="785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5"/>
      <c r="R11" s="726"/>
      <c r="U11" s="24" t="s">
        <v>25</v>
      </c>
      <c r="V11" s="922" t="s">
        <v>26</v>
      </c>
      <c r="W11" s="723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6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3"/>
      <c r="N12" s="62"/>
      <c r="P12" s="24" t="s">
        <v>28</v>
      </c>
      <c r="Q12" s="738"/>
      <c r="R12" s="679"/>
      <c r="S12" s="23"/>
      <c r="U12" s="24"/>
      <c r="V12" s="638"/>
      <c r="W12" s="610"/>
      <c r="AB12" s="51"/>
      <c r="AC12" s="51"/>
      <c r="AD12" s="51"/>
      <c r="AE12" s="51"/>
    </row>
    <row r="13" spans="1:32" s="599" customFormat="1" ht="23.25" customHeight="1" x14ac:dyDescent="0.2">
      <c r="A13" s="766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3"/>
      <c r="N13" s="62"/>
      <c r="O13" s="26"/>
      <c r="P13" s="26" t="s">
        <v>30</v>
      </c>
      <c r="Q13" s="922"/>
      <c r="R13" s="7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6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793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3"/>
      <c r="N15" s="63"/>
      <c r="P15" s="799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0" t="s">
        <v>34</v>
      </c>
      <c r="B17" s="650" t="s">
        <v>35</v>
      </c>
      <c r="C17" s="745" t="s">
        <v>36</v>
      </c>
      <c r="D17" s="650" t="s">
        <v>37</v>
      </c>
      <c r="E17" s="655"/>
      <c r="F17" s="650" t="s">
        <v>38</v>
      </c>
      <c r="G17" s="650" t="s">
        <v>39</v>
      </c>
      <c r="H17" s="650" t="s">
        <v>40</v>
      </c>
      <c r="I17" s="650" t="s">
        <v>41</v>
      </c>
      <c r="J17" s="650" t="s">
        <v>42</v>
      </c>
      <c r="K17" s="650" t="s">
        <v>43</v>
      </c>
      <c r="L17" s="650" t="s">
        <v>44</v>
      </c>
      <c r="M17" s="650" t="s">
        <v>45</v>
      </c>
      <c r="N17" s="650" t="s">
        <v>46</v>
      </c>
      <c r="O17" s="650" t="s">
        <v>47</v>
      </c>
      <c r="P17" s="650" t="s">
        <v>48</v>
      </c>
      <c r="Q17" s="654"/>
      <c r="R17" s="654"/>
      <c r="S17" s="654"/>
      <c r="T17" s="655"/>
      <c r="U17" s="940" t="s">
        <v>49</v>
      </c>
      <c r="V17" s="663"/>
      <c r="W17" s="650" t="s">
        <v>50</v>
      </c>
      <c r="X17" s="650" t="s">
        <v>51</v>
      </c>
      <c r="Y17" s="955" t="s">
        <v>52</v>
      </c>
      <c r="Z17" s="845" t="s">
        <v>53</v>
      </c>
      <c r="AA17" s="824" t="s">
        <v>54</v>
      </c>
      <c r="AB17" s="824" t="s">
        <v>55</v>
      </c>
      <c r="AC17" s="824" t="s">
        <v>56</v>
      </c>
      <c r="AD17" s="824" t="s">
        <v>57</v>
      </c>
      <c r="AE17" s="915"/>
      <c r="AF17" s="916"/>
      <c r="AG17" s="66"/>
      <c r="BD17" s="65" t="s">
        <v>58</v>
      </c>
    </row>
    <row r="18" spans="1:68" ht="14.25" customHeight="1" x14ac:dyDescent="0.2">
      <c r="A18" s="651"/>
      <c r="B18" s="651"/>
      <c r="C18" s="651"/>
      <c r="D18" s="656"/>
      <c r="E18" s="658"/>
      <c r="F18" s="651"/>
      <c r="G18" s="651"/>
      <c r="H18" s="651"/>
      <c r="I18" s="651"/>
      <c r="J18" s="651"/>
      <c r="K18" s="651"/>
      <c r="L18" s="651"/>
      <c r="M18" s="651"/>
      <c r="N18" s="651"/>
      <c r="O18" s="651"/>
      <c r="P18" s="656"/>
      <c r="Q18" s="657"/>
      <c r="R18" s="657"/>
      <c r="S18" s="657"/>
      <c r="T18" s="658"/>
      <c r="U18" s="67" t="s">
        <v>59</v>
      </c>
      <c r="V18" s="67" t="s">
        <v>60</v>
      </c>
      <c r="W18" s="651"/>
      <c r="X18" s="651"/>
      <c r="Y18" s="956"/>
      <c r="Z18" s="846"/>
      <c r="AA18" s="825"/>
      <c r="AB18" s="825"/>
      <c r="AC18" s="825"/>
      <c r="AD18" s="917"/>
      <c r="AE18" s="918"/>
      <c r="AF18" s="919"/>
      <c r="AG18" s="66"/>
      <c r="BD18" s="65"/>
    </row>
    <row r="19" spans="1:68" ht="27.75" hidden="1" customHeight="1" x14ac:dyDescent="0.2">
      <c r="A19" s="630" t="s">
        <v>61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hidden="1" customHeight="1" x14ac:dyDescent="0.25">
      <c r="A20" s="647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01"/>
      <c r="AB21" s="601"/>
      <c r="AC21" s="60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6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7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7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01"/>
      <c r="AB26" s="601"/>
      <c r="AC26" s="60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101</v>
      </c>
      <c r="Y29" s="606">
        <f t="shared" si="0"/>
        <v>102.60000000000001</v>
      </c>
      <c r="Z29" s="36">
        <f t="shared" si="1"/>
        <v>0.37107000000000001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178.43333333333334</v>
      </c>
      <c r="BN29" s="64">
        <f t="shared" si="3"/>
        <v>181.26000000000002</v>
      </c>
      <c r="BO29" s="64">
        <f t="shared" si="4"/>
        <v>0.30830280830280832</v>
      </c>
      <c r="BP29" s="64">
        <f t="shared" si="5"/>
        <v>0.31318681318681318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58</v>
      </c>
      <c r="Y30" s="606">
        <f t="shared" si="0"/>
        <v>59.4</v>
      </c>
      <c r="Z30" s="36">
        <f t="shared" si="1"/>
        <v>0.21482999999999999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102.46666666666667</v>
      </c>
      <c r="BN30" s="64">
        <f t="shared" si="3"/>
        <v>104.94</v>
      </c>
      <c r="BO30" s="64">
        <f t="shared" si="4"/>
        <v>0.17704517704517705</v>
      </c>
      <c r="BP30" s="64">
        <f t="shared" si="5"/>
        <v>0.18131868131868134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19">
        <v>4680115887657</v>
      </c>
      <c r="E31" s="62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19">
        <v>4680115887619</v>
      </c>
      <c r="E32" s="62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5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6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7"/>
      <c r="P33" s="621" t="s">
        <v>72</v>
      </c>
      <c r="Q33" s="622"/>
      <c r="R33" s="622"/>
      <c r="S33" s="622"/>
      <c r="T33" s="622"/>
      <c r="U33" s="622"/>
      <c r="V33" s="623"/>
      <c r="W33" s="37" t="s">
        <v>73</v>
      </c>
      <c r="X33" s="607">
        <f>IFERROR(X27/H27,"0")+IFERROR(X28/H28,"0")+IFERROR(X29/H29,"0")+IFERROR(X30/H30,"0")+IFERROR(X31/H31,"0")+IFERROR(X32/H32,"0")</f>
        <v>88.333333333333329</v>
      </c>
      <c r="Y33" s="607">
        <f>IFERROR(Y27/H27,"0")+IFERROR(Y28/H28,"0")+IFERROR(Y29/H29,"0")+IFERROR(Y30/H30,"0")+IFERROR(Y31/H31,"0")+IFERROR(Y32/H32,"0")</f>
        <v>90</v>
      </c>
      <c r="Z33" s="607">
        <f>IFERROR(IF(Z27="",0,Z27),"0")+IFERROR(IF(Z28="",0,Z28),"0")+IFERROR(IF(Z29="",0,Z29),"0")+IFERROR(IF(Z30="",0,Z30),"0")+IFERROR(IF(Z31="",0,Z31),"0")+IFERROR(IF(Z32="",0,Z32),"0")</f>
        <v>0.58589999999999998</v>
      </c>
      <c r="AA33" s="608"/>
      <c r="AB33" s="608"/>
      <c r="AC33" s="608"/>
    </row>
    <row r="34" spans="1:68" x14ac:dyDescent="0.2">
      <c r="A34" s="610"/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7"/>
      <c r="P34" s="621" t="s">
        <v>72</v>
      </c>
      <c r="Q34" s="622"/>
      <c r="R34" s="622"/>
      <c r="S34" s="622"/>
      <c r="T34" s="622"/>
      <c r="U34" s="622"/>
      <c r="V34" s="623"/>
      <c r="W34" s="37" t="s">
        <v>67</v>
      </c>
      <c r="X34" s="607">
        <f>IFERROR(SUM(X27:X32),"0")</f>
        <v>159</v>
      </c>
      <c r="Y34" s="607">
        <f>IFERROR(SUM(Y27:Y32),"0")</f>
        <v>162</v>
      </c>
      <c r="Z34" s="37"/>
      <c r="AA34" s="608"/>
      <c r="AB34" s="608"/>
      <c r="AC34" s="608"/>
    </row>
    <row r="35" spans="1:68" ht="14.25" hidden="1" customHeight="1" x14ac:dyDescent="0.25">
      <c r="A35" s="609" t="s">
        <v>95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01"/>
      <c r="AB35" s="601"/>
      <c r="AC35" s="601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19">
        <v>4607091388503</v>
      </c>
      <c r="E36" s="62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9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6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7"/>
      <c r="P37" s="621" t="s">
        <v>72</v>
      </c>
      <c r="Q37" s="622"/>
      <c r="R37" s="622"/>
      <c r="S37" s="622"/>
      <c r="T37" s="622"/>
      <c r="U37" s="622"/>
      <c r="V37" s="623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hidden="1" x14ac:dyDescent="0.2">
      <c r="A38" s="610"/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7"/>
      <c r="P38" s="621" t="s">
        <v>72</v>
      </c>
      <c r="Q38" s="622"/>
      <c r="R38" s="622"/>
      <c r="S38" s="622"/>
      <c r="T38" s="622"/>
      <c r="U38" s="622"/>
      <c r="V38" s="623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hidden="1" customHeight="1" x14ac:dyDescent="0.2">
      <c r="A39" s="630" t="s">
        <v>101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48"/>
      <c r="AB39" s="48"/>
      <c r="AC39" s="48"/>
    </row>
    <row r="40" spans="1:68" ht="16.5" hidden="1" customHeight="1" x14ac:dyDescent="0.25">
      <c r="A40" s="647" t="s">
        <v>102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600"/>
      <c r="AB40" s="600"/>
      <c r="AC40" s="600"/>
    </row>
    <row r="41" spans="1:68" ht="14.25" hidden="1" customHeight="1" x14ac:dyDescent="0.25">
      <c r="A41" s="609" t="s">
        <v>74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  <c r="P41" s="610"/>
      <c r="Q41" s="610"/>
      <c r="R41" s="610"/>
      <c r="S41" s="610"/>
      <c r="T41" s="610"/>
      <c r="U41" s="610"/>
      <c r="V41" s="610"/>
      <c r="W41" s="610"/>
      <c r="X41" s="610"/>
      <c r="Y41" s="610"/>
      <c r="Z41" s="610"/>
      <c r="AA41" s="601"/>
      <c r="AB41" s="601"/>
      <c r="AC41" s="601"/>
    </row>
    <row r="42" spans="1:68" ht="27" hidden="1" customHeight="1" x14ac:dyDescent="0.25">
      <c r="A42" s="54" t="s">
        <v>103</v>
      </c>
      <c r="B42" s="54" t="s">
        <v>104</v>
      </c>
      <c r="C42" s="31">
        <v>4301052187</v>
      </c>
      <c r="D42" s="619">
        <v>4680115889354</v>
      </c>
      <c r="E42" s="62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4301052198</v>
      </c>
      <c r="D43" s="619">
        <v>4680115888463</v>
      </c>
      <c r="E43" s="62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4301052202</v>
      </c>
      <c r="D44" s="619">
        <v>4680115888494</v>
      </c>
      <c r="E44" s="62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4301052184</v>
      </c>
      <c r="D45" s="619">
        <v>4680115888272</v>
      </c>
      <c r="E45" s="62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hidden="1" customHeight="1" x14ac:dyDescent="0.25">
      <c r="A46" s="54" t="s">
        <v>116</v>
      </c>
      <c r="B46" s="54" t="s">
        <v>117</v>
      </c>
      <c r="C46" s="31">
        <v>4301052188</v>
      </c>
      <c r="D46" s="619">
        <v>4680115888364</v>
      </c>
      <c r="E46" s="62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616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7"/>
      <c r="P47" s="621" t="s">
        <v>72</v>
      </c>
      <c r="Q47" s="622"/>
      <c r="R47" s="622"/>
      <c r="S47" s="622"/>
      <c r="T47" s="622"/>
      <c r="U47" s="622"/>
      <c r="V47" s="623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hidden="1" x14ac:dyDescent="0.2">
      <c r="A48" s="610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7"/>
      <c r="P48" s="621" t="s">
        <v>72</v>
      </c>
      <c r="Q48" s="622"/>
      <c r="R48" s="622"/>
      <c r="S48" s="622"/>
      <c r="T48" s="622"/>
      <c r="U48" s="622"/>
      <c r="V48" s="623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hidden="1" customHeight="1" x14ac:dyDescent="0.2">
      <c r="A49" s="630" t="s">
        <v>119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48"/>
      <c r="AB49" s="48"/>
      <c r="AC49" s="48"/>
    </row>
    <row r="50" spans="1:68" ht="16.5" hidden="1" customHeight="1" x14ac:dyDescent="0.25">
      <c r="A50" s="647" t="s">
        <v>120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00"/>
      <c r="AB50" s="600"/>
      <c r="AC50" s="600"/>
    </row>
    <row r="51" spans="1:68" ht="14.25" hidden="1" customHeight="1" x14ac:dyDescent="0.25">
      <c r="A51" s="609" t="s">
        <v>121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  <c r="S51" s="610"/>
      <c r="T51" s="610"/>
      <c r="U51" s="610"/>
      <c r="V51" s="610"/>
      <c r="W51" s="610"/>
      <c r="X51" s="610"/>
      <c r="Y51" s="610"/>
      <c r="Z51" s="610"/>
      <c r="AA51" s="601"/>
      <c r="AB51" s="601"/>
      <c r="AC51" s="601"/>
    </row>
    <row r="52" spans="1:68" ht="16.5" hidden="1" customHeight="1" x14ac:dyDescent="0.25">
      <c r="A52" s="54" t="s">
        <v>122</v>
      </c>
      <c r="B52" s="54" t="s">
        <v>123</v>
      </c>
      <c r="C52" s="31">
        <v>4301011380</v>
      </c>
      <c r="D52" s="619">
        <v>4607091385670</v>
      </c>
      <c r="E52" s="62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4301012053</v>
      </c>
      <c r="D53" s="619">
        <v>4680115887725</v>
      </c>
      <c r="E53" s="62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4301011382</v>
      </c>
      <c r="D54" s="619">
        <v>4607091385687</v>
      </c>
      <c r="E54" s="62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8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19">
        <v>4680115882539</v>
      </c>
      <c r="E55" s="62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20</v>
      </c>
      <c r="Y55" s="606">
        <f>IFERROR(IF(X55="",0,CEILING((X55/$H55),1)*$H55),"")</f>
        <v>22.200000000000003</v>
      </c>
      <c r="Z55" s="36">
        <f>IFERROR(IF(Y55=0,"",ROUNDUP(Y55/H55,0)*0.00902),"")</f>
        <v>5.4120000000000001E-2</v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21.027027027027025</v>
      </c>
      <c r="BN55" s="64">
        <f>IFERROR(Y55*I55/H55,"0")</f>
        <v>23.340000000000003</v>
      </c>
      <c r="BO55" s="64">
        <f>IFERROR(1/J55*(X55/H55),"0")</f>
        <v>4.0950040950040949E-2</v>
      </c>
      <c r="BP55" s="64">
        <f>IFERROR(1/J55*(Y55/H55),"0")</f>
        <v>4.5454545454545463E-2</v>
      </c>
    </row>
    <row r="56" spans="1:68" x14ac:dyDescent="0.2">
      <c r="A56" s="616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7"/>
      <c r="P56" s="621" t="s">
        <v>72</v>
      </c>
      <c r="Q56" s="622"/>
      <c r="R56" s="622"/>
      <c r="S56" s="622"/>
      <c r="T56" s="622"/>
      <c r="U56" s="622"/>
      <c r="V56" s="623"/>
      <c r="W56" s="37" t="s">
        <v>73</v>
      </c>
      <c r="X56" s="607">
        <f>IFERROR(X52/H52,"0")+IFERROR(X53/H53,"0")+IFERROR(X54/H54,"0")+IFERROR(X55/H55,"0")</f>
        <v>5.4054054054054053</v>
      </c>
      <c r="Y56" s="607">
        <f>IFERROR(Y52/H52,"0")+IFERROR(Y53/H53,"0")+IFERROR(Y54/H54,"0")+IFERROR(Y55/H55,"0")</f>
        <v>6.0000000000000009</v>
      </c>
      <c r="Z56" s="607">
        <f>IFERROR(IF(Z52="",0,Z52),"0")+IFERROR(IF(Z53="",0,Z53),"0")+IFERROR(IF(Z54="",0,Z54),"0")+IFERROR(IF(Z55="",0,Z55),"0")</f>
        <v>5.4120000000000001E-2</v>
      </c>
      <c r="AA56" s="608"/>
      <c r="AB56" s="608"/>
      <c r="AC56" s="608"/>
    </row>
    <row r="57" spans="1:68" x14ac:dyDescent="0.2">
      <c r="A57" s="610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7"/>
      <c r="P57" s="621" t="s">
        <v>72</v>
      </c>
      <c r="Q57" s="622"/>
      <c r="R57" s="622"/>
      <c r="S57" s="622"/>
      <c r="T57" s="622"/>
      <c r="U57" s="622"/>
      <c r="V57" s="623"/>
      <c r="W57" s="37" t="s">
        <v>67</v>
      </c>
      <c r="X57" s="607">
        <f>IFERROR(SUM(X52:X55),"0")</f>
        <v>20</v>
      </c>
      <c r="Y57" s="607">
        <f>IFERROR(SUM(Y52:Y55),"0")</f>
        <v>22.200000000000003</v>
      </c>
      <c r="Z57" s="37"/>
      <c r="AA57" s="608"/>
      <c r="AB57" s="608"/>
      <c r="AC57" s="608"/>
    </row>
    <row r="58" spans="1:68" ht="16.5" hidden="1" customHeight="1" x14ac:dyDescent="0.25">
      <c r="A58" s="647" t="s">
        <v>136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600"/>
      <c r="AB58" s="600"/>
      <c r="AC58" s="600"/>
    </row>
    <row r="59" spans="1:68" ht="14.25" hidden="1" customHeight="1" x14ac:dyDescent="0.25">
      <c r="A59" s="609" t="s">
        <v>121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01"/>
      <c r="AB59" s="601"/>
      <c r="AC59" s="601"/>
    </row>
    <row r="60" spans="1:68" ht="27" hidden="1" customHeight="1" x14ac:dyDescent="0.25">
      <c r="A60" s="54" t="s">
        <v>137</v>
      </c>
      <c r="B60" s="54" t="s">
        <v>138</v>
      </c>
      <c r="C60" s="31">
        <v>4301012030</v>
      </c>
      <c r="D60" s="619">
        <v>4680115885882</v>
      </c>
      <c r="E60" s="62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5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hidden="1" customHeight="1" x14ac:dyDescent="0.25">
      <c r="A61" s="54" t="s">
        <v>137</v>
      </c>
      <c r="B61" s="54" t="s">
        <v>140</v>
      </c>
      <c r="C61" s="31">
        <v>4301012161</v>
      </c>
      <c r="D61" s="619">
        <v>4680115885882</v>
      </c>
      <c r="E61" s="62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19">
        <v>4680115881426</v>
      </c>
      <c r="E62" s="62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86</v>
      </c>
      <c r="Y62" s="606">
        <f t="shared" si="6"/>
        <v>86.4</v>
      </c>
      <c r="Z62" s="36">
        <f>IFERROR(IF(Y62=0,"",ROUNDUP(Y62/H62,0)*0.01898),"")</f>
        <v>0.15184</v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89.264814814814812</v>
      </c>
      <c r="BN62" s="64">
        <f t="shared" si="8"/>
        <v>89.68</v>
      </c>
      <c r="BO62" s="64">
        <f t="shared" si="9"/>
        <v>0.12442129629629629</v>
      </c>
      <c r="BP62" s="64">
        <f t="shared" si="10"/>
        <v>0.125</v>
      </c>
    </row>
    <row r="63" spans="1:68" ht="27" hidden="1" customHeight="1" x14ac:dyDescent="0.25">
      <c r="A63" s="54" t="s">
        <v>145</v>
      </c>
      <c r="B63" s="54" t="s">
        <v>146</v>
      </c>
      <c r="C63" s="31">
        <v>4301011386</v>
      </c>
      <c r="D63" s="619">
        <v>4680115880283</v>
      </c>
      <c r="E63" s="62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19">
        <v>4680115881525</v>
      </c>
      <c r="E64" s="62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12</v>
      </c>
      <c r="Y64" s="606">
        <f t="shared" si="6"/>
        <v>12</v>
      </c>
      <c r="Z64" s="36">
        <f>IFERROR(IF(Y64=0,"",ROUNDUP(Y64/H64,0)*0.00902),"")</f>
        <v>2.7060000000000001E-2</v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12.57</v>
      </c>
      <c r="BN64" s="64">
        <f t="shared" si="8"/>
        <v>12.57</v>
      </c>
      <c r="BO64" s="64">
        <f t="shared" si="9"/>
        <v>2.2727272727272728E-2</v>
      </c>
      <c r="BP64" s="64">
        <f t="shared" si="10"/>
        <v>2.2727272727272728E-2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19">
        <v>4680115885899</v>
      </c>
      <c r="E65" s="62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19">
        <v>4680115881419</v>
      </c>
      <c r="E66" s="62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81</v>
      </c>
      <c r="Y66" s="606">
        <f t="shared" si="6"/>
        <v>81</v>
      </c>
      <c r="Z66" s="36">
        <f>IFERROR(IF(Y66=0,"",ROUNDUP(Y66/H66,0)*0.00902),"")</f>
        <v>0.16236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84.420000000000016</v>
      </c>
      <c r="BN66" s="64">
        <f t="shared" si="8"/>
        <v>84.420000000000016</v>
      </c>
      <c r="BO66" s="64">
        <f t="shared" si="9"/>
        <v>0.13636363636363635</v>
      </c>
      <c r="BP66" s="64">
        <f t="shared" si="10"/>
        <v>0.13636363636363635</v>
      </c>
    </row>
    <row r="67" spans="1:68" x14ac:dyDescent="0.2">
      <c r="A67" s="616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7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IFERROR(X60/H60,"0")+IFERROR(X61/H61,"0")+IFERROR(X62/H62,"0")+IFERROR(X63/H63,"0")+IFERROR(X64/H64,"0")+IFERROR(X65/H65,"0")+IFERROR(X66/H66,"0")</f>
        <v>28.962962962962962</v>
      </c>
      <c r="Y67" s="607">
        <f>IFERROR(Y60/H60,"0")+IFERROR(Y61/H61,"0")+IFERROR(Y62/H62,"0")+IFERROR(Y63/H63,"0")+IFERROR(Y64/H64,"0")+IFERROR(Y65/H65,"0")+IFERROR(Y66/H66,"0")</f>
        <v>29</v>
      </c>
      <c r="Z67" s="607">
        <f>IFERROR(IF(Z60="",0,Z60),"0")+IFERROR(IF(Z61="",0,Z61),"0")+IFERROR(IF(Z62="",0,Z62),"0")+IFERROR(IF(Z63="",0,Z63),"0")+IFERROR(IF(Z64="",0,Z64),"0")+IFERROR(IF(Z65="",0,Z65),"0")+IFERROR(IF(Z66="",0,Z66),"0")</f>
        <v>0.34126000000000001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7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IFERROR(SUM(X60:X66),"0")</f>
        <v>179</v>
      </c>
      <c r="Y68" s="607">
        <f>IFERROR(SUM(Y60:Y66),"0")</f>
        <v>179.4</v>
      </c>
      <c r="Z68" s="37"/>
      <c r="AA68" s="608"/>
      <c r="AB68" s="608"/>
      <c r="AC68" s="608"/>
    </row>
    <row r="69" spans="1:68" ht="14.25" hidden="1" customHeight="1" x14ac:dyDescent="0.25">
      <c r="A69" s="609" t="s">
        <v>156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19">
        <v>4680115881440</v>
      </c>
      <c r="E70" s="62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350</v>
      </c>
      <c r="Y70" s="606">
        <f>IFERROR(IF(X70="",0,CEILING((X70/$H70),1)*$H70),"")</f>
        <v>356.40000000000003</v>
      </c>
      <c r="Z70" s="36">
        <f>IFERROR(IF(Y70=0,"",ROUNDUP(Y70/H70,0)*0.01898),"")</f>
        <v>0.62634000000000001</v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363.28703703703707</v>
      </c>
      <c r="BN70" s="64">
        <f>IFERROR(Y70*I70/H70,"0")</f>
        <v>369.93</v>
      </c>
      <c r="BO70" s="64">
        <f>IFERROR(1/J70*(X70/H70),"0")</f>
        <v>0.5063657407407407</v>
      </c>
      <c r="BP70" s="64">
        <f>IFERROR(1/J70*(Y70/H70),"0")</f>
        <v>0.515625</v>
      </c>
    </row>
    <row r="71" spans="1:68" ht="16.5" hidden="1" customHeight="1" x14ac:dyDescent="0.25">
      <c r="A71" s="54" t="s">
        <v>160</v>
      </c>
      <c r="B71" s="54" t="s">
        <v>161</v>
      </c>
      <c r="C71" s="31">
        <v>4301020358</v>
      </c>
      <c r="D71" s="619">
        <v>4680115885950</v>
      </c>
      <c r="E71" s="62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19">
        <v>4680115887688</v>
      </c>
      <c r="E72" s="62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4301020296</v>
      </c>
      <c r="D73" s="619">
        <v>4680115881433</v>
      </c>
      <c r="E73" s="62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6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7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32.407407407407405</v>
      </c>
      <c r="Y74" s="607">
        <f>IFERROR(Y70/H70,"0")+IFERROR(Y71/H71,"0")+IFERROR(Y72/H72,"0")+IFERROR(Y73/H73,"0")</f>
        <v>33</v>
      </c>
      <c r="Z74" s="607">
        <f>IFERROR(IF(Z70="",0,Z70),"0")+IFERROR(IF(Z71="",0,Z71),"0")+IFERROR(IF(Z72="",0,Z72),"0")+IFERROR(IF(Z73="",0,Z73),"0")</f>
        <v>0.62634000000000001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7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350</v>
      </c>
      <c r="Y75" s="607">
        <f>IFERROR(SUM(Y70:Y73),"0")</f>
        <v>356.40000000000003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601"/>
      <c r="AB76" s="601"/>
      <c r="AC76" s="60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19">
        <v>4680115884311</v>
      </c>
      <c r="E77" s="62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4301051929</v>
      </c>
      <c r="D78" s="619">
        <v>4680115884403</v>
      </c>
      <c r="E78" s="62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6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7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7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173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601"/>
      <c r="AB81" s="601"/>
      <c r="AC81" s="60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19">
        <v>4680115881532</v>
      </c>
      <c r="E82" s="62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177</v>
      </c>
      <c r="B83" s="54" t="s">
        <v>178</v>
      </c>
      <c r="C83" s="31">
        <v>4301060351</v>
      </c>
      <c r="D83" s="619">
        <v>4680115881464</v>
      </c>
      <c r="E83" s="62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6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7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7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47" t="s">
        <v>180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121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19">
        <v>4680115881327</v>
      </c>
      <c r="E88" s="62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324</v>
      </c>
      <c r="Y88" s="606">
        <f>IFERROR(IF(X88="",0,CEILING((X88/$H88),1)*$H88),"")</f>
        <v>324</v>
      </c>
      <c r="Z88" s="36">
        <f>IFERROR(IF(Y88=0,"",ROUNDUP(Y88/H88,0)*0.01898),"")</f>
        <v>0.56940000000000002</v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336.3</v>
      </c>
      <c r="BN88" s="64">
        <f>IFERROR(Y88*I88/H88,"0")</f>
        <v>336.3</v>
      </c>
      <c r="BO88" s="64">
        <f>IFERROR(1/J88*(X88/H88),"0")</f>
        <v>0.46874999999999994</v>
      </c>
      <c r="BP88" s="64">
        <f>IFERROR(1/J88*(Y88/H88),"0")</f>
        <v>0.46874999999999994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4301011261</v>
      </c>
      <c r="D89" s="619">
        <v>4680115887732</v>
      </c>
      <c r="E89" s="62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4301011476</v>
      </c>
      <c r="D90" s="619">
        <v>4680115881518</v>
      </c>
      <c r="E90" s="62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19">
        <v>4680115881303</v>
      </c>
      <c r="E91" s="62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102</v>
      </c>
      <c r="Y91" s="606">
        <f>IFERROR(IF(X91="",0,CEILING((X91/$H91),1)*$H91),"")</f>
        <v>103.5</v>
      </c>
      <c r="Z91" s="36">
        <f>IFERROR(IF(Y91=0,"",ROUNDUP(Y91/H91,0)*0.00902),"")</f>
        <v>0.20746000000000001</v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106.30666666666667</v>
      </c>
      <c r="BN91" s="64">
        <f>IFERROR(Y91*I91/H91,"0")</f>
        <v>107.87</v>
      </c>
      <c r="BO91" s="64">
        <f>IFERROR(1/J91*(X91/H91),"0")</f>
        <v>0.17171717171717174</v>
      </c>
      <c r="BP91" s="64">
        <f>IFERROR(1/J91*(Y91/H91),"0")</f>
        <v>0.17424242424242425</v>
      </c>
    </row>
    <row r="92" spans="1:68" x14ac:dyDescent="0.2">
      <c r="A92" s="616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7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52.666666666666664</v>
      </c>
      <c r="Y92" s="607">
        <f>IFERROR(Y88/H88,"0")+IFERROR(Y89/H89,"0")+IFERROR(Y90/H90,"0")+IFERROR(Y91/H91,"0")</f>
        <v>53</v>
      </c>
      <c r="Z92" s="607">
        <f>IFERROR(IF(Z88="",0,Z88),"0")+IFERROR(IF(Z89="",0,Z89),"0")+IFERROR(IF(Z90="",0,Z90),"0")+IFERROR(IF(Z91="",0,Z91),"0")</f>
        <v>0.77685999999999999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7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426</v>
      </c>
      <c r="Y93" s="607">
        <f>IFERROR(SUM(Y88:Y91),"0")</f>
        <v>427.5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19">
        <v>4607091386967</v>
      </c>
      <c r="E95" s="62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109</v>
      </c>
      <c r="Y95" s="606">
        <f>IFERROR(IF(X95="",0,CEILING((X95/$H95),1)*$H95),"")</f>
        <v>113.39999999999999</v>
      </c>
      <c r="Z95" s="36">
        <f>IFERROR(IF(Y95=0,"",ROUNDUP(Y95/H95,0)*0.01898),"")</f>
        <v>0.26572000000000001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115.64765432098766</v>
      </c>
      <c r="BN95" s="64">
        <f>IFERROR(Y95*I95/H95,"0")</f>
        <v>120.31599999999999</v>
      </c>
      <c r="BO95" s="64">
        <f>IFERROR(1/J95*(X95/H95),"0")</f>
        <v>0.21026234567901236</v>
      </c>
      <c r="BP95" s="64">
        <f>IFERROR(1/J95*(Y95/H95),"0")</f>
        <v>0.21875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19">
        <v>4680115884953</v>
      </c>
      <c r="E96" s="62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19">
        <v>4607091385731</v>
      </c>
      <c r="E97" s="62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108</v>
      </c>
      <c r="Y97" s="606">
        <f>IFERROR(IF(X97="",0,CEILING((X97/$H97),1)*$H97),"")</f>
        <v>108</v>
      </c>
      <c r="Z97" s="36">
        <f>IFERROR(IF(Y97=0,"",ROUNDUP(Y97/H97,0)*0.00651),"")</f>
        <v>0.26040000000000002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118.07999999999998</v>
      </c>
      <c r="BN97" s="64">
        <f>IFERROR(Y97*I97/H97,"0")</f>
        <v>118.07999999999998</v>
      </c>
      <c r="BO97" s="64">
        <f>IFERROR(1/J97*(X97/H97),"0")</f>
        <v>0.2197802197802198</v>
      </c>
      <c r="BP97" s="64">
        <f>IFERROR(1/J97*(Y97/H97),"0")</f>
        <v>0.2197802197802198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4301052092</v>
      </c>
      <c r="D98" s="619">
        <v>4680115880894</v>
      </c>
      <c r="E98" s="62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6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7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53.456790123456791</v>
      </c>
      <c r="Y99" s="607">
        <f>IFERROR(Y95/H95,"0")+IFERROR(Y96/H96,"0")+IFERROR(Y97/H97,"0")+IFERROR(Y98/H98,"0")</f>
        <v>54</v>
      </c>
      <c r="Z99" s="607">
        <f>IFERROR(IF(Z95="",0,Z95),"0")+IFERROR(IF(Z96="",0,Z96),"0")+IFERROR(IF(Z97="",0,Z97),"0")+IFERROR(IF(Z98="",0,Z98),"0")</f>
        <v>0.52612000000000003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7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217</v>
      </c>
      <c r="Y100" s="607">
        <f>IFERROR(SUM(Y95:Y98),"0")</f>
        <v>221.39999999999998</v>
      </c>
      <c r="Z100" s="37"/>
      <c r="AA100" s="608"/>
      <c r="AB100" s="608"/>
      <c r="AC100" s="608"/>
    </row>
    <row r="101" spans="1:68" ht="16.5" hidden="1" customHeight="1" x14ac:dyDescent="0.25">
      <c r="A101" s="647" t="s">
        <v>201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121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19">
        <v>4680115882133</v>
      </c>
      <c r="E103" s="62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1093</v>
      </c>
      <c r="Y103" s="606">
        <f t="shared" ref="Y103:Y109" si="11">IFERROR(IF(X103="",0,CEILING((X103/$H103),1)*$H103),"")</f>
        <v>1101.6000000000001</v>
      </c>
      <c r="Z103" s="36">
        <f>IFERROR(IF(Y103=0,"",ROUNDUP(Y103/H103,0)*0.01898),"")</f>
        <v>1.9359600000000001</v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1134.4935185185186</v>
      </c>
      <c r="BN103" s="64">
        <f t="shared" ref="BN103:BN109" si="13">IFERROR(Y103*I103/H103,"0")</f>
        <v>1143.4200000000003</v>
      </c>
      <c r="BO103" s="64">
        <f t="shared" ref="BO103:BO109" si="14">IFERROR(1/J103*(X103/H103),"0")</f>
        <v>1.5813078703703702</v>
      </c>
      <c r="BP103" s="64">
        <f t="shared" ref="BP103:BP109" si="15">IFERROR(1/J103*(Y103/H103),"0")</f>
        <v>1.59375</v>
      </c>
    </row>
    <row r="104" spans="1:68" ht="27" hidden="1" customHeight="1" x14ac:dyDescent="0.25">
      <c r="A104" s="54" t="s">
        <v>205</v>
      </c>
      <c r="B104" s="54" t="s">
        <v>206</v>
      </c>
      <c r="C104" s="31">
        <v>4301012051</v>
      </c>
      <c r="D104" s="619">
        <v>4680115887718</v>
      </c>
      <c r="E104" s="62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4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208</v>
      </c>
      <c r="C105" s="31">
        <v>4301012334</v>
      </c>
      <c r="D105" s="619">
        <v>4680115887718</v>
      </c>
      <c r="E105" s="62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hidden="1" customHeight="1" x14ac:dyDescent="0.25">
      <c r="A106" s="54" t="s">
        <v>209</v>
      </c>
      <c r="B106" s="54" t="s">
        <v>210</v>
      </c>
      <c r="C106" s="31">
        <v>4301012226</v>
      </c>
      <c r="D106" s="619">
        <v>4680115887749</v>
      </c>
      <c r="E106" s="62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211</v>
      </c>
      <c r="B107" s="54" t="s">
        <v>212</v>
      </c>
      <c r="C107" s="31">
        <v>4301011417</v>
      </c>
      <c r="D107" s="619">
        <v>4680115880269</v>
      </c>
      <c r="E107" s="62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19">
        <v>4680115880429</v>
      </c>
      <c r="E108" s="62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147</v>
      </c>
      <c r="Y108" s="606">
        <f t="shared" si="11"/>
        <v>148.5</v>
      </c>
      <c r="Z108" s="36">
        <f>IFERROR(IF(Y108=0,"",ROUNDUP(Y108/H108,0)*0.00902),"")</f>
        <v>0.29766000000000004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153.20666666666668</v>
      </c>
      <c r="BN108" s="64">
        <f t="shared" si="13"/>
        <v>154.77000000000001</v>
      </c>
      <c r="BO108" s="64">
        <f t="shared" si="14"/>
        <v>0.24747474747474746</v>
      </c>
      <c r="BP108" s="64">
        <f t="shared" si="15"/>
        <v>0.25</v>
      </c>
    </row>
    <row r="109" spans="1:68" ht="37.5" hidden="1" customHeight="1" x14ac:dyDescent="0.25">
      <c r="A109" s="54" t="s">
        <v>215</v>
      </c>
      <c r="B109" s="54" t="s">
        <v>216</v>
      </c>
      <c r="C109" s="31">
        <v>4301011462</v>
      </c>
      <c r="D109" s="619">
        <v>4680115881457</v>
      </c>
      <c r="E109" s="62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6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7"/>
      <c r="P110" s="621" t="s">
        <v>72</v>
      </c>
      <c r="Q110" s="622"/>
      <c r="R110" s="622"/>
      <c r="S110" s="622"/>
      <c r="T110" s="622"/>
      <c r="U110" s="622"/>
      <c r="V110" s="623"/>
      <c r="W110" s="37" t="s">
        <v>73</v>
      </c>
      <c r="X110" s="607">
        <f>IFERROR(X103/H103,"0")+IFERROR(X104/H104,"0")+IFERROR(X105/H105,"0")+IFERROR(X106/H106,"0")+IFERROR(X107/H107,"0")+IFERROR(X108/H108,"0")+IFERROR(X109/H109,"0")</f>
        <v>133.87037037037035</v>
      </c>
      <c r="Y110" s="607">
        <f>IFERROR(Y103/H103,"0")+IFERROR(Y104/H104,"0")+IFERROR(Y105/H105,"0")+IFERROR(Y106/H106,"0")+IFERROR(Y107/H107,"0")+IFERROR(Y108/H108,"0")+IFERROR(Y109/H109,"0")</f>
        <v>135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2.2336200000000002</v>
      </c>
      <c r="AA110" s="608"/>
      <c r="AB110" s="608"/>
      <c r="AC110" s="608"/>
    </row>
    <row r="111" spans="1:68" x14ac:dyDescent="0.2">
      <c r="A111" s="610"/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7"/>
      <c r="P111" s="621" t="s">
        <v>72</v>
      </c>
      <c r="Q111" s="622"/>
      <c r="R111" s="622"/>
      <c r="S111" s="622"/>
      <c r="T111" s="622"/>
      <c r="U111" s="622"/>
      <c r="V111" s="623"/>
      <c r="W111" s="37" t="s">
        <v>67</v>
      </c>
      <c r="X111" s="607">
        <f>IFERROR(SUM(X103:X109),"0")</f>
        <v>1240</v>
      </c>
      <c r="Y111" s="607">
        <f>IFERROR(SUM(Y103:Y109),"0")</f>
        <v>1250.1000000000001</v>
      </c>
      <c r="Z111" s="37"/>
      <c r="AA111" s="608"/>
      <c r="AB111" s="608"/>
      <c r="AC111" s="608"/>
    </row>
    <row r="112" spans="1:68" ht="14.25" hidden="1" customHeight="1" x14ac:dyDescent="0.25">
      <c r="A112" s="609" t="s">
        <v>156</v>
      </c>
      <c r="B112" s="610"/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610"/>
      <c r="Y112" s="610"/>
      <c r="Z112" s="610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19">
        <v>4680115881488</v>
      </c>
      <c r="E113" s="62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70</v>
      </c>
      <c r="Y113" s="606">
        <f t="shared" ref="Y113:Y119" si="16">IFERROR(IF(X113="",0,CEILING((X113/$H113),1)*$H113),"")</f>
        <v>75.600000000000009</v>
      </c>
      <c r="Z113" s="36">
        <f>IFERROR(IF(Y113=0,"",ROUNDUP(Y113/H113,0)*0.01898),"")</f>
        <v>0.13286000000000001</v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72.657407407407405</v>
      </c>
      <c r="BN113" s="64">
        <f t="shared" ref="BN113:BN119" si="18">IFERROR(Y113*I113/H113,"0")</f>
        <v>78.47</v>
      </c>
      <c r="BO113" s="64">
        <f t="shared" ref="BO113:BO119" si="19">IFERROR(1/J113*(X113/H113),"0")</f>
        <v>0.10127314814814814</v>
      </c>
      <c r="BP113" s="64">
        <f t="shared" ref="BP113:BP119" si="20">IFERROR(1/J113*(Y113/H113),"0")</f>
        <v>0.109375</v>
      </c>
    </row>
    <row r="114" spans="1:68" ht="27" hidden="1" customHeight="1" x14ac:dyDescent="0.25">
      <c r="A114" s="54" t="s">
        <v>217</v>
      </c>
      <c r="B114" s="54" t="s">
        <v>220</v>
      </c>
      <c r="C114" s="31">
        <v>4301020391</v>
      </c>
      <c r="D114" s="619">
        <v>4680115881488</v>
      </c>
      <c r="E114" s="62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4301020186</v>
      </c>
      <c r="D115" s="619">
        <v>4680115887664</v>
      </c>
      <c r="E115" s="62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222</v>
      </c>
      <c r="B116" s="54" t="s">
        <v>226</v>
      </c>
      <c r="C116" s="31">
        <v>4301020430</v>
      </c>
      <c r="D116" s="619">
        <v>4680115887664</v>
      </c>
      <c r="E116" s="62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4301020393</v>
      </c>
      <c r="D117" s="619">
        <v>4680115882775</v>
      </c>
      <c r="E117" s="62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19">
        <v>4680115880658</v>
      </c>
      <c r="E118" s="62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18</v>
      </c>
      <c r="Y118" s="606">
        <f t="shared" si="16"/>
        <v>19.2</v>
      </c>
      <c r="Z118" s="36">
        <f>IFERROR(IF(Y118=0,"",ROUNDUP(Y118/H118,0)*0.00651),"")</f>
        <v>5.2080000000000001E-2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19.350000000000001</v>
      </c>
      <c r="BN118" s="64">
        <f t="shared" si="18"/>
        <v>20.64</v>
      </c>
      <c r="BO118" s="64">
        <f t="shared" si="19"/>
        <v>4.1208791208791215E-2</v>
      </c>
      <c r="BP118" s="64">
        <f t="shared" si="20"/>
        <v>4.3956043956043959E-2</v>
      </c>
    </row>
    <row r="119" spans="1:68" ht="27" hidden="1" customHeight="1" x14ac:dyDescent="0.25">
      <c r="A119" s="54" t="s">
        <v>229</v>
      </c>
      <c r="B119" s="54" t="s">
        <v>231</v>
      </c>
      <c r="C119" s="31">
        <v>4301020392</v>
      </c>
      <c r="D119" s="619">
        <v>4680115880658</v>
      </c>
      <c r="E119" s="62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6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7"/>
      <c r="P120" s="621" t="s">
        <v>72</v>
      </c>
      <c r="Q120" s="622"/>
      <c r="R120" s="622"/>
      <c r="S120" s="622"/>
      <c r="T120" s="622"/>
      <c r="U120" s="622"/>
      <c r="V120" s="623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13.981481481481481</v>
      </c>
      <c r="Y120" s="607">
        <f>IFERROR(Y113/H113,"0")+IFERROR(Y114/H114,"0")+IFERROR(Y115/H115,"0")+IFERROR(Y116/H116,"0")+IFERROR(Y117/H117,"0")+IFERROR(Y118/H118,"0")+IFERROR(Y119/H119,"0")</f>
        <v>15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0.18493999999999999</v>
      </c>
      <c r="AA120" s="608"/>
      <c r="AB120" s="608"/>
      <c r="AC120" s="608"/>
    </row>
    <row r="121" spans="1:68" x14ac:dyDescent="0.2">
      <c r="A121" s="610"/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7"/>
      <c r="P121" s="621" t="s">
        <v>72</v>
      </c>
      <c r="Q121" s="622"/>
      <c r="R121" s="622"/>
      <c r="S121" s="622"/>
      <c r="T121" s="622"/>
      <c r="U121" s="622"/>
      <c r="V121" s="623"/>
      <c r="W121" s="37" t="s">
        <v>67</v>
      </c>
      <c r="X121" s="607">
        <f>IFERROR(SUM(X113:X119),"0")</f>
        <v>88</v>
      </c>
      <c r="Y121" s="607">
        <f>IFERROR(SUM(Y113:Y119),"0")</f>
        <v>94.800000000000011</v>
      </c>
      <c r="Z121" s="37"/>
      <c r="AA121" s="608"/>
      <c r="AB121" s="608"/>
      <c r="AC121" s="608"/>
    </row>
    <row r="122" spans="1:68" ht="14.25" hidden="1" customHeight="1" x14ac:dyDescent="0.25">
      <c r="A122" s="609" t="s">
        <v>74</v>
      </c>
      <c r="B122" s="610"/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  <c r="Q122" s="610"/>
      <c r="R122" s="610"/>
      <c r="S122" s="610"/>
      <c r="T122" s="610"/>
      <c r="U122" s="610"/>
      <c r="V122" s="610"/>
      <c r="W122" s="610"/>
      <c r="X122" s="610"/>
      <c r="Y122" s="610"/>
      <c r="Z122" s="610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19">
        <v>4607091385168</v>
      </c>
      <c r="E123" s="62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70</v>
      </c>
      <c r="Y123" s="606">
        <f>IFERROR(IF(X123="",0,CEILING((X123/$H123),1)*$H123),"")</f>
        <v>72.899999999999991</v>
      </c>
      <c r="Z123" s="36">
        <f>IFERROR(IF(Y123=0,"",ROUNDUP(Y123/H123,0)*0.01898),"")</f>
        <v>0.17082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74.217283950617286</v>
      </c>
      <c r="BN123" s="64">
        <f>IFERROR(Y123*I123/H123,"0")</f>
        <v>77.291999999999987</v>
      </c>
      <c r="BO123" s="64">
        <f>IFERROR(1/J123*(X123/H123),"0")</f>
        <v>0.13503086419753088</v>
      </c>
      <c r="BP123" s="64">
        <f>IFERROR(1/J123*(Y123/H123),"0")</f>
        <v>0.140625</v>
      </c>
    </row>
    <row r="124" spans="1:68" ht="27" hidden="1" customHeight="1" x14ac:dyDescent="0.25">
      <c r="A124" s="54" t="s">
        <v>235</v>
      </c>
      <c r="B124" s="54" t="s">
        <v>236</v>
      </c>
      <c r="C124" s="31">
        <v>4301051730</v>
      </c>
      <c r="D124" s="619">
        <v>4607091383256</v>
      </c>
      <c r="E124" s="62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19">
        <v>4607091385748</v>
      </c>
      <c r="E125" s="62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384</v>
      </c>
      <c r="Y125" s="606">
        <f>IFERROR(IF(X125="",0,CEILING((X125/$H125),1)*$H125),"")</f>
        <v>386.1</v>
      </c>
      <c r="Z125" s="36">
        <f>IFERROR(IF(Y125=0,"",ROUNDUP(Y125/H125,0)*0.00651),"")</f>
        <v>0.93093000000000004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419.84</v>
      </c>
      <c r="BN125" s="64">
        <f>IFERROR(Y125*I125/H125,"0")</f>
        <v>422.13599999999997</v>
      </c>
      <c r="BO125" s="64">
        <f>IFERROR(1/J125*(X125/H125),"0")</f>
        <v>0.78144078144078133</v>
      </c>
      <c r="BP125" s="64">
        <f>IFERROR(1/J125*(Y125/H125),"0")</f>
        <v>0.78571428571428581</v>
      </c>
    </row>
    <row r="126" spans="1:68" ht="16.5" hidden="1" customHeight="1" x14ac:dyDescent="0.25">
      <c r="A126" s="54" t="s">
        <v>239</v>
      </c>
      <c r="B126" s="54" t="s">
        <v>240</v>
      </c>
      <c r="C126" s="31">
        <v>4301051740</v>
      </c>
      <c r="D126" s="619">
        <v>4680115884533</v>
      </c>
      <c r="E126" s="62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6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7"/>
      <c r="P127" s="621" t="s">
        <v>72</v>
      </c>
      <c r="Q127" s="622"/>
      <c r="R127" s="622"/>
      <c r="S127" s="622"/>
      <c r="T127" s="622"/>
      <c r="U127" s="622"/>
      <c r="V127" s="623"/>
      <c r="W127" s="37" t="s">
        <v>73</v>
      </c>
      <c r="X127" s="607">
        <f>IFERROR(X123/H123,"0")+IFERROR(X124/H124,"0")+IFERROR(X125/H125,"0")+IFERROR(X126/H126,"0")</f>
        <v>150.86419753086417</v>
      </c>
      <c r="Y127" s="607">
        <f>IFERROR(Y123/H123,"0")+IFERROR(Y124/H124,"0")+IFERROR(Y125/H125,"0")+IFERROR(Y126/H126,"0")</f>
        <v>152</v>
      </c>
      <c r="Z127" s="607">
        <f>IFERROR(IF(Z123="",0,Z123),"0")+IFERROR(IF(Z124="",0,Z124),"0")+IFERROR(IF(Z125="",0,Z125),"0")+IFERROR(IF(Z126="",0,Z126),"0")</f>
        <v>1.10175</v>
      </c>
      <c r="AA127" s="608"/>
      <c r="AB127" s="608"/>
      <c r="AC127" s="608"/>
    </row>
    <row r="128" spans="1:68" x14ac:dyDescent="0.2">
      <c r="A128" s="610"/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7"/>
      <c r="P128" s="621" t="s">
        <v>72</v>
      </c>
      <c r="Q128" s="622"/>
      <c r="R128" s="622"/>
      <c r="S128" s="622"/>
      <c r="T128" s="622"/>
      <c r="U128" s="622"/>
      <c r="V128" s="623"/>
      <c r="W128" s="37" t="s">
        <v>67</v>
      </c>
      <c r="X128" s="607">
        <f>IFERROR(SUM(X123:X126),"0")</f>
        <v>454</v>
      </c>
      <c r="Y128" s="607">
        <f>IFERROR(SUM(Y123:Y126),"0")</f>
        <v>459</v>
      </c>
      <c r="Z128" s="37"/>
      <c r="AA128" s="608"/>
      <c r="AB128" s="608"/>
      <c r="AC128" s="608"/>
    </row>
    <row r="129" spans="1:68" ht="14.25" hidden="1" customHeight="1" x14ac:dyDescent="0.25">
      <c r="A129" s="609" t="s">
        <v>173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19">
        <v>4680115880238</v>
      </c>
      <c r="E130" s="62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11</v>
      </c>
      <c r="Y130" s="606">
        <f>IFERROR(IF(X130="",0,CEILING((X130/$H130),1)*$H130),"")</f>
        <v>11.879999999999999</v>
      </c>
      <c r="Z130" s="36">
        <f>IFERROR(IF(Y130=0,"",ROUNDUP(Y130/H130,0)*0.00651),"")</f>
        <v>3.9059999999999997E-2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12.433333333333334</v>
      </c>
      <c r="BN130" s="64">
        <f>IFERROR(Y130*I130/H130,"0")</f>
        <v>13.427999999999999</v>
      </c>
      <c r="BO130" s="64">
        <f>IFERROR(1/J130*(X130/H130),"0")</f>
        <v>3.0525030525030528E-2</v>
      </c>
      <c r="BP130" s="64">
        <f>IFERROR(1/J130*(Y130/H130),"0")</f>
        <v>3.2967032967032968E-2</v>
      </c>
    </row>
    <row r="131" spans="1:68" x14ac:dyDescent="0.2">
      <c r="A131" s="616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7"/>
      <c r="P131" s="621" t="s">
        <v>72</v>
      </c>
      <c r="Q131" s="622"/>
      <c r="R131" s="622"/>
      <c r="S131" s="622"/>
      <c r="T131" s="622"/>
      <c r="U131" s="622"/>
      <c r="V131" s="623"/>
      <c r="W131" s="37" t="s">
        <v>73</v>
      </c>
      <c r="X131" s="607">
        <f>IFERROR(X130/H130,"0")</f>
        <v>5.5555555555555554</v>
      </c>
      <c r="Y131" s="607">
        <f>IFERROR(Y130/H130,"0")</f>
        <v>5.9999999999999991</v>
      </c>
      <c r="Z131" s="607">
        <f>IFERROR(IF(Z130="",0,Z130),"0")</f>
        <v>3.9059999999999997E-2</v>
      </c>
      <c r="AA131" s="608"/>
      <c r="AB131" s="608"/>
      <c r="AC131" s="608"/>
    </row>
    <row r="132" spans="1:68" x14ac:dyDescent="0.2">
      <c r="A132" s="610"/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7"/>
      <c r="P132" s="621" t="s">
        <v>72</v>
      </c>
      <c r="Q132" s="622"/>
      <c r="R132" s="622"/>
      <c r="S132" s="622"/>
      <c r="T132" s="622"/>
      <c r="U132" s="622"/>
      <c r="V132" s="623"/>
      <c r="W132" s="37" t="s">
        <v>67</v>
      </c>
      <c r="X132" s="607">
        <f>IFERROR(SUM(X130:X130),"0")</f>
        <v>11</v>
      </c>
      <c r="Y132" s="607">
        <f>IFERROR(SUM(Y130:Y130),"0")</f>
        <v>11.879999999999999</v>
      </c>
      <c r="Z132" s="37"/>
      <c r="AA132" s="608"/>
      <c r="AB132" s="608"/>
      <c r="AC132" s="608"/>
    </row>
    <row r="133" spans="1:68" ht="16.5" hidden="1" customHeight="1" x14ac:dyDescent="0.25">
      <c r="A133" s="647" t="s">
        <v>245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600"/>
      <c r="AB133" s="600"/>
      <c r="AC133" s="600"/>
    </row>
    <row r="134" spans="1:68" ht="14.25" hidden="1" customHeight="1" x14ac:dyDescent="0.25">
      <c r="A134" s="609" t="s">
        <v>121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19">
        <v>4680115882577</v>
      </c>
      <c r="E135" s="62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40</v>
      </c>
      <c r="Y135" s="606">
        <f>IFERROR(IF(X135="",0,CEILING((X135/$H135),1)*$H135),"")</f>
        <v>41.6</v>
      </c>
      <c r="Z135" s="36">
        <f>IFERROR(IF(Y135=0,"",ROUNDUP(Y135/H135,0)*0.00651),"")</f>
        <v>8.4629999999999997E-2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42.249999999999993</v>
      </c>
      <c r="BN135" s="64">
        <f>IFERROR(Y135*I135/H135,"0")</f>
        <v>43.94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4301011564</v>
      </c>
      <c r="D136" s="619">
        <v>4680115882577</v>
      </c>
      <c r="E136" s="62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6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7"/>
      <c r="P137" s="621" t="s">
        <v>72</v>
      </c>
      <c r="Q137" s="622"/>
      <c r="R137" s="622"/>
      <c r="S137" s="622"/>
      <c r="T137" s="622"/>
      <c r="U137" s="622"/>
      <c r="V137" s="623"/>
      <c r="W137" s="37" t="s">
        <v>73</v>
      </c>
      <c r="X137" s="607">
        <f>IFERROR(X135/H135,"0")+IFERROR(X136/H136,"0")</f>
        <v>12.5</v>
      </c>
      <c r="Y137" s="607">
        <f>IFERROR(Y135/H135,"0")+IFERROR(Y136/H136,"0")</f>
        <v>13</v>
      </c>
      <c r="Z137" s="607">
        <f>IFERROR(IF(Z135="",0,Z135),"0")+IFERROR(IF(Z136="",0,Z136),"0")</f>
        <v>8.4629999999999997E-2</v>
      </c>
      <c r="AA137" s="608"/>
      <c r="AB137" s="608"/>
      <c r="AC137" s="608"/>
    </row>
    <row r="138" spans="1:68" x14ac:dyDescent="0.2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7"/>
      <c r="P138" s="621" t="s">
        <v>72</v>
      </c>
      <c r="Q138" s="622"/>
      <c r="R138" s="622"/>
      <c r="S138" s="622"/>
      <c r="T138" s="622"/>
      <c r="U138" s="622"/>
      <c r="V138" s="623"/>
      <c r="W138" s="37" t="s">
        <v>67</v>
      </c>
      <c r="X138" s="607">
        <f>IFERROR(SUM(X135:X136),"0")</f>
        <v>40</v>
      </c>
      <c r="Y138" s="607">
        <f>IFERROR(SUM(Y135:Y136),"0")</f>
        <v>41.6</v>
      </c>
      <c r="Z138" s="37"/>
      <c r="AA138" s="608"/>
      <c r="AB138" s="608"/>
      <c r="AC138" s="608"/>
    </row>
    <row r="139" spans="1:68" ht="14.25" hidden="1" customHeight="1" x14ac:dyDescent="0.25">
      <c r="A139" s="609" t="s">
        <v>62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601"/>
      <c r="AB139" s="601"/>
      <c r="AC139" s="601"/>
    </row>
    <row r="140" spans="1:68" ht="27" hidden="1" customHeight="1" x14ac:dyDescent="0.25">
      <c r="A140" s="54" t="s">
        <v>250</v>
      </c>
      <c r="B140" s="54" t="s">
        <v>251</v>
      </c>
      <c r="C140" s="31">
        <v>4301031234</v>
      </c>
      <c r="D140" s="619">
        <v>4680115883444</v>
      </c>
      <c r="E140" s="62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250</v>
      </c>
      <c r="B141" s="54" t="s">
        <v>253</v>
      </c>
      <c r="C141" s="31">
        <v>4301031235</v>
      </c>
      <c r="D141" s="619">
        <v>4680115883444</v>
      </c>
      <c r="E141" s="62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16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7"/>
      <c r="P142" s="621" t="s">
        <v>72</v>
      </c>
      <c r="Q142" s="622"/>
      <c r="R142" s="622"/>
      <c r="S142" s="622"/>
      <c r="T142" s="622"/>
      <c r="U142" s="622"/>
      <c r="V142" s="623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hidden="1" x14ac:dyDescent="0.2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7"/>
      <c r="P143" s="621" t="s">
        <v>72</v>
      </c>
      <c r="Q143" s="622"/>
      <c r="R143" s="622"/>
      <c r="S143" s="622"/>
      <c r="T143" s="622"/>
      <c r="U143" s="622"/>
      <c r="V143" s="623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hidden="1" customHeight="1" x14ac:dyDescent="0.25">
      <c r="A144" s="609" t="s">
        <v>74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19">
        <v>4680115882584</v>
      </c>
      <c r="E145" s="62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65</v>
      </c>
      <c r="Y145" s="606">
        <f>IFERROR(IF(X145="",0,CEILING((X145/$H145),1)*$H145),"")</f>
        <v>66</v>
      </c>
      <c r="Z145" s="36">
        <f>IFERROR(IF(Y145=0,"",ROUNDUP(Y145/H145,0)*0.00651),"")</f>
        <v>0.16275000000000001</v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71.598484848484844</v>
      </c>
      <c r="BN145" s="64">
        <f>IFERROR(Y145*I145/H145,"0")</f>
        <v>72.699999999999989</v>
      </c>
      <c r="BO145" s="64">
        <f>IFERROR(1/J145*(X145/H145),"0")</f>
        <v>0.13528138528138528</v>
      </c>
      <c r="BP145" s="64">
        <f>IFERROR(1/J145*(Y145/H145),"0")</f>
        <v>0.13736263736263737</v>
      </c>
    </row>
    <row r="146" spans="1:68" ht="16.5" hidden="1" customHeight="1" x14ac:dyDescent="0.25">
      <c r="A146" s="54" t="s">
        <v>254</v>
      </c>
      <c r="B146" s="54" t="s">
        <v>256</v>
      </c>
      <c r="C146" s="31">
        <v>4301051477</v>
      </c>
      <c r="D146" s="619">
        <v>4680115882584</v>
      </c>
      <c r="E146" s="62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6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7"/>
      <c r="P147" s="621" t="s">
        <v>72</v>
      </c>
      <c r="Q147" s="622"/>
      <c r="R147" s="622"/>
      <c r="S147" s="622"/>
      <c r="T147" s="622"/>
      <c r="U147" s="622"/>
      <c r="V147" s="623"/>
      <c r="W147" s="37" t="s">
        <v>73</v>
      </c>
      <c r="X147" s="607">
        <f>IFERROR(X145/H145,"0")+IFERROR(X146/H146,"0")</f>
        <v>24.621212121212121</v>
      </c>
      <c r="Y147" s="607">
        <f>IFERROR(Y145/H145,"0")+IFERROR(Y146/H146,"0")</f>
        <v>25</v>
      </c>
      <c r="Z147" s="607">
        <f>IFERROR(IF(Z145="",0,Z145),"0")+IFERROR(IF(Z146="",0,Z146),"0")</f>
        <v>0.16275000000000001</v>
      </c>
      <c r="AA147" s="608"/>
      <c r="AB147" s="608"/>
      <c r="AC147" s="608"/>
    </row>
    <row r="148" spans="1:68" x14ac:dyDescent="0.2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7"/>
      <c r="P148" s="621" t="s">
        <v>72</v>
      </c>
      <c r="Q148" s="622"/>
      <c r="R148" s="622"/>
      <c r="S148" s="622"/>
      <c r="T148" s="622"/>
      <c r="U148" s="622"/>
      <c r="V148" s="623"/>
      <c r="W148" s="37" t="s">
        <v>67</v>
      </c>
      <c r="X148" s="607">
        <f>IFERROR(SUM(X145:X146),"0")</f>
        <v>65</v>
      </c>
      <c r="Y148" s="607">
        <f>IFERROR(SUM(Y145:Y146),"0")</f>
        <v>66</v>
      </c>
      <c r="Z148" s="37"/>
      <c r="AA148" s="608"/>
      <c r="AB148" s="608"/>
      <c r="AC148" s="608"/>
    </row>
    <row r="149" spans="1:68" ht="16.5" hidden="1" customHeight="1" x14ac:dyDescent="0.25">
      <c r="A149" s="647" t="s">
        <v>257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600"/>
      <c r="AB149" s="600"/>
      <c r="AC149" s="600"/>
    </row>
    <row r="150" spans="1:68" ht="14.25" hidden="1" customHeight="1" x14ac:dyDescent="0.25">
      <c r="A150" s="609" t="s">
        <v>74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01"/>
      <c r="AB150" s="601"/>
      <c r="AC150" s="601"/>
    </row>
    <row r="151" spans="1:68" ht="27" hidden="1" customHeight="1" x14ac:dyDescent="0.25">
      <c r="A151" s="54" t="s">
        <v>258</v>
      </c>
      <c r="B151" s="54" t="s">
        <v>259</v>
      </c>
      <c r="C151" s="31">
        <v>4301052174</v>
      </c>
      <c r="D151" s="619">
        <v>4680115888203</v>
      </c>
      <c r="E151" s="62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4301052172</v>
      </c>
      <c r="D152" s="619">
        <v>4680115888180</v>
      </c>
      <c r="E152" s="62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4301052173</v>
      </c>
      <c r="D153" s="619">
        <v>4680115888197</v>
      </c>
      <c r="E153" s="62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19">
        <v>4680115888210</v>
      </c>
      <c r="E154" s="62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16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7"/>
      <c r="P155" s="621" t="s">
        <v>72</v>
      </c>
      <c r="Q155" s="622"/>
      <c r="R155" s="622"/>
      <c r="S155" s="622"/>
      <c r="T155" s="622"/>
      <c r="U155" s="622"/>
      <c r="V155" s="623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hidden="1" x14ac:dyDescent="0.2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7"/>
      <c r="P156" s="621" t="s">
        <v>72</v>
      </c>
      <c r="Q156" s="622"/>
      <c r="R156" s="622"/>
      <c r="S156" s="622"/>
      <c r="T156" s="622"/>
      <c r="U156" s="622"/>
      <c r="V156" s="623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hidden="1" customHeight="1" x14ac:dyDescent="0.25">
      <c r="A157" s="647" t="s">
        <v>119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00"/>
      <c r="AB157" s="600"/>
      <c r="AC157" s="600"/>
    </row>
    <row r="158" spans="1:68" ht="14.25" hidden="1" customHeight="1" x14ac:dyDescent="0.25">
      <c r="A158" s="609" t="s">
        <v>121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19">
        <v>4680115887374</v>
      </c>
      <c r="E159" s="62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7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4</v>
      </c>
      <c r="Y159" s="606">
        <f>IFERROR(IF(X159="",0,CEILING((X159/$H159),1)*$H159),"")</f>
        <v>12.8</v>
      </c>
      <c r="Z159" s="36">
        <f>IFERROR(IF(Y159=0,"",ROUNDUP(Y159/H159,0)*0.01898),"")</f>
        <v>1.898E-2</v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4.1281249999999998</v>
      </c>
      <c r="BN159" s="64">
        <f>IFERROR(Y159*I159/H159,"0")</f>
        <v>13.21</v>
      </c>
      <c r="BO159" s="64">
        <f>IFERROR(1/J159*(X159/H159),"0")</f>
        <v>4.8828125E-3</v>
      </c>
      <c r="BP159" s="64">
        <f>IFERROR(1/J159*(Y159/H159),"0")</f>
        <v>1.5625E-2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19">
        <v>4607091384604</v>
      </c>
      <c r="E160" s="62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6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7"/>
      <c r="P161" s="621" t="s">
        <v>72</v>
      </c>
      <c r="Q161" s="622"/>
      <c r="R161" s="622"/>
      <c r="S161" s="622"/>
      <c r="T161" s="622"/>
      <c r="U161" s="622"/>
      <c r="V161" s="623"/>
      <c r="W161" s="37" t="s">
        <v>73</v>
      </c>
      <c r="X161" s="607">
        <f>IFERROR(X159/H159,"0")+IFERROR(X160/H160,"0")</f>
        <v>0.3125</v>
      </c>
      <c r="Y161" s="607">
        <f>IFERROR(Y159/H159,"0")+IFERROR(Y160/H160,"0")</f>
        <v>1</v>
      </c>
      <c r="Z161" s="607">
        <f>IFERROR(IF(Z159="",0,Z159),"0")+IFERROR(IF(Z160="",0,Z160),"0")</f>
        <v>1.898E-2</v>
      </c>
      <c r="AA161" s="608"/>
      <c r="AB161" s="608"/>
      <c r="AC161" s="608"/>
    </row>
    <row r="162" spans="1:68" x14ac:dyDescent="0.2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7"/>
      <c r="P162" s="621" t="s">
        <v>72</v>
      </c>
      <c r="Q162" s="622"/>
      <c r="R162" s="622"/>
      <c r="S162" s="622"/>
      <c r="T162" s="622"/>
      <c r="U162" s="622"/>
      <c r="V162" s="623"/>
      <c r="W162" s="37" t="s">
        <v>67</v>
      </c>
      <c r="X162" s="607">
        <f>IFERROR(SUM(X159:X160),"0")</f>
        <v>4</v>
      </c>
      <c r="Y162" s="607">
        <f>IFERROR(SUM(Y159:Y160),"0")</f>
        <v>12.8</v>
      </c>
      <c r="Z162" s="37"/>
      <c r="AA162" s="608"/>
      <c r="AB162" s="608"/>
      <c r="AC162" s="608"/>
    </row>
    <row r="163" spans="1:68" ht="14.25" hidden="1" customHeight="1" x14ac:dyDescent="0.25">
      <c r="A163" s="609" t="s">
        <v>156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01"/>
      <c r="AB163" s="601"/>
      <c r="AC163" s="601"/>
    </row>
    <row r="164" spans="1:68" ht="16.5" hidden="1" customHeight="1" x14ac:dyDescent="0.25">
      <c r="A164" s="54" t="s">
        <v>276</v>
      </c>
      <c r="B164" s="54" t="s">
        <v>277</v>
      </c>
      <c r="C164" s="31">
        <v>4301020410</v>
      </c>
      <c r="D164" s="619">
        <v>4680115887695</v>
      </c>
      <c r="E164" s="62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16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7"/>
      <c r="P165" s="621" t="s">
        <v>72</v>
      </c>
      <c r="Q165" s="622"/>
      <c r="R165" s="622"/>
      <c r="S165" s="622"/>
      <c r="T165" s="622"/>
      <c r="U165" s="622"/>
      <c r="V165" s="623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hidden="1" x14ac:dyDescent="0.2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7"/>
      <c r="P166" s="621" t="s">
        <v>72</v>
      </c>
      <c r="Q166" s="622"/>
      <c r="R166" s="622"/>
      <c r="S166" s="622"/>
      <c r="T166" s="622"/>
      <c r="U166" s="622"/>
      <c r="V166" s="623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hidden="1" customHeight="1" x14ac:dyDescent="0.25">
      <c r="A167" s="609" t="s">
        <v>62</v>
      </c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R167" s="610"/>
      <c r="S167" s="610"/>
      <c r="T167" s="610"/>
      <c r="U167" s="610"/>
      <c r="V167" s="610"/>
      <c r="W167" s="610"/>
      <c r="X167" s="610"/>
      <c r="Y167" s="610"/>
      <c r="Z167" s="610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19">
        <v>4680115887428</v>
      </c>
      <c r="E168" s="62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54</v>
      </c>
      <c r="Y168" s="606">
        <f t="shared" ref="Y168:Y178" si="21">IFERROR(IF(X168="",0,CEILING((X168/$H168),1)*$H168),"")</f>
        <v>56</v>
      </c>
      <c r="Z168" s="36">
        <f>IFERROR(IF(Y168=0,"",ROUNDUP(Y168/H168,0)*0.00902),"")</f>
        <v>0.14432</v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56.931428571428569</v>
      </c>
      <c r="BN168" s="64">
        <f t="shared" ref="BN168:BN178" si="23">IFERROR(Y168*I168/H168,"0")</f>
        <v>59.04</v>
      </c>
      <c r="BO168" s="64">
        <f t="shared" ref="BO168:BO178" si="24">IFERROR(1/J168*(X168/H168),"0")</f>
        <v>0.11688311688311689</v>
      </c>
      <c r="BP168" s="64">
        <f t="shared" ref="BP168:BP178" si="25">IFERROR(1/J168*(Y168/H168),"0")</f>
        <v>0.12121212121212122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4301030963</v>
      </c>
      <c r="D169" s="619">
        <v>4607091382426</v>
      </c>
      <c r="E169" s="62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4301031498</v>
      </c>
      <c r="D170" s="619">
        <v>4680115887398</v>
      </c>
      <c r="E170" s="62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19">
        <v>4680115887336</v>
      </c>
      <c r="E171" s="62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60</v>
      </c>
      <c r="Y171" s="606">
        <f t="shared" si="21"/>
        <v>63</v>
      </c>
      <c r="Z171" s="36">
        <f>IFERROR(IF(Y171=0,"",ROUNDUP(Y171/H171,0)*0.00902),"")</f>
        <v>0.16236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63.25714285714286</v>
      </c>
      <c r="BN171" s="64">
        <f t="shared" si="23"/>
        <v>66.42</v>
      </c>
      <c r="BO171" s="64">
        <f t="shared" si="24"/>
        <v>0.12987012987012986</v>
      </c>
      <c r="BP171" s="64">
        <f t="shared" si="25"/>
        <v>0.13636363636363635</v>
      </c>
    </row>
    <row r="172" spans="1:68" ht="16.5" hidden="1" customHeight="1" x14ac:dyDescent="0.25">
      <c r="A172" s="54" t="s">
        <v>291</v>
      </c>
      <c r="B172" s="54" t="s">
        <v>292</v>
      </c>
      <c r="C172" s="31">
        <v>4301032049</v>
      </c>
      <c r="D172" s="619">
        <v>4680115887787</v>
      </c>
      <c r="E172" s="62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19">
        <v>4680115887503</v>
      </c>
      <c r="E173" s="62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13</v>
      </c>
      <c r="Y173" s="606">
        <f t="shared" si="21"/>
        <v>13.44</v>
      </c>
      <c r="Z173" s="36">
        <f>IFERROR(IF(Y173=0,"",ROUNDUP(Y173/H173,0)*0.00502),"")</f>
        <v>4.0160000000000001E-2</v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13.773809523809526</v>
      </c>
      <c r="BN173" s="64">
        <f t="shared" si="23"/>
        <v>14.239999999999998</v>
      </c>
      <c r="BO173" s="64">
        <f t="shared" si="24"/>
        <v>3.3068783068783074E-2</v>
      </c>
      <c r="BP173" s="64">
        <f t="shared" si="25"/>
        <v>3.4188034188034191E-2</v>
      </c>
    </row>
    <row r="174" spans="1:68" ht="27" hidden="1" customHeight="1" x14ac:dyDescent="0.25">
      <c r="A174" s="54" t="s">
        <v>296</v>
      </c>
      <c r="B174" s="54" t="s">
        <v>297</v>
      </c>
      <c r="C174" s="31">
        <v>4301031389</v>
      </c>
      <c r="D174" s="619">
        <v>4680115887763</v>
      </c>
      <c r="E174" s="62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299</v>
      </c>
      <c r="C175" s="31">
        <v>4301031510</v>
      </c>
      <c r="D175" s="619">
        <v>4680115887763</v>
      </c>
      <c r="E175" s="62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4301031454</v>
      </c>
      <c r="D176" s="619">
        <v>4680115887480</v>
      </c>
      <c r="E176" s="62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4301031434</v>
      </c>
      <c r="D177" s="619">
        <v>4680115888067</v>
      </c>
      <c r="E177" s="62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19">
        <v>4680115887435</v>
      </c>
      <c r="E178" s="62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6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22</v>
      </c>
      <c r="Y178" s="606">
        <f t="shared" si="21"/>
        <v>23.52</v>
      </c>
      <c r="Z178" s="36">
        <f>IFERROR(IF(Y178=0,"",ROUNDUP(Y178/H178,0)*0.00502),"")</f>
        <v>7.0280000000000009E-2</v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23.309523809523814</v>
      </c>
      <c r="BN178" s="64">
        <f t="shared" si="23"/>
        <v>24.92</v>
      </c>
      <c r="BO178" s="64">
        <f t="shared" si="24"/>
        <v>5.596255596255597E-2</v>
      </c>
      <c r="BP178" s="64">
        <f t="shared" si="25"/>
        <v>5.9829059829059839E-2</v>
      </c>
    </row>
    <row r="179" spans="1:68" x14ac:dyDescent="0.2">
      <c r="A179" s="616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7"/>
      <c r="P179" s="621" t="s">
        <v>72</v>
      </c>
      <c r="Q179" s="622"/>
      <c r="R179" s="622"/>
      <c r="S179" s="622"/>
      <c r="T179" s="622"/>
      <c r="U179" s="622"/>
      <c r="V179" s="623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53.404761904761905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56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0.41712000000000005</v>
      </c>
      <c r="AA179" s="608"/>
      <c r="AB179" s="608"/>
      <c r="AC179" s="608"/>
    </row>
    <row r="180" spans="1:68" x14ac:dyDescent="0.2">
      <c r="A180" s="610"/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7"/>
      <c r="P180" s="621" t="s">
        <v>72</v>
      </c>
      <c r="Q180" s="622"/>
      <c r="R180" s="622"/>
      <c r="S180" s="622"/>
      <c r="T180" s="622"/>
      <c r="U180" s="622"/>
      <c r="V180" s="623"/>
      <c r="W180" s="37" t="s">
        <v>67</v>
      </c>
      <c r="X180" s="607">
        <f>IFERROR(SUM(X168:X178),"0")</f>
        <v>149</v>
      </c>
      <c r="Y180" s="607">
        <f>IFERROR(SUM(Y168:Y178),"0")</f>
        <v>155.96</v>
      </c>
      <c r="Z180" s="37"/>
      <c r="AA180" s="608"/>
      <c r="AB180" s="608"/>
      <c r="AC180" s="608"/>
    </row>
    <row r="181" spans="1:68" ht="14.25" hidden="1" customHeight="1" x14ac:dyDescent="0.25">
      <c r="A181" s="609" t="s">
        <v>74</v>
      </c>
      <c r="B181" s="610"/>
      <c r="C181" s="610"/>
      <c r="D181" s="610"/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  <c r="S181" s="610"/>
      <c r="T181" s="610"/>
      <c r="U181" s="610"/>
      <c r="V181" s="610"/>
      <c r="W181" s="610"/>
      <c r="X181" s="610"/>
      <c r="Y181" s="610"/>
      <c r="Z181" s="610"/>
      <c r="AA181" s="601"/>
      <c r="AB181" s="601"/>
      <c r="AC181" s="601"/>
    </row>
    <row r="182" spans="1:68" ht="16.5" hidden="1" customHeight="1" x14ac:dyDescent="0.25">
      <c r="A182" s="54" t="s">
        <v>307</v>
      </c>
      <c r="B182" s="54" t="s">
        <v>308</v>
      </c>
      <c r="C182" s="31">
        <v>4301052193</v>
      </c>
      <c r="D182" s="619">
        <v>4680115888395</v>
      </c>
      <c r="E182" s="62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hidden="1" customHeight="1" x14ac:dyDescent="0.25">
      <c r="A183" s="54" t="s">
        <v>310</v>
      </c>
      <c r="B183" s="54" t="s">
        <v>311</v>
      </c>
      <c r="C183" s="31">
        <v>4301052191</v>
      </c>
      <c r="D183" s="619">
        <v>4680115888371</v>
      </c>
      <c r="E183" s="62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4301052064</v>
      </c>
      <c r="D184" s="619">
        <v>4680115887459</v>
      </c>
      <c r="E184" s="62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616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7"/>
      <c r="P185" s="621" t="s">
        <v>72</v>
      </c>
      <c r="Q185" s="622"/>
      <c r="R185" s="622"/>
      <c r="S185" s="622"/>
      <c r="T185" s="622"/>
      <c r="U185" s="622"/>
      <c r="V185" s="623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hidden="1" x14ac:dyDescent="0.2">
      <c r="A186" s="610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7"/>
      <c r="P186" s="621" t="s">
        <v>72</v>
      </c>
      <c r="Q186" s="622"/>
      <c r="R186" s="622"/>
      <c r="S186" s="622"/>
      <c r="T186" s="622"/>
      <c r="U186" s="622"/>
      <c r="V186" s="623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hidden="1" customHeight="1" x14ac:dyDescent="0.25">
      <c r="A187" s="609" t="s">
        <v>95</v>
      </c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0"/>
      <c r="O187" s="610"/>
      <c r="P187" s="610"/>
      <c r="Q187" s="610"/>
      <c r="R187" s="610"/>
      <c r="S187" s="610"/>
      <c r="T187" s="610"/>
      <c r="U187" s="610"/>
      <c r="V187" s="610"/>
      <c r="W187" s="610"/>
      <c r="X187" s="610"/>
      <c r="Y187" s="610"/>
      <c r="Z187" s="610"/>
      <c r="AA187" s="601"/>
      <c r="AB187" s="601"/>
      <c r="AC187" s="601"/>
    </row>
    <row r="188" spans="1:68" ht="16.5" hidden="1" customHeight="1" x14ac:dyDescent="0.25">
      <c r="A188" s="54" t="s">
        <v>316</v>
      </c>
      <c r="B188" s="54" t="s">
        <v>317</v>
      </c>
      <c r="C188" s="31">
        <v>4301032058</v>
      </c>
      <c r="D188" s="619">
        <v>4680115889026</v>
      </c>
      <c r="E188" s="62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7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321</v>
      </c>
      <c r="B189" s="54" t="s">
        <v>322</v>
      </c>
      <c r="C189" s="31">
        <v>4301032057</v>
      </c>
      <c r="D189" s="619">
        <v>4680115889088</v>
      </c>
      <c r="E189" s="62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16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7"/>
      <c r="P190" s="621" t="s">
        <v>72</v>
      </c>
      <c r="Q190" s="622"/>
      <c r="R190" s="622"/>
      <c r="S190" s="622"/>
      <c r="T190" s="622"/>
      <c r="U190" s="622"/>
      <c r="V190" s="623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hidden="1" x14ac:dyDescent="0.2">
      <c r="A191" s="610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7"/>
      <c r="P191" s="621" t="s">
        <v>72</v>
      </c>
      <c r="Q191" s="622"/>
      <c r="R191" s="622"/>
      <c r="S191" s="622"/>
      <c r="T191" s="622"/>
      <c r="U191" s="622"/>
      <c r="V191" s="623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hidden="1" customHeight="1" x14ac:dyDescent="0.25">
      <c r="A192" s="609" t="s">
        <v>324</v>
      </c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  <c r="P192" s="610"/>
      <c r="Q192" s="610"/>
      <c r="R192" s="610"/>
      <c r="S192" s="610"/>
      <c r="T192" s="610"/>
      <c r="U192" s="610"/>
      <c r="V192" s="610"/>
      <c r="W192" s="610"/>
      <c r="X192" s="610"/>
      <c r="Y192" s="610"/>
      <c r="Z192" s="610"/>
      <c r="AA192" s="601"/>
      <c r="AB192" s="601"/>
      <c r="AC192" s="601"/>
    </row>
    <row r="193" spans="1:68" ht="27" hidden="1" customHeight="1" x14ac:dyDescent="0.25">
      <c r="A193" s="54" t="s">
        <v>325</v>
      </c>
      <c r="B193" s="54" t="s">
        <v>326</v>
      </c>
      <c r="C193" s="31">
        <v>4301041009</v>
      </c>
      <c r="D193" s="619">
        <v>4680115889033</v>
      </c>
      <c r="E193" s="62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16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7"/>
      <c r="P194" s="621" t="s">
        <v>72</v>
      </c>
      <c r="Q194" s="622"/>
      <c r="R194" s="622"/>
      <c r="S194" s="622"/>
      <c r="T194" s="622"/>
      <c r="U194" s="622"/>
      <c r="V194" s="623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hidden="1" x14ac:dyDescent="0.2">
      <c r="A195" s="610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7"/>
      <c r="P195" s="621" t="s">
        <v>72</v>
      </c>
      <c r="Q195" s="622"/>
      <c r="R195" s="622"/>
      <c r="S195" s="622"/>
      <c r="T195" s="622"/>
      <c r="U195" s="622"/>
      <c r="V195" s="623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hidden="1" customHeight="1" x14ac:dyDescent="0.2">
      <c r="A196" s="630" t="s">
        <v>328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48"/>
      <c r="AB196" s="48"/>
      <c r="AC196" s="48"/>
    </row>
    <row r="197" spans="1:68" ht="16.5" hidden="1" customHeight="1" x14ac:dyDescent="0.25">
      <c r="A197" s="647" t="s">
        <v>329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600"/>
      <c r="AB197" s="600"/>
      <c r="AC197" s="600"/>
    </row>
    <row r="198" spans="1:68" ht="14.25" hidden="1" customHeight="1" x14ac:dyDescent="0.25">
      <c r="A198" s="609" t="s">
        <v>121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  <c r="S198" s="610"/>
      <c r="T198" s="610"/>
      <c r="U198" s="610"/>
      <c r="V198" s="610"/>
      <c r="W198" s="610"/>
      <c r="X198" s="610"/>
      <c r="Y198" s="610"/>
      <c r="Z198" s="610"/>
      <c r="AA198" s="601"/>
      <c r="AB198" s="601"/>
      <c r="AC198" s="601"/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3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4301011223</v>
      </c>
      <c r="D202" s="619">
        <v>4607091383423</v>
      </c>
      <c r="E202" s="62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hidden="1" customHeight="1" x14ac:dyDescent="0.25">
      <c r="A203" s="54" t="s">
        <v>341</v>
      </c>
      <c r="B203" s="54" t="s">
        <v>342</v>
      </c>
      <c r="C203" s="31">
        <v>4301012370</v>
      </c>
      <c r="D203" s="619">
        <v>4680115886957</v>
      </c>
      <c r="E203" s="62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4301012098</v>
      </c>
      <c r="D204" s="619">
        <v>4680115885660</v>
      </c>
      <c r="E204" s="62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4301012369</v>
      </c>
      <c r="D205" s="619">
        <v>4680115886773</v>
      </c>
      <c r="E205" s="62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idden="1" x14ac:dyDescent="0.2">
      <c r="A206" s="616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7"/>
      <c r="P206" s="621" t="s">
        <v>72</v>
      </c>
      <c r="Q206" s="622"/>
      <c r="R206" s="622"/>
      <c r="S206" s="622"/>
      <c r="T206" s="622"/>
      <c r="U206" s="622"/>
      <c r="V206" s="623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hidden="1" x14ac:dyDescent="0.2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7"/>
      <c r="P207" s="621" t="s">
        <v>72</v>
      </c>
      <c r="Q207" s="622"/>
      <c r="R207" s="622"/>
      <c r="S207" s="622"/>
      <c r="T207" s="622"/>
      <c r="U207" s="622"/>
      <c r="V207" s="623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hidden="1" customHeight="1" x14ac:dyDescent="0.25">
      <c r="A208" s="647" t="s">
        <v>350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00"/>
      <c r="AB208" s="600"/>
      <c r="AC208" s="600"/>
    </row>
    <row r="209" spans="1:68" ht="14.25" hidden="1" customHeight="1" x14ac:dyDescent="0.25">
      <c r="A209" s="609" t="s">
        <v>156</v>
      </c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01"/>
      <c r="AB209" s="601"/>
      <c r="AC209" s="601"/>
    </row>
    <row r="210" spans="1:68" ht="27" hidden="1" customHeight="1" x14ac:dyDescent="0.25">
      <c r="A210" s="54" t="s">
        <v>351</v>
      </c>
      <c r="B210" s="54" t="s">
        <v>352</v>
      </c>
      <c r="C210" s="31">
        <v>4301020323</v>
      </c>
      <c r="D210" s="619">
        <v>4680115886223</v>
      </c>
      <c r="E210" s="62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16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7"/>
      <c r="P211" s="621" t="s">
        <v>72</v>
      </c>
      <c r="Q211" s="622"/>
      <c r="R211" s="622"/>
      <c r="S211" s="622"/>
      <c r="T211" s="622"/>
      <c r="U211" s="622"/>
      <c r="V211" s="623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hidden="1" x14ac:dyDescent="0.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7"/>
      <c r="P212" s="621" t="s">
        <v>72</v>
      </c>
      <c r="Q212" s="622"/>
      <c r="R212" s="622"/>
      <c r="S212" s="622"/>
      <c r="T212" s="622"/>
      <c r="U212" s="622"/>
      <c r="V212" s="623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hidden="1" customHeight="1" x14ac:dyDescent="0.25">
      <c r="A213" s="609" t="s">
        <v>62</v>
      </c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01"/>
      <c r="AB213" s="601"/>
      <c r="AC213" s="601"/>
    </row>
    <row r="214" spans="1:68" ht="27" hidden="1" customHeight="1" x14ac:dyDescent="0.25">
      <c r="A214" s="54" t="s">
        <v>354</v>
      </c>
      <c r="B214" s="54" t="s">
        <v>355</v>
      </c>
      <c r="C214" s="31">
        <v>4301031191</v>
      </c>
      <c r="D214" s="619">
        <v>4680115880993</v>
      </c>
      <c r="E214" s="62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4301031204</v>
      </c>
      <c r="D215" s="619">
        <v>4680115881761</v>
      </c>
      <c r="E215" s="62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4301031201</v>
      </c>
      <c r="D216" s="619">
        <v>4680115881563</v>
      </c>
      <c r="E216" s="62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19">
        <v>4680115887565</v>
      </c>
      <c r="E217" s="62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17</v>
      </c>
      <c r="Y217" s="606">
        <f t="shared" si="32"/>
        <v>17.600000000000001</v>
      </c>
      <c r="Z217" s="36">
        <f>IFERROR(IF(Y217=0,"",ROUNDUP(Y217/H217,0)*0.00556),"")</f>
        <v>0.12232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19.762499999999999</v>
      </c>
      <c r="BN217" s="64">
        <f t="shared" si="34"/>
        <v>20.46</v>
      </c>
      <c r="BO217" s="64">
        <f t="shared" si="35"/>
        <v>8.4325396825396817E-2</v>
      </c>
      <c r="BP217" s="64">
        <f t="shared" si="36"/>
        <v>8.7301587301587297E-2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19">
        <v>4680115880986</v>
      </c>
      <c r="E218" s="62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11</v>
      </c>
      <c r="Y218" s="606">
        <f t="shared" si="32"/>
        <v>12.600000000000001</v>
      </c>
      <c r="Z218" s="36">
        <f t="shared" ref="Z218:Z223" si="37">IFERROR(IF(Y218=0,"",ROUNDUP(Y218/H218,0)*0.00502),"")</f>
        <v>3.0120000000000001E-2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11.68095238095238</v>
      </c>
      <c r="BN218" s="64">
        <f t="shared" si="34"/>
        <v>13.38</v>
      </c>
      <c r="BO218" s="64">
        <f t="shared" si="35"/>
        <v>2.2385022385022386E-2</v>
      </c>
      <c r="BP218" s="64">
        <f t="shared" si="36"/>
        <v>2.5641025641025644E-2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4301031443</v>
      </c>
      <c r="D219" s="619">
        <v>4680115887213</v>
      </c>
      <c r="E219" s="62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8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4301031205</v>
      </c>
      <c r="D220" s="619">
        <v>4680115881785</v>
      </c>
      <c r="E220" s="62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4301031499</v>
      </c>
      <c r="D221" s="619">
        <v>4680115888432</v>
      </c>
      <c r="E221" s="62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4301031427</v>
      </c>
      <c r="D222" s="619">
        <v>4680115888104</v>
      </c>
      <c r="E222" s="62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19">
        <v>4680115886537</v>
      </c>
      <c r="E223" s="62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17</v>
      </c>
      <c r="Y223" s="606">
        <f t="shared" si="32"/>
        <v>18</v>
      </c>
      <c r="Z223" s="36">
        <f t="shared" si="37"/>
        <v>5.0200000000000002E-2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18.227777777777778</v>
      </c>
      <c r="BN223" s="64">
        <f t="shared" si="34"/>
        <v>19.3</v>
      </c>
      <c r="BO223" s="64">
        <f t="shared" si="35"/>
        <v>4.0360873694207031E-2</v>
      </c>
      <c r="BP223" s="64">
        <f t="shared" si="36"/>
        <v>4.2735042735042736E-2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19">
        <v>4680115887596</v>
      </c>
      <c r="E224" s="62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13</v>
      </c>
      <c r="Y224" s="606">
        <f t="shared" si="32"/>
        <v>13.600000000000001</v>
      </c>
      <c r="Z224" s="36">
        <f>IFERROR(IF(Y224=0,"",ROUNDUP(Y224/H224,0)*0.00417),"")</f>
        <v>7.0890000000000009E-2</v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16.412500000000001</v>
      </c>
      <c r="BN224" s="64">
        <f t="shared" si="34"/>
        <v>17.170000000000002</v>
      </c>
      <c r="BO224" s="64">
        <f t="shared" si="35"/>
        <v>4.8363095238095233E-2</v>
      </c>
      <c r="BP224" s="64">
        <f t="shared" si="36"/>
        <v>5.0595238095238096E-2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19">
        <v>4680115881679</v>
      </c>
      <c r="E225" s="62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31</v>
      </c>
      <c r="Y225" s="606">
        <f t="shared" si="32"/>
        <v>31.5</v>
      </c>
      <c r="Z225" s="36">
        <f>IFERROR(IF(Y225=0,"",ROUNDUP(Y225/H225,0)*0.00502),"")</f>
        <v>7.5300000000000006E-2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32.476190476190474</v>
      </c>
      <c r="BN225" s="64">
        <f t="shared" si="34"/>
        <v>33.000000000000007</v>
      </c>
      <c r="BO225" s="64">
        <f t="shared" si="35"/>
        <v>6.3085063085063092E-2</v>
      </c>
      <c r="BP225" s="64">
        <f t="shared" si="36"/>
        <v>6.4102564102564111E-2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4301031158</v>
      </c>
      <c r="D226" s="619">
        <v>4680115880191</v>
      </c>
      <c r="E226" s="62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389</v>
      </c>
      <c r="B227" s="54" t="s">
        <v>390</v>
      </c>
      <c r="C227" s="31">
        <v>4301031245</v>
      </c>
      <c r="D227" s="619">
        <v>4680115883963</v>
      </c>
      <c r="E227" s="62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6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7"/>
      <c r="P228" s="621" t="s">
        <v>72</v>
      </c>
      <c r="Q228" s="622"/>
      <c r="R228" s="622"/>
      <c r="S228" s="622"/>
      <c r="T228" s="622"/>
      <c r="U228" s="622"/>
      <c r="V228" s="623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66.944444444444443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70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0.34882999999999997</v>
      </c>
      <c r="AA228" s="608"/>
      <c r="AB228" s="608"/>
      <c r="AC228" s="608"/>
    </row>
    <row r="229" spans="1:68" x14ac:dyDescent="0.2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7"/>
      <c r="P229" s="621" t="s">
        <v>72</v>
      </c>
      <c r="Q229" s="622"/>
      <c r="R229" s="622"/>
      <c r="S229" s="622"/>
      <c r="T229" s="622"/>
      <c r="U229" s="622"/>
      <c r="V229" s="623"/>
      <c r="W229" s="37" t="s">
        <v>67</v>
      </c>
      <c r="X229" s="607">
        <f>IFERROR(SUM(X214:X227),"0")</f>
        <v>89</v>
      </c>
      <c r="Y229" s="607">
        <f>IFERROR(SUM(Y214:Y227),"0")</f>
        <v>93.300000000000011</v>
      </c>
      <c r="Z229" s="37"/>
      <c r="AA229" s="608"/>
      <c r="AB229" s="608"/>
      <c r="AC229" s="608"/>
    </row>
    <row r="230" spans="1:68" ht="14.25" hidden="1" customHeight="1" x14ac:dyDescent="0.25">
      <c r="A230" s="609" t="s">
        <v>74</v>
      </c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01"/>
      <c r="AB230" s="601"/>
      <c r="AC230" s="601"/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9">
        <v>4680115888692</v>
      </c>
      <c r="E231" s="62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1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9">
        <v>4680115888722</v>
      </c>
      <c r="E232" s="62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79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9">
        <v>4680115888951</v>
      </c>
      <c r="E233" s="62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9">
        <v>4680115888982</v>
      </c>
      <c r="E234" s="62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6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7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7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95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19">
        <v>4680115886780</v>
      </c>
      <c r="E238" s="62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1</v>
      </c>
      <c r="Y238" s="606">
        <f>IFERROR(IF(X238="",0,CEILING((X238/$H238),1)*$H238),"")</f>
        <v>1.26</v>
      </c>
      <c r="Z238" s="36">
        <f>IFERROR(IF(Y238=0,"",ROUNDUP(Y238/H238,0)*0.0059),"")</f>
        <v>5.8999999999999999E-3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1.1507936507936507</v>
      </c>
      <c r="BN238" s="64">
        <f>IFERROR(Y238*I238/H238,"0")</f>
        <v>1.45</v>
      </c>
      <c r="BO238" s="64">
        <f>IFERROR(1/J238*(X238/H238),"0")</f>
        <v>3.6743092298647849E-3</v>
      </c>
      <c r="BP238" s="64">
        <f>IFERROR(1/J238*(Y238/H238),"0")</f>
        <v>4.6296296296296294E-3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9">
        <v>4680115886742</v>
      </c>
      <c r="E239" s="62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9">
        <v>4680115886766</v>
      </c>
      <c r="E240" s="62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12</v>
      </c>
      <c r="Y240" s="606">
        <f>IFERROR(IF(X240="",0,CEILING((X240/$H240),1)*$H240),"")</f>
        <v>12.6</v>
      </c>
      <c r="Z240" s="36">
        <f>IFERROR(IF(Y240=0,"",ROUNDUP(Y240/H240,0)*0.0059),"")</f>
        <v>5.8999999999999997E-2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13.809523809523808</v>
      </c>
      <c r="BN240" s="64">
        <f>IFERROR(Y240*I240/H240,"0")</f>
        <v>14.5</v>
      </c>
      <c r="BO240" s="64">
        <f>IFERROR(1/J240*(X240/H240),"0")</f>
        <v>4.4091710758377423E-2</v>
      </c>
      <c r="BP240" s="64">
        <f>IFERROR(1/J240*(Y240/H240),"0")</f>
        <v>4.6296296296296294E-2</v>
      </c>
    </row>
    <row r="241" spans="1:68" x14ac:dyDescent="0.2">
      <c r="A241" s="616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7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10.317460317460318</v>
      </c>
      <c r="Y241" s="607">
        <f>IFERROR(Y238/H238,"0")+IFERROR(Y239/H239,"0")+IFERROR(Y240/H240,"0")</f>
        <v>11</v>
      </c>
      <c r="Z241" s="607">
        <f>IFERROR(IF(Z238="",0,Z238),"0")+IFERROR(IF(Z239="",0,Z239),"0")+IFERROR(IF(Z240="",0,Z240),"0")</f>
        <v>6.4899999999999999E-2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7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13</v>
      </c>
      <c r="Y242" s="607">
        <f>IFERROR(SUM(Y238:Y240),"0")</f>
        <v>13.86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9">
        <v>4680115886797</v>
      </c>
      <c r="E244" s="62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4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16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7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3.1746031746031744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7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4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hidden="1" customHeight="1" x14ac:dyDescent="0.25">
      <c r="A247" s="647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121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01"/>
      <c r="AB248" s="601"/>
      <c r="AC248" s="60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9">
        <v>4680115881402</v>
      </c>
      <c r="E249" s="62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9">
        <v>4680115881396</v>
      </c>
      <c r="E250" s="62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6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7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7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156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01"/>
      <c r="AB253" s="601"/>
      <c r="AC253" s="601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9">
        <v>4680115882935</v>
      </c>
      <c r="E254" s="62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9">
        <v>4680115880764</v>
      </c>
      <c r="E255" s="62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6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7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7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9">
        <v>4680115882683</v>
      </c>
      <c r="E259" s="62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89</v>
      </c>
      <c r="Y259" s="606">
        <f t="shared" ref="Y259:Y266" si="38">IFERROR(IF(X259="",0,CEILING((X259/$H259),1)*$H259),"")</f>
        <v>91.800000000000011</v>
      </c>
      <c r="Z259" s="36">
        <f>IFERROR(IF(Y259=0,"",ROUNDUP(Y259/H259,0)*0.00902),"")</f>
        <v>0.15334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92.131481481481472</v>
      </c>
      <c r="BN259" s="64">
        <f t="shared" ref="BN259:BN266" si="40">IFERROR(Y259*I259/H259,"0")</f>
        <v>95.03</v>
      </c>
      <c r="BO259" s="64">
        <f t="shared" ref="BO259:BO266" si="41">IFERROR(1/J259*(X259/H259),"0")</f>
        <v>0.12485970819304153</v>
      </c>
      <c r="BP259" s="64">
        <f t="shared" ref="BP259:BP266" si="42">IFERROR(1/J259*(Y259/H259),"0")</f>
        <v>0.12878787878787878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9">
        <v>4680115882690</v>
      </c>
      <c r="E260" s="62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525</v>
      </c>
      <c r="Y260" s="606">
        <f t="shared" si="38"/>
        <v>529.20000000000005</v>
      </c>
      <c r="Z260" s="36">
        <f>IFERROR(IF(Y260=0,"",ROUNDUP(Y260/H260,0)*0.00902),"")</f>
        <v>0.88396000000000008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543.47222222222217</v>
      </c>
      <c r="BN260" s="64">
        <f t="shared" si="40"/>
        <v>547.81999999999994</v>
      </c>
      <c r="BO260" s="64">
        <f t="shared" si="41"/>
        <v>0.73653198653198648</v>
      </c>
      <c r="BP260" s="64">
        <f t="shared" si="42"/>
        <v>0.74242424242424243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9">
        <v>4680115882669</v>
      </c>
      <c r="E261" s="62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9">
        <v>4680115882676</v>
      </c>
      <c r="E262" s="62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17</v>
      </c>
      <c r="Y262" s="606">
        <f t="shared" si="38"/>
        <v>21.6</v>
      </c>
      <c r="Z262" s="36">
        <f>IFERROR(IF(Y262=0,"",ROUNDUP(Y262/H262,0)*0.00902),"")</f>
        <v>3.6080000000000001E-2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17.598148148148148</v>
      </c>
      <c r="BN262" s="64">
        <f t="shared" si="40"/>
        <v>22.36</v>
      </c>
      <c r="BO262" s="64">
        <f t="shared" si="41"/>
        <v>2.3849607182940515E-2</v>
      </c>
      <c r="BP262" s="64">
        <f t="shared" si="42"/>
        <v>3.0303030303030304E-2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9">
        <v>4680115884014</v>
      </c>
      <c r="E263" s="62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31</v>
      </c>
      <c r="Y263" s="606">
        <f t="shared" si="38"/>
        <v>32.4</v>
      </c>
      <c r="Z263" s="36">
        <f>IFERROR(IF(Y263=0,"",ROUNDUP(Y263/H263,0)*0.00502),"")</f>
        <v>9.0359999999999996E-2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33.238888888888887</v>
      </c>
      <c r="BN263" s="64">
        <f t="shared" si="40"/>
        <v>34.739999999999995</v>
      </c>
      <c r="BO263" s="64">
        <f t="shared" si="41"/>
        <v>7.3599240265906932E-2</v>
      </c>
      <c r="BP263" s="64">
        <f t="shared" si="42"/>
        <v>7.6923076923076927E-2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9">
        <v>4680115884007</v>
      </c>
      <c r="E264" s="62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38</v>
      </c>
      <c r="Y264" s="606">
        <f t="shared" si="38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40.111111111111114</v>
      </c>
      <c r="BN264" s="64">
        <f t="shared" si="40"/>
        <v>41.8</v>
      </c>
      <c r="BO264" s="64">
        <f t="shared" si="41"/>
        <v>9.0218423551756896E-2</v>
      </c>
      <c r="BP264" s="64">
        <f t="shared" si="42"/>
        <v>9.401709401709403E-2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9">
        <v>4680115884038</v>
      </c>
      <c r="E265" s="62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9">
        <v>4680115884021</v>
      </c>
      <c r="E266" s="62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25</v>
      </c>
      <c r="Y266" s="606">
        <f t="shared" si="38"/>
        <v>25.2</v>
      </c>
      <c r="Z266" s="36">
        <f>IFERROR(IF(Y266=0,"",ROUNDUP(Y266/H266,0)*0.00502),"")</f>
        <v>7.0280000000000009E-2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26.388888888888889</v>
      </c>
      <c r="BN266" s="64">
        <f t="shared" si="40"/>
        <v>26.599999999999998</v>
      </c>
      <c r="BO266" s="64">
        <f t="shared" si="41"/>
        <v>5.9354226020892693E-2</v>
      </c>
      <c r="BP266" s="64">
        <f t="shared" si="42"/>
        <v>5.9829059829059839E-2</v>
      </c>
    </row>
    <row r="267" spans="1:68" x14ac:dyDescent="0.2">
      <c r="A267" s="616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7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169.07407407407408</v>
      </c>
      <c r="Y267" s="607">
        <f>IFERROR(Y259/H259,"0")+IFERROR(Y260/H260,"0")+IFERROR(Y261/H261,"0")+IFERROR(Y262/H262,"0")+IFERROR(Y263/H263,"0")+IFERROR(Y264/H264,"0")+IFERROR(Y265/H265,"0")+IFERROR(Y266/H266,"0")</f>
        <v>173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1.3444600000000002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7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725</v>
      </c>
      <c r="Y268" s="607">
        <f>IFERROR(SUM(Y259:Y266),"0")</f>
        <v>739.80000000000007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9">
        <v>4680115881594</v>
      </c>
      <c r="E270" s="62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21</v>
      </c>
      <c r="Y270" s="606">
        <f t="shared" ref="Y270:Y281" si="43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22.28074074074074</v>
      </c>
      <c r="BN270" s="64">
        <f t="shared" ref="BN270:BN281" si="45">IFERROR(Y270*I270/H270,"0")</f>
        <v>25.781999999999996</v>
      </c>
      <c r="BO270" s="64">
        <f t="shared" ref="BO270:BO281" si="46">IFERROR(1/J270*(X270/H270),"0")</f>
        <v>4.0509259259259259E-2</v>
      </c>
      <c r="BP270" s="64">
        <f t="shared" ref="BP270:BP281" si="47">IFERROR(1/J270*(Y270/H270),"0")</f>
        <v>4.6875E-2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9">
        <v>4680115881617</v>
      </c>
      <c r="E271" s="62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19">
        <v>4680115880573</v>
      </c>
      <c r="E272" s="62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151</v>
      </c>
      <c r="Y272" s="606">
        <f t="shared" si="43"/>
        <v>156.6</v>
      </c>
      <c r="Z272" s="36">
        <f>IFERROR(IF(Y272=0,"",ROUNDUP(Y272/H272,0)*0.01898),"")</f>
        <v>0.34164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159.57402298850576</v>
      </c>
      <c r="BN272" s="64">
        <f t="shared" si="45"/>
        <v>165.49200000000002</v>
      </c>
      <c r="BO272" s="64">
        <f t="shared" si="46"/>
        <v>0.27119252873563221</v>
      </c>
      <c r="BP272" s="64">
        <f t="shared" si="47"/>
        <v>0.28125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9">
        <v>4680115882195</v>
      </c>
      <c r="E273" s="62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124</v>
      </c>
      <c r="Y273" s="606">
        <f t="shared" si="43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137.94999999999999</v>
      </c>
      <c r="BN273" s="64">
        <f t="shared" si="45"/>
        <v>138.84</v>
      </c>
      <c r="BO273" s="64">
        <f t="shared" si="46"/>
        <v>0.28388278388278393</v>
      </c>
      <c r="BP273" s="64">
        <f t="shared" si="47"/>
        <v>0.28571428571428575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9">
        <v>4680115882607</v>
      </c>
      <c r="E274" s="62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9">
        <v>4680115882607</v>
      </c>
      <c r="E275" s="62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9">
        <v>4680115880092</v>
      </c>
      <c r="E276" s="62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152</v>
      </c>
      <c r="Y276" s="606">
        <f t="shared" si="43"/>
        <v>153.6</v>
      </c>
      <c r="Z276" s="36">
        <f>IFERROR(IF(Y276=0,"",ROUNDUP(Y276/H276,0)*0.00651),"")</f>
        <v>0.41664000000000001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167.96000000000004</v>
      </c>
      <c r="BN276" s="64">
        <f t="shared" si="45"/>
        <v>169.72800000000001</v>
      </c>
      <c r="BO276" s="64">
        <f t="shared" si="46"/>
        <v>0.34798534798534803</v>
      </c>
      <c r="BP276" s="64">
        <f t="shared" si="47"/>
        <v>0.35164835164835168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9">
        <v>4680115889064</v>
      </c>
      <c r="E277" s="62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9">
        <v>4680115880221</v>
      </c>
      <c r="E278" s="62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19</v>
      </c>
      <c r="Y278" s="606">
        <f t="shared" si="43"/>
        <v>19.2</v>
      </c>
      <c r="Z278" s="36">
        <f>IFERROR(IF(Y278=0,"",ROUNDUP(Y278/H278,0)*0.00651),"")</f>
        <v>5.2080000000000001E-2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20.995000000000005</v>
      </c>
      <c r="BN278" s="64">
        <f t="shared" si="45"/>
        <v>21.216000000000001</v>
      </c>
      <c r="BO278" s="64">
        <f t="shared" si="46"/>
        <v>4.3498168498168503E-2</v>
      </c>
      <c r="BP278" s="64">
        <f t="shared" si="47"/>
        <v>4.3956043956043959E-2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9">
        <v>4680115880504</v>
      </c>
      <c r="E279" s="62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172</v>
      </c>
      <c r="Y279" s="606">
        <f t="shared" si="43"/>
        <v>172.79999999999998</v>
      </c>
      <c r="Z279" s="36">
        <f>IFERROR(IF(Y279=0,"",ROUNDUP(Y279/H279,0)*0.00651),"")</f>
        <v>0.46872000000000003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190.06</v>
      </c>
      <c r="BN279" s="64">
        <f t="shared" si="45"/>
        <v>190.94400000000002</v>
      </c>
      <c r="BO279" s="64">
        <f t="shared" si="46"/>
        <v>0.39377289377289382</v>
      </c>
      <c r="BP279" s="64">
        <f t="shared" si="47"/>
        <v>0.39560439560439564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9">
        <v>4680115882164</v>
      </c>
      <c r="E280" s="62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123</v>
      </c>
      <c r="Y280" s="606">
        <f t="shared" si="43"/>
        <v>124.8</v>
      </c>
      <c r="Z280" s="36">
        <f>IFERROR(IF(Y280=0,"",ROUNDUP(Y280/H280,0)*0.00651),"")</f>
        <v>0.33851999999999999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136.2225</v>
      </c>
      <c r="BN280" s="64">
        <f t="shared" si="45"/>
        <v>138.21600000000001</v>
      </c>
      <c r="BO280" s="64">
        <f t="shared" si="46"/>
        <v>0.28159340659340659</v>
      </c>
      <c r="BP280" s="64">
        <f t="shared" si="47"/>
        <v>0.28571428571428575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9">
        <v>4680115888340</v>
      </c>
      <c r="E281" s="62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6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7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265.78224776500639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269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2.0130599999999998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7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762</v>
      </c>
      <c r="Y283" s="607">
        <f>IFERROR(SUM(Y270:Y281),"0")</f>
        <v>776.09999999999991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173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9">
        <v>4680115880818</v>
      </c>
      <c r="E285" s="62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13</v>
      </c>
      <c r="Y285" s="606">
        <f>IFERROR(IF(X285="",0,CEILING((X285/$H285),1)*$H285),"")</f>
        <v>14.399999999999999</v>
      </c>
      <c r="Z285" s="36">
        <f>IFERROR(IF(Y285=0,"",ROUNDUP(Y285/H285,0)*0.00651),"")</f>
        <v>3.9059999999999997E-2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14.365</v>
      </c>
      <c r="BN285" s="64">
        <f>IFERROR(Y285*I285/H285,"0")</f>
        <v>15.912000000000001</v>
      </c>
      <c r="BO285" s="64">
        <f>IFERROR(1/J285*(X285/H285),"0")</f>
        <v>2.9761904761904767E-2</v>
      </c>
      <c r="BP285" s="64">
        <f>IFERROR(1/J285*(Y285/H285),"0")</f>
        <v>3.2967032967032968E-2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9">
        <v>4680115880801</v>
      </c>
      <c r="E286" s="62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6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7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5.416666666666667</v>
      </c>
      <c r="Y287" s="607">
        <f>IFERROR(Y285/H285,"0")+IFERROR(Y286/H286,"0")</f>
        <v>6</v>
      </c>
      <c r="Z287" s="607">
        <f>IFERROR(IF(Z285="",0,Z285),"0")+IFERROR(IF(Z286="",0,Z286),"0")</f>
        <v>3.9059999999999997E-2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7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13</v>
      </c>
      <c r="Y288" s="607">
        <f>IFERROR(SUM(Y285:Y286),"0")</f>
        <v>14.399999999999999</v>
      </c>
      <c r="Z288" s="37"/>
      <c r="AA288" s="608"/>
      <c r="AB288" s="608"/>
      <c r="AC288" s="608"/>
    </row>
    <row r="289" spans="1:68" ht="16.5" hidden="1" customHeight="1" x14ac:dyDescent="0.25">
      <c r="A289" s="647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121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01"/>
      <c r="AB290" s="601"/>
      <c r="AC290" s="601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9">
        <v>4680115884137</v>
      </c>
      <c r="E291" s="62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9">
        <v>4680115884236</v>
      </c>
      <c r="E292" s="62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9">
        <v>4680115884175</v>
      </c>
      <c r="E293" s="62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19">
        <v>4680115884144</v>
      </c>
      <c r="E294" s="62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7</v>
      </c>
      <c r="Y294" s="606">
        <f t="shared" si="48"/>
        <v>8</v>
      </c>
      <c r="Z294" s="36">
        <f>IFERROR(IF(Y294=0,"",ROUNDUP(Y294/H294,0)*0.00902),"")</f>
        <v>1.804E-2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7.3325000000000005</v>
      </c>
      <c r="BN294" s="64">
        <f t="shared" si="50"/>
        <v>8.3800000000000008</v>
      </c>
      <c r="BO294" s="64">
        <f t="shared" si="51"/>
        <v>1.3257575757575758E-2</v>
      </c>
      <c r="BP294" s="64">
        <f t="shared" si="52"/>
        <v>1.5151515151515152E-2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9">
        <v>4680115886551</v>
      </c>
      <c r="E295" s="62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9">
        <v>4680115887282</v>
      </c>
      <c r="E296" s="62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19">
        <v>4680115884205</v>
      </c>
      <c r="E297" s="62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57</v>
      </c>
      <c r="Y297" s="606">
        <f t="shared" si="48"/>
        <v>60</v>
      </c>
      <c r="Z297" s="36">
        <f>IFERROR(IF(Y297=0,"",ROUNDUP(Y297/H297,0)*0.00902),"")</f>
        <v>0.1353</v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59.707500000000003</v>
      </c>
      <c r="BN297" s="64">
        <f t="shared" si="50"/>
        <v>62.850000000000009</v>
      </c>
      <c r="BO297" s="64">
        <f t="shared" si="51"/>
        <v>0.10795454545454546</v>
      </c>
      <c r="BP297" s="64">
        <f t="shared" si="52"/>
        <v>0.11363636363636365</v>
      </c>
    </row>
    <row r="298" spans="1:68" x14ac:dyDescent="0.2">
      <c r="A298" s="616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7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16</v>
      </c>
      <c r="Y298" s="607">
        <f>IFERROR(Y291/H291,"0")+IFERROR(Y292/H292,"0")+IFERROR(Y293/H293,"0")+IFERROR(Y294/H294,"0")+IFERROR(Y295/H295,"0")+IFERROR(Y296/H296,"0")+IFERROR(Y297/H297,"0")</f>
        <v>17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0.15334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7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64</v>
      </c>
      <c r="Y299" s="607">
        <f>IFERROR(SUM(Y291:Y297),"0")</f>
        <v>68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156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01"/>
      <c r="AB300" s="601"/>
      <c r="AC300" s="601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9">
        <v>4680115885981</v>
      </c>
      <c r="E301" s="62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6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6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7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7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9">
        <v>4680115886803</v>
      </c>
      <c r="E305" s="62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7</v>
      </c>
      <c r="Y305" s="606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16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7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3.8888888888888888</v>
      </c>
      <c r="Y306" s="607">
        <f>IFERROR(Y305/H305,"0")</f>
        <v>4</v>
      </c>
      <c r="Z306" s="607">
        <f>IFERROR(IF(Z305="",0,Z305),"0")</f>
        <v>2.3599999999999999E-2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7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7</v>
      </c>
      <c r="Y307" s="607">
        <f>IFERROR(SUM(Y305:Y305),"0")</f>
        <v>7.2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324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01"/>
      <c r="AB308" s="601"/>
      <c r="AC308" s="601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9">
        <v>4680115886704</v>
      </c>
      <c r="E309" s="62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9">
        <v>4680115886681</v>
      </c>
      <c r="E310" s="62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9">
        <v>4680115886735</v>
      </c>
      <c r="E311" s="62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6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7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7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47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121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01"/>
      <c r="AB315" s="601"/>
      <c r="AC315" s="601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9">
        <v>4680115885837</v>
      </c>
      <c r="E316" s="62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9">
        <v>4680115887237</v>
      </c>
      <c r="E317" s="62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19">
        <v>4680115885806</v>
      </c>
      <c r="E318" s="62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10</v>
      </c>
      <c r="Y318" s="606">
        <f>IFERROR(IF(X318="",0,CEILING((X318/$H318),1)*$H318),"")</f>
        <v>10.8</v>
      </c>
      <c r="Z318" s="36">
        <f>IFERROR(IF(Y318=0,"",ROUNDUP(Y318/H318,0)*0.01898),"")</f>
        <v>1.898E-2</v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10.37962962962963</v>
      </c>
      <c r="BN318" s="64">
        <f>IFERROR(Y318*I318/H318,"0")</f>
        <v>11.21</v>
      </c>
      <c r="BO318" s="64">
        <f>IFERROR(1/J318*(X318/H318),"0")</f>
        <v>1.4467592592592591E-2</v>
      </c>
      <c r="BP318" s="64">
        <f>IFERROR(1/J318*(Y318/H318),"0")</f>
        <v>1.5625E-2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9">
        <v>4680115885844</v>
      </c>
      <c r="E319" s="62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9">
        <v>4680115885820</v>
      </c>
      <c r="E320" s="62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6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7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0.92592592592592582</v>
      </c>
      <c r="Y321" s="607">
        <f>IFERROR(Y316/H316,"0")+IFERROR(Y317/H317,"0")+IFERROR(Y318/H318,"0")+IFERROR(Y319/H319,"0")+IFERROR(Y320/H320,"0")</f>
        <v>1</v>
      </c>
      <c r="Z321" s="607">
        <f>IFERROR(IF(Z316="",0,Z316),"0")+IFERROR(IF(Z317="",0,Z317),"0")+IFERROR(IF(Z318="",0,Z318),"0")+IFERROR(IF(Z319="",0,Z319),"0")+IFERROR(IF(Z320="",0,Z320),"0")</f>
        <v>1.898E-2</v>
      </c>
      <c r="AA321" s="608"/>
      <c r="AB321" s="608"/>
      <c r="AC321" s="608"/>
    </row>
    <row r="322" spans="1:68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7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10</v>
      </c>
      <c r="Y322" s="607">
        <f>IFERROR(SUM(Y316:Y320),"0")</f>
        <v>10.8</v>
      </c>
      <c r="Z322" s="37"/>
      <c r="AA322" s="608"/>
      <c r="AB322" s="608"/>
      <c r="AC322" s="608"/>
    </row>
    <row r="323" spans="1:68" ht="16.5" hidden="1" customHeight="1" x14ac:dyDescent="0.25">
      <c r="A323" s="647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01"/>
      <c r="AB324" s="601"/>
      <c r="AC324" s="601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9">
        <v>4680115886186</v>
      </c>
      <c r="E325" s="62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9">
        <v>4680115881228</v>
      </c>
      <c r="E326" s="62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35</v>
      </c>
      <c r="Y326" s="606">
        <f>IFERROR(IF(X326="",0,CEILING((X326/$H326),1)*$H326),"")</f>
        <v>36</v>
      </c>
      <c r="Z326" s="36">
        <f>IFERROR(IF(Y326=0,"",ROUNDUP(Y326/H326,0)*0.00651),"")</f>
        <v>9.7650000000000001E-2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38.675000000000004</v>
      </c>
      <c r="BN326" s="64">
        <f>IFERROR(Y326*I326/H326,"0")</f>
        <v>39.780000000000008</v>
      </c>
      <c r="BO326" s="64">
        <f>IFERROR(1/J326*(X326/H326),"0")</f>
        <v>8.0128205128205135E-2</v>
      </c>
      <c r="BP326" s="64">
        <f>IFERROR(1/J326*(Y326/H326),"0")</f>
        <v>8.241758241758243E-2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9">
        <v>4680115881211</v>
      </c>
      <c r="E327" s="62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3</v>
      </c>
      <c r="Y327" s="606">
        <f>IFERROR(IF(X327="",0,CEILING((X327/$H327),1)*$H327),"")</f>
        <v>4.8</v>
      </c>
      <c r="Z327" s="36">
        <f>IFERROR(IF(Y327=0,"",ROUNDUP(Y327/H327,0)*0.00651),"")</f>
        <v>1.302E-2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3.2250000000000001</v>
      </c>
      <c r="BN327" s="64">
        <f>IFERROR(Y327*I327/H327,"0")</f>
        <v>5.16</v>
      </c>
      <c r="BO327" s="64">
        <f>IFERROR(1/J327*(X327/H327),"0")</f>
        <v>6.8681318681318689E-3</v>
      </c>
      <c r="BP327" s="64">
        <f>IFERROR(1/J327*(Y327/H327),"0")</f>
        <v>1.098901098901099E-2</v>
      </c>
    </row>
    <row r="328" spans="1:68" x14ac:dyDescent="0.2">
      <c r="A328" s="616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7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15.833333333333334</v>
      </c>
      <c r="Y328" s="607">
        <f>IFERROR(Y325/H325,"0")+IFERROR(Y326/H326,"0")+IFERROR(Y327/H327,"0")</f>
        <v>17</v>
      </c>
      <c r="Z328" s="607">
        <f>IFERROR(IF(Z325="",0,Z325),"0")+IFERROR(IF(Z326="",0,Z326),"0")+IFERROR(IF(Z327="",0,Z327),"0")</f>
        <v>0.11067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7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38</v>
      </c>
      <c r="Y329" s="607">
        <f>IFERROR(SUM(Y325:Y327),"0")</f>
        <v>40.799999999999997</v>
      </c>
      <c r="Z329" s="37"/>
      <c r="AA329" s="608"/>
      <c r="AB329" s="608"/>
      <c r="AC329" s="608"/>
    </row>
    <row r="330" spans="1:68" ht="16.5" hidden="1" customHeight="1" x14ac:dyDescent="0.25">
      <c r="A330" s="647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01"/>
      <c r="AB331" s="601"/>
      <c r="AC331" s="601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9">
        <v>4680115888319</v>
      </c>
      <c r="E332" s="62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9">
        <v>4680115884700</v>
      </c>
      <c r="E333" s="62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9">
        <v>4680115880344</v>
      </c>
      <c r="E334" s="62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9">
        <v>4680115886919</v>
      </c>
      <c r="E335" s="62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9">
        <v>4680115883970</v>
      </c>
      <c r="E336" s="62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3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6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7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7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01"/>
      <c r="AB339" s="601"/>
      <c r="AC339" s="601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9">
        <v>4680115884618</v>
      </c>
      <c r="E340" s="62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9">
        <v>4680115887114</v>
      </c>
      <c r="E341" s="62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7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7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7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47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121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9">
        <v>4680115887947</v>
      </c>
      <c r="E346" s="62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11</v>
      </c>
      <c r="Y346" s="606">
        <f>IFERROR(IF(X346="",0,CEILING((X346/$H346),1)*$H346),"")</f>
        <v>15.6</v>
      </c>
      <c r="Z346" s="36">
        <f>IFERROR(IF(Y346=0,"",ROUNDUP(Y346/H346,0)*0.01898),"")</f>
        <v>3.7960000000000001E-2</v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11.578205128205129</v>
      </c>
      <c r="BN346" s="64">
        <f>IFERROR(Y346*I346/H346,"0")</f>
        <v>16.420000000000002</v>
      </c>
      <c r="BO346" s="64">
        <f>IFERROR(1/J346*(X346/H346),"0")</f>
        <v>2.2035256410256412E-2</v>
      </c>
      <c r="BP346" s="64">
        <f>IFERROR(1/J346*(Y346/H346),"0")</f>
        <v>3.125E-2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9">
        <v>4680115887978</v>
      </c>
      <c r="E347" s="62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9">
        <v>4680115887992</v>
      </c>
      <c r="E348" s="62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7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1.4102564102564104</v>
      </c>
      <c r="Y349" s="607">
        <f>IFERROR(Y346/H346,"0")+IFERROR(Y347/H347,"0")+IFERROR(Y348/H348,"0")</f>
        <v>2</v>
      </c>
      <c r="Z349" s="607">
        <f>IFERROR(IF(Z346="",0,Z346),"0")+IFERROR(IF(Z347="",0,Z347),"0")+IFERROR(IF(Z348="",0,Z348),"0")</f>
        <v>3.7960000000000001E-2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7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11</v>
      </c>
      <c r="Y350" s="607">
        <f>IFERROR(SUM(Y346:Y348),"0")</f>
        <v>15.6</v>
      </c>
      <c r="Z350" s="37"/>
      <c r="AA350" s="608"/>
      <c r="AB350" s="608"/>
      <c r="AC350" s="608"/>
    </row>
    <row r="351" spans="1:68" ht="16.5" hidden="1" customHeight="1" x14ac:dyDescent="0.25">
      <c r="A351" s="647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121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01"/>
      <c r="AB352" s="601"/>
      <c r="AC352" s="601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9">
        <v>4680115887190</v>
      </c>
      <c r="E353" s="62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19">
        <v>4680115887138</v>
      </c>
      <c r="E354" s="62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20</v>
      </c>
      <c r="Y354" s="606">
        <f>IFERROR(IF(X354="",0,CEILING((X354/$H354),1)*$H354),"")</f>
        <v>21.6</v>
      </c>
      <c r="Z354" s="36">
        <f>IFERROR(IF(Y354=0,"",ROUNDUP(Y354/H354,0)*0.01898),"")</f>
        <v>3.7960000000000001E-2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20.75925925925926</v>
      </c>
      <c r="BN354" s="64">
        <f>IFERROR(Y354*I354/H354,"0")</f>
        <v>22.42</v>
      </c>
      <c r="BO354" s="64">
        <f>IFERROR(1/J354*(X354/H354),"0")</f>
        <v>2.8935185185185182E-2</v>
      </c>
      <c r="BP354" s="64">
        <f>IFERROR(1/J354*(Y354/H354),"0")</f>
        <v>3.125E-2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19">
        <v>4680115885554</v>
      </c>
      <c r="E355" s="62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129</v>
      </c>
      <c r="Y355" s="606">
        <f>IFERROR(IF(X355="",0,CEILING((X355/$H355),1)*$H355),"")</f>
        <v>129.60000000000002</v>
      </c>
      <c r="Z355" s="36">
        <f>IFERROR(IF(Y355=0,"",ROUNDUP(Y355/H355,0)*0.01898),"")</f>
        <v>0.22776000000000002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133.89722222222224</v>
      </c>
      <c r="BN355" s="64">
        <f>IFERROR(Y355*I355/H355,"0")</f>
        <v>134.52000000000001</v>
      </c>
      <c r="BO355" s="64">
        <f>IFERROR(1/J355*(X355/H355),"0")</f>
        <v>0.18663194444444442</v>
      </c>
      <c r="BP355" s="64">
        <f>IFERROR(1/J355*(Y355/H355),"0")</f>
        <v>0.18750000000000003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9">
        <v>4680115887220</v>
      </c>
      <c r="E356" s="62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9">
        <v>4680115885608</v>
      </c>
      <c r="E357" s="62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6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7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13.796296296296294</v>
      </c>
      <c r="Y358" s="607">
        <f>IFERROR(Y353/H353,"0")+IFERROR(Y354/H354,"0")+IFERROR(Y355/H355,"0")+IFERROR(Y356/H356,"0")+IFERROR(Y357/H357,"0")</f>
        <v>14.000000000000002</v>
      </c>
      <c r="Z358" s="607">
        <f>IFERROR(IF(Z353="",0,Z353),"0")+IFERROR(IF(Z354="",0,Z354),"0")+IFERROR(IF(Z355="",0,Z355),"0")+IFERROR(IF(Z356="",0,Z356),"0")+IFERROR(IF(Z357="",0,Z357),"0")</f>
        <v>0.26572000000000001</v>
      </c>
      <c r="AA358" s="608"/>
      <c r="AB358" s="608"/>
      <c r="AC358" s="608"/>
    </row>
    <row r="359" spans="1:68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7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149</v>
      </c>
      <c r="Y359" s="607">
        <f>IFERROR(SUM(Y353:Y357),"0")</f>
        <v>151.20000000000002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01"/>
      <c r="AB360" s="601"/>
      <c r="AC360" s="601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9">
        <v>4607091387193</v>
      </c>
      <c r="E361" s="62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19">
        <v>4607091387230</v>
      </c>
      <c r="E362" s="62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85</v>
      </c>
      <c r="Y362" s="606">
        <f t="shared" si="53"/>
        <v>88.2</v>
      </c>
      <c r="Z362" s="36">
        <f>IFERROR(IF(Y362=0,"",ROUNDUP(Y362/H362,0)*0.00902),"")</f>
        <v>0.18942000000000001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90.05952380952381</v>
      </c>
      <c r="BN362" s="64">
        <f t="shared" si="55"/>
        <v>93.45</v>
      </c>
      <c r="BO362" s="64">
        <f t="shared" si="56"/>
        <v>0.15331890331890333</v>
      </c>
      <c r="BP362" s="64">
        <f t="shared" si="57"/>
        <v>0.15909090909090909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9">
        <v>4607091387292</v>
      </c>
      <c r="E363" s="62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9">
        <v>4607091387285</v>
      </c>
      <c r="E364" s="62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9">
        <v>4607091389845</v>
      </c>
      <c r="E365" s="62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9">
        <v>4680115887442</v>
      </c>
      <c r="E366" s="62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9">
        <v>4607091383836</v>
      </c>
      <c r="E367" s="62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2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7</v>
      </c>
      <c r="Y367" s="606">
        <f t="shared" si="53"/>
        <v>7.2</v>
      </c>
      <c r="Z367" s="36">
        <f>IFERROR(IF(Y367=0,"",ROUNDUP(Y367/H367,0)*0.00651),"")</f>
        <v>2.6040000000000001E-2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7.8866666666666667</v>
      </c>
      <c r="BN367" s="64">
        <f t="shared" si="55"/>
        <v>8.1120000000000001</v>
      </c>
      <c r="BO367" s="64">
        <f t="shared" si="56"/>
        <v>2.1367521367521368E-2</v>
      </c>
      <c r="BP367" s="64">
        <f t="shared" si="57"/>
        <v>2.197802197802198E-2</v>
      </c>
    </row>
    <row r="368" spans="1:68" x14ac:dyDescent="0.2">
      <c r="A368" s="61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7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24.126984126984127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0.21546000000000001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7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92</v>
      </c>
      <c r="Y369" s="607">
        <f>IFERROR(SUM(Y361:Y367),"0")</f>
        <v>95.4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19">
        <v>4607091387766</v>
      </c>
      <c r="E371" s="62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77</v>
      </c>
      <c r="Y371" s="606">
        <f>IFERROR(IF(X371="",0,CEILING((X371/$H371),1)*$H371),"")</f>
        <v>78</v>
      </c>
      <c r="Z371" s="36">
        <f>IFERROR(IF(Y371=0,"",ROUNDUP(Y371/H371,0)*0.01898),"")</f>
        <v>0.1898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81.8174358974359</v>
      </c>
      <c r="BN371" s="64">
        <f>IFERROR(Y371*I371/H371,"0")</f>
        <v>82.88000000000001</v>
      </c>
      <c r="BO371" s="64">
        <f>IFERROR(1/J371*(X371/H371),"0")</f>
        <v>0.15424679487179488</v>
      </c>
      <c r="BP371" s="64">
        <f>IFERROR(1/J371*(Y371/H371),"0")</f>
        <v>0.15625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9">
        <v>4607091387957</v>
      </c>
      <c r="E372" s="62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9">
        <v>4607091387964</v>
      </c>
      <c r="E373" s="62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9">
        <v>4680115884588</v>
      </c>
      <c r="E374" s="62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6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7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9.8717948717948723</v>
      </c>
      <c r="Y375" s="607">
        <f>IFERROR(Y371/H371,"0")+IFERROR(Y372/H372,"0")+IFERROR(Y373/H373,"0")+IFERROR(Y374/H374,"0")</f>
        <v>10</v>
      </c>
      <c r="Z375" s="607">
        <f>IFERROR(IF(Z371="",0,Z371),"0")+IFERROR(IF(Z372="",0,Z372),"0")+IFERROR(IF(Z373="",0,Z373),"0")+IFERROR(IF(Z374="",0,Z374),"0")</f>
        <v>0.1898</v>
      </c>
      <c r="AA375" s="608"/>
      <c r="AB375" s="608"/>
      <c r="AC375" s="608"/>
    </row>
    <row r="376" spans="1:68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7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77</v>
      </c>
      <c r="Y376" s="607">
        <f>IFERROR(SUM(Y371:Y374),"0")</f>
        <v>78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173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01"/>
      <c r="AB377" s="601"/>
      <c r="AC377" s="601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9">
        <v>4607091380880</v>
      </c>
      <c r="E378" s="62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4301060406</v>
      </c>
      <c r="D379" s="619">
        <v>4607091384482</v>
      </c>
      <c r="E379" s="62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0</v>
      </c>
      <c r="Y379" s="60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9">
        <v>4607091380897</v>
      </c>
      <c r="E380" s="62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36</v>
      </c>
      <c r="Y380" s="606">
        <f>IFERROR(IF(X380="",0,CEILING((X380/$H380),1)*$H380),"")</f>
        <v>42</v>
      </c>
      <c r="Z380" s="36">
        <f>IFERROR(IF(Y380=0,"",ROUNDUP(Y380/H380,0)*0.01898),"")</f>
        <v>9.4899999999999998E-2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38.117142857142859</v>
      </c>
      <c r="BN380" s="64">
        <f>IFERROR(Y380*I380/H380,"0")</f>
        <v>44.47</v>
      </c>
      <c r="BO380" s="64">
        <f>IFERROR(1/J380*(X380/H380),"0")</f>
        <v>6.6964285714285712E-2</v>
      </c>
      <c r="BP380" s="64">
        <f>IFERROR(1/J380*(Y380/H380),"0")</f>
        <v>7.8125E-2</v>
      </c>
    </row>
    <row r="381" spans="1:68" x14ac:dyDescent="0.2">
      <c r="A381" s="61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7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4.2857142857142856</v>
      </c>
      <c r="Y381" s="607">
        <f>IFERROR(Y378/H378,"0")+IFERROR(Y379/H379,"0")+IFERROR(Y380/H380,"0")</f>
        <v>5</v>
      </c>
      <c r="Z381" s="607">
        <f>IFERROR(IF(Z378="",0,Z378),"0")+IFERROR(IF(Z379="",0,Z379),"0")+IFERROR(IF(Z380="",0,Z380),"0")</f>
        <v>9.4899999999999998E-2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7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36</v>
      </c>
      <c r="Y382" s="607">
        <f>IFERROR(SUM(Y378:Y380),"0")</f>
        <v>42</v>
      </c>
      <c r="Z382" s="37"/>
      <c r="AA382" s="608"/>
      <c r="AB382" s="608"/>
      <c r="AC382" s="608"/>
    </row>
    <row r="383" spans="1:68" ht="14.25" hidden="1" customHeight="1" x14ac:dyDescent="0.25">
      <c r="A383" s="609" t="s">
        <v>95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01"/>
      <c r="AB383" s="601"/>
      <c r="AC383" s="601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9">
        <v>4607091388381</v>
      </c>
      <c r="E384" s="62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9">
        <v>4607091388374</v>
      </c>
      <c r="E385" s="62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9">
        <v>4607091383102</v>
      </c>
      <c r="E386" s="62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9">
        <v>4607091388404</v>
      </c>
      <c r="E387" s="62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6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7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7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01"/>
      <c r="AB390" s="601"/>
      <c r="AC390" s="601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9">
        <v>4680115881808</v>
      </c>
      <c r="E391" s="62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9">
        <v>4680115881822</v>
      </c>
      <c r="E392" s="62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9">
        <v>4680115880016</v>
      </c>
      <c r="E393" s="62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6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7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7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47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01"/>
      <c r="AB397" s="601"/>
      <c r="AC397" s="601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9">
        <v>4607091387919</v>
      </c>
      <c r="E398" s="62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19">
        <v>4680115883604</v>
      </c>
      <c r="E399" s="62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171</v>
      </c>
      <c r="Y399" s="606">
        <f>IFERROR(IF(X399="",0,CEILING((X399/$H399),1)*$H399),"")</f>
        <v>172.20000000000002</v>
      </c>
      <c r="Z399" s="36">
        <f>IFERROR(IF(Y399=0,"",ROUNDUP(Y399/H399,0)*0.00651),"")</f>
        <v>0.53381999999999996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191.51999999999998</v>
      </c>
      <c r="BN399" s="64">
        <f>IFERROR(Y399*I399/H399,"0")</f>
        <v>192.864</v>
      </c>
      <c r="BO399" s="64">
        <f>IFERROR(1/J399*(X399/H399),"0")</f>
        <v>0.44740973312401888</v>
      </c>
      <c r="BP399" s="64">
        <f>IFERROR(1/J399*(Y399/H399),"0")</f>
        <v>0.45054945054945056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9">
        <v>4680115883567</v>
      </c>
      <c r="E400" s="62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3</v>
      </c>
      <c r="Y400" s="606">
        <f>IFERROR(IF(X400="",0,CEILING((X400/$H400),1)*$H400),"")</f>
        <v>4.2</v>
      </c>
      <c r="Z400" s="36">
        <f>IFERROR(IF(Y400=0,"",ROUNDUP(Y400/H400,0)*0.00651),"")</f>
        <v>1.302E-2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3.3428571428571425</v>
      </c>
      <c r="BN400" s="64">
        <f>IFERROR(Y400*I400/H400,"0")</f>
        <v>4.68</v>
      </c>
      <c r="BO400" s="64">
        <f>IFERROR(1/J400*(X400/H400),"0")</f>
        <v>7.849293563579279E-3</v>
      </c>
      <c r="BP400" s="64">
        <f>IFERROR(1/J400*(Y400/H400),"0")</f>
        <v>1.098901098901099E-2</v>
      </c>
    </row>
    <row r="401" spans="1:68" x14ac:dyDescent="0.2">
      <c r="A401" s="616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7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82.857142857142861</v>
      </c>
      <c r="Y401" s="607">
        <f>IFERROR(Y398/H398,"0")+IFERROR(Y399/H399,"0")+IFERROR(Y400/H400,"0")</f>
        <v>84</v>
      </c>
      <c r="Z401" s="607">
        <f>IFERROR(IF(Z398="",0,Z398),"0")+IFERROR(IF(Z399="",0,Z399),"0")+IFERROR(IF(Z400="",0,Z400),"0")</f>
        <v>0.54683999999999999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7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174</v>
      </c>
      <c r="Y402" s="607">
        <f>IFERROR(SUM(Y398:Y400),"0")</f>
        <v>176.4</v>
      </c>
      <c r="Z402" s="37"/>
      <c r="AA402" s="608"/>
      <c r="AB402" s="608"/>
      <c r="AC402" s="608"/>
    </row>
    <row r="403" spans="1:68" ht="27.75" hidden="1" customHeight="1" x14ac:dyDescent="0.2">
      <c r="A403" s="630" t="s">
        <v>652</v>
      </c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  <c r="L403" s="631"/>
      <c r="M403" s="631"/>
      <c r="N403" s="631"/>
      <c r="O403" s="631"/>
      <c r="P403" s="631"/>
      <c r="Q403" s="631"/>
      <c r="R403" s="631"/>
      <c r="S403" s="631"/>
      <c r="T403" s="631"/>
      <c r="U403" s="631"/>
      <c r="V403" s="631"/>
      <c r="W403" s="631"/>
      <c r="X403" s="631"/>
      <c r="Y403" s="631"/>
      <c r="Z403" s="631"/>
      <c r="AA403" s="48"/>
      <c r="AB403" s="48"/>
      <c r="AC403" s="48"/>
    </row>
    <row r="404" spans="1:68" ht="16.5" hidden="1" customHeight="1" x14ac:dyDescent="0.25">
      <c r="A404" s="647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121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9">
        <v>4680115888401</v>
      </c>
      <c r="E406" s="62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4</v>
      </c>
      <c r="Y406" s="606">
        <f t="shared" ref="Y406:Y413" si="58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4.1253333333333337</v>
      </c>
      <c r="BN406" s="64">
        <f t="shared" ref="BN406:BN413" si="60">IFERROR(Y406*I406/H406,"0")</f>
        <v>15.47</v>
      </c>
      <c r="BO406" s="64">
        <f t="shared" ref="BO406:BO413" si="61">IFERROR(1/J406*(X406/H406),"0")</f>
        <v>5.5555555555555549E-3</v>
      </c>
      <c r="BP406" s="64">
        <f t="shared" ref="BP406:BP413" si="62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9">
        <v>4680115884847</v>
      </c>
      <c r="E407" s="62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554</v>
      </c>
      <c r="Y407" s="606">
        <f t="shared" si="58"/>
        <v>555</v>
      </c>
      <c r="Z407" s="36">
        <f>IFERROR(IF(Y407=0,"",ROUNDUP(Y407/H407,0)*0.02175),"")</f>
        <v>0.80474999999999997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571.35866666666675</v>
      </c>
      <c r="BN407" s="64">
        <f t="shared" si="60"/>
        <v>572.39</v>
      </c>
      <c r="BO407" s="64">
        <f t="shared" si="61"/>
        <v>0.76944444444444438</v>
      </c>
      <c r="BP407" s="64">
        <f t="shared" si="62"/>
        <v>0.77083333333333326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9">
        <v>4680115884854</v>
      </c>
      <c r="E408" s="62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107</v>
      </c>
      <c r="Y408" s="606">
        <f t="shared" si="58"/>
        <v>120</v>
      </c>
      <c r="Z408" s="36">
        <f>IFERROR(IF(Y408=0,"",ROUNDUP(Y408/H408,0)*0.02175),"")</f>
        <v>0.17399999999999999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110.35266666666666</v>
      </c>
      <c r="BN408" s="64">
        <f t="shared" si="60"/>
        <v>123.76</v>
      </c>
      <c r="BO408" s="64">
        <f t="shared" si="61"/>
        <v>0.14861111111111111</v>
      </c>
      <c r="BP408" s="64">
        <f t="shared" si="62"/>
        <v>0.16666666666666666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9">
        <v>4680115884830</v>
      </c>
      <c r="E409" s="62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263</v>
      </c>
      <c r="Y409" s="606">
        <f t="shared" si="58"/>
        <v>270</v>
      </c>
      <c r="Z409" s="36">
        <f>IFERROR(IF(Y409=0,"",ROUNDUP(Y409/H409,0)*0.02175),"")</f>
        <v>0.39149999999999996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271.2406666666667</v>
      </c>
      <c r="BN409" s="64">
        <f t="shared" si="60"/>
        <v>278.46000000000004</v>
      </c>
      <c r="BO409" s="64">
        <f t="shared" si="61"/>
        <v>0.36527777777777781</v>
      </c>
      <c r="BP409" s="64">
        <f t="shared" si="62"/>
        <v>0.375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9">
        <v>4680115889231</v>
      </c>
      <c r="E410" s="62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9">
        <v>4680115882638</v>
      </c>
      <c r="E411" s="62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9">
        <v>4680115884922</v>
      </c>
      <c r="E412" s="62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9">
        <v>4680115884861</v>
      </c>
      <c r="E413" s="62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6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7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61.86666666666666</v>
      </c>
      <c r="Y414" s="607">
        <f>IFERROR(Y406/H406,"0")+IFERROR(Y407/H407,"0")+IFERROR(Y408/H408,"0")+IFERROR(Y409/H409,"0")+IFERROR(Y410/H410,"0")+IFERROR(Y411/H411,"0")+IFERROR(Y412/H412,"0")+IFERROR(Y413/H413,"0")</f>
        <v>64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1.3919999999999999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7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928</v>
      </c>
      <c r="Y415" s="607">
        <f>IFERROR(SUM(Y406:Y413),"0")</f>
        <v>960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156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01"/>
      <c r="AB416" s="601"/>
      <c r="AC416" s="601"/>
    </row>
    <row r="417" spans="1:68" ht="27" hidden="1" customHeight="1" x14ac:dyDescent="0.25">
      <c r="A417" s="54" t="s">
        <v>678</v>
      </c>
      <c r="B417" s="54" t="s">
        <v>679</v>
      </c>
      <c r="C417" s="31">
        <v>4301020178</v>
      </c>
      <c r="D417" s="619">
        <v>4607091383980</v>
      </c>
      <c r="E417" s="62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9">
        <v>4680115888425</v>
      </c>
      <c r="E418" s="62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9">
        <v>4607091384178</v>
      </c>
      <c r="E419" s="62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16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7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hidden="1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7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01"/>
      <c r="AB422" s="601"/>
      <c r="AC422" s="601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9">
        <v>4607091383928</v>
      </c>
      <c r="E423" s="62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9">
        <v>4607091384260</v>
      </c>
      <c r="E424" s="62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6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7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7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173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9">
        <v>4607091384673</v>
      </c>
      <c r="E428" s="62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103</v>
      </c>
      <c r="Y428" s="606">
        <f>IFERROR(IF(X428="",0,CEILING((X428/$H428),1)*$H428),"")</f>
        <v>108</v>
      </c>
      <c r="Z428" s="36">
        <f>IFERROR(IF(Y428=0,"",ROUNDUP(Y428/H428,0)*0.01898),"")</f>
        <v>0.22776000000000002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108.65355555555556</v>
      </c>
      <c r="BN428" s="64">
        <f>IFERROR(Y428*I428/H428,"0")</f>
        <v>113.92799999999998</v>
      </c>
      <c r="BO428" s="64">
        <f>IFERROR(1/J428*(X428/H428),"0")</f>
        <v>0.17881944444444445</v>
      </c>
      <c r="BP428" s="64">
        <f>IFERROR(1/J428*(Y428/H428),"0")</f>
        <v>0.1875</v>
      </c>
    </row>
    <row r="429" spans="1:68" x14ac:dyDescent="0.2">
      <c r="A429" s="616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7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11.444444444444445</v>
      </c>
      <c r="Y429" s="607">
        <f>IFERROR(Y428/H428,"0")</f>
        <v>12</v>
      </c>
      <c r="Z429" s="607">
        <f>IFERROR(IF(Z428="",0,Z428),"0")</f>
        <v>0.22776000000000002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7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103</v>
      </c>
      <c r="Y430" s="607">
        <f>IFERROR(SUM(Y428:Y428),"0")</f>
        <v>108</v>
      </c>
      <c r="Z430" s="37"/>
      <c r="AA430" s="608"/>
      <c r="AB430" s="608"/>
      <c r="AC430" s="608"/>
    </row>
    <row r="431" spans="1:68" ht="16.5" hidden="1" customHeight="1" x14ac:dyDescent="0.25">
      <c r="A431" s="647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121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01"/>
      <c r="AB432" s="601"/>
      <c r="AC432" s="601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9">
        <v>4680115884885</v>
      </c>
      <c r="E433" s="62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9">
        <v>4680115884908</v>
      </c>
      <c r="E434" s="62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6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7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7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01"/>
      <c r="AB437" s="601"/>
      <c r="AC437" s="601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9">
        <v>4607091384802</v>
      </c>
      <c r="E438" s="62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6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7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7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9">
        <v>4607091384246</v>
      </c>
      <c r="E442" s="62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600</v>
      </c>
      <c r="Y442" s="606">
        <f>IFERROR(IF(X442="",0,CEILING((X442/$H442),1)*$H442),"")</f>
        <v>603</v>
      </c>
      <c r="Z442" s="36">
        <f>IFERROR(IF(Y442=0,"",ROUNDUP(Y442/H442,0)*0.01898),"")</f>
        <v>1.27166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632.93333333333328</v>
      </c>
      <c r="BN442" s="64">
        <f>IFERROR(Y442*I442/H442,"0")</f>
        <v>636.09799999999996</v>
      </c>
      <c r="BO442" s="64">
        <f>IFERROR(1/J442*(X442/H442),"0")</f>
        <v>1.0416666666666667</v>
      </c>
      <c r="BP442" s="64">
        <f>IFERROR(1/J442*(Y442/H442),"0")</f>
        <v>1.046875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9">
        <v>4607091384253</v>
      </c>
      <c r="E443" s="62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9">
        <v>4607091384253</v>
      </c>
      <c r="E444" s="62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6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7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66.666666666666671</v>
      </c>
      <c r="Y445" s="607">
        <f>IFERROR(Y442/H442,"0")+IFERROR(Y443/H443,"0")+IFERROR(Y444/H444,"0")</f>
        <v>67</v>
      </c>
      <c r="Z445" s="607">
        <f>IFERROR(IF(Z442="",0,Z442),"0")+IFERROR(IF(Z443="",0,Z443),"0")+IFERROR(IF(Z444="",0,Z444),"0")</f>
        <v>1.27166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7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600</v>
      </c>
      <c r="Y446" s="607">
        <f>IFERROR(SUM(Y442:Y444),"0")</f>
        <v>603</v>
      </c>
      <c r="Z446" s="37"/>
      <c r="AA446" s="608"/>
      <c r="AB446" s="608"/>
      <c r="AC446" s="608"/>
    </row>
    <row r="447" spans="1:68" ht="27.75" hidden="1" customHeight="1" x14ac:dyDescent="0.2">
      <c r="A447" s="630" t="s">
        <v>712</v>
      </c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  <c r="L447" s="631"/>
      <c r="M447" s="631"/>
      <c r="N447" s="631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48"/>
      <c r="AB447" s="48"/>
      <c r="AC447" s="48"/>
    </row>
    <row r="448" spans="1:68" ht="16.5" hidden="1" customHeight="1" x14ac:dyDescent="0.25">
      <c r="A448" s="647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01"/>
      <c r="AB449" s="601"/>
      <c r="AC449" s="601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9">
        <v>4680115886100</v>
      </c>
      <c r="E450" s="62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9">
        <v>4680115886124</v>
      </c>
      <c r="E451" s="62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9">
        <v>4607091384338</v>
      </c>
      <c r="E452" s="62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9">
        <v>4680115883161</v>
      </c>
      <c r="E453" s="62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9">
        <v>4607091389531</v>
      </c>
      <c r="E454" s="62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9">
        <v>4607091384345</v>
      </c>
      <c r="E455" s="62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hidden="1" x14ac:dyDescent="0.2">
      <c r="A456" s="616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7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7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01"/>
      <c r="AB458" s="601"/>
      <c r="AC458" s="601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9">
        <v>4607091384352</v>
      </c>
      <c r="E459" s="62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9">
        <v>4607091389654</v>
      </c>
      <c r="E460" s="62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6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7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7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47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156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01"/>
      <c r="AB464" s="601"/>
      <c r="AC464" s="601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9">
        <v>4680115885240</v>
      </c>
      <c r="E465" s="62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6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7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7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01"/>
      <c r="AB468" s="601"/>
      <c r="AC468" s="601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9">
        <v>4680115886094</v>
      </c>
      <c r="E469" s="62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9">
        <v>4680115880771</v>
      </c>
      <c r="E470" s="62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9">
        <v>4607091389500</v>
      </c>
      <c r="E471" s="62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6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7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7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30" t="s">
        <v>748</v>
      </c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1"/>
      <c r="P474" s="631"/>
      <c r="Q474" s="631"/>
      <c r="R474" s="631"/>
      <c r="S474" s="631"/>
      <c r="T474" s="631"/>
      <c r="U474" s="631"/>
      <c r="V474" s="631"/>
      <c r="W474" s="631"/>
      <c r="X474" s="631"/>
      <c r="Y474" s="631"/>
      <c r="Z474" s="631"/>
      <c r="AA474" s="48"/>
      <c r="AB474" s="48"/>
      <c r="AC474" s="48"/>
    </row>
    <row r="475" spans="1:68" ht="16.5" hidden="1" customHeight="1" x14ac:dyDescent="0.25">
      <c r="A475" s="647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121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9">
        <v>4607091389067</v>
      </c>
      <c r="E477" s="62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17</v>
      </c>
      <c r="Y477" s="606">
        <f t="shared" ref="Y477:Y485" si="68">IFERROR(IF(X477="",0,CEILING((X477/$H477),1)*$H477),"")</f>
        <v>21.12</v>
      </c>
      <c r="Z477" s="36">
        <f t="shared" ref="Z477:Z482" si="69">IFERROR(IF(Y477=0,"",ROUNDUP(Y477/H477,0)*0.01196),"")</f>
        <v>4.7840000000000001E-2</v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18.126893939393938</v>
      </c>
      <c r="BN477" s="64">
        <f t="shared" ref="BN477:BN485" si="71">IFERROR(Y477*I477/H477,"0")</f>
        <v>22.52</v>
      </c>
      <c r="BO477" s="64">
        <f t="shared" ref="BO477:BO485" si="72">IFERROR(1/J477*(X477/H477),"0")</f>
        <v>3.0958624708624712E-2</v>
      </c>
      <c r="BP477" s="64">
        <f t="shared" ref="BP477:BP485" si="73">IFERROR(1/J477*(Y477/H477),"0")</f>
        <v>3.8461538461538464E-2</v>
      </c>
    </row>
    <row r="478" spans="1:68" ht="27" hidden="1" customHeight="1" x14ac:dyDescent="0.25">
      <c r="A478" s="54" t="s">
        <v>751</v>
      </c>
      <c r="B478" s="54" t="s">
        <v>752</v>
      </c>
      <c r="C478" s="31">
        <v>4301012210</v>
      </c>
      <c r="D478" s="619">
        <v>4607091383522</v>
      </c>
      <c r="E478" s="62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9">
        <v>4680115885271</v>
      </c>
      <c r="E479" s="62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9">
        <v>4680115885226</v>
      </c>
      <c r="E480" s="62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9">
        <v>4680115884502</v>
      </c>
      <c r="E481" s="62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8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9">
        <v>4607091389104</v>
      </c>
      <c r="E482" s="62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225</v>
      </c>
      <c r="Y482" s="606">
        <f t="shared" si="68"/>
        <v>227.04000000000002</v>
      </c>
      <c r="Z482" s="36">
        <f t="shared" si="69"/>
        <v>0.51427999999999996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239.91477272727272</v>
      </c>
      <c r="BN482" s="64">
        <f t="shared" si="71"/>
        <v>242.09</v>
      </c>
      <c r="BO482" s="64">
        <f t="shared" si="72"/>
        <v>0.40974650349650349</v>
      </c>
      <c r="BP482" s="64">
        <f t="shared" si="73"/>
        <v>0.41346153846153849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9">
        <v>4680115886391</v>
      </c>
      <c r="E483" s="62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9">
        <v>4680115880603</v>
      </c>
      <c r="E484" s="62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8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9">
        <v>4607091389982</v>
      </c>
      <c r="E485" s="62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6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7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45.833333333333329</v>
      </c>
      <c r="Y486" s="607">
        <f>IFERROR(Y477/H477,"0")+IFERROR(Y478/H478,"0")+IFERROR(Y479/H479,"0")+IFERROR(Y480/H480,"0")+IFERROR(Y481/H481,"0")+IFERROR(Y482/H482,"0")+IFERROR(Y483/H483,"0")+IFERROR(Y484/H484,"0")+IFERROR(Y485/H485,"0")</f>
        <v>47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0.56211999999999995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7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242</v>
      </c>
      <c r="Y487" s="607">
        <f>IFERROR(SUM(Y477:Y485),"0")</f>
        <v>248.16000000000003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156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9">
        <v>4607091388930</v>
      </c>
      <c r="E489" s="62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318</v>
      </c>
      <c r="Y489" s="606">
        <f>IFERROR(IF(X489="",0,CEILING((X489/$H489),1)*$H489),"")</f>
        <v>322.08000000000004</v>
      </c>
      <c r="Z489" s="36">
        <f>IFERROR(IF(Y489=0,"",ROUNDUP(Y489/H489,0)*0.01196),"")</f>
        <v>0.72955999999999999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339.07954545454544</v>
      </c>
      <c r="BN489" s="64">
        <f>IFERROR(Y489*I489/H489,"0")</f>
        <v>343.43000000000006</v>
      </c>
      <c r="BO489" s="64">
        <f>IFERROR(1/J489*(X489/H489),"0")</f>
        <v>0.57910839160839167</v>
      </c>
      <c r="BP489" s="64">
        <f>IFERROR(1/J489*(Y489/H489),"0")</f>
        <v>0.58653846153846168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9">
        <v>4680115886407</v>
      </c>
      <c r="E490" s="62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9">
        <v>4680115880054</v>
      </c>
      <c r="E491" s="62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6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7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60.227272727272727</v>
      </c>
      <c r="Y492" s="607">
        <f>IFERROR(Y489/H489,"0")+IFERROR(Y490/H490,"0")+IFERROR(Y491/H491,"0")</f>
        <v>61.000000000000007</v>
      </c>
      <c r="Z492" s="607">
        <f>IFERROR(IF(Z489="",0,Z489),"0")+IFERROR(IF(Z490="",0,Z490),"0")+IFERROR(IF(Z491="",0,Z491),"0")</f>
        <v>0.72955999999999999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7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318</v>
      </c>
      <c r="Y493" s="607">
        <f>IFERROR(SUM(Y489:Y491),"0")</f>
        <v>322.08000000000004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9">
        <v>4680115883116</v>
      </c>
      <c r="E495" s="62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294</v>
      </c>
      <c r="Y495" s="606">
        <f t="shared" ref="Y495:Y501" si="74">IFERROR(IF(X495="",0,CEILING((X495/$H495),1)*$H495),"")</f>
        <v>295.68</v>
      </c>
      <c r="Z495" s="36">
        <f>IFERROR(IF(Y495=0,"",ROUNDUP(Y495/H495,0)*0.01196),"")</f>
        <v>0.66976000000000002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313.48863636363637</v>
      </c>
      <c r="BN495" s="64">
        <f t="shared" ref="BN495:BN501" si="76">IFERROR(Y495*I495/H495,"0")</f>
        <v>315.27999999999997</v>
      </c>
      <c r="BO495" s="64">
        <f t="shared" ref="BO495:BO501" si="77">IFERROR(1/J495*(X495/H495),"0")</f>
        <v>0.53540209790209792</v>
      </c>
      <c r="BP495" s="64">
        <f t="shared" ref="BP495:BP501" si="78">IFERROR(1/J495*(Y495/H495),"0")</f>
        <v>0.53846153846153855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9">
        <v>4680115883093</v>
      </c>
      <c r="E496" s="62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213</v>
      </c>
      <c r="Y496" s="606">
        <f t="shared" si="74"/>
        <v>216.48000000000002</v>
      </c>
      <c r="Z496" s="36">
        <f>IFERROR(IF(Y496=0,"",ROUNDUP(Y496/H496,0)*0.01196),"")</f>
        <v>0.49036000000000002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227.11931818181819</v>
      </c>
      <c r="BN496" s="64">
        <f t="shared" si="76"/>
        <v>230.83</v>
      </c>
      <c r="BO496" s="64">
        <f t="shared" si="77"/>
        <v>0.38789335664335661</v>
      </c>
      <c r="BP496" s="64">
        <f t="shared" si="78"/>
        <v>0.39423076923076927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9">
        <v>4680115883109</v>
      </c>
      <c r="E497" s="62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174</v>
      </c>
      <c r="Y497" s="606">
        <f t="shared" si="74"/>
        <v>174.24</v>
      </c>
      <c r="Z497" s="36">
        <f>IFERROR(IF(Y497=0,"",ROUNDUP(Y497/H497,0)*0.01196),"")</f>
        <v>0.39468000000000003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185.53409090909091</v>
      </c>
      <c r="BN497" s="64">
        <f t="shared" si="76"/>
        <v>185.79</v>
      </c>
      <c r="BO497" s="64">
        <f t="shared" si="77"/>
        <v>0.31687062937062938</v>
      </c>
      <c r="BP497" s="64">
        <f t="shared" si="78"/>
        <v>0.31730769230769235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9">
        <v>4680115882072</v>
      </c>
      <c r="E498" s="62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9">
        <v>4680115882102</v>
      </c>
      <c r="E499" s="62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4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9">
        <v>4680115882102</v>
      </c>
      <c r="E500" s="62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9">
        <v>4680115882096</v>
      </c>
      <c r="E501" s="62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6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7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128.97727272727272</v>
      </c>
      <c r="Y502" s="607">
        <f>IFERROR(Y495/H495,"0")+IFERROR(Y496/H496,"0")+IFERROR(Y497/H497,"0")+IFERROR(Y498/H498,"0")+IFERROR(Y499/H499,"0")+IFERROR(Y500/H500,"0")+IFERROR(Y501/H501,"0")</f>
        <v>130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1.5548000000000002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7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681</v>
      </c>
      <c r="Y503" s="607">
        <f>IFERROR(SUM(Y495:Y501),"0")</f>
        <v>686.40000000000009</v>
      </c>
      <c r="Z503" s="37"/>
      <c r="AA503" s="608"/>
      <c r="AB503" s="608"/>
      <c r="AC503" s="608"/>
    </row>
    <row r="504" spans="1:68" ht="27.75" hidden="1" customHeight="1" x14ac:dyDescent="0.2">
      <c r="A504" s="630" t="s">
        <v>795</v>
      </c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  <c r="L504" s="631"/>
      <c r="M504" s="631"/>
      <c r="N504" s="631"/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48"/>
      <c r="AB504" s="48"/>
      <c r="AC504" s="48"/>
    </row>
    <row r="505" spans="1:68" ht="16.5" hidden="1" customHeight="1" x14ac:dyDescent="0.25">
      <c r="A505" s="647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121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01"/>
      <c r="AB506" s="601"/>
      <c r="AC506" s="601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9">
        <v>4640242180564</v>
      </c>
      <c r="E507" s="62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6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7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7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156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01"/>
      <c r="AB510" s="601"/>
      <c r="AC510" s="601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9">
        <v>4640242180519</v>
      </c>
      <c r="E511" s="62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6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7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7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01"/>
      <c r="AB514" s="601"/>
      <c r="AC514" s="601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9">
        <v>4640242180595</v>
      </c>
      <c r="E515" s="62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1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9">
        <v>4640242180595</v>
      </c>
      <c r="E516" s="62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6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7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7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9">
        <v>4640242180533</v>
      </c>
      <c r="E520" s="62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60</v>
      </c>
      <c r="Y520" s="606">
        <f>IFERROR(IF(X520="",0,CEILING((X520/$H520),1)*$H520),"")</f>
        <v>63</v>
      </c>
      <c r="Z520" s="36">
        <f>IFERROR(IF(Y520=0,"",ROUNDUP(Y520/H520,0)*0.01898),"")</f>
        <v>0.13286000000000001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63.293333333333329</v>
      </c>
      <c r="BN520" s="64">
        <f>IFERROR(Y520*I520/H520,"0")</f>
        <v>66.457999999999998</v>
      </c>
      <c r="BO520" s="64">
        <f>IFERROR(1/J520*(X520/H520),"0")</f>
        <v>0.10416666666666667</v>
      </c>
      <c r="BP520" s="64">
        <f>IFERROR(1/J520*(Y520/H520),"0")</f>
        <v>0.109375</v>
      </c>
    </row>
    <row r="521" spans="1:68" x14ac:dyDescent="0.2">
      <c r="A521" s="616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7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6.666666666666667</v>
      </c>
      <c r="Y521" s="607">
        <f>IFERROR(Y520/H520,"0")</f>
        <v>7</v>
      </c>
      <c r="Z521" s="607">
        <f>IFERROR(IF(Z520="",0,Z520),"0")</f>
        <v>0.13286000000000001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7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60</v>
      </c>
      <c r="Y522" s="607">
        <f>IFERROR(SUM(Y520:Y520),"0")</f>
        <v>63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173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01"/>
      <c r="AB523" s="601"/>
      <c r="AC523" s="601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9">
        <v>4640242180120</v>
      </c>
      <c r="E524" s="62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9">
        <v>4640242180137</v>
      </c>
      <c r="E525" s="62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6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7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7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47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156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01"/>
      <c r="AB529" s="601"/>
      <c r="AC529" s="601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9">
        <v>4640242180090</v>
      </c>
      <c r="E530" s="62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6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7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7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8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4"/>
      <c r="P533" s="661" t="s">
        <v>820</v>
      </c>
      <c r="Q533" s="662"/>
      <c r="R533" s="662"/>
      <c r="S533" s="662"/>
      <c r="T533" s="662"/>
      <c r="U533" s="662"/>
      <c r="V533" s="663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8598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8779.58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4"/>
      <c r="P534" s="661" t="s">
        <v>821</v>
      </c>
      <c r="Q534" s="662"/>
      <c r="R534" s="662"/>
      <c r="S534" s="662"/>
      <c r="T534" s="662"/>
      <c r="U534" s="662"/>
      <c r="V534" s="663"/>
      <c r="W534" s="37" t="s">
        <v>67</v>
      </c>
      <c r="X534" s="607">
        <f>IFERROR(SUM(BM22:BM530),"0")</f>
        <v>9200.9206528216764</v>
      </c>
      <c r="Y534" s="607">
        <f>IFERROR(SUM(BN22:BN530),"0")</f>
        <v>9394.4720000000052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4"/>
      <c r="P535" s="661" t="s">
        <v>822</v>
      </c>
      <c r="Q535" s="662"/>
      <c r="R535" s="662"/>
      <c r="S535" s="662"/>
      <c r="T535" s="662"/>
      <c r="U535" s="662"/>
      <c r="V535" s="663"/>
      <c r="W535" s="37" t="s">
        <v>823</v>
      </c>
      <c r="X535" s="38">
        <f>ROUNDUP(SUM(BO22:BO530),0)</f>
        <v>16</v>
      </c>
      <c r="Y535" s="38">
        <f>ROUNDUP(SUM(BP22:BP530),0)</f>
        <v>16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4"/>
      <c r="P536" s="661" t="s">
        <v>824</v>
      </c>
      <c r="Q536" s="662"/>
      <c r="R536" s="662"/>
      <c r="S536" s="662"/>
      <c r="T536" s="662"/>
      <c r="U536" s="662"/>
      <c r="V536" s="663"/>
      <c r="W536" s="37" t="s">
        <v>67</v>
      </c>
      <c r="X536" s="607">
        <f>GrossWeightTotal+PalletQtyTotal*25</f>
        <v>9600.9206528216764</v>
      </c>
      <c r="Y536" s="607">
        <f>GrossWeightTotalR+PalletQtyTotalR*25</f>
        <v>9794.4720000000052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4"/>
      <c r="P537" s="661" t="s">
        <v>825</v>
      </c>
      <c r="Q537" s="662"/>
      <c r="R537" s="662"/>
      <c r="S537" s="662"/>
      <c r="T537" s="662"/>
      <c r="U537" s="662"/>
      <c r="V537" s="663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1731.7308015343931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1768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4"/>
      <c r="P538" s="661" t="s">
        <v>826</v>
      </c>
      <c r="Q538" s="662"/>
      <c r="R538" s="662"/>
      <c r="S538" s="662"/>
      <c r="T538" s="662"/>
      <c r="U538" s="662"/>
      <c r="V538" s="663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18.51539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4" t="s">
        <v>119</v>
      </c>
      <c r="E540" s="823"/>
      <c r="F540" s="823"/>
      <c r="G540" s="823"/>
      <c r="H540" s="823"/>
      <c r="I540" s="823"/>
      <c r="J540" s="670"/>
      <c r="K540" s="614" t="s">
        <v>328</v>
      </c>
      <c r="L540" s="823"/>
      <c r="M540" s="823"/>
      <c r="N540" s="823"/>
      <c r="O540" s="823"/>
      <c r="P540" s="823"/>
      <c r="Q540" s="823"/>
      <c r="R540" s="823"/>
      <c r="S540" s="823"/>
      <c r="T540" s="823"/>
      <c r="U540" s="670"/>
      <c r="V540" s="614" t="s">
        <v>652</v>
      </c>
      <c r="W540" s="670"/>
      <c r="X540" s="614" t="s">
        <v>712</v>
      </c>
      <c r="Y540" s="670"/>
      <c r="Z540" s="602" t="s">
        <v>748</v>
      </c>
      <c r="AA540" s="614" t="s">
        <v>795</v>
      </c>
      <c r="AB540" s="670"/>
      <c r="AC540" s="52"/>
      <c r="AF540" s="603"/>
    </row>
    <row r="541" spans="1:68" ht="14.25" customHeight="1" thickTop="1" x14ac:dyDescent="0.2">
      <c r="A541" s="875" t="s">
        <v>829</v>
      </c>
      <c r="B541" s="614" t="s">
        <v>61</v>
      </c>
      <c r="C541" s="614" t="s">
        <v>102</v>
      </c>
      <c r="D541" s="614" t="s">
        <v>120</v>
      </c>
      <c r="E541" s="614" t="s">
        <v>136</v>
      </c>
      <c r="F541" s="614" t="s">
        <v>180</v>
      </c>
      <c r="G541" s="614" t="s">
        <v>201</v>
      </c>
      <c r="H541" s="614" t="s">
        <v>245</v>
      </c>
      <c r="I541" s="614" t="s">
        <v>257</v>
      </c>
      <c r="J541" s="614" t="s">
        <v>119</v>
      </c>
      <c r="K541" s="614" t="s">
        <v>329</v>
      </c>
      <c r="L541" s="614" t="s">
        <v>350</v>
      </c>
      <c r="M541" s="614" t="s">
        <v>414</v>
      </c>
      <c r="N541" s="603"/>
      <c r="O541" s="614" t="s">
        <v>482</v>
      </c>
      <c r="P541" s="614" t="s">
        <v>515</v>
      </c>
      <c r="Q541" s="614" t="s">
        <v>531</v>
      </c>
      <c r="R541" s="614" t="s">
        <v>540</v>
      </c>
      <c r="S541" s="614" t="s">
        <v>561</v>
      </c>
      <c r="T541" s="614" t="s">
        <v>570</v>
      </c>
      <c r="U541" s="614" t="s">
        <v>642</v>
      </c>
      <c r="V541" s="614" t="s">
        <v>653</v>
      </c>
      <c r="W541" s="614" t="s">
        <v>696</v>
      </c>
      <c r="X541" s="614" t="s">
        <v>713</v>
      </c>
      <c r="Y541" s="614" t="s">
        <v>736</v>
      </c>
      <c r="Z541" s="614" t="s">
        <v>748</v>
      </c>
      <c r="AA541" s="614" t="s">
        <v>795</v>
      </c>
      <c r="AB541" s="614" t="s">
        <v>816</v>
      </c>
      <c r="AC541" s="52"/>
      <c r="AF541" s="603"/>
    </row>
    <row r="542" spans="1:68" ht="13.5" customHeight="1" thickBot="1" x14ac:dyDescent="0.25">
      <c r="A542" s="876"/>
      <c r="B542" s="615"/>
      <c r="C542" s="615"/>
      <c r="D542" s="615"/>
      <c r="E542" s="615"/>
      <c r="F542" s="615"/>
      <c r="G542" s="615"/>
      <c r="H542" s="615"/>
      <c r="I542" s="615"/>
      <c r="J542" s="615"/>
      <c r="K542" s="615"/>
      <c r="L542" s="615"/>
      <c r="M542" s="615"/>
      <c r="N542" s="603"/>
      <c r="O542" s="615"/>
      <c r="P542" s="615"/>
      <c r="Q542" s="615"/>
      <c r="R542" s="615"/>
      <c r="S542" s="615"/>
      <c r="T542" s="615"/>
      <c r="U542" s="615"/>
      <c r="V542" s="615"/>
      <c r="W542" s="615"/>
      <c r="X542" s="615"/>
      <c r="Y542" s="615"/>
      <c r="Z542" s="615"/>
      <c r="AA542" s="615"/>
      <c r="AB542" s="615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162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22.200000000000003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535.80000000000007</v>
      </c>
      <c r="F543" s="46">
        <f>IFERROR(Y88*1,"0")+IFERROR(Y89*1,"0")+IFERROR(Y90*1,"0")+IFERROR(Y91*1,"0")+IFERROR(Y95*1,"0")+IFERROR(Y96*1,"0")+IFERROR(Y97*1,"0")+IFERROR(Y98*1,"0")</f>
        <v>648.9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1815.7800000000002</v>
      </c>
      <c r="H543" s="46">
        <f>IFERROR(Y135*1,"0")+IFERROR(Y136*1,"0")+IFERROR(Y140*1,"0")+IFERROR(Y141*1,"0")+IFERROR(Y145*1,"0")+IFERROR(Y146*1,"0")</f>
        <v>107.6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168.76000000000002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112.20000000000002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1530.3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75.2</v>
      </c>
      <c r="P543" s="46">
        <f>IFERROR(Y316*1,"0")+IFERROR(Y317*1,"0")+IFERROR(Y318*1,"0")+IFERROR(Y319*1,"0")+IFERROR(Y320*1,"0")</f>
        <v>10.8</v>
      </c>
      <c r="Q543" s="46">
        <f>IFERROR(Y325*1,"0")+IFERROR(Y326*1,"0")+IFERROR(Y327*1,"0")</f>
        <v>40.799999999999997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15.6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366.6</v>
      </c>
      <c r="U543" s="46">
        <f>IFERROR(Y398*1,"0")+IFERROR(Y399*1,"0")+IFERROR(Y400*1,"0")</f>
        <v>176.4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1068</v>
      </c>
      <c r="W543" s="46">
        <f>IFERROR(Y433*1,"0")+IFERROR(Y434*1,"0")+IFERROR(Y438*1,"0")+IFERROR(Y442*1,"0")+IFERROR(Y443*1,"0")+IFERROR(Y444*1,"0")</f>
        <v>603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1256.6400000000001</v>
      </c>
      <c r="AA543" s="46">
        <f>IFERROR(Y507*1,"0")+IFERROR(Y511*1,"0")+IFERROR(Y515*1,"0")+IFERROR(Y516*1,"0")+IFERROR(Y520*1,"0")+IFERROR(Y524*1,"0")+IFERROR(Y525*1,"0")</f>
        <v>63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1"/>
        <filter val="0,93"/>
        <filter val="1 093,00"/>
        <filter val="1 240,00"/>
        <filter val="1 731,73"/>
        <filter val="1,00"/>
        <filter val="1,41"/>
        <filter val="10,00"/>
        <filter val="10,32"/>
        <filter val="101,00"/>
        <filter val="102,00"/>
        <filter val="103,00"/>
        <filter val="107,00"/>
        <filter val="108,00"/>
        <filter val="109,00"/>
        <filter val="11,00"/>
        <filter val="11,44"/>
        <filter val="12,00"/>
        <filter val="12,50"/>
        <filter val="123,00"/>
        <filter val="124,00"/>
        <filter val="128,98"/>
        <filter val="129,00"/>
        <filter val="13,00"/>
        <filter val="13,80"/>
        <filter val="13,98"/>
        <filter val="133,87"/>
        <filter val="147,00"/>
        <filter val="149,00"/>
        <filter val="15,83"/>
        <filter val="150,86"/>
        <filter val="151,00"/>
        <filter val="152,00"/>
        <filter val="159,00"/>
        <filter val="16"/>
        <filter val="16,00"/>
        <filter val="169,07"/>
        <filter val="17,00"/>
        <filter val="171,00"/>
        <filter val="172,00"/>
        <filter val="174,00"/>
        <filter val="179,00"/>
        <filter val="18,00"/>
        <filter val="19,00"/>
        <filter val="20,00"/>
        <filter val="21,00"/>
        <filter val="213,00"/>
        <filter val="217,00"/>
        <filter val="22,00"/>
        <filter val="225,00"/>
        <filter val="24,13"/>
        <filter val="24,62"/>
        <filter val="242,00"/>
        <filter val="25,00"/>
        <filter val="263,00"/>
        <filter val="265,78"/>
        <filter val="28,96"/>
        <filter val="294,00"/>
        <filter val="3,00"/>
        <filter val="3,17"/>
        <filter val="3,89"/>
        <filter val="31,00"/>
        <filter val="318,00"/>
        <filter val="32,41"/>
        <filter val="324,00"/>
        <filter val="35,00"/>
        <filter val="350,00"/>
        <filter val="36,00"/>
        <filter val="38,00"/>
        <filter val="384,00"/>
        <filter val="4,00"/>
        <filter val="4,29"/>
        <filter val="40,00"/>
        <filter val="426,00"/>
        <filter val="45,83"/>
        <filter val="454,00"/>
        <filter val="5,41"/>
        <filter val="5,42"/>
        <filter val="5,56"/>
        <filter val="52,67"/>
        <filter val="525,00"/>
        <filter val="53,40"/>
        <filter val="53,46"/>
        <filter val="54,00"/>
        <filter val="554,00"/>
        <filter val="57,00"/>
        <filter val="58,00"/>
        <filter val="6,67"/>
        <filter val="60,00"/>
        <filter val="60,23"/>
        <filter val="600,00"/>
        <filter val="61,87"/>
        <filter val="64,00"/>
        <filter val="65,00"/>
        <filter val="66,67"/>
        <filter val="66,94"/>
        <filter val="681,00"/>
        <filter val="7,00"/>
        <filter val="70,00"/>
        <filter val="725,00"/>
        <filter val="762,00"/>
        <filter val="77,00"/>
        <filter val="8 598,00"/>
        <filter val="81,00"/>
        <filter val="82,86"/>
        <filter val="85,00"/>
        <filter val="86,00"/>
        <filter val="88,00"/>
        <filter val="88,33"/>
        <filter val="89,00"/>
        <filter val="9 200,92"/>
        <filter val="9 600,92"/>
        <filter val="9,87"/>
        <filter val="92,00"/>
        <filter val="928,00"/>
      </filters>
    </filterColumn>
    <filterColumn colId="29" showButton="0"/>
    <filterColumn colId="30" showButton="0"/>
  </autoFilter>
  <mergeCells count="955"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P513:V513"/>
    <mergeCell ref="A251:O252"/>
    <mergeCell ref="P292:T292"/>
    <mergeCell ref="A269:Z269"/>
    <mergeCell ref="P294:T294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527:V527"/>
    <mergeCell ref="P507:T5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M17:M18"/>
    <mergeCell ref="O17:O18"/>
    <mergeCell ref="P336:T336"/>
    <mergeCell ref="P131:V131"/>
    <mergeCell ref="D164:E164"/>
    <mergeCell ref="P62:T62"/>
    <mergeCell ref="U17:V17"/>
    <mergeCell ref="P36:T36"/>
    <mergeCell ref="A9:C9"/>
    <mergeCell ref="Q13:R13"/>
    <mergeCell ref="D22:E22"/>
    <mergeCell ref="G17:G18"/>
    <mergeCell ref="P46:T46"/>
    <mergeCell ref="P381:V381"/>
    <mergeCell ref="A35:Z35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P125:T125"/>
    <mergeCell ref="D373:E373"/>
    <mergeCell ref="D202:E202"/>
    <mergeCell ref="A167:Z167"/>
    <mergeCell ref="P242:V242"/>
    <mergeCell ref="D159:E159"/>
    <mergeCell ref="A403:Z403"/>
    <mergeCell ref="P121:V121"/>
    <mergeCell ref="D489:E489"/>
    <mergeCell ref="A427:Z427"/>
    <mergeCell ref="D477:E477"/>
    <mergeCell ref="P459:T459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P47:V47"/>
    <mergeCell ref="P176:T176"/>
    <mergeCell ref="P114:T114"/>
    <mergeCell ref="P483:T483"/>
    <mergeCell ref="A157:Z157"/>
    <mergeCell ref="A508:O509"/>
    <mergeCell ref="A230:Z230"/>
    <mergeCell ref="D222:E222"/>
    <mergeCell ref="P399:T399"/>
    <mergeCell ref="P333:T333"/>
    <mergeCell ref="P57:V57"/>
    <mergeCell ref="P478:T478"/>
    <mergeCell ref="P278:T278"/>
    <mergeCell ref="P107:T107"/>
    <mergeCell ref="P465:T465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A94:Z94"/>
    <mergeCell ref="P79:V79"/>
    <mergeCell ref="A69:Z69"/>
    <mergeCell ref="A196:Z196"/>
    <mergeCell ref="P115:T115"/>
    <mergeCell ref="D254:E254"/>
    <mergeCell ref="P302:V302"/>
    <mergeCell ref="P238:T238"/>
    <mergeCell ref="D346:E346"/>
    <mergeCell ref="D204:E204"/>
    <mergeCell ref="D294:E294"/>
    <mergeCell ref="P348:T348"/>
    <mergeCell ref="D231:E231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P536:V536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A435:O436"/>
    <mergeCell ref="D116:E116"/>
    <mergeCell ref="P419:T419"/>
    <mergeCell ref="P219:T219"/>
    <mergeCell ref="D91:E91"/>
    <mergeCell ref="D160:E160"/>
    <mergeCell ref="P153:T153"/>
    <mergeCell ref="P90:T90"/>
    <mergeCell ref="P332:T332"/>
    <mergeCell ref="P217:T217"/>
    <mergeCell ref="D386:E386"/>
    <mergeCell ref="D215:E215"/>
    <mergeCell ref="P194:V194"/>
    <mergeCell ref="P456:V456"/>
    <mergeCell ref="P434:T434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P15:T16"/>
    <mergeCell ref="P450:T450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D400:E400"/>
    <mergeCell ref="D77:E77"/>
    <mergeCell ref="D108:E108"/>
    <mergeCell ref="P423:T423"/>
    <mergeCell ref="P223:T223"/>
    <mergeCell ref="P52:T52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D465:E465"/>
    <mergeCell ref="D296:E296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A531:O532"/>
    <mergeCell ref="A468:Z468"/>
    <mergeCell ref="A321:O322"/>
    <mergeCell ref="P164:T164"/>
    <mergeCell ref="P120:V120"/>
    <mergeCell ref="D384:E384"/>
    <mergeCell ref="P341:T341"/>
    <mergeCell ref="D151:E151"/>
    <mergeCell ref="A110:O111"/>
    <mergeCell ref="P206:V206"/>
    <mergeCell ref="A258:Z258"/>
    <mergeCell ref="A517:O518"/>
    <mergeCell ref="A133:Z133"/>
    <mergeCell ref="P511:T511"/>
    <mergeCell ref="P479:T479"/>
    <mergeCell ref="P481:T481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D500:E500"/>
    <mergeCell ref="P492:V492"/>
    <mergeCell ref="P484:T484"/>
    <mergeCell ref="D490:E490"/>
    <mergeCell ref="P365:T365"/>
    <mergeCell ref="P293:T293"/>
    <mergeCell ref="D407:E407"/>
    <mergeCell ref="P363:T363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A523:Z523"/>
    <mergeCell ref="A87:Z87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524:E524"/>
    <mergeCell ref="P407:T407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D470:E470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D60:E60"/>
    <mergeCell ref="P73:T73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  <mergeCell ref="P533:V533"/>
    <mergeCell ref="W541:W5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