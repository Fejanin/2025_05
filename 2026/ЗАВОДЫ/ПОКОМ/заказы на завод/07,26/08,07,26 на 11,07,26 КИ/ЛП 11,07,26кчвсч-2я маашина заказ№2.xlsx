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202FA4-D998-49D1-B862-9A44B60DE78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375" i="2" l="1"/>
  <c r="Z172" i="2"/>
  <c r="BN172" i="2"/>
  <c r="Z460" i="2"/>
  <c r="Z462" i="2" s="1"/>
  <c r="Z82" i="2"/>
  <c r="Z265" i="2"/>
  <c r="BN265" i="2"/>
  <c r="BP239" i="2"/>
  <c r="Y427" i="2"/>
  <c r="BP500" i="2"/>
  <c r="Y138" i="2"/>
  <c r="Y20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190" i="2" l="1"/>
  <c r="Z457" i="2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<sst xmlns="http://schemas.openxmlformats.org/spreadsheetml/2006/main" count="4048" uniqueCount="861">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</sst>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346" sqref="AA3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860</v>
      </c>
      <c r="I5" s="961"/>
      <c r="J5" s="961"/>
      <c r="K5" s="961"/>
      <c r="L5" s="961"/>
      <c r="M5" s="961"/>
      <c r="N5" s="72"/>
      <c r="P5" s="27" t="s">
        <v>4</v>
      </c>
      <c r="Q5" s="963">
        <v>46214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hidden="1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idden="1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hidden="1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hidden="1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idden="1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hidden="1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hidden="1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hidden="1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hidden="1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hidden="1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hidden="1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100</v>
      </c>
      <c r="Y346" s="55">
        <f>IFERROR(IF(X346="",0,CEILING((X346/$H346),1)*$H346),"")</f>
        <v>101.39999999999999</v>
      </c>
      <c r="Z346" s="41">
        <f>IFERROR(IF(Y346=0,"",ROUNDUP(Y346/H346,0)*0.01898),"")</f>
        <v>0.24674000000000001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105.25641025641028</v>
      </c>
      <c r="BN346" s="78">
        <f>IFERROR(Y346*I346/H346,"0")</f>
        <v>106.73</v>
      </c>
      <c r="BO346" s="78">
        <f>IFERROR(1/J346*(X346/H346),"0")</f>
        <v>0.20032051282051283</v>
      </c>
      <c r="BP346" s="78">
        <f>IFERROR(1/J346*(Y346/H346),"0")</f>
        <v>0.203125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12.820512820512821</v>
      </c>
      <c r="Y349" s="43">
        <f>IFERROR(Y346/H346,"0")+IFERROR(Y347/H347,"0")+IFERROR(Y348/H348,"0")</f>
        <v>13</v>
      </c>
      <c r="Z349" s="43">
        <f>IFERROR(IF(Z346="",0,Z346),"0")+IFERROR(IF(Z347="",0,Z347),"0")+IFERROR(IF(Z348="",0,Z348),"0")</f>
        <v>0.24674000000000001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100</v>
      </c>
      <c r="Y350" s="43">
        <f>IFERROR(SUM(Y346:Y348),"0")</f>
        <v>101.39999999999999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2500</v>
      </c>
      <c r="Y410" s="55">
        <f t="shared" si="63"/>
        <v>2505</v>
      </c>
      <c r="Z410" s="41">
        <f>IFERROR(IF(Y410=0,"",ROUNDUP(Y410/H410,0)*0.02175),"")</f>
        <v>3.6322499999999995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2578.3333333333335</v>
      </c>
      <c r="BN410" s="78">
        <f t="shared" si="65"/>
        <v>2583.4899999999998</v>
      </c>
      <c r="BO410" s="78">
        <f t="shared" si="66"/>
        <v>3.4722222222222219</v>
      </c>
      <c r="BP410" s="78">
        <f t="shared" si="67"/>
        <v>3.4791666666666665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166.66666666666666</v>
      </c>
      <c r="Y415" s="43">
        <f>IFERROR(Y407/H407,"0")+IFERROR(Y408/H408,"0")+IFERROR(Y409/H409,"0")+IFERROR(Y410/H410,"0")+IFERROR(Y411/H411,"0")+IFERROR(Y412/H412,"0")+IFERROR(Y413/H413,"0")+IFERROR(Y414/H414,"0")</f>
        <v>167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3.6322499999999995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2500</v>
      </c>
      <c r="Y416" s="43">
        <f>IFERROR(SUM(Y407:Y414),"0")</f>
        <v>2505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1300</v>
      </c>
      <c r="Y490" s="55">
        <f>IFERROR(IF(X490="",0,CEILING((X490/$H490),1)*$H490),"")</f>
        <v>1304.1600000000001</v>
      </c>
      <c r="Z490" s="41">
        <f>IFERROR(IF(Y490=0,"",ROUNDUP(Y490/H490,0)*0.01196),"")</f>
        <v>2.9541200000000001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1386.1742424242423</v>
      </c>
      <c r="BN490" s="78">
        <f>IFERROR(Y490*I490/H490,"0")</f>
        <v>1390.61</v>
      </c>
      <c r="BO490" s="78">
        <f>IFERROR(1/J490*(X490/H490),"0")</f>
        <v>2.3674242424242422</v>
      </c>
      <c r="BP490" s="78">
        <f>IFERROR(1/J490*(Y490/H490),"0")</f>
        <v>2.375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246.21212121212119</v>
      </c>
      <c r="Y493" s="43">
        <f>IFERROR(Y490/H490,"0")+IFERROR(Y491/H491,"0")+IFERROR(Y492/H492,"0")</f>
        <v>247</v>
      </c>
      <c r="Z493" s="43">
        <f>IFERROR(IF(Z490="",0,Z490),"0")+IFERROR(IF(Z491="",0,Z491),"0")+IFERROR(IF(Z492="",0,Z492),"0")</f>
        <v>2.9541200000000001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1300</v>
      </c>
      <c r="Y494" s="43">
        <f>IFERROR(SUM(Y490:Y492),"0")</f>
        <v>1304.1600000000001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idden="1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3900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3910.5600000000004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4069.7639860139861</v>
      </c>
      <c r="Y535" s="43">
        <f>IFERROR(SUM(BN22:BN531),"0")</f>
        <v>4080.83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7</v>
      </c>
      <c r="Y536" s="44">
        <f>ROUNDUP(SUM(BP22:BP531),0)</f>
        <v>7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4244.7639860139861</v>
      </c>
      <c r="Y537" s="43">
        <f>GrossWeightTotalR+PalletQtyTotalR*25</f>
        <v>4255.83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425.69930069930069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427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6.8331099999999996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0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101.39999999999999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2505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1304.1600000000001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00,00"/>
        <filter val="12,82"/>
        <filter val="166,67"/>
        <filter val="2 500,00"/>
        <filter val="246,21"/>
        <filter val="3 900,00"/>
        <filter val="4 069,76"/>
        <filter val="4 244,76"/>
        <filter val="425,70"/>
        <filter val="7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