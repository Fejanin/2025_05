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F9AF0B-C29A-4015-9A28-46B140D7760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Y42" i="2"/>
  <c r="X491" i="2" l="1"/>
  <c r="Z42" i="2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<sst xmlns="http://schemas.openxmlformats.org/spreadsheetml/2006/main" count="3645" uniqueCount="788">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</sst>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 t="s">
        <v>787</v>
      </c>
      <c r="I5" s="554"/>
      <c r="J5" s="554"/>
      <c r="K5" s="554"/>
      <c r="L5" s="554"/>
      <c r="M5" s="554"/>
      <c r="N5" s="69"/>
      <c r="P5" s="26" t="s">
        <v>4</v>
      </c>
      <c r="Q5" s="556">
        <v>46214</v>
      </c>
      <c r="R5" s="557"/>
      <c r="T5" s="558" t="s">
        <v>3</v>
      </c>
      <c r="U5" s="559"/>
      <c r="V5" s="560" t="s">
        <v>751</v>
      </c>
      <c r="W5" s="561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2" t="s">
        <v>767</v>
      </c>
      <c r="E6" s="562"/>
      <c r="F6" s="562"/>
      <c r="G6" s="562"/>
      <c r="H6" s="562"/>
      <c r="I6" s="562"/>
      <c r="J6" s="562"/>
      <c r="K6" s="562"/>
      <c r="L6" s="562"/>
      <c r="M6" s="562"/>
      <c r="N6" s="70"/>
      <c r="P6" s="26" t="s">
        <v>27</v>
      </c>
      <c r="Q6" s="563" t="str">
        <f>IF(Q5=0," ",CHOOSE(WEEKDAY(Q5,2),"Понедельник","Вторник","Среда","Четверг","Пятница","Суббота","Воскресенье"))</f>
        <v>Суббота</v>
      </c>
      <c r="R6" s="563"/>
      <c r="T6" s="564" t="s">
        <v>5</v>
      </c>
      <c r="U6" s="565"/>
      <c r="V6" s="566" t="s">
        <v>69</v>
      </c>
      <c r="W6" s="56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2" t="str">
        <f>IFERROR(VLOOKUP(DeliveryAddress,Table,3,0),1)</f>
        <v>6</v>
      </c>
      <c r="E7" s="573"/>
      <c r="F7" s="573"/>
      <c r="G7" s="573"/>
      <c r="H7" s="573"/>
      <c r="I7" s="573"/>
      <c r="J7" s="573"/>
      <c r="K7" s="573"/>
      <c r="L7" s="573"/>
      <c r="M7" s="574"/>
      <c r="N7" s="71"/>
      <c r="P7" s="26"/>
      <c r="Q7" s="46"/>
      <c r="R7" s="46"/>
      <c r="T7" s="564"/>
      <c r="U7" s="565"/>
      <c r="V7" s="568"/>
      <c r="W7" s="569"/>
      <c r="AB7" s="57"/>
      <c r="AC7" s="57"/>
      <c r="AD7" s="57"/>
      <c r="AE7" s="57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2"/>
      <c r="P8" s="26" t="s">
        <v>11</v>
      </c>
      <c r="Q8" s="577">
        <v>0.45833333333333331</v>
      </c>
      <c r="R8" s="578"/>
      <c r="T8" s="564"/>
      <c r="U8" s="565"/>
      <c r="V8" s="568"/>
      <c r="W8" s="569"/>
      <c r="AB8" s="57"/>
      <c r="AC8" s="57"/>
      <c r="AD8" s="57"/>
      <c r="AE8" s="57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67"/>
      <c r="P9" s="29" t="s">
        <v>15</v>
      </c>
      <c r="Q9" s="583">
        <v>46217</v>
      </c>
      <c r="R9" s="583"/>
      <c r="T9" s="564"/>
      <c r="U9" s="565"/>
      <c r="V9" s="570"/>
      <c r="W9" s="57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68"/>
      <c r="P10" s="29" t="s">
        <v>32</v>
      </c>
      <c r="Q10" s="585">
        <v>0.54166666666666663</v>
      </c>
      <c r="R10" s="585"/>
      <c r="U10" s="26" t="s">
        <v>12</v>
      </c>
      <c r="V10" s="586" t="s">
        <v>70</v>
      </c>
      <c r="W10" s="58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8"/>
      <c r="R11" s="588"/>
      <c r="U11" s="26" t="s">
        <v>28</v>
      </c>
      <c r="V11" s="589" t="s">
        <v>54</v>
      </c>
      <c r="W11" s="5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3"/>
      <c r="P12" s="26" t="s">
        <v>30</v>
      </c>
      <c r="Q12" s="577"/>
      <c r="R12" s="577"/>
      <c r="S12" s="27"/>
      <c r="T12"/>
      <c r="U12" s="26" t="s">
        <v>45</v>
      </c>
      <c r="V12" s="591"/>
      <c r="W12" s="591"/>
      <c r="X12"/>
      <c r="AB12" s="57"/>
      <c r="AC12" s="57"/>
      <c r="AD12" s="57"/>
      <c r="AE12" s="57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3"/>
      <c r="O13" s="29"/>
      <c r="P13" s="29" t="s">
        <v>31</v>
      </c>
      <c r="Q13" s="589"/>
      <c r="R13" s="5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4"/>
      <c r="O15"/>
      <c r="P15" s="593" t="s">
        <v>60</v>
      </c>
      <c r="Q15" s="593"/>
      <c r="R15" s="593"/>
      <c r="S15" s="593"/>
      <c r="T15" s="59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77"/>
      <c r="BD17" s="76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78" t="s">
        <v>44</v>
      </c>
      <c r="V18" s="78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77"/>
      <c r="BD18" s="76"/>
    </row>
    <row r="19" spans="1:68" ht="27.75" hidden="1" customHeight="1" x14ac:dyDescent="0.2">
      <c r="A19" s="619" t="s">
        <v>75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2"/>
      <c r="AB19" s="52"/>
      <c r="AC19" s="52"/>
    </row>
    <row r="20" spans="1:68" ht="16.5" hidden="1" customHeight="1" x14ac:dyDescent="0.25">
      <c r="A20" s="620" t="s">
        <v>75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2"/>
      <c r="AB20" s="62"/>
      <c r="AC20" s="62"/>
    </row>
    <row r="21" spans="1:68" ht="14.25" hidden="1" customHeight="1" x14ac:dyDescent="0.25">
      <c r="A21" s="621" t="s">
        <v>76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2">
        <v>4680115887510</v>
      </c>
      <c r="E22" s="622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4"/>
      <c r="R22" s="624"/>
      <c r="S22" s="624"/>
      <c r="T22" s="625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2">
        <v>4680115886643</v>
      </c>
      <c r="E23" s="622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4"/>
      <c r="R23" s="624"/>
      <c r="S23" s="624"/>
      <c r="T23" s="625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0"/>
      <c r="B25" s="630"/>
      <c r="C25" s="630"/>
      <c r="D25" s="630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1"/>
      <c r="P25" s="627" t="s">
        <v>40</v>
      </c>
      <c r="Q25" s="628"/>
      <c r="R25" s="628"/>
      <c r="S25" s="628"/>
      <c r="T25" s="628"/>
      <c r="U25" s="628"/>
      <c r="V25" s="62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1" t="s">
        <v>86</v>
      </c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621"/>
      <c r="R26" s="621"/>
      <c r="S26" s="621"/>
      <c r="T26" s="621"/>
      <c r="U26" s="621"/>
      <c r="V26" s="621"/>
      <c r="W26" s="621"/>
      <c r="X26" s="621"/>
      <c r="Y26" s="621"/>
      <c r="Z26" s="62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2">
        <v>4680115885912</v>
      </c>
      <c r="E27" s="62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4"/>
      <c r="R27" s="624"/>
      <c r="S27" s="624"/>
      <c r="T27" s="62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2">
        <v>4607091388237</v>
      </c>
      <c r="E28" s="62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4"/>
      <c r="R28" s="624"/>
      <c r="S28" s="624"/>
      <c r="T28" s="625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2">
        <v>4680115887350</v>
      </c>
      <c r="E29" s="62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4"/>
      <c r="R29" s="624"/>
      <c r="S29" s="624"/>
      <c r="T29" s="625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2">
        <v>4680115885905</v>
      </c>
      <c r="E30" s="62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4"/>
      <c r="R30" s="624"/>
      <c r="S30" s="624"/>
      <c r="T30" s="625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2">
        <v>4680115887657</v>
      </c>
      <c r="E31" s="62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4"/>
      <c r="R31" s="624"/>
      <c r="S31" s="624"/>
      <c r="T31" s="625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2">
        <v>4680115887619</v>
      </c>
      <c r="E32" s="62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4"/>
      <c r="R32" s="624"/>
      <c r="S32" s="624"/>
      <c r="T32" s="625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30"/>
      <c r="B33" s="630"/>
      <c r="C33" s="630"/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631"/>
      <c r="P33" s="627" t="s">
        <v>40</v>
      </c>
      <c r="Q33" s="628"/>
      <c r="R33" s="628"/>
      <c r="S33" s="628"/>
      <c r="T33" s="628"/>
      <c r="U33" s="628"/>
      <c r="V33" s="629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30"/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1"/>
      <c r="P34" s="627" t="s">
        <v>40</v>
      </c>
      <c r="Q34" s="628"/>
      <c r="R34" s="628"/>
      <c r="S34" s="628"/>
      <c r="T34" s="628"/>
      <c r="U34" s="628"/>
      <c r="V34" s="629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21" t="s">
        <v>106</v>
      </c>
      <c r="B35" s="621"/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  <c r="Q35" s="621"/>
      <c r="R35" s="621"/>
      <c r="S35" s="621"/>
      <c r="T35" s="621"/>
      <c r="U35" s="621"/>
      <c r="V35" s="621"/>
      <c r="W35" s="621"/>
      <c r="X35" s="621"/>
      <c r="Y35" s="621"/>
      <c r="Z35" s="621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2">
        <v>4607091388503</v>
      </c>
      <c r="E36" s="62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4"/>
      <c r="R36" s="624"/>
      <c r="S36" s="624"/>
      <c r="T36" s="625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30"/>
      <c r="B37" s="630"/>
      <c r="C37" s="630"/>
      <c r="D37" s="630"/>
      <c r="E37" s="630"/>
      <c r="F37" s="630"/>
      <c r="G37" s="630"/>
      <c r="H37" s="630"/>
      <c r="I37" s="630"/>
      <c r="J37" s="630"/>
      <c r="K37" s="630"/>
      <c r="L37" s="630"/>
      <c r="M37" s="630"/>
      <c r="N37" s="630"/>
      <c r="O37" s="631"/>
      <c r="P37" s="627" t="s">
        <v>40</v>
      </c>
      <c r="Q37" s="628"/>
      <c r="R37" s="628"/>
      <c r="S37" s="628"/>
      <c r="T37" s="628"/>
      <c r="U37" s="628"/>
      <c r="V37" s="629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30"/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1"/>
      <c r="P38" s="627" t="s">
        <v>40</v>
      </c>
      <c r="Q38" s="628"/>
      <c r="R38" s="628"/>
      <c r="S38" s="628"/>
      <c r="T38" s="628"/>
      <c r="U38" s="628"/>
      <c r="V38" s="629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9" t="s">
        <v>112</v>
      </c>
      <c r="B39" s="619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  <c r="AA39" s="52"/>
      <c r="AB39" s="52"/>
      <c r="AC39" s="52"/>
    </row>
    <row r="40" spans="1:68" ht="16.5" hidden="1" customHeight="1" x14ac:dyDescent="0.25">
      <c r="A40" s="620" t="s">
        <v>113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2"/>
      <c r="AB40" s="62"/>
      <c r="AC40" s="62"/>
    </row>
    <row r="41" spans="1:68" ht="14.25" hidden="1" customHeight="1" x14ac:dyDescent="0.25">
      <c r="A41" s="621" t="s">
        <v>114</v>
      </c>
      <c r="B41" s="621"/>
      <c r="C41" s="621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621"/>
      <c r="Q41" s="621"/>
      <c r="R41" s="621"/>
      <c r="S41" s="621"/>
      <c r="T41" s="621"/>
      <c r="U41" s="621"/>
      <c r="V41" s="621"/>
      <c r="W41" s="621"/>
      <c r="X41" s="621"/>
      <c r="Y41" s="621"/>
      <c r="Z41" s="621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2">
        <v>4607091385670</v>
      </c>
      <c r="E42" s="622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4"/>
      <c r="R42" s="624"/>
      <c r="S42" s="624"/>
      <c r="T42" s="625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2">
        <v>4680115882539</v>
      </c>
      <c r="E43" s="622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4"/>
      <c r="R43" s="624"/>
      <c r="S43" s="624"/>
      <c r="T43" s="625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2">
        <v>4607091385687</v>
      </c>
      <c r="E44" s="622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4"/>
      <c r="R44" s="624"/>
      <c r="S44" s="624"/>
      <c r="T44" s="62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30"/>
      <c r="B45" s="630"/>
      <c r="C45" s="630"/>
      <c r="D45" s="630"/>
      <c r="E45" s="630"/>
      <c r="F45" s="630"/>
      <c r="G45" s="630"/>
      <c r="H45" s="630"/>
      <c r="I45" s="630"/>
      <c r="J45" s="630"/>
      <c r="K45" s="630"/>
      <c r="L45" s="630"/>
      <c r="M45" s="630"/>
      <c r="N45" s="630"/>
      <c r="O45" s="631"/>
      <c r="P45" s="627" t="s">
        <v>40</v>
      </c>
      <c r="Q45" s="628"/>
      <c r="R45" s="628"/>
      <c r="S45" s="628"/>
      <c r="T45" s="628"/>
      <c r="U45" s="628"/>
      <c r="V45" s="629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630"/>
      <c r="B46" s="630"/>
      <c r="C46" s="630"/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1"/>
      <c r="P46" s="627" t="s">
        <v>40</v>
      </c>
      <c r="Q46" s="628"/>
      <c r="R46" s="628"/>
      <c r="S46" s="628"/>
      <c r="T46" s="628"/>
      <c r="U46" s="628"/>
      <c r="V46" s="629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hidden="1" customHeight="1" x14ac:dyDescent="0.25">
      <c r="A47" s="621" t="s">
        <v>86</v>
      </c>
      <c r="B47" s="621"/>
      <c r="C47" s="621"/>
      <c r="D47" s="621"/>
      <c r="E47" s="621"/>
      <c r="F47" s="621"/>
      <c r="G47" s="621"/>
      <c r="H47" s="621"/>
      <c r="I47" s="621"/>
      <c r="J47" s="621"/>
      <c r="K47" s="621"/>
      <c r="L47" s="621"/>
      <c r="M47" s="621"/>
      <c r="N47" s="621"/>
      <c r="O47" s="621"/>
      <c r="P47" s="621"/>
      <c r="Q47" s="621"/>
      <c r="R47" s="621"/>
      <c r="S47" s="621"/>
      <c r="T47" s="621"/>
      <c r="U47" s="621"/>
      <c r="V47" s="621"/>
      <c r="W47" s="621"/>
      <c r="X47" s="621"/>
      <c r="Y47" s="621"/>
      <c r="Z47" s="621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2">
        <v>4680115884915</v>
      </c>
      <c r="E48" s="622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4"/>
      <c r="R48" s="624"/>
      <c r="S48" s="624"/>
      <c r="T48" s="625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30"/>
      <c r="B49" s="630"/>
      <c r="C49" s="630"/>
      <c r="D49" s="630"/>
      <c r="E49" s="630"/>
      <c r="F49" s="630"/>
      <c r="G49" s="630"/>
      <c r="H49" s="630"/>
      <c r="I49" s="630"/>
      <c r="J49" s="630"/>
      <c r="K49" s="630"/>
      <c r="L49" s="630"/>
      <c r="M49" s="630"/>
      <c r="N49" s="630"/>
      <c r="O49" s="631"/>
      <c r="P49" s="627" t="s">
        <v>40</v>
      </c>
      <c r="Q49" s="628"/>
      <c r="R49" s="628"/>
      <c r="S49" s="628"/>
      <c r="T49" s="628"/>
      <c r="U49" s="628"/>
      <c r="V49" s="629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30"/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1"/>
      <c r="P50" s="627" t="s">
        <v>40</v>
      </c>
      <c r="Q50" s="628"/>
      <c r="R50" s="628"/>
      <c r="S50" s="628"/>
      <c r="T50" s="628"/>
      <c r="U50" s="628"/>
      <c r="V50" s="629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20" t="s">
        <v>128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2"/>
      <c r="AB51" s="62"/>
      <c r="AC51" s="62"/>
    </row>
    <row r="52" spans="1:68" ht="14.25" hidden="1" customHeight="1" x14ac:dyDescent="0.25">
      <c r="A52" s="621" t="s">
        <v>114</v>
      </c>
      <c r="B52" s="621"/>
      <c r="C52" s="621"/>
      <c r="D52" s="621"/>
      <c r="E52" s="621"/>
      <c r="F52" s="621"/>
      <c r="G52" s="621"/>
      <c r="H52" s="621"/>
      <c r="I52" s="621"/>
      <c r="J52" s="621"/>
      <c r="K52" s="621"/>
      <c r="L52" s="621"/>
      <c r="M52" s="621"/>
      <c r="N52" s="621"/>
      <c r="O52" s="621"/>
      <c r="P52" s="621"/>
      <c r="Q52" s="621"/>
      <c r="R52" s="621"/>
      <c r="S52" s="621"/>
      <c r="T52" s="621"/>
      <c r="U52" s="621"/>
      <c r="V52" s="621"/>
      <c r="W52" s="621"/>
      <c r="X52" s="621"/>
      <c r="Y52" s="621"/>
      <c r="Z52" s="621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2">
        <v>4680115885882</v>
      </c>
      <c r="E53" s="622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4"/>
      <c r="R53" s="624"/>
      <c r="S53" s="624"/>
      <c r="T53" s="625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2">
        <v>4680115881426</v>
      </c>
      <c r="E54" s="622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4"/>
      <c r="R54" s="624"/>
      <c r="S54" s="624"/>
      <c r="T54" s="625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2">
        <v>4680115880283</v>
      </c>
      <c r="E55" s="622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4"/>
      <c r="R55" s="624"/>
      <c r="S55" s="624"/>
      <c r="T55" s="625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2">
        <v>4680115881525</v>
      </c>
      <c r="E56" s="622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4"/>
      <c r="R56" s="624"/>
      <c r="S56" s="624"/>
      <c r="T56" s="625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2">
        <v>4680115885899</v>
      </c>
      <c r="E57" s="622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4"/>
      <c r="R57" s="624"/>
      <c r="S57" s="624"/>
      <c r="T57" s="625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2">
        <v>4680115881419</v>
      </c>
      <c r="E58" s="622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4"/>
      <c r="R58" s="624"/>
      <c r="S58" s="624"/>
      <c r="T58" s="625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30"/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1"/>
      <c r="P59" s="627" t="s">
        <v>40</v>
      </c>
      <c r="Q59" s="628"/>
      <c r="R59" s="628"/>
      <c r="S59" s="628"/>
      <c r="T59" s="628"/>
      <c r="U59" s="628"/>
      <c r="V59" s="629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30"/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1"/>
      <c r="P60" s="627" t="s">
        <v>40</v>
      </c>
      <c r="Q60" s="628"/>
      <c r="R60" s="628"/>
      <c r="S60" s="628"/>
      <c r="T60" s="628"/>
      <c r="U60" s="628"/>
      <c r="V60" s="629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hidden="1" customHeight="1" x14ac:dyDescent="0.25">
      <c r="A61" s="621" t="s">
        <v>147</v>
      </c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  <c r="M61" s="621"/>
      <c r="N61" s="621"/>
      <c r="O61" s="621"/>
      <c r="P61" s="621"/>
      <c r="Q61" s="621"/>
      <c r="R61" s="621"/>
      <c r="S61" s="621"/>
      <c r="T61" s="621"/>
      <c r="U61" s="621"/>
      <c r="V61" s="621"/>
      <c r="W61" s="621"/>
      <c r="X61" s="621"/>
      <c r="Y61" s="621"/>
      <c r="Z61" s="621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2">
        <v>4680115881440</v>
      </c>
      <c r="E62" s="622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4"/>
      <c r="R62" s="624"/>
      <c r="S62" s="624"/>
      <c r="T62" s="625"/>
      <c r="U62" s="37" t="s">
        <v>45</v>
      </c>
      <c r="V62" s="37" t="s">
        <v>45</v>
      </c>
      <c r="W62" s="38" t="s">
        <v>0</v>
      </c>
      <c r="X62" s="56">
        <v>86.4</v>
      </c>
      <c r="Y62" s="53">
        <f>IFERROR(IF(X62="",0,CEILING((X62/$H62),1)*$H62),"")</f>
        <v>86.4</v>
      </c>
      <c r="Z62" s="39">
        <f>IFERROR(IF(Y62=0,"",ROUNDUP(Y62/H62,0)*0.01898),"")</f>
        <v>0.15184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89.68</v>
      </c>
      <c r="BN62" s="75">
        <f>IFERROR(Y62*I62/H62,"0")</f>
        <v>89.68</v>
      </c>
      <c r="BO62" s="75">
        <f>IFERROR(1/J62*(X62/H62),"0")</f>
        <v>0.125</v>
      </c>
      <c r="BP62" s="75">
        <f>IFERROR(1/J62*(Y62/H62),"0")</f>
        <v>0.125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2">
        <v>4680115885950</v>
      </c>
      <c r="E63" s="622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4"/>
      <c r="R63" s="624"/>
      <c r="S63" s="624"/>
      <c r="T63" s="625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2">
        <v>4680115887688</v>
      </c>
      <c r="E64" s="622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5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4"/>
      <c r="R64" s="624"/>
      <c r="S64" s="624"/>
      <c r="T64" s="625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2">
        <v>4680115881433</v>
      </c>
      <c r="E65" s="622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4"/>
      <c r="R65" s="624"/>
      <c r="S65" s="624"/>
      <c r="T65" s="62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30"/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1"/>
      <c r="P66" s="627" t="s">
        <v>40</v>
      </c>
      <c r="Q66" s="628"/>
      <c r="R66" s="628"/>
      <c r="S66" s="628"/>
      <c r="T66" s="628"/>
      <c r="U66" s="628"/>
      <c r="V66" s="629"/>
      <c r="W66" s="40" t="s">
        <v>39</v>
      </c>
      <c r="X66" s="41">
        <f>IFERROR(X62/H62,"0")+IFERROR(X63/H63,"0")+IFERROR(X64/H64,"0")+IFERROR(X65/H65,"0")</f>
        <v>8</v>
      </c>
      <c r="Y66" s="41">
        <f>IFERROR(Y62/H62,"0")+IFERROR(Y63/H63,"0")+IFERROR(Y64/H64,"0")+IFERROR(Y65/H65,"0")</f>
        <v>8</v>
      </c>
      <c r="Z66" s="41">
        <f>IFERROR(IF(Z62="",0,Z62),"0")+IFERROR(IF(Z63="",0,Z63),"0")+IFERROR(IF(Z64="",0,Z64),"0")+IFERROR(IF(Z65="",0,Z65),"0")</f>
        <v>0.15184</v>
      </c>
      <c r="AA66" s="64"/>
      <c r="AB66" s="64"/>
      <c r="AC66" s="64"/>
    </row>
    <row r="67" spans="1:68" x14ac:dyDescent="0.2">
      <c r="A67" s="630"/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1"/>
      <c r="P67" s="627" t="s">
        <v>40</v>
      </c>
      <c r="Q67" s="628"/>
      <c r="R67" s="628"/>
      <c r="S67" s="628"/>
      <c r="T67" s="628"/>
      <c r="U67" s="628"/>
      <c r="V67" s="629"/>
      <c r="W67" s="40" t="s">
        <v>0</v>
      </c>
      <c r="X67" s="41">
        <f>IFERROR(SUM(X62:X65),"0")</f>
        <v>86.4</v>
      </c>
      <c r="Y67" s="41">
        <f>IFERROR(SUM(Y62:Y65),"0")</f>
        <v>86.4</v>
      </c>
      <c r="Z67" s="40"/>
      <c r="AA67" s="64"/>
      <c r="AB67" s="64"/>
      <c r="AC67" s="64"/>
    </row>
    <row r="68" spans="1:68" ht="14.25" hidden="1" customHeight="1" x14ac:dyDescent="0.25">
      <c r="A68" s="621" t="s">
        <v>76</v>
      </c>
      <c r="B68" s="621"/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1"/>
      <c r="W68" s="621"/>
      <c r="X68" s="621"/>
      <c r="Y68" s="621"/>
      <c r="Z68" s="621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2">
        <v>4680115885097</v>
      </c>
      <c r="E69" s="622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4"/>
      <c r="R69" s="624"/>
      <c r="S69" s="624"/>
      <c r="T69" s="625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30"/>
      <c r="B71" s="630"/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1"/>
      <c r="P71" s="627" t="s">
        <v>40</v>
      </c>
      <c r="Q71" s="628"/>
      <c r="R71" s="628"/>
      <c r="S71" s="628"/>
      <c r="T71" s="628"/>
      <c r="U71" s="628"/>
      <c r="V71" s="629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21" t="s">
        <v>86</v>
      </c>
      <c r="B72" s="621"/>
      <c r="C72" s="621"/>
      <c r="D72" s="621"/>
      <c r="E72" s="621"/>
      <c r="F72" s="621"/>
      <c r="G72" s="621"/>
      <c r="H72" s="621"/>
      <c r="I72" s="621"/>
      <c r="J72" s="621"/>
      <c r="K72" s="621"/>
      <c r="L72" s="621"/>
      <c r="M72" s="621"/>
      <c r="N72" s="621"/>
      <c r="O72" s="621"/>
      <c r="P72" s="621"/>
      <c r="Q72" s="621"/>
      <c r="R72" s="621"/>
      <c r="S72" s="621"/>
      <c r="T72" s="621"/>
      <c r="U72" s="621"/>
      <c r="V72" s="621"/>
      <c r="W72" s="621"/>
      <c r="X72" s="621"/>
      <c r="Y72" s="621"/>
      <c r="Z72" s="621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2">
        <v>4680115885769</v>
      </c>
      <c r="E73" s="622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4"/>
      <c r="R73" s="624"/>
      <c r="S73" s="624"/>
      <c r="T73" s="625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2">
        <v>4680115884311</v>
      </c>
      <c r="E74" s="62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4"/>
      <c r="R74" s="624"/>
      <c r="S74" s="624"/>
      <c r="T74" s="625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2">
        <v>4680115885929</v>
      </c>
      <c r="E75" s="62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4"/>
      <c r="R75" s="624"/>
      <c r="S75" s="624"/>
      <c r="T75" s="625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2">
        <v>4680115884403</v>
      </c>
      <c r="E76" s="62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4"/>
      <c r="R76" s="624"/>
      <c r="S76" s="624"/>
      <c r="T76" s="625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30"/>
      <c r="B78" s="630"/>
      <c r="C78" s="630"/>
      <c r="D78" s="630"/>
      <c r="E78" s="630"/>
      <c r="F78" s="630"/>
      <c r="G78" s="630"/>
      <c r="H78" s="630"/>
      <c r="I78" s="630"/>
      <c r="J78" s="630"/>
      <c r="K78" s="630"/>
      <c r="L78" s="630"/>
      <c r="M78" s="630"/>
      <c r="N78" s="630"/>
      <c r="O78" s="631"/>
      <c r="P78" s="627" t="s">
        <v>40</v>
      </c>
      <c r="Q78" s="628"/>
      <c r="R78" s="628"/>
      <c r="S78" s="628"/>
      <c r="T78" s="628"/>
      <c r="U78" s="628"/>
      <c r="V78" s="629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21" t="s">
        <v>173</v>
      </c>
      <c r="B79" s="621"/>
      <c r="C79" s="621"/>
      <c r="D79" s="621"/>
      <c r="E79" s="621"/>
      <c r="F79" s="621"/>
      <c r="G79" s="621"/>
      <c r="H79" s="621"/>
      <c r="I79" s="621"/>
      <c r="J79" s="621"/>
      <c r="K79" s="621"/>
      <c r="L79" s="621"/>
      <c r="M79" s="621"/>
      <c r="N79" s="621"/>
      <c r="O79" s="621"/>
      <c r="P79" s="621"/>
      <c r="Q79" s="621"/>
      <c r="R79" s="621"/>
      <c r="S79" s="621"/>
      <c r="T79" s="621"/>
      <c r="U79" s="621"/>
      <c r="V79" s="621"/>
      <c r="W79" s="621"/>
      <c r="X79" s="621"/>
      <c r="Y79" s="621"/>
      <c r="Z79" s="621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622">
        <v>4680115881532</v>
      </c>
      <c r="E80" s="622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4"/>
      <c r="R80" s="624"/>
      <c r="S80" s="624"/>
      <c r="T80" s="625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2">
        <v>4680115881464</v>
      </c>
      <c r="E81" s="622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4"/>
      <c r="R81" s="624"/>
      <c r="S81" s="624"/>
      <c r="T81" s="62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30"/>
      <c r="B83" s="630"/>
      <c r="C83" s="630"/>
      <c r="D83" s="630"/>
      <c r="E83" s="630"/>
      <c r="F83" s="630"/>
      <c r="G83" s="630"/>
      <c r="H83" s="630"/>
      <c r="I83" s="630"/>
      <c r="J83" s="630"/>
      <c r="K83" s="630"/>
      <c r="L83" s="630"/>
      <c r="M83" s="630"/>
      <c r="N83" s="630"/>
      <c r="O83" s="631"/>
      <c r="P83" s="627" t="s">
        <v>40</v>
      </c>
      <c r="Q83" s="628"/>
      <c r="R83" s="628"/>
      <c r="S83" s="628"/>
      <c r="T83" s="628"/>
      <c r="U83" s="628"/>
      <c r="V83" s="62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620" t="s">
        <v>180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2"/>
      <c r="AB84" s="62"/>
      <c r="AC84" s="62"/>
    </row>
    <row r="85" spans="1:68" ht="14.25" hidden="1" customHeight="1" x14ac:dyDescent="0.25">
      <c r="A85" s="621" t="s">
        <v>114</v>
      </c>
      <c r="B85" s="621"/>
      <c r="C85" s="621"/>
      <c r="D85" s="621"/>
      <c r="E85" s="621"/>
      <c r="F85" s="621"/>
      <c r="G85" s="621"/>
      <c r="H85" s="621"/>
      <c r="I85" s="621"/>
      <c r="J85" s="621"/>
      <c r="K85" s="621"/>
      <c r="L85" s="621"/>
      <c r="M85" s="621"/>
      <c r="N85" s="621"/>
      <c r="O85" s="621"/>
      <c r="P85" s="621"/>
      <c r="Q85" s="621"/>
      <c r="R85" s="621"/>
      <c r="S85" s="621"/>
      <c r="T85" s="621"/>
      <c r="U85" s="621"/>
      <c r="V85" s="621"/>
      <c r="W85" s="621"/>
      <c r="X85" s="621"/>
      <c r="Y85" s="621"/>
      <c r="Z85" s="621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2">
        <v>4680115881327</v>
      </c>
      <c r="E86" s="622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4"/>
      <c r="R86" s="624"/>
      <c r="S86" s="624"/>
      <c r="T86" s="625"/>
      <c r="U86" s="37" t="s">
        <v>45</v>
      </c>
      <c r="V86" s="37" t="s">
        <v>45</v>
      </c>
      <c r="W86" s="38" t="s">
        <v>0</v>
      </c>
      <c r="X86" s="56">
        <v>172.8</v>
      </c>
      <c r="Y86" s="53">
        <f>IFERROR(IF(X86="",0,CEILING((X86/$H86),1)*$H86),"")</f>
        <v>172.8</v>
      </c>
      <c r="Z86" s="39">
        <f>IFERROR(IF(Y86=0,"",ROUNDUP(Y86/H86,0)*0.01898),"")</f>
        <v>0.30368000000000001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179.36</v>
      </c>
      <c r="BN86" s="75">
        <f>IFERROR(Y86*I86/H86,"0")</f>
        <v>179.36</v>
      </c>
      <c r="BO86" s="75">
        <f>IFERROR(1/J86*(X86/H86),"0")</f>
        <v>0.25</v>
      </c>
      <c r="BP86" s="75">
        <f>IFERROR(1/J86*(Y86/H86),"0")</f>
        <v>0.25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2">
        <v>4680115887732</v>
      </c>
      <c r="E87" s="622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4"/>
      <c r="R87" s="624"/>
      <c r="S87" s="624"/>
      <c r="T87" s="625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2">
        <v>4680115881518</v>
      </c>
      <c r="E88" s="622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4"/>
      <c r="R88" s="624"/>
      <c r="S88" s="624"/>
      <c r="T88" s="62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2">
        <v>4680115881303</v>
      </c>
      <c r="E89" s="622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4"/>
      <c r="R89" s="624"/>
      <c r="S89" s="624"/>
      <c r="T89" s="625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30"/>
      <c r="B90" s="630"/>
      <c r="C90" s="630"/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1"/>
      <c r="P90" s="627" t="s">
        <v>40</v>
      </c>
      <c r="Q90" s="628"/>
      <c r="R90" s="628"/>
      <c r="S90" s="628"/>
      <c r="T90" s="628"/>
      <c r="U90" s="628"/>
      <c r="V90" s="629"/>
      <c r="W90" s="40" t="s">
        <v>39</v>
      </c>
      <c r="X90" s="41">
        <f>IFERROR(X86/H86,"0")+IFERROR(X87/H87,"0")+IFERROR(X88/H88,"0")+IFERROR(X89/H89,"0")</f>
        <v>16</v>
      </c>
      <c r="Y90" s="41">
        <f>IFERROR(Y86/H86,"0")+IFERROR(Y87/H87,"0")+IFERROR(Y88/H88,"0")+IFERROR(Y89/H89,"0")</f>
        <v>16</v>
      </c>
      <c r="Z90" s="41">
        <f>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630"/>
      <c r="B91" s="630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1"/>
      <c r="P91" s="627" t="s">
        <v>40</v>
      </c>
      <c r="Q91" s="628"/>
      <c r="R91" s="628"/>
      <c r="S91" s="628"/>
      <c r="T91" s="628"/>
      <c r="U91" s="628"/>
      <c r="V91" s="629"/>
      <c r="W91" s="40" t="s">
        <v>0</v>
      </c>
      <c r="X91" s="41">
        <f>IFERROR(SUM(X86:X89),"0")</f>
        <v>172.8</v>
      </c>
      <c r="Y91" s="41">
        <f>IFERROR(SUM(Y86:Y89),"0")</f>
        <v>172.8</v>
      </c>
      <c r="Z91" s="40"/>
      <c r="AA91" s="64"/>
      <c r="AB91" s="64"/>
      <c r="AC91" s="64"/>
    </row>
    <row r="92" spans="1:68" ht="14.25" hidden="1" customHeight="1" x14ac:dyDescent="0.25">
      <c r="A92" s="621" t="s">
        <v>86</v>
      </c>
      <c r="B92" s="621"/>
      <c r="C92" s="621"/>
      <c r="D92" s="621"/>
      <c r="E92" s="621"/>
      <c r="F92" s="621"/>
      <c r="G92" s="621"/>
      <c r="H92" s="621"/>
      <c r="I92" s="621"/>
      <c r="J92" s="621"/>
      <c r="K92" s="621"/>
      <c r="L92" s="621"/>
      <c r="M92" s="621"/>
      <c r="N92" s="621"/>
      <c r="O92" s="621"/>
      <c r="P92" s="621"/>
      <c r="Q92" s="621"/>
      <c r="R92" s="621"/>
      <c r="S92" s="621"/>
      <c r="T92" s="621"/>
      <c r="U92" s="621"/>
      <c r="V92" s="621"/>
      <c r="W92" s="621"/>
      <c r="X92" s="621"/>
      <c r="Y92" s="621"/>
      <c r="Z92" s="621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2">
        <v>4607091386967</v>
      </c>
      <c r="E93" s="622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4"/>
      <c r="R93" s="624"/>
      <c r="S93" s="624"/>
      <c r="T93" s="625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2">
        <v>4680115884953</v>
      </c>
      <c r="E94" s="622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2">
        <v>4607091385731</v>
      </c>
      <c r="E95" s="622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4"/>
      <c r="R95" s="624"/>
      <c r="S95" s="624"/>
      <c r="T95" s="625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2">
        <v>4680115880894</v>
      </c>
      <c r="E96" s="622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4"/>
      <c r="R96" s="624"/>
      <c r="S96" s="624"/>
      <c r="T96" s="625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30"/>
      <c r="B97" s="630"/>
      <c r="C97" s="630"/>
      <c r="D97" s="630"/>
      <c r="E97" s="630"/>
      <c r="F97" s="630"/>
      <c r="G97" s="630"/>
      <c r="H97" s="630"/>
      <c r="I97" s="630"/>
      <c r="J97" s="630"/>
      <c r="K97" s="630"/>
      <c r="L97" s="630"/>
      <c r="M97" s="630"/>
      <c r="N97" s="630"/>
      <c r="O97" s="631"/>
      <c r="P97" s="627" t="s">
        <v>40</v>
      </c>
      <c r="Q97" s="628"/>
      <c r="R97" s="628"/>
      <c r="S97" s="628"/>
      <c r="T97" s="628"/>
      <c r="U97" s="628"/>
      <c r="V97" s="629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630"/>
      <c r="B98" s="630"/>
      <c r="C98" s="630"/>
      <c r="D98" s="630"/>
      <c r="E98" s="630"/>
      <c r="F98" s="630"/>
      <c r="G98" s="630"/>
      <c r="H98" s="630"/>
      <c r="I98" s="630"/>
      <c r="J98" s="630"/>
      <c r="K98" s="630"/>
      <c r="L98" s="630"/>
      <c r="M98" s="630"/>
      <c r="N98" s="630"/>
      <c r="O98" s="631"/>
      <c r="P98" s="627" t="s">
        <v>40</v>
      </c>
      <c r="Q98" s="628"/>
      <c r="R98" s="628"/>
      <c r="S98" s="628"/>
      <c r="T98" s="628"/>
      <c r="U98" s="628"/>
      <c r="V98" s="629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hidden="1" customHeight="1" x14ac:dyDescent="0.25">
      <c r="A99" s="620" t="s">
        <v>201</v>
      </c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"/>
      <c r="AB99" s="62"/>
      <c r="AC99" s="62"/>
    </row>
    <row r="100" spans="1:68" ht="14.25" hidden="1" customHeight="1" x14ac:dyDescent="0.25">
      <c r="A100" s="621" t="s">
        <v>114</v>
      </c>
      <c r="B100" s="621"/>
      <c r="C100" s="621"/>
      <c r="D100" s="621"/>
      <c r="E100" s="621"/>
      <c r="F100" s="621"/>
      <c r="G100" s="621"/>
      <c r="H100" s="621"/>
      <c r="I100" s="621"/>
      <c r="J100" s="621"/>
      <c r="K100" s="621"/>
      <c r="L100" s="621"/>
      <c r="M100" s="621"/>
      <c r="N100" s="621"/>
      <c r="O100" s="621"/>
      <c r="P100" s="621"/>
      <c r="Q100" s="621"/>
      <c r="R100" s="621"/>
      <c r="S100" s="621"/>
      <c r="T100" s="621"/>
      <c r="U100" s="621"/>
      <c r="V100" s="621"/>
      <c r="W100" s="621"/>
      <c r="X100" s="621"/>
      <c r="Y100" s="621"/>
      <c r="Z100" s="621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2">
        <v>4680115882133</v>
      </c>
      <c r="E101" s="622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2">
        <v>4680115887718</v>
      </c>
      <c r="E102" s="622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4"/>
      <c r="R102" s="624"/>
      <c r="S102" s="624"/>
      <c r="T102" s="625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2">
        <v>4680115880269</v>
      </c>
      <c r="E103" s="62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4"/>
      <c r="R103" s="624"/>
      <c r="S103" s="624"/>
      <c r="T103" s="625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2">
        <v>4680115880429</v>
      </c>
      <c r="E104" s="62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7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4"/>
      <c r="R104" s="624"/>
      <c r="S104" s="624"/>
      <c r="T104" s="625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2">
        <v>4680115881457</v>
      </c>
      <c r="E105" s="62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4"/>
      <c r="R105" s="624"/>
      <c r="S105" s="624"/>
      <c r="T105" s="625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30"/>
      <c r="B106" s="630"/>
      <c r="C106" s="630"/>
      <c r="D106" s="630"/>
      <c r="E106" s="630"/>
      <c r="F106" s="630"/>
      <c r="G106" s="630"/>
      <c r="H106" s="630"/>
      <c r="I106" s="630"/>
      <c r="J106" s="630"/>
      <c r="K106" s="630"/>
      <c r="L106" s="630"/>
      <c r="M106" s="630"/>
      <c r="N106" s="630"/>
      <c r="O106" s="631"/>
      <c r="P106" s="627" t="s">
        <v>40</v>
      </c>
      <c r="Q106" s="628"/>
      <c r="R106" s="628"/>
      <c r="S106" s="628"/>
      <c r="T106" s="628"/>
      <c r="U106" s="628"/>
      <c r="V106" s="629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630"/>
      <c r="B107" s="630"/>
      <c r="C107" s="630"/>
      <c r="D107" s="630"/>
      <c r="E107" s="630"/>
      <c r="F107" s="630"/>
      <c r="G107" s="630"/>
      <c r="H107" s="630"/>
      <c r="I107" s="630"/>
      <c r="J107" s="630"/>
      <c r="K107" s="630"/>
      <c r="L107" s="630"/>
      <c r="M107" s="630"/>
      <c r="N107" s="630"/>
      <c r="O107" s="631"/>
      <c r="P107" s="627" t="s">
        <v>40</v>
      </c>
      <c r="Q107" s="628"/>
      <c r="R107" s="628"/>
      <c r="S107" s="628"/>
      <c r="T107" s="628"/>
      <c r="U107" s="628"/>
      <c r="V107" s="629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hidden="1" customHeight="1" x14ac:dyDescent="0.25">
      <c r="A108" s="621" t="s">
        <v>147</v>
      </c>
      <c r="B108" s="621"/>
      <c r="C108" s="621"/>
      <c r="D108" s="621"/>
      <c r="E108" s="621"/>
      <c r="F108" s="621"/>
      <c r="G108" s="621"/>
      <c r="H108" s="621"/>
      <c r="I108" s="621"/>
      <c r="J108" s="621"/>
      <c r="K108" s="621"/>
      <c r="L108" s="621"/>
      <c r="M108" s="621"/>
      <c r="N108" s="621"/>
      <c r="O108" s="621"/>
      <c r="P108" s="621"/>
      <c r="Q108" s="621"/>
      <c r="R108" s="621"/>
      <c r="S108" s="621"/>
      <c r="T108" s="621"/>
      <c r="U108" s="621"/>
      <c r="V108" s="621"/>
      <c r="W108" s="621"/>
      <c r="X108" s="621"/>
      <c r="Y108" s="621"/>
      <c r="Z108" s="621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2">
        <v>4680115881488</v>
      </c>
      <c r="E109" s="62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4"/>
      <c r="R109" s="624"/>
      <c r="S109" s="624"/>
      <c r="T109" s="62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2">
        <v>4680115887664</v>
      </c>
      <c r="E110" s="62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4"/>
      <c r="R110" s="624"/>
      <c r="S110" s="624"/>
      <c r="T110" s="625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2">
        <v>4680115882775</v>
      </c>
      <c r="E111" s="622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4"/>
      <c r="R111" s="624"/>
      <c r="S111" s="624"/>
      <c r="T111" s="625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2">
        <v>4680115880658</v>
      </c>
      <c r="E112" s="622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4"/>
      <c r="R112" s="624"/>
      <c r="S112" s="624"/>
      <c r="T112" s="625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30"/>
      <c r="B113" s="630"/>
      <c r="C113" s="630"/>
      <c r="D113" s="630"/>
      <c r="E113" s="630"/>
      <c r="F113" s="630"/>
      <c r="G113" s="630"/>
      <c r="H113" s="630"/>
      <c r="I113" s="630"/>
      <c r="J113" s="630"/>
      <c r="K113" s="630"/>
      <c r="L113" s="630"/>
      <c r="M113" s="630"/>
      <c r="N113" s="630"/>
      <c r="O113" s="631"/>
      <c r="P113" s="627" t="s">
        <v>40</v>
      </c>
      <c r="Q113" s="628"/>
      <c r="R113" s="628"/>
      <c r="S113" s="628"/>
      <c r="T113" s="628"/>
      <c r="U113" s="628"/>
      <c r="V113" s="629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30"/>
      <c r="B114" s="630"/>
      <c r="C114" s="630"/>
      <c r="D114" s="630"/>
      <c r="E114" s="630"/>
      <c r="F114" s="630"/>
      <c r="G114" s="630"/>
      <c r="H114" s="630"/>
      <c r="I114" s="630"/>
      <c r="J114" s="630"/>
      <c r="K114" s="630"/>
      <c r="L114" s="630"/>
      <c r="M114" s="630"/>
      <c r="N114" s="630"/>
      <c r="O114" s="631"/>
      <c r="P114" s="627" t="s">
        <v>40</v>
      </c>
      <c r="Q114" s="628"/>
      <c r="R114" s="628"/>
      <c r="S114" s="628"/>
      <c r="T114" s="628"/>
      <c r="U114" s="628"/>
      <c r="V114" s="629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21" t="s">
        <v>86</v>
      </c>
      <c r="B115" s="621"/>
      <c r="C115" s="621"/>
      <c r="D115" s="621"/>
      <c r="E115" s="621"/>
      <c r="F115" s="621"/>
      <c r="G115" s="621"/>
      <c r="H115" s="621"/>
      <c r="I115" s="621"/>
      <c r="J115" s="621"/>
      <c r="K115" s="621"/>
      <c r="L115" s="621"/>
      <c r="M115" s="621"/>
      <c r="N115" s="621"/>
      <c r="O115" s="621"/>
      <c r="P115" s="621"/>
      <c r="Q115" s="621"/>
      <c r="R115" s="621"/>
      <c r="S115" s="621"/>
      <c r="T115" s="621"/>
      <c r="U115" s="621"/>
      <c r="V115" s="621"/>
      <c r="W115" s="621"/>
      <c r="X115" s="621"/>
      <c r="Y115" s="621"/>
      <c r="Z115" s="621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2">
        <v>4607091385168</v>
      </c>
      <c r="E116" s="622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4"/>
      <c r="R116" s="624"/>
      <c r="S116" s="624"/>
      <c r="T116" s="625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2">
        <v>4607091383256</v>
      </c>
      <c r="E117" s="622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4"/>
      <c r="R117" s="624"/>
      <c r="S117" s="624"/>
      <c r="T117" s="625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2">
        <v>4607091385748</v>
      </c>
      <c r="E118" s="622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4"/>
      <c r="R118" s="624"/>
      <c r="S118" s="624"/>
      <c r="T118" s="625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2">
        <v>4680115884533</v>
      </c>
      <c r="E119" s="622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4"/>
      <c r="R119" s="624"/>
      <c r="S119" s="624"/>
      <c r="T119" s="625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hidden="1" customHeight="1" x14ac:dyDescent="0.25">
      <c r="A122" s="621" t="s">
        <v>173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2">
        <v>4680115880238</v>
      </c>
      <c r="E123" s="622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4"/>
      <c r="R123" s="624"/>
      <c r="S123" s="624"/>
      <c r="T123" s="625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0"/>
      <c r="B124" s="630"/>
      <c r="C124" s="630"/>
      <c r="D124" s="630"/>
      <c r="E124" s="630"/>
      <c r="F124" s="630"/>
      <c r="G124" s="630"/>
      <c r="H124" s="630"/>
      <c r="I124" s="630"/>
      <c r="J124" s="630"/>
      <c r="K124" s="630"/>
      <c r="L124" s="630"/>
      <c r="M124" s="630"/>
      <c r="N124" s="630"/>
      <c r="O124" s="631"/>
      <c r="P124" s="627" t="s">
        <v>40</v>
      </c>
      <c r="Q124" s="628"/>
      <c r="R124" s="628"/>
      <c r="S124" s="628"/>
      <c r="T124" s="628"/>
      <c r="U124" s="628"/>
      <c r="V124" s="629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30"/>
      <c r="B125" s="630"/>
      <c r="C125" s="630"/>
      <c r="D125" s="630"/>
      <c r="E125" s="630"/>
      <c r="F125" s="630"/>
      <c r="G125" s="630"/>
      <c r="H125" s="630"/>
      <c r="I125" s="630"/>
      <c r="J125" s="630"/>
      <c r="K125" s="630"/>
      <c r="L125" s="630"/>
      <c r="M125" s="630"/>
      <c r="N125" s="630"/>
      <c r="O125" s="631"/>
      <c r="P125" s="627" t="s">
        <v>40</v>
      </c>
      <c r="Q125" s="628"/>
      <c r="R125" s="628"/>
      <c r="S125" s="628"/>
      <c r="T125" s="628"/>
      <c r="U125" s="628"/>
      <c r="V125" s="629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20" t="s">
        <v>238</v>
      </c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"/>
      <c r="AB126" s="62"/>
      <c r="AC126" s="62"/>
    </row>
    <row r="127" spans="1:68" ht="14.25" hidden="1" customHeight="1" x14ac:dyDescent="0.25">
      <c r="A127" s="621" t="s">
        <v>114</v>
      </c>
      <c r="B127" s="621"/>
      <c r="C127" s="621"/>
      <c r="D127" s="621"/>
      <c r="E127" s="621"/>
      <c r="F127" s="621"/>
      <c r="G127" s="621"/>
      <c r="H127" s="621"/>
      <c r="I127" s="621"/>
      <c r="J127" s="621"/>
      <c r="K127" s="621"/>
      <c r="L127" s="621"/>
      <c r="M127" s="621"/>
      <c r="N127" s="621"/>
      <c r="O127" s="621"/>
      <c r="P127" s="621"/>
      <c r="Q127" s="621"/>
      <c r="R127" s="621"/>
      <c r="S127" s="621"/>
      <c r="T127" s="621"/>
      <c r="U127" s="621"/>
      <c r="V127" s="621"/>
      <c r="W127" s="621"/>
      <c r="X127" s="621"/>
      <c r="Y127" s="621"/>
      <c r="Z127" s="621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2">
        <v>4680115882577</v>
      </c>
      <c r="E128" s="622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4"/>
      <c r="R128" s="624"/>
      <c r="S128" s="624"/>
      <c r="T128" s="625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2">
        <v>4680115882577</v>
      </c>
      <c r="E129" s="622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4"/>
      <c r="R129" s="624"/>
      <c r="S129" s="624"/>
      <c r="T129" s="62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30"/>
      <c r="B130" s="630"/>
      <c r="C130" s="630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1"/>
      <c r="P130" s="627" t="s">
        <v>40</v>
      </c>
      <c r="Q130" s="628"/>
      <c r="R130" s="628"/>
      <c r="S130" s="628"/>
      <c r="T130" s="628"/>
      <c r="U130" s="628"/>
      <c r="V130" s="629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21" t="s">
        <v>76</v>
      </c>
      <c r="B132" s="621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1"/>
      <c r="N132" s="621"/>
      <c r="O132" s="621"/>
      <c r="P132" s="621"/>
      <c r="Q132" s="621"/>
      <c r="R132" s="621"/>
      <c r="S132" s="621"/>
      <c r="T132" s="621"/>
      <c r="U132" s="621"/>
      <c r="V132" s="621"/>
      <c r="W132" s="621"/>
      <c r="X132" s="621"/>
      <c r="Y132" s="621"/>
      <c r="Z132" s="621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2">
        <v>4680115883444</v>
      </c>
      <c r="E133" s="622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4"/>
      <c r="R133" s="624"/>
      <c r="S133" s="624"/>
      <c r="T133" s="625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2">
        <v>4680115883444</v>
      </c>
      <c r="E134" s="622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4"/>
      <c r="R134" s="624"/>
      <c r="S134" s="624"/>
      <c r="T134" s="625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30"/>
      <c r="B135" s="630"/>
      <c r="C135" s="630"/>
      <c r="D135" s="630"/>
      <c r="E135" s="630"/>
      <c r="F135" s="630"/>
      <c r="G135" s="630"/>
      <c r="H135" s="630"/>
      <c r="I135" s="630"/>
      <c r="J135" s="630"/>
      <c r="K135" s="630"/>
      <c r="L135" s="630"/>
      <c r="M135" s="630"/>
      <c r="N135" s="630"/>
      <c r="O135" s="631"/>
      <c r="P135" s="627" t="s">
        <v>40</v>
      </c>
      <c r="Q135" s="628"/>
      <c r="R135" s="628"/>
      <c r="S135" s="628"/>
      <c r="T135" s="628"/>
      <c r="U135" s="628"/>
      <c r="V135" s="629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21" t="s">
        <v>86</v>
      </c>
      <c r="B137" s="621"/>
      <c r="C137" s="621"/>
      <c r="D137" s="621"/>
      <c r="E137" s="621"/>
      <c r="F137" s="621"/>
      <c r="G137" s="621"/>
      <c r="H137" s="621"/>
      <c r="I137" s="621"/>
      <c r="J137" s="621"/>
      <c r="K137" s="621"/>
      <c r="L137" s="621"/>
      <c r="M137" s="621"/>
      <c r="N137" s="621"/>
      <c r="O137" s="621"/>
      <c r="P137" s="621"/>
      <c r="Q137" s="621"/>
      <c r="R137" s="621"/>
      <c r="S137" s="621"/>
      <c r="T137" s="621"/>
      <c r="U137" s="621"/>
      <c r="V137" s="621"/>
      <c r="W137" s="621"/>
      <c r="X137" s="621"/>
      <c r="Y137" s="621"/>
      <c r="Z137" s="621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2">
        <v>4680115882584</v>
      </c>
      <c r="E138" s="622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4"/>
      <c r="R138" s="624"/>
      <c r="S138" s="624"/>
      <c r="T138" s="625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2">
        <v>4680115882584</v>
      </c>
      <c r="E139" s="622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4"/>
      <c r="R139" s="624"/>
      <c r="S139" s="624"/>
      <c r="T139" s="625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30"/>
      <c r="B140" s="630"/>
      <c r="C140" s="630"/>
      <c r="D140" s="630"/>
      <c r="E140" s="630"/>
      <c r="F140" s="630"/>
      <c r="G140" s="630"/>
      <c r="H140" s="630"/>
      <c r="I140" s="630"/>
      <c r="J140" s="630"/>
      <c r="K140" s="630"/>
      <c r="L140" s="630"/>
      <c r="M140" s="630"/>
      <c r="N140" s="630"/>
      <c r="O140" s="631"/>
      <c r="P140" s="627" t="s">
        <v>40</v>
      </c>
      <c r="Q140" s="628"/>
      <c r="R140" s="628"/>
      <c r="S140" s="628"/>
      <c r="T140" s="628"/>
      <c r="U140" s="628"/>
      <c r="V140" s="629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30"/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1"/>
      <c r="P141" s="627" t="s">
        <v>40</v>
      </c>
      <c r="Q141" s="628"/>
      <c r="R141" s="628"/>
      <c r="S141" s="628"/>
      <c r="T141" s="628"/>
      <c r="U141" s="628"/>
      <c r="V141" s="629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20" t="s">
        <v>112</v>
      </c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0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"/>
      <c r="AB142" s="62"/>
      <c r="AC142" s="62"/>
    </row>
    <row r="143" spans="1:68" ht="14.25" hidden="1" customHeight="1" x14ac:dyDescent="0.25">
      <c r="A143" s="621" t="s">
        <v>114</v>
      </c>
      <c r="B143" s="621"/>
      <c r="C143" s="621"/>
      <c r="D143" s="621"/>
      <c r="E143" s="621"/>
      <c r="F143" s="621"/>
      <c r="G143" s="621"/>
      <c r="H143" s="621"/>
      <c r="I143" s="621"/>
      <c r="J143" s="621"/>
      <c r="K143" s="621"/>
      <c r="L143" s="621"/>
      <c r="M143" s="621"/>
      <c r="N143" s="621"/>
      <c r="O143" s="621"/>
      <c r="P143" s="621"/>
      <c r="Q143" s="621"/>
      <c r="R143" s="621"/>
      <c r="S143" s="621"/>
      <c r="T143" s="621"/>
      <c r="U143" s="621"/>
      <c r="V143" s="621"/>
      <c r="W143" s="621"/>
      <c r="X143" s="621"/>
      <c r="Y143" s="621"/>
      <c r="Z143" s="621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2">
        <v>4680115887374</v>
      </c>
      <c r="E144" s="622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4"/>
      <c r="R144" s="624"/>
      <c r="S144" s="624"/>
      <c r="T144" s="625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2">
        <v>4607091384604</v>
      </c>
      <c r="E145" s="622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4"/>
      <c r="R145" s="624"/>
      <c r="S145" s="624"/>
      <c r="T145" s="62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30"/>
      <c r="B146" s="630"/>
      <c r="C146" s="630"/>
      <c r="D146" s="630"/>
      <c r="E146" s="630"/>
      <c r="F146" s="630"/>
      <c r="G146" s="630"/>
      <c r="H146" s="630"/>
      <c r="I146" s="630"/>
      <c r="J146" s="630"/>
      <c r="K146" s="630"/>
      <c r="L146" s="630"/>
      <c r="M146" s="630"/>
      <c r="N146" s="630"/>
      <c r="O146" s="631"/>
      <c r="P146" s="627" t="s">
        <v>40</v>
      </c>
      <c r="Q146" s="628"/>
      <c r="R146" s="628"/>
      <c r="S146" s="628"/>
      <c r="T146" s="628"/>
      <c r="U146" s="628"/>
      <c r="V146" s="629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30"/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1"/>
      <c r="P147" s="627" t="s">
        <v>40</v>
      </c>
      <c r="Q147" s="628"/>
      <c r="R147" s="628"/>
      <c r="S147" s="628"/>
      <c r="T147" s="628"/>
      <c r="U147" s="628"/>
      <c r="V147" s="629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21" t="s">
        <v>76</v>
      </c>
      <c r="B148" s="621"/>
      <c r="C148" s="621"/>
      <c r="D148" s="621"/>
      <c r="E148" s="621"/>
      <c r="F148" s="621"/>
      <c r="G148" s="621"/>
      <c r="H148" s="621"/>
      <c r="I148" s="621"/>
      <c r="J148" s="621"/>
      <c r="K148" s="621"/>
      <c r="L148" s="621"/>
      <c r="M148" s="621"/>
      <c r="N148" s="621"/>
      <c r="O148" s="621"/>
      <c r="P148" s="621"/>
      <c r="Q148" s="621"/>
      <c r="R148" s="621"/>
      <c r="S148" s="621"/>
      <c r="T148" s="621"/>
      <c r="U148" s="621"/>
      <c r="V148" s="621"/>
      <c r="W148" s="621"/>
      <c r="X148" s="621"/>
      <c r="Y148" s="621"/>
      <c r="Z148" s="621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2">
        <v>4680115887428</v>
      </c>
      <c r="E149" s="622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9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4"/>
      <c r="R149" s="624"/>
      <c r="S149" s="624"/>
      <c r="T149" s="625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2">
        <v>4680115887336</v>
      </c>
      <c r="E150" s="622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9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4"/>
      <c r="R150" s="624"/>
      <c r="S150" s="624"/>
      <c r="T150" s="625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2">
        <v>4607091382426</v>
      </c>
      <c r="E151" s="622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4"/>
      <c r="R151" s="624"/>
      <c r="S151" s="624"/>
      <c r="T151" s="62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2">
        <v>4680115887398</v>
      </c>
      <c r="E152" s="622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4"/>
      <c r="R152" s="624"/>
      <c r="S152" s="624"/>
      <c r="T152" s="625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2">
        <v>4680115887763</v>
      </c>
      <c r="E153" s="622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4" t="s">
        <v>270</v>
      </c>
      <c r="Q153" s="624"/>
      <c r="R153" s="624"/>
      <c r="S153" s="624"/>
      <c r="T153" s="625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30"/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1"/>
      <c r="P155" s="627" t="s">
        <v>40</v>
      </c>
      <c r="Q155" s="628"/>
      <c r="R155" s="628"/>
      <c r="S155" s="628"/>
      <c r="T155" s="628"/>
      <c r="U155" s="628"/>
      <c r="V155" s="629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21" t="s">
        <v>86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2">
        <v>4680115887459</v>
      </c>
      <c r="E157" s="622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4"/>
      <c r="R157" s="624"/>
      <c r="S157" s="624"/>
      <c r="T157" s="625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9" t="s">
        <v>275</v>
      </c>
      <c r="B160" s="619"/>
      <c r="C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  <c r="N160" s="619"/>
      <c r="O160" s="619"/>
      <c r="P160" s="619"/>
      <c r="Q160" s="619"/>
      <c r="R160" s="619"/>
      <c r="S160" s="619"/>
      <c r="T160" s="619"/>
      <c r="U160" s="619"/>
      <c r="V160" s="619"/>
      <c r="W160" s="619"/>
      <c r="X160" s="619"/>
      <c r="Y160" s="619"/>
      <c r="Z160" s="619"/>
      <c r="AA160" s="52"/>
      <c r="AB160" s="52"/>
      <c r="AC160" s="52"/>
    </row>
    <row r="161" spans="1:68" ht="16.5" hidden="1" customHeight="1" x14ac:dyDescent="0.25">
      <c r="A161" s="620" t="s">
        <v>276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"/>
      <c r="AB161" s="62"/>
      <c r="AC161" s="62"/>
    </row>
    <row r="162" spans="1:68" ht="14.25" hidden="1" customHeight="1" x14ac:dyDescent="0.25">
      <c r="A162" s="621" t="s">
        <v>147</v>
      </c>
      <c r="B162" s="621"/>
      <c r="C162" s="621"/>
      <c r="D162" s="621"/>
      <c r="E162" s="621"/>
      <c r="F162" s="621"/>
      <c r="G162" s="621"/>
      <c r="H162" s="621"/>
      <c r="I162" s="621"/>
      <c r="J162" s="621"/>
      <c r="K162" s="621"/>
      <c r="L162" s="621"/>
      <c r="M162" s="621"/>
      <c r="N162" s="621"/>
      <c r="O162" s="621"/>
      <c r="P162" s="621"/>
      <c r="Q162" s="621"/>
      <c r="R162" s="621"/>
      <c r="S162" s="621"/>
      <c r="T162" s="621"/>
      <c r="U162" s="621"/>
      <c r="V162" s="621"/>
      <c r="W162" s="621"/>
      <c r="X162" s="621"/>
      <c r="Y162" s="621"/>
      <c r="Z162" s="621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2">
        <v>4680115886223</v>
      </c>
      <c r="E163" s="622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4"/>
      <c r="R163" s="624"/>
      <c r="S163" s="624"/>
      <c r="T163" s="625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30"/>
      <c r="B164" s="630"/>
      <c r="C164" s="630"/>
      <c r="D164" s="630"/>
      <c r="E164" s="630"/>
      <c r="F164" s="630"/>
      <c r="G164" s="630"/>
      <c r="H164" s="630"/>
      <c r="I164" s="630"/>
      <c r="J164" s="630"/>
      <c r="K164" s="630"/>
      <c r="L164" s="630"/>
      <c r="M164" s="630"/>
      <c r="N164" s="630"/>
      <c r="O164" s="631"/>
      <c r="P164" s="627" t="s">
        <v>40</v>
      </c>
      <c r="Q164" s="628"/>
      <c r="R164" s="628"/>
      <c r="S164" s="628"/>
      <c r="T164" s="628"/>
      <c r="U164" s="628"/>
      <c r="V164" s="629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30"/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1"/>
      <c r="P165" s="627" t="s">
        <v>40</v>
      </c>
      <c r="Q165" s="628"/>
      <c r="R165" s="628"/>
      <c r="S165" s="628"/>
      <c r="T165" s="628"/>
      <c r="U165" s="628"/>
      <c r="V165" s="629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21" t="s">
        <v>76</v>
      </c>
      <c r="B166" s="621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1"/>
      <c r="N166" s="621"/>
      <c r="O166" s="621"/>
      <c r="P166" s="621"/>
      <c r="Q166" s="621"/>
      <c r="R166" s="621"/>
      <c r="S166" s="621"/>
      <c r="T166" s="621"/>
      <c r="U166" s="621"/>
      <c r="V166" s="621"/>
      <c r="W166" s="621"/>
      <c r="X166" s="621"/>
      <c r="Y166" s="621"/>
      <c r="Z166" s="621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2">
        <v>4680115880993</v>
      </c>
      <c r="E167" s="622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4"/>
      <c r="R167" s="624"/>
      <c r="S167" s="624"/>
      <c r="T167" s="625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2">
        <v>4680115881761</v>
      </c>
      <c r="E168" s="622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4"/>
      <c r="R168" s="624"/>
      <c r="S168" s="624"/>
      <c r="T168" s="625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2">
        <v>4680115881563</v>
      </c>
      <c r="E169" s="622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4"/>
      <c r="R169" s="624"/>
      <c r="S169" s="624"/>
      <c r="T169" s="625"/>
      <c r="U169" s="37" t="s">
        <v>45</v>
      </c>
      <c r="V169" s="37" t="s">
        <v>45</v>
      </c>
      <c r="W169" s="38" t="s">
        <v>0</v>
      </c>
      <c r="X169" s="56">
        <v>50.4</v>
      </c>
      <c r="Y169" s="53">
        <f t="shared" si="11"/>
        <v>50.400000000000006</v>
      </c>
      <c r="Z169" s="39">
        <f>IFERROR(IF(Y169=0,"",ROUNDUP(Y169/H169,0)*0.00902),"")</f>
        <v>0.10824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52.679999999999993</v>
      </c>
      <c r="BN169" s="75">
        <f t="shared" si="13"/>
        <v>52.68</v>
      </c>
      <c r="BO169" s="75">
        <f t="shared" si="14"/>
        <v>9.0909090909090912E-2</v>
      </c>
      <c r="BP169" s="75">
        <f t="shared" si="15"/>
        <v>9.0909090909090912E-2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2">
        <v>4680115887565</v>
      </c>
      <c r="E170" s="622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4"/>
      <c r="R170" s="624"/>
      <c r="S170" s="624"/>
      <c r="T170" s="625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622">
        <v>4680115880986</v>
      </c>
      <c r="E171" s="622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4"/>
      <c r="R171" s="624"/>
      <c r="S171" s="624"/>
      <c r="T171" s="625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2">
        <v>4680115887213</v>
      </c>
      <c r="E172" s="622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4"/>
      <c r="R172" s="624"/>
      <c r="S172" s="624"/>
      <c r="T172" s="625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2">
        <v>4680115881785</v>
      </c>
      <c r="E173" s="622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4"/>
      <c r="R173" s="624"/>
      <c r="S173" s="624"/>
      <c r="T173" s="625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2">
        <v>4680115887824</v>
      </c>
      <c r="E174" s="622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4"/>
      <c r="R174" s="624"/>
      <c r="S174" s="624"/>
      <c r="T174" s="62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2">
        <v>4680115887701</v>
      </c>
      <c r="E175" s="622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4"/>
      <c r="R175" s="624"/>
      <c r="S175" s="624"/>
      <c r="T175" s="62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2">
        <v>4680115888104</v>
      </c>
      <c r="E176" s="622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6" t="s">
        <v>307</v>
      </c>
      <c r="Q176" s="624"/>
      <c r="R176" s="624"/>
      <c r="S176" s="624"/>
      <c r="T176" s="62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2">
        <v>4680115886537</v>
      </c>
      <c r="E177" s="622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4"/>
      <c r="R177" s="624"/>
      <c r="S177" s="624"/>
      <c r="T177" s="62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2">
        <v>4680115887596</v>
      </c>
      <c r="E178" s="622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4"/>
      <c r="R178" s="624"/>
      <c r="S178" s="624"/>
      <c r="T178" s="62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2">
        <v>4680115881679</v>
      </c>
      <c r="E179" s="622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4"/>
      <c r="R179" s="624"/>
      <c r="S179" s="624"/>
      <c r="T179" s="625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2">
        <v>4680115880191</v>
      </c>
      <c r="E180" s="622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4"/>
      <c r="R180" s="624"/>
      <c r="S180" s="624"/>
      <c r="T180" s="625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2">
        <v>4680115883963</v>
      </c>
      <c r="E181" s="622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4"/>
      <c r="R181" s="624"/>
      <c r="S181" s="624"/>
      <c r="T181" s="625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42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42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0.30684</v>
      </c>
      <c r="AA182" s="64"/>
      <c r="AB182" s="64"/>
      <c r="AC182" s="64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0" t="s">
        <v>0</v>
      </c>
      <c r="X183" s="41">
        <f>IFERROR(SUM(X167:X181),"0")</f>
        <v>138.6</v>
      </c>
      <c r="Y183" s="41">
        <f>IFERROR(SUM(Y167:Y181),"0")</f>
        <v>138.60000000000002</v>
      </c>
      <c r="Z183" s="40"/>
      <c r="AA183" s="64"/>
      <c r="AB183" s="64"/>
      <c r="AC183" s="64"/>
    </row>
    <row r="184" spans="1:68" ht="14.25" hidden="1" customHeight="1" x14ac:dyDescent="0.25">
      <c r="A184" s="621" t="s">
        <v>106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2">
        <v>4680115886780</v>
      </c>
      <c r="E185" s="62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4"/>
      <c r="R185" s="624"/>
      <c r="S185" s="624"/>
      <c r="T185" s="62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2">
        <v>4680115886742</v>
      </c>
      <c r="E186" s="622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4"/>
      <c r="R186" s="624"/>
      <c r="S186" s="624"/>
      <c r="T186" s="625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2">
        <v>4680115886766</v>
      </c>
      <c r="E187" s="622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4"/>
      <c r="R187" s="624"/>
      <c r="S187" s="624"/>
      <c r="T187" s="625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21" t="s">
        <v>331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2">
        <v>4680115886797</v>
      </c>
      <c r="E191" s="622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4"/>
      <c r="R191" s="624"/>
      <c r="S191" s="624"/>
      <c r="T191" s="625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20" t="s">
        <v>334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"/>
      <c r="AB194" s="62"/>
      <c r="AC194" s="62"/>
    </row>
    <row r="195" spans="1:68" ht="14.25" hidden="1" customHeight="1" x14ac:dyDescent="0.25">
      <c r="A195" s="621" t="s">
        <v>114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2">
        <v>4680115881402</v>
      </c>
      <c r="E196" s="622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4"/>
      <c r="R196" s="624"/>
      <c r="S196" s="624"/>
      <c r="T196" s="625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2">
        <v>4680115881396</v>
      </c>
      <c r="E197" s="622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4"/>
      <c r="R197" s="624"/>
      <c r="S197" s="624"/>
      <c r="T197" s="625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30"/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1"/>
      <c r="P198" s="627" t="s">
        <v>40</v>
      </c>
      <c r="Q198" s="628"/>
      <c r="R198" s="628"/>
      <c r="S198" s="628"/>
      <c r="T198" s="628"/>
      <c r="U198" s="628"/>
      <c r="V198" s="62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30"/>
      <c r="B199" s="630"/>
      <c r="C199" s="630"/>
      <c r="D199" s="630"/>
      <c r="E199" s="630"/>
      <c r="F199" s="630"/>
      <c r="G199" s="630"/>
      <c r="H199" s="630"/>
      <c r="I199" s="630"/>
      <c r="J199" s="630"/>
      <c r="K199" s="630"/>
      <c r="L199" s="630"/>
      <c r="M199" s="630"/>
      <c r="N199" s="630"/>
      <c r="O199" s="631"/>
      <c r="P199" s="627" t="s">
        <v>40</v>
      </c>
      <c r="Q199" s="628"/>
      <c r="R199" s="628"/>
      <c r="S199" s="628"/>
      <c r="T199" s="628"/>
      <c r="U199" s="628"/>
      <c r="V199" s="62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21" t="s">
        <v>147</v>
      </c>
      <c r="B200" s="621"/>
      <c r="C200" s="621"/>
      <c r="D200" s="621"/>
      <c r="E200" s="621"/>
      <c r="F200" s="621"/>
      <c r="G200" s="621"/>
      <c r="H200" s="621"/>
      <c r="I200" s="621"/>
      <c r="J200" s="621"/>
      <c r="K200" s="621"/>
      <c r="L200" s="621"/>
      <c r="M200" s="621"/>
      <c r="N200" s="621"/>
      <c r="O200" s="621"/>
      <c r="P200" s="621"/>
      <c r="Q200" s="621"/>
      <c r="R200" s="621"/>
      <c r="S200" s="621"/>
      <c r="T200" s="621"/>
      <c r="U200" s="621"/>
      <c r="V200" s="621"/>
      <c r="W200" s="621"/>
      <c r="X200" s="621"/>
      <c r="Y200" s="621"/>
      <c r="Z200" s="621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2">
        <v>4680115882935</v>
      </c>
      <c r="E201" s="622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4"/>
      <c r="R201" s="624"/>
      <c r="S201" s="624"/>
      <c r="T201" s="625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2">
        <v>4680115880764</v>
      </c>
      <c r="E202" s="622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4"/>
      <c r="R202" s="624"/>
      <c r="S202" s="624"/>
      <c r="T202" s="625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21" t="s">
        <v>76</v>
      </c>
      <c r="B205" s="621"/>
      <c r="C205" s="621"/>
      <c r="D205" s="621"/>
      <c r="E205" s="621"/>
      <c r="F205" s="621"/>
      <c r="G205" s="621"/>
      <c r="H205" s="621"/>
      <c r="I205" s="621"/>
      <c r="J205" s="621"/>
      <c r="K205" s="621"/>
      <c r="L205" s="621"/>
      <c r="M205" s="621"/>
      <c r="N205" s="621"/>
      <c r="O205" s="621"/>
      <c r="P205" s="621"/>
      <c r="Q205" s="621"/>
      <c r="R205" s="621"/>
      <c r="S205" s="621"/>
      <c r="T205" s="621"/>
      <c r="U205" s="621"/>
      <c r="V205" s="621"/>
      <c r="W205" s="621"/>
      <c r="X205" s="621"/>
      <c r="Y205" s="621"/>
      <c r="Z205" s="621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2">
        <v>4680115882683</v>
      </c>
      <c r="E206" s="622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4"/>
      <c r="R206" s="624"/>
      <c r="S206" s="624"/>
      <c r="T206" s="625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2">
        <v>4680115882690</v>
      </c>
      <c r="E207" s="622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4"/>
      <c r="R207" s="624"/>
      <c r="S207" s="624"/>
      <c r="T207" s="625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hidden="1" customHeight="1" x14ac:dyDescent="0.25">
      <c r="A208" s="60" t="s">
        <v>351</v>
      </c>
      <c r="B208" s="60" t="s">
        <v>352</v>
      </c>
      <c r="C208" s="34">
        <v>4301031220</v>
      </c>
      <c r="D208" s="622">
        <v>4680115882669</v>
      </c>
      <c r="E208" s="622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4"/>
      <c r="R208" s="624"/>
      <c r="S208" s="624"/>
      <c r="T208" s="625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6"/>
        <v>0</v>
      </c>
      <c r="Z208" s="39" t="str">
        <f>IFERROR(IF(Y208=0,"",ROUNDUP(Y208/H208,0)*0.00902),"")</f>
        <v/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0</v>
      </c>
      <c r="BN208" s="75">
        <f t="shared" si="18"/>
        <v>0</v>
      </c>
      <c r="BO208" s="75">
        <f t="shared" si="19"/>
        <v>0</v>
      </c>
      <c r="BP208" s="75">
        <f t="shared" si="20"/>
        <v>0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2">
        <v>4680115882676</v>
      </c>
      <c r="E209" s="622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4"/>
      <c r="R209" s="624"/>
      <c r="S209" s="624"/>
      <c r="T209" s="625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2">
        <v>4680115884014</v>
      </c>
      <c r="E210" s="622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4"/>
      <c r="R210" s="624"/>
      <c r="S210" s="624"/>
      <c r="T210" s="62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2">
        <v>4680115884007</v>
      </c>
      <c r="E211" s="62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4"/>
      <c r="R211" s="624"/>
      <c r="S211" s="624"/>
      <c r="T211" s="62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2">
        <v>4680115884038</v>
      </c>
      <c r="E212" s="622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4"/>
      <c r="R212" s="624"/>
      <c r="S212" s="624"/>
      <c r="T212" s="625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2">
        <v>4680115884021</v>
      </c>
      <c r="E213" s="62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4"/>
      <c r="R213" s="624"/>
      <c r="S213" s="624"/>
      <c r="T213" s="625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30"/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1"/>
      <c r="P214" s="627" t="s">
        <v>40</v>
      </c>
      <c r="Q214" s="628"/>
      <c r="R214" s="628"/>
      <c r="S214" s="628"/>
      <c r="T214" s="628"/>
      <c r="U214" s="628"/>
      <c r="V214" s="629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71.999999999999986</v>
      </c>
      <c r="Y214" s="41">
        <f>IFERROR(Y206/H206,"0")+IFERROR(Y207/H207,"0")+IFERROR(Y208/H208,"0")+IFERROR(Y209/H209,"0")+IFERROR(Y210/H210,"0")+IFERROR(Y211/H211,"0")+IFERROR(Y212/H212,"0")+IFERROR(Y213/H213,"0")</f>
        <v>72.000000000000014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0" t="s">
        <v>0</v>
      </c>
      <c r="X215" s="41">
        <f>IFERROR(SUM(X206:X213),"0")</f>
        <v>388.79999999999995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hidden="1" customHeight="1" x14ac:dyDescent="0.25">
      <c r="A216" s="621" t="s">
        <v>86</v>
      </c>
      <c r="B216" s="621"/>
      <c r="C216" s="621"/>
      <c r="D216" s="621"/>
      <c r="E216" s="621"/>
      <c r="F216" s="621"/>
      <c r="G216" s="621"/>
      <c r="H216" s="621"/>
      <c r="I216" s="621"/>
      <c r="J216" s="621"/>
      <c r="K216" s="621"/>
      <c r="L216" s="621"/>
      <c r="M216" s="621"/>
      <c r="N216" s="621"/>
      <c r="O216" s="621"/>
      <c r="P216" s="621"/>
      <c r="Q216" s="621"/>
      <c r="R216" s="621"/>
      <c r="S216" s="621"/>
      <c r="T216" s="621"/>
      <c r="U216" s="621"/>
      <c r="V216" s="621"/>
      <c r="W216" s="621"/>
      <c r="X216" s="621"/>
      <c r="Y216" s="621"/>
      <c r="Z216" s="621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2">
        <v>4680115881594</v>
      </c>
      <c r="E217" s="622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4"/>
      <c r="R217" s="624"/>
      <c r="S217" s="624"/>
      <c r="T217" s="625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2">
        <v>4680115881617</v>
      </c>
      <c r="E218" s="622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4"/>
      <c r="R218" s="624"/>
      <c r="S218" s="624"/>
      <c r="T218" s="62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2">
        <v>4680115880573</v>
      </c>
      <c r="E219" s="622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4"/>
      <c r="R219" s="624"/>
      <c r="S219" s="624"/>
      <c r="T219" s="625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2">
        <v>4680115882195</v>
      </c>
      <c r="E220" s="622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4"/>
      <c r="R220" s="624"/>
      <c r="S220" s="624"/>
      <c r="T220" s="625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64.079999999999984</v>
      </c>
      <c r="BO220" s="75">
        <f t="shared" si="24"/>
        <v>0.13186813186813187</v>
      </c>
      <c r="BP220" s="75">
        <f t="shared" si="25"/>
        <v>0.13186813186813187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2">
        <v>4680115882607</v>
      </c>
      <c r="E221" s="622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4"/>
      <c r="R221" s="624"/>
      <c r="S221" s="624"/>
      <c r="T221" s="62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2">
        <v>4680115880092</v>
      </c>
      <c r="E222" s="62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4"/>
      <c r="R222" s="624"/>
      <c r="S222" s="624"/>
      <c r="T222" s="625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2">
        <v>4680115880221</v>
      </c>
      <c r="E223" s="622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4"/>
      <c r="R223" s="624"/>
      <c r="S223" s="624"/>
      <c r="T223" s="625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2">
        <v>4680115880504</v>
      </c>
      <c r="E224" s="622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4"/>
      <c r="R224" s="624"/>
      <c r="S224" s="624"/>
      <c r="T224" s="625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2">
        <v>4680115882164</v>
      </c>
      <c r="E225" s="622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4"/>
      <c r="R225" s="624"/>
      <c r="S225" s="624"/>
      <c r="T225" s="625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30"/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1"/>
      <c r="P226" s="627" t="s">
        <v>40</v>
      </c>
      <c r="Q226" s="628"/>
      <c r="R226" s="628"/>
      <c r="S226" s="628"/>
      <c r="T226" s="628"/>
      <c r="U226" s="628"/>
      <c r="V226" s="629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168</v>
      </c>
      <c r="Y226" s="41">
        <f>IFERROR(Y217/H217,"0")+IFERROR(Y218/H218,"0")+IFERROR(Y219/H219,"0")+IFERROR(Y220/H220,"0")+IFERROR(Y221/H221,"0")+IFERROR(Y222/H222,"0")+IFERROR(Y223/H223,"0")+IFERROR(Y224/H224,"0")+IFERROR(Y225/H225,"0")</f>
        <v>168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1.69224</v>
      </c>
      <c r="AA226" s="64"/>
      <c r="AB226" s="64"/>
      <c r="AC226" s="64"/>
    </row>
    <row r="227" spans="1:68" x14ac:dyDescent="0.2">
      <c r="A227" s="630"/>
      <c r="B227" s="630"/>
      <c r="C227" s="630"/>
      <c r="D227" s="630"/>
      <c r="E227" s="630"/>
      <c r="F227" s="630"/>
      <c r="G227" s="630"/>
      <c r="H227" s="630"/>
      <c r="I227" s="630"/>
      <c r="J227" s="630"/>
      <c r="K227" s="630"/>
      <c r="L227" s="630"/>
      <c r="M227" s="630"/>
      <c r="N227" s="630"/>
      <c r="O227" s="631"/>
      <c r="P227" s="627" t="s">
        <v>40</v>
      </c>
      <c r="Q227" s="628"/>
      <c r="R227" s="628"/>
      <c r="S227" s="628"/>
      <c r="T227" s="628"/>
      <c r="U227" s="628"/>
      <c r="V227" s="629"/>
      <c r="W227" s="40" t="s">
        <v>0</v>
      </c>
      <c r="X227" s="41">
        <f>IFERROR(SUM(X217:X225),"0")</f>
        <v>705.6</v>
      </c>
      <c r="Y227" s="41">
        <f>IFERROR(SUM(Y217:Y225),"0")</f>
        <v>705.59999999999991</v>
      </c>
      <c r="Z227" s="40"/>
      <c r="AA227" s="64"/>
      <c r="AB227" s="64"/>
      <c r="AC227" s="64"/>
    </row>
    <row r="228" spans="1:68" ht="14.25" hidden="1" customHeight="1" x14ac:dyDescent="0.25">
      <c r="A228" s="621" t="s">
        <v>173</v>
      </c>
      <c r="B228" s="621"/>
      <c r="C228" s="621"/>
      <c r="D228" s="621"/>
      <c r="E228" s="621"/>
      <c r="F228" s="621"/>
      <c r="G228" s="621"/>
      <c r="H228" s="621"/>
      <c r="I228" s="621"/>
      <c r="J228" s="621"/>
      <c r="K228" s="621"/>
      <c r="L228" s="621"/>
      <c r="M228" s="621"/>
      <c r="N228" s="621"/>
      <c r="O228" s="621"/>
      <c r="P228" s="621"/>
      <c r="Q228" s="621"/>
      <c r="R228" s="621"/>
      <c r="S228" s="621"/>
      <c r="T228" s="621"/>
      <c r="U228" s="621"/>
      <c r="V228" s="621"/>
      <c r="W228" s="621"/>
      <c r="X228" s="621"/>
      <c r="Y228" s="621"/>
      <c r="Z228" s="621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2">
        <v>4680115880818</v>
      </c>
      <c r="E229" s="622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4"/>
      <c r="R229" s="624"/>
      <c r="S229" s="624"/>
      <c r="T229" s="625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2">
        <v>4680115880801</v>
      </c>
      <c r="E230" s="622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4"/>
      <c r="R230" s="624"/>
      <c r="S230" s="624"/>
      <c r="T230" s="625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30"/>
      <c r="B231" s="630"/>
      <c r="C231" s="630"/>
      <c r="D231" s="630"/>
      <c r="E231" s="630"/>
      <c r="F231" s="630"/>
      <c r="G231" s="630"/>
      <c r="H231" s="630"/>
      <c r="I231" s="630"/>
      <c r="J231" s="630"/>
      <c r="K231" s="630"/>
      <c r="L231" s="630"/>
      <c r="M231" s="630"/>
      <c r="N231" s="630"/>
      <c r="O231" s="631"/>
      <c r="P231" s="627" t="s">
        <v>40</v>
      </c>
      <c r="Q231" s="628"/>
      <c r="R231" s="628"/>
      <c r="S231" s="628"/>
      <c r="T231" s="628"/>
      <c r="U231" s="628"/>
      <c r="V231" s="629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30"/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1"/>
      <c r="P232" s="627" t="s">
        <v>40</v>
      </c>
      <c r="Q232" s="628"/>
      <c r="R232" s="628"/>
      <c r="S232" s="628"/>
      <c r="T232" s="628"/>
      <c r="U232" s="628"/>
      <c r="V232" s="629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20" t="s">
        <v>393</v>
      </c>
      <c r="B233" s="620"/>
      <c r="C233" s="620"/>
      <c r="D233" s="620"/>
      <c r="E233" s="620"/>
      <c r="F233" s="620"/>
      <c r="G233" s="620"/>
      <c r="H233" s="620"/>
      <c r="I233" s="620"/>
      <c r="J233" s="620"/>
      <c r="K233" s="620"/>
      <c r="L233" s="620"/>
      <c r="M233" s="620"/>
      <c r="N233" s="620"/>
      <c r="O233" s="620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"/>
      <c r="AB233" s="62"/>
      <c r="AC233" s="62"/>
    </row>
    <row r="234" spans="1:68" ht="14.25" hidden="1" customHeight="1" x14ac:dyDescent="0.25">
      <c r="A234" s="621" t="s">
        <v>114</v>
      </c>
      <c r="B234" s="621"/>
      <c r="C234" s="621"/>
      <c r="D234" s="621"/>
      <c r="E234" s="621"/>
      <c r="F234" s="621"/>
      <c r="G234" s="621"/>
      <c r="H234" s="621"/>
      <c r="I234" s="621"/>
      <c r="J234" s="621"/>
      <c r="K234" s="621"/>
      <c r="L234" s="621"/>
      <c r="M234" s="621"/>
      <c r="N234" s="621"/>
      <c r="O234" s="621"/>
      <c r="P234" s="621"/>
      <c r="Q234" s="621"/>
      <c r="R234" s="621"/>
      <c r="S234" s="621"/>
      <c r="T234" s="621"/>
      <c r="U234" s="621"/>
      <c r="V234" s="621"/>
      <c r="W234" s="621"/>
      <c r="X234" s="621"/>
      <c r="Y234" s="621"/>
      <c r="Z234" s="621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2">
        <v>4680115884137</v>
      </c>
      <c r="E235" s="622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4"/>
      <c r="R235" s="624"/>
      <c r="S235" s="624"/>
      <c r="T235" s="62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2">
        <v>4680115884236</v>
      </c>
      <c r="E236" s="622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4"/>
      <c r="R236" s="624"/>
      <c r="S236" s="624"/>
      <c r="T236" s="62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2">
        <v>4680115884175</v>
      </c>
      <c r="E237" s="622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4"/>
      <c r="R237" s="624"/>
      <c r="S237" s="624"/>
      <c r="T237" s="62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2">
        <v>4680115884144</v>
      </c>
      <c r="E238" s="622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4"/>
      <c r="R238" s="624"/>
      <c r="S238" s="624"/>
      <c r="T238" s="62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2">
        <v>4680115886551</v>
      </c>
      <c r="E239" s="622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4"/>
      <c r="R239" s="624"/>
      <c r="S239" s="624"/>
      <c r="T239" s="62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2">
        <v>4680115887282</v>
      </c>
      <c r="E240" s="622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4"/>
      <c r="R240" s="624"/>
      <c r="S240" s="624"/>
      <c r="T240" s="62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2">
        <v>4680115884205</v>
      </c>
      <c r="E241" s="622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4"/>
      <c r="R241" s="624"/>
      <c r="S241" s="624"/>
      <c r="T241" s="625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21" t="s">
        <v>147</v>
      </c>
      <c r="B244" s="621"/>
      <c r="C244" s="621"/>
      <c r="D244" s="621"/>
      <c r="E244" s="621"/>
      <c r="F244" s="621"/>
      <c r="G244" s="621"/>
      <c r="H244" s="621"/>
      <c r="I244" s="621"/>
      <c r="J244" s="621"/>
      <c r="K244" s="621"/>
      <c r="L244" s="621"/>
      <c r="M244" s="621"/>
      <c r="N244" s="621"/>
      <c r="O244" s="621"/>
      <c r="P244" s="621"/>
      <c r="Q244" s="621"/>
      <c r="R244" s="621"/>
      <c r="S244" s="621"/>
      <c r="T244" s="621"/>
      <c r="U244" s="621"/>
      <c r="V244" s="621"/>
      <c r="W244" s="621"/>
      <c r="X244" s="621"/>
      <c r="Y244" s="621"/>
      <c r="Z244" s="621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2">
        <v>4680115885981</v>
      </c>
      <c r="E245" s="62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4"/>
      <c r="R245" s="624"/>
      <c r="S245" s="624"/>
      <c r="T245" s="62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30"/>
      <c r="B246" s="630"/>
      <c r="C246" s="630"/>
      <c r="D246" s="630"/>
      <c r="E246" s="630"/>
      <c r="F246" s="630"/>
      <c r="G246" s="630"/>
      <c r="H246" s="630"/>
      <c r="I246" s="630"/>
      <c r="J246" s="630"/>
      <c r="K246" s="630"/>
      <c r="L246" s="630"/>
      <c r="M246" s="630"/>
      <c r="N246" s="630"/>
      <c r="O246" s="631"/>
      <c r="P246" s="627" t="s">
        <v>40</v>
      </c>
      <c r="Q246" s="628"/>
      <c r="R246" s="628"/>
      <c r="S246" s="628"/>
      <c r="T246" s="628"/>
      <c r="U246" s="628"/>
      <c r="V246" s="629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30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1"/>
      <c r="P247" s="627" t="s">
        <v>40</v>
      </c>
      <c r="Q247" s="628"/>
      <c r="R247" s="628"/>
      <c r="S247" s="628"/>
      <c r="T247" s="628"/>
      <c r="U247" s="628"/>
      <c r="V247" s="629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21" t="s">
        <v>416</v>
      </c>
      <c r="B248" s="621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1"/>
      <c r="N248" s="621"/>
      <c r="O248" s="621"/>
      <c r="P248" s="621"/>
      <c r="Q248" s="621"/>
      <c r="R248" s="621"/>
      <c r="S248" s="621"/>
      <c r="T248" s="621"/>
      <c r="U248" s="621"/>
      <c r="V248" s="621"/>
      <c r="W248" s="621"/>
      <c r="X248" s="621"/>
      <c r="Y248" s="621"/>
      <c r="Z248" s="621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2">
        <v>4680115886803</v>
      </c>
      <c r="E249" s="622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4"/>
      <c r="R249" s="624"/>
      <c r="S249" s="624"/>
      <c r="T249" s="62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21" t="s">
        <v>420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2">
        <v>4680115886704</v>
      </c>
      <c r="E253" s="62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4"/>
      <c r="R253" s="624"/>
      <c r="S253" s="624"/>
      <c r="T253" s="62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2">
        <v>4680115886681</v>
      </c>
      <c r="E254" s="622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4"/>
      <c r="R254" s="624"/>
      <c r="S254" s="624"/>
      <c r="T254" s="62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2">
        <v>4680115886735</v>
      </c>
      <c r="E255" s="622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4"/>
      <c r="R255" s="624"/>
      <c r="S255" s="624"/>
      <c r="T255" s="62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2">
        <v>4680115886728</v>
      </c>
      <c r="E256" s="62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4"/>
      <c r="R256" s="624"/>
      <c r="S256" s="624"/>
      <c r="T256" s="62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2">
        <v>4680115886711</v>
      </c>
      <c r="E257" s="622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4"/>
      <c r="R257" s="624"/>
      <c r="S257" s="624"/>
      <c r="T257" s="62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30"/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1"/>
      <c r="P258" s="627" t="s">
        <v>40</v>
      </c>
      <c r="Q258" s="628"/>
      <c r="R258" s="628"/>
      <c r="S258" s="628"/>
      <c r="T258" s="628"/>
      <c r="U258" s="628"/>
      <c r="V258" s="629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20" t="s">
        <v>432</v>
      </c>
      <c r="B260" s="620"/>
      <c r="C260" s="620"/>
      <c r="D260" s="620"/>
      <c r="E260" s="620"/>
      <c r="F260" s="620"/>
      <c r="G260" s="620"/>
      <c r="H260" s="620"/>
      <c r="I260" s="620"/>
      <c r="J260" s="620"/>
      <c r="K260" s="620"/>
      <c r="L260" s="620"/>
      <c r="M260" s="620"/>
      <c r="N260" s="620"/>
      <c r="O260" s="620"/>
      <c r="P260" s="620"/>
      <c r="Q260" s="620"/>
      <c r="R260" s="620"/>
      <c r="S260" s="620"/>
      <c r="T260" s="620"/>
      <c r="U260" s="620"/>
      <c r="V260" s="620"/>
      <c r="W260" s="620"/>
      <c r="X260" s="620"/>
      <c r="Y260" s="620"/>
      <c r="Z260" s="620"/>
      <c r="AA260" s="62"/>
      <c r="AB260" s="62"/>
      <c r="AC260" s="62"/>
    </row>
    <row r="261" spans="1:68" ht="14.25" hidden="1" customHeight="1" x14ac:dyDescent="0.25">
      <c r="A261" s="621" t="s">
        <v>114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2">
        <v>4680115885837</v>
      </c>
      <c r="E262" s="62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4"/>
      <c r="R262" s="624"/>
      <c r="S262" s="624"/>
      <c r="T262" s="625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2">
        <v>4680115885851</v>
      </c>
      <c r="E263" s="622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4"/>
      <c r="R263" s="624"/>
      <c r="S263" s="624"/>
      <c r="T263" s="625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2">
        <v>4680115885806</v>
      </c>
      <c r="E264" s="62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4"/>
      <c r="R264" s="624"/>
      <c r="S264" s="624"/>
      <c r="T264" s="625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2">
        <v>4680115885844</v>
      </c>
      <c r="E265" s="622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4"/>
      <c r="R265" s="624"/>
      <c r="S265" s="624"/>
      <c r="T265" s="625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2">
        <v>4680115885820</v>
      </c>
      <c r="E266" s="622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4"/>
      <c r="R266" s="624"/>
      <c r="S266" s="624"/>
      <c r="T266" s="625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20" t="s">
        <v>448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2"/>
      <c r="AB269" s="62"/>
      <c r="AC269" s="62"/>
    </row>
    <row r="270" spans="1:68" ht="14.25" hidden="1" customHeight="1" x14ac:dyDescent="0.25">
      <c r="A270" s="621" t="s">
        <v>114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2">
        <v>4607091383423</v>
      </c>
      <c r="E271" s="622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4"/>
      <c r="R271" s="624"/>
      <c r="S271" s="624"/>
      <c r="T271" s="625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2">
        <v>4680115886957</v>
      </c>
      <c r="E272" s="622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4"/>
      <c r="R272" s="624"/>
      <c r="S272" s="624"/>
      <c r="T272" s="62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2">
        <v>4680115885660</v>
      </c>
      <c r="E273" s="622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4"/>
      <c r="R273" s="624"/>
      <c r="S273" s="624"/>
      <c r="T273" s="625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2">
        <v>4680115886773</v>
      </c>
      <c r="E274" s="622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4"/>
      <c r="R274" s="624"/>
      <c r="S274" s="624"/>
      <c r="T274" s="625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20" t="s">
        <v>459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2"/>
      <c r="AB277" s="62"/>
      <c r="AC277" s="62"/>
    </row>
    <row r="278" spans="1:68" ht="14.25" hidden="1" customHeight="1" x14ac:dyDescent="0.25">
      <c r="A278" s="621" t="s">
        <v>86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2">
        <v>4680115886186</v>
      </c>
      <c r="E279" s="622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4"/>
      <c r="R279" s="624"/>
      <c r="S279" s="624"/>
      <c r="T279" s="62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2">
        <v>4680115881228</v>
      </c>
      <c r="E280" s="622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4"/>
      <c r="R280" s="624"/>
      <c r="S280" s="624"/>
      <c r="T280" s="625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2">
        <v>4680115881211</v>
      </c>
      <c r="E281" s="622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4"/>
      <c r="R281" s="624"/>
      <c r="S281" s="624"/>
      <c r="T281" s="625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630"/>
      <c r="B283" s="630"/>
      <c r="C283" s="630"/>
      <c r="D283" s="630"/>
      <c r="E283" s="630"/>
      <c r="F283" s="630"/>
      <c r="G283" s="630"/>
      <c r="H283" s="630"/>
      <c r="I283" s="630"/>
      <c r="J283" s="630"/>
      <c r="K283" s="630"/>
      <c r="L283" s="630"/>
      <c r="M283" s="630"/>
      <c r="N283" s="630"/>
      <c r="O283" s="631"/>
      <c r="P283" s="627" t="s">
        <v>40</v>
      </c>
      <c r="Q283" s="628"/>
      <c r="R283" s="628"/>
      <c r="S283" s="628"/>
      <c r="T283" s="628"/>
      <c r="U283" s="628"/>
      <c r="V283" s="629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hidden="1" customHeight="1" x14ac:dyDescent="0.25">
      <c r="A284" s="620" t="s">
        <v>468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2"/>
      <c r="AB284" s="62"/>
      <c r="AC284" s="62"/>
    </row>
    <row r="285" spans="1:68" ht="14.25" hidden="1" customHeight="1" x14ac:dyDescent="0.25">
      <c r="A285" s="621" t="s">
        <v>76</v>
      </c>
      <c r="B285" s="621"/>
      <c r="C285" s="621"/>
      <c r="D285" s="621"/>
      <c r="E285" s="621"/>
      <c r="F285" s="621"/>
      <c r="G285" s="621"/>
      <c r="H285" s="621"/>
      <c r="I285" s="621"/>
      <c r="J285" s="621"/>
      <c r="K285" s="621"/>
      <c r="L285" s="621"/>
      <c r="M285" s="621"/>
      <c r="N285" s="621"/>
      <c r="O285" s="621"/>
      <c r="P285" s="621"/>
      <c r="Q285" s="621"/>
      <c r="R285" s="621"/>
      <c r="S285" s="621"/>
      <c r="T285" s="621"/>
      <c r="U285" s="621"/>
      <c r="V285" s="621"/>
      <c r="W285" s="621"/>
      <c r="X285" s="621"/>
      <c r="Y285" s="621"/>
      <c r="Z285" s="621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2">
        <v>4680115880344</v>
      </c>
      <c r="E286" s="622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4"/>
      <c r="R286" s="624"/>
      <c r="S286" s="624"/>
      <c r="T286" s="62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2">
        <v>4680115886919</v>
      </c>
      <c r="E287" s="622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4"/>
      <c r="R287" s="624"/>
      <c r="S287" s="624"/>
      <c r="T287" s="62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30"/>
      <c r="B288" s="630"/>
      <c r="C288" s="630"/>
      <c r="D288" s="630"/>
      <c r="E288" s="630"/>
      <c r="F288" s="630"/>
      <c r="G288" s="630"/>
      <c r="H288" s="630"/>
      <c r="I288" s="630"/>
      <c r="J288" s="630"/>
      <c r="K288" s="630"/>
      <c r="L288" s="630"/>
      <c r="M288" s="630"/>
      <c r="N288" s="630"/>
      <c r="O288" s="631"/>
      <c r="P288" s="627" t="s">
        <v>40</v>
      </c>
      <c r="Q288" s="628"/>
      <c r="R288" s="628"/>
      <c r="S288" s="628"/>
      <c r="T288" s="628"/>
      <c r="U288" s="628"/>
      <c r="V288" s="629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30"/>
      <c r="B289" s="630"/>
      <c r="C289" s="630"/>
      <c r="D289" s="630"/>
      <c r="E289" s="630"/>
      <c r="F289" s="630"/>
      <c r="G289" s="630"/>
      <c r="H289" s="630"/>
      <c r="I289" s="630"/>
      <c r="J289" s="630"/>
      <c r="K289" s="630"/>
      <c r="L289" s="630"/>
      <c r="M289" s="630"/>
      <c r="N289" s="630"/>
      <c r="O289" s="631"/>
      <c r="P289" s="627" t="s">
        <v>40</v>
      </c>
      <c r="Q289" s="628"/>
      <c r="R289" s="628"/>
      <c r="S289" s="628"/>
      <c r="T289" s="628"/>
      <c r="U289" s="628"/>
      <c r="V289" s="629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21" t="s">
        <v>86</v>
      </c>
      <c r="B290" s="621"/>
      <c r="C290" s="621"/>
      <c r="D290" s="621"/>
      <c r="E290" s="621"/>
      <c r="F290" s="621"/>
      <c r="G290" s="621"/>
      <c r="H290" s="621"/>
      <c r="I290" s="621"/>
      <c r="J290" s="621"/>
      <c r="K290" s="621"/>
      <c r="L290" s="621"/>
      <c r="M290" s="621"/>
      <c r="N290" s="621"/>
      <c r="O290" s="621"/>
      <c r="P290" s="621"/>
      <c r="Q290" s="621"/>
      <c r="R290" s="621"/>
      <c r="S290" s="621"/>
      <c r="T290" s="621"/>
      <c r="U290" s="621"/>
      <c r="V290" s="621"/>
      <c r="W290" s="621"/>
      <c r="X290" s="621"/>
      <c r="Y290" s="621"/>
      <c r="Z290" s="621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2">
        <v>4680115884618</v>
      </c>
      <c r="E291" s="622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4"/>
      <c r="R291" s="624"/>
      <c r="S291" s="624"/>
      <c r="T291" s="625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2">
        <v>4680115887114</v>
      </c>
      <c r="E292" s="622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4"/>
      <c r="R292" s="624"/>
      <c r="S292" s="624"/>
      <c r="T292" s="625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30"/>
      <c r="B293" s="630"/>
      <c r="C293" s="630"/>
      <c r="D293" s="630"/>
      <c r="E293" s="630"/>
      <c r="F293" s="630"/>
      <c r="G293" s="630"/>
      <c r="H293" s="630"/>
      <c r="I293" s="630"/>
      <c r="J293" s="630"/>
      <c r="K293" s="630"/>
      <c r="L293" s="630"/>
      <c r="M293" s="630"/>
      <c r="N293" s="630"/>
      <c r="O293" s="631"/>
      <c r="P293" s="627" t="s">
        <v>40</v>
      </c>
      <c r="Q293" s="628"/>
      <c r="R293" s="628"/>
      <c r="S293" s="628"/>
      <c r="T293" s="628"/>
      <c r="U293" s="628"/>
      <c r="V293" s="629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30"/>
      <c r="B294" s="630"/>
      <c r="C294" s="630"/>
      <c r="D294" s="630"/>
      <c r="E294" s="630"/>
      <c r="F294" s="630"/>
      <c r="G294" s="630"/>
      <c r="H294" s="630"/>
      <c r="I294" s="630"/>
      <c r="J294" s="630"/>
      <c r="K294" s="630"/>
      <c r="L294" s="630"/>
      <c r="M294" s="630"/>
      <c r="N294" s="630"/>
      <c r="O294" s="631"/>
      <c r="P294" s="627" t="s">
        <v>40</v>
      </c>
      <c r="Q294" s="628"/>
      <c r="R294" s="628"/>
      <c r="S294" s="628"/>
      <c r="T294" s="628"/>
      <c r="U294" s="628"/>
      <c r="V294" s="629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20" t="s">
        <v>481</v>
      </c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0"/>
      <c r="P295" s="620"/>
      <c r="Q295" s="620"/>
      <c r="R295" s="620"/>
      <c r="S295" s="620"/>
      <c r="T295" s="620"/>
      <c r="U295" s="620"/>
      <c r="V295" s="620"/>
      <c r="W295" s="620"/>
      <c r="X295" s="620"/>
      <c r="Y295" s="620"/>
      <c r="Z295" s="620"/>
      <c r="AA295" s="62"/>
      <c r="AB295" s="62"/>
      <c r="AC295" s="62"/>
    </row>
    <row r="296" spans="1:68" ht="14.25" hidden="1" customHeight="1" x14ac:dyDescent="0.25">
      <c r="A296" s="621" t="s">
        <v>114</v>
      </c>
      <c r="B296" s="621"/>
      <c r="C296" s="621"/>
      <c r="D296" s="621"/>
      <c r="E296" s="621"/>
      <c r="F296" s="621"/>
      <c r="G296" s="621"/>
      <c r="H296" s="621"/>
      <c r="I296" s="621"/>
      <c r="J296" s="621"/>
      <c r="K296" s="621"/>
      <c r="L296" s="621"/>
      <c r="M296" s="621"/>
      <c r="N296" s="621"/>
      <c r="O296" s="621"/>
      <c r="P296" s="621"/>
      <c r="Q296" s="621"/>
      <c r="R296" s="621"/>
      <c r="S296" s="621"/>
      <c r="T296" s="621"/>
      <c r="U296" s="621"/>
      <c r="V296" s="621"/>
      <c r="W296" s="621"/>
      <c r="X296" s="621"/>
      <c r="Y296" s="621"/>
      <c r="Z296" s="621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2">
        <v>4680115885615</v>
      </c>
      <c r="E297" s="622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4"/>
      <c r="R297" s="624"/>
      <c r="S297" s="624"/>
      <c r="T297" s="625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2">
        <v>4680115885646</v>
      </c>
      <c r="E298" s="622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4"/>
      <c r="R298" s="624"/>
      <c r="S298" s="624"/>
      <c r="T298" s="62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2">
        <v>4680115885554</v>
      </c>
      <c r="E299" s="622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4"/>
      <c r="R299" s="624"/>
      <c r="S299" s="624"/>
      <c r="T299" s="625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2">
        <v>4680115885622</v>
      </c>
      <c r="E300" s="622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4"/>
      <c r="R300" s="624"/>
      <c r="S300" s="624"/>
      <c r="T300" s="625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2">
        <v>4680115885608</v>
      </c>
      <c r="E301" s="622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4"/>
      <c r="R301" s="624"/>
      <c r="S301" s="624"/>
      <c r="T301" s="625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30"/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  <c r="M302" s="630"/>
      <c r="N302" s="630"/>
      <c r="O302" s="631"/>
      <c r="P302" s="627" t="s">
        <v>40</v>
      </c>
      <c r="Q302" s="628"/>
      <c r="R302" s="628"/>
      <c r="S302" s="628"/>
      <c r="T302" s="628"/>
      <c r="U302" s="628"/>
      <c r="V302" s="629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30"/>
      <c r="B303" s="630"/>
      <c r="C303" s="630"/>
      <c r="D303" s="630"/>
      <c r="E303" s="630"/>
      <c r="F303" s="630"/>
      <c r="G303" s="630"/>
      <c r="H303" s="630"/>
      <c r="I303" s="630"/>
      <c r="J303" s="630"/>
      <c r="K303" s="630"/>
      <c r="L303" s="630"/>
      <c r="M303" s="630"/>
      <c r="N303" s="630"/>
      <c r="O303" s="631"/>
      <c r="P303" s="627" t="s">
        <v>40</v>
      </c>
      <c r="Q303" s="628"/>
      <c r="R303" s="628"/>
      <c r="S303" s="628"/>
      <c r="T303" s="628"/>
      <c r="U303" s="628"/>
      <c r="V303" s="629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1" t="s">
        <v>76</v>
      </c>
      <c r="B304" s="621"/>
      <c r="C304" s="621"/>
      <c r="D304" s="621"/>
      <c r="E304" s="621"/>
      <c r="F304" s="621"/>
      <c r="G304" s="621"/>
      <c r="H304" s="621"/>
      <c r="I304" s="621"/>
      <c r="J304" s="621"/>
      <c r="K304" s="621"/>
      <c r="L304" s="621"/>
      <c r="M304" s="621"/>
      <c r="N304" s="621"/>
      <c r="O304" s="621"/>
      <c r="P304" s="621"/>
      <c r="Q304" s="621"/>
      <c r="R304" s="621"/>
      <c r="S304" s="621"/>
      <c r="T304" s="621"/>
      <c r="U304" s="621"/>
      <c r="V304" s="621"/>
      <c r="W304" s="621"/>
      <c r="X304" s="621"/>
      <c r="Y304" s="621"/>
      <c r="Z304" s="621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2">
        <v>4607091387193</v>
      </c>
      <c r="E305" s="622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4"/>
      <c r="R305" s="624"/>
      <c r="S305" s="624"/>
      <c r="T305" s="625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2">
        <v>4607091387230</v>
      </c>
      <c r="E306" s="622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4"/>
      <c r="R306" s="624"/>
      <c r="S306" s="624"/>
      <c r="T306" s="625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2">
        <v>4607091387292</v>
      </c>
      <c r="E307" s="622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4"/>
      <c r="R307" s="624"/>
      <c r="S307" s="624"/>
      <c r="T307" s="625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2">
        <v>4607091387285</v>
      </c>
      <c r="E308" s="622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4"/>
      <c r="R308" s="624"/>
      <c r="S308" s="624"/>
      <c r="T308" s="625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2">
        <v>4607091389845</v>
      </c>
      <c r="E309" s="622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4"/>
      <c r="R309" s="624"/>
      <c r="S309" s="624"/>
      <c r="T309" s="625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2">
        <v>4680115887442</v>
      </c>
      <c r="E310" s="622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9" t="s">
        <v>512</v>
      </c>
      <c r="Q310" s="624"/>
      <c r="R310" s="624"/>
      <c r="S310" s="624"/>
      <c r="T310" s="625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2">
        <v>4607091383836</v>
      </c>
      <c r="E311" s="622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4"/>
      <c r="R311" s="624"/>
      <c r="S311" s="624"/>
      <c r="T311" s="625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21" t="s">
        <v>86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2">
        <v>4607091387766</v>
      </c>
      <c r="E315" s="622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4"/>
      <c r="R315" s="624"/>
      <c r="S315" s="624"/>
      <c r="T315" s="625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2">
        <v>4607091387957</v>
      </c>
      <c r="E316" s="622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4"/>
      <c r="R316" s="624"/>
      <c r="S316" s="624"/>
      <c r="T316" s="62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2">
        <v>4607091387964</v>
      </c>
      <c r="E317" s="622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4"/>
      <c r="R317" s="624"/>
      <c r="S317" s="624"/>
      <c r="T317" s="62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2">
        <v>4680115884588</v>
      </c>
      <c r="E318" s="622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4"/>
      <c r="R318" s="624"/>
      <c r="S318" s="624"/>
      <c r="T318" s="625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21" t="s">
        <v>173</v>
      </c>
      <c r="B321" s="621"/>
      <c r="C321" s="621"/>
      <c r="D321" s="621"/>
      <c r="E321" s="621"/>
      <c r="F321" s="621"/>
      <c r="G321" s="621"/>
      <c r="H321" s="621"/>
      <c r="I321" s="621"/>
      <c r="J321" s="621"/>
      <c r="K321" s="621"/>
      <c r="L321" s="621"/>
      <c r="M321" s="621"/>
      <c r="N321" s="621"/>
      <c r="O321" s="621"/>
      <c r="P321" s="621"/>
      <c r="Q321" s="621"/>
      <c r="R321" s="621"/>
      <c r="S321" s="621"/>
      <c r="T321" s="621"/>
      <c r="U321" s="621"/>
      <c r="V321" s="621"/>
      <c r="W321" s="621"/>
      <c r="X321" s="621"/>
      <c r="Y321" s="621"/>
      <c r="Z321" s="621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2">
        <v>4607091380880</v>
      </c>
      <c r="E322" s="622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4"/>
      <c r="R322" s="624"/>
      <c r="S322" s="624"/>
      <c r="T322" s="625"/>
      <c r="U322" s="37" t="s">
        <v>45</v>
      </c>
      <c r="V322" s="37" t="s">
        <v>45</v>
      </c>
      <c r="W322" s="38" t="s">
        <v>0</v>
      </c>
      <c r="X322" s="56">
        <v>134.4</v>
      </c>
      <c r="Y322" s="53">
        <f>IFERROR(IF(X322="",0,CEILING((X322/$H322),1)*$H322),"")</f>
        <v>134.4</v>
      </c>
      <c r="Z322" s="39">
        <f>IFERROR(IF(Y322=0,"",ROUNDUP(Y322/H322,0)*0.01898),"")</f>
        <v>0.30368000000000001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142.304</v>
      </c>
      <c r="BN322" s="75">
        <f>IFERROR(Y322*I322/H322,"0")</f>
        <v>142.304</v>
      </c>
      <c r="BO322" s="75">
        <f>IFERROR(1/J322*(X322/H322),"0")</f>
        <v>0.25</v>
      </c>
      <c r="BP322" s="75">
        <f>IFERROR(1/J322*(Y322/H322),"0")</f>
        <v>0.25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2">
        <v>4607091384482</v>
      </c>
      <c r="E323" s="622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4"/>
      <c r="R323" s="624"/>
      <c r="S323" s="624"/>
      <c r="T323" s="625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2">
        <v>4607091380897</v>
      </c>
      <c r="E324" s="622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4"/>
      <c r="R324" s="624"/>
      <c r="S324" s="624"/>
      <c r="T324" s="625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0" t="s">
        <v>0</v>
      </c>
      <c r="X326" s="41">
        <f>IFERROR(SUM(X322:X324),"0")</f>
        <v>576</v>
      </c>
      <c r="Y326" s="41">
        <f>IFERROR(SUM(Y322:Y324),"0")</f>
        <v>576</v>
      </c>
      <c r="Z326" s="40"/>
      <c r="AA326" s="64"/>
      <c r="AB326" s="64"/>
      <c r="AC326" s="64"/>
    </row>
    <row r="327" spans="1:68" ht="14.25" hidden="1" customHeight="1" x14ac:dyDescent="0.25">
      <c r="A327" s="621" t="s">
        <v>106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2">
        <v>4607091388381</v>
      </c>
      <c r="E328" s="622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4"/>
      <c r="R328" s="624"/>
      <c r="S328" s="624"/>
      <c r="T328" s="625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2">
        <v>4607091388374</v>
      </c>
      <c r="E329" s="622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4"/>
      <c r="R329" s="624"/>
      <c r="S329" s="624"/>
      <c r="T329" s="625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2">
        <v>4607091383102</v>
      </c>
      <c r="E330" s="622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4"/>
      <c r="R330" s="624"/>
      <c r="S330" s="624"/>
      <c r="T330" s="625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2">
        <v>4607091388404</v>
      </c>
      <c r="E331" s="622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4"/>
      <c r="R331" s="624"/>
      <c r="S331" s="624"/>
      <c r="T331" s="625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21" t="s">
        <v>546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2">
        <v>4680115881808</v>
      </c>
      <c r="E335" s="622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4"/>
      <c r="R335" s="624"/>
      <c r="S335" s="624"/>
      <c r="T335" s="625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2">
        <v>4680115881822</v>
      </c>
      <c r="E336" s="622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4"/>
      <c r="R336" s="624"/>
      <c r="S336" s="624"/>
      <c r="T336" s="625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2">
        <v>4680115880016</v>
      </c>
      <c r="E337" s="622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4"/>
      <c r="R337" s="624"/>
      <c r="S337" s="624"/>
      <c r="T337" s="625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20" t="s">
        <v>555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62"/>
      <c r="AB340" s="62"/>
      <c r="AC340" s="62"/>
    </row>
    <row r="341" spans="1:68" ht="14.25" hidden="1" customHeight="1" x14ac:dyDescent="0.25">
      <c r="A341" s="621" t="s">
        <v>86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2">
        <v>4607091387919</v>
      </c>
      <c r="E342" s="622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4"/>
      <c r="R342" s="624"/>
      <c r="S342" s="624"/>
      <c r="T342" s="625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2">
        <v>4680115883604</v>
      </c>
      <c r="E343" s="622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4"/>
      <c r="R343" s="624"/>
      <c r="S343" s="624"/>
      <c r="T343" s="625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2">
        <v>4680115883567</v>
      </c>
      <c r="E344" s="622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4"/>
      <c r="R344" s="624"/>
      <c r="S344" s="624"/>
      <c r="T344" s="62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30"/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1"/>
      <c r="P345" s="627" t="s">
        <v>40</v>
      </c>
      <c r="Q345" s="628"/>
      <c r="R345" s="628"/>
      <c r="S345" s="628"/>
      <c r="T345" s="628"/>
      <c r="U345" s="628"/>
      <c r="V345" s="629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30"/>
      <c r="B346" s="630"/>
      <c r="C346" s="630"/>
      <c r="D346" s="630"/>
      <c r="E346" s="630"/>
      <c r="F346" s="630"/>
      <c r="G346" s="630"/>
      <c r="H346" s="630"/>
      <c r="I346" s="630"/>
      <c r="J346" s="630"/>
      <c r="K346" s="630"/>
      <c r="L346" s="630"/>
      <c r="M346" s="630"/>
      <c r="N346" s="630"/>
      <c r="O346" s="631"/>
      <c r="P346" s="627" t="s">
        <v>40</v>
      </c>
      <c r="Q346" s="628"/>
      <c r="R346" s="628"/>
      <c r="S346" s="628"/>
      <c r="T346" s="628"/>
      <c r="U346" s="628"/>
      <c r="V346" s="629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619" t="s">
        <v>565</v>
      </c>
      <c r="B347" s="619"/>
      <c r="C347" s="619"/>
      <c r="D347" s="619"/>
      <c r="E347" s="619"/>
      <c r="F347" s="619"/>
      <c r="G347" s="619"/>
      <c r="H347" s="619"/>
      <c r="I347" s="619"/>
      <c r="J347" s="619"/>
      <c r="K347" s="619"/>
      <c r="L347" s="619"/>
      <c r="M347" s="619"/>
      <c r="N347" s="619"/>
      <c r="O347" s="619"/>
      <c r="P347" s="619"/>
      <c r="Q347" s="619"/>
      <c r="R347" s="619"/>
      <c r="S347" s="619"/>
      <c r="T347" s="619"/>
      <c r="U347" s="619"/>
      <c r="V347" s="619"/>
      <c r="W347" s="619"/>
      <c r="X347" s="619"/>
      <c r="Y347" s="619"/>
      <c r="Z347" s="619"/>
      <c r="AA347" s="52"/>
      <c r="AB347" s="52"/>
      <c r="AC347" s="52"/>
    </row>
    <row r="348" spans="1:68" ht="16.5" hidden="1" customHeight="1" x14ac:dyDescent="0.25">
      <c r="A348" s="620" t="s">
        <v>566</v>
      </c>
      <c r="B348" s="620"/>
      <c r="C348" s="620"/>
      <c r="D348" s="620"/>
      <c r="E348" s="620"/>
      <c r="F348" s="620"/>
      <c r="G348" s="620"/>
      <c r="H348" s="620"/>
      <c r="I348" s="620"/>
      <c r="J348" s="620"/>
      <c r="K348" s="620"/>
      <c r="L348" s="620"/>
      <c r="M348" s="620"/>
      <c r="N348" s="620"/>
      <c r="O348" s="620"/>
      <c r="P348" s="620"/>
      <c r="Q348" s="620"/>
      <c r="R348" s="620"/>
      <c r="S348" s="620"/>
      <c r="T348" s="620"/>
      <c r="U348" s="620"/>
      <c r="V348" s="620"/>
      <c r="W348" s="620"/>
      <c r="X348" s="620"/>
      <c r="Y348" s="620"/>
      <c r="Z348" s="620"/>
      <c r="AA348" s="62"/>
      <c r="AB348" s="62"/>
      <c r="AC348" s="62"/>
    </row>
    <row r="349" spans="1:68" ht="14.25" hidden="1" customHeight="1" x14ac:dyDescent="0.25">
      <c r="A349" s="621" t="s">
        <v>114</v>
      </c>
      <c r="B349" s="621"/>
      <c r="C349" s="621"/>
      <c r="D349" s="621"/>
      <c r="E349" s="621"/>
      <c r="F349" s="621"/>
      <c r="G349" s="621"/>
      <c r="H349" s="621"/>
      <c r="I349" s="621"/>
      <c r="J349" s="621"/>
      <c r="K349" s="621"/>
      <c r="L349" s="621"/>
      <c r="M349" s="621"/>
      <c r="N349" s="621"/>
      <c r="O349" s="621"/>
      <c r="P349" s="621"/>
      <c r="Q349" s="621"/>
      <c r="R349" s="621"/>
      <c r="S349" s="621"/>
      <c r="T349" s="621"/>
      <c r="U349" s="621"/>
      <c r="V349" s="621"/>
      <c r="W349" s="621"/>
      <c r="X349" s="621"/>
      <c r="Y349" s="621"/>
      <c r="Z349" s="621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2">
        <v>4680115884847</v>
      </c>
      <c r="E350" s="622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4"/>
      <c r="R350" s="624"/>
      <c r="S350" s="624"/>
      <c r="T350" s="625"/>
      <c r="U350" s="37" t="s">
        <v>45</v>
      </c>
      <c r="V350" s="37" t="s">
        <v>45</v>
      </c>
      <c r="W350" s="38" t="s">
        <v>0</v>
      </c>
      <c r="X350" s="56">
        <v>480</v>
      </c>
      <c r="Y350" s="53">
        <f t="shared" ref="Y350:Y356" si="37">IFERROR(IF(X350="",0,CEILING((X350/$H350),1)*$H350),"")</f>
        <v>480</v>
      </c>
      <c r="Z350" s="39">
        <f>IFERROR(IF(Y350=0,"",ROUNDUP(Y350/H350,0)*0.02175),"")</f>
        <v>0.69599999999999995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495.04</v>
      </c>
      <c r="BN350" s="75">
        <f t="shared" ref="BN350:BN356" si="39">IFERROR(Y350*I350/H350,"0")</f>
        <v>495.04</v>
      </c>
      <c r="BO350" s="75">
        <f t="shared" ref="BO350:BO356" si="40">IFERROR(1/J350*(X350/H350),"0")</f>
        <v>0.66666666666666663</v>
      </c>
      <c r="BP350" s="75">
        <f t="shared" ref="BP350:BP356" si="41">IFERROR(1/J350*(Y350/H350),"0")</f>
        <v>0.66666666666666663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2">
        <v>4680115884854</v>
      </c>
      <c r="E351" s="622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4"/>
      <c r="R351" s="624"/>
      <c r="S351" s="624"/>
      <c r="T351" s="625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2">
        <v>4680115884830</v>
      </c>
      <c r="E352" s="622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4"/>
      <c r="R352" s="624"/>
      <c r="S352" s="624"/>
      <c r="T352" s="625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2">
        <v>4680115887046</v>
      </c>
      <c r="E353" s="622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80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4"/>
      <c r="R353" s="624"/>
      <c r="S353" s="624"/>
      <c r="T353" s="625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2">
        <v>4680115882638</v>
      </c>
      <c r="E354" s="622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4"/>
      <c r="R354" s="624"/>
      <c r="S354" s="624"/>
      <c r="T354" s="625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2">
        <v>4680115884922</v>
      </c>
      <c r="E355" s="622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4"/>
      <c r="R355" s="624"/>
      <c r="S355" s="624"/>
      <c r="T355" s="625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2">
        <v>4680115884861</v>
      </c>
      <c r="E356" s="622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4"/>
      <c r="R356" s="624"/>
      <c r="S356" s="624"/>
      <c r="T356" s="625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0" t="s">
        <v>39</v>
      </c>
      <c r="X357" s="41">
        <f>IFERROR(X350/H350,"0")+IFERROR(X351/H351,"0")+IFERROR(X352/H352,"0")+IFERROR(X353/H353,"0")+IFERROR(X354/H354,"0")+IFERROR(X355/H355,"0")+IFERROR(X356/H356,"0")</f>
        <v>84</v>
      </c>
      <c r="Y357" s="41">
        <f>IFERROR(Y350/H350,"0")+IFERROR(Y351/H351,"0")+IFERROR(Y352/H352,"0")+IFERROR(Y353/H353,"0")+IFERROR(Y354/H354,"0")+IFERROR(Y355/H355,"0")+IFERROR(Y356/H356,"0")</f>
        <v>84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1.827</v>
      </c>
      <c r="AA357" s="64"/>
      <c r="AB357" s="64"/>
      <c r="AC357" s="64"/>
    </row>
    <row r="358" spans="1:68" x14ac:dyDescent="0.2">
      <c r="A358" s="630"/>
      <c r="B358" s="630"/>
      <c r="C358" s="630"/>
      <c r="D358" s="630"/>
      <c r="E358" s="630"/>
      <c r="F358" s="630"/>
      <c r="G358" s="630"/>
      <c r="H358" s="630"/>
      <c r="I358" s="630"/>
      <c r="J358" s="630"/>
      <c r="K358" s="630"/>
      <c r="L358" s="630"/>
      <c r="M358" s="630"/>
      <c r="N358" s="630"/>
      <c r="O358" s="631"/>
      <c r="P358" s="627" t="s">
        <v>40</v>
      </c>
      <c r="Q358" s="628"/>
      <c r="R358" s="628"/>
      <c r="S358" s="628"/>
      <c r="T358" s="628"/>
      <c r="U358" s="628"/>
      <c r="V358" s="629"/>
      <c r="W358" s="40" t="s">
        <v>0</v>
      </c>
      <c r="X358" s="41">
        <f>IFERROR(SUM(X350:X356),"0")</f>
        <v>1260</v>
      </c>
      <c r="Y358" s="41">
        <f>IFERROR(SUM(Y350:Y356),"0")</f>
        <v>1260</v>
      </c>
      <c r="Z358" s="40"/>
      <c r="AA358" s="64"/>
      <c r="AB358" s="64"/>
      <c r="AC358" s="64"/>
    </row>
    <row r="359" spans="1:68" ht="14.25" hidden="1" customHeight="1" x14ac:dyDescent="0.25">
      <c r="A359" s="621" t="s">
        <v>147</v>
      </c>
      <c r="B359" s="621"/>
      <c r="C359" s="621"/>
      <c r="D359" s="621"/>
      <c r="E359" s="621"/>
      <c r="F359" s="621"/>
      <c r="G359" s="621"/>
      <c r="H359" s="621"/>
      <c r="I359" s="621"/>
      <c r="J359" s="621"/>
      <c r="K359" s="621"/>
      <c r="L359" s="621"/>
      <c r="M359" s="621"/>
      <c r="N359" s="621"/>
      <c r="O359" s="621"/>
      <c r="P359" s="621"/>
      <c r="Q359" s="621"/>
      <c r="R359" s="621"/>
      <c r="S359" s="621"/>
      <c r="T359" s="621"/>
      <c r="U359" s="621"/>
      <c r="V359" s="621"/>
      <c r="W359" s="621"/>
      <c r="X359" s="621"/>
      <c r="Y359" s="621"/>
      <c r="Z359" s="621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2">
        <v>4607091383980</v>
      </c>
      <c r="E360" s="622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4"/>
      <c r="R360" s="624"/>
      <c r="S360" s="624"/>
      <c r="T360" s="625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2">
        <v>4607091384178</v>
      </c>
      <c r="E361" s="622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4"/>
      <c r="R361" s="624"/>
      <c r="S361" s="624"/>
      <c r="T361" s="625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630"/>
      <c r="B363" s="630"/>
      <c r="C363" s="630"/>
      <c r="D363" s="630"/>
      <c r="E363" s="630"/>
      <c r="F363" s="630"/>
      <c r="G363" s="630"/>
      <c r="H363" s="630"/>
      <c r="I363" s="630"/>
      <c r="J363" s="630"/>
      <c r="K363" s="630"/>
      <c r="L363" s="630"/>
      <c r="M363" s="630"/>
      <c r="N363" s="630"/>
      <c r="O363" s="631"/>
      <c r="P363" s="627" t="s">
        <v>40</v>
      </c>
      <c r="Q363" s="628"/>
      <c r="R363" s="628"/>
      <c r="S363" s="628"/>
      <c r="T363" s="628"/>
      <c r="U363" s="628"/>
      <c r="V363" s="629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hidden="1" customHeight="1" x14ac:dyDescent="0.25">
      <c r="A364" s="621" t="s">
        <v>86</v>
      </c>
      <c r="B364" s="621"/>
      <c r="C364" s="621"/>
      <c r="D364" s="621"/>
      <c r="E364" s="621"/>
      <c r="F364" s="621"/>
      <c r="G364" s="621"/>
      <c r="H364" s="621"/>
      <c r="I364" s="621"/>
      <c r="J364" s="621"/>
      <c r="K364" s="621"/>
      <c r="L364" s="621"/>
      <c r="M364" s="621"/>
      <c r="N364" s="621"/>
      <c r="O364" s="621"/>
      <c r="P364" s="621"/>
      <c r="Q364" s="621"/>
      <c r="R364" s="621"/>
      <c r="S364" s="621"/>
      <c r="T364" s="621"/>
      <c r="U364" s="621"/>
      <c r="V364" s="621"/>
      <c r="W364" s="621"/>
      <c r="X364" s="621"/>
      <c r="Y364" s="621"/>
      <c r="Z364" s="621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2">
        <v>4607091383928</v>
      </c>
      <c r="E365" s="622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4"/>
      <c r="R365" s="624"/>
      <c r="S365" s="624"/>
      <c r="T365" s="62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2">
        <v>4607091384260</v>
      </c>
      <c r="E366" s="622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4"/>
      <c r="R366" s="624"/>
      <c r="S366" s="624"/>
      <c r="T366" s="62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30"/>
      <c r="B367" s="630"/>
      <c r="C367" s="630"/>
      <c r="D367" s="630"/>
      <c r="E367" s="630"/>
      <c r="F367" s="630"/>
      <c r="G367" s="630"/>
      <c r="H367" s="630"/>
      <c r="I367" s="630"/>
      <c r="J367" s="630"/>
      <c r="K367" s="630"/>
      <c r="L367" s="630"/>
      <c r="M367" s="630"/>
      <c r="N367" s="630"/>
      <c r="O367" s="631"/>
      <c r="P367" s="627" t="s">
        <v>40</v>
      </c>
      <c r="Q367" s="628"/>
      <c r="R367" s="628"/>
      <c r="S367" s="628"/>
      <c r="T367" s="628"/>
      <c r="U367" s="628"/>
      <c r="V367" s="629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30"/>
      <c r="B368" s="630"/>
      <c r="C368" s="630"/>
      <c r="D368" s="630"/>
      <c r="E368" s="630"/>
      <c r="F368" s="630"/>
      <c r="G368" s="630"/>
      <c r="H368" s="630"/>
      <c r="I368" s="630"/>
      <c r="J368" s="630"/>
      <c r="K368" s="630"/>
      <c r="L368" s="630"/>
      <c r="M368" s="630"/>
      <c r="N368" s="630"/>
      <c r="O368" s="631"/>
      <c r="P368" s="627" t="s">
        <v>40</v>
      </c>
      <c r="Q368" s="628"/>
      <c r="R368" s="628"/>
      <c r="S368" s="628"/>
      <c r="T368" s="628"/>
      <c r="U368" s="628"/>
      <c r="V368" s="629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21" t="s">
        <v>173</v>
      </c>
      <c r="B369" s="621"/>
      <c r="C369" s="621"/>
      <c r="D369" s="621"/>
      <c r="E369" s="621"/>
      <c r="F369" s="621"/>
      <c r="G369" s="621"/>
      <c r="H369" s="621"/>
      <c r="I369" s="621"/>
      <c r="J369" s="621"/>
      <c r="K369" s="621"/>
      <c r="L369" s="621"/>
      <c r="M369" s="621"/>
      <c r="N369" s="621"/>
      <c r="O369" s="621"/>
      <c r="P369" s="621"/>
      <c r="Q369" s="621"/>
      <c r="R369" s="621"/>
      <c r="S369" s="621"/>
      <c r="T369" s="621"/>
      <c r="U369" s="621"/>
      <c r="V369" s="621"/>
      <c r="W369" s="621"/>
      <c r="X369" s="621"/>
      <c r="Y369" s="621"/>
      <c r="Z369" s="621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2">
        <v>4607091384673</v>
      </c>
      <c r="E370" s="622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4"/>
      <c r="R370" s="624"/>
      <c r="S370" s="624"/>
      <c r="T370" s="625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620" t="s">
        <v>602</v>
      </c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0"/>
      <c r="P373" s="620"/>
      <c r="Q373" s="620"/>
      <c r="R373" s="620"/>
      <c r="S373" s="620"/>
      <c r="T373" s="620"/>
      <c r="U373" s="620"/>
      <c r="V373" s="620"/>
      <c r="W373" s="620"/>
      <c r="X373" s="620"/>
      <c r="Y373" s="620"/>
      <c r="Z373" s="620"/>
      <c r="AA373" s="62"/>
      <c r="AB373" s="62"/>
      <c r="AC373" s="62"/>
    </row>
    <row r="374" spans="1:68" ht="14.25" hidden="1" customHeight="1" x14ac:dyDescent="0.25">
      <c r="A374" s="621" t="s">
        <v>114</v>
      </c>
      <c r="B374" s="621"/>
      <c r="C374" s="621"/>
      <c r="D374" s="621"/>
      <c r="E374" s="621"/>
      <c r="F374" s="621"/>
      <c r="G374" s="621"/>
      <c r="H374" s="621"/>
      <c r="I374" s="621"/>
      <c r="J374" s="621"/>
      <c r="K374" s="621"/>
      <c r="L374" s="621"/>
      <c r="M374" s="621"/>
      <c r="N374" s="621"/>
      <c r="O374" s="621"/>
      <c r="P374" s="621"/>
      <c r="Q374" s="621"/>
      <c r="R374" s="621"/>
      <c r="S374" s="621"/>
      <c r="T374" s="621"/>
      <c r="U374" s="621"/>
      <c r="V374" s="621"/>
      <c r="W374" s="621"/>
      <c r="X374" s="621"/>
      <c r="Y374" s="621"/>
      <c r="Z374" s="621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2">
        <v>4680115884885</v>
      </c>
      <c r="E375" s="622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4"/>
      <c r="R375" s="624"/>
      <c r="S375" s="624"/>
      <c r="T375" s="625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2">
        <v>4680115884908</v>
      </c>
      <c r="E376" s="622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4"/>
      <c r="R376" s="624"/>
      <c r="S376" s="624"/>
      <c r="T376" s="62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30"/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1"/>
      <c r="P378" s="627" t="s">
        <v>40</v>
      </c>
      <c r="Q378" s="628"/>
      <c r="R378" s="628"/>
      <c r="S378" s="628"/>
      <c r="T378" s="628"/>
      <c r="U378" s="628"/>
      <c r="V378" s="629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21" t="s">
        <v>76</v>
      </c>
      <c r="B379" s="621"/>
      <c r="C379" s="621"/>
      <c r="D379" s="621"/>
      <c r="E379" s="621"/>
      <c r="F379" s="621"/>
      <c r="G379" s="621"/>
      <c r="H379" s="621"/>
      <c r="I379" s="621"/>
      <c r="J379" s="621"/>
      <c r="K379" s="621"/>
      <c r="L379" s="621"/>
      <c r="M379" s="621"/>
      <c r="N379" s="621"/>
      <c r="O379" s="621"/>
      <c r="P379" s="621"/>
      <c r="Q379" s="621"/>
      <c r="R379" s="621"/>
      <c r="S379" s="621"/>
      <c r="T379" s="621"/>
      <c r="U379" s="621"/>
      <c r="V379" s="621"/>
      <c r="W379" s="621"/>
      <c r="X379" s="621"/>
      <c r="Y379" s="621"/>
      <c r="Z379" s="621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2">
        <v>4607091384802</v>
      </c>
      <c r="E380" s="622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4"/>
      <c r="R380" s="624"/>
      <c r="S380" s="624"/>
      <c r="T380" s="625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1" t="s">
        <v>86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2">
        <v>4607091384246</v>
      </c>
      <c r="E384" s="622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4"/>
      <c r="R384" s="624"/>
      <c r="S384" s="624"/>
      <c r="T384" s="625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2">
        <v>4607091384253</v>
      </c>
      <c r="E385" s="622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4"/>
      <c r="R385" s="624"/>
      <c r="S385" s="624"/>
      <c r="T385" s="625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2">
        <v>4607091384253</v>
      </c>
      <c r="E386" s="622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4"/>
      <c r="R386" s="624"/>
      <c r="S386" s="624"/>
      <c r="T386" s="625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30"/>
      <c r="B387" s="630"/>
      <c r="C387" s="630"/>
      <c r="D387" s="630"/>
      <c r="E387" s="630"/>
      <c r="F387" s="630"/>
      <c r="G387" s="630"/>
      <c r="H387" s="630"/>
      <c r="I387" s="630"/>
      <c r="J387" s="630"/>
      <c r="K387" s="630"/>
      <c r="L387" s="630"/>
      <c r="M387" s="630"/>
      <c r="N387" s="630"/>
      <c r="O387" s="631"/>
      <c r="P387" s="627" t="s">
        <v>40</v>
      </c>
      <c r="Q387" s="628"/>
      <c r="R387" s="628"/>
      <c r="S387" s="628"/>
      <c r="T387" s="628"/>
      <c r="U387" s="628"/>
      <c r="V387" s="629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630"/>
      <c r="B388" s="630"/>
      <c r="C388" s="630"/>
      <c r="D388" s="630"/>
      <c r="E388" s="630"/>
      <c r="F388" s="630"/>
      <c r="G388" s="630"/>
      <c r="H388" s="630"/>
      <c r="I388" s="630"/>
      <c r="J388" s="630"/>
      <c r="K388" s="630"/>
      <c r="L388" s="630"/>
      <c r="M388" s="630"/>
      <c r="N388" s="630"/>
      <c r="O388" s="631"/>
      <c r="P388" s="627" t="s">
        <v>40</v>
      </c>
      <c r="Q388" s="628"/>
      <c r="R388" s="628"/>
      <c r="S388" s="628"/>
      <c r="T388" s="628"/>
      <c r="U388" s="628"/>
      <c r="V388" s="629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hidden="1" customHeight="1" x14ac:dyDescent="0.2">
      <c r="A389" s="619" t="s">
        <v>618</v>
      </c>
      <c r="B389" s="619"/>
      <c r="C389" s="619"/>
      <c r="D389" s="619"/>
      <c r="E389" s="619"/>
      <c r="F389" s="619"/>
      <c r="G389" s="619"/>
      <c r="H389" s="619"/>
      <c r="I389" s="619"/>
      <c r="J389" s="619"/>
      <c r="K389" s="619"/>
      <c r="L389" s="619"/>
      <c r="M389" s="619"/>
      <c r="N389" s="619"/>
      <c r="O389" s="619"/>
      <c r="P389" s="619"/>
      <c r="Q389" s="619"/>
      <c r="R389" s="619"/>
      <c r="S389" s="619"/>
      <c r="T389" s="619"/>
      <c r="U389" s="619"/>
      <c r="V389" s="619"/>
      <c r="W389" s="619"/>
      <c r="X389" s="619"/>
      <c r="Y389" s="619"/>
      <c r="Z389" s="619"/>
      <c r="AA389" s="52"/>
      <c r="AB389" s="52"/>
      <c r="AC389" s="52"/>
    </row>
    <row r="390" spans="1:68" ht="16.5" hidden="1" customHeight="1" x14ac:dyDescent="0.25">
      <c r="A390" s="620" t="s">
        <v>619</v>
      </c>
      <c r="B390" s="620"/>
      <c r="C390" s="620"/>
      <c r="D390" s="620"/>
      <c r="E390" s="620"/>
      <c r="F390" s="620"/>
      <c r="G390" s="620"/>
      <c r="H390" s="620"/>
      <c r="I390" s="620"/>
      <c r="J390" s="620"/>
      <c r="K390" s="620"/>
      <c r="L390" s="620"/>
      <c r="M390" s="620"/>
      <c r="N390" s="620"/>
      <c r="O390" s="620"/>
      <c r="P390" s="620"/>
      <c r="Q390" s="620"/>
      <c r="R390" s="620"/>
      <c r="S390" s="620"/>
      <c r="T390" s="620"/>
      <c r="U390" s="620"/>
      <c r="V390" s="620"/>
      <c r="W390" s="620"/>
      <c r="X390" s="620"/>
      <c r="Y390" s="620"/>
      <c r="Z390" s="620"/>
      <c r="AA390" s="62"/>
      <c r="AB390" s="62"/>
      <c r="AC390" s="62"/>
    </row>
    <row r="391" spans="1:68" ht="14.25" hidden="1" customHeight="1" x14ac:dyDescent="0.25">
      <c r="A391" s="621" t="s">
        <v>76</v>
      </c>
      <c r="B391" s="621"/>
      <c r="C391" s="621"/>
      <c r="D391" s="621"/>
      <c r="E391" s="621"/>
      <c r="F391" s="621"/>
      <c r="G391" s="621"/>
      <c r="H391" s="621"/>
      <c r="I391" s="621"/>
      <c r="J391" s="621"/>
      <c r="K391" s="621"/>
      <c r="L391" s="621"/>
      <c r="M391" s="621"/>
      <c r="N391" s="621"/>
      <c r="O391" s="621"/>
      <c r="P391" s="621"/>
      <c r="Q391" s="621"/>
      <c r="R391" s="621"/>
      <c r="S391" s="621"/>
      <c r="T391" s="621"/>
      <c r="U391" s="621"/>
      <c r="V391" s="621"/>
      <c r="W391" s="621"/>
      <c r="X391" s="621"/>
      <c r="Y391" s="621"/>
      <c r="Z391" s="621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2">
        <v>4680115886100</v>
      </c>
      <c r="E392" s="622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4"/>
      <c r="R392" s="624"/>
      <c r="S392" s="624"/>
      <c r="T392" s="625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2">
        <v>4680115886117</v>
      </c>
      <c r="E393" s="622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4"/>
      <c r="R393" s="624"/>
      <c r="S393" s="624"/>
      <c r="T393" s="625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2">
        <v>4680115886124</v>
      </c>
      <c r="E394" s="622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4"/>
      <c r="R394" s="624"/>
      <c r="S394" s="624"/>
      <c r="T394" s="625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2">
        <v>4680115883147</v>
      </c>
      <c r="E395" s="622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4"/>
      <c r="R395" s="624"/>
      <c r="S395" s="624"/>
      <c r="T395" s="625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2">
        <v>4607091384338</v>
      </c>
      <c r="E396" s="622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4"/>
      <c r="R396" s="624"/>
      <c r="S396" s="624"/>
      <c r="T396" s="625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2">
        <v>4607091389524</v>
      </c>
      <c r="E397" s="622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4"/>
      <c r="R397" s="624"/>
      <c r="S397" s="624"/>
      <c r="T397" s="625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2">
        <v>4680115883161</v>
      </c>
      <c r="E398" s="622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4"/>
      <c r="R398" s="624"/>
      <c r="S398" s="624"/>
      <c r="T398" s="625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2">
        <v>4607091389531</v>
      </c>
      <c r="E399" s="622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4"/>
      <c r="R399" s="624"/>
      <c r="S399" s="624"/>
      <c r="T399" s="625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2">
        <v>4607091384345</v>
      </c>
      <c r="E400" s="622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4"/>
      <c r="R400" s="624"/>
      <c r="S400" s="624"/>
      <c r="T400" s="625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30"/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1"/>
      <c r="P402" s="627" t="s">
        <v>40</v>
      </c>
      <c r="Q402" s="628"/>
      <c r="R402" s="628"/>
      <c r="S402" s="628"/>
      <c r="T402" s="628"/>
      <c r="U402" s="628"/>
      <c r="V402" s="629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21" t="s">
        <v>86</v>
      </c>
      <c r="B403" s="621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1"/>
      <c r="N403" s="621"/>
      <c r="O403" s="621"/>
      <c r="P403" s="621"/>
      <c r="Q403" s="621"/>
      <c r="R403" s="621"/>
      <c r="S403" s="621"/>
      <c r="T403" s="621"/>
      <c r="U403" s="621"/>
      <c r="V403" s="621"/>
      <c r="W403" s="621"/>
      <c r="X403" s="621"/>
      <c r="Y403" s="621"/>
      <c r="Z403" s="621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2">
        <v>4607091384352</v>
      </c>
      <c r="E404" s="622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4"/>
      <c r="R404" s="624"/>
      <c r="S404" s="624"/>
      <c r="T404" s="625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2">
        <v>4607091389654</v>
      </c>
      <c r="E405" s="622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4"/>
      <c r="R405" s="624"/>
      <c r="S405" s="624"/>
      <c r="T405" s="625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30"/>
      <c r="B407" s="630"/>
      <c r="C407" s="630"/>
      <c r="D407" s="630"/>
      <c r="E407" s="630"/>
      <c r="F407" s="630"/>
      <c r="G407" s="630"/>
      <c r="H407" s="630"/>
      <c r="I407" s="630"/>
      <c r="J407" s="630"/>
      <c r="K407" s="630"/>
      <c r="L407" s="630"/>
      <c r="M407" s="630"/>
      <c r="N407" s="630"/>
      <c r="O407" s="631"/>
      <c r="P407" s="627" t="s">
        <v>40</v>
      </c>
      <c r="Q407" s="628"/>
      <c r="R407" s="628"/>
      <c r="S407" s="628"/>
      <c r="T407" s="628"/>
      <c r="U407" s="628"/>
      <c r="V407" s="629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20" t="s">
        <v>650</v>
      </c>
      <c r="B408" s="620"/>
      <c r="C408" s="620"/>
      <c r="D408" s="620"/>
      <c r="E408" s="620"/>
      <c r="F408" s="620"/>
      <c r="G408" s="620"/>
      <c r="H408" s="620"/>
      <c r="I408" s="620"/>
      <c r="J408" s="620"/>
      <c r="K408" s="620"/>
      <c r="L408" s="620"/>
      <c r="M408" s="620"/>
      <c r="N408" s="620"/>
      <c r="O408" s="620"/>
      <c r="P408" s="620"/>
      <c r="Q408" s="620"/>
      <c r="R408" s="620"/>
      <c r="S408" s="620"/>
      <c r="T408" s="620"/>
      <c r="U408" s="620"/>
      <c r="V408" s="620"/>
      <c r="W408" s="620"/>
      <c r="X408" s="620"/>
      <c r="Y408" s="620"/>
      <c r="Z408" s="620"/>
      <c r="AA408" s="62"/>
      <c r="AB408" s="62"/>
      <c r="AC408" s="62"/>
    </row>
    <row r="409" spans="1:68" ht="14.25" hidden="1" customHeight="1" x14ac:dyDescent="0.25">
      <c r="A409" s="621" t="s">
        <v>147</v>
      </c>
      <c r="B409" s="621"/>
      <c r="C409" s="621"/>
      <c r="D409" s="621"/>
      <c r="E409" s="621"/>
      <c r="F409" s="621"/>
      <c r="G409" s="621"/>
      <c r="H409" s="621"/>
      <c r="I409" s="621"/>
      <c r="J409" s="621"/>
      <c r="K409" s="621"/>
      <c r="L409" s="621"/>
      <c r="M409" s="621"/>
      <c r="N409" s="621"/>
      <c r="O409" s="621"/>
      <c r="P409" s="621"/>
      <c r="Q409" s="621"/>
      <c r="R409" s="621"/>
      <c r="S409" s="621"/>
      <c r="T409" s="621"/>
      <c r="U409" s="621"/>
      <c r="V409" s="621"/>
      <c r="W409" s="621"/>
      <c r="X409" s="621"/>
      <c r="Y409" s="621"/>
      <c r="Z409" s="621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2">
        <v>4680115885240</v>
      </c>
      <c r="E410" s="622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4"/>
      <c r="R410" s="624"/>
      <c r="S410" s="624"/>
      <c r="T410" s="625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30"/>
      <c r="B411" s="630"/>
      <c r="C411" s="630"/>
      <c r="D411" s="630"/>
      <c r="E411" s="630"/>
      <c r="F411" s="630"/>
      <c r="G411" s="630"/>
      <c r="H411" s="630"/>
      <c r="I411" s="630"/>
      <c r="J411" s="630"/>
      <c r="K411" s="630"/>
      <c r="L411" s="630"/>
      <c r="M411" s="630"/>
      <c r="N411" s="630"/>
      <c r="O411" s="631"/>
      <c r="P411" s="627" t="s">
        <v>40</v>
      </c>
      <c r="Q411" s="628"/>
      <c r="R411" s="628"/>
      <c r="S411" s="628"/>
      <c r="T411" s="628"/>
      <c r="U411" s="628"/>
      <c r="V411" s="629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21" t="s">
        <v>76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2">
        <v>4680115886094</v>
      </c>
      <c r="E414" s="622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4"/>
      <c r="R414" s="624"/>
      <c r="S414" s="624"/>
      <c r="T414" s="62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2">
        <v>4680115880771</v>
      </c>
      <c r="E415" s="622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4"/>
      <c r="R415" s="624"/>
      <c r="S415" s="624"/>
      <c r="T415" s="62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2">
        <v>4607091389500</v>
      </c>
      <c r="E416" s="622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4"/>
      <c r="R416" s="624"/>
      <c r="S416" s="624"/>
      <c r="T416" s="625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20" t="s">
        <v>662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2"/>
      <c r="AB419" s="62"/>
      <c r="AC419" s="62"/>
    </row>
    <row r="420" spans="1:68" ht="14.25" hidden="1" customHeight="1" x14ac:dyDescent="0.25">
      <c r="A420" s="621" t="s">
        <v>76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2">
        <v>4680115885110</v>
      </c>
      <c r="E421" s="622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4"/>
      <c r="R421" s="624"/>
      <c r="S421" s="624"/>
      <c r="T421" s="625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30"/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1"/>
      <c r="P422" s="627" t="s">
        <v>40</v>
      </c>
      <c r="Q422" s="628"/>
      <c r="R422" s="628"/>
      <c r="S422" s="628"/>
      <c r="T422" s="628"/>
      <c r="U422" s="628"/>
      <c r="V422" s="629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30"/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1"/>
      <c r="P423" s="627" t="s">
        <v>40</v>
      </c>
      <c r="Q423" s="628"/>
      <c r="R423" s="628"/>
      <c r="S423" s="628"/>
      <c r="T423" s="628"/>
      <c r="U423" s="628"/>
      <c r="V423" s="629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9" t="s">
        <v>666</v>
      </c>
      <c r="B424" s="619"/>
      <c r="C424" s="619"/>
      <c r="D424" s="619"/>
      <c r="E424" s="619"/>
      <c r="F424" s="619"/>
      <c r="G424" s="619"/>
      <c r="H424" s="619"/>
      <c r="I424" s="619"/>
      <c r="J424" s="619"/>
      <c r="K424" s="619"/>
      <c r="L424" s="619"/>
      <c r="M424" s="619"/>
      <c r="N424" s="619"/>
      <c r="O424" s="619"/>
      <c r="P424" s="619"/>
      <c r="Q424" s="619"/>
      <c r="R424" s="619"/>
      <c r="S424" s="619"/>
      <c r="T424" s="619"/>
      <c r="U424" s="619"/>
      <c r="V424" s="619"/>
      <c r="W424" s="619"/>
      <c r="X424" s="619"/>
      <c r="Y424" s="619"/>
      <c r="Z424" s="619"/>
      <c r="AA424" s="52"/>
      <c r="AB424" s="52"/>
      <c r="AC424" s="52"/>
    </row>
    <row r="425" spans="1:68" ht="16.5" hidden="1" customHeight="1" x14ac:dyDescent="0.25">
      <c r="A425" s="620" t="s">
        <v>666</v>
      </c>
      <c r="B425" s="620"/>
      <c r="C425" s="620"/>
      <c r="D425" s="620"/>
      <c r="E425" s="620"/>
      <c r="F425" s="620"/>
      <c r="G425" s="620"/>
      <c r="H425" s="620"/>
      <c r="I425" s="620"/>
      <c r="J425" s="620"/>
      <c r="K425" s="620"/>
      <c r="L425" s="620"/>
      <c r="M425" s="620"/>
      <c r="N425" s="620"/>
      <c r="O425" s="620"/>
      <c r="P425" s="620"/>
      <c r="Q425" s="620"/>
      <c r="R425" s="620"/>
      <c r="S425" s="620"/>
      <c r="T425" s="620"/>
      <c r="U425" s="620"/>
      <c r="V425" s="620"/>
      <c r="W425" s="620"/>
      <c r="X425" s="620"/>
      <c r="Y425" s="620"/>
      <c r="Z425" s="620"/>
      <c r="AA425" s="62"/>
      <c r="AB425" s="62"/>
      <c r="AC425" s="62"/>
    </row>
    <row r="426" spans="1:68" ht="14.25" hidden="1" customHeight="1" x14ac:dyDescent="0.25">
      <c r="A426" s="621" t="s">
        <v>114</v>
      </c>
      <c r="B426" s="621"/>
      <c r="C426" s="621"/>
      <c r="D426" s="621"/>
      <c r="E426" s="621"/>
      <c r="F426" s="621"/>
      <c r="G426" s="621"/>
      <c r="H426" s="621"/>
      <c r="I426" s="621"/>
      <c r="J426" s="621"/>
      <c r="K426" s="621"/>
      <c r="L426" s="621"/>
      <c r="M426" s="621"/>
      <c r="N426" s="621"/>
      <c r="O426" s="621"/>
      <c r="P426" s="621"/>
      <c r="Q426" s="621"/>
      <c r="R426" s="621"/>
      <c r="S426" s="621"/>
      <c r="T426" s="621"/>
      <c r="U426" s="621"/>
      <c r="V426" s="621"/>
      <c r="W426" s="621"/>
      <c r="X426" s="621"/>
      <c r="Y426" s="621"/>
      <c r="Z426" s="621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2">
        <v>4607091389067</v>
      </c>
      <c r="E427" s="622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4"/>
      <c r="R427" s="624"/>
      <c r="S427" s="624"/>
      <c r="T427" s="625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2">
        <v>4607091383522</v>
      </c>
      <c r="E428" s="622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4"/>
      <c r="R428" s="624"/>
      <c r="S428" s="624"/>
      <c r="T428" s="625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2">
        <v>4607091383522</v>
      </c>
      <c r="E429" s="622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4"/>
      <c r="R429" s="624"/>
      <c r="S429" s="624"/>
      <c r="T429" s="625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2">
        <v>4680115885271</v>
      </c>
      <c r="E430" s="622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4"/>
      <c r="R430" s="624"/>
      <c r="S430" s="624"/>
      <c r="T430" s="625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2">
        <v>4680115885226</v>
      </c>
      <c r="E431" s="622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4"/>
      <c r="R431" s="624"/>
      <c r="S431" s="624"/>
      <c r="T431" s="625"/>
      <c r="U431" s="37" t="s">
        <v>45</v>
      </c>
      <c r="V431" s="37" t="s">
        <v>45</v>
      </c>
      <c r="W431" s="38" t="s">
        <v>0</v>
      </c>
      <c r="X431" s="56">
        <v>168.96</v>
      </c>
      <c r="Y431" s="53">
        <f t="shared" si="48"/>
        <v>168.96</v>
      </c>
      <c r="Z431" s="39">
        <f t="shared" si="49"/>
        <v>0.38272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180.16</v>
      </c>
      <c r="BN431" s="75">
        <f t="shared" si="51"/>
        <v>180.16</v>
      </c>
      <c r="BO431" s="75">
        <f t="shared" si="52"/>
        <v>0.30769230769230771</v>
      </c>
      <c r="BP431" s="75">
        <f t="shared" si="53"/>
        <v>0.30769230769230771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2">
        <v>4680115884502</v>
      </c>
      <c r="E432" s="622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4"/>
      <c r="R432" s="624"/>
      <c r="S432" s="624"/>
      <c r="T432" s="625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2">
        <v>4607091389104</v>
      </c>
      <c r="E433" s="622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4"/>
      <c r="R433" s="624"/>
      <c r="S433" s="624"/>
      <c r="T433" s="625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2">
        <v>4680115886391</v>
      </c>
      <c r="E434" s="622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4"/>
      <c r="R434" s="624"/>
      <c r="S434" s="624"/>
      <c r="T434" s="625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2">
        <v>4680115880603</v>
      </c>
      <c r="E435" s="622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4"/>
      <c r="R435" s="624"/>
      <c r="S435" s="624"/>
      <c r="T435" s="625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2">
        <v>4680115882782</v>
      </c>
      <c r="E436" s="622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4"/>
      <c r="R436" s="624"/>
      <c r="S436" s="624"/>
      <c r="T436" s="62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2">
        <v>4680115885479</v>
      </c>
      <c r="E437" s="622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4"/>
      <c r="R437" s="624"/>
      <c r="S437" s="624"/>
      <c r="T437" s="62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2">
        <v>4607091389982</v>
      </c>
      <c r="E438" s="622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4"/>
      <c r="R438" s="624"/>
      <c r="S438" s="624"/>
      <c r="T438" s="62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hidden="1" customHeight="1" x14ac:dyDescent="0.25">
      <c r="A441" s="621" t="s">
        <v>147</v>
      </c>
      <c r="B441" s="621"/>
      <c r="C441" s="621"/>
      <c r="D441" s="621"/>
      <c r="E441" s="621"/>
      <c r="F441" s="621"/>
      <c r="G441" s="621"/>
      <c r="H441" s="621"/>
      <c r="I441" s="621"/>
      <c r="J441" s="621"/>
      <c r="K441" s="621"/>
      <c r="L441" s="621"/>
      <c r="M441" s="621"/>
      <c r="N441" s="621"/>
      <c r="O441" s="621"/>
      <c r="P441" s="621"/>
      <c r="Q441" s="621"/>
      <c r="R441" s="621"/>
      <c r="S441" s="621"/>
      <c r="T441" s="621"/>
      <c r="U441" s="621"/>
      <c r="V441" s="621"/>
      <c r="W441" s="621"/>
      <c r="X441" s="621"/>
      <c r="Y441" s="621"/>
      <c r="Z441" s="621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622">
        <v>4607091388930</v>
      </c>
      <c r="E442" s="622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4"/>
      <c r="R442" s="624"/>
      <c r="S442" s="624"/>
      <c r="T442" s="625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2">
        <v>4680115886407</v>
      </c>
      <c r="E443" s="622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4"/>
      <c r="R443" s="624"/>
      <c r="S443" s="624"/>
      <c r="T443" s="625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2">
        <v>4680115880054</v>
      </c>
      <c r="E444" s="622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4"/>
      <c r="R444" s="624"/>
      <c r="S444" s="624"/>
      <c r="T444" s="625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30"/>
      <c r="B445" s="630"/>
      <c r="C445" s="630"/>
      <c r="D445" s="630"/>
      <c r="E445" s="630"/>
      <c r="F445" s="630"/>
      <c r="G445" s="630"/>
      <c r="H445" s="630"/>
      <c r="I445" s="630"/>
      <c r="J445" s="630"/>
      <c r="K445" s="630"/>
      <c r="L445" s="630"/>
      <c r="M445" s="630"/>
      <c r="N445" s="630"/>
      <c r="O445" s="631"/>
      <c r="P445" s="627" t="s">
        <v>40</v>
      </c>
      <c r="Q445" s="628"/>
      <c r="R445" s="628"/>
      <c r="S445" s="628"/>
      <c r="T445" s="628"/>
      <c r="U445" s="628"/>
      <c r="V445" s="629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30"/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1"/>
      <c r="P446" s="627" t="s">
        <v>40</v>
      </c>
      <c r="Q446" s="628"/>
      <c r="R446" s="628"/>
      <c r="S446" s="628"/>
      <c r="T446" s="628"/>
      <c r="U446" s="628"/>
      <c r="V446" s="629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21" t="s">
        <v>76</v>
      </c>
      <c r="B447" s="621"/>
      <c r="C447" s="621"/>
      <c r="D447" s="621"/>
      <c r="E447" s="621"/>
      <c r="F447" s="621"/>
      <c r="G447" s="621"/>
      <c r="H447" s="621"/>
      <c r="I447" s="621"/>
      <c r="J447" s="621"/>
      <c r="K447" s="621"/>
      <c r="L447" s="621"/>
      <c r="M447" s="621"/>
      <c r="N447" s="621"/>
      <c r="O447" s="621"/>
      <c r="P447" s="621"/>
      <c r="Q447" s="621"/>
      <c r="R447" s="621"/>
      <c r="S447" s="621"/>
      <c r="T447" s="621"/>
      <c r="U447" s="621"/>
      <c r="V447" s="621"/>
      <c r="W447" s="621"/>
      <c r="X447" s="621"/>
      <c r="Y447" s="621"/>
      <c r="Z447" s="621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2">
        <v>4680115883116</v>
      </c>
      <c r="E448" s="622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4"/>
      <c r="R448" s="624"/>
      <c r="S448" s="624"/>
      <c r="T448" s="625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2">
        <v>4680115883093</v>
      </c>
      <c r="E449" s="622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4"/>
      <c r="R449" s="624"/>
      <c r="S449" s="624"/>
      <c r="T449" s="625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2">
        <v>4680115883109</v>
      </c>
      <c r="E450" s="622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4"/>
      <c r="R450" s="624"/>
      <c r="S450" s="624"/>
      <c r="T450" s="625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2">
        <v>4680115882072</v>
      </c>
      <c r="E451" s="622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4"/>
      <c r="R451" s="624"/>
      <c r="S451" s="624"/>
      <c r="T451" s="625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2">
        <v>4680115882102</v>
      </c>
      <c r="E452" s="622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51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4"/>
      <c r="R452" s="624"/>
      <c r="S452" s="624"/>
      <c r="T452" s="625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2">
        <v>4680115882102</v>
      </c>
      <c r="E453" s="622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4"/>
      <c r="R453" s="624"/>
      <c r="S453" s="624"/>
      <c r="T453" s="625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2">
        <v>4680115882096</v>
      </c>
      <c r="E454" s="622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4"/>
      <c r="R454" s="624"/>
      <c r="S454" s="624"/>
      <c r="T454" s="625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0.47839999999999999</v>
      </c>
      <c r="AA455" s="64"/>
      <c r="AB455" s="64"/>
      <c r="AC455" s="64"/>
    </row>
    <row r="456" spans="1:68" x14ac:dyDescent="0.2">
      <c r="A456" s="630"/>
      <c r="B456" s="630"/>
      <c r="C456" s="630"/>
      <c r="D456" s="630"/>
      <c r="E456" s="630"/>
      <c r="F456" s="630"/>
      <c r="G456" s="630"/>
      <c r="H456" s="630"/>
      <c r="I456" s="630"/>
      <c r="J456" s="630"/>
      <c r="K456" s="630"/>
      <c r="L456" s="630"/>
      <c r="M456" s="630"/>
      <c r="N456" s="630"/>
      <c r="O456" s="631"/>
      <c r="P456" s="627" t="s">
        <v>40</v>
      </c>
      <c r="Q456" s="628"/>
      <c r="R456" s="628"/>
      <c r="S456" s="628"/>
      <c r="T456" s="628"/>
      <c r="U456" s="628"/>
      <c r="V456" s="629"/>
      <c r="W456" s="40" t="s">
        <v>0</v>
      </c>
      <c r="X456" s="41">
        <f>IFERROR(SUM(X448:X454),"0")</f>
        <v>211.20000000000002</v>
      </c>
      <c r="Y456" s="41">
        <f>IFERROR(SUM(Y448:Y454),"0")</f>
        <v>211.20000000000002</v>
      </c>
      <c r="Z456" s="40"/>
      <c r="AA456" s="64"/>
      <c r="AB456" s="64"/>
      <c r="AC456" s="64"/>
    </row>
    <row r="457" spans="1:68" ht="27.75" hidden="1" customHeight="1" x14ac:dyDescent="0.2">
      <c r="A457" s="619" t="s">
        <v>718</v>
      </c>
      <c r="B457" s="619"/>
      <c r="C457" s="619"/>
      <c r="D457" s="619"/>
      <c r="E457" s="619"/>
      <c r="F457" s="619"/>
      <c r="G457" s="619"/>
      <c r="H457" s="619"/>
      <c r="I457" s="619"/>
      <c r="J457" s="619"/>
      <c r="K457" s="619"/>
      <c r="L457" s="619"/>
      <c r="M457" s="619"/>
      <c r="N457" s="619"/>
      <c r="O457" s="619"/>
      <c r="P457" s="619"/>
      <c r="Q457" s="619"/>
      <c r="R457" s="619"/>
      <c r="S457" s="619"/>
      <c r="T457" s="619"/>
      <c r="U457" s="619"/>
      <c r="V457" s="619"/>
      <c r="W457" s="619"/>
      <c r="X457" s="619"/>
      <c r="Y457" s="619"/>
      <c r="Z457" s="619"/>
      <c r="AA457" s="52"/>
      <c r="AB457" s="52"/>
      <c r="AC457" s="52"/>
    </row>
    <row r="458" spans="1:68" ht="16.5" hidden="1" customHeight="1" x14ac:dyDescent="0.25">
      <c r="A458" s="620" t="s">
        <v>718</v>
      </c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0"/>
      <c r="P458" s="620"/>
      <c r="Q458" s="620"/>
      <c r="R458" s="620"/>
      <c r="S458" s="620"/>
      <c r="T458" s="620"/>
      <c r="U458" s="620"/>
      <c r="V458" s="620"/>
      <c r="W458" s="620"/>
      <c r="X458" s="620"/>
      <c r="Y458" s="620"/>
      <c r="Z458" s="620"/>
      <c r="AA458" s="62"/>
      <c r="AB458" s="62"/>
      <c r="AC458" s="62"/>
    </row>
    <row r="459" spans="1:68" ht="14.25" hidden="1" customHeight="1" x14ac:dyDescent="0.25">
      <c r="A459" s="621" t="s">
        <v>114</v>
      </c>
      <c r="B459" s="621"/>
      <c r="C459" s="621"/>
      <c r="D459" s="621"/>
      <c r="E459" s="621"/>
      <c r="F459" s="621"/>
      <c r="G459" s="621"/>
      <c r="H459" s="621"/>
      <c r="I459" s="621"/>
      <c r="J459" s="621"/>
      <c r="K459" s="621"/>
      <c r="L459" s="621"/>
      <c r="M459" s="621"/>
      <c r="N459" s="621"/>
      <c r="O459" s="621"/>
      <c r="P459" s="621"/>
      <c r="Q459" s="621"/>
      <c r="R459" s="621"/>
      <c r="S459" s="621"/>
      <c r="T459" s="621"/>
      <c r="U459" s="621"/>
      <c r="V459" s="621"/>
      <c r="W459" s="621"/>
      <c r="X459" s="621"/>
      <c r="Y459" s="621"/>
      <c r="Z459" s="621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2">
        <v>4640242181011</v>
      </c>
      <c r="E460" s="622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4"/>
      <c r="R460" s="624"/>
      <c r="S460" s="624"/>
      <c r="T460" s="625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2">
        <v>4640242180441</v>
      </c>
      <c r="E461" s="622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4"/>
      <c r="R461" s="624"/>
      <c r="S461" s="624"/>
      <c r="T461" s="625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2">
        <v>4640242180564</v>
      </c>
      <c r="E462" s="622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4"/>
      <c r="R462" s="624"/>
      <c r="S462" s="624"/>
      <c r="T462" s="62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2">
        <v>4640242181189</v>
      </c>
      <c r="E463" s="622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4"/>
      <c r="R463" s="624"/>
      <c r="S463" s="624"/>
      <c r="T463" s="62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30"/>
      <c r="B465" s="630"/>
      <c r="C465" s="630"/>
      <c r="D465" s="630"/>
      <c r="E465" s="630"/>
      <c r="F465" s="630"/>
      <c r="G465" s="630"/>
      <c r="H465" s="630"/>
      <c r="I465" s="630"/>
      <c r="J465" s="630"/>
      <c r="K465" s="630"/>
      <c r="L465" s="630"/>
      <c r="M465" s="630"/>
      <c r="N465" s="630"/>
      <c r="O465" s="631"/>
      <c r="P465" s="627" t="s">
        <v>40</v>
      </c>
      <c r="Q465" s="628"/>
      <c r="R465" s="628"/>
      <c r="S465" s="628"/>
      <c r="T465" s="628"/>
      <c r="U465" s="628"/>
      <c r="V465" s="629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1" t="s">
        <v>147</v>
      </c>
      <c r="B466" s="621"/>
      <c r="C466" s="621"/>
      <c r="D466" s="621"/>
      <c r="E466" s="621"/>
      <c r="F466" s="621"/>
      <c r="G466" s="621"/>
      <c r="H466" s="621"/>
      <c r="I466" s="621"/>
      <c r="J466" s="621"/>
      <c r="K466" s="621"/>
      <c r="L466" s="621"/>
      <c r="M466" s="621"/>
      <c r="N466" s="621"/>
      <c r="O466" s="621"/>
      <c r="P466" s="621"/>
      <c r="Q466" s="621"/>
      <c r="R466" s="621"/>
      <c r="S466" s="621"/>
      <c r="T466" s="621"/>
      <c r="U466" s="621"/>
      <c r="V466" s="621"/>
      <c r="W466" s="621"/>
      <c r="X466" s="621"/>
      <c r="Y466" s="621"/>
      <c r="Z466" s="621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2">
        <v>4640242180519</v>
      </c>
      <c r="E467" s="622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4"/>
      <c r="R467" s="624"/>
      <c r="S467" s="624"/>
      <c r="T467" s="625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30"/>
      <c r="B468" s="630"/>
      <c r="C468" s="630"/>
      <c r="D468" s="630"/>
      <c r="E468" s="630"/>
      <c r="F468" s="630"/>
      <c r="G468" s="630"/>
      <c r="H468" s="630"/>
      <c r="I468" s="630"/>
      <c r="J468" s="630"/>
      <c r="K468" s="630"/>
      <c r="L468" s="630"/>
      <c r="M468" s="630"/>
      <c r="N468" s="630"/>
      <c r="O468" s="631"/>
      <c r="P468" s="627" t="s">
        <v>40</v>
      </c>
      <c r="Q468" s="628"/>
      <c r="R468" s="628"/>
      <c r="S468" s="628"/>
      <c r="T468" s="628"/>
      <c r="U468" s="628"/>
      <c r="V468" s="629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21" t="s">
        <v>76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2">
        <v>4640242180595</v>
      </c>
      <c r="E471" s="622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4"/>
      <c r="R471" s="624"/>
      <c r="S471" s="624"/>
      <c r="T471" s="62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30"/>
      <c r="B472" s="630"/>
      <c r="C472" s="630"/>
      <c r="D472" s="630"/>
      <c r="E472" s="630"/>
      <c r="F472" s="630"/>
      <c r="G472" s="630"/>
      <c r="H472" s="630"/>
      <c r="I472" s="630"/>
      <c r="J472" s="630"/>
      <c r="K472" s="630"/>
      <c r="L472" s="630"/>
      <c r="M472" s="630"/>
      <c r="N472" s="630"/>
      <c r="O472" s="631"/>
      <c r="P472" s="627" t="s">
        <v>40</v>
      </c>
      <c r="Q472" s="628"/>
      <c r="R472" s="628"/>
      <c r="S472" s="628"/>
      <c r="T472" s="628"/>
      <c r="U472" s="628"/>
      <c r="V472" s="62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30"/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1"/>
      <c r="P473" s="627" t="s">
        <v>40</v>
      </c>
      <c r="Q473" s="628"/>
      <c r="R473" s="628"/>
      <c r="S473" s="628"/>
      <c r="T473" s="628"/>
      <c r="U473" s="628"/>
      <c r="V473" s="62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21" t="s">
        <v>86</v>
      </c>
      <c r="B474" s="621"/>
      <c r="C474" s="621"/>
      <c r="D474" s="621"/>
      <c r="E474" s="621"/>
      <c r="F474" s="621"/>
      <c r="G474" s="621"/>
      <c r="H474" s="621"/>
      <c r="I474" s="621"/>
      <c r="J474" s="621"/>
      <c r="K474" s="621"/>
      <c r="L474" s="621"/>
      <c r="M474" s="621"/>
      <c r="N474" s="621"/>
      <c r="O474" s="621"/>
      <c r="P474" s="621"/>
      <c r="Q474" s="621"/>
      <c r="R474" s="621"/>
      <c r="S474" s="621"/>
      <c r="T474" s="621"/>
      <c r="U474" s="621"/>
      <c r="V474" s="621"/>
      <c r="W474" s="621"/>
      <c r="X474" s="621"/>
      <c r="Y474" s="621"/>
      <c r="Z474" s="621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2">
        <v>4640242180533</v>
      </c>
      <c r="E475" s="622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4"/>
      <c r="R475" s="624"/>
      <c r="S475" s="624"/>
      <c r="T475" s="625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30"/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1"/>
      <c r="P476" s="627" t="s">
        <v>40</v>
      </c>
      <c r="Q476" s="628"/>
      <c r="R476" s="628"/>
      <c r="S476" s="628"/>
      <c r="T476" s="628"/>
      <c r="U476" s="628"/>
      <c r="V476" s="62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30"/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1"/>
      <c r="P477" s="627" t="s">
        <v>40</v>
      </c>
      <c r="Q477" s="628"/>
      <c r="R477" s="628"/>
      <c r="S477" s="628"/>
      <c r="T477" s="628"/>
      <c r="U477" s="628"/>
      <c r="V477" s="62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21" t="s">
        <v>173</v>
      </c>
      <c r="B478" s="621"/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621"/>
      <c r="N478" s="621"/>
      <c r="O478" s="621"/>
      <c r="P478" s="621"/>
      <c r="Q478" s="621"/>
      <c r="R478" s="621"/>
      <c r="S478" s="621"/>
      <c r="T478" s="621"/>
      <c r="U478" s="621"/>
      <c r="V478" s="621"/>
      <c r="W478" s="621"/>
      <c r="X478" s="621"/>
      <c r="Y478" s="621"/>
      <c r="Z478" s="621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2">
        <v>4640242180120</v>
      </c>
      <c r="E479" s="622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4"/>
      <c r="R479" s="624"/>
      <c r="S479" s="624"/>
      <c r="T479" s="625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2">
        <v>4640242180137</v>
      </c>
      <c r="E480" s="622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4"/>
      <c r="R480" s="624"/>
      <c r="S480" s="624"/>
      <c r="T480" s="62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30"/>
      <c r="B481" s="630"/>
      <c r="C481" s="630"/>
      <c r="D481" s="630"/>
      <c r="E481" s="630"/>
      <c r="F481" s="630"/>
      <c r="G481" s="630"/>
      <c r="H481" s="630"/>
      <c r="I481" s="630"/>
      <c r="J481" s="630"/>
      <c r="K481" s="630"/>
      <c r="L481" s="630"/>
      <c r="M481" s="630"/>
      <c r="N481" s="630"/>
      <c r="O481" s="631"/>
      <c r="P481" s="627" t="s">
        <v>40</v>
      </c>
      <c r="Q481" s="628"/>
      <c r="R481" s="628"/>
      <c r="S481" s="628"/>
      <c r="T481" s="628"/>
      <c r="U481" s="628"/>
      <c r="V481" s="629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30"/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  <c r="M482" s="630"/>
      <c r="N482" s="630"/>
      <c r="O482" s="631"/>
      <c r="P482" s="627" t="s">
        <v>40</v>
      </c>
      <c r="Q482" s="628"/>
      <c r="R482" s="628"/>
      <c r="S482" s="628"/>
      <c r="T482" s="628"/>
      <c r="U482" s="628"/>
      <c r="V482" s="629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20" t="s">
        <v>745</v>
      </c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0"/>
      <c r="P483" s="620"/>
      <c r="Q483" s="620"/>
      <c r="R483" s="620"/>
      <c r="S483" s="620"/>
      <c r="T483" s="620"/>
      <c r="U483" s="620"/>
      <c r="V483" s="620"/>
      <c r="W483" s="620"/>
      <c r="X483" s="620"/>
      <c r="Y483" s="620"/>
      <c r="Z483" s="620"/>
      <c r="AA483" s="62"/>
      <c r="AB483" s="62"/>
      <c r="AC483" s="62"/>
    </row>
    <row r="484" spans="1:68" ht="14.25" hidden="1" customHeight="1" x14ac:dyDescent="0.25">
      <c r="A484" s="621" t="s">
        <v>147</v>
      </c>
      <c r="B484" s="621"/>
      <c r="C484" s="621"/>
      <c r="D484" s="621"/>
      <c r="E484" s="621"/>
      <c r="F484" s="621"/>
      <c r="G484" s="621"/>
      <c r="H484" s="621"/>
      <c r="I484" s="621"/>
      <c r="J484" s="621"/>
      <c r="K484" s="621"/>
      <c r="L484" s="621"/>
      <c r="M484" s="621"/>
      <c r="N484" s="621"/>
      <c r="O484" s="621"/>
      <c r="P484" s="621"/>
      <c r="Q484" s="621"/>
      <c r="R484" s="621"/>
      <c r="S484" s="621"/>
      <c r="T484" s="621"/>
      <c r="U484" s="621"/>
      <c r="V484" s="621"/>
      <c r="W484" s="621"/>
      <c r="X484" s="621"/>
      <c r="Y484" s="621"/>
      <c r="Z484" s="621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2">
        <v>4640242180090</v>
      </c>
      <c r="E485" s="622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4"/>
      <c r="R485" s="624"/>
      <c r="S485" s="624"/>
      <c r="T485" s="625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30"/>
      <c r="B486" s="630"/>
      <c r="C486" s="630"/>
      <c r="D486" s="630"/>
      <c r="E486" s="630"/>
      <c r="F486" s="630"/>
      <c r="G486" s="630"/>
      <c r="H486" s="630"/>
      <c r="I486" s="630"/>
      <c r="J486" s="630"/>
      <c r="K486" s="630"/>
      <c r="L486" s="630"/>
      <c r="M486" s="630"/>
      <c r="N486" s="630"/>
      <c r="O486" s="631"/>
      <c r="P486" s="627" t="s">
        <v>40</v>
      </c>
      <c r="Q486" s="628"/>
      <c r="R486" s="628"/>
      <c r="S486" s="628"/>
      <c r="T486" s="628"/>
      <c r="U486" s="628"/>
      <c r="V486" s="629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30"/>
      <c r="B487" s="630"/>
      <c r="C487" s="630"/>
      <c r="D487" s="630"/>
      <c r="E487" s="630"/>
      <c r="F487" s="630"/>
      <c r="G487" s="630"/>
      <c r="H487" s="630"/>
      <c r="I487" s="630"/>
      <c r="J487" s="630"/>
      <c r="K487" s="630"/>
      <c r="L487" s="630"/>
      <c r="M487" s="630"/>
      <c r="N487" s="630"/>
      <c r="O487" s="631"/>
      <c r="P487" s="627" t="s">
        <v>40</v>
      </c>
      <c r="Q487" s="628"/>
      <c r="R487" s="628"/>
      <c r="S487" s="628"/>
      <c r="T487" s="628"/>
      <c r="U487" s="628"/>
      <c r="V487" s="629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867"/>
      <c r="P488" s="864" t="s">
        <v>33</v>
      </c>
      <c r="Q488" s="865"/>
      <c r="R488" s="865"/>
      <c r="S488" s="865"/>
      <c r="T488" s="865"/>
      <c r="U488" s="865"/>
      <c r="V488" s="8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7114.84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7114.8400000000011</v>
      </c>
      <c r="Z488" s="40"/>
      <c r="AA488" s="64"/>
      <c r="AB488" s="64"/>
      <c r="AC488" s="64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867"/>
      <c r="P489" s="864" t="s">
        <v>34</v>
      </c>
      <c r="Q489" s="865"/>
      <c r="R489" s="865"/>
      <c r="S489" s="865"/>
      <c r="T489" s="865"/>
      <c r="U489" s="865"/>
      <c r="V489" s="866"/>
      <c r="W489" s="40" t="s">
        <v>0</v>
      </c>
      <c r="X489" s="41">
        <f>IFERROR(SUM(BM22:BM485),"0")</f>
        <v>7473.5120000000006</v>
      </c>
      <c r="Y489" s="41">
        <f>IFERROR(SUM(BN22:BN485),"0")</f>
        <v>7473.5120000000006</v>
      </c>
      <c r="Z489" s="40"/>
      <c r="AA489" s="64"/>
      <c r="AB489" s="64"/>
      <c r="AC489" s="64"/>
    </row>
    <row r="490" spans="1:68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35</v>
      </c>
      <c r="Q490" s="865"/>
      <c r="R490" s="865"/>
      <c r="S490" s="865"/>
      <c r="T490" s="865"/>
      <c r="U490" s="865"/>
      <c r="V490" s="866"/>
      <c r="W490" s="40" t="s">
        <v>20</v>
      </c>
      <c r="X490" s="42">
        <f>ROUNDUP(SUM(BO22:BO485),0)</f>
        <v>12</v>
      </c>
      <c r="Y490" s="42">
        <f>ROUNDUP(SUM(BP22:BP485),0)</f>
        <v>12</v>
      </c>
      <c r="Z490" s="40"/>
      <c r="AA490" s="64"/>
      <c r="AB490" s="64"/>
      <c r="AC490" s="64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36</v>
      </c>
      <c r="Q491" s="865"/>
      <c r="R491" s="865"/>
      <c r="S491" s="865"/>
      <c r="T491" s="865"/>
      <c r="U491" s="865"/>
      <c r="V491" s="866"/>
      <c r="W491" s="40" t="s">
        <v>0</v>
      </c>
      <c r="X491" s="41">
        <f>GrossWeightTotal+PalletQtyTotal*25</f>
        <v>7773.5120000000006</v>
      </c>
      <c r="Y491" s="41">
        <f>GrossWeightTotalR+PalletQtyTotalR*25</f>
        <v>7773.5120000000006</v>
      </c>
      <c r="Z491" s="40"/>
      <c r="AA491" s="64"/>
      <c r="AB491" s="64"/>
      <c r="AC491" s="64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37</v>
      </c>
      <c r="Q492" s="865"/>
      <c r="R492" s="865"/>
      <c r="S492" s="865"/>
      <c r="T492" s="865"/>
      <c r="U492" s="865"/>
      <c r="V492" s="8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978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978</v>
      </c>
      <c r="Z492" s="40"/>
      <c r="AA492" s="64"/>
      <c r="AB492" s="64"/>
      <c r="AC492" s="64"/>
    </row>
    <row r="493" spans="1:68" ht="14.25" hidden="1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38</v>
      </c>
      <c r="Q493" s="865"/>
      <c r="R493" s="865"/>
      <c r="S493" s="865"/>
      <c r="T493" s="865"/>
      <c r="U493" s="865"/>
      <c r="V493" s="8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13.967880000000001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70" t="s">
        <v>112</v>
      </c>
      <c r="D495" s="870" t="s">
        <v>112</v>
      </c>
      <c r="E495" s="870" t="s">
        <v>112</v>
      </c>
      <c r="F495" s="870" t="s">
        <v>112</v>
      </c>
      <c r="G495" s="870" t="s">
        <v>112</v>
      </c>
      <c r="H495" s="870" t="s">
        <v>112</v>
      </c>
      <c r="I495" s="870" t="s">
        <v>275</v>
      </c>
      <c r="J495" s="870" t="s">
        <v>275</v>
      </c>
      <c r="K495" s="870" t="s">
        <v>275</v>
      </c>
      <c r="L495" s="870" t="s">
        <v>275</v>
      </c>
      <c r="M495" s="870" t="s">
        <v>275</v>
      </c>
      <c r="N495" s="871"/>
      <c r="O495" s="870" t="s">
        <v>275</v>
      </c>
      <c r="P495" s="870" t="s">
        <v>275</v>
      </c>
      <c r="Q495" s="870" t="s">
        <v>275</v>
      </c>
      <c r="R495" s="870" t="s">
        <v>275</v>
      </c>
      <c r="S495" s="870" t="s">
        <v>565</v>
      </c>
      <c r="T495" s="870" t="s">
        <v>565</v>
      </c>
      <c r="U495" s="870" t="s">
        <v>618</v>
      </c>
      <c r="V495" s="870" t="s">
        <v>618</v>
      </c>
      <c r="W495" s="870" t="s">
        <v>618</v>
      </c>
      <c r="X495" s="80" t="s">
        <v>666</v>
      </c>
      <c r="Y495" s="870" t="s">
        <v>718</v>
      </c>
      <c r="Z495" s="870" t="s">
        <v>718</v>
      </c>
      <c r="AB495" s="9"/>
      <c r="AC495" s="9"/>
      <c r="AF495" s="1"/>
    </row>
    <row r="496" spans="1:68" ht="14.25" customHeight="1" thickTop="1" x14ac:dyDescent="0.2">
      <c r="A496" s="868" t="s">
        <v>10</v>
      </c>
      <c r="B496" s="870" t="s">
        <v>75</v>
      </c>
      <c r="C496" s="870" t="s">
        <v>113</v>
      </c>
      <c r="D496" s="870" t="s">
        <v>128</v>
      </c>
      <c r="E496" s="870" t="s">
        <v>180</v>
      </c>
      <c r="F496" s="870" t="s">
        <v>201</v>
      </c>
      <c r="G496" s="870" t="s">
        <v>238</v>
      </c>
      <c r="H496" s="870" t="s">
        <v>112</v>
      </c>
      <c r="I496" s="870" t="s">
        <v>276</v>
      </c>
      <c r="J496" s="870" t="s">
        <v>334</v>
      </c>
      <c r="K496" s="870" t="s">
        <v>393</v>
      </c>
      <c r="L496" s="870" t="s">
        <v>432</v>
      </c>
      <c r="M496" s="870" t="s">
        <v>448</v>
      </c>
      <c r="N496" s="1"/>
      <c r="O496" s="870" t="s">
        <v>459</v>
      </c>
      <c r="P496" s="870" t="s">
        <v>468</v>
      </c>
      <c r="Q496" s="870" t="s">
        <v>481</v>
      </c>
      <c r="R496" s="870" t="s">
        <v>555</v>
      </c>
      <c r="S496" s="870" t="s">
        <v>566</v>
      </c>
      <c r="T496" s="870" t="s">
        <v>602</v>
      </c>
      <c r="U496" s="870" t="s">
        <v>619</v>
      </c>
      <c r="V496" s="870" t="s">
        <v>650</v>
      </c>
      <c r="W496" s="870" t="s">
        <v>662</v>
      </c>
      <c r="X496" s="870" t="s">
        <v>666</v>
      </c>
      <c r="Y496" s="870" t="s">
        <v>718</v>
      </c>
      <c r="Z496" s="870" t="s">
        <v>745</v>
      </c>
      <c r="AB496" s="9"/>
      <c r="AC496" s="9"/>
      <c r="AF496" s="1"/>
    </row>
    <row r="497" spans="1:32" ht="13.5" thickBot="1" x14ac:dyDescent="0.25">
      <c r="A497" s="869"/>
      <c r="B497" s="870"/>
      <c r="C497" s="870"/>
      <c r="D497" s="870"/>
      <c r="E497" s="870"/>
      <c r="F497" s="870"/>
      <c r="G497" s="870"/>
      <c r="H497" s="870"/>
      <c r="I497" s="870"/>
      <c r="J497" s="870"/>
      <c r="K497" s="870"/>
      <c r="L497" s="870"/>
      <c r="M497" s="870"/>
      <c r="N497" s="1"/>
      <c r="O497" s="870"/>
      <c r="P497" s="870"/>
      <c r="Q497" s="870"/>
      <c r="R497" s="870"/>
      <c r="S497" s="870"/>
      <c r="T497" s="870"/>
      <c r="U497" s="870"/>
      <c r="V497" s="870"/>
      <c r="W497" s="870"/>
      <c r="X497" s="870"/>
      <c r="Y497" s="870"/>
      <c r="Z497" s="870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524.80000000000007</v>
      </c>
      <c r="E498" s="50">
        <f>IFERROR(Y86*1,"0")+IFERROR(Y87*1,"0")+IFERROR(Y88*1,"0")+IFERROR(Y89*1,"0")+IFERROR(Y93*1,"0")+IFERROR(Y94*1,"0")+IFERROR(Y95*1,"0")+IFERROR(Y96*1,"0")</f>
        <v>442.8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907.2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138.60000000000002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1094.4000000000001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576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1524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675.84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2"/>
        <filter val="120,00"/>
        <filter val="129,60"/>
        <filter val="134,40"/>
        <filter val="138,60"/>
        <filter val="144,00"/>
        <filter val="16,00"/>
        <filter val="168,00"/>
        <filter val="168,96"/>
        <filter val="172,80"/>
        <filter val="179,20"/>
        <filter val="194,40"/>
        <filter val="211,20"/>
        <filter val="24,00"/>
        <filter val="240,00"/>
        <filter val="259,20"/>
        <filter val="270,00"/>
        <filter val="28,80"/>
        <filter val="295,68"/>
        <filter val="324,00"/>
        <filter val="360,00"/>
        <filter val="37,80"/>
        <filter val="374,40"/>
        <filter val="388,80"/>
        <filter val="40,00"/>
        <filter val="417,60"/>
        <filter val="42,00"/>
        <filter val="42,24"/>
        <filter val="438,40"/>
        <filter val="464,64"/>
        <filter val="48,00"/>
        <filter val="480,00"/>
        <filter val="50,40"/>
        <filter val="518,40"/>
        <filter val="52,00"/>
        <filter val="540,00"/>
        <filter val="57,60"/>
        <filter val="576,00"/>
        <filter val="64,00"/>
        <filter val="64,80"/>
        <filter val="67,20"/>
        <filter val="691,20"/>
        <filter val="7 114,84"/>
        <filter val="7 473,51"/>
        <filter val="7 773,51"/>
        <filter val="705,60"/>
        <filter val="72,00"/>
        <filter val="75,60"/>
        <filter val="8,00"/>
        <filter val="84,00"/>
        <filter val="84,48"/>
        <filter val="86,40"/>
        <filter val="88,00"/>
        <filter val="978,0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2026-07-08T11:21:18Z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