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ED4192A-7AD1-40DA-A45D-6E8F2603157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BN521" i="2" s="1"/>
  <c r="P521" i="2"/>
  <c r="X519" i="2"/>
  <c r="X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Y510" i="2" s="1"/>
  <c r="P508" i="2"/>
  <c r="X504" i="2"/>
  <c r="X503" i="2"/>
  <c r="BO502" i="2"/>
  <c r="BM502" i="2"/>
  <c r="Y502" i="2"/>
  <c r="BP502" i="2" s="1"/>
  <c r="P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N491" i="2" s="1"/>
  <c r="P491" i="2"/>
  <c r="BO490" i="2"/>
  <c r="BM490" i="2"/>
  <c r="Y490" i="2"/>
  <c r="BN490" i="2" s="1"/>
  <c r="P490" i="2"/>
  <c r="X488" i="2"/>
  <c r="X487" i="2"/>
  <c r="BO486" i="2"/>
  <c r="BM486" i="2"/>
  <c r="Y486" i="2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BP480" i="2" s="1"/>
  <c r="P480" i="2"/>
  <c r="BO479" i="2"/>
  <c r="BM479" i="2"/>
  <c r="Y479" i="2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P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P461" i="2"/>
  <c r="BO460" i="2"/>
  <c r="BM460" i="2"/>
  <c r="Y460" i="2"/>
  <c r="Y463" i="2" s="1"/>
  <c r="P460" i="2"/>
  <c r="X458" i="2"/>
  <c r="X457" i="2"/>
  <c r="BO456" i="2"/>
  <c r="BM456" i="2"/>
  <c r="Y456" i="2"/>
  <c r="P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Y440" i="2" s="1"/>
  <c r="P439" i="2"/>
  <c r="X437" i="2"/>
  <c r="X436" i="2"/>
  <c r="BO435" i="2"/>
  <c r="BM435" i="2"/>
  <c r="Z435" i="2"/>
  <c r="Y435" i="2"/>
  <c r="BP435" i="2" s="1"/>
  <c r="P435" i="2"/>
  <c r="BO434" i="2"/>
  <c r="BM434" i="2"/>
  <c r="Y434" i="2"/>
  <c r="BP434" i="2" s="1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Z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Z420" i="2" s="1"/>
  <c r="P420" i="2"/>
  <c r="BO419" i="2"/>
  <c r="BM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Z407" i="2" s="1"/>
  <c r="P407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Z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Z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BO355" i="2"/>
  <c r="BM355" i="2"/>
  <c r="Y355" i="2"/>
  <c r="Z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X338" i="2"/>
  <c r="X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Z320" i="2" s="1"/>
  <c r="P320" i="2"/>
  <c r="BO319" i="2"/>
  <c r="BM319" i="2"/>
  <c r="Y319" i="2"/>
  <c r="Z319" i="2" s="1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N309" i="2" s="1"/>
  <c r="P309" i="2"/>
  <c r="X307" i="2"/>
  <c r="X306" i="2"/>
  <c r="BO305" i="2"/>
  <c r="BM305" i="2"/>
  <c r="Y305" i="2"/>
  <c r="Y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Z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Z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Z275" i="2" s="1"/>
  <c r="P275" i="2"/>
  <c r="BO274" i="2"/>
  <c r="BM274" i="2"/>
  <c r="Y274" i="2"/>
  <c r="BN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Z260" i="2" s="1"/>
  <c r="P260" i="2"/>
  <c r="BO259" i="2"/>
  <c r="BM259" i="2"/>
  <c r="Y259" i="2"/>
  <c r="BP259" i="2" s="1"/>
  <c r="P259" i="2"/>
  <c r="X257" i="2"/>
  <c r="X256" i="2"/>
  <c r="BO255" i="2"/>
  <c r="BM255" i="2"/>
  <c r="Y255" i="2"/>
  <c r="Z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BN231" i="2" s="1"/>
  <c r="P231" i="2"/>
  <c r="X229" i="2"/>
  <c r="X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Z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BP216" i="2" s="1"/>
  <c r="P216" i="2"/>
  <c r="BP215" i="2"/>
  <c r="BO215" i="2"/>
  <c r="BM215" i="2"/>
  <c r="Y215" i="2"/>
  <c r="BN215" i="2" s="1"/>
  <c r="P215" i="2"/>
  <c r="BO214" i="2"/>
  <c r="BM214" i="2"/>
  <c r="Y214" i="2"/>
  <c r="Z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Z204" i="2" s="1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N189" i="2" s="1"/>
  <c r="P189" i="2"/>
  <c r="BO188" i="2"/>
  <c r="BM188" i="2"/>
  <c r="Z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X180" i="2"/>
  <c r="X179" i="2"/>
  <c r="BO178" i="2"/>
  <c r="BM178" i="2"/>
  <c r="Y178" i="2"/>
  <c r="Z178" i="2" s="1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BN169" i="2" s="1"/>
  <c r="P169" i="2"/>
  <c r="BO168" i="2"/>
  <c r="BM168" i="2"/>
  <c r="Y168" i="2"/>
  <c r="BN168" i="2" s="1"/>
  <c r="P168" i="2"/>
  <c r="X166" i="2"/>
  <c r="X165" i="2"/>
  <c r="BO164" i="2"/>
  <c r="BM164" i="2"/>
  <c r="Y164" i="2"/>
  <c r="BP164" i="2" s="1"/>
  <c r="P164" i="2"/>
  <c r="X162" i="2"/>
  <c r="X161" i="2"/>
  <c r="BO160" i="2"/>
  <c r="BM160" i="2"/>
  <c r="Y160" i="2"/>
  <c r="Z160" i="2" s="1"/>
  <c r="P160" i="2"/>
  <c r="BO159" i="2"/>
  <c r="BM159" i="2"/>
  <c r="Y159" i="2"/>
  <c r="BP159" i="2" s="1"/>
  <c r="P159" i="2"/>
  <c r="X156" i="2"/>
  <c r="X155" i="2"/>
  <c r="BO154" i="2"/>
  <c r="BM154" i="2"/>
  <c r="Y154" i="2"/>
  <c r="P154" i="2"/>
  <c r="BO153" i="2"/>
  <c r="BM153" i="2"/>
  <c r="Y153" i="2"/>
  <c r="P153" i="2"/>
  <c r="BO152" i="2"/>
  <c r="BM152" i="2"/>
  <c r="Y152" i="2"/>
  <c r="BN152" i="2" s="1"/>
  <c r="P152" i="2"/>
  <c r="BO151" i="2"/>
  <c r="BM151" i="2"/>
  <c r="Y151" i="2"/>
  <c r="Y156" i="2" s="1"/>
  <c r="P151" i="2"/>
  <c r="X148" i="2"/>
  <c r="X147" i="2"/>
  <c r="BO146" i="2"/>
  <c r="BM146" i="2"/>
  <c r="Y146" i="2"/>
  <c r="BN146" i="2" s="1"/>
  <c r="P146" i="2"/>
  <c r="BO145" i="2"/>
  <c r="BM145" i="2"/>
  <c r="Y145" i="2"/>
  <c r="P145" i="2"/>
  <c r="X143" i="2"/>
  <c r="X142" i="2"/>
  <c r="BO141" i="2"/>
  <c r="BM141" i="2"/>
  <c r="Y141" i="2"/>
  <c r="Z141" i="2" s="1"/>
  <c r="P141" i="2"/>
  <c r="BO140" i="2"/>
  <c r="BM140" i="2"/>
  <c r="Y140" i="2"/>
  <c r="P140" i="2"/>
  <c r="X138" i="2"/>
  <c r="X137" i="2"/>
  <c r="BO136" i="2"/>
  <c r="BM136" i="2"/>
  <c r="Y136" i="2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Z126" i="2" s="1"/>
  <c r="P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X111" i="2"/>
  <c r="X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P91" i="2"/>
  <c r="BO90" i="2"/>
  <c r="BM90" i="2"/>
  <c r="Y90" i="2"/>
  <c r="Z90" i="2" s="1"/>
  <c r="P90" i="2"/>
  <c r="BO89" i="2"/>
  <c r="BM89" i="2"/>
  <c r="Y89" i="2"/>
  <c r="BP89" i="2" s="1"/>
  <c r="P89" i="2"/>
  <c r="BO88" i="2"/>
  <c r="BM88" i="2"/>
  <c r="Y88" i="2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P72" i="2"/>
  <c r="BO72" i="2"/>
  <c r="BM72" i="2"/>
  <c r="Y72" i="2"/>
  <c r="P72" i="2"/>
  <c r="BO71" i="2"/>
  <c r="BM71" i="2"/>
  <c r="Y71" i="2"/>
  <c r="Z71" i="2" s="1"/>
  <c r="P71" i="2"/>
  <c r="BO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P60" i="2"/>
  <c r="X57" i="2"/>
  <c r="X56" i="2"/>
  <c r="BO55" i="2"/>
  <c r="BM55" i="2"/>
  <c r="Y55" i="2"/>
  <c r="Z55" i="2" s="1"/>
  <c r="P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X48" i="2"/>
  <c r="X47" i="2"/>
  <c r="BO46" i="2"/>
  <c r="BM46" i="2"/>
  <c r="Y46" i="2"/>
  <c r="Z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X38" i="2"/>
  <c r="X37" i="2"/>
  <c r="BO36" i="2"/>
  <c r="BM36" i="2"/>
  <c r="Y36" i="2"/>
  <c r="BN36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Z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Y24" i="2" s="1"/>
  <c r="P22" i="2"/>
  <c r="H10" i="2"/>
  <c r="A9" i="2"/>
  <c r="F10" i="2" s="1"/>
  <c r="D7" i="2"/>
  <c r="Q6" i="2"/>
  <c r="P2" i="2"/>
  <c r="BN55" i="2" l="1"/>
  <c r="BN90" i="2"/>
  <c r="BN159" i="2"/>
  <c r="BN234" i="2"/>
  <c r="BN270" i="2"/>
  <c r="BN320" i="2"/>
  <c r="BN357" i="2"/>
  <c r="BN439" i="2"/>
  <c r="Y441" i="2"/>
  <c r="BN444" i="2"/>
  <c r="BN455" i="2"/>
  <c r="BN61" i="2"/>
  <c r="Z63" i="2"/>
  <c r="BN126" i="2"/>
  <c r="BP189" i="2"/>
  <c r="BN255" i="2"/>
  <c r="BN291" i="2"/>
  <c r="Z293" i="2"/>
  <c r="BN336" i="2"/>
  <c r="Z364" i="2"/>
  <c r="BP385" i="2"/>
  <c r="BN386" i="2"/>
  <c r="Z419" i="2"/>
  <c r="BN453" i="2"/>
  <c r="Z176" i="2"/>
  <c r="BN173" i="2"/>
  <c r="BN224" i="2"/>
  <c r="Z239" i="2"/>
  <c r="BN305" i="2"/>
  <c r="Y307" i="2"/>
  <c r="BN400" i="2"/>
  <c r="Z401" i="2"/>
  <c r="BN485" i="2"/>
  <c r="BP521" i="2"/>
  <c r="Z225" i="2"/>
  <c r="Z327" i="2"/>
  <c r="Z328" i="2" s="1"/>
  <c r="BN218" i="2"/>
  <c r="BN276" i="2"/>
  <c r="Z443" i="2"/>
  <c r="Y503" i="2"/>
  <c r="BN500" i="2"/>
  <c r="BN498" i="2"/>
  <c r="Z491" i="2"/>
  <c r="BP491" i="2"/>
  <c r="BP490" i="2"/>
  <c r="Z490" i="2"/>
  <c r="BN480" i="2"/>
  <c r="Z444" i="2"/>
  <c r="BP443" i="2"/>
  <c r="BN435" i="2"/>
  <c r="BN412" i="2"/>
  <c r="BN410" i="2"/>
  <c r="Y402" i="2"/>
  <c r="BN399" i="2"/>
  <c r="BN394" i="2"/>
  <c r="BN381" i="2"/>
  <c r="Y383" i="2"/>
  <c r="Z374" i="2"/>
  <c r="BN356" i="2"/>
  <c r="Z354" i="2"/>
  <c r="Z346" i="2"/>
  <c r="BN340" i="2"/>
  <c r="BN325" i="2"/>
  <c r="Y328" i="2"/>
  <c r="Z318" i="2"/>
  <c r="BN296" i="2"/>
  <c r="Z278" i="2"/>
  <c r="BN277" i="2"/>
  <c r="Z277" i="2"/>
  <c r="Z274" i="2"/>
  <c r="BN266" i="2"/>
  <c r="Z262" i="2"/>
  <c r="BN261" i="2"/>
  <c r="Z254" i="2"/>
  <c r="Z256" i="2" s="1"/>
  <c r="Z234" i="2"/>
  <c r="BN232" i="2"/>
  <c r="Z231" i="2"/>
  <c r="Z224" i="2"/>
  <c r="BN222" i="2"/>
  <c r="Z221" i="2"/>
  <c r="BN202" i="2"/>
  <c r="Z200" i="2"/>
  <c r="BP188" i="2"/>
  <c r="BN182" i="2"/>
  <c r="Y186" i="2"/>
  <c r="BN178" i="2"/>
  <c r="Y166" i="2"/>
  <c r="Z164" i="2"/>
  <c r="Z165" i="2" s="1"/>
  <c r="Y165" i="2"/>
  <c r="Z159" i="2"/>
  <c r="Y131" i="2"/>
  <c r="BN130" i="2"/>
  <c r="Z119" i="2"/>
  <c r="BN116" i="2"/>
  <c r="Z109" i="2"/>
  <c r="Z107" i="2"/>
  <c r="BN105" i="2"/>
  <c r="Z96" i="2"/>
  <c r="BN71" i="2"/>
  <c r="BN66" i="2"/>
  <c r="Z65" i="2"/>
  <c r="Z54" i="2"/>
  <c r="Z52" i="2"/>
  <c r="Z45" i="2"/>
  <c r="X534" i="2"/>
  <c r="BN43" i="2"/>
  <c r="X538" i="2"/>
  <c r="Z29" i="2"/>
  <c r="BP29" i="2"/>
  <c r="X535" i="2"/>
  <c r="F9" i="2"/>
  <c r="X536" i="2"/>
  <c r="BP31" i="2"/>
  <c r="BP54" i="2"/>
  <c r="Y57" i="2"/>
  <c r="Z95" i="2"/>
  <c r="Y100" i="2"/>
  <c r="BN95" i="2"/>
  <c r="Z106" i="2"/>
  <c r="BN106" i="2"/>
  <c r="BN145" i="2"/>
  <c r="BP145" i="2"/>
  <c r="Y147" i="2"/>
  <c r="BP153" i="2"/>
  <c r="BN153" i="2"/>
  <c r="BP154" i="2"/>
  <c r="Z154" i="2"/>
  <c r="Z217" i="2"/>
  <c r="BN217" i="2"/>
  <c r="BN280" i="2"/>
  <c r="BP280" i="2"/>
  <c r="Z301" i="2"/>
  <c r="Z302" i="2" s="1"/>
  <c r="Y302" i="2"/>
  <c r="BN301" i="2"/>
  <c r="BN332" i="2"/>
  <c r="BP332" i="2"/>
  <c r="Z332" i="2"/>
  <c r="BN341" i="2"/>
  <c r="BP341" i="2"/>
  <c r="Z341" i="2"/>
  <c r="Z380" i="2"/>
  <c r="BN380" i="2"/>
  <c r="Y389" i="2"/>
  <c r="Y430" i="2"/>
  <c r="Y431" i="2"/>
  <c r="BN429" i="2"/>
  <c r="BN456" i="2"/>
  <c r="BP456" i="2"/>
  <c r="Z456" i="2"/>
  <c r="BN497" i="2"/>
  <c r="BP497" i="2"/>
  <c r="BP22" i="2"/>
  <c r="BP27" i="2"/>
  <c r="BN30" i="2"/>
  <c r="BP32" i="2"/>
  <c r="BP36" i="2"/>
  <c r="C544" i="2"/>
  <c r="Z42" i="2"/>
  <c r="BP65" i="2"/>
  <c r="BP91" i="2"/>
  <c r="BN91" i="2"/>
  <c r="Y120" i="2"/>
  <c r="BP113" i="2"/>
  <c r="Z115" i="2"/>
  <c r="BN115" i="2"/>
  <c r="Y121" i="2"/>
  <c r="BP168" i="2"/>
  <c r="BP174" i="2"/>
  <c r="Z174" i="2"/>
  <c r="Z201" i="2"/>
  <c r="BN201" i="2"/>
  <c r="Z265" i="2"/>
  <c r="BN265" i="2"/>
  <c r="Z297" i="2"/>
  <c r="BN297" i="2"/>
  <c r="BP310" i="2"/>
  <c r="BN310" i="2"/>
  <c r="Z310" i="2"/>
  <c r="Y343" i="2"/>
  <c r="Y349" i="2"/>
  <c r="Z347" i="2"/>
  <c r="Z375" i="2"/>
  <c r="BN375" i="2"/>
  <c r="BN409" i="2"/>
  <c r="Z409" i="2"/>
  <c r="BP413" i="2"/>
  <c r="Z413" i="2"/>
  <c r="Y488" i="2"/>
  <c r="BN479" i="2"/>
  <c r="BP499" i="2"/>
  <c r="BN499" i="2"/>
  <c r="BP77" i="2"/>
  <c r="Z77" i="2"/>
  <c r="Z91" i="2"/>
  <c r="BP98" i="2"/>
  <c r="G544" i="2"/>
  <c r="Y111" i="2"/>
  <c r="BP140" i="2"/>
  <c r="Z140" i="2"/>
  <c r="BP151" i="2"/>
  <c r="BN154" i="2"/>
  <c r="Z161" i="2"/>
  <c r="Z168" i="2"/>
  <c r="BP219" i="2"/>
  <c r="Z219" i="2"/>
  <c r="Z271" i="2"/>
  <c r="BN271" i="2"/>
  <c r="Y303" i="2"/>
  <c r="BP367" i="2"/>
  <c r="BN367" i="2"/>
  <c r="Z367" i="2"/>
  <c r="Y436" i="2"/>
  <c r="BN434" i="2"/>
  <c r="X544" i="2"/>
  <c r="BN452" i="2"/>
  <c r="BP452" i="2"/>
  <c r="BN481" i="2"/>
  <c r="BP481" i="2"/>
  <c r="Z481" i="2"/>
  <c r="BN501" i="2"/>
  <c r="BP501" i="2"/>
  <c r="Z501" i="2"/>
  <c r="Y25" i="2"/>
  <c r="Z30" i="2"/>
  <c r="Y33" i="2"/>
  <c r="Z44" i="2"/>
  <c r="BN44" i="2"/>
  <c r="Z62" i="2"/>
  <c r="BN62" i="2"/>
  <c r="Z72" i="2"/>
  <c r="BN72" i="2"/>
  <c r="BN78" i="2"/>
  <c r="BP78" i="2"/>
  <c r="Z89" i="2"/>
  <c r="BN89" i="2"/>
  <c r="BP95" i="2"/>
  <c r="Z98" i="2"/>
  <c r="BP106" i="2"/>
  <c r="BP117" i="2"/>
  <c r="Z117" i="2"/>
  <c r="Z125" i="2"/>
  <c r="BN125" i="2"/>
  <c r="H544" i="2"/>
  <c r="Z135" i="2"/>
  <c r="BP146" i="2"/>
  <c r="I544" i="2"/>
  <c r="BN170" i="2"/>
  <c r="BP170" i="2"/>
  <c r="Z172" i="2"/>
  <c r="BN172" i="2"/>
  <c r="BP203" i="2"/>
  <c r="BN203" i="2"/>
  <c r="Z203" i="2"/>
  <c r="BP217" i="2"/>
  <c r="BN295" i="2"/>
  <c r="Z295" i="2"/>
  <c r="BP301" i="2"/>
  <c r="BP380" i="2"/>
  <c r="BN393" i="2"/>
  <c r="Y396" i="2"/>
  <c r="BP393" i="2"/>
  <c r="Z393" i="2"/>
  <c r="Z411" i="2"/>
  <c r="BN411" i="2"/>
  <c r="BP454" i="2"/>
  <c r="BN454" i="2"/>
  <c r="BN486" i="2"/>
  <c r="BP486" i="2"/>
  <c r="BN45" i="2"/>
  <c r="BP55" i="2"/>
  <c r="BP66" i="2"/>
  <c r="Y74" i="2"/>
  <c r="BP71" i="2"/>
  <c r="BP83" i="2"/>
  <c r="F544" i="2"/>
  <c r="BP88" i="2"/>
  <c r="BP90" i="2"/>
  <c r="Y92" i="2"/>
  <c r="BP105" i="2"/>
  <c r="BP119" i="2"/>
  <c r="BP126" i="2"/>
  <c r="Z142" i="2"/>
  <c r="BP152" i="2"/>
  <c r="BP169" i="2"/>
  <c r="BP176" i="2"/>
  <c r="BN177" i="2"/>
  <c r="BP178" i="2"/>
  <c r="BP182" i="2"/>
  <c r="BN183" i="2"/>
  <c r="BP214" i="2"/>
  <c r="BP221" i="2"/>
  <c r="BP223" i="2"/>
  <c r="BP227" i="2"/>
  <c r="BP231" i="2"/>
  <c r="Y235" i="2"/>
  <c r="BP233" i="2"/>
  <c r="BP250" i="2"/>
  <c r="BP254" i="2"/>
  <c r="Y256" i="2"/>
  <c r="BP260" i="2"/>
  <c r="BP275" i="2"/>
  <c r="BP281" i="2"/>
  <c r="BP285" i="2"/>
  <c r="Y298" i="2"/>
  <c r="BP292" i="2"/>
  <c r="BP319" i="2"/>
  <c r="BP326" i="2"/>
  <c r="BP355" i="2"/>
  <c r="BP365" i="2"/>
  <c r="BP420" i="2"/>
  <c r="Y446" i="2"/>
  <c r="Z544" i="2"/>
  <c r="Y493" i="2"/>
  <c r="Y518" i="2"/>
  <c r="BP43" i="2"/>
  <c r="E544" i="2"/>
  <c r="BP61" i="2"/>
  <c r="Z73" i="2"/>
  <c r="Z88" i="2"/>
  <c r="BP109" i="2"/>
  <c r="BP116" i="2"/>
  <c r="Y128" i="2"/>
  <c r="Z130" i="2"/>
  <c r="Z131" i="2" s="1"/>
  <c r="BP130" i="2"/>
  <c r="Y138" i="2"/>
  <c r="Z152" i="2"/>
  <c r="BP173" i="2"/>
  <c r="Z184" i="2"/>
  <c r="Z185" i="2" s="1"/>
  <c r="Y185" i="2"/>
  <c r="BP200" i="2"/>
  <c r="BP202" i="2"/>
  <c r="BP218" i="2"/>
  <c r="BP264" i="2"/>
  <c r="BP266" i="2"/>
  <c r="BP270" i="2"/>
  <c r="Z281" i="2"/>
  <c r="BP296" i="2"/>
  <c r="Y313" i="2"/>
  <c r="BP309" i="2"/>
  <c r="Y329" i="2"/>
  <c r="Y350" i="2"/>
  <c r="Z357" i="2"/>
  <c r="Z359" i="2" s="1"/>
  <c r="BP366" i="2"/>
  <c r="Z372" i="2"/>
  <c r="BP374" i="2"/>
  <c r="BP381" i="2"/>
  <c r="Z386" i="2"/>
  <c r="Z400" i="2"/>
  <c r="BP410" i="2"/>
  <c r="BP439" i="2"/>
  <c r="Z453" i="2"/>
  <c r="Z455" i="2"/>
  <c r="Z460" i="2"/>
  <c r="Y462" i="2"/>
  <c r="Z478" i="2"/>
  <c r="BP478" i="2"/>
  <c r="Z480" i="2"/>
  <c r="Z498" i="2"/>
  <c r="Z500" i="2"/>
  <c r="BP177" i="2"/>
  <c r="BP183" i="2"/>
  <c r="BP222" i="2"/>
  <c r="BN223" i="2"/>
  <c r="BP232" i="2"/>
  <c r="BN233" i="2"/>
  <c r="Y242" i="2"/>
  <c r="BP238" i="2"/>
  <c r="BP255" i="2"/>
  <c r="Y257" i="2"/>
  <c r="BN260" i="2"/>
  <c r="BP261" i="2"/>
  <c r="Z264" i="2"/>
  <c r="Z272" i="2"/>
  <c r="BP274" i="2"/>
  <c r="BN275" i="2"/>
  <c r="BP276" i="2"/>
  <c r="BN285" i="2"/>
  <c r="Y288" i="2"/>
  <c r="BP286" i="2"/>
  <c r="BP291" i="2"/>
  <c r="BN292" i="2"/>
  <c r="Z311" i="2"/>
  <c r="Y312" i="2"/>
  <c r="Z316" i="2"/>
  <c r="Z321" i="2" s="1"/>
  <c r="BP318" i="2"/>
  <c r="BN319" i="2"/>
  <c r="BP320" i="2"/>
  <c r="BP325" i="2"/>
  <c r="BN326" i="2"/>
  <c r="BP336" i="2"/>
  <c r="BP354" i="2"/>
  <c r="BN355" i="2"/>
  <c r="BP356" i="2"/>
  <c r="Z362" i="2"/>
  <c r="BP364" i="2"/>
  <c r="BN365" i="2"/>
  <c r="Z368" i="2"/>
  <c r="Y395" i="2"/>
  <c r="U544" i="2"/>
  <c r="BP399" i="2"/>
  <c r="Y416" i="2"/>
  <c r="Z412" i="2"/>
  <c r="BP419" i="2"/>
  <c r="BN420" i="2"/>
  <c r="BN425" i="2"/>
  <c r="Y474" i="2"/>
  <c r="Z525" i="2"/>
  <c r="Y527" i="2"/>
  <c r="Y533" i="2"/>
  <c r="Z376" i="2"/>
  <c r="Z421" i="2"/>
  <c r="Z47" i="2"/>
  <c r="Z136" i="2"/>
  <c r="Z53" i="2"/>
  <c r="Z175" i="2"/>
  <c r="Y190" i="2"/>
  <c r="Z210" i="2"/>
  <c r="Z211" i="2" s="1"/>
  <c r="Z22" i="2"/>
  <c r="Z32" i="2"/>
  <c r="Y37" i="2"/>
  <c r="BN46" i="2"/>
  <c r="Y84" i="2"/>
  <c r="Y93" i="2"/>
  <c r="Z103" i="2"/>
  <c r="Z113" i="2"/>
  <c r="Z123" i="2"/>
  <c r="BN136" i="2"/>
  <c r="Z146" i="2"/>
  <c r="BN160" i="2"/>
  <c r="Z170" i="2"/>
  <c r="BN204" i="2"/>
  <c r="Z215" i="2"/>
  <c r="BN225" i="2"/>
  <c r="Y228" i="2"/>
  <c r="Y236" i="2"/>
  <c r="Y251" i="2"/>
  <c r="BN278" i="2"/>
  <c r="BN311" i="2"/>
  <c r="Z334" i="2"/>
  <c r="BN347" i="2"/>
  <c r="BN358" i="2"/>
  <c r="BN368" i="2"/>
  <c r="Z388" i="2"/>
  <c r="BN401" i="2"/>
  <c r="BN413" i="2"/>
  <c r="BP425" i="2"/>
  <c r="Y437" i="2"/>
  <c r="BN460" i="2"/>
  <c r="Z471" i="2"/>
  <c r="Z483" i="2"/>
  <c r="BP485" i="2"/>
  <c r="Z517" i="2"/>
  <c r="Y522" i="2"/>
  <c r="J544" i="2"/>
  <c r="Z108" i="2"/>
  <c r="BN53" i="2"/>
  <c r="Y56" i="2"/>
  <c r="BN64" i="2"/>
  <c r="Y67" i="2"/>
  <c r="BN97" i="2"/>
  <c r="BN141" i="2"/>
  <c r="BN199" i="2"/>
  <c r="BN263" i="2"/>
  <c r="BN273" i="2"/>
  <c r="BN294" i="2"/>
  <c r="BN317" i="2"/>
  <c r="BN353" i="2"/>
  <c r="BN363" i="2"/>
  <c r="BN373" i="2"/>
  <c r="Y376" i="2"/>
  <c r="BN408" i="2"/>
  <c r="BN418" i="2"/>
  <c r="Y421" i="2"/>
  <c r="BN466" i="2"/>
  <c r="BN512" i="2"/>
  <c r="K544" i="2"/>
  <c r="BN210" i="2"/>
  <c r="BN220" i="2"/>
  <c r="BP46" i="2"/>
  <c r="Y80" i="2"/>
  <c r="BN103" i="2"/>
  <c r="BP160" i="2"/>
  <c r="Y191" i="2"/>
  <c r="BP204" i="2"/>
  <c r="Z233" i="2"/>
  <c r="Z235" i="2" s="1"/>
  <c r="Y246" i="2"/>
  <c r="Z286" i="2"/>
  <c r="Z287" i="2" s="1"/>
  <c r="Z309" i="2"/>
  <c r="BN334" i="2"/>
  <c r="Y337" i="2"/>
  <c r="BP347" i="2"/>
  <c r="Z366" i="2"/>
  <c r="BN388" i="2"/>
  <c r="Z399" i="2"/>
  <c r="Y426" i="2"/>
  <c r="Z434" i="2"/>
  <c r="Z436" i="2" s="1"/>
  <c r="Y447" i="2"/>
  <c r="BP460" i="2"/>
  <c r="BN471" i="2"/>
  <c r="BN483" i="2"/>
  <c r="Y494" i="2"/>
  <c r="Y504" i="2"/>
  <c r="BN517" i="2"/>
  <c r="L544" i="2"/>
  <c r="Y79" i="2"/>
  <c r="Y75" i="2"/>
  <c r="BN108" i="2"/>
  <c r="BN118" i="2"/>
  <c r="BN175" i="2"/>
  <c r="BN240" i="2"/>
  <c r="BN22" i="2"/>
  <c r="BN113" i="2"/>
  <c r="BN123" i="2"/>
  <c r="BP136" i="2"/>
  <c r="Y38" i="2"/>
  <c r="BP64" i="2"/>
  <c r="Y85" i="2"/>
  <c r="BP97" i="2"/>
  <c r="BP118" i="2"/>
  <c r="BP141" i="2"/>
  <c r="Y155" i="2"/>
  <c r="BP199" i="2"/>
  <c r="BP210" i="2"/>
  <c r="BP220" i="2"/>
  <c r="Y229" i="2"/>
  <c r="Z238" i="2"/>
  <c r="Z241" i="2" s="1"/>
  <c r="BP240" i="2"/>
  <c r="Y252" i="2"/>
  <c r="BP263" i="2"/>
  <c r="BP273" i="2"/>
  <c r="Z292" i="2"/>
  <c r="BP294" i="2"/>
  <c r="BP317" i="2"/>
  <c r="Y342" i="2"/>
  <c r="BP353" i="2"/>
  <c r="BP363" i="2"/>
  <c r="BP373" i="2"/>
  <c r="BP408" i="2"/>
  <c r="BP418" i="2"/>
  <c r="Z439" i="2"/>
  <c r="Z440" i="2" s="1"/>
  <c r="BP466" i="2"/>
  <c r="Z486" i="2"/>
  <c r="BP512" i="2"/>
  <c r="Y523" i="2"/>
  <c r="M544" i="2"/>
  <c r="Y137" i="2"/>
  <c r="Y161" i="2"/>
  <c r="Y359" i="2"/>
  <c r="Y369" i="2"/>
  <c r="Y377" i="2"/>
  <c r="Y422" i="2"/>
  <c r="BP517" i="2"/>
  <c r="Y528" i="2"/>
  <c r="O544" i="2"/>
  <c r="Y47" i="2"/>
  <c r="Y68" i="2"/>
  <c r="Z82" i="2"/>
  <c r="Y142" i="2"/>
  <c r="Z193" i="2"/>
  <c r="Z194" i="2" s="1"/>
  <c r="Z205" i="2"/>
  <c r="Z206" i="2" s="1"/>
  <c r="Y211" i="2"/>
  <c r="Z226" i="2"/>
  <c r="Y241" i="2"/>
  <c r="Z249" i="2"/>
  <c r="Z279" i="2"/>
  <c r="Y338" i="2"/>
  <c r="Z348" i="2"/>
  <c r="Z414" i="2"/>
  <c r="Y427" i="2"/>
  <c r="Z451" i="2"/>
  <c r="Z461" i="2"/>
  <c r="Z462" i="2" s="1"/>
  <c r="Y467" i="2"/>
  <c r="Z496" i="2"/>
  <c r="Z508" i="2"/>
  <c r="Z509" i="2" s="1"/>
  <c r="Y513" i="2"/>
  <c r="P544" i="2"/>
  <c r="Q544" i="2"/>
  <c r="Z60" i="2"/>
  <c r="Z67" i="2" s="1"/>
  <c r="BN82" i="2"/>
  <c r="Z104" i="2"/>
  <c r="Z114" i="2"/>
  <c r="BN205" i="2"/>
  <c r="Z216" i="2"/>
  <c r="BN226" i="2"/>
  <c r="BN249" i="2"/>
  <c r="Z259" i="2"/>
  <c r="BN279" i="2"/>
  <c r="Y282" i="2"/>
  <c r="Z335" i="2"/>
  <c r="BN348" i="2"/>
  <c r="Y360" i="2"/>
  <c r="Y370" i="2"/>
  <c r="Z379" i="2"/>
  <c r="Z382" i="2" s="1"/>
  <c r="Y403" i="2"/>
  <c r="BN414" i="2"/>
  <c r="Z424" i="2"/>
  <c r="Z426" i="2" s="1"/>
  <c r="BN451" i="2"/>
  <c r="BN461" i="2"/>
  <c r="Z472" i="2"/>
  <c r="Z484" i="2"/>
  <c r="BN496" i="2"/>
  <c r="BN508" i="2"/>
  <c r="Z531" i="2"/>
  <c r="Z532" i="2" s="1"/>
  <c r="R544" i="2"/>
  <c r="Z70" i="2"/>
  <c r="Z124" i="2"/>
  <c r="Y162" i="2"/>
  <c r="Z171" i="2"/>
  <c r="BN193" i="2"/>
  <c r="Z28" i="2"/>
  <c r="BN42" i="2"/>
  <c r="BN88" i="2"/>
  <c r="Y143" i="2"/>
  <c r="Z153" i="2"/>
  <c r="Y179" i="2"/>
  <c r="Y267" i="2"/>
  <c r="Y287" i="2"/>
  <c r="Z305" i="2"/>
  <c r="Z306" i="2" s="1"/>
  <c r="Y321" i="2"/>
  <c r="Z340" i="2"/>
  <c r="Z342" i="2" s="1"/>
  <c r="Z394" i="2"/>
  <c r="Z429" i="2"/>
  <c r="Z430" i="2" s="1"/>
  <c r="Z454" i="2"/>
  <c r="Y468" i="2"/>
  <c r="Z479" i="2"/>
  <c r="Z499" i="2"/>
  <c r="Y514" i="2"/>
  <c r="BN525" i="2"/>
  <c r="S544" i="2"/>
  <c r="Z23" i="2"/>
  <c r="Y48" i="2"/>
  <c r="BN23" i="2"/>
  <c r="Y34" i="2"/>
  <c r="BN60" i="2"/>
  <c r="BN70" i="2"/>
  <c r="BN104" i="2"/>
  <c r="BN114" i="2"/>
  <c r="BN124" i="2"/>
  <c r="Y127" i="2"/>
  <c r="Y148" i="2"/>
  <c r="BN171" i="2"/>
  <c r="BP193" i="2"/>
  <c r="BN216" i="2"/>
  <c r="BN259" i="2"/>
  <c r="BN335" i="2"/>
  <c r="BN379" i="2"/>
  <c r="Y382" i="2"/>
  <c r="Y390" i="2"/>
  <c r="BN424" i="2"/>
  <c r="BP451" i="2"/>
  <c r="BP461" i="2"/>
  <c r="BN472" i="2"/>
  <c r="BN484" i="2"/>
  <c r="Y487" i="2"/>
  <c r="BP496" i="2"/>
  <c r="BP508" i="2"/>
  <c r="Y519" i="2"/>
  <c r="BN531" i="2"/>
  <c r="T544" i="2"/>
  <c r="BN28" i="2"/>
  <c r="Y283" i="2"/>
  <c r="Y457" i="2"/>
  <c r="B544" i="2"/>
  <c r="Z78" i="2"/>
  <c r="Z79" i="2" s="1"/>
  <c r="Z169" i="2"/>
  <c r="Z244" i="2"/>
  <c r="Z245" i="2" s="1"/>
  <c r="Y268" i="2"/>
  <c r="Y299" i="2"/>
  <c r="Y322" i="2"/>
  <c r="Z333" i="2"/>
  <c r="Z337" i="2" s="1"/>
  <c r="BP379" i="2"/>
  <c r="Z387" i="2"/>
  <c r="Y415" i="2"/>
  <c r="Z445" i="2"/>
  <c r="Z446" i="2" s="1"/>
  <c r="Z470" i="2"/>
  <c r="Z482" i="2"/>
  <c r="Z492" i="2"/>
  <c r="Z502" i="2"/>
  <c r="Y509" i="2"/>
  <c r="Z516" i="2"/>
  <c r="BP531" i="2"/>
  <c r="V544" i="2"/>
  <c r="H9" i="2"/>
  <c r="BP23" i="2"/>
  <c r="Z31" i="2"/>
  <c r="Y194" i="2"/>
  <c r="J9" i="2"/>
  <c r="Z36" i="2"/>
  <c r="Z37" i="2" s="1"/>
  <c r="BN52" i="2"/>
  <c r="BN73" i="2"/>
  <c r="Z83" i="2"/>
  <c r="BN107" i="2"/>
  <c r="BN117" i="2"/>
  <c r="BN184" i="2"/>
  <c r="BN219" i="2"/>
  <c r="BN239" i="2"/>
  <c r="Z250" i="2"/>
  <c r="BN262" i="2"/>
  <c r="BN272" i="2"/>
  <c r="Z280" i="2"/>
  <c r="BN293" i="2"/>
  <c r="BP305" i="2"/>
  <c r="BN316" i="2"/>
  <c r="BN327" i="2"/>
  <c r="BN362" i="2"/>
  <c r="BN372" i="2"/>
  <c r="Z392" i="2"/>
  <c r="BN407" i="2"/>
  <c r="BP429" i="2"/>
  <c r="Z452" i="2"/>
  <c r="BP479" i="2"/>
  <c r="Z497" i="2"/>
  <c r="Z521" i="2"/>
  <c r="Z522" i="2" s="1"/>
  <c r="D544" i="2"/>
  <c r="W544" i="2"/>
  <c r="BP60" i="2"/>
  <c r="BP70" i="2"/>
  <c r="Z145" i="2"/>
  <c r="Y180" i="2"/>
  <c r="Z189" i="2"/>
  <c r="Z190" i="2" s="1"/>
  <c r="Y206" i="2"/>
  <c r="Y99" i="2"/>
  <c r="Y110" i="2"/>
  <c r="BN140" i="2"/>
  <c r="Z151" i="2"/>
  <c r="BN164" i="2"/>
  <c r="BP135" i="2"/>
  <c r="BN214" i="2"/>
  <c r="BN244" i="2"/>
  <c r="BN333" i="2"/>
  <c r="BP346" i="2"/>
  <c r="BN387" i="2"/>
  <c r="BN445" i="2"/>
  <c r="Y458" i="2"/>
  <c r="BN470" i="2"/>
  <c r="Y473" i="2"/>
  <c r="BN482" i="2"/>
  <c r="BN492" i="2"/>
  <c r="BN502" i="2"/>
  <c r="BN516" i="2"/>
  <c r="Z526" i="2"/>
  <c r="Z527" i="2" s="1"/>
  <c r="Y532" i="2"/>
  <c r="BN63" i="2"/>
  <c r="BN96" i="2"/>
  <c r="BN174" i="2"/>
  <c r="Z227" i="2"/>
  <c r="A10" i="2"/>
  <c r="BN151" i="2"/>
  <c r="Y207" i="2"/>
  <c r="BN392" i="2"/>
  <c r="BP407" i="2"/>
  <c r="Y544" i="2"/>
  <c r="BP244" i="2"/>
  <c r="BN526" i="2"/>
  <c r="AA544" i="2"/>
  <c r="Z493" i="2" l="1"/>
  <c r="Z349" i="2"/>
  <c r="Z312" i="2"/>
  <c r="Z267" i="2"/>
  <c r="Z298" i="2"/>
  <c r="Z282" i="2"/>
  <c r="Z56" i="2"/>
  <c r="Z415" i="2"/>
  <c r="Z402" i="2"/>
  <c r="Z389" i="2"/>
  <c r="Z369" i="2"/>
  <c r="Z179" i="2"/>
  <c r="Z147" i="2"/>
  <c r="Z137" i="2"/>
  <c r="Z92" i="2"/>
  <c r="Z74" i="2"/>
  <c r="X537" i="2"/>
  <c r="Y538" i="2"/>
  <c r="Y534" i="2"/>
  <c r="Z503" i="2"/>
  <c r="Z84" i="2"/>
  <c r="Z120" i="2"/>
  <c r="Z99" i="2"/>
  <c r="Y536" i="2"/>
  <c r="Z228" i="2"/>
  <c r="Z110" i="2"/>
  <c r="Z33" i="2"/>
  <c r="Z457" i="2"/>
  <c r="Z127" i="2"/>
  <c r="Z487" i="2"/>
  <c r="Z473" i="2"/>
  <c r="Y535" i="2"/>
  <c r="Z251" i="2"/>
  <c r="Z155" i="2"/>
  <c r="Z395" i="2"/>
  <c r="Z518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<sst xmlns="http://schemas.openxmlformats.org/spreadsheetml/2006/main" count="4040" uniqueCount="856">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</sst>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855</v>
      </c>
      <c r="I5" s="621"/>
      <c r="J5" s="621"/>
      <c r="K5" s="621"/>
      <c r="L5" s="621"/>
      <c r="M5" s="621"/>
      <c r="N5" s="72"/>
      <c r="P5" s="27" t="s">
        <v>4</v>
      </c>
      <c r="Q5" s="623">
        <v>46213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837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Пятница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1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3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645" t="s">
        <v>46</v>
      </c>
      <c r="E9" s="646"/>
      <c r="F9" s="6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7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7"/>
      <c r="L9" s="647"/>
      <c r="M9" s="647"/>
      <c r="N9" s="70"/>
      <c r="P9" s="31" t="s">
        <v>15</v>
      </c>
      <c r="Q9" s="648"/>
      <c r="R9" s="648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645"/>
      <c r="E10" s="646"/>
      <c r="F10" s="6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649" t="str">
        <f>IFERROR(VLOOKUP($D$10,Proxy,2,FALSE),"")</f>
        <v/>
      </c>
      <c r="I10" s="649"/>
      <c r="J10" s="649"/>
      <c r="K10" s="649"/>
      <c r="L10" s="649"/>
      <c r="M10" s="649"/>
      <c r="N10" s="71"/>
      <c r="P10" s="31" t="s">
        <v>32</v>
      </c>
      <c r="Q10" s="650"/>
      <c r="R10" s="650"/>
      <c r="U10" s="29" t="s">
        <v>12</v>
      </c>
      <c r="V10" s="651" t="s">
        <v>71</v>
      </c>
      <c r="W10" s="6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3"/>
      <c r="R11" s="653"/>
      <c r="U11" s="29" t="s">
        <v>28</v>
      </c>
      <c r="V11" s="654" t="s">
        <v>55</v>
      </c>
      <c r="W11" s="6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5" t="s">
        <v>72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76"/>
      <c r="P12" s="27" t="s">
        <v>30</v>
      </c>
      <c r="Q12" s="643"/>
      <c r="R12" s="643"/>
      <c r="S12" s="28"/>
      <c r="T12"/>
      <c r="U12" s="29" t="s">
        <v>46</v>
      </c>
      <c r="V12" s="656"/>
      <c r="W12" s="656"/>
      <c r="X12"/>
      <c r="AB12" s="59"/>
      <c r="AC12" s="59"/>
      <c r="AD12" s="59"/>
      <c r="AE12" s="59"/>
    </row>
    <row r="13" spans="1:32" s="17" customFormat="1" ht="23.25" customHeight="1" x14ac:dyDescent="0.2">
      <c r="A13" s="655" t="s">
        <v>73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76"/>
      <c r="O13" s="31"/>
      <c r="P13" s="31" t="s">
        <v>31</v>
      </c>
      <c r="Q13" s="654"/>
      <c r="R13" s="6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5" t="s">
        <v>74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7" t="s">
        <v>75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77"/>
      <c r="O15"/>
      <c r="P15" s="658" t="s">
        <v>61</v>
      </c>
      <c r="Q15" s="658"/>
      <c r="R15" s="658"/>
      <c r="S15" s="658"/>
      <c r="T15" s="65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9"/>
      <c r="Q16" s="659"/>
      <c r="R16" s="659"/>
      <c r="S16" s="659"/>
      <c r="T16" s="6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2" t="s">
        <v>59</v>
      </c>
      <c r="B17" s="662" t="s">
        <v>49</v>
      </c>
      <c r="C17" s="664" t="s">
        <v>48</v>
      </c>
      <c r="D17" s="666" t="s">
        <v>50</v>
      </c>
      <c r="E17" s="667"/>
      <c r="F17" s="662" t="s">
        <v>21</v>
      </c>
      <c r="G17" s="662" t="s">
        <v>24</v>
      </c>
      <c r="H17" s="662" t="s">
        <v>22</v>
      </c>
      <c r="I17" s="662" t="s">
        <v>23</v>
      </c>
      <c r="J17" s="662" t="s">
        <v>16</v>
      </c>
      <c r="K17" s="662" t="s">
        <v>66</v>
      </c>
      <c r="L17" s="662" t="s">
        <v>64</v>
      </c>
      <c r="M17" s="662" t="s">
        <v>2</v>
      </c>
      <c r="N17" s="662" t="s">
        <v>63</v>
      </c>
      <c r="O17" s="662" t="s">
        <v>25</v>
      </c>
      <c r="P17" s="666" t="s">
        <v>17</v>
      </c>
      <c r="Q17" s="670"/>
      <c r="R17" s="670"/>
      <c r="S17" s="670"/>
      <c r="T17" s="667"/>
      <c r="U17" s="660" t="s">
        <v>56</v>
      </c>
      <c r="V17" s="661"/>
      <c r="W17" s="662" t="s">
        <v>6</v>
      </c>
      <c r="X17" s="662" t="s">
        <v>41</v>
      </c>
      <c r="Y17" s="672" t="s">
        <v>54</v>
      </c>
      <c r="Z17" s="674" t="s">
        <v>18</v>
      </c>
      <c r="AA17" s="676" t="s">
        <v>60</v>
      </c>
      <c r="AB17" s="676" t="s">
        <v>19</v>
      </c>
      <c r="AC17" s="676" t="s">
        <v>65</v>
      </c>
      <c r="AD17" s="678" t="s">
        <v>57</v>
      </c>
      <c r="AE17" s="679"/>
      <c r="AF17" s="680"/>
      <c r="AG17" s="82"/>
      <c r="BD17" s="81" t="s">
        <v>62</v>
      </c>
    </row>
    <row r="18" spans="1:68" ht="14.25" customHeight="1" x14ac:dyDescent="0.2">
      <c r="A18" s="663"/>
      <c r="B18" s="663"/>
      <c r="C18" s="665"/>
      <c r="D18" s="668"/>
      <c r="E18" s="669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8"/>
      <c r="Q18" s="671"/>
      <c r="R18" s="671"/>
      <c r="S18" s="671"/>
      <c r="T18" s="669"/>
      <c r="U18" s="83" t="s">
        <v>44</v>
      </c>
      <c r="V18" s="83" t="s">
        <v>43</v>
      </c>
      <c r="W18" s="663"/>
      <c r="X18" s="663"/>
      <c r="Y18" s="673"/>
      <c r="Z18" s="675"/>
      <c r="AA18" s="677"/>
      <c r="AB18" s="677"/>
      <c r="AC18" s="677"/>
      <c r="AD18" s="681"/>
      <c r="AE18" s="682"/>
      <c r="AF18" s="683"/>
      <c r="AG18" s="82"/>
      <c r="BD18" s="81"/>
    </row>
    <row r="19" spans="1:68" ht="27.75" hidden="1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hidden="1" customHeight="1" x14ac:dyDescent="0.25">
      <c r="A20" s="685" t="s">
        <v>76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 s="685"/>
      <c r="P20" s="685"/>
      <c r="Q20" s="685"/>
      <c r="R20" s="685"/>
      <c r="S20" s="685"/>
      <c r="T20" s="685"/>
      <c r="U20" s="685"/>
      <c r="V20" s="685"/>
      <c r="W20" s="685"/>
      <c r="X20" s="685"/>
      <c r="Y20" s="685"/>
      <c r="Z20" s="685"/>
      <c r="AA20" s="65"/>
      <c r="AB20" s="65"/>
      <c r="AC20" s="79"/>
    </row>
    <row r="21" spans="1:68" ht="14.25" hidden="1" customHeight="1" x14ac:dyDescent="0.25">
      <c r="A21" s="686" t="s">
        <v>77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7">
        <v>4680115886643</v>
      </c>
      <c r="E22" s="68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9"/>
      <c r="R22" s="689"/>
      <c r="S22" s="689"/>
      <c r="T22" s="69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7">
        <v>4680115889071</v>
      </c>
      <c r="E23" s="68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9"/>
      <c r="R23" s="689"/>
      <c r="S23" s="689"/>
      <c r="T23" s="69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5"/>
      <c r="B24" s="695"/>
      <c r="C24" s="695"/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6"/>
      <c r="P24" s="692" t="s">
        <v>40</v>
      </c>
      <c r="Q24" s="693"/>
      <c r="R24" s="693"/>
      <c r="S24" s="693"/>
      <c r="T24" s="693"/>
      <c r="U24" s="693"/>
      <c r="V24" s="69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5"/>
      <c r="B25" s="695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6"/>
      <c r="P25" s="692" t="s">
        <v>40</v>
      </c>
      <c r="Q25" s="693"/>
      <c r="R25" s="693"/>
      <c r="S25" s="693"/>
      <c r="T25" s="693"/>
      <c r="U25" s="693"/>
      <c r="V25" s="69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6" t="s">
        <v>86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7">
        <v>4680115885912</v>
      </c>
      <c r="E27" s="68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9"/>
      <c r="R27" s="689"/>
      <c r="S27" s="689"/>
      <c r="T27" s="690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87">
        <v>4607091388237</v>
      </c>
      <c r="E28" s="68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9"/>
      <c r="R28" s="689"/>
      <c r="S28" s="689"/>
      <c r="T28" s="690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7">
        <v>4680115887350</v>
      </c>
      <c r="E29" s="68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9"/>
      <c r="R29" s="689"/>
      <c r="S29" s="689"/>
      <c r="T29" s="690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87">
        <v>4680115885905</v>
      </c>
      <c r="E30" s="68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9"/>
      <c r="R30" s="689"/>
      <c r="S30" s="689"/>
      <c r="T30" s="690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87">
        <v>4680115887657</v>
      </c>
      <c r="E31" s="68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70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89"/>
      <c r="R31" s="689"/>
      <c r="S31" s="689"/>
      <c r="T31" s="690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87">
        <v>4680115887619</v>
      </c>
      <c r="E32" s="687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89"/>
      <c r="R32" s="689"/>
      <c r="S32" s="689"/>
      <c r="T32" s="690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9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6"/>
      <c r="P33" s="692" t="s">
        <v>40</v>
      </c>
      <c r="Q33" s="693"/>
      <c r="R33" s="693"/>
      <c r="S33" s="693"/>
      <c r="T33" s="693"/>
      <c r="U33" s="693"/>
      <c r="V33" s="694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95"/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6"/>
      <c r="P34" s="692" t="s">
        <v>40</v>
      </c>
      <c r="Q34" s="693"/>
      <c r="R34" s="693"/>
      <c r="S34" s="693"/>
      <c r="T34" s="693"/>
      <c r="U34" s="693"/>
      <c r="V34" s="694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86" t="s">
        <v>107</v>
      </c>
      <c r="B35" s="686"/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6"/>
      <c r="N35" s="686"/>
      <c r="O35" s="686"/>
      <c r="P35" s="686"/>
      <c r="Q35" s="686"/>
      <c r="R35" s="686"/>
      <c r="S35" s="686"/>
      <c r="T35" s="686"/>
      <c r="U35" s="686"/>
      <c r="V35" s="686"/>
      <c r="W35" s="686"/>
      <c r="X35" s="686"/>
      <c r="Y35" s="686"/>
      <c r="Z35" s="686"/>
      <c r="AA35" s="66"/>
      <c r="AB35" s="66"/>
      <c r="AC35" s="80"/>
    </row>
    <row r="36" spans="1:68" ht="27" hidden="1" customHeight="1" x14ac:dyDescent="0.25">
      <c r="A36" s="63" t="s">
        <v>108</v>
      </c>
      <c r="B36" s="63" t="s">
        <v>109</v>
      </c>
      <c r="C36" s="36">
        <v>4301032013</v>
      </c>
      <c r="D36" s="687">
        <v>4607091388503</v>
      </c>
      <c r="E36" s="687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89"/>
      <c r="R36" s="689"/>
      <c r="S36" s="689"/>
      <c r="T36" s="69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95"/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6"/>
      <c r="P37" s="692" t="s">
        <v>40</v>
      </c>
      <c r="Q37" s="693"/>
      <c r="R37" s="693"/>
      <c r="S37" s="693"/>
      <c r="T37" s="693"/>
      <c r="U37" s="693"/>
      <c r="V37" s="694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95"/>
      <c r="B38" s="695"/>
      <c r="C38" s="695"/>
      <c r="D38" s="695"/>
      <c r="E38" s="695"/>
      <c r="F38" s="695"/>
      <c r="G38" s="695"/>
      <c r="H38" s="695"/>
      <c r="I38" s="695"/>
      <c r="J38" s="695"/>
      <c r="K38" s="695"/>
      <c r="L38" s="695"/>
      <c r="M38" s="695"/>
      <c r="N38" s="695"/>
      <c r="O38" s="696"/>
      <c r="P38" s="692" t="s">
        <v>40</v>
      </c>
      <c r="Q38" s="693"/>
      <c r="R38" s="693"/>
      <c r="S38" s="693"/>
      <c r="T38" s="693"/>
      <c r="U38" s="693"/>
      <c r="V38" s="694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84" t="s">
        <v>45</v>
      </c>
      <c r="B39" s="684"/>
      <c r="C39" s="684"/>
      <c r="D39" s="684"/>
      <c r="E39" s="684"/>
      <c r="F39" s="684"/>
      <c r="G39" s="684"/>
      <c r="H39" s="684"/>
      <c r="I39" s="684"/>
      <c r="J39" s="684"/>
      <c r="K39" s="684"/>
      <c r="L39" s="684"/>
      <c r="M39" s="684"/>
      <c r="N39" s="684"/>
      <c r="O39" s="684"/>
      <c r="P39" s="684"/>
      <c r="Q39" s="684"/>
      <c r="R39" s="684"/>
      <c r="S39" s="684"/>
      <c r="T39" s="684"/>
      <c r="U39" s="684"/>
      <c r="V39" s="684"/>
      <c r="W39" s="684"/>
      <c r="X39" s="684"/>
      <c r="Y39" s="684"/>
      <c r="Z39" s="684"/>
      <c r="AA39" s="54"/>
      <c r="AB39" s="54"/>
      <c r="AC39" s="54"/>
    </row>
    <row r="40" spans="1:68" ht="16.5" hidden="1" customHeight="1" x14ac:dyDescent="0.25">
      <c r="A40" s="685" t="s">
        <v>113</v>
      </c>
      <c r="B40" s="685"/>
      <c r="C40" s="685"/>
      <c r="D40" s="685"/>
      <c r="E40" s="685"/>
      <c r="F40" s="685"/>
      <c r="G40" s="685"/>
      <c r="H40" s="685"/>
      <c r="I40" s="685"/>
      <c r="J40" s="685"/>
      <c r="K40" s="685"/>
      <c r="L40" s="685"/>
      <c r="M40" s="685"/>
      <c r="N40" s="685"/>
      <c r="O40" s="685"/>
      <c r="P40" s="685"/>
      <c r="Q40" s="685"/>
      <c r="R40" s="685"/>
      <c r="S40" s="685"/>
      <c r="T40" s="685"/>
      <c r="U40" s="685"/>
      <c r="V40" s="685"/>
      <c r="W40" s="685"/>
      <c r="X40" s="685"/>
      <c r="Y40" s="685"/>
      <c r="Z40" s="685"/>
      <c r="AA40" s="65"/>
      <c r="AB40" s="65"/>
      <c r="AC40" s="79"/>
    </row>
    <row r="41" spans="1:68" ht="14.25" hidden="1" customHeight="1" x14ac:dyDescent="0.25">
      <c r="A41" s="686" t="s">
        <v>86</v>
      </c>
      <c r="B41" s="686"/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6"/>
      <c r="N41" s="686"/>
      <c r="O41" s="686"/>
      <c r="P41" s="686"/>
      <c r="Q41" s="686"/>
      <c r="R41" s="686"/>
      <c r="S41" s="686"/>
      <c r="T41" s="686"/>
      <c r="U41" s="686"/>
      <c r="V41" s="686"/>
      <c r="W41" s="686"/>
      <c r="X41" s="686"/>
      <c r="Y41" s="686"/>
      <c r="Z41" s="686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4301052187</v>
      </c>
      <c r="D42" s="687">
        <v>4680115889354</v>
      </c>
      <c r="E42" s="68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89"/>
      <c r="R42" s="689"/>
      <c r="S42" s="689"/>
      <c r="T42" s="69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4301052198</v>
      </c>
      <c r="D43" s="687">
        <v>4680115888463</v>
      </c>
      <c r="E43" s="68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89"/>
      <c r="R43" s="689"/>
      <c r="S43" s="689"/>
      <c r="T43" s="69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4301052202</v>
      </c>
      <c r="D44" s="687">
        <v>4680115888494</v>
      </c>
      <c r="E44" s="68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89"/>
      <c r="R44" s="689"/>
      <c r="S44" s="689"/>
      <c r="T44" s="69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4301052184</v>
      </c>
      <c r="D45" s="687">
        <v>4680115888272</v>
      </c>
      <c r="E45" s="68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89"/>
      <c r="R45" s="689"/>
      <c r="S45" s="689"/>
      <c r="T45" s="69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customHeight="1" x14ac:dyDescent="0.25">
      <c r="A46" s="63" t="s">
        <v>127</v>
      </c>
      <c r="B46" s="63" t="s">
        <v>128</v>
      </c>
      <c r="C46" s="36">
        <v>4301052188</v>
      </c>
      <c r="D46" s="687">
        <v>4680115888364</v>
      </c>
      <c r="E46" s="687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89"/>
      <c r="R46" s="689"/>
      <c r="S46" s="689"/>
      <c r="T46" s="690"/>
      <c r="U46" s="39" t="s">
        <v>46</v>
      </c>
      <c r="V46" s="39" t="s">
        <v>46</v>
      </c>
      <c r="W46" s="40" t="s">
        <v>0</v>
      </c>
      <c r="X46" s="58">
        <v>32</v>
      </c>
      <c r="Y46" s="55">
        <f>IFERROR(IF(X46="",0,CEILING((X46/$H46),1)*$H46),"")</f>
        <v>32.64</v>
      </c>
      <c r="Z46" s="41">
        <f>IFERROR(IF(Y46=0,"",ROUNDUP(Y46/H46,0)*0.00651),"")</f>
        <v>0.11067</v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35</v>
      </c>
      <c r="BN46" s="78">
        <f>IFERROR(Y46*I46/H46,"0")</f>
        <v>35.70000000000001</v>
      </c>
      <c r="BO46" s="78">
        <f>IFERROR(1/J46*(X46/H46),"0")</f>
        <v>9.1575091575091583E-2</v>
      </c>
      <c r="BP46" s="78">
        <f>IFERROR(1/J46*(Y46/H46),"0")</f>
        <v>9.3406593406593408E-2</v>
      </c>
    </row>
    <row r="47" spans="1:68" x14ac:dyDescent="0.2">
      <c r="A47" s="695"/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6"/>
      <c r="P47" s="692" t="s">
        <v>40</v>
      </c>
      <c r="Q47" s="693"/>
      <c r="R47" s="693"/>
      <c r="S47" s="693"/>
      <c r="T47" s="693"/>
      <c r="U47" s="693"/>
      <c r="V47" s="694"/>
      <c r="W47" s="42" t="s">
        <v>39</v>
      </c>
      <c r="X47" s="43">
        <f>IFERROR(X42/H42,"0")+IFERROR(X43/H43,"0")+IFERROR(X44/H44,"0")+IFERROR(X45/H45,"0")+IFERROR(X46/H46,"0")</f>
        <v>16.666666666666668</v>
      </c>
      <c r="Y47" s="43">
        <f>IFERROR(Y42/H42,"0")+IFERROR(Y43/H43,"0")+IFERROR(Y44/H44,"0")+IFERROR(Y45/H45,"0")+IFERROR(Y46/H46,"0")</f>
        <v>17</v>
      </c>
      <c r="Z47" s="43">
        <f>IFERROR(IF(Z42="",0,Z42),"0")+IFERROR(IF(Z43="",0,Z43),"0")+IFERROR(IF(Z44="",0,Z44),"0")+IFERROR(IF(Z45="",0,Z45),"0")+IFERROR(IF(Z46="",0,Z46),"0")</f>
        <v>0.11067</v>
      </c>
      <c r="AA47" s="67"/>
      <c r="AB47" s="67"/>
      <c r="AC47" s="67"/>
    </row>
    <row r="48" spans="1:68" x14ac:dyDescent="0.2">
      <c r="A48" s="695"/>
      <c r="B48" s="695"/>
      <c r="C48" s="695"/>
      <c r="D48" s="695"/>
      <c r="E48" s="695"/>
      <c r="F48" s="695"/>
      <c r="G48" s="695"/>
      <c r="H48" s="695"/>
      <c r="I48" s="695"/>
      <c r="J48" s="695"/>
      <c r="K48" s="695"/>
      <c r="L48" s="695"/>
      <c r="M48" s="695"/>
      <c r="N48" s="695"/>
      <c r="O48" s="696"/>
      <c r="P48" s="692" t="s">
        <v>40</v>
      </c>
      <c r="Q48" s="693"/>
      <c r="R48" s="693"/>
      <c r="S48" s="693"/>
      <c r="T48" s="693"/>
      <c r="U48" s="693"/>
      <c r="V48" s="694"/>
      <c r="W48" s="42" t="s">
        <v>0</v>
      </c>
      <c r="X48" s="43">
        <f>IFERROR(SUM(X42:X46),"0")</f>
        <v>32</v>
      </c>
      <c r="Y48" s="43">
        <f>IFERROR(SUM(Y42:Y46),"0")</f>
        <v>32.64</v>
      </c>
      <c r="Z48" s="42"/>
      <c r="AA48" s="67"/>
      <c r="AB48" s="67"/>
      <c r="AC48" s="67"/>
    </row>
    <row r="49" spans="1:68" ht="27.75" hidden="1" customHeight="1" x14ac:dyDescent="0.2">
      <c r="A49" s="684" t="s">
        <v>130</v>
      </c>
      <c r="B49" s="684"/>
      <c r="C49" s="684"/>
      <c r="D49" s="684"/>
      <c r="E49" s="684"/>
      <c r="F49" s="684"/>
      <c r="G49" s="684"/>
      <c r="H49" s="684"/>
      <c r="I49" s="684"/>
      <c r="J49" s="684"/>
      <c r="K49" s="684"/>
      <c r="L49" s="684"/>
      <c r="M49" s="684"/>
      <c r="N49" s="684"/>
      <c r="O49" s="684"/>
      <c r="P49" s="684"/>
      <c r="Q49" s="684"/>
      <c r="R49" s="684"/>
      <c r="S49" s="684"/>
      <c r="T49" s="684"/>
      <c r="U49" s="684"/>
      <c r="V49" s="684"/>
      <c r="W49" s="684"/>
      <c r="X49" s="684"/>
      <c r="Y49" s="684"/>
      <c r="Z49" s="684"/>
      <c r="AA49" s="54"/>
      <c r="AB49" s="54"/>
      <c r="AC49" s="54"/>
    </row>
    <row r="50" spans="1:68" ht="16.5" hidden="1" customHeight="1" x14ac:dyDescent="0.25">
      <c r="A50" s="685" t="s">
        <v>131</v>
      </c>
      <c r="B50" s="685"/>
      <c r="C50" s="685"/>
      <c r="D50" s="685"/>
      <c r="E50" s="685"/>
      <c r="F50" s="685"/>
      <c r="G50" s="685"/>
      <c r="H50" s="685"/>
      <c r="I50" s="685"/>
      <c r="J50" s="685"/>
      <c r="K50" s="685"/>
      <c r="L50" s="685"/>
      <c r="M50" s="685"/>
      <c r="N50" s="685"/>
      <c r="O50" s="685"/>
      <c r="P50" s="685"/>
      <c r="Q50" s="685"/>
      <c r="R50" s="685"/>
      <c r="S50" s="685"/>
      <c r="T50" s="685"/>
      <c r="U50" s="685"/>
      <c r="V50" s="685"/>
      <c r="W50" s="685"/>
      <c r="X50" s="685"/>
      <c r="Y50" s="685"/>
      <c r="Z50" s="685"/>
      <c r="AA50" s="65"/>
      <c r="AB50" s="65"/>
      <c r="AC50" s="79"/>
    </row>
    <row r="51" spans="1:68" ht="14.25" hidden="1" customHeight="1" x14ac:dyDescent="0.25">
      <c r="A51" s="686" t="s">
        <v>132</v>
      </c>
      <c r="B51" s="686"/>
      <c r="C51" s="686"/>
      <c r="D51" s="686"/>
      <c r="E51" s="686"/>
      <c r="F51" s="686"/>
      <c r="G51" s="686"/>
      <c r="H51" s="686"/>
      <c r="I51" s="686"/>
      <c r="J51" s="686"/>
      <c r="K51" s="686"/>
      <c r="L51" s="686"/>
      <c r="M51" s="686"/>
      <c r="N51" s="686"/>
      <c r="O51" s="686"/>
      <c r="P51" s="686"/>
      <c r="Q51" s="686"/>
      <c r="R51" s="686"/>
      <c r="S51" s="686"/>
      <c r="T51" s="686"/>
      <c r="U51" s="686"/>
      <c r="V51" s="686"/>
      <c r="W51" s="686"/>
      <c r="X51" s="686"/>
      <c r="Y51" s="686"/>
      <c r="Z51" s="686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87">
        <v>4607091385670</v>
      </c>
      <c r="E52" s="687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89"/>
      <c r="R52" s="689"/>
      <c r="S52" s="689"/>
      <c r="T52" s="690"/>
      <c r="U52" s="39" t="s">
        <v>46</v>
      </c>
      <c r="V52" s="39" t="s">
        <v>46</v>
      </c>
      <c r="W52" s="40" t="s">
        <v>0</v>
      </c>
      <c r="X52" s="58">
        <v>200</v>
      </c>
      <c r="Y52" s="55">
        <f>IFERROR(IF(X52="",0,CEILING((X52/$H52),1)*$H52),"")</f>
        <v>205.20000000000002</v>
      </c>
      <c r="Z52" s="41">
        <f>IFERROR(IF(Y52=0,"",ROUNDUP(Y52/H52,0)*0.01898),"")</f>
        <v>0.36062</v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207.59259259259258</v>
      </c>
      <c r="BN52" s="78">
        <f>IFERROR(Y52*I52/H52,"0")</f>
        <v>212.99</v>
      </c>
      <c r="BO52" s="78">
        <f>IFERROR(1/J52*(X52/H52),"0")</f>
        <v>0.28935185185185186</v>
      </c>
      <c r="BP52" s="78">
        <f>IFERROR(1/J52*(Y52/H52),"0")</f>
        <v>0.296875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4301012053</v>
      </c>
      <c r="D53" s="687">
        <v>4680115887725</v>
      </c>
      <c r="E53" s="687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89"/>
      <c r="R53" s="689"/>
      <c r="S53" s="689"/>
      <c r="T53" s="69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87">
        <v>4607091385687</v>
      </c>
      <c r="E54" s="687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89"/>
      <c r="R54" s="689"/>
      <c r="S54" s="689"/>
      <c r="T54" s="690"/>
      <c r="U54" s="39" t="s">
        <v>46</v>
      </c>
      <c r="V54" s="39" t="s">
        <v>46</v>
      </c>
      <c r="W54" s="40" t="s">
        <v>0</v>
      </c>
      <c r="X54" s="58">
        <v>400</v>
      </c>
      <c r="Y54" s="55">
        <f>IFERROR(IF(X54="",0,CEILING((X54/$H54),1)*$H54),"")</f>
        <v>400</v>
      </c>
      <c r="Z54" s="41">
        <f>IFERROR(IF(Y54=0,"",ROUNDUP(Y54/H54,0)*0.00902),"")</f>
        <v>0.90200000000000002</v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419.00000000000006</v>
      </c>
      <c r="BN54" s="78">
        <f>IFERROR(Y54*I54/H54,"0")</f>
        <v>419.00000000000006</v>
      </c>
      <c r="BO54" s="78">
        <f>IFERROR(1/J54*(X54/H54),"0")</f>
        <v>0.75757575757575757</v>
      </c>
      <c r="BP54" s="78">
        <f>IFERROR(1/J54*(Y54/H54),"0")</f>
        <v>0.75757575757575757</v>
      </c>
    </row>
    <row r="55" spans="1:68" ht="27" hidden="1" customHeight="1" x14ac:dyDescent="0.25">
      <c r="A55" s="63" t="s">
        <v>145</v>
      </c>
      <c r="B55" s="63" t="s">
        <v>146</v>
      </c>
      <c r="C55" s="36">
        <v>4301011565</v>
      </c>
      <c r="D55" s="687">
        <v>4680115882539</v>
      </c>
      <c r="E55" s="687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89"/>
      <c r="R55" s="689"/>
      <c r="S55" s="689"/>
      <c r="T55" s="690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95"/>
      <c r="B56" s="695"/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6"/>
      <c r="P56" s="692" t="s">
        <v>40</v>
      </c>
      <c r="Q56" s="693"/>
      <c r="R56" s="693"/>
      <c r="S56" s="693"/>
      <c r="T56" s="693"/>
      <c r="U56" s="693"/>
      <c r="V56" s="694"/>
      <c r="W56" s="42" t="s">
        <v>39</v>
      </c>
      <c r="X56" s="43">
        <f>IFERROR(X52/H52,"0")+IFERROR(X53/H53,"0")+IFERROR(X54/H54,"0")+IFERROR(X55/H55,"0")</f>
        <v>118.51851851851852</v>
      </c>
      <c r="Y56" s="43">
        <f>IFERROR(Y52/H52,"0")+IFERROR(Y53/H53,"0")+IFERROR(Y54/H54,"0")+IFERROR(Y55/H55,"0")</f>
        <v>119</v>
      </c>
      <c r="Z56" s="43">
        <f>IFERROR(IF(Z52="",0,Z52),"0")+IFERROR(IF(Z53="",0,Z53),"0")+IFERROR(IF(Z54="",0,Z54),"0")+IFERROR(IF(Z55="",0,Z55),"0")</f>
        <v>1.2626200000000001</v>
      </c>
      <c r="AA56" s="67"/>
      <c r="AB56" s="67"/>
      <c r="AC56" s="67"/>
    </row>
    <row r="57" spans="1:68" x14ac:dyDescent="0.2">
      <c r="A57" s="695"/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6"/>
      <c r="P57" s="692" t="s">
        <v>40</v>
      </c>
      <c r="Q57" s="693"/>
      <c r="R57" s="693"/>
      <c r="S57" s="693"/>
      <c r="T57" s="693"/>
      <c r="U57" s="693"/>
      <c r="V57" s="694"/>
      <c r="W57" s="42" t="s">
        <v>0</v>
      </c>
      <c r="X57" s="43">
        <f>IFERROR(SUM(X52:X55),"0")</f>
        <v>600</v>
      </c>
      <c r="Y57" s="43">
        <f>IFERROR(SUM(Y52:Y55),"0")</f>
        <v>605.20000000000005</v>
      </c>
      <c r="Z57" s="42"/>
      <c r="AA57" s="67"/>
      <c r="AB57" s="67"/>
      <c r="AC57" s="67"/>
    </row>
    <row r="58" spans="1:68" ht="16.5" hidden="1" customHeight="1" x14ac:dyDescent="0.25">
      <c r="A58" s="685" t="s">
        <v>147</v>
      </c>
      <c r="B58" s="685"/>
      <c r="C58" s="685"/>
      <c r="D58" s="685"/>
      <c r="E58" s="685"/>
      <c r="F58" s="685"/>
      <c r="G58" s="685"/>
      <c r="H58" s="685"/>
      <c r="I58" s="685"/>
      <c r="J58" s="685"/>
      <c r="K58" s="685"/>
      <c r="L58" s="685"/>
      <c r="M58" s="685"/>
      <c r="N58" s="685"/>
      <c r="O58" s="685"/>
      <c r="P58" s="685"/>
      <c r="Q58" s="685"/>
      <c r="R58" s="685"/>
      <c r="S58" s="685"/>
      <c r="T58" s="685"/>
      <c r="U58" s="685"/>
      <c r="V58" s="685"/>
      <c r="W58" s="685"/>
      <c r="X58" s="685"/>
      <c r="Y58" s="685"/>
      <c r="Z58" s="685"/>
      <c r="AA58" s="65"/>
      <c r="AB58" s="65"/>
      <c r="AC58" s="79"/>
    </row>
    <row r="59" spans="1:68" ht="14.25" hidden="1" customHeight="1" x14ac:dyDescent="0.25">
      <c r="A59" s="686" t="s">
        <v>132</v>
      </c>
      <c r="B59" s="686"/>
      <c r="C59" s="686"/>
      <c r="D59" s="686"/>
      <c r="E59" s="686"/>
      <c r="F59" s="686"/>
      <c r="G59" s="686"/>
      <c r="H59" s="686"/>
      <c r="I59" s="686"/>
      <c r="J59" s="686"/>
      <c r="K59" s="686"/>
      <c r="L59" s="686"/>
      <c r="M59" s="686"/>
      <c r="N59" s="686"/>
      <c r="O59" s="686"/>
      <c r="P59" s="686"/>
      <c r="Q59" s="686"/>
      <c r="R59" s="686"/>
      <c r="S59" s="686"/>
      <c r="T59" s="686"/>
      <c r="U59" s="686"/>
      <c r="V59" s="686"/>
      <c r="W59" s="686"/>
      <c r="X59" s="686"/>
      <c r="Y59" s="686"/>
      <c r="Z59" s="686"/>
      <c r="AA59" s="66"/>
      <c r="AB59" s="66"/>
      <c r="AC59" s="80"/>
    </row>
    <row r="60" spans="1:68" ht="27" hidden="1" customHeight="1" x14ac:dyDescent="0.25">
      <c r="A60" s="63" t="s">
        <v>148</v>
      </c>
      <c r="B60" s="63" t="s">
        <v>149</v>
      </c>
      <c r="C60" s="36">
        <v>4301012030</v>
      </c>
      <c r="D60" s="687">
        <v>4680115885882</v>
      </c>
      <c r="E60" s="68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89"/>
      <c r="R60" s="689"/>
      <c r="S60" s="689"/>
      <c r="T60" s="69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hidden="1" customHeight="1" x14ac:dyDescent="0.25">
      <c r="A61" s="63" t="s">
        <v>148</v>
      </c>
      <c r="B61" s="63" t="s">
        <v>151</v>
      </c>
      <c r="C61" s="36">
        <v>4301012161</v>
      </c>
      <c r="D61" s="687">
        <v>4680115885882</v>
      </c>
      <c r="E61" s="687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89"/>
      <c r="R61" s="689"/>
      <c r="S61" s="689"/>
      <c r="T61" s="69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87">
        <v>4680115881426</v>
      </c>
      <c r="E62" s="687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89"/>
      <c r="R62" s="689"/>
      <c r="S62" s="689"/>
      <c r="T62" s="690"/>
      <c r="U62" s="39" t="s">
        <v>46</v>
      </c>
      <c r="V62" s="39" t="s">
        <v>46</v>
      </c>
      <c r="W62" s="40" t="s">
        <v>0</v>
      </c>
      <c r="X62" s="58">
        <v>150</v>
      </c>
      <c r="Y62" s="55">
        <f t="shared" si="6"/>
        <v>151.20000000000002</v>
      </c>
      <c r="Z62" s="41">
        <f>IFERROR(IF(Y62=0,"",ROUNDUP(Y62/H62,0)*0.01898),"")</f>
        <v>0.26572000000000001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155.69444444444446</v>
      </c>
      <c r="BN62" s="78">
        <f t="shared" si="8"/>
        <v>156.94</v>
      </c>
      <c r="BO62" s="78">
        <f t="shared" si="9"/>
        <v>0.21701388888888887</v>
      </c>
      <c r="BP62" s="78">
        <f t="shared" si="10"/>
        <v>0.21875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4301011386</v>
      </c>
      <c r="D63" s="687">
        <v>4680115880283</v>
      </c>
      <c r="E63" s="68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89"/>
      <c r="R63" s="689"/>
      <c r="S63" s="689"/>
      <c r="T63" s="69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159</v>
      </c>
      <c r="B64" s="63" t="s">
        <v>160</v>
      </c>
      <c r="C64" s="36">
        <v>4301011806</v>
      </c>
      <c r="D64" s="687">
        <v>4680115881525</v>
      </c>
      <c r="E64" s="68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7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9"/>
      <c r="R64" s="689"/>
      <c r="S64" s="689"/>
      <c r="T64" s="69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87">
        <v>4680115885899</v>
      </c>
      <c r="E65" s="68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7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9"/>
      <c r="R65" s="689"/>
      <c r="S65" s="689"/>
      <c r="T65" s="69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customHeight="1" x14ac:dyDescent="0.25">
      <c r="A66" s="63" t="s">
        <v>164</v>
      </c>
      <c r="B66" s="63" t="s">
        <v>165</v>
      </c>
      <c r="C66" s="36">
        <v>4301011801</v>
      </c>
      <c r="D66" s="687">
        <v>4680115881419</v>
      </c>
      <c r="E66" s="68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71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9"/>
      <c r="R66" s="689"/>
      <c r="S66" s="689"/>
      <c r="T66" s="690"/>
      <c r="U66" s="39" t="s">
        <v>46</v>
      </c>
      <c r="V66" s="39" t="s">
        <v>46</v>
      </c>
      <c r="W66" s="40" t="s">
        <v>0</v>
      </c>
      <c r="X66" s="58">
        <v>225</v>
      </c>
      <c r="Y66" s="55">
        <f t="shared" si="6"/>
        <v>225</v>
      </c>
      <c r="Z66" s="41">
        <f>IFERROR(IF(Y66=0,"",ROUNDUP(Y66/H66,0)*0.00902),"")</f>
        <v>0.45100000000000001</v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234.5</v>
      </c>
      <c r="BN66" s="78">
        <f t="shared" si="8"/>
        <v>234.5</v>
      </c>
      <c r="BO66" s="78">
        <f t="shared" si="9"/>
        <v>0.37878787878787878</v>
      </c>
      <c r="BP66" s="78">
        <f t="shared" si="10"/>
        <v>0.37878787878787878</v>
      </c>
    </row>
    <row r="67" spans="1:68" x14ac:dyDescent="0.2">
      <c r="A67" s="695"/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5"/>
      <c r="N67" s="695"/>
      <c r="O67" s="696"/>
      <c r="P67" s="692" t="s">
        <v>40</v>
      </c>
      <c r="Q67" s="693"/>
      <c r="R67" s="693"/>
      <c r="S67" s="693"/>
      <c r="T67" s="693"/>
      <c r="U67" s="693"/>
      <c r="V67" s="694"/>
      <c r="W67" s="42" t="s">
        <v>39</v>
      </c>
      <c r="X67" s="43">
        <f>IFERROR(X60/H60,"0")+IFERROR(X61/H61,"0")+IFERROR(X62/H62,"0")+IFERROR(X63/H63,"0")+IFERROR(X64/H64,"0")+IFERROR(X65/H65,"0")+IFERROR(X66/H66,"0")</f>
        <v>63.888888888888886</v>
      </c>
      <c r="Y67" s="43">
        <f>IFERROR(Y60/H60,"0")+IFERROR(Y61/H61,"0")+IFERROR(Y62/H62,"0")+IFERROR(Y63/H63,"0")+IFERROR(Y64/H64,"0")+IFERROR(Y65/H65,"0")+IFERROR(Y66/H66,"0")</f>
        <v>64</v>
      </c>
      <c r="Z67" s="43">
        <f>IFERROR(IF(Z60="",0,Z60),"0")+IFERROR(IF(Z61="",0,Z61),"0")+IFERROR(IF(Z62="",0,Z62),"0")+IFERROR(IF(Z63="",0,Z63),"0")+IFERROR(IF(Z64="",0,Z64),"0")+IFERROR(IF(Z65="",0,Z65),"0")+IFERROR(IF(Z66="",0,Z66),"0")</f>
        <v>0.71672000000000002</v>
      </c>
      <c r="AA67" s="67"/>
      <c r="AB67" s="67"/>
      <c r="AC67" s="67"/>
    </row>
    <row r="68" spans="1:68" x14ac:dyDescent="0.2">
      <c r="A68" s="695"/>
      <c r="B68" s="695"/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6"/>
      <c r="P68" s="692" t="s">
        <v>40</v>
      </c>
      <c r="Q68" s="693"/>
      <c r="R68" s="693"/>
      <c r="S68" s="693"/>
      <c r="T68" s="693"/>
      <c r="U68" s="693"/>
      <c r="V68" s="694"/>
      <c r="W68" s="42" t="s">
        <v>0</v>
      </c>
      <c r="X68" s="43">
        <f>IFERROR(SUM(X60:X66),"0")</f>
        <v>375</v>
      </c>
      <c r="Y68" s="43">
        <f>IFERROR(SUM(Y60:Y66),"0")</f>
        <v>376.20000000000005</v>
      </c>
      <c r="Z68" s="42"/>
      <c r="AA68" s="67"/>
      <c r="AB68" s="67"/>
      <c r="AC68" s="67"/>
    </row>
    <row r="69" spans="1:68" ht="14.25" hidden="1" customHeight="1" x14ac:dyDescent="0.25">
      <c r="A69" s="686" t="s">
        <v>167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6"/>
      <c r="AB69" s="66"/>
      <c r="AC69" s="80"/>
    </row>
    <row r="70" spans="1:68" ht="16.5" customHeight="1" x14ac:dyDescent="0.25">
      <c r="A70" s="63" t="s">
        <v>168</v>
      </c>
      <c r="B70" s="63" t="s">
        <v>169</v>
      </c>
      <c r="C70" s="36">
        <v>4301020298</v>
      </c>
      <c r="D70" s="687">
        <v>4680115881440</v>
      </c>
      <c r="E70" s="68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7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9"/>
      <c r="R70" s="689"/>
      <c r="S70" s="689"/>
      <c r="T70" s="690"/>
      <c r="U70" s="39" t="s">
        <v>46</v>
      </c>
      <c r="V70" s="39" t="s">
        <v>46</v>
      </c>
      <c r="W70" s="40" t="s">
        <v>0</v>
      </c>
      <c r="X70" s="58">
        <v>80</v>
      </c>
      <c r="Y70" s="55">
        <f>IFERROR(IF(X70="",0,CEILING((X70/$H70),1)*$H70),"")</f>
        <v>86.4</v>
      </c>
      <c r="Z70" s="41">
        <f>IFERROR(IF(Y70=0,"",ROUNDUP(Y70/H70,0)*0.01898),"")</f>
        <v>0.15184</v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83.037037037037038</v>
      </c>
      <c r="BN70" s="78">
        <f>IFERROR(Y70*I70/H70,"0")</f>
        <v>89.68</v>
      </c>
      <c r="BO70" s="78">
        <f>IFERROR(1/J70*(X70/H70),"0")</f>
        <v>0.11574074074074073</v>
      </c>
      <c r="BP70" s="78">
        <f>IFERROR(1/J70*(Y70/H70),"0")</f>
        <v>0.125</v>
      </c>
    </row>
    <row r="71" spans="1:68" ht="16.5" hidden="1" customHeight="1" x14ac:dyDescent="0.25">
      <c r="A71" s="63" t="s">
        <v>171</v>
      </c>
      <c r="B71" s="63" t="s">
        <v>172</v>
      </c>
      <c r="C71" s="36">
        <v>4301020358</v>
      </c>
      <c r="D71" s="687">
        <v>4680115885950</v>
      </c>
      <c r="E71" s="68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9"/>
      <c r="R71" s="689"/>
      <c r="S71" s="689"/>
      <c r="T71" s="69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87">
        <v>4680115887688</v>
      </c>
      <c r="E72" s="68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72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9"/>
      <c r="R72" s="689"/>
      <c r="S72" s="689"/>
      <c r="T72" s="69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87">
        <v>4680115881433</v>
      </c>
      <c r="E73" s="68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7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9"/>
      <c r="R73" s="689"/>
      <c r="S73" s="689"/>
      <c r="T73" s="690"/>
      <c r="U73" s="39" t="s">
        <v>46</v>
      </c>
      <c r="V73" s="39" t="s">
        <v>46</v>
      </c>
      <c r="W73" s="40" t="s">
        <v>0</v>
      </c>
      <c r="X73" s="58">
        <v>90</v>
      </c>
      <c r="Y73" s="55">
        <f>IFERROR(IF(X73="",0,CEILING((X73/$H73),1)*$H73),"")</f>
        <v>91.800000000000011</v>
      </c>
      <c r="Z73" s="41">
        <f>IFERROR(IF(Y73=0,"",ROUNDUP(Y73/H73,0)*0.00651),"")</f>
        <v>0.22134000000000001</v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95.999999999999986</v>
      </c>
      <c r="BN73" s="78">
        <f>IFERROR(Y73*I73/H73,"0")</f>
        <v>97.92</v>
      </c>
      <c r="BO73" s="78">
        <f>IFERROR(1/J73*(X73/H73),"0")</f>
        <v>0.18315018315018314</v>
      </c>
      <c r="BP73" s="78">
        <f>IFERROR(1/J73*(Y73/H73),"0")</f>
        <v>0.18681318681318682</v>
      </c>
    </row>
    <row r="74" spans="1:68" x14ac:dyDescent="0.2">
      <c r="A74" s="695"/>
      <c r="B74" s="695"/>
      <c r="C74" s="695"/>
      <c r="D74" s="695"/>
      <c r="E74" s="695"/>
      <c r="F74" s="695"/>
      <c r="G74" s="695"/>
      <c r="H74" s="695"/>
      <c r="I74" s="695"/>
      <c r="J74" s="695"/>
      <c r="K74" s="695"/>
      <c r="L74" s="695"/>
      <c r="M74" s="695"/>
      <c r="N74" s="695"/>
      <c r="O74" s="696"/>
      <c r="P74" s="692" t="s">
        <v>40</v>
      </c>
      <c r="Q74" s="693"/>
      <c r="R74" s="693"/>
      <c r="S74" s="693"/>
      <c r="T74" s="693"/>
      <c r="U74" s="693"/>
      <c r="V74" s="694"/>
      <c r="W74" s="42" t="s">
        <v>39</v>
      </c>
      <c r="X74" s="43">
        <f>IFERROR(X70/H70,"0")+IFERROR(X71/H71,"0")+IFERROR(X72/H72,"0")+IFERROR(X73/H73,"0")</f>
        <v>40.740740740740733</v>
      </c>
      <c r="Y74" s="43">
        <f>IFERROR(Y70/H70,"0")+IFERROR(Y71/H71,"0")+IFERROR(Y72/H72,"0")+IFERROR(Y73/H73,"0")</f>
        <v>42</v>
      </c>
      <c r="Z74" s="43">
        <f>IFERROR(IF(Z70="",0,Z70),"0")+IFERROR(IF(Z71="",0,Z71),"0")+IFERROR(IF(Z72="",0,Z72),"0")+IFERROR(IF(Z73="",0,Z73),"0")</f>
        <v>0.37318000000000001</v>
      </c>
      <c r="AA74" s="67"/>
      <c r="AB74" s="67"/>
      <c r="AC74" s="67"/>
    </row>
    <row r="75" spans="1:68" x14ac:dyDescent="0.2">
      <c r="A75" s="695"/>
      <c r="B75" s="695"/>
      <c r="C75" s="695"/>
      <c r="D75" s="695"/>
      <c r="E75" s="695"/>
      <c r="F75" s="695"/>
      <c r="G75" s="695"/>
      <c r="H75" s="695"/>
      <c r="I75" s="695"/>
      <c r="J75" s="695"/>
      <c r="K75" s="695"/>
      <c r="L75" s="695"/>
      <c r="M75" s="695"/>
      <c r="N75" s="695"/>
      <c r="O75" s="696"/>
      <c r="P75" s="692" t="s">
        <v>40</v>
      </c>
      <c r="Q75" s="693"/>
      <c r="R75" s="693"/>
      <c r="S75" s="693"/>
      <c r="T75" s="693"/>
      <c r="U75" s="693"/>
      <c r="V75" s="694"/>
      <c r="W75" s="42" t="s">
        <v>0</v>
      </c>
      <c r="X75" s="43">
        <f>IFERROR(SUM(X70:X73),"0")</f>
        <v>170</v>
      </c>
      <c r="Y75" s="43">
        <f>IFERROR(SUM(Y70:Y73),"0")</f>
        <v>178.20000000000002</v>
      </c>
      <c r="Z75" s="42"/>
      <c r="AA75" s="67"/>
      <c r="AB75" s="67"/>
      <c r="AC75" s="67"/>
    </row>
    <row r="76" spans="1:68" ht="14.25" hidden="1" customHeight="1" x14ac:dyDescent="0.25">
      <c r="A76" s="686" t="s">
        <v>86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86"/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87">
        <v>4680115884311</v>
      </c>
      <c r="E77" s="68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9"/>
      <c r="R77" s="689"/>
      <c r="S77" s="689"/>
      <c r="T77" s="69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4301051929</v>
      </c>
      <c r="D78" s="687">
        <v>4680115884403</v>
      </c>
      <c r="E78" s="68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9"/>
      <c r="R78" s="689"/>
      <c r="S78" s="689"/>
      <c r="T78" s="69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95"/>
      <c r="B79" s="695"/>
      <c r="C79" s="695"/>
      <c r="D79" s="695"/>
      <c r="E79" s="695"/>
      <c r="F79" s="695"/>
      <c r="G79" s="695"/>
      <c r="H79" s="695"/>
      <c r="I79" s="695"/>
      <c r="J79" s="695"/>
      <c r="K79" s="695"/>
      <c r="L79" s="695"/>
      <c r="M79" s="695"/>
      <c r="N79" s="695"/>
      <c r="O79" s="696"/>
      <c r="P79" s="692" t="s">
        <v>40</v>
      </c>
      <c r="Q79" s="693"/>
      <c r="R79" s="693"/>
      <c r="S79" s="693"/>
      <c r="T79" s="693"/>
      <c r="U79" s="693"/>
      <c r="V79" s="69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95"/>
      <c r="B80" s="695"/>
      <c r="C80" s="695"/>
      <c r="D80" s="695"/>
      <c r="E80" s="695"/>
      <c r="F80" s="695"/>
      <c r="G80" s="695"/>
      <c r="H80" s="695"/>
      <c r="I80" s="695"/>
      <c r="J80" s="695"/>
      <c r="K80" s="695"/>
      <c r="L80" s="695"/>
      <c r="M80" s="695"/>
      <c r="N80" s="695"/>
      <c r="O80" s="696"/>
      <c r="P80" s="692" t="s">
        <v>40</v>
      </c>
      <c r="Q80" s="693"/>
      <c r="R80" s="693"/>
      <c r="S80" s="693"/>
      <c r="T80" s="693"/>
      <c r="U80" s="693"/>
      <c r="V80" s="69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86" t="s">
        <v>184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86"/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87">
        <v>4680115881532</v>
      </c>
      <c r="E82" s="68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7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9"/>
      <c r="R82" s="689"/>
      <c r="S82" s="689"/>
      <c r="T82" s="690"/>
      <c r="U82" s="39" t="s">
        <v>46</v>
      </c>
      <c r="V82" s="39" t="s">
        <v>46</v>
      </c>
      <c r="W82" s="40" t="s">
        <v>0</v>
      </c>
      <c r="X82" s="58">
        <v>60</v>
      </c>
      <c r="Y82" s="55">
        <f>IFERROR(IF(X82="",0,CEILING((X82/$H82),1)*$H82),"")</f>
        <v>62.4</v>
      </c>
      <c r="Z82" s="41">
        <f>IFERROR(IF(Y82=0,"",ROUNDUP(Y82/H82,0)*0.01898),"")</f>
        <v>0.15184</v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63.15384615384616</v>
      </c>
      <c r="BN82" s="78">
        <f>IFERROR(Y82*I82/H82,"0")</f>
        <v>65.680000000000007</v>
      </c>
      <c r="BO82" s="78">
        <f>IFERROR(1/J82*(X82/H82),"0")</f>
        <v>0.1201923076923077</v>
      </c>
      <c r="BP82" s="78">
        <f>IFERROR(1/J82*(Y82/H82),"0")</f>
        <v>0.125</v>
      </c>
    </row>
    <row r="83" spans="1:68" ht="27" hidden="1" customHeight="1" x14ac:dyDescent="0.25">
      <c r="A83" s="63" t="s">
        <v>188</v>
      </c>
      <c r="B83" s="63" t="s">
        <v>189</v>
      </c>
      <c r="C83" s="36">
        <v>4301060351</v>
      </c>
      <c r="D83" s="687">
        <v>4680115881464</v>
      </c>
      <c r="E83" s="68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7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9"/>
      <c r="R83" s="689"/>
      <c r="S83" s="689"/>
      <c r="T83" s="69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5"/>
      <c r="B84" s="695"/>
      <c r="C84" s="695"/>
      <c r="D84" s="695"/>
      <c r="E84" s="695"/>
      <c r="F84" s="695"/>
      <c r="G84" s="695"/>
      <c r="H84" s="695"/>
      <c r="I84" s="695"/>
      <c r="J84" s="695"/>
      <c r="K84" s="695"/>
      <c r="L84" s="695"/>
      <c r="M84" s="695"/>
      <c r="N84" s="695"/>
      <c r="O84" s="696"/>
      <c r="P84" s="692" t="s">
        <v>40</v>
      </c>
      <c r="Q84" s="693"/>
      <c r="R84" s="693"/>
      <c r="S84" s="693"/>
      <c r="T84" s="693"/>
      <c r="U84" s="693"/>
      <c r="V84" s="694"/>
      <c r="W84" s="42" t="s">
        <v>39</v>
      </c>
      <c r="X84" s="43">
        <f>IFERROR(X82/H82,"0")+IFERROR(X83/H83,"0")</f>
        <v>7.6923076923076925</v>
      </c>
      <c r="Y84" s="43">
        <f>IFERROR(Y82/H82,"0")+IFERROR(Y83/H83,"0")</f>
        <v>8</v>
      </c>
      <c r="Z84" s="43">
        <f>IFERROR(IF(Z82="",0,Z82),"0")+IFERROR(IF(Z83="",0,Z83),"0")</f>
        <v>0.15184</v>
      </c>
      <c r="AA84" s="67"/>
      <c r="AB84" s="67"/>
      <c r="AC84" s="67"/>
    </row>
    <row r="85" spans="1:68" x14ac:dyDescent="0.2">
      <c r="A85" s="695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6"/>
      <c r="P85" s="692" t="s">
        <v>40</v>
      </c>
      <c r="Q85" s="693"/>
      <c r="R85" s="693"/>
      <c r="S85" s="693"/>
      <c r="T85" s="693"/>
      <c r="U85" s="693"/>
      <c r="V85" s="694"/>
      <c r="W85" s="42" t="s">
        <v>0</v>
      </c>
      <c r="X85" s="43">
        <f>IFERROR(SUM(X82:X83),"0")</f>
        <v>60</v>
      </c>
      <c r="Y85" s="43">
        <f>IFERROR(SUM(Y82:Y83),"0")</f>
        <v>62.4</v>
      </c>
      <c r="Z85" s="42"/>
      <c r="AA85" s="67"/>
      <c r="AB85" s="67"/>
      <c r="AC85" s="67"/>
    </row>
    <row r="86" spans="1:68" ht="16.5" hidden="1" customHeight="1" x14ac:dyDescent="0.25">
      <c r="A86" s="685" t="s">
        <v>191</v>
      </c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5"/>
      <c r="S86" s="685"/>
      <c r="T86" s="685"/>
      <c r="U86" s="685"/>
      <c r="V86" s="685"/>
      <c r="W86" s="685"/>
      <c r="X86" s="685"/>
      <c r="Y86" s="685"/>
      <c r="Z86" s="685"/>
      <c r="AA86" s="65"/>
      <c r="AB86" s="65"/>
      <c r="AC86" s="79"/>
    </row>
    <row r="87" spans="1:68" ht="14.25" hidden="1" customHeight="1" x14ac:dyDescent="0.25">
      <c r="A87" s="686" t="s">
        <v>132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87">
        <v>4680115881327</v>
      </c>
      <c r="E88" s="68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7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9"/>
      <c r="R88" s="689"/>
      <c r="S88" s="689"/>
      <c r="T88" s="690"/>
      <c r="U88" s="39" t="s">
        <v>46</v>
      </c>
      <c r="V88" s="39" t="s">
        <v>46</v>
      </c>
      <c r="W88" s="40" t="s">
        <v>0</v>
      </c>
      <c r="X88" s="58">
        <v>110</v>
      </c>
      <c r="Y88" s="55">
        <f>IFERROR(IF(X88="",0,CEILING((X88/$H88),1)*$H88),"")</f>
        <v>118.80000000000001</v>
      </c>
      <c r="Z88" s="41">
        <f>IFERROR(IF(Y88=0,"",ROUNDUP(Y88/H88,0)*0.01898),"")</f>
        <v>0.20877999999999999</v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114.17592592592594</v>
      </c>
      <c r="BN88" s="78">
        <f>IFERROR(Y88*I88/H88,"0")</f>
        <v>123.31000000000002</v>
      </c>
      <c r="BO88" s="78">
        <f>IFERROR(1/J88*(X88/H88),"0")</f>
        <v>0.15914351851851852</v>
      </c>
      <c r="BP88" s="78">
        <f>IFERROR(1/J88*(Y88/H88),"0")</f>
        <v>0.171875</v>
      </c>
    </row>
    <row r="89" spans="1:68" ht="27" hidden="1" customHeight="1" x14ac:dyDescent="0.25">
      <c r="A89" s="63" t="s">
        <v>195</v>
      </c>
      <c r="B89" s="63" t="s">
        <v>196</v>
      </c>
      <c r="C89" s="36">
        <v>4301011261</v>
      </c>
      <c r="D89" s="687">
        <v>4680115887732</v>
      </c>
      <c r="E89" s="68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7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9"/>
      <c r="R89" s="689"/>
      <c r="S89" s="689"/>
      <c r="T89" s="69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4301011476</v>
      </c>
      <c r="D90" s="687">
        <v>4680115881518</v>
      </c>
      <c r="E90" s="68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9"/>
      <c r="R90" s="689"/>
      <c r="S90" s="689"/>
      <c r="T90" s="69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87">
        <v>4680115881303</v>
      </c>
      <c r="E91" s="68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9"/>
      <c r="R91" s="689"/>
      <c r="S91" s="689"/>
      <c r="T91" s="690"/>
      <c r="U91" s="39" t="s">
        <v>46</v>
      </c>
      <c r="V91" s="39" t="s">
        <v>46</v>
      </c>
      <c r="W91" s="40" t="s">
        <v>0</v>
      </c>
      <c r="X91" s="58">
        <v>270</v>
      </c>
      <c r="Y91" s="55">
        <f>IFERROR(IF(X91="",0,CEILING((X91/$H91),1)*$H91),"")</f>
        <v>270</v>
      </c>
      <c r="Z91" s="41">
        <f>IFERROR(IF(Y91=0,"",ROUNDUP(Y91/H91,0)*0.00902),"")</f>
        <v>0.54120000000000001</v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281.40000000000003</v>
      </c>
      <c r="BN91" s="78">
        <f>IFERROR(Y91*I91/H91,"0")</f>
        <v>281.40000000000003</v>
      </c>
      <c r="BO91" s="78">
        <f>IFERROR(1/J91*(X91/H91),"0")</f>
        <v>0.45454545454545459</v>
      </c>
      <c r="BP91" s="78">
        <f>IFERROR(1/J91*(Y91/H91),"0")</f>
        <v>0.45454545454545459</v>
      </c>
    </row>
    <row r="92" spans="1:68" x14ac:dyDescent="0.2">
      <c r="A92" s="695"/>
      <c r="B92" s="695"/>
      <c r="C92" s="695"/>
      <c r="D92" s="695"/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6"/>
      <c r="P92" s="692" t="s">
        <v>40</v>
      </c>
      <c r="Q92" s="693"/>
      <c r="R92" s="693"/>
      <c r="S92" s="693"/>
      <c r="T92" s="693"/>
      <c r="U92" s="693"/>
      <c r="V92" s="694"/>
      <c r="W92" s="42" t="s">
        <v>39</v>
      </c>
      <c r="X92" s="43">
        <f>IFERROR(X88/H88,"0")+IFERROR(X89/H89,"0")+IFERROR(X90/H90,"0")+IFERROR(X91/H91,"0")</f>
        <v>70.18518518518519</v>
      </c>
      <c r="Y92" s="43">
        <f>IFERROR(Y88/H88,"0")+IFERROR(Y89/H89,"0")+IFERROR(Y90/H90,"0")+IFERROR(Y91/H91,"0")</f>
        <v>71</v>
      </c>
      <c r="Z92" s="43">
        <f>IFERROR(IF(Z88="",0,Z88),"0")+IFERROR(IF(Z89="",0,Z89),"0")+IFERROR(IF(Z90="",0,Z90),"0")+IFERROR(IF(Z91="",0,Z91),"0")</f>
        <v>0.74997999999999998</v>
      </c>
      <c r="AA92" s="67"/>
      <c r="AB92" s="67"/>
      <c r="AC92" s="67"/>
    </row>
    <row r="93" spans="1:68" x14ac:dyDescent="0.2">
      <c r="A93" s="695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95"/>
      <c r="O93" s="696"/>
      <c r="P93" s="692" t="s">
        <v>40</v>
      </c>
      <c r="Q93" s="693"/>
      <c r="R93" s="693"/>
      <c r="S93" s="693"/>
      <c r="T93" s="693"/>
      <c r="U93" s="693"/>
      <c r="V93" s="694"/>
      <c r="W93" s="42" t="s">
        <v>0</v>
      </c>
      <c r="X93" s="43">
        <f>IFERROR(SUM(X88:X91),"0")</f>
        <v>380</v>
      </c>
      <c r="Y93" s="43">
        <f>IFERROR(SUM(Y88:Y91),"0")</f>
        <v>388.8</v>
      </c>
      <c r="Z93" s="42"/>
      <c r="AA93" s="67"/>
      <c r="AB93" s="67"/>
      <c r="AC93" s="67"/>
    </row>
    <row r="94" spans="1:68" ht="14.25" hidden="1" customHeight="1" x14ac:dyDescent="0.25">
      <c r="A94" s="686" t="s">
        <v>86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87">
        <v>4607091386967</v>
      </c>
      <c r="E95" s="68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9"/>
      <c r="R95" s="689"/>
      <c r="S95" s="689"/>
      <c r="T95" s="690"/>
      <c r="U95" s="39" t="s">
        <v>46</v>
      </c>
      <c r="V95" s="39" t="s">
        <v>46</v>
      </c>
      <c r="W95" s="40" t="s">
        <v>0</v>
      </c>
      <c r="X95" s="58">
        <v>300</v>
      </c>
      <c r="Y95" s="55">
        <f>IFERROR(IF(X95="",0,CEILING((X95/$H95),1)*$H95),"")</f>
        <v>307.8</v>
      </c>
      <c r="Z95" s="41">
        <f>IFERROR(IF(Y95=0,"",ROUNDUP(Y95/H95,0)*0.01898),"")</f>
        <v>0.72123999999999999</v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318.2962962962963</v>
      </c>
      <c r="BN95" s="78">
        <f>IFERROR(Y95*I95/H95,"0")</f>
        <v>326.572</v>
      </c>
      <c r="BO95" s="78">
        <f>IFERROR(1/J95*(X95/H95),"0")</f>
        <v>0.57870370370370372</v>
      </c>
      <c r="BP95" s="78">
        <f>IFERROR(1/J95*(Y95/H95),"0")</f>
        <v>0.59375</v>
      </c>
    </row>
    <row r="96" spans="1:68" ht="27" hidden="1" customHeight="1" x14ac:dyDescent="0.25">
      <c r="A96" s="63" t="s">
        <v>205</v>
      </c>
      <c r="B96" s="63" t="s">
        <v>206</v>
      </c>
      <c r="C96" s="36">
        <v>4301051788</v>
      </c>
      <c r="D96" s="687">
        <v>4680115884953</v>
      </c>
      <c r="E96" s="68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9"/>
      <c r="R96" s="689"/>
      <c r="S96" s="689"/>
      <c r="T96" s="69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87">
        <v>4607091385731</v>
      </c>
      <c r="E97" s="68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9"/>
      <c r="R97" s="689"/>
      <c r="S97" s="689"/>
      <c r="T97" s="690"/>
      <c r="U97" s="39" t="s">
        <v>46</v>
      </c>
      <c r="V97" s="39" t="s">
        <v>46</v>
      </c>
      <c r="W97" s="40" t="s">
        <v>0</v>
      </c>
      <c r="X97" s="58">
        <v>450</v>
      </c>
      <c r="Y97" s="55">
        <f>IFERROR(IF(X97="",0,CEILING((X97/$H97),1)*$H97),"")</f>
        <v>450.90000000000003</v>
      </c>
      <c r="Z97" s="41">
        <f>IFERROR(IF(Y97=0,"",ROUNDUP(Y97/H97,0)*0.00651),"")</f>
        <v>1.08717</v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492</v>
      </c>
      <c r="BN97" s="78">
        <f>IFERROR(Y97*I97/H97,"0")</f>
        <v>492.98399999999998</v>
      </c>
      <c r="BO97" s="78">
        <f>IFERROR(1/J97*(X97/H97),"0")</f>
        <v>0.91575091575091572</v>
      </c>
      <c r="BP97" s="78">
        <f>IFERROR(1/J97*(Y97/H97),"0")</f>
        <v>0.91758241758241765</v>
      </c>
    </row>
    <row r="98" spans="1:68" ht="16.5" hidden="1" customHeight="1" x14ac:dyDescent="0.25">
      <c r="A98" s="63" t="s">
        <v>209</v>
      </c>
      <c r="B98" s="63" t="s">
        <v>210</v>
      </c>
      <c r="C98" s="36">
        <v>4301052092</v>
      </c>
      <c r="D98" s="687">
        <v>4680115880894</v>
      </c>
      <c r="E98" s="68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9"/>
      <c r="R98" s="689"/>
      <c r="S98" s="689"/>
      <c r="T98" s="69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5"/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6"/>
      <c r="P99" s="692" t="s">
        <v>40</v>
      </c>
      <c r="Q99" s="693"/>
      <c r="R99" s="693"/>
      <c r="S99" s="693"/>
      <c r="T99" s="693"/>
      <c r="U99" s="693"/>
      <c r="V99" s="694"/>
      <c r="W99" s="42" t="s">
        <v>39</v>
      </c>
      <c r="X99" s="43">
        <f>IFERROR(X95/H95,"0")+IFERROR(X96/H96,"0")+IFERROR(X97/H97,"0")+IFERROR(X98/H98,"0")</f>
        <v>203.7037037037037</v>
      </c>
      <c r="Y99" s="43">
        <f>IFERROR(Y95/H95,"0")+IFERROR(Y96/H96,"0")+IFERROR(Y97/H97,"0")+IFERROR(Y98/H98,"0")</f>
        <v>205</v>
      </c>
      <c r="Z99" s="43">
        <f>IFERROR(IF(Z95="",0,Z95),"0")+IFERROR(IF(Z96="",0,Z96),"0")+IFERROR(IF(Z97="",0,Z97),"0")+IFERROR(IF(Z98="",0,Z98),"0")</f>
        <v>1.8084099999999999</v>
      </c>
      <c r="AA99" s="67"/>
      <c r="AB99" s="67"/>
      <c r="AC99" s="67"/>
    </row>
    <row r="100" spans="1:68" x14ac:dyDescent="0.2">
      <c r="A100" s="695"/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695"/>
      <c r="O100" s="696"/>
      <c r="P100" s="692" t="s">
        <v>40</v>
      </c>
      <c r="Q100" s="693"/>
      <c r="R100" s="693"/>
      <c r="S100" s="693"/>
      <c r="T100" s="693"/>
      <c r="U100" s="693"/>
      <c r="V100" s="694"/>
      <c r="W100" s="42" t="s">
        <v>0</v>
      </c>
      <c r="X100" s="43">
        <f>IFERROR(SUM(X95:X98),"0")</f>
        <v>750</v>
      </c>
      <c r="Y100" s="43">
        <f>IFERROR(SUM(Y95:Y98),"0")</f>
        <v>758.7</v>
      </c>
      <c r="Z100" s="42"/>
      <c r="AA100" s="67"/>
      <c r="AB100" s="67"/>
      <c r="AC100" s="67"/>
    </row>
    <row r="101" spans="1:68" ht="16.5" hidden="1" customHeight="1" x14ac:dyDescent="0.25">
      <c r="A101" s="685" t="s">
        <v>212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5"/>
      <c r="AB101" s="65"/>
      <c r="AC101" s="79"/>
    </row>
    <row r="102" spans="1:68" ht="14.25" hidden="1" customHeight="1" x14ac:dyDescent="0.25">
      <c r="A102" s="686" t="s">
        <v>132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6"/>
      <c r="AB102" s="66"/>
      <c r="AC102" s="80"/>
    </row>
    <row r="103" spans="1:68" ht="37.5" hidden="1" customHeight="1" x14ac:dyDescent="0.25">
      <c r="A103" s="63" t="s">
        <v>213</v>
      </c>
      <c r="B103" s="63" t="s">
        <v>214</v>
      </c>
      <c r="C103" s="36">
        <v>4301011514</v>
      </c>
      <c r="D103" s="687">
        <v>4680115882133</v>
      </c>
      <c r="E103" s="68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9"/>
      <c r="R103" s="689"/>
      <c r="S103" s="689"/>
      <c r="T103" s="69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9" si="11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0</v>
      </c>
      <c r="BN103" s="78">
        <f t="shared" ref="BN103:BN109" si="13">IFERROR(Y103*I103/H103,"0")</f>
        <v>0</v>
      </c>
      <c r="BO103" s="78">
        <f t="shared" ref="BO103:BO109" si="14">IFERROR(1/J103*(X103/H103),"0")</f>
        <v>0</v>
      </c>
      <c r="BP103" s="78">
        <f t="shared" ref="BP103:BP109" si="15">IFERROR(1/J103*(Y103/H103),"0")</f>
        <v>0</v>
      </c>
    </row>
    <row r="104" spans="1:68" ht="27" customHeight="1" x14ac:dyDescent="0.25">
      <c r="A104" s="63" t="s">
        <v>216</v>
      </c>
      <c r="B104" s="63" t="s">
        <v>217</v>
      </c>
      <c r="C104" s="36">
        <v>4301012051</v>
      </c>
      <c r="D104" s="687">
        <v>4680115887718</v>
      </c>
      <c r="E104" s="68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7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9"/>
      <c r="R104" s="689"/>
      <c r="S104" s="689"/>
      <c r="T104" s="690"/>
      <c r="U104" s="39" t="s">
        <v>46</v>
      </c>
      <c r="V104" s="39" t="s">
        <v>46</v>
      </c>
      <c r="W104" s="40" t="s">
        <v>0</v>
      </c>
      <c r="X104" s="58">
        <v>1.1000000000000001</v>
      </c>
      <c r="Y104" s="55">
        <f t="shared" si="11"/>
        <v>1.1000000000000001</v>
      </c>
      <c r="Z104" s="41">
        <f>IFERROR(IF(Y104=0,"",ROUNDUP(Y104/H104,0)*0.00726),"")</f>
        <v>7.26E-3</v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1.31</v>
      </c>
      <c r="BN104" s="78">
        <f t="shared" si="13"/>
        <v>1.31</v>
      </c>
      <c r="BO104" s="78">
        <f t="shared" si="14"/>
        <v>5.208333333333333E-3</v>
      </c>
      <c r="BP104" s="78">
        <f t="shared" si="15"/>
        <v>5.208333333333333E-3</v>
      </c>
    </row>
    <row r="105" spans="1:68" ht="27" hidden="1" customHeight="1" x14ac:dyDescent="0.25">
      <c r="A105" s="63" t="s">
        <v>216</v>
      </c>
      <c r="B105" s="63" t="s">
        <v>219</v>
      </c>
      <c r="C105" s="36">
        <v>4301012334</v>
      </c>
      <c r="D105" s="687">
        <v>4680115887718</v>
      </c>
      <c r="E105" s="68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7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9"/>
      <c r="R105" s="689"/>
      <c r="S105" s="689"/>
      <c r="T105" s="69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hidden="1" customHeight="1" x14ac:dyDescent="0.25">
      <c r="A106" s="63" t="s">
        <v>220</v>
      </c>
      <c r="B106" s="63" t="s">
        <v>221</v>
      </c>
      <c r="C106" s="36">
        <v>4301012226</v>
      </c>
      <c r="D106" s="687">
        <v>4680115887749</v>
      </c>
      <c r="E106" s="687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73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89"/>
      <c r="R106" s="689"/>
      <c r="S106" s="689"/>
      <c r="T106" s="69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222</v>
      </c>
      <c r="B107" s="63" t="s">
        <v>223</v>
      </c>
      <c r="C107" s="36">
        <v>4301011417</v>
      </c>
      <c r="D107" s="687">
        <v>4680115880269</v>
      </c>
      <c r="E107" s="68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9"/>
      <c r="R107" s="689"/>
      <c r="S107" s="689"/>
      <c r="T107" s="69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224</v>
      </c>
      <c r="B108" s="63" t="s">
        <v>225</v>
      </c>
      <c r="C108" s="36">
        <v>4301011415</v>
      </c>
      <c r="D108" s="687">
        <v>4680115880429</v>
      </c>
      <c r="E108" s="687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9"/>
      <c r="R108" s="689"/>
      <c r="S108" s="689"/>
      <c r="T108" s="690"/>
      <c r="U108" s="39" t="s">
        <v>46</v>
      </c>
      <c r="V108" s="39" t="s">
        <v>46</v>
      </c>
      <c r="W108" s="40" t="s">
        <v>0</v>
      </c>
      <c r="X108" s="58">
        <v>360</v>
      </c>
      <c r="Y108" s="55">
        <f t="shared" si="11"/>
        <v>360</v>
      </c>
      <c r="Z108" s="41">
        <f>IFERROR(IF(Y108=0,"",ROUNDUP(Y108/H108,0)*0.00902),"")</f>
        <v>0.72160000000000002</v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375.20000000000005</v>
      </c>
      <c r="BN108" s="78">
        <f t="shared" si="13"/>
        <v>375.20000000000005</v>
      </c>
      <c r="BO108" s="78">
        <f t="shared" si="14"/>
        <v>0.60606060606060608</v>
      </c>
      <c r="BP108" s="78">
        <f t="shared" si="15"/>
        <v>0.60606060606060608</v>
      </c>
    </row>
    <row r="109" spans="1:68" ht="37.5" hidden="1" customHeight="1" x14ac:dyDescent="0.25">
      <c r="A109" s="63" t="s">
        <v>226</v>
      </c>
      <c r="B109" s="63" t="s">
        <v>227</v>
      </c>
      <c r="C109" s="36">
        <v>4301011462</v>
      </c>
      <c r="D109" s="687">
        <v>4680115881457</v>
      </c>
      <c r="E109" s="687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9"/>
      <c r="R109" s="689"/>
      <c r="S109" s="689"/>
      <c r="T109" s="69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x14ac:dyDescent="0.2">
      <c r="A110" s="695"/>
      <c r="B110" s="695"/>
      <c r="C110" s="695"/>
      <c r="D110" s="695"/>
      <c r="E110" s="695"/>
      <c r="F110" s="695"/>
      <c r="G110" s="695"/>
      <c r="H110" s="695"/>
      <c r="I110" s="695"/>
      <c r="J110" s="695"/>
      <c r="K110" s="695"/>
      <c r="L110" s="695"/>
      <c r="M110" s="695"/>
      <c r="N110" s="695"/>
      <c r="O110" s="696"/>
      <c r="P110" s="692" t="s">
        <v>40</v>
      </c>
      <c r="Q110" s="693"/>
      <c r="R110" s="693"/>
      <c r="S110" s="693"/>
      <c r="T110" s="693"/>
      <c r="U110" s="693"/>
      <c r="V110" s="694"/>
      <c r="W110" s="42" t="s">
        <v>39</v>
      </c>
      <c r="X110" s="43">
        <f>IFERROR(X103/H103,"0")+IFERROR(X104/H104,"0")+IFERROR(X105/H105,"0")+IFERROR(X106/H106,"0")+IFERROR(X107/H107,"0")+IFERROR(X108/H108,"0")+IFERROR(X109/H109,"0")</f>
        <v>81</v>
      </c>
      <c r="Y110" s="43">
        <f>IFERROR(Y103/H103,"0")+IFERROR(Y104/H104,"0")+IFERROR(Y105/H105,"0")+IFERROR(Y106/H106,"0")+IFERROR(Y107/H107,"0")+IFERROR(Y108/H108,"0")+IFERROR(Y109/H109,"0")</f>
        <v>81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0.72886000000000006</v>
      </c>
      <c r="AA110" s="67"/>
      <c r="AB110" s="67"/>
      <c r="AC110" s="67"/>
    </row>
    <row r="111" spans="1:68" x14ac:dyDescent="0.2">
      <c r="A111" s="695"/>
      <c r="B111" s="695"/>
      <c r="C111" s="695"/>
      <c r="D111" s="695"/>
      <c r="E111" s="695"/>
      <c r="F111" s="695"/>
      <c r="G111" s="695"/>
      <c r="H111" s="695"/>
      <c r="I111" s="695"/>
      <c r="J111" s="695"/>
      <c r="K111" s="695"/>
      <c r="L111" s="695"/>
      <c r="M111" s="695"/>
      <c r="N111" s="695"/>
      <c r="O111" s="696"/>
      <c r="P111" s="692" t="s">
        <v>40</v>
      </c>
      <c r="Q111" s="693"/>
      <c r="R111" s="693"/>
      <c r="S111" s="693"/>
      <c r="T111" s="693"/>
      <c r="U111" s="693"/>
      <c r="V111" s="694"/>
      <c r="W111" s="42" t="s">
        <v>0</v>
      </c>
      <c r="X111" s="43">
        <f>IFERROR(SUM(X103:X109),"0")</f>
        <v>361.1</v>
      </c>
      <c r="Y111" s="43">
        <f>IFERROR(SUM(Y103:Y109),"0")</f>
        <v>361.1</v>
      </c>
      <c r="Z111" s="42"/>
      <c r="AA111" s="67"/>
      <c r="AB111" s="67"/>
      <c r="AC111" s="67"/>
    </row>
    <row r="112" spans="1:68" ht="14.25" hidden="1" customHeight="1" x14ac:dyDescent="0.25">
      <c r="A112" s="686" t="s">
        <v>167</v>
      </c>
      <c r="B112" s="686"/>
      <c r="C112" s="686"/>
      <c r="D112" s="686"/>
      <c r="E112" s="686"/>
      <c r="F112" s="686"/>
      <c r="G112" s="686"/>
      <c r="H112" s="686"/>
      <c r="I112" s="686"/>
      <c r="J112" s="686"/>
      <c r="K112" s="686"/>
      <c r="L112" s="686"/>
      <c r="M112" s="686"/>
      <c r="N112" s="686"/>
      <c r="O112" s="686"/>
      <c r="P112" s="686"/>
      <c r="Q112" s="686"/>
      <c r="R112" s="686"/>
      <c r="S112" s="686"/>
      <c r="T112" s="686"/>
      <c r="U112" s="686"/>
      <c r="V112" s="686"/>
      <c r="W112" s="686"/>
      <c r="X112" s="686"/>
      <c r="Y112" s="686"/>
      <c r="Z112" s="686"/>
      <c r="AA112" s="66"/>
      <c r="AB112" s="66"/>
      <c r="AC112" s="80"/>
    </row>
    <row r="113" spans="1:68" ht="16.5" hidden="1" customHeight="1" x14ac:dyDescent="0.25">
      <c r="A113" s="63" t="s">
        <v>228</v>
      </c>
      <c r="B113" s="63" t="s">
        <v>229</v>
      </c>
      <c r="C113" s="36">
        <v>4301020345</v>
      </c>
      <c r="D113" s="687">
        <v>4680115881488</v>
      </c>
      <c r="E113" s="68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9"/>
      <c r="R113" s="689"/>
      <c r="S113" s="689"/>
      <c r="T113" s="69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hidden="1" customHeight="1" x14ac:dyDescent="0.25">
      <c r="A114" s="63" t="s">
        <v>228</v>
      </c>
      <c r="B114" s="63" t="s">
        <v>231</v>
      </c>
      <c r="C114" s="36">
        <v>4301020391</v>
      </c>
      <c r="D114" s="687">
        <v>4680115881488</v>
      </c>
      <c r="E114" s="687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89"/>
      <c r="R114" s="689"/>
      <c r="S114" s="689"/>
      <c r="T114" s="69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4301020186</v>
      </c>
      <c r="D115" s="687">
        <v>4680115887664</v>
      </c>
      <c r="E115" s="687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9"/>
      <c r="R115" s="689"/>
      <c r="S115" s="689"/>
      <c r="T115" s="69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233</v>
      </c>
      <c r="B116" s="63" t="s">
        <v>237</v>
      </c>
      <c r="C116" s="36">
        <v>4301020430</v>
      </c>
      <c r="D116" s="687">
        <v>4680115887664</v>
      </c>
      <c r="E116" s="687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89"/>
      <c r="R116" s="689"/>
      <c r="S116" s="689"/>
      <c r="T116" s="69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hidden="1" customHeight="1" x14ac:dyDescent="0.25">
      <c r="A117" s="63" t="s">
        <v>238</v>
      </c>
      <c r="B117" s="63" t="s">
        <v>239</v>
      </c>
      <c r="C117" s="36">
        <v>4301020393</v>
      </c>
      <c r="D117" s="687">
        <v>4680115882775</v>
      </c>
      <c r="E117" s="68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89"/>
      <c r="R117" s="689"/>
      <c r="S117" s="689"/>
      <c r="T117" s="69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hidden="1" customHeight="1" x14ac:dyDescent="0.25">
      <c r="A118" s="63" t="s">
        <v>240</v>
      </c>
      <c r="B118" s="63" t="s">
        <v>241</v>
      </c>
      <c r="C118" s="36">
        <v>4301020344</v>
      </c>
      <c r="D118" s="687">
        <v>4680115880658</v>
      </c>
      <c r="E118" s="68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89"/>
      <c r="R118" s="689"/>
      <c r="S118" s="689"/>
      <c r="T118" s="69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hidden="1" customHeight="1" x14ac:dyDescent="0.25">
      <c r="A119" s="63" t="s">
        <v>240</v>
      </c>
      <c r="B119" s="63" t="s">
        <v>242</v>
      </c>
      <c r="C119" s="36">
        <v>4301020392</v>
      </c>
      <c r="D119" s="687">
        <v>4680115880658</v>
      </c>
      <c r="E119" s="687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89"/>
      <c r="R119" s="689"/>
      <c r="S119" s="689"/>
      <c r="T119" s="690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hidden="1" x14ac:dyDescent="0.2">
      <c r="A120" s="695"/>
      <c r="B120" s="695"/>
      <c r="C120" s="695"/>
      <c r="D120" s="695"/>
      <c r="E120" s="695"/>
      <c r="F120" s="695"/>
      <c r="G120" s="695"/>
      <c r="H120" s="695"/>
      <c r="I120" s="695"/>
      <c r="J120" s="695"/>
      <c r="K120" s="695"/>
      <c r="L120" s="695"/>
      <c r="M120" s="695"/>
      <c r="N120" s="695"/>
      <c r="O120" s="696"/>
      <c r="P120" s="692" t="s">
        <v>40</v>
      </c>
      <c r="Q120" s="693"/>
      <c r="R120" s="693"/>
      <c r="S120" s="693"/>
      <c r="T120" s="693"/>
      <c r="U120" s="693"/>
      <c r="V120" s="694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95"/>
      <c r="B121" s="695"/>
      <c r="C121" s="695"/>
      <c r="D121" s="695"/>
      <c r="E121" s="695"/>
      <c r="F121" s="695"/>
      <c r="G121" s="695"/>
      <c r="H121" s="695"/>
      <c r="I121" s="695"/>
      <c r="J121" s="695"/>
      <c r="K121" s="695"/>
      <c r="L121" s="695"/>
      <c r="M121" s="695"/>
      <c r="N121" s="695"/>
      <c r="O121" s="696"/>
      <c r="P121" s="692" t="s">
        <v>40</v>
      </c>
      <c r="Q121" s="693"/>
      <c r="R121" s="693"/>
      <c r="S121" s="693"/>
      <c r="T121" s="693"/>
      <c r="U121" s="693"/>
      <c r="V121" s="694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86" t="s">
        <v>86</v>
      </c>
      <c r="B122" s="686"/>
      <c r="C122" s="686"/>
      <c r="D122" s="686"/>
      <c r="E122" s="686"/>
      <c r="F122" s="686"/>
      <c r="G122" s="686"/>
      <c r="H122" s="686"/>
      <c r="I122" s="686"/>
      <c r="J122" s="686"/>
      <c r="K122" s="686"/>
      <c r="L122" s="686"/>
      <c r="M122" s="686"/>
      <c r="N122" s="686"/>
      <c r="O122" s="686"/>
      <c r="P122" s="686"/>
      <c r="Q122" s="686"/>
      <c r="R122" s="686"/>
      <c r="S122" s="686"/>
      <c r="T122" s="686"/>
      <c r="U122" s="686"/>
      <c r="V122" s="686"/>
      <c r="W122" s="686"/>
      <c r="X122" s="686"/>
      <c r="Y122" s="686"/>
      <c r="Z122" s="686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87">
        <v>4607091385168</v>
      </c>
      <c r="E123" s="687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89"/>
      <c r="R123" s="689"/>
      <c r="S123" s="689"/>
      <c r="T123" s="690"/>
      <c r="U123" s="39" t="s">
        <v>46</v>
      </c>
      <c r="V123" s="39" t="s">
        <v>46</v>
      </c>
      <c r="W123" s="40" t="s">
        <v>0</v>
      </c>
      <c r="X123" s="58">
        <v>500</v>
      </c>
      <c r="Y123" s="55">
        <f>IFERROR(IF(X123="",0,CEILING((X123/$H123),1)*$H123),"")</f>
        <v>502.2</v>
      </c>
      <c r="Z123" s="41">
        <f>IFERROR(IF(Y123=0,"",ROUNDUP(Y123/H123,0)*0.01898),"")</f>
        <v>1.17676</v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530.12345679012344</v>
      </c>
      <c r="BN123" s="78">
        <f>IFERROR(Y123*I123/H123,"0")</f>
        <v>532.4559999999999</v>
      </c>
      <c r="BO123" s="78">
        <f>IFERROR(1/J123*(X123/H123),"0")</f>
        <v>0.96450617283950624</v>
      </c>
      <c r="BP123" s="78">
        <f>IFERROR(1/J123*(Y123/H123),"0")</f>
        <v>0.96875</v>
      </c>
    </row>
    <row r="124" spans="1:68" ht="27" hidden="1" customHeight="1" x14ac:dyDescent="0.25">
      <c r="A124" s="63" t="s">
        <v>246</v>
      </c>
      <c r="B124" s="63" t="s">
        <v>247</v>
      </c>
      <c r="C124" s="36">
        <v>4301051730</v>
      </c>
      <c r="D124" s="687">
        <v>4607091383256</v>
      </c>
      <c r="E124" s="687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89"/>
      <c r="R124" s="689"/>
      <c r="S124" s="689"/>
      <c r="T124" s="69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87">
        <v>4607091385748</v>
      </c>
      <c r="E125" s="687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89"/>
      <c r="R125" s="689"/>
      <c r="S125" s="689"/>
      <c r="T125" s="690"/>
      <c r="U125" s="39" t="s">
        <v>46</v>
      </c>
      <c r="V125" s="39" t="s">
        <v>46</v>
      </c>
      <c r="W125" s="40" t="s">
        <v>0</v>
      </c>
      <c r="X125" s="58">
        <v>405</v>
      </c>
      <c r="Y125" s="55">
        <f>IFERROR(IF(X125="",0,CEILING((X125/$H125),1)*$H125),"")</f>
        <v>405</v>
      </c>
      <c r="Z125" s="41">
        <f>IFERROR(IF(Y125=0,"",ROUNDUP(Y125/H125,0)*0.00651),"")</f>
        <v>0.97650000000000003</v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442.79999999999995</v>
      </c>
      <c r="BN125" s="78">
        <f>IFERROR(Y125*I125/H125,"0")</f>
        <v>442.79999999999995</v>
      </c>
      <c r="BO125" s="78">
        <f>IFERROR(1/J125*(X125/H125),"0")</f>
        <v>0.82417582417582425</v>
      </c>
      <c r="BP125" s="78">
        <f>IFERROR(1/J125*(Y125/H125),"0")</f>
        <v>0.82417582417582425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87">
        <v>4680115884533</v>
      </c>
      <c r="E126" s="687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9"/>
      <c r="R126" s="689"/>
      <c r="S126" s="689"/>
      <c r="T126" s="690"/>
      <c r="U126" s="39" t="s">
        <v>46</v>
      </c>
      <c r="V126" s="39" t="s">
        <v>46</v>
      </c>
      <c r="W126" s="40" t="s">
        <v>0</v>
      </c>
      <c r="X126" s="58">
        <v>45</v>
      </c>
      <c r="Y126" s="55">
        <f>IFERROR(IF(X126="",0,CEILING((X126/$H126),1)*$H126),"")</f>
        <v>45</v>
      </c>
      <c r="Z126" s="41">
        <f>IFERROR(IF(Y126=0,"",ROUNDUP(Y126/H126,0)*0.00651),"")</f>
        <v>0.16275000000000001</v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49.499999999999993</v>
      </c>
      <c r="BN126" s="78">
        <f>IFERROR(Y126*I126/H126,"0")</f>
        <v>49.499999999999993</v>
      </c>
      <c r="BO126" s="78">
        <f>IFERROR(1/J126*(X126/H126),"0")</f>
        <v>0.13736263736263737</v>
      </c>
      <c r="BP126" s="78">
        <f>IFERROR(1/J126*(Y126/H126),"0")</f>
        <v>0.13736263736263737</v>
      </c>
    </row>
    <row r="127" spans="1:68" x14ac:dyDescent="0.2">
      <c r="A127" s="695"/>
      <c r="B127" s="695"/>
      <c r="C127" s="695"/>
      <c r="D127" s="695"/>
      <c r="E127" s="695"/>
      <c r="F127" s="695"/>
      <c r="G127" s="695"/>
      <c r="H127" s="695"/>
      <c r="I127" s="695"/>
      <c r="J127" s="695"/>
      <c r="K127" s="695"/>
      <c r="L127" s="695"/>
      <c r="M127" s="695"/>
      <c r="N127" s="695"/>
      <c r="O127" s="696"/>
      <c r="P127" s="692" t="s">
        <v>40</v>
      </c>
      <c r="Q127" s="693"/>
      <c r="R127" s="693"/>
      <c r="S127" s="693"/>
      <c r="T127" s="693"/>
      <c r="U127" s="693"/>
      <c r="V127" s="694"/>
      <c r="W127" s="42" t="s">
        <v>39</v>
      </c>
      <c r="X127" s="43">
        <f>IFERROR(X123/H123,"0")+IFERROR(X124/H124,"0")+IFERROR(X125/H125,"0")+IFERROR(X126/H126,"0")</f>
        <v>236.72839506172841</v>
      </c>
      <c r="Y127" s="43">
        <f>IFERROR(Y123/H123,"0")+IFERROR(Y124/H124,"0")+IFERROR(Y125/H125,"0")+IFERROR(Y126/H126,"0")</f>
        <v>237</v>
      </c>
      <c r="Z127" s="43">
        <f>IFERROR(IF(Z123="",0,Z123),"0")+IFERROR(IF(Z124="",0,Z124),"0")+IFERROR(IF(Z125="",0,Z125),"0")+IFERROR(IF(Z126="",0,Z126),"0")</f>
        <v>2.3160099999999999</v>
      </c>
      <c r="AA127" s="67"/>
      <c r="AB127" s="67"/>
      <c r="AC127" s="67"/>
    </row>
    <row r="128" spans="1:68" x14ac:dyDescent="0.2">
      <c r="A128" s="695"/>
      <c r="B128" s="695"/>
      <c r="C128" s="695"/>
      <c r="D128" s="695"/>
      <c r="E128" s="695"/>
      <c r="F128" s="695"/>
      <c r="G128" s="695"/>
      <c r="H128" s="695"/>
      <c r="I128" s="695"/>
      <c r="J128" s="695"/>
      <c r="K128" s="695"/>
      <c r="L128" s="695"/>
      <c r="M128" s="695"/>
      <c r="N128" s="695"/>
      <c r="O128" s="696"/>
      <c r="P128" s="692" t="s">
        <v>40</v>
      </c>
      <c r="Q128" s="693"/>
      <c r="R128" s="693"/>
      <c r="S128" s="693"/>
      <c r="T128" s="693"/>
      <c r="U128" s="693"/>
      <c r="V128" s="694"/>
      <c r="W128" s="42" t="s">
        <v>0</v>
      </c>
      <c r="X128" s="43">
        <f>IFERROR(SUM(X123:X126),"0")</f>
        <v>950</v>
      </c>
      <c r="Y128" s="43">
        <f>IFERROR(SUM(Y123:Y126),"0")</f>
        <v>952.2</v>
      </c>
      <c r="Z128" s="42"/>
      <c r="AA128" s="67"/>
      <c r="AB128" s="67"/>
      <c r="AC128" s="67"/>
    </row>
    <row r="129" spans="1:68" ht="14.25" hidden="1" customHeight="1" x14ac:dyDescent="0.25">
      <c r="A129" s="686" t="s">
        <v>184</v>
      </c>
      <c r="B129" s="686"/>
      <c r="C129" s="686"/>
      <c r="D129" s="686"/>
      <c r="E129" s="686"/>
      <c r="F129" s="686"/>
      <c r="G129" s="686"/>
      <c r="H129" s="686"/>
      <c r="I129" s="686"/>
      <c r="J129" s="686"/>
      <c r="K129" s="686"/>
      <c r="L129" s="686"/>
      <c r="M129" s="686"/>
      <c r="N129" s="686"/>
      <c r="O129" s="686"/>
      <c r="P129" s="686"/>
      <c r="Q129" s="686"/>
      <c r="R129" s="686"/>
      <c r="S129" s="686"/>
      <c r="T129" s="686"/>
      <c r="U129" s="686"/>
      <c r="V129" s="686"/>
      <c r="W129" s="686"/>
      <c r="X129" s="686"/>
      <c r="Y129" s="686"/>
      <c r="Z129" s="686"/>
      <c r="AA129" s="66"/>
      <c r="AB129" s="66"/>
      <c r="AC129" s="80"/>
    </row>
    <row r="130" spans="1:68" ht="16.5" customHeight="1" x14ac:dyDescent="0.25">
      <c r="A130" s="63" t="s">
        <v>253</v>
      </c>
      <c r="B130" s="63" t="s">
        <v>254</v>
      </c>
      <c r="C130" s="36">
        <v>4301060317</v>
      </c>
      <c r="D130" s="687">
        <v>4680115880238</v>
      </c>
      <c r="E130" s="687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89"/>
      <c r="R130" s="689"/>
      <c r="S130" s="689"/>
      <c r="T130" s="690"/>
      <c r="U130" s="39" t="s">
        <v>46</v>
      </c>
      <c r="V130" s="39" t="s">
        <v>46</v>
      </c>
      <c r="W130" s="40" t="s">
        <v>0</v>
      </c>
      <c r="X130" s="58">
        <v>36.300000000000004</v>
      </c>
      <c r="Y130" s="55">
        <f>IFERROR(IF(X130="",0,CEILING((X130/$H130),1)*$H130),"")</f>
        <v>37.619999999999997</v>
      </c>
      <c r="Z130" s="41">
        <f>IFERROR(IF(Y130=0,"",ROUNDUP(Y130/H130,0)*0.00651),"")</f>
        <v>0.12369000000000001</v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41.03</v>
      </c>
      <c r="BN130" s="78">
        <f>IFERROR(Y130*I130/H130,"0")</f>
        <v>42.521999999999998</v>
      </c>
      <c r="BO130" s="78">
        <f>IFERROR(1/J130*(X130/H130),"0")</f>
        <v>0.10073260073260075</v>
      </c>
      <c r="BP130" s="78">
        <f>IFERROR(1/J130*(Y130/H130),"0")</f>
        <v>0.1043956043956044</v>
      </c>
    </row>
    <row r="131" spans="1:68" x14ac:dyDescent="0.2">
      <c r="A131" s="695"/>
      <c r="B131" s="695"/>
      <c r="C131" s="695"/>
      <c r="D131" s="695"/>
      <c r="E131" s="695"/>
      <c r="F131" s="695"/>
      <c r="G131" s="695"/>
      <c r="H131" s="695"/>
      <c r="I131" s="695"/>
      <c r="J131" s="695"/>
      <c r="K131" s="695"/>
      <c r="L131" s="695"/>
      <c r="M131" s="695"/>
      <c r="N131" s="695"/>
      <c r="O131" s="696"/>
      <c r="P131" s="692" t="s">
        <v>40</v>
      </c>
      <c r="Q131" s="693"/>
      <c r="R131" s="693"/>
      <c r="S131" s="693"/>
      <c r="T131" s="693"/>
      <c r="U131" s="693"/>
      <c r="V131" s="694"/>
      <c r="W131" s="42" t="s">
        <v>39</v>
      </c>
      <c r="X131" s="43">
        <f>IFERROR(X130/H130,"0")</f>
        <v>18.333333333333336</v>
      </c>
      <c r="Y131" s="43">
        <f>IFERROR(Y130/H130,"0")</f>
        <v>19</v>
      </c>
      <c r="Z131" s="43">
        <f>IFERROR(IF(Z130="",0,Z130),"0")</f>
        <v>0.12369000000000001</v>
      </c>
      <c r="AA131" s="67"/>
      <c r="AB131" s="67"/>
      <c r="AC131" s="67"/>
    </row>
    <row r="132" spans="1:68" x14ac:dyDescent="0.2">
      <c r="A132" s="695"/>
      <c r="B132" s="695"/>
      <c r="C132" s="695"/>
      <c r="D132" s="695"/>
      <c r="E132" s="695"/>
      <c r="F132" s="695"/>
      <c r="G132" s="695"/>
      <c r="H132" s="695"/>
      <c r="I132" s="695"/>
      <c r="J132" s="695"/>
      <c r="K132" s="695"/>
      <c r="L132" s="695"/>
      <c r="M132" s="695"/>
      <c r="N132" s="695"/>
      <c r="O132" s="696"/>
      <c r="P132" s="692" t="s">
        <v>40</v>
      </c>
      <c r="Q132" s="693"/>
      <c r="R132" s="693"/>
      <c r="S132" s="693"/>
      <c r="T132" s="693"/>
      <c r="U132" s="693"/>
      <c r="V132" s="694"/>
      <c r="W132" s="42" t="s">
        <v>0</v>
      </c>
      <c r="X132" s="43">
        <f>IFERROR(SUM(X130:X130),"0")</f>
        <v>36.300000000000004</v>
      </c>
      <c r="Y132" s="43">
        <f>IFERROR(SUM(Y130:Y130),"0")</f>
        <v>37.619999999999997</v>
      </c>
      <c r="Z132" s="42"/>
      <c r="AA132" s="67"/>
      <c r="AB132" s="67"/>
      <c r="AC132" s="67"/>
    </row>
    <row r="133" spans="1:68" ht="16.5" hidden="1" customHeight="1" x14ac:dyDescent="0.25">
      <c r="A133" s="685" t="s">
        <v>256</v>
      </c>
      <c r="B133" s="685"/>
      <c r="C133" s="685"/>
      <c r="D133" s="685"/>
      <c r="E133" s="685"/>
      <c r="F133" s="685"/>
      <c r="G133" s="685"/>
      <c r="H133" s="685"/>
      <c r="I133" s="685"/>
      <c r="J133" s="685"/>
      <c r="K133" s="685"/>
      <c r="L133" s="685"/>
      <c r="M133" s="685"/>
      <c r="N133" s="685"/>
      <c r="O133" s="685"/>
      <c r="P133" s="685"/>
      <c r="Q133" s="685"/>
      <c r="R133" s="685"/>
      <c r="S133" s="685"/>
      <c r="T133" s="685"/>
      <c r="U133" s="685"/>
      <c r="V133" s="685"/>
      <c r="W133" s="685"/>
      <c r="X133" s="685"/>
      <c r="Y133" s="685"/>
      <c r="Z133" s="685"/>
      <c r="AA133" s="65"/>
      <c r="AB133" s="65"/>
      <c r="AC133" s="79"/>
    </row>
    <row r="134" spans="1:68" ht="14.25" hidden="1" customHeight="1" x14ac:dyDescent="0.25">
      <c r="A134" s="686" t="s">
        <v>132</v>
      </c>
      <c r="B134" s="686"/>
      <c r="C134" s="686"/>
      <c r="D134" s="686"/>
      <c r="E134" s="686"/>
      <c r="F134" s="686"/>
      <c r="G134" s="686"/>
      <c r="H134" s="686"/>
      <c r="I134" s="686"/>
      <c r="J134" s="686"/>
      <c r="K134" s="686"/>
      <c r="L134" s="686"/>
      <c r="M134" s="686"/>
      <c r="N134" s="686"/>
      <c r="O134" s="686"/>
      <c r="P134" s="686"/>
      <c r="Q134" s="686"/>
      <c r="R134" s="686"/>
      <c r="S134" s="686"/>
      <c r="T134" s="686"/>
      <c r="U134" s="686"/>
      <c r="V134" s="686"/>
      <c r="W134" s="686"/>
      <c r="X134" s="686"/>
      <c r="Y134" s="686"/>
      <c r="Z134" s="686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4301011562</v>
      </c>
      <c r="D135" s="687">
        <v>4680115882577</v>
      </c>
      <c r="E135" s="68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89"/>
      <c r="R135" s="689"/>
      <c r="S135" s="689"/>
      <c r="T135" s="69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4301011564</v>
      </c>
      <c r="D136" s="687">
        <v>4680115882577</v>
      </c>
      <c r="E136" s="687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89"/>
      <c r="R136" s="689"/>
      <c r="S136" s="689"/>
      <c r="T136" s="690"/>
      <c r="U136" s="39" t="s">
        <v>46</v>
      </c>
      <c r="V136" s="39" t="s">
        <v>46</v>
      </c>
      <c r="W136" s="40" t="s">
        <v>0</v>
      </c>
      <c r="X136" s="58">
        <v>20</v>
      </c>
      <c r="Y136" s="55">
        <f>IFERROR(IF(X136="",0,CEILING((X136/$H136),1)*$H136),"")</f>
        <v>22.400000000000002</v>
      </c>
      <c r="Z136" s="41">
        <f>IFERROR(IF(Y136=0,"",ROUNDUP(Y136/H136,0)*0.00651),"")</f>
        <v>4.5569999999999999E-2</v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21.124999999999996</v>
      </c>
      <c r="BN136" s="78">
        <f>IFERROR(Y136*I136/H136,"0")</f>
        <v>23.66</v>
      </c>
      <c r="BO136" s="78">
        <f>IFERROR(1/J136*(X136/H136),"0")</f>
        <v>3.4340659340659344E-2</v>
      </c>
      <c r="BP136" s="78">
        <f>IFERROR(1/J136*(Y136/H136),"0")</f>
        <v>3.8461538461538464E-2</v>
      </c>
    </row>
    <row r="137" spans="1:68" x14ac:dyDescent="0.2">
      <c r="A137" s="695"/>
      <c r="B137" s="695"/>
      <c r="C137" s="695"/>
      <c r="D137" s="695"/>
      <c r="E137" s="695"/>
      <c r="F137" s="695"/>
      <c r="G137" s="695"/>
      <c r="H137" s="695"/>
      <c r="I137" s="695"/>
      <c r="J137" s="695"/>
      <c r="K137" s="695"/>
      <c r="L137" s="695"/>
      <c r="M137" s="695"/>
      <c r="N137" s="695"/>
      <c r="O137" s="696"/>
      <c r="P137" s="692" t="s">
        <v>40</v>
      </c>
      <c r="Q137" s="693"/>
      <c r="R137" s="693"/>
      <c r="S137" s="693"/>
      <c r="T137" s="693"/>
      <c r="U137" s="693"/>
      <c r="V137" s="694"/>
      <c r="W137" s="42" t="s">
        <v>39</v>
      </c>
      <c r="X137" s="43">
        <f>IFERROR(X135/H135,"0")+IFERROR(X136/H136,"0")</f>
        <v>6.25</v>
      </c>
      <c r="Y137" s="43">
        <f>IFERROR(Y135/H135,"0")+IFERROR(Y136/H136,"0")</f>
        <v>7</v>
      </c>
      <c r="Z137" s="43">
        <f>IFERROR(IF(Z135="",0,Z135),"0")+IFERROR(IF(Z136="",0,Z136),"0")</f>
        <v>4.5569999999999999E-2</v>
      </c>
      <c r="AA137" s="67"/>
      <c r="AB137" s="67"/>
      <c r="AC137" s="67"/>
    </row>
    <row r="138" spans="1:68" x14ac:dyDescent="0.2">
      <c r="A138" s="695"/>
      <c r="B138" s="695"/>
      <c r="C138" s="695"/>
      <c r="D138" s="695"/>
      <c r="E138" s="695"/>
      <c r="F138" s="695"/>
      <c r="G138" s="695"/>
      <c r="H138" s="695"/>
      <c r="I138" s="695"/>
      <c r="J138" s="695"/>
      <c r="K138" s="695"/>
      <c r="L138" s="695"/>
      <c r="M138" s="695"/>
      <c r="N138" s="695"/>
      <c r="O138" s="696"/>
      <c r="P138" s="692" t="s">
        <v>40</v>
      </c>
      <c r="Q138" s="693"/>
      <c r="R138" s="693"/>
      <c r="S138" s="693"/>
      <c r="T138" s="693"/>
      <c r="U138" s="693"/>
      <c r="V138" s="694"/>
      <c r="W138" s="42" t="s">
        <v>0</v>
      </c>
      <c r="X138" s="43">
        <f>IFERROR(SUM(X135:X136),"0")</f>
        <v>20</v>
      </c>
      <c r="Y138" s="43">
        <f>IFERROR(SUM(Y135:Y136),"0")</f>
        <v>22.400000000000002</v>
      </c>
      <c r="Z138" s="42"/>
      <c r="AA138" s="67"/>
      <c r="AB138" s="67"/>
      <c r="AC138" s="67"/>
    </row>
    <row r="139" spans="1:68" ht="14.25" hidden="1" customHeight="1" x14ac:dyDescent="0.25">
      <c r="A139" s="686" t="s">
        <v>77</v>
      </c>
      <c r="B139" s="686"/>
      <c r="C139" s="686"/>
      <c r="D139" s="686"/>
      <c r="E139" s="686"/>
      <c r="F139" s="686"/>
      <c r="G139" s="686"/>
      <c r="H139" s="686"/>
      <c r="I139" s="686"/>
      <c r="J139" s="686"/>
      <c r="K139" s="686"/>
      <c r="L139" s="686"/>
      <c r="M139" s="686"/>
      <c r="N139" s="686"/>
      <c r="O139" s="686"/>
      <c r="P139" s="686"/>
      <c r="Q139" s="686"/>
      <c r="R139" s="686"/>
      <c r="S139" s="686"/>
      <c r="T139" s="686"/>
      <c r="U139" s="686"/>
      <c r="V139" s="686"/>
      <c r="W139" s="686"/>
      <c r="X139" s="686"/>
      <c r="Y139" s="686"/>
      <c r="Z139" s="686"/>
      <c r="AA139" s="66"/>
      <c r="AB139" s="66"/>
      <c r="AC139" s="80"/>
    </row>
    <row r="140" spans="1:68" ht="27" customHeight="1" x14ac:dyDescent="0.25">
      <c r="A140" s="63" t="s">
        <v>261</v>
      </c>
      <c r="B140" s="63" t="s">
        <v>262</v>
      </c>
      <c r="C140" s="36">
        <v>4301031234</v>
      </c>
      <c r="D140" s="687">
        <v>4680115883444</v>
      </c>
      <c r="E140" s="68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89"/>
      <c r="R140" s="689"/>
      <c r="S140" s="689"/>
      <c r="T140" s="690"/>
      <c r="U140" s="39" t="s">
        <v>46</v>
      </c>
      <c r="V140" s="39" t="s">
        <v>46</v>
      </c>
      <c r="W140" s="40" t="s">
        <v>0</v>
      </c>
      <c r="X140" s="58">
        <v>17.5</v>
      </c>
      <c r="Y140" s="55">
        <f>IFERROR(IF(X140="",0,CEILING((X140/$H140),1)*$H140),"")</f>
        <v>19.599999999999998</v>
      </c>
      <c r="Z140" s="41">
        <f>IFERROR(IF(Y140=0,"",ROUNDUP(Y140/H140,0)*0.00651),"")</f>
        <v>4.5569999999999999E-2</v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19.175000000000001</v>
      </c>
      <c r="BN140" s="78">
        <f>IFERROR(Y140*I140/H140,"0")</f>
        <v>21.475999999999999</v>
      </c>
      <c r="BO140" s="78">
        <f>IFERROR(1/J140*(X140/H140),"0")</f>
        <v>3.4340659340659344E-2</v>
      </c>
      <c r="BP140" s="78">
        <f>IFERROR(1/J140*(Y140/H140),"0")</f>
        <v>3.8461538461538464E-2</v>
      </c>
    </row>
    <row r="141" spans="1:68" ht="27" hidden="1" customHeight="1" x14ac:dyDescent="0.25">
      <c r="A141" s="63" t="s">
        <v>261</v>
      </c>
      <c r="B141" s="63" t="s">
        <v>264</v>
      </c>
      <c r="C141" s="36">
        <v>4301031235</v>
      </c>
      <c r="D141" s="687">
        <v>4680115883444</v>
      </c>
      <c r="E141" s="68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89"/>
      <c r="R141" s="689"/>
      <c r="S141" s="689"/>
      <c r="T141" s="69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95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95"/>
      <c r="O142" s="696"/>
      <c r="P142" s="692" t="s">
        <v>40</v>
      </c>
      <c r="Q142" s="693"/>
      <c r="R142" s="693"/>
      <c r="S142" s="693"/>
      <c r="T142" s="693"/>
      <c r="U142" s="693"/>
      <c r="V142" s="694"/>
      <c r="W142" s="42" t="s">
        <v>39</v>
      </c>
      <c r="X142" s="43">
        <f>IFERROR(X140/H140,"0")+IFERROR(X141/H141,"0")</f>
        <v>6.25</v>
      </c>
      <c r="Y142" s="43">
        <f>IFERROR(Y140/H140,"0")+IFERROR(Y141/H141,"0")</f>
        <v>7</v>
      </c>
      <c r="Z142" s="43">
        <f>IFERROR(IF(Z140="",0,Z140),"0")+IFERROR(IF(Z141="",0,Z141),"0")</f>
        <v>4.5569999999999999E-2</v>
      </c>
      <c r="AA142" s="67"/>
      <c r="AB142" s="67"/>
      <c r="AC142" s="67"/>
    </row>
    <row r="143" spans="1:68" x14ac:dyDescent="0.2">
      <c r="A143" s="695"/>
      <c r="B143" s="695"/>
      <c r="C143" s="695"/>
      <c r="D143" s="695"/>
      <c r="E143" s="695"/>
      <c r="F143" s="695"/>
      <c r="G143" s="695"/>
      <c r="H143" s="695"/>
      <c r="I143" s="695"/>
      <c r="J143" s="695"/>
      <c r="K143" s="695"/>
      <c r="L143" s="695"/>
      <c r="M143" s="695"/>
      <c r="N143" s="695"/>
      <c r="O143" s="696"/>
      <c r="P143" s="692" t="s">
        <v>40</v>
      </c>
      <c r="Q143" s="693"/>
      <c r="R143" s="693"/>
      <c r="S143" s="693"/>
      <c r="T143" s="693"/>
      <c r="U143" s="693"/>
      <c r="V143" s="694"/>
      <c r="W143" s="42" t="s">
        <v>0</v>
      </c>
      <c r="X143" s="43">
        <f>IFERROR(SUM(X140:X141),"0")</f>
        <v>17.5</v>
      </c>
      <c r="Y143" s="43">
        <f>IFERROR(SUM(Y140:Y141),"0")</f>
        <v>19.599999999999998</v>
      </c>
      <c r="Z143" s="42"/>
      <c r="AA143" s="67"/>
      <c r="AB143" s="67"/>
      <c r="AC143" s="67"/>
    </row>
    <row r="144" spans="1:68" ht="14.25" hidden="1" customHeight="1" x14ac:dyDescent="0.25">
      <c r="A144" s="686" t="s">
        <v>86</v>
      </c>
      <c r="B144" s="686"/>
      <c r="C144" s="686"/>
      <c r="D144" s="686"/>
      <c r="E144" s="686"/>
      <c r="F144" s="686"/>
      <c r="G144" s="686"/>
      <c r="H144" s="686"/>
      <c r="I144" s="686"/>
      <c r="J144" s="686"/>
      <c r="K144" s="686"/>
      <c r="L144" s="686"/>
      <c r="M144" s="686"/>
      <c r="N144" s="686"/>
      <c r="O144" s="686"/>
      <c r="P144" s="686"/>
      <c r="Q144" s="686"/>
      <c r="R144" s="686"/>
      <c r="S144" s="686"/>
      <c r="T144" s="686"/>
      <c r="U144" s="686"/>
      <c r="V144" s="686"/>
      <c r="W144" s="686"/>
      <c r="X144" s="686"/>
      <c r="Y144" s="686"/>
      <c r="Z144" s="686"/>
      <c r="AA144" s="66"/>
      <c r="AB144" s="66"/>
      <c r="AC144" s="80"/>
    </row>
    <row r="145" spans="1:68" ht="16.5" customHeight="1" x14ac:dyDescent="0.25">
      <c r="A145" s="63" t="s">
        <v>265</v>
      </c>
      <c r="B145" s="63" t="s">
        <v>266</v>
      </c>
      <c r="C145" s="36">
        <v>4301051476</v>
      </c>
      <c r="D145" s="687">
        <v>4680115882584</v>
      </c>
      <c r="E145" s="68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89"/>
      <c r="R145" s="689"/>
      <c r="S145" s="689"/>
      <c r="T145" s="690"/>
      <c r="U145" s="39" t="s">
        <v>46</v>
      </c>
      <c r="V145" s="39" t="s">
        <v>46</v>
      </c>
      <c r="W145" s="40" t="s">
        <v>0</v>
      </c>
      <c r="X145" s="58">
        <v>16.5</v>
      </c>
      <c r="Y145" s="55">
        <f>IFERROR(IF(X145="",0,CEILING((X145/$H145),1)*$H145),"")</f>
        <v>18.48</v>
      </c>
      <c r="Z145" s="41">
        <f>IFERROR(IF(Y145=0,"",ROUNDUP(Y145/H145,0)*0.00651),"")</f>
        <v>4.5569999999999999E-2</v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18.174999999999997</v>
      </c>
      <c r="BN145" s="78">
        <f>IFERROR(Y145*I145/H145,"0")</f>
        <v>20.355999999999998</v>
      </c>
      <c r="BO145" s="78">
        <f>IFERROR(1/J145*(X145/H145),"0")</f>
        <v>3.4340659340659344E-2</v>
      </c>
      <c r="BP145" s="78">
        <f>IFERROR(1/J145*(Y145/H145),"0")</f>
        <v>3.8461538461538464E-2</v>
      </c>
    </row>
    <row r="146" spans="1:68" ht="16.5" hidden="1" customHeight="1" x14ac:dyDescent="0.25">
      <c r="A146" s="63" t="s">
        <v>265</v>
      </c>
      <c r="B146" s="63" t="s">
        <v>267</v>
      </c>
      <c r="C146" s="36">
        <v>4301051477</v>
      </c>
      <c r="D146" s="687">
        <v>4680115882584</v>
      </c>
      <c r="E146" s="687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89"/>
      <c r="R146" s="689"/>
      <c r="S146" s="689"/>
      <c r="T146" s="69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95"/>
      <c r="B147" s="695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6"/>
      <c r="P147" s="692" t="s">
        <v>40</v>
      </c>
      <c r="Q147" s="693"/>
      <c r="R147" s="693"/>
      <c r="S147" s="693"/>
      <c r="T147" s="693"/>
      <c r="U147" s="693"/>
      <c r="V147" s="694"/>
      <c r="W147" s="42" t="s">
        <v>39</v>
      </c>
      <c r="X147" s="43">
        <f>IFERROR(X145/H145,"0")+IFERROR(X146/H146,"0")</f>
        <v>6.25</v>
      </c>
      <c r="Y147" s="43">
        <f>IFERROR(Y145/H145,"0")+IFERROR(Y146/H146,"0")</f>
        <v>7</v>
      </c>
      <c r="Z147" s="43">
        <f>IFERROR(IF(Z145="",0,Z145),"0")+IFERROR(IF(Z146="",0,Z146),"0")</f>
        <v>4.5569999999999999E-2</v>
      </c>
      <c r="AA147" s="67"/>
      <c r="AB147" s="67"/>
      <c r="AC147" s="67"/>
    </row>
    <row r="148" spans="1:68" x14ac:dyDescent="0.2">
      <c r="A148" s="695"/>
      <c r="B148" s="695"/>
      <c r="C148" s="695"/>
      <c r="D148" s="695"/>
      <c r="E148" s="695"/>
      <c r="F148" s="695"/>
      <c r="G148" s="695"/>
      <c r="H148" s="695"/>
      <c r="I148" s="695"/>
      <c r="J148" s="695"/>
      <c r="K148" s="695"/>
      <c r="L148" s="695"/>
      <c r="M148" s="695"/>
      <c r="N148" s="695"/>
      <c r="O148" s="696"/>
      <c r="P148" s="692" t="s">
        <v>40</v>
      </c>
      <c r="Q148" s="693"/>
      <c r="R148" s="693"/>
      <c r="S148" s="693"/>
      <c r="T148" s="693"/>
      <c r="U148" s="693"/>
      <c r="V148" s="694"/>
      <c r="W148" s="42" t="s">
        <v>0</v>
      </c>
      <c r="X148" s="43">
        <f>IFERROR(SUM(X145:X146),"0")</f>
        <v>16.5</v>
      </c>
      <c r="Y148" s="43">
        <f>IFERROR(SUM(Y145:Y146),"0")</f>
        <v>18.48</v>
      </c>
      <c r="Z148" s="42"/>
      <c r="AA148" s="67"/>
      <c r="AB148" s="67"/>
      <c r="AC148" s="67"/>
    </row>
    <row r="149" spans="1:68" ht="16.5" hidden="1" customHeight="1" x14ac:dyDescent="0.25">
      <c r="A149" s="685" t="s">
        <v>268</v>
      </c>
      <c r="B149" s="685"/>
      <c r="C149" s="685"/>
      <c r="D149" s="685"/>
      <c r="E149" s="685"/>
      <c r="F149" s="685"/>
      <c r="G149" s="685"/>
      <c r="H149" s="685"/>
      <c r="I149" s="685"/>
      <c r="J149" s="685"/>
      <c r="K149" s="685"/>
      <c r="L149" s="685"/>
      <c r="M149" s="685"/>
      <c r="N149" s="685"/>
      <c r="O149" s="685"/>
      <c r="P149" s="685"/>
      <c r="Q149" s="685"/>
      <c r="R149" s="685"/>
      <c r="S149" s="685"/>
      <c r="T149" s="685"/>
      <c r="U149" s="685"/>
      <c r="V149" s="685"/>
      <c r="W149" s="685"/>
      <c r="X149" s="685"/>
      <c r="Y149" s="685"/>
      <c r="Z149" s="685"/>
      <c r="AA149" s="65"/>
      <c r="AB149" s="65"/>
      <c r="AC149" s="79"/>
    </row>
    <row r="150" spans="1:68" ht="14.25" hidden="1" customHeight="1" x14ac:dyDescent="0.25">
      <c r="A150" s="686" t="s">
        <v>86</v>
      </c>
      <c r="B150" s="686"/>
      <c r="C150" s="686"/>
      <c r="D150" s="686"/>
      <c r="E150" s="686"/>
      <c r="F150" s="686"/>
      <c r="G150" s="686"/>
      <c r="H150" s="686"/>
      <c r="I150" s="686"/>
      <c r="J150" s="686"/>
      <c r="K150" s="686"/>
      <c r="L150" s="686"/>
      <c r="M150" s="686"/>
      <c r="N150" s="686"/>
      <c r="O150" s="686"/>
      <c r="P150" s="686"/>
      <c r="Q150" s="686"/>
      <c r="R150" s="686"/>
      <c r="S150" s="686"/>
      <c r="T150" s="686"/>
      <c r="U150" s="686"/>
      <c r="V150" s="686"/>
      <c r="W150" s="686"/>
      <c r="X150" s="686"/>
      <c r="Y150" s="686"/>
      <c r="Z150" s="686"/>
      <c r="AA150" s="66"/>
      <c r="AB150" s="66"/>
      <c r="AC150" s="80"/>
    </row>
    <row r="151" spans="1:68" ht="27" hidden="1" customHeight="1" x14ac:dyDescent="0.25">
      <c r="A151" s="63" t="s">
        <v>269</v>
      </c>
      <c r="B151" s="63" t="s">
        <v>270</v>
      </c>
      <c r="C151" s="36">
        <v>4301052174</v>
      </c>
      <c r="D151" s="687">
        <v>4680115888203</v>
      </c>
      <c r="E151" s="68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89"/>
      <c r="R151" s="689"/>
      <c r="S151" s="689"/>
      <c r="T151" s="69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4301052172</v>
      </c>
      <c r="D152" s="687">
        <v>4680115888180</v>
      </c>
      <c r="E152" s="68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89"/>
      <c r="R152" s="689"/>
      <c r="S152" s="689"/>
      <c r="T152" s="69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4301052173</v>
      </c>
      <c r="D153" s="687">
        <v>4680115888197</v>
      </c>
      <c r="E153" s="68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89"/>
      <c r="R153" s="689"/>
      <c r="S153" s="689"/>
      <c r="T153" s="69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687">
        <v>4680115888210</v>
      </c>
      <c r="E154" s="68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89"/>
      <c r="R154" s="689"/>
      <c r="S154" s="689"/>
      <c r="T154" s="69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95"/>
      <c r="B155" s="695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6"/>
      <c r="P155" s="692" t="s">
        <v>40</v>
      </c>
      <c r="Q155" s="693"/>
      <c r="R155" s="693"/>
      <c r="S155" s="693"/>
      <c r="T155" s="693"/>
      <c r="U155" s="693"/>
      <c r="V155" s="694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95"/>
      <c r="B156" s="695"/>
      <c r="C156" s="695"/>
      <c r="D156" s="695"/>
      <c r="E156" s="695"/>
      <c r="F156" s="695"/>
      <c r="G156" s="695"/>
      <c r="H156" s="695"/>
      <c r="I156" s="695"/>
      <c r="J156" s="695"/>
      <c r="K156" s="695"/>
      <c r="L156" s="695"/>
      <c r="M156" s="695"/>
      <c r="N156" s="695"/>
      <c r="O156" s="696"/>
      <c r="P156" s="692" t="s">
        <v>40</v>
      </c>
      <c r="Q156" s="693"/>
      <c r="R156" s="693"/>
      <c r="S156" s="693"/>
      <c r="T156" s="693"/>
      <c r="U156" s="693"/>
      <c r="V156" s="694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85" t="s">
        <v>130</v>
      </c>
      <c r="B157" s="685"/>
      <c r="C157" s="685"/>
      <c r="D157" s="685"/>
      <c r="E157" s="685"/>
      <c r="F157" s="685"/>
      <c r="G157" s="685"/>
      <c r="H157" s="685"/>
      <c r="I157" s="685"/>
      <c r="J157" s="685"/>
      <c r="K157" s="685"/>
      <c r="L157" s="685"/>
      <c r="M157" s="685"/>
      <c r="N157" s="685"/>
      <c r="O157" s="685"/>
      <c r="P157" s="685"/>
      <c r="Q157" s="685"/>
      <c r="R157" s="685"/>
      <c r="S157" s="685"/>
      <c r="T157" s="685"/>
      <c r="U157" s="685"/>
      <c r="V157" s="685"/>
      <c r="W157" s="685"/>
      <c r="X157" s="685"/>
      <c r="Y157" s="685"/>
      <c r="Z157" s="685"/>
      <c r="AA157" s="65"/>
      <c r="AB157" s="65"/>
      <c r="AC157" s="79"/>
    </row>
    <row r="158" spans="1:68" ht="14.25" hidden="1" customHeight="1" x14ac:dyDescent="0.25">
      <c r="A158" s="686" t="s">
        <v>132</v>
      </c>
      <c r="B158" s="686"/>
      <c r="C158" s="686"/>
      <c r="D158" s="686"/>
      <c r="E158" s="686"/>
      <c r="F158" s="686"/>
      <c r="G158" s="686"/>
      <c r="H158" s="686"/>
      <c r="I158" s="686"/>
      <c r="J158" s="686"/>
      <c r="K158" s="686"/>
      <c r="L158" s="686"/>
      <c r="M158" s="686"/>
      <c r="N158" s="686"/>
      <c r="O158" s="686"/>
      <c r="P158" s="686"/>
      <c r="Q158" s="686"/>
      <c r="R158" s="686"/>
      <c r="S158" s="686"/>
      <c r="T158" s="686"/>
      <c r="U158" s="686"/>
      <c r="V158" s="686"/>
      <c r="W158" s="686"/>
      <c r="X158" s="686"/>
      <c r="Y158" s="686"/>
      <c r="Z158" s="68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4301012244</v>
      </c>
      <c r="D159" s="687">
        <v>4680115887374</v>
      </c>
      <c r="E159" s="687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89"/>
      <c r="R159" s="689"/>
      <c r="S159" s="689"/>
      <c r="T159" s="69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87">
        <v>4607091384604</v>
      </c>
      <c r="E160" s="68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89"/>
      <c r="R160" s="689"/>
      <c r="S160" s="689"/>
      <c r="T160" s="69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95"/>
      <c r="B161" s="695"/>
      <c r="C161" s="695"/>
      <c r="D161" s="695"/>
      <c r="E161" s="695"/>
      <c r="F161" s="695"/>
      <c r="G161" s="695"/>
      <c r="H161" s="695"/>
      <c r="I161" s="695"/>
      <c r="J161" s="695"/>
      <c r="K161" s="695"/>
      <c r="L161" s="695"/>
      <c r="M161" s="695"/>
      <c r="N161" s="695"/>
      <c r="O161" s="696"/>
      <c r="P161" s="692" t="s">
        <v>40</v>
      </c>
      <c r="Q161" s="693"/>
      <c r="R161" s="693"/>
      <c r="S161" s="693"/>
      <c r="T161" s="693"/>
      <c r="U161" s="693"/>
      <c r="V161" s="694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hidden="1" x14ac:dyDescent="0.2">
      <c r="A162" s="695"/>
      <c r="B162" s="695"/>
      <c r="C162" s="695"/>
      <c r="D162" s="695"/>
      <c r="E162" s="695"/>
      <c r="F162" s="695"/>
      <c r="G162" s="695"/>
      <c r="H162" s="695"/>
      <c r="I162" s="695"/>
      <c r="J162" s="695"/>
      <c r="K162" s="695"/>
      <c r="L162" s="695"/>
      <c r="M162" s="695"/>
      <c r="N162" s="695"/>
      <c r="O162" s="696"/>
      <c r="P162" s="692" t="s">
        <v>40</v>
      </c>
      <c r="Q162" s="693"/>
      <c r="R162" s="693"/>
      <c r="S162" s="693"/>
      <c r="T162" s="693"/>
      <c r="U162" s="693"/>
      <c r="V162" s="694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86" t="s">
        <v>167</v>
      </c>
      <c r="B163" s="686"/>
      <c r="C163" s="686"/>
      <c r="D163" s="686"/>
      <c r="E163" s="686"/>
      <c r="F163" s="686"/>
      <c r="G163" s="686"/>
      <c r="H163" s="686"/>
      <c r="I163" s="686"/>
      <c r="J163" s="686"/>
      <c r="K163" s="686"/>
      <c r="L163" s="686"/>
      <c r="M163" s="686"/>
      <c r="N163" s="686"/>
      <c r="O163" s="686"/>
      <c r="P163" s="686"/>
      <c r="Q163" s="686"/>
      <c r="R163" s="686"/>
      <c r="S163" s="686"/>
      <c r="T163" s="686"/>
      <c r="U163" s="686"/>
      <c r="V163" s="686"/>
      <c r="W163" s="686"/>
      <c r="X163" s="686"/>
      <c r="Y163" s="686"/>
      <c r="Z163" s="686"/>
      <c r="AA163" s="66"/>
      <c r="AB163" s="66"/>
      <c r="AC163" s="80"/>
    </row>
    <row r="164" spans="1:68" ht="16.5" customHeight="1" x14ac:dyDescent="0.25">
      <c r="A164" s="63" t="s">
        <v>287</v>
      </c>
      <c r="B164" s="63" t="s">
        <v>288</v>
      </c>
      <c r="C164" s="36">
        <v>4301020410</v>
      </c>
      <c r="D164" s="687">
        <v>4680115887695</v>
      </c>
      <c r="E164" s="687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89"/>
      <c r="R164" s="689"/>
      <c r="S164" s="689"/>
      <c r="T164" s="690"/>
      <c r="U164" s="39" t="s">
        <v>46</v>
      </c>
      <c r="V164" s="39" t="s">
        <v>46</v>
      </c>
      <c r="W164" s="40" t="s">
        <v>0</v>
      </c>
      <c r="X164" s="58">
        <v>14.399999999999999</v>
      </c>
      <c r="Y164" s="55">
        <f>IFERROR(IF(X164="",0,CEILING((X164/$H164),1)*$H164),"")</f>
        <v>14.399999999999999</v>
      </c>
      <c r="Z164" s="41">
        <f>IFERROR(IF(Y164=0,"",ROUNDUP(Y164/H164,0)*0.00556),"")</f>
        <v>0.11119999999999999</v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17</v>
      </c>
      <c r="BN164" s="78">
        <f>IFERROR(Y164*I164/H164,"0")</f>
        <v>17</v>
      </c>
      <c r="BO164" s="78">
        <f>IFERROR(1/J164*(X164/H164),"0")</f>
        <v>7.9365079365079361E-2</v>
      </c>
      <c r="BP164" s="78">
        <f>IFERROR(1/J164*(Y164/H164),"0")</f>
        <v>7.9365079365079361E-2</v>
      </c>
    </row>
    <row r="165" spans="1:68" x14ac:dyDescent="0.2">
      <c r="A165" s="695"/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6"/>
      <c r="P165" s="692" t="s">
        <v>40</v>
      </c>
      <c r="Q165" s="693"/>
      <c r="R165" s="693"/>
      <c r="S165" s="693"/>
      <c r="T165" s="693"/>
      <c r="U165" s="693"/>
      <c r="V165" s="694"/>
      <c r="W165" s="42" t="s">
        <v>39</v>
      </c>
      <c r="X165" s="43">
        <f>IFERROR(X164/H164,"0")</f>
        <v>20</v>
      </c>
      <c r="Y165" s="43">
        <f>IFERROR(Y164/H164,"0")</f>
        <v>20</v>
      </c>
      <c r="Z165" s="43">
        <f>IFERROR(IF(Z164="",0,Z164),"0")</f>
        <v>0.11119999999999999</v>
      </c>
      <c r="AA165" s="67"/>
      <c r="AB165" s="67"/>
      <c r="AC165" s="67"/>
    </row>
    <row r="166" spans="1:68" x14ac:dyDescent="0.2">
      <c r="A166" s="695"/>
      <c r="B166" s="695"/>
      <c r="C166" s="695"/>
      <c r="D166" s="695"/>
      <c r="E166" s="695"/>
      <c r="F166" s="695"/>
      <c r="G166" s="695"/>
      <c r="H166" s="695"/>
      <c r="I166" s="695"/>
      <c r="J166" s="695"/>
      <c r="K166" s="695"/>
      <c r="L166" s="695"/>
      <c r="M166" s="695"/>
      <c r="N166" s="695"/>
      <c r="O166" s="696"/>
      <c r="P166" s="692" t="s">
        <v>40</v>
      </c>
      <c r="Q166" s="693"/>
      <c r="R166" s="693"/>
      <c r="S166" s="693"/>
      <c r="T166" s="693"/>
      <c r="U166" s="693"/>
      <c r="V166" s="694"/>
      <c r="W166" s="42" t="s">
        <v>0</v>
      </c>
      <c r="X166" s="43">
        <f>IFERROR(SUM(X164:X164),"0")</f>
        <v>14.399999999999999</v>
      </c>
      <c r="Y166" s="43">
        <f>IFERROR(SUM(Y164:Y164),"0")</f>
        <v>14.399999999999999</v>
      </c>
      <c r="Z166" s="42"/>
      <c r="AA166" s="67"/>
      <c r="AB166" s="67"/>
      <c r="AC166" s="67"/>
    </row>
    <row r="167" spans="1:68" ht="14.25" hidden="1" customHeight="1" x14ac:dyDescent="0.25">
      <c r="A167" s="686" t="s">
        <v>77</v>
      </c>
      <c r="B167" s="686"/>
      <c r="C167" s="686"/>
      <c r="D167" s="686"/>
      <c r="E167" s="686"/>
      <c r="F167" s="686"/>
      <c r="G167" s="686"/>
      <c r="H167" s="686"/>
      <c r="I167" s="686"/>
      <c r="J167" s="686"/>
      <c r="K167" s="686"/>
      <c r="L167" s="686"/>
      <c r="M167" s="686"/>
      <c r="N167" s="686"/>
      <c r="O167" s="686"/>
      <c r="P167" s="686"/>
      <c r="Q167" s="686"/>
      <c r="R167" s="686"/>
      <c r="S167" s="686"/>
      <c r="T167" s="686"/>
      <c r="U167" s="686"/>
      <c r="V167" s="686"/>
      <c r="W167" s="686"/>
      <c r="X167" s="686"/>
      <c r="Y167" s="686"/>
      <c r="Z167" s="686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87">
        <v>4680115887428</v>
      </c>
      <c r="E168" s="687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89"/>
      <c r="R168" s="689"/>
      <c r="S168" s="689"/>
      <c r="T168" s="690"/>
      <c r="U168" s="39" t="s">
        <v>46</v>
      </c>
      <c r="V168" s="39" t="s">
        <v>46</v>
      </c>
      <c r="W168" s="40" t="s">
        <v>0</v>
      </c>
      <c r="X168" s="58">
        <v>80</v>
      </c>
      <c r="Y168" s="55">
        <f t="shared" ref="Y168:Y178" si="21">IFERROR(IF(X168="",0,CEILING((X168/$H168),1)*$H168),"")</f>
        <v>80.5</v>
      </c>
      <c r="Z168" s="41">
        <f>IFERROR(IF(Y168=0,"",ROUNDUP(Y168/H168,0)*0.00902),"")</f>
        <v>0.20746000000000001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84.342857142857142</v>
      </c>
      <c r="BN168" s="78">
        <f t="shared" ref="BN168:BN178" si="23">IFERROR(Y168*I168/H168,"0")</f>
        <v>84.87</v>
      </c>
      <c r="BO168" s="78">
        <f t="shared" ref="BO168:BO178" si="24">IFERROR(1/J168*(X168/H168),"0")</f>
        <v>0.17316017316017318</v>
      </c>
      <c r="BP168" s="78">
        <f t="shared" ref="BP168:BP178" si="25">IFERROR(1/J168*(Y168/H168),"0")</f>
        <v>0.17424242424242425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4301030963</v>
      </c>
      <c r="D169" s="687">
        <v>4607091382426</v>
      </c>
      <c r="E169" s="687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89"/>
      <c r="R169" s="689"/>
      <c r="S169" s="689"/>
      <c r="T169" s="69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4301031498</v>
      </c>
      <c r="D170" s="687">
        <v>4680115887398</v>
      </c>
      <c r="E170" s="68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89"/>
      <c r="R170" s="689"/>
      <c r="S170" s="689"/>
      <c r="T170" s="690"/>
      <c r="U170" s="39" t="s">
        <v>46</v>
      </c>
      <c r="V170" s="39" t="s">
        <v>46</v>
      </c>
      <c r="W170" s="40" t="s">
        <v>0</v>
      </c>
      <c r="X170" s="58">
        <v>100</v>
      </c>
      <c r="Y170" s="55">
        <f t="shared" si="21"/>
        <v>101.5</v>
      </c>
      <c r="Z170" s="41">
        <f>IFERROR(IF(Y170=0,"",ROUNDUP(Y170/H170,0)*0.00902),"")</f>
        <v>0.26158000000000003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105.42857142857143</v>
      </c>
      <c r="BN170" s="78">
        <f t="shared" si="23"/>
        <v>107.00999999999999</v>
      </c>
      <c r="BO170" s="78">
        <f t="shared" si="24"/>
        <v>0.21645021645021648</v>
      </c>
      <c r="BP170" s="78">
        <f t="shared" si="25"/>
        <v>0.2196969696969697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87">
        <v>4680115887336</v>
      </c>
      <c r="E171" s="68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89"/>
      <c r="R171" s="689"/>
      <c r="S171" s="689"/>
      <c r="T171" s="690"/>
      <c r="U171" s="39" t="s">
        <v>46</v>
      </c>
      <c r="V171" s="39" t="s">
        <v>46</v>
      </c>
      <c r="W171" s="40" t="s">
        <v>0</v>
      </c>
      <c r="X171" s="58">
        <v>150</v>
      </c>
      <c r="Y171" s="55">
        <f t="shared" si="21"/>
        <v>150.5</v>
      </c>
      <c r="Z171" s="41">
        <f>IFERROR(IF(Y171=0,"",ROUNDUP(Y171/H171,0)*0.00902),"")</f>
        <v>0.38785999999999998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158.14285714285714</v>
      </c>
      <c r="BN171" s="78">
        <f t="shared" si="23"/>
        <v>158.67000000000002</v>
      </c>
      <c r="BO171" s="78">
        <f t="shared" si="24"/>
        <v>0.32467532467532467</v>
      </c>
      <c r="BP171" s="78">
        <f t="shared" si="25"/>
        <v>0.32575757575757575</v>
      </c>
    </row>
    <row r="172" spans="1:68" ht="16.5" customHeight="1" x14ac:dyDescent="0.25">
      <c r="A172" s="63" t="s">
        <v>302</v>
      </c>
      <c r="B172" s="63" t="s">
        <v>303</v>
      </c>
      <c r="C172" s="36">
        <v>4301032049</v>
      </c>
      <c r="D172" s="687">
        <v>4680115887787</v>
      </c>
      <c r="E172" s="687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89"/>
      <c r="R172" s="689"/>
      <c r="S172" s="689"/>
      <c r="T172" s="690"/>
      <c r="U172" s="39" t="s">
        <v>46</v>
      </c>
      <c r="V172" s="39" t="s">
        <v>46</v>
      </c>
      <c r="W172" s="40" t="s">
        <v>0</v>
      </c>
      <c r="X172" s="58">
        <v>4.5</v>
      </c>
      <c r="Y172" s="55">
        <f t="shared" si="21"/>
        <v>4.5</v>
      </c>
      <c r="Z172" s="41">
        <f>IFERROR(IF(Y172=0,"",ROUNDUP(Y172/H172,0)*0.00417),"")</f>
        <v>2.085E-2</v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5.55</v>
      </c>
      <c r="BN172" s="78">
        <f t="shared" si="23"/>
        <v>5.55</v>
      </c>
      <c r="BO172" s="78">
        <f t="shared" si="24"/>
        <v>1.488095238095238E-2</v>
      </c>
      <c r="BP172" s="78">
        <f t="shared" si="25"/>
        <v>1.488095238095238E-2</v>
      </c>
    </row>
    <row r="173" spans="1:68" ht="27" customHeight="1" x14ac:dyDescent="0.25">
      <c r="A173" s="63" t="s">
        <v>305</v>
      </c>
      <c r="B173" s="63" t="s">
        <v>306</v>
      </c>
      <c r="C173" s="36">
        <v>4301031448</v>
      </c>
      <c r="D173" s="687">
        <v>4680115887503</v>
      </c>
      <c r="E173" s="687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89"/>
      <c r="R173" s="689"/>
      <c r="S173" s="689"/>
      <c r="T173" s="690"/>
      <c r="U173" s="39" t="s">
        <v>46</v>
      </c>
      <c r="V173" s="39" t="s">
        <v>46</v>
      </c>
      <c r="W173" s="40" t="s">
        <v>0</v>
      </c>
      <c r="X173" s="58">
        <v>140</v>
      </c>
      <c r="Y173" s="55">
        <f t="shared" si="21"/>
        <v>141.12</v>
      </c>
      <c r="Z173" s="41">
        <f>IFERROR(IF(Y173=0,"",ROUNDUP(Y173/H173,0)*0.00502),"")</f>
        <v>0.42168</v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148.33333333333334</v>
      </c>
      <c r="BN173" s="78">
        <f t="shared" si="23"/>
        <v>149.52000000000001</v>
      </c>
      <c r="BO173" s="78">
        <f t="shared" si="24"/>
        <v>0.35612535612535623</v>
      </c>
      <c r="BP173" s="78">
        <f t="shared" si="25"/>
        <v>0.35897435897435903</v>
      </c>
    </row>
    <row r="174" spans="1:68" ht="27" customHeight="1" x14ac:dyDescent="0.25">
      <c r="A174" s="63" t="s">
        <v>307</v>
      </c>
      <c r="B174" s="63" t="s">
        <v>308</v>
      </c>
      <c r="C174" s="36">
        <v>4301031389</v>
      </c>
      <c r="D174" s="687">
        <v>4680115887763</v>
      </c>
      <c r="E174" s="687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9"/>
      <c r="R174" s="689"/>
      <c r="S174" s="689"/>
      <c r="T174" s="690"/>
      <c r="U174" s="39" t="s">
        <v>46</v>
      </c>
      <c r="V174" s="39" t="s">
        <v>46</v>
      </c>
      <c r="W174" s="40" t="s">
        <v>0</v>
      </c>
      <c r="X174" s="58">
        <v>7.1999999999999993</v>
      </c>
      <c r="Y174" s="55">
        <f t="shared" si="21"/>
        <v>7.2</v>
      </c>
      <c r="Z174" s="41">
        <f>IFERROR(IF(Y174=0,"",ROUNDUP(Y174/H174,0)*0.00417),"")</f>
        <v>3.3360000000000001E-2</v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8.879999999999999</v>
      </c>
      <c r="BN174" s="78">
        <f t="shared" si="23"/>
        <v>8.8800000000000008</v>
      </c>
      <c r="BO174" s="78">
        <f t="shared" si="24"/>
        <v>2.3809523809523805E-2</v>
      </c>
      <c r="BP174" s="78">
        <f t="shared" si="25"/>
        <v>2.3809523809523808E-2</v>
      </c>
    </row>
    <row r="175" spans="1:68" ht="27" hidden="1" customHeight="1" x14ac:dyDescent="0.25">
      <c r="A175" s="63" t="s">
        <v>307</v>
      </c>
      <c r="B175" s="63" t="s">
        <v>310</v>
      </c>
      <c r="C175" s="36">
        <v>4301031510</v>
      </c>
      <c r="D175" s="687">
        <v>4680115887763</v>
      </c>
      <c r="E175" s="687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89"/>
      <c r="R175" s="689"/>
      <c r="S175" s="689"/>
      <c r="T175" s="69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4301031454</v>
      </c>
      <c r="D176" s="687">
        <v>4680115887480</v>
      </c>
      <c r="E176" s="68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89"/>
      <c r="R176" s="689"/>
      <c r="S176" s="689"/>
      <c r="T176" s="690"/>
      <c r="U176" s="39" t="s">
        <v>46</v>
      </c>
      <c r="V176" s="39" t="s">
        <v>46</v>
      </c>
      <c r="W176" s="40" t="s">
        <v>0</v>
      </c>
      <c r="X176" s="58">
        <v>70</v>
      </c>
      <c r="Y176" s="55">
        <f t="shared" si="21"/>
        <v>70.56</v>
      </c>
      <c r="Z176" s="41">
        <f>IFERROR(IF(Y176=0,"",ROUNDUP(Y176/H176,0)*0.00502),"")</f>
        <v>0.21084</v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74.166666666666671</v>
      </c>
      <c r="BN176" s="78">
        <f t="shared" si="23"/>
        <v>74.760000000000005</v>
      </c>
      <c r="BO176" s="78">
        <f t="shared" si="24"/>
        <v>0.17806267806267811</v>
      </c>
      <c r="BP176" s="78">
        <f t="shared" si="25"/>
        <v>0.17948717948717952</v>
      </c>
    </row>
    <row r="177" spans="1:68" ht="27" customHeight="1" x14ac:dyDescent="0.25">
      <c r="A177" s="63" t="s">
        <v>313</v>
      </c>
      <c r="B177" s="63" t="s">
        <v>314</v>
      </c>
      <c r="C177" s="36">
        <v>4301031434</v>
      </c>
      <c r="D177" s="687">
        <v>4680115888067</v>
      </c>
      <c r="E177" s="687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89"/>
      <c r="R177" s="689"/>
      <c r="S177" s="689"/>
      <c r="T177" s="690"/>
      <c r="U177" s="39" t="s">
        <v>46</v>
      </c>
      <c r="V177" s="39" t="s">
        <v>46</v>
      </c>
      <c r="W177" s="40" t="s">
        <v>0</v>
      </c>
      <c r="X177" s="58">
        <v>9</v>
      </c>
      <c r="Y177" s="55">
        <f t="shared" si="21"/>
        <v>9</v>
      </c>
      <c r="Z177" s="41">
        <f>IFERROR(IF(Y177=0,"",ROUNDUP(Y177/H177,0)*0.00417),"")</f>
        <v>4.1700000000000001E-2</v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10</v>
      </c>
      <c r="BN177" s="78">
        <f t="shared" si="23"/>
        <v>10</v>
      </c>
      <c r="BO177" s="78">
        <f t="shared" si="24"/>
        <v>2.976190476190476E-2</v>
      </c>
      <c r="BP177" s="78">
        <f t="shared" si="25"/>
        <v>2.976190476190476E-2</v>
      </c>
    </row>
    <row r="178" spans="1:68" ht="27" customHeight="1" x14ac:dyDescent="0.25">
      <c r="A178" s="63" t="s">
        <v>316</v>
      </c>
      <c r="B178" s="63" t="s">
        <v>317</v>
      </c>
      <c r="C178" s="36">
        <v>4301031451</v>
      </c>
      <c r="D178" s="687">
        <v>4680115887435</v>
      </c>
      <c r="E178" s="68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89"/>
      <c r="R178" s="689"/>
      <c r="S178" s="689"/>
      <c r="T178" s="690"/>
      <c r="U178" s="39" t="s">
        <v>46</v>
      </c>
      <c r="V178" s="39" t="s">
        <v>46</v>
      </c>
      <c r="W178" s="40" t="s">
        <v>0</v>
      </c>
      <c r="X178" s="58">
        <v>112.00000000000001</v>
      </c>
      <c r="Y178" s="55">
        <f t="shared" si="21"/>
        <v>112.56</v>
      </c>
      <c r="Z178" s="41">
        <f>IFERROR(IF(Y178=0,"",ROUNDUP(Y178/H178,0)*0.00502),"")</f>
        <v>0.33634000000000003</v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118.6666666666667</v>
      </c>
      <c r="BN178" s="78">
        <f t="shared" si="23"/>
        <v>119.26000000000002</v>
      </c>
      <c r="BO178" s="78">
        <f t="shared" si="24"/>
        <v>0.28490028490028496</v>
      </c>
      <c r="BP178" s="78">
        <f t="shared" si="25"/>
        <v>0.28632478632478636</v>
      </c>
    </row>
    <row r="179" spans="1:68" x14ac:dyDescent="0.2">
      <c r="A179" s="695"/>
      <c r="B179" s="695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696"/>
      <c r="P179" s="692" t="s">
        <v>40</v>
      </c>
      <c r="Q179" s="693"/>
      <c r="R179" s="693"/>
      <c r="S179" s="693"/>
      <c r="T179" s="693"/>
      <c r="U179" s="693"/>
      <c r="V179" s="694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308.95238095238096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311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1.9216700000000002</v>
      </c>
      <c r="AA179" s="67"/>
      <c r="AB179" s="67"/>
      <c r="AC179" s="67"/>
    </row>
    <row r="180" spans="1:68" x14ac:dyDescent="0.2">
      <c r="A180" s="695"/>
      <c r="B180" s="695"/>
      <c r="C180" s="695"/>
      <c r="D180" s="695"/>
      <c r="E180" s="695"/>
      <c r="F180" s="695"/>
      <c r="G180" s="695"/>
      <c r="H180" s="695"/>
      <c r="I180" s="695"/>
      <c r="J180" s="695"/>
      <c r="K180" s="695"/>
      <c r="L180" s="695"/>
      <c r="M180" s="695"/>
      <c r="N180" s="695"/>
      <c r="O180" s="696"/>
      <c r="P180" s="692" t="s">
        <v>40</v>
      </c>
      <c r="Q180" s="693"/>
      <c r="R180" s="693"/>
      <c r="S180" s="693"/>
      <c r="T180" s="693"/>
      <c r="U180" s="693"/>
      <c r="V180" s="694"/>
      <c r="W180" s="42" t="s">
        <v>0</v>
      </c>
      <c r="X180" s="43">
        <f>IFERROR(SUM(X168:X178),"0")</f>
        <v>672.7</v>
      </c>
      <c r="Y180" s="43">
        <f>IFERROR(SUM(Y168:Y178),"0")</f>
        <v>677.44</v>
      </c>
      <c r="Z180" s="42"/>
      <c r="AA180" s="67"/>
      <c r="AB180" s="67"/>
      <c r="AC180" s="67"/>
    </row>
    <row r="181" spans="1:68" ht="14.25" hidden="1" customHeight="1" x14ac:dyDescent="0.25">
      <c r="A181" s="686" t="s">
        <v>86</v>
      </c>
      <c r="B181" s="686"/>
      <c r="C181" s="686"/>
      <c r="D181" s="686"/>
      <c r="E181" s="686"/>
      <c r="F181" s="686"/>
      <c r="G181" s="686"/>
      <c r="H181" s="686"/>
      <c r="I181" s="686"/>
      <c r="J181" s="686"/>
      <c r="K181" s="686"/>
      <c r="L181" s="686"/>
      <c r="M181" s="686"/>
      <c r="N181" s="686"/>
      <c r="O181" s="686"/>
      <c r="P181" s="686"/>
      <c r="Q181" s="686"/>
      <c r="R181" s="686"/>
      <c r="S181" s="686"/>
      <c r="T181" s="686"/>
      <c r="U181" s="686"/>
      <c r="V181" s="686"/>
      <c r="W181" s="686"/>
      <c r="X181" s="686"/>
      <c r="Y181" s="686"/>
      <c r="Z181" s="686"/>
      <c r="AA181" s="66"/>
      <c r="AB181" s="66"/>
      <c r="AC181" s="80"/>
    </row>
    <row r="182" spans="1:68" ht="16.5" hidden="1" customHeight="1" x14ac:dyDescent="0.25">
      <c r="A182" s="63" t="s">
        <v>318</v>
      </c>
      <c r="B182" s="63" t="s">
        <v>319</v>
      </c>
      <c r="C182" s="36">
        <v>4301052193</v>
      </c>
      <c r="D182" s="687">
        <v>4680115888395</v>
      </c>
      <c r="E182" s="68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89"/>
      <c r="R182" s="689"/>
      <c r="S182" s="689"/>
      <c r="T182" s="69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hidden="1" customHeight="1" x14ac:dyDescent="0.25">
      <c r="A183" s="63" t="s">
        <v>321</v>
      </c>
      <c r="B183" s="63" t="s">
        <v>322</v>
      </c>
      <c r="C183" s="36">
        <v>4301052191</v>
      </c>
      <c r="D183" s="687">
        <v>4680115888371</v>
      </c>
      <c r="E183" s="687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89"/>
      <c r="R183" s="689"/>
      <c r="S183" s="689"/>
      <c r="T183" s="69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hidden="1" customHeight="1" x14ac:dyDescent="0.25">
      <c r="A184" s="63" t="s">
        <v>324</v>
      </c>
      <c r="B184" s="63" t="s">
        <v>325</v>
      </c>
      <c r="C184" s="36">
        <v>4301052064</v>
      </c>
      <c r="D184" s="687">
        <v>4680115887459</v>
      </c>
      <c r="E184" s="687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89"/>
      <c r="R184" s="689"/>
      <c r="S184" s="689"/>
      <c r="T184" s="69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idden="1" x14ac:dyDescent="0.2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696"/>
      <c r="P185" s="692" t="s">
        <v>40</v>
      </c>
      <c r="Q185" s="693"/>
      <c r="R185" s="693"/>
      <c r="S185" s="693"/>
      <c r="T185" s="693"/>
      <c r="U185" s="693"/>
      <c r="V185" s="694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95"/>
      <c r="B186" s="695"/>
      <c r="C186" s="695"/>
      <c r="D186" s="695"/>
      <c r="E186" s="695"/>
      <c r="F186" s="695"/>
      <c r="G186" s="695"/>
      <c r="H186" s="695"/>
      <c r="I186" s="695"/>
      <c r="J186" s="695"/>
      <c r="K186" s="695"/>
      <c r="L186" s="695"/>
      <c r="M186" s="695"/>
      <c r="N186" s="695"/>
      <c r="O186" s="696"/>
      <c r="P186" s="692" t="s">
        <v>40</v>
      </c>
      <c r="Q186" s="693"/>
      <c r="R186" s="693"/>
      <c r="S186" s="693"/>
      <c r="T186" s="693"/>
      <c r="U186" s="693"/>
      <c r="V186" s="694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86" t="s">
        <v>107</v>
      </c>
      <c r="B187" s="686"/>
      <c r="C187" s="686"/>
      <c r="D187" s="686"/>
      <c r="E187" s="686"/>
      <c r="F187" s="686"/>
      <c r="G187" s="686"/>
      <c r="H187" s="686"/>
      <c r="I187" s="686"/>
      <c r="J187" s="686"/>
      <c r="K187" s="686"/>
      <c r="L187" s="686"/>
      <c r="M187" s="686"/>
      <c r="N187" s="686"/>
      <c r="O187" s="686"/>
      <c r="P187" s="686"/>
      <c r="Q187" s="686"/>
      <c r="R187" s="686"/>
      <c r="S187" s="686"/>
      <c r="T187" s="686"/>
      <c r="U187" s="686"/>
      <c r="V187" s="686"/>
      <c r="W187" s="686"/>
      <c r="X187" s="686"/>
      <c r="Y187" s="686"/>
      <c r="Z187" s="686"/>
      <c r="AA187" s="66"/>
      <c r="AB187" s="66"/>
      <c r="AC187" s="80"/>
    </row>
    <row r="188" spans="1:68" ht="16.5" hidden="1" customHeight="1" x14ac:dyDescent="0.25">
      <c r="A188" s="63" t="s">
        <v>327</v>
      </c>
      <c r="B188" s="63" t="s">
        <v>328</v>
      </c>
      <c r="C188" s="36">
        <v>4301032058</v>
      </c>
      <c r="D188" s="687">
        <v>4680115889026</v>
      </c>
      <c r="E188" s="68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89"/>
      <c r="R188" s="689"/>
      <c r="S188" s="689"/>
      <c r="T188" s="69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332</v>
      </c>
      <c r="B189" s="63" t="s">
        <v>333</v>
      </c>
      <c r="C189" s="36">
        <v>4301032057</v>
      </c>
      <c r="D189" s="687">
        <v>4680115889088</v>
      </c>
      <c r="E189" s="68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89"/>
      <c r="R189" s="689"/>
      <c r="S189" s="689"/>
      <c r="T189" s="69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95"/>
      <c r="B190" s="695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696"/>
      <c r="P190" s="692" t="s">
        <v>40</v>
      </c>
      <c r="Q190" s="693"/>
      <c r="R190" s="693"/>
      <c r="S190" s="693"/>
      <c r="T190" s="693"/>
      <c r="U190" s="693"/>
      <c r="V190" s="694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95"/>
      <c r="B191" s="695"/>
      <c r="C191" s="695"/>
      <c r="D191" s="695"/>
      <c r="E191" s="695"/>
      <c r="F191" s="695"/>
      <c r="G191" s="695"/>
      <c r="H191" s="695"/>
      <c r="I191" s="695"/>
      <c r="J191" s="695"/>
      <c r="K191" s="695"/>
      <c r="L191" s="695"/>
      <c r="M191" s="695"/>
      <c r="N191" s="695"/>
      <c r="O191" s="696"/>
      <c r="P191" s="692" t="s">
        <v>40</v>
      </c>
      <c r="Q191" s="693"/>
      <c r="R191" s="693"/>
      <c r="S191" s="693"/>
      <c r="T191" s="693"/>
      <c r="U191" s="693"/>
      <c r="V191" s="694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86" t="s">
        <v>335</v>
      </c>
      <c r="B192" s="686"/>
      <c r="C192" s="686"/>
      <c r="D192" s="686"/>
      <c r="E192" s="686"/>
      <c r="F192" s="686"/>
      <c r="G192" s="686"/>
      <c r="H192" s="686"/>
      <c r="I192" s="686"/>
      <c r="J192" s="686"/>
      <c r="K192" s="686"/>
      <c r="L192" s="686"/>
      <c r="M192" s="686"/>
      <c r="N192" s="686"/>
      <c r="O192" s="686"/>
      <c r="P192" s="686"/>
      <c r="Q192" s="686"/>
      <c r="R192" s="686"/>
      <c r="S192" s="686"/>
      <c r="T192" s="686"/>
      <c r="U192" s="686"/>
      <c r="V192" s="686"/>
      <c r="W192" s="686"/>
      <c r="X192" s="686"/>
      <c r="Y192" s="686"/>
      <c r="Z192" s="686"/>
      <c r="AA192" s="66"/>
      <c r="AB192" s="66"/>
      <c r="AC192" s="80"/>
    </row>
    <row r="193" spans="1:68" ht="27" hidden="1" customHeight="1" x14ac:dyDescent="0.25">
      <c r="A193" s="63" t="s">
        <v>336</v>
      </c>
      <c r="B193" s="63" t="s">
        <v>337</v>
      </c>
      <c r="C193" s="36">
        <v>4301041009</v>
      </c>
      <c r="D193" s="687">
        <v>4680115889033</v>
      </c>
      <c r="E193" s="68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89"/>
      <c r="R193" s="689"/>
      <c r="S193" s="689"/>
      <c r="T193" s="69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95"/>
      <c r="B194" s="695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696"/>
      <c r="P194" s="692" t="s">
        <v>40</v>
      </c>
      <c r="Q194" s="693"/>
      <c r="R194" s="693"/>
      <c r="S194" s="693"/>
      <c r="T194" s="693"/>
      <c r="U194" s="693"/>
      <c r="V194" s="694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95"/>
      <c r="B195" s="695"/>
      <c r="C195" s="695"/>
      <c r="D195" s="695"/>
      <c r="E195" s="695"/>
      <c r="F195" s="695"/>
      <c r="G195" s="695"/>
      <c r="H195" s="695"/>
      <c r="I195" s="695"/>
      <c r="J195" s="695"/>
      <c r="K195" s="695"/>
      <c r="L195" s="695"/>
      <c r="M195" s="695"/>
      <c r="N195" s="695"/>
      <c r="O195" s="696"/>
      <c r="P195" s="692" t="s">
        <v>40</v>
      </c>
      <c r="Q195" s="693"/>
      <c r="R195" s="693"/>
      <c r="S195" s="693"/>
      <c r="T195" s="693"/>
      <c r="U195" s="693"/>
      <c r="V195" s="694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84" t="s">
        <v>339</v>
      </c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4"/>
      <c r="N196" s="684"/>
      <c r="O196" s="684"/>
      <c r="P196" s="684"/>
      <c r="Q196" s="684"/>
      <c r="R196" s="684"/>
      <c r="S196" s="684"/>
      <c r="T196" s="684"/>
      <c r="U196" s="684"/>
      <c r="V196" s="684"/>
      <c r="W196" s="684"/>
      <c r="X196" s="684"/>
      <c r="Y196" s="684"/>
      <c r="Z196" s="684"/>
      <c r="AA196" s="54"/>
      <c r="AB196" s="54"/>
      <c r="AC196" s="54"/>
    </row>
    <row r="197" spans="1:68" ht="16.5" hidden="1" customHeight="1" x14ac:dyDescent="0.25">
      <c r="A197" s="685" t="s">
        <v>340</v>
      </c>
      <c r="B197" s="685"/>
      <c r="C197" s="685"/>
      <c r="D197" s="685"/>
      <c r="E197" s="685"/>
      <c r="F197" s="685"/>
      <c r="G197" s="685"/>
      <c r="H197" s="685"/>
      <c r="I197" s="685"/>
      <c r="J197" s="685"/>
      <c r="K197" s="685"/>
      <c r="L197" s="685"/>
      <c r="M197" s="685"/>
      <c r="N197" s="685"/>
      <c r="O197" s="685"/>
      <c r="P197" s="685"/>
      <c r="Q197" s="685"/>
      <c r="R197" s="685"/>
      <c r="S197" s="685"/>
      <c r="T197" s="685"/>
      <c r="U197" s="685"/>
      <c r="V197" s="685"/>
      <c r="W197" s="685"/>
      <c r="X197" s="685"/>
      <c r="Y197" s="685"/>
      <c r="Z197" s="685"/>
      <c r="AA197" s="65"/>
      <c r="AB197" s="65"/>
      <c r="AC197" s="79"/>
    </row>
    <row r="198" spans="1:68" ht="14.25" hidden="1" customHeight="1" x14ac:dyDescent="0.25">
      <c r="A198" s="686" t="s">
        <v>132</v>
      </c>
      <c r="B198" s="686"/>
      <c r="C198" s="686"/>
      <c r="D198" s="686"/>
      <c r="E198" s="686"/>
      <c r="F198" s="686"/>
      <c r="G198" s="686"/>
      <c r="H198" s="686"/>
      <c r="I198" s="686"/>
      <c r="J198" s="686"/>
      <c r="K198" s="686"/>
      <c r="L198" s="686"/>
      <c r="M198" s="686"/>
      <c r="N198" s="686"/>
      <c r="O198" s="686"/>
      <c r="P198" s="686"/>
      <c r="Q198" s="686"/>
      <c r="R198" s="686"/>
      <c r="S198" s="686"/>
      <c r="T198" s="686"/>
      <c r="U198" s="686"/>
      <c r="V198" s="686"/>
      <c r="W198" s="686"/>
      <c r="X198" s="686"/>
      <c r="Y198" s="686"/>
      <c r="Z198" s="686"/>
      <c r="AA198" s="66"/>
      <c r="AB198" s="66"/>
      <c r="AC198" s="80"/>
    </row>
    <row r="199" spans="1:68" ht="27" hidden="1" customHeight="1" x14ac:dyDescent="0.25">
      <c r="A199" s="63" t="s">
        <v>341</v>
      </c>
      <c r="B199" s="63" t="s">
        <v>342</v>
      </c>
      <c r="C199" s="36">
        <v>4301012340</v>
      </c>
      <c r="D199" s="687">
        <v>4680115888760</v>
      </c>
      <c r="E199" s="68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89"/>
      <c r="R199" s="689"/>
      <c r="S199" s="689"/>
      <c r="T199" s="69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4301012341</v>
      </c>
      <c r="D200" s="687">
        <v>4680115888807</v>
      </c>
      <c r="E200" s="68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89"/>
      <c r="R200" s="689"/>
      <c r="S200" s="689"/>
      <c r="T200" s="69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4301012342</v>
      </c>
      <c r="D201" s="687">
        <v>4680115888852</v>
      </c>
      <c r="E201" s="68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89"/>
      <c r="R201" s="689"/>
      <c r="S201" s="689"/>
      <c r="T201" s="69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4301011223</v>
      </c>
      <c r="D202" s="687">
        <v>4607091383423</v>
      </c>
      <c r="E202" s="687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89"/>
      <c r="R202" s="689"/>
      <c r="S202" s="689"/>
      <c r="T202" s="69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hidden="1" customHeight="1" x14ac:dyDescent="0.25">
      <c r="A203" s="63" t="s">
        <v>352</v>
      </c>
      <c r="B203" s="63" t="s">
        <v>353</v>
      </c>
      <c r="C203" s="36">
        <v>4301012370</v>
      </c>
      <c r="D203" s="687">
        <v>4680115886957</v>
      </c>
      <c r="E203" s="68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89"/>
      <c r="R203" s="689"/>
      <c r="S203" s="689"/>
      <c r="T203" s="69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4301012098</v>
      </c>
      <c r="D204" s="687">
        <v>4680115885660</v>
      </c>
      <c r="E204" s="68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89"/>
      <c r="R204" s="689"/>
      <c r="S204" s="689"/>
      <c r="T204" s="69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358</v>
      </c>
      <c r="B205" s="63" t="s">
        <v>359</v>
      </c>
      <c r="C205" s="36">
        <v>4301012369</v>
      </c>
      <c r="D205" s="687">
        <v>4680115886773</v>
      </c>
      <c r="E205" s="68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89"/>
      <c r="R205" s="689"/>
      <c r="S205" s="689"/>
      <c r="T205" s="69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idden="1" x14ac:dyDescent="0.2">
      <c r="A206" s="695"/>
      <c r="B206" s="695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696"/>
      <c r="P206" s="692" t="s">
        <v>40</v>
      </c>
      <c r="Q206" s="693"/>
      <c r="R206" s="693"/>
      <c r="S206" s="693"/>
      <c r="T206" s="693"/>
      <c r="U206" s="693"/>
      <c r="V206" s="694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95"/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6"/>
      <c r="P207" s="692" t="s">
        <v>40</v>
      </c>
      <c r="Q207" s="693"/>
      <c r="R207" s="693"/>
      <c r="S207" s="693"/>
      <c r="T207" s="693"/>
      <c r="U207" s="693"/>
      <c r="V207" s="694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85" t="s">
        <v>361</v>
      </c>
      <c r="B208" s="685"/>
      <c r="C208" s="685"/>
      <c r="D208" s="685"/>
      <c r="E208" s="685"/>
      <c r="F208" s="685"/>
      <c r="G208" s="685"/>
      <c r="H208" s="685"/>
      <c r="I208" s="685"/>
      <c r="J208" s="685"/>
      <c r="K208" s="685"/>
      <c r="L208" s="685"/>
      <c r="M208" s="685"/>
      <c r="N208" s="685"/>
      <c r="O208" s="685"/>
      <c r="P208" s="685"/>
      <c r="Q208" s="685"/>
      <c r="R208" s="685"/>
      <c r="S208" s="685"/>
      <c r="T208" s="685"/>
      <c r="U208" s="685"/>
      <c r="V208" s="685"/>
      <c r="W208" s="685"/>
      <c r="X208" s="685"/>
      <c r="Y208" s="685"/>
      <c r="Z208" s="685"/>
      <c r="AA208" s="65"/>
      <c r="AB208" s="65"/>
      <c r="AC208" s="79"/>
    </row>
    <row r="209" spans="1:68" ht="14.25" hidden="1" customHeight="1" x14ac:dyDescent="0.25">
      <c r="A209" s="686" t="s">
        <v>167</v>
      </c>
      <c r="B209" s="686"/>
      <c r="C209" s="686"/>
      <c r="D209" s="686"/>
      <c r="E209" s="686"/>
      <c r="F209" s="686"/>
      <c r="G209" s="686"/>
      <c r="H209" s="686"/>
      <c r="I209" s="686"/>
      <c r="J209" s="686"/>
      <c r="K209" s="686"/>
      <c r="L209" s="686"/>
      <c r="M209" s="686"/>
      <c r="N209" s="686"/>
      <c r="O209" s="686"/>
      <c r="P209" s="686"/>
      <c r="Q209" s="686"/>
      <c r="R209" s="686"/>
      <c r="S209" s="686"/>
      <c r="T209" s="686"/>
      <c r="U209" s="686"/>
      <c r="V209" s="686"/>
      <c r="W209" s="686"/>
      <c r="X209" s="686"/>
      <c r="Y209" s="686"/>
      <c r="Z209" s="686"/>
      <c r="AA209" s="66"/>
      <c r="AB209" s="66"/>
      <c r="AC209" s="80"/>
    </row>
    <row r="210" spans="1:68" ht="27" hidden="1" customHeight="1" x14ac:dyDescent="0.25">
      <c r="A210" s="63" t="s">
        <v>362</v>
      </c>
      <c r="B210" s="63" t="s">
        <v>363</v>
      </c>
      <c r="C210" s="36">
        <v>4301020323</v>
      </c>
      <c r="D210" s="687">
        <v>4680115886223</v>
      </c>
      <c r="E210" s="68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89"/>
      <c r="R210" s="689"/>
      <c r="S210" s="689"/>
      <c r="T210" s="69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95"/>
      <c r="B211" s="695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696"/>
      <c r="P211" s="692" t="s">
        <v>40</v>
      </c>
      <c r="Q211" s="693"/>
      <c r="R211" s="693"/>
      <c r="S211" s="693"/>
      <c r="T211" s="693"/>
      <c r="U211" s="693"/>
      <c r="V211" s="694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95"/>
      <c r="B212" s="695"/>
      <c r="C212" s="695"/>
      <c r="D212" s="695"/>
      <c r="E212" s="695"/>
      <c r="F212" s="695"/>
      <c r="G212" s="695"/>
      <c r="H212" s="695"/>
      <c r="I212" s="695"/>
      <c r="J212" s="695"/>
      <c r="K212" s="695"/>
      <c r="L212" s="695"/>
      <c r="M212" s="695"/>
      <c r="N212" s="695"/>
      <c r="O212" s="696"/>
      <c r="P212" s="692" t="s">
        <v>40</v>
      </c>
      <c r="Q212" s="693"/>
      <c r="R212" s="693"/>
      <c r="S212" s="693"/>
      <c r="T212" s="693"/>
      <c r="U212" s="693"/>
      <c r="V212" s="694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86" t="s">
        <v>77</v>
      </c>
      <c r="B213" s="686"/>
      <c r="C213" s="686"/>
      <c r="D213" s="686"/>
      <c r="E213" s="686"/>
      <c r="F213" s="686"/>
      <c r="G213" s="686"/>
      <c r="H213" s="686"/>
      <c r="I213" s="686"/>
      <c r="J213" s="686"/>
      <c r="K213" s="686"/>
      <c r="L213" s="686"/>
      <c r="M213" s="686"/>
      <c r="N213" s="686"/>
      <c r="O213" s="686"/>
      <c r="P213" s="686"/>
      <c r="Q213" s="686"/>
      <c r="R213" s="686"/>
      <c r="S213" s="686"/>
      <c r="T213" s="686"/>
      <c r="U213" s="686"/>
      <c r="V213" s="686"/>
      <c r="W213" s="686"/>
      <c r="X213" s="686"/>
      <c r="Y213" s="686"/>
      <c r="Z213" s="686"/>
      <c r="AA213" s="66"/>
      <c r="AB213" s="66"/>
      <c r="AC213" s="80"/>
    </row>
    <row r="214" spans="1:68" ht="27" customHeight="1" x14ac:dyDescent="0.25">
      <c r="A214" s="63" t="s">
        <v>365</v>
      </c>
      <c r="B214" s="63" t="s">
        <v>366</v>
      </c>
      <c r="C214" s="36">
        <v>4301031191</v>
      </c>
      <c r="D214" s="687">
        <v>4680115880993</v>
      </c>
      <c r="E214" s="68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89"/>
      <c r="R214" s="689"/>
      <c r="S214" s="689"/>
      <c r="T214" s="690"/>
      <c r="U214" s="39" t="s">
        <v>46</v>
      </c>
      <c r="V214" s="39" t="s">
        <v>46</v>
      </c>
      <c r="W214" s="40" t="s">
        <v>0</v>
      </c>
      <c r="X214" s="58">
        <v>40</v>
      </c>
      <c r="Y214" s="55">
        <f t="shared" ref="Y214:Y227" si="32">IFERROR(IF(X214="",0,CEILING((X214/$H214),1)*$H214),"")</f>
        <v>42</v>
      </c>
      <c r="Z214" s="41">
        <f>IFERROR(IF(Y214=0,"",ROUNDUP(Y214/H214,0)*0.00902),"")</f>
        <v>9.0200000000000002E-2</v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42.38095238095238</v>
      </c>
      <c r="BN214" s="78">
        <f t="shared" ref="BN214:BN227" si="34">IFERROR(Y214*I214/H214,"0")</f>
        <v>44.5</v>
      </c>
      <c r="BO214" s="78">
        <f t="shared" ref="BO214:BO227" si="35">IFERROR(1/J214*(X214/H214),"0")</f>
        <v>7.2150072150072145E-2</v>
      </c>
      <c r="BP214" s="78">
        <f t="shared" ref="BP214:BP227" si="36">IFERROR(1/J214*(Y214/H214),"0")</f>
        <v>7.575757575757576E-2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4301031204</v>
      </c>
      <c r="D215" s="687">
        <v>4680115881761</v>
      </c>
      <c r="E215" s="68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89"/>
      <c r="R215" s="689"/>
      <c r="S215" s="689"/>
      <c r="T215" s="69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371</v>
      </c>
      <c r="B216" s="63" t="s">
        <v>372</v>
      </c>
      <c r="C216" s="36">
        <v>4301031201</v>
      </c>
      <c r="D216" s="687">
        <v>4680115881563</v>
      </c>
      <c r="E216" s="68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89"/>
      <c r="R216" s="689"/>
      <c r="S216" s="689"/>
      <c r="T216" s="69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customHeight="1" x14ac:dyDescent="0.25">
      <c r="A217" s="63" t="s">
        <v>374</v>
      </c>
      <c r="B217" s="63" t="s">
        <v>375</v>
      </c>
      <c r="C217" s="36">
        <v>4301031447</v>
      </c>
      <c r="D217" s="687">
        <v>4680115887565</v>
      </c>
      <c r="E217" s="68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89"/>
      <c r="R217" s="689"/>
      <c r="S217" s="689"/>
      <c r="T217" s="690"/>
      <c r="U217" s="39" t="s">
        <v>46</v>
      </c>
      <c r="V217" s="39" t="s">
        <v>46</v>
      </c>
      <c r="W217" s="40" t="s">
        <v>0</v>
      </c>
      <c r="X217" s="58">
        <v>14.4</v>
      </c>
      <c r="Y217" s="55">
        <f t="shared" si="32"/>
        <v>14.4</v>
      </c>
      <c r="Z217" s="41">
        <f>IFERROR(IF(Y217=0,"",ROUNDUP(Y217/H217,0)*0.00556),"")</f>
        <v>0.10008</v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16.740000000000002</v>
      </c>
      <c r="BN217" s="78">
        <f t="shared" si="34"/>
        <v>16.740000000000002</v>
      </c>
      <c r="BO217" s="78">
        <f t="shared" si="35"/>
        <v>7.1428571428571425E-2</v>
      </c>
      <c r="BP217" s="78">
        <f t="shared" si="36"/>
        <v>7.1428571428571425E-2</v>
      </c>
    </row>
    <row r="218" spans="1:68" ht="27" customHeight="1" x14ac:dyDescent="0.25">
      <c r="A218" s="63" t="s">
        <v>377</v>
      </c>
      <c r="B218" s="63" t="s">
        <v>378</v>
      </c>
      <c r="C218" s="36">
        <v>4301031199</v>
      </c>
      <c r="D218" s="687">
        <v>4680115880986</v>
      </c>
      <c r="E218" s="68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89"/>
      <c r="R218" s="689"/>
      <c r="S218" s="689"/>
      <c r="T218" s="690"/>
      <c r="U218" s="39" t="s">
        <v>46</v>
      </c>
      <c r="V218" s="39" t="s">
        <v>46</v>
      </c>
      <c r="W218" s="40" t="s">
        <v>0</v>
      </c>
      <c r="X218" s="58">
        <v>45.5</v>
      </c>
      <c r="Y218" s="55">
        <f t="shared" si="32"/>
        <v>46.2</v>
      </c>
      <c r="Z218" s="41">
        <f t="shared" ref="Z218:Z223" si="37">IFERROR(IF(Y218=0,"",ROUNDUP(Y218/H218,0)*0.00502),"")</f>
        <v>0.11044000000000001</v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48.316666666666663</v>
      </c>
      <c r="BN218" s="78">
        <f t="shared" si="34"/>
        <v>49.06</v>
      </c>
      <c r="BO218" s="78">
        <f t="shared" si="35"/>
        <v>9.2592592592592587E-2</v>
      </c>
      <c r="BP218" s="78">
        <f t="shared" si="36"/>
        <v>9.401709401709403E-2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4301031443</v>
      </c>
      <c r="D219" s="687">
        <v>4680115887213</v>
      </c>
      <c r="E219" s="68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89"/>
      <c r="R219" s="689"/>
      <c r="S219" s="689"/>
      <c r="T219" s="69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382</v>
      </c>
      <c r="B220" s="63" t="s">
        <v>383</v>
      </c>
      <c r="C220" s="36">
        <v>4301031205</v>
      </c>
      <c r="D220" s="687">
        <v>4680115881785</v>
      </c>
      <c r="E220" s="68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89"/>
      <c r="R220" s="689"/>
      <c r="S220" s="689"/>
      <c r="T220" s="690"/>
      <c r="U220" s="39" t="s">
        <v>46</v>
      </c>
      <c r="V220" s="39" t="s">
        <v>46</v>
      </c>
      <c r="W220" s="40" t="s">
        <v>0</v>
      </c>
      <c r="X220" s="58">
        <v>98</v>
      </c>
      <c r="Y220" s="55">
        <f t="shared" si="32"/>
        <v>98.7</v>
      </c>
      <c r="Z220" s="41">
        <f t="shared" si="37"/>
        <v>0.23594000000000001</v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104.06666666666666</v>
      </c>
      <c r="BN220" s="78">
        <f t="shared" si="34"/>
        <v>104.80999999999999</v>
      </c>
      <c r="BO220" s="78">
        <f t="shared" si="35"/>
        <v>0.19943019943019943</v>
      </c>
      <c r="BP220" s="78">
        <f t="shared" si="36"/>
        <v>0.20085470085470086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4301031499</v>
      </c>
      <c r="D221" s="687">
        <v>4680115888432</v>
      </c>
      <c r="E221" s="68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89"/>
      <c r="R221" s="689"/>
      <c r="S221" s="689"/>
      <c r="T221" s="69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4301031427</v>
      </c>
      <c r="D222" s="687">
        <v>4680115888104</v>
      </c>
      <c r="E222" s="687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89"/>
      <c r="R222" s="689"/>
      <c r="S222" s="689"/>
      <c r="T222" s="69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4301031399</v>
      </c>
      <c r="D223" s="687">
        <v>4680115886537</v>
      </c>
      <c r="E223" s="687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89"/>
      <c r="R223" s="689"/>
      <c r="S223" s="689"/>
      <c r="T223" s="69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393</v>
      </c>
      <c r="B224" s="63" t="s">
        <v>394</v>
      </c>
      <c r="C224" s="36">
        <v>4301031279</v>
      </c>
      <c r="D224" s="687">
        <v>4680115887596</v>
      </c>
      <c r="E224" s="687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89"/>
      <c r="R224" s="689"/>
      <c r="S224" s="689"/>
      <c r="T224" s="690"/>
      <c r="U224" s="39" t="s">
        <v>46</v>
      </c>
      <c r="V224" s="39" t="s">
        <v>46</v>
      </c>
      <c r="W224" s="40" t="s">
        <v>0</v>
      </c>
      <c r="X224" s="58">
        <v>8</v>
      </c>
      <c r="Y224" s="55">
        <f t="shared" si="32"/>
        <v>8</v>
      </c>
      <c r="Z224" s="41">
        <f>IFERROR(IF(Y224=0,"",ROUNDUP(Y224/H224,0)*0.00417),"")</f>
        <v>4.1700000000000001E-2</v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10.1</v>
      </c>
      <c r="BN224" s="78">
        <f t="shared" si="34"/>
        <v>10.1</v>
      </c>
      <c r="BO224" s="78">
        <f t="shared" si="35"/>
        <v>2.976190476190476E-2</v>
      </c>
      <c r="BP224" s="78">
        <f t="shared" si="36"/>
        <v>2.976190476190476E-2</v>
      </c>
    </row>
    <row r="225" spans="1:68" ht="37.5" customHeight="1" x14ac:dyDescent="0.25">
      <c r="A225" s="63" t="s">
        <v>396</v>
      </c>
      <c r="B225" s="63" t="s">
        <v>397</v>
      </c>
      <c r="C225" s="36">
        <v>4301031202</v>
      </c>
      <c r="D225" s="687">
        <v>4680115881679</v>
      </c>
      <c r="E225" s="687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89"/>
      <c r="R225" s="689"/>
      <c r="S225" s="689"/>
      <c r="T225" s="690"/>
      <c r="U225" s="39" t="s">
        <v>46</v>
      </c>
      <c r="V225" s="39" t="s">
        <v>46</v>
      </c>
      <c r="W225" s="40" t="s">
        <v>0</v>
      </c>
      <c r="X225" s="58">
        <v>105</v>
      </c>
      <c r="Y225" s="55">
        <f t="shared" si="32"/>
        <v>105</v>
      </c>
      <c r="Z225" s="41">
        <f>IFERROR(IF(Y225=0,"",ROUNDUP(Y225/H225,0)*0.00502),"")</f>
        <v>0.251</v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110.00000000000001</v>
      </c>
      <c r="BN225" s="78">
        <f t="shared" si="34"/>
        <v>110.00000000000001</v>
      </c>
      <c r="BO225" s="78">
        <f t="shared" si="35"/>
        <v>0.21367521367521369</v>
      </c>
      <c r="BP225" s="78">
        <f t="shared" si="36"/>
        <v>0.21367521367521369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4301031158</v>
      </c>
      <c r="D226" s="687">
        <v>4680115880191</v>
      </c>
      <c r="E226" s="687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89"/>
      <c r="R226" s="689"/>
      <c r="S226" s="689"/>
      <c r="T226" s="69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400</v>
      </c>
      <c r="B227" s="63" t="s">
        <v>401</v>
      </c>
      <c r="C227" s="36">
        <v>4301031245</v>
      </c>
      <c r="D227" s="687">
        <v>4680115883963</v>
      </c>
      <c r="E227" s="687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89"/>
      <c r="R227" s="689"/>
      <c r="S227" s="689"/>
      <c r="T227" s="69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x14ac:dyDescent="0.2">
      <c r="A228" s="695"/>
      <c r="B228" s="695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696"/>
      <c r="P228" s="692" t="s">
        <v>40</v>
      </c>
      <c r="Q228" s="693"/>
      <c r="R228" s="693"/>
      <c r="S228" s="693"/>
      <c r="T228" s="693"/>
      <c r="U228" s="693"/>
      <c r="V228" s="694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155.85714285714286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157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0.82935999999999999</v>
      </c>
      <c r="AA228" s="67"/>
      <c r="AB228" s="67"/>
      <c r="AC228" s="67"/>
    </row>
    <row r="229" spans="1:68" x14ac:dyDescent="0.2">
      <c r="A229" s="695"/>
      <c r="B229" s="695"/>
      <c r="C229" s="695"/>
      <c r="D229" s="695"/>
      <c r="E229" s="695"/>
      <c r="F229" s="695"/>
      <c r="G229" s="695"/>
      <c r="H229" s="695"/>
      <c r="I229" s="695"/>
      <c r="J229" s="695"/>
      <c r="K229" s="695"/>
      <c r="L229" s="695"/>
      <c r="M229" s="695"/>
      <c r="N229" s="695"/>
      <c r="O229" s="696"/>
      <c r="P229" s="692" t="s">
        <v>40</v>
      </c>
      <c r="Q229" s="693"/>
      <c r="R229" s="693"/>
      <c r="S229" s="693"/>
      <c r="T229" s="693"/>
      <c r="U229" s="693"/>
      <c r="V229" s="694"/>
      <c r="W229" s="42" t="s">
        <v>0</v>
      </c>
      <c r="X229" s="43">
        <f>IFERROR(SUM(X214:X227),"0")</f>
        <v>310.89999999999998</v>
      </c>
      <c r="Y229" s="43">
        <f>IFERROR(SUM(Y214:Y227),"0")</f>
        <v>314.3</v>
      </c>
      <c r="Z229" s="42"/>
      <c r="AA229" s="67"/>
      <c r="AB229" s="67"/>
      <c r="AC229" s="67"/>
    </row>
    <row r="230" spans="1:68" ht="14.25" hidden="1" customHeight="1" x14ac:dyDescent="0.25">
      <c r="A230" s="686" t="s">
        <v>86</v>
      </c>
      <c r="B230" s="686"/>
      <c r="C230" s="686"/>
      <c r="D230" s="686"/>
      <c r="E230" s="686"/>
      <c r="F230" s="686"/>
      <c r="G230" s="686"/>
      <c r="H230" s="686"/>
      <c r="I230" s="686"/>
      <c r="J230" s="686"/>
      <c r="K230" s="686"/>
      <c r="L230" s="686"/>
      <c r="M230" s="686"/>
      <c r="N230" s="686"/>
      <c r="O230" s="686"/>
      <c r="P230" s="686"/>
      <c r="Q230" s="686"/>
      <c r="R230" s="686"/>
      <c r="S230" s="686"/>
      <c r="T230" s="686"/>
      <c r="U230" s="686"/>
      <c r="V230" s="686"/>
      <c r="W230" s="686"/>
      <c r="X230" s="686"/>
      <c r="Y230" s="686"/>
      <c r="Z230" s="686"/>
      <c r="AA230" s="66"/>
      <c r="AB230" s="66"/>
      <c r="AC230" s="80"/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87">
        <v>4680115888692</v>
      </c>
      <c r="E231" s="68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80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9"/>
      <c r="R231" s="689"/>
      <c r="S231" s="689"/>
      <c r="T231" s="69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87">
        <v>4680115888722</v>
      </c>
      <c r="E232" s="68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80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9"/>
      <c r="R232" s="689"/>
      <c r="S232" s="689"/>
      <c r="T232" s="69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87">
        <v>4680115888951</v>
      </c>
      <c r="E233" s="68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9"/>
      <c r="R233" s="689"/>
      <c r="S233" s="689"/>
      <c r="T233" s="69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87">
        <v>4680115888982</v>
      </c>
      <c r="E234" s="68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81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9"/>
      <c r="R234" s="689"/>
      <c r="S234" s="689"/>
      <c r="T234" s="69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95"/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696"/>
      <c r="P235" s="692" t="s">
        <v>40</v>
      </c>
      <c r="Q235" s="693"/>
      <c r="R235" s="693"/>
      <c r="S235" s="693"/>
      <c r="T235" s="693"/>
      <c r="U235" s="693"/>
      <c r="V235" s="694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95"/>
      <c r="B236" s="695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696"/>
      <c r="P236" s="692" t="s">
        <v>40</v>
      </c>
      <c r="Q236" s="693"/>
      <c r="R236" s="693"/>
      <c r="S236" s="693"/>
      <c r="T236" s="693"/>
      <c r="U236" s="693"/>
      <c r="V236" s="694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86" t="s">
        <v>107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7">
        <v>4680115886780</v>
      </c>
      <c r="E238" s="68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9"/>
      <c r="R238" s="689"/>
      <c r="S238" s="689"/>
      <c r="T238" s="690"/>
      <c r="U238" s="39" t="s">
        <v>46</v>
      </c>
      <c r="V238" s="39" t="s">
        <v>46</v>
      </c>
      <c r="W238" s="40" t="s">
        <v>0</v>
      </c>
      <c r="X238" s="58">
        <v>10.500000000000002</v>
      </c>
      <c r="Y238" s="55">
        <f>IFERROR(IF(X238="",0,CEILING((X238/$H238),1)*$H238),"")</f>
        <v>11.34</v>
      </c>
      <c r="Z238" s="41">
        <f>IFERROR(IF(Y238=0,"",ROUNDUP(Y238/H238,0)*0.0059),"")</f>
        <v>5.3100000000000001E-2</v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12.083333333333334</v>
      </c>
      <c r="BN238" s="78">
        <f>IFERROR(Y238*I238/H238,"0")</f>
        <v>13.049999999999999</v>
      </c>
      <c r="BO238" s="78">
        <f>IFERROR(1/J238*(X238/H238),"0")</f>
        <v>3.8580246913580245E-2</v>
      </c>
      <c r="BP238" s="78">
        <f>IFERROR(1/J238*(Y238/H238),"0")</f>
        <v>4.1666666666666664E-2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7">
        <v>4680115886742</v>
      </c>
      <c r="E239" s="68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8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9"/>
      <c r="R239" s="689"/>
      <c r="S239" s="689"/>
      <c r="T239" s="690"/>
      <c r="U239" s="39" t="s">
        <v>46</v>
      </c>
      <c r="V239" s="39" t="s">
        <v>46</v>
      </c>
      <c r="W239" s="40" t="s">
        <v>0</v>
      </c>
      <c r="X239" s="58">
        <v>7.0000000000000009</v>
      </c>
      <c r="Y239" s="55">
        <f>IFERROR(IF(X239="",0,CEILING((X239/$H239),1)*$H239),"")</f>
        <v>7.5600000000000005</v>
      </c>
      <c r="Z239" s="41">
        <f>IFERROR(IF(Y239=0,"",ROUNDUP(Y239/H239,0)*0.0059),"")</f>
        <v>3.5400000000000001E-2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8.0555555555555554</v>
      </c>
      <c r="BN239" s="78">
        <f>IFERROR(Y239*I239/H239,"0")</f>
        <v>8.6999999999999993</v>
      </c>
      <c r="BO239" s="78">
        <f>IFERROR(1/J239*(X239/H239),"0")</f>
        <v>2.5720164609053499E-2</v>
      </c>
      <c r="BP239" s="78">
        <f>IFERROR(1/J239*(Y239/H239),"0")</f>
        <v>2.7777777777777776E-2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7">
        <v>4680115886766</v>
      </c>
      <c r="E240" s="68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9"/>
      <c r="R240" s="689"/>
      <c r="S240" s="689"/>
      <c r="T240" s="690"/>
      <c r="U240" s="39" t="s">
        <v>46</v>
      </c>
      <c r="V240" s="39" t="s">
        <v>46</v>
      </c>
      <c r="W240" s="40" t="s">
        <v>0</v>
      </c>
      <c r="X240" s="58">
        <v>9.1000000000000014</v>
      </c>
      <c r="Y240" s="55">
        <f>IFERROR(IF(X240="",0,CEILING((X240/$H240),1)*$H240),"")</f>
        <v>10.08</v>
      </c>
      <c r="Z240" s="41">
        <f>IFERROR(IF(Y240=0,"",ROUNDUP(Y240/H240,0)*0.0059),"")</f>
        <v>4.7199999999999999E-2</v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10.472222222222223</v>
      </c>
      <c r="BN240" s="78">
        <f>IFERROR(Y240*I240/H240,"0")</f>
        <v>11.6</v>
      </c>
      <c r="BO240" s="78">
        <f>IFERROR(1/J240*(X240/H240),"0")</f>
        <v>3.3436213991769548E-2</v>
      </c>
      <c r="BP240" s="78">
        <f>IFERROR(1/J240*(Y240/H240),"0")</f>
        <v>3.7037037037037035E-2</v>
      </c>
    </row>
    <row r="241" spans="1:68" x14ac:dyDescent="0.2">
      <c r="A241" s="695"/>
      <c r="B241" s="695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696"/>
      <c r="P241" s="692" t="s">
        <v>40</v>
      </c>
      <c r="Q241" s="693"/>
      <c r="R241" s="693"/>
      <c r="S241" s="693"/>
      <c r="T241" s="693"/>
      <c r="U241" s="693"/>
      <c r="V241" s="694"/>
      <c r="W241" s="42" t="s">
        <v>39</v>
      </c>
      <c r="X241" s="43">
        <f>IFERROR(X238/H238,"0")+IFERROR(X239/H239,"0")+IFERROR(X240/H240,"0")</f>
        <v>21.111111111111114</v>
      </c>
      <c r="Y241" s="43">
        <f>IFERROR(Y238/H238,"0")+IFERROR(Y239/H239,"0")+IFERROR(Y240/H240,"0")</f>
        <v>23</v>
      </c>
      <c r="Z241" s="43">
        <f>IFERROR(IF(Z238="",0,Z238),"0")+IFERROR(IF(Z239="",0,Z239),"0")+IFERROR(IF(Z240="",0,Z240),"0")</f>
        <v>0.13569999999999999</v>
      </c>
      <c r="AA241" s="67"/>
      <c r="AB241" s="67"/>
      <c r="AC241" s="67"/>
    </row>
    <row r="242" spans="1:68" x14ac:dyDescent="0.2">
      <c r="A242" s="695"/>
      <c r="B242" s="695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696"/>
      <c r="P242" s="692" t="s">
        <v>40</v>
      </c>
      <c r="Q242" s="693"/>
      <c r="R242" s="693"/>
      <c r="S242" s="693"/>
      <c r="T242" s="693"/>
      <c r="U242" s="693"/>
      <c r="V242" s="694"/>
      <c r="W242" s="42" t="s">
        <v>0</v>
      </c>
      <c r="X242" s="43">
        <f>IFERROR(SUM(X238:X240),"0")</f>
        <v>26.600000000000005</v>
      </c>
      <c r="Y242" s="43">
        <f>IFERROR(SUM(Y238:Y240),"0")</f>
        <v>28.979999999999997</v>
      </c>
      <c r="Z242" s="42"/>
      <c r="AA242" s="67"/>
      <c r="AB242" s="67"/>
      <c r="AC242" s="67"/>
    </row>
    <row r="243" spans="1:68" ht="14.25" hidden="1" customHeight="1" x14ac:dyDescent="0.25">
      <c r="A243" s="686" t="s">
        <v>422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7">
        <v>4680115886797</v>
      </c>
      <c r="E244" s="68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9"/>
      <c r="R244" s="689"/>
      <c r="S244" s="689"/>
      <c r="T244" s="690"/>
      <c r="U244" s="39" t="s">
        <v>46</v>
      </c>
      <c r="V244" s="39" t="s">
        <v>46</v>
      </c>
      <c r="W244" s="40" t="s">
        <v>0</v>
      </c>
      <c r="X244" s="58">
        <v>7.0000000000000009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2.5720164609053499E-2</v>
      </c>
      <c r="BP244" s="78">
        <f>IFERROR(1/J244*(Y244/H244),"0")</f>
        <v>2.7777777777777776E-2</v>
      </c>
    </row>
    <row r="245" spans="1:68" x14ac:dyDescent="0.2">
      <c r="A245" s="695"/>
      <c r="B245" s="695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696"/>
      <c r="P245" s="692" t="s">
        <v>40</v>
      </c>
      <c r="Q245" s="693"/>
      <c r="R245" s="693"/>
      <c r="S245" s="693"/>
      <c r="T245" s="693"/>
      <c r="U245" s="693"/>
      <c r="V245" s="694"/>
      <c r="W245" s="42" t="s">
        <v>39</v>
      </c>
      <c r="X245" s="43">
        <f>IFERROR(X244/H244,"0")</f>
        <v>5.5555555555555562</v>
      </c>
      <c r="Y245" s="43">
        <f>IFERROR(Y244/H244,"0")</f>
        <v>6</v>
      </c>
      <c r="Z245" s="43">
        <f>IFERROR(IF(Z244="",0,Z244),"0")</f>
        <v>3.5400000000000001E-2</v>
      </c>
      <c r="AA245" s="67"/>
      <c r="AB245" s="67"/>
      <c r="AC245" s="67"/>
    </row>
    <row r="246" spans="1:68" x14ac:dyDescent="0.2">
      <c r="A246" s="695"/>
      <c r="B246" s="695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696"/>
      <c r="P246" s="692" t="s">
        <v>40</v>
      </c>
      <c r="Q246" s="693"/>
      <c r="R246" s="693"/>
      <c r="S246" s="693"/>
      <c r="T246" s="693"/>
      <c r="U246" s="693"/>
      <c r="V246" s="694"/>
      <c r="W246" s="42" t="s">
        <v>0</v>
      </c>
      <c r="X246" s="43">
        <f>IFERROR(SUM(X244:X244),"0")</f>
        <v>7.0000000000000009</v>
      </c>
      <c r="Y246" s="43">
        <f>IFERROR(SUM(Y244:Y244),"0")</f>
        <v>7.5600000000000005</v>
      </c>
      <c r="Z246" s="42"/>
      <c r="AA246" s="67"/>
      <c r="AB246" s="67"/>
      <c r="AC246" s="67"/>
    </row>
    <row r="247" spans="1:68" ht="16.5" hidden="1" customHeight="1" x14ac:dyDescent="0.25">
      <c r="A247" s="685" t="s">
        <v>425</v>
      </c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5"/>
      <c r="AB247" s="65"/>
      <c r="AC247" s="79"/>
    </row>
    <row r="248" spans="1:68" ht="14.25" hidden="1" customHeight="1" x14ac:dyDescent="0.25">
      <c r="A248" s="686" t="s">
        <v>132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7">
        <v>4680115881402</v>
      </c>
      <c r="E249" s="68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9"/>
      <c r="R249" s="689"/>
      <c r="S249" s="689"/>
      <c r="T249" s="69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7">
        <v>4680115881396</v>
      </c>
      <c r="E250" s="68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9"/>
      <c r="R250" s="689"/>
      <c r="S250" s="689"/>
      <c r="T250" s="69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5"/>
      <c r="B251" s="695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696"/>
      <c r="P251" s="692" t="s">
        <v>40</v>
      </c>
      <c r="Q251" s="693"/>
      <c r="R251" s="693"/>
      <c r="S251" s="693"/>
      <c r="T251" s="693"/>
      <c r="U251" s="693"/>
      <c r="V251" s="69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5"/>
      <c r="B252" s="695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696"/>
      <c r="P252" s="692" t="s">
        <v>40</v>
      </c>
      <c r="Q252" s="693"/>
      <c r="R252" s="693"/>
      <c r="S252" s="693"/>
      <c r="T252" s="693"/>
      <c r="U252" s="693"/>
      <c r="V252" s="69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6" t="s">
        <v>167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7">
        <v>4680115882935</v>
      </c>
      <c r="E254" s="68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9"/>
      <c r="R254" s="689"/>
      <c r="S254" s="689"/>
      <c r="T254" s="69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7">
        <v>4680115880764</v>
      </c>
      <c r="E255" s="68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9"/>
      <c r="R255" s="689"/>
      <c r="S255" s="689"/>
      <c r="T255" s="69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5"/>
      <c r="B256" s="695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6"/>
      <c r="P256" s="692" t="s">
        <v>40</v>
      </c>
      <c r="Q256" s="693"/>
      <c r="R256" s="693"/>
      <c r="S256" s="693"/>
      <c r="T256" s="693"/>
      <c r="U256" s="693"/>
      <c r="V256" s="69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5"/>
      <c r="B257" s="695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6"/>
      <c r="P257" s="692" t="s">
        <v>40</v>
      </c>
      <c r="Q257" s="693"/>
      <c r="R257" s="693"/>
      <c r="S257" s="693"/>
      <c r="T257" s="693"/>
      <c r="U257" s="693"/>
      <c r="V257" s="69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6" t="s">
        <v>77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86"/>
      <c r="P258" s="686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7">
        <v>4680115882683</v>
      </c>
      <c r="E259" s="68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9"/>
      <c r="R259" s="689"/>
      <c r="S259" s="689"/>
      <c r="T259" s="690"/>
      <c r="U259" s="39" t="s">
        <v>46</v>
      </c>
      <c r="V259" s="39" t="s">
        <v>46</v>
      </c>
      <c r="W259" s="40" t="s">
        <v>0</v>
      </c>
      <c r="X259" s="58">
        <v>60</v>
      </c>
      <c r="Y259" s="55">
        <f t="shared" ref="Y259:Y266" si="38">IFERROR(IF(X259="",0,CEILING((X259/$H259),1)*$H259),"")</f>
        <v>64.800000000000011</v>
      </c>
      <c r="Z259" s="41">
        <f>IFERROR(IF(Y259=0,"",ROUNDUP(Y259/H259,0)*0.00902),"")</f>
        <v>0.10824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62.1111111111111</v>
      </c>
      <c r="BN259" s="78">
        <f t="shared" ref="BN259:BN266" si="40">IFERROR(Y259*I259/H259,"0")</f>
        <v>67.08</v>
      </c>
      <c r="BO259" s="78">
        <f t="shared" ref="BO259:BO266" si="41">IFERROR(1/J259*(X259/H259),"0")</f>
        <v>8.4175084175084181E-2</v>
      </c>
      <c r="BP259" s="78">
        <f t="shared" ref="BP259:BP266" si="42">IFERROR(1/J259*(Y259/H259),"0")</f>
        <v>9.0909090909090925E-2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87">
        <v>4680115882690</v>
      </c>
      <c r="E260" s="68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9"/>
      <c r="R260" s="689"/>
      <c r="S260" s="689"/>
      <c r="T260" s="69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7">
        <v>4680115882669</v>
      </c>
      <c r="E261" s="68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9"/>
      <c r="R261" s="689"/>
      <c r="S261" s="689"/>
      <c r="T261" s="690"/>
      <c r="U261" s="39" t="s">
        <v>46</v>
      </c>
      <c r="V261" s="39" t="s">
        <v>46</v>
      </c>
      <c r="W261" s="40" t="s">
        <v>0</v>
      </c>
      <c r="X261" s="58">
        <v>200</v>
      </c>
      <c r="Y261" s="55">
        <f t="shared" si="38"/>
        <v>205.20000000000002</v>
      </c>
      <c r="Z261" s="41">
        <f>IFERROR(IF(Y261=0,"",ROUNDUP(Y261/H261,0)*0.00902),"")</f>
        <v>0.34276000000000001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207.03703703703701</v>
      </c>
      <c r="BN261" s="78">
        <f t="shared" si="40"/>
        <v>212.42</v>
      </c>
      <c r="BO261" s="78">
        <f t="shared" si="41"/>
        <v>0.28058361391694725</v>
      </c>
      <c r="BP261" s="78">
        <f t="shared" si="42"/>
        <v>0.2878787878787879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7">
        <v>4680115882676</v>
      </c>
      <c r="E262" s="68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8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9"/>
      <c r="R262" s="689"/>
      <c r="S262" s="689"/>
      <c r="T262" s="690"/>
      <c r="U262" s="39" t="s">
        <v>46</v>
      </c>
      <c r="V262" s="39" t="s">
        <v>46</v>
      </c>
      <c r="W262" s="40" t="s">
        <v>0</v>
      </c>
      <c r="X262" s="58">
        <v>50</v>
      </c>
      <c r="Y262" s="55">
        <f t="shared" si="38"/>
        <v>54</v>
      </c>
      <c r="Z262" s="41">
        <f>IFERROR(IF(Y262=0,"",ROUNDUP(Y262/H262,0)*0.00902),"")</f>
        <v>9.0200000000000002E-2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51.759259259259252</v>
      </c>
      <c r="BN262" s="78">
        <f t="shared" si="40"/>
        <v>55.9</v>
      </c>
      <c r="BO262" s="78">
        <f t="shared" si="41"/>
        <v>7.0145903479236812E-2</v>
      </c>
      <c r="BP262" s="78">
        <f t="shared" si="42"/>
        <v>7.575757575757576E-2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7">
        <v>4680115884014</v>
      </c>
      <c r="E263" s="68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9"/>
      <c r="R263" s="689"/>
      <c r="S263" s="689"/>
      <c r="T263" s="690"/>
      <c r="U263" s="39" t="s">
        <v>46</v>
      </c>
      <c r="V263" s="39" t="s">
        <v>46</v>
      </c>
      <c r="W263" s="40" t="s">
        <v>0</v>
      </c>
      <c r="X263" s="58">
        <v>63</v>
      </c>
      <c r="Y263" s="55">
        <f t="shared" si="38"/>
        <v>63</v>
      </c>
      <c r="Z263" s="41">
        <f>IFERROR(IF(Y263=0,"",ROUNDUP(Y263/H263,0)*0.00502),"")</f>
        <v>0.1757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67.55</v>
      </c>
      <c r="BN263" s="78">
        <f t="shared" si="40"/>
        <v>67.55</v>
      </c>
      <c r="BO263" s="78">
        <f t="shared" si="41"/>
        <v>0.1495726495726496</v>
      </c>
      <c r="BP263" s="78">
        <f t="shared" si="42"/>
        <v>0.1495726495726496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7">
        <v>4680115884007</v>
      </c>
      <c r="E264" s="68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9"/>
      <c r="R264" s="689"/>
      <c r="S264" s="689"/>
      <c r="T264" s="690"/>
      <c r="U264" s="39" t="s">
        <v>46</v>
      </c>
      <c r="V264" s="39" t="s">
        <v>46</v>
      </c>
      <c r="W264" s="40" t="s">
        <v>0</v>
      </c>
      <c r="X264" s="58">
        <v>30</v>
      </c>
      <c r="Y264" s="55">
        <f t="shared" si="38"/>
        <v>30.6</v>
      </c>
      <c r="Z264" s="41">
        <f>IFERROR(IF(Y264=0,"",ROUNDUP(Y264/H264,0)*0.00502),"")</f>
        <v>8.5339999999999999E-2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31.666666666666664</v>
      </c>
      <c r="BN264" s="78">
        <f t="shared" si="40"/>
        <v>32.299999999999997</v>
      </c>
      <c r="BO264" s="78">
        <f t="shared" si="41"/>
        <v>7.122507122507124E-2</v>
      </c>
      <c r="BP264" s="78">
        <f t="shared" si="42"/>
        <v>7.2649572649572655E-2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7">
        <v>4680115884038</v>
      </c>
      <c r="E265" s="68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9"/>
      <c r="R265" s="689"/>
      <c r="S265" s="689"/>
      <c r="T265" s="690"/>
      <c r="U265" s="39" t="s">
        <v>46</v>
      </c>
      <c r="V265" s="39" t="s">
        <v>46</v>
      </c>
      <c r="W265" s="40" t="s">
        <v>0</v>
      </c>
      <c r="X265" s="58">
        <v>60</v>
      </c>
      <c r="Y265" s="55">
        <f t="shared" si="38"/>
        <v>61.2</v>
      </c>
      <c r="Z265" s="41">
        <f>IFERROR(IF(Y265=0,"",ROUNDUP(Y265/H265,0)*0.00502),"")</f>
        <v>0.17068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63.333333333333329</v>
      </c>
      <c r="BN265" s="78">
        <f t="shared" si="40"/>
        <v>64.599999999999994</v>
      </c>
      <c r="BO265" s="78">
        <f t="shared" si="41"/>
        <v>0.14245014245014248</v>
      </c>
      <c r="BP265" s="78">
        <f t="shared" si="42"/>
        <v>0.14529914529914531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7">
        <v>4680115884021</v>
      </c>
      <c r="E266" s="68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9"/>
      <c r="R266" s="689"/>
      <c r="S266" s="689"/>
      <c r="T266" s="690"/>
      <c r="U266" s="39" t="s">
        <v>46</v>
      </c>
      <c r="V266" s="39" t="s">
        <v>46</v>
      </c>
      <c r="W266" s="40" t="s">
        <v>0</v>
      </c>
      <c r="X266" s="58">
        <v>30</v>
      </c>
      <c r="Y266" s="55">
        <f t="shared" si="38"/>
        <v>30.6</v>
      </c>
      <c r="Z266" s="41">
        <f>IFERROR(IF(Y266=0,"",ROUNDUP(Y266/H266,0)*0.00502),"")</f>
        <v>8.5339999999999999E-2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31.666666666666664</v>
      </c>
      <c r="BN266" s="78">
        <f t="shared" si="40"/>
        <v>32.299999999999997</v>
      </c>
      <c r="BO266" s="78">
        <f t="shared" si="41"/>
        <v>7.122507122507124E-2</v>
      </c>
      <c r="BP266" s="78">
        <f t="shared" si="42"/>
        <v>7.2649572649572655E-2</v>
      </c>
    </row>
    <row r="267" spans="1:68" x14ac:dyDescent="0.2">
      <c r="A267" s="695"/>
      <c r="B267" s="695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6"/>
      <c r="P267" s="692" t="s">
        <v>40</v>
      </c>
      <c r="Q267" s="693"/>
      <c r="R267" s="693"/>
      <c r="S267" s="693"/>
      <c r="T267" s="693"/>
      <c r="U267" s="693"/>
      <c r="V267" s="69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159.07407407407408</v>
      </c>
      <c r="Y267" s="43">
        <f>IFERROR(Y259/H259,"0")+IFERROR(Y260/H260,"0")+IFERROR(Y261/H261,"0")+IFERROR(Y262/H262,"0")+IFERROR(Y263/H263,"0")+IFERROR(Y264/H264,"0")+IFERROR(Y265/H265,"0")+IFERROR(Y266/H266,"0")</f>
        <v>163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1.05826</v>
      </c>
      <c r="AA267" s="67"/>
      <c r="AB267" s="67"/>
      <c r="AC267" s="67"/>
    </row>
    <row r="268" spans="1:68" x14ac:dyDescent="0.2">
      <c r="A268" s="695"/>
      <c r="B268" s="695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6"/>
      <c r="P268" s="692" t="s">
        <v>40</v>
      </c>
      <c r="Q268" s="693"/>
      <c r="R268" s="693"/>
      <c r="S268" s="693"/>
      <c r="T268" s="693"/>
      <c r="U268" s="693"/>
      <c r="V268" s="694"/>
      <c r="W268" s="42" t="s">
        <v>0</v>
      </c>
      <c r="X268" s="43">
        <f>IFERROR(SUM(X259:X266),"0")</f>
        <v>493</v>
      </c>
      <c r="Y268" s="43">
        <f>IFERROR(SUM(Y259:Y266),"0")</f>
        <v>509.40000000000003</v>
      </c>
      <c r="Z268" s="42"/>
      <c r="AA268" s="67"/>
      <c r="AB268" s="67"/>
      <c r="AC268" s="67"/>
    </row>
    <row r="269" spans="1:68" ht="14.25" hidden="1" customHeight="1" x14ac:dyDescent="0.25">
      <c r="A269" s="686" t="s">
        <v>86</v>
      </c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87">
        <v>4680115881594</v>
      </c>
      <c r="E270" s="68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8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9"/>
      <c r="R270" s="689"/>
      <c r="S270" s="689"/>
      <c r="T270" s="69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7">
        <v>4680115881617</v>
      </c>
      <c r="E271" s="68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9"/>
      <c r="R271" s="689"/>
      <c r="S271" s="689"/>
      <c r="T271" s="69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7">
        <v>4680115880573</v>
      </c>
      <c r="E272" s="68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8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9"/>
      <c r="R272" s="689"/>
      <c r="S272" s="689"/>
      <c r="T272" s="690"/>
      <c r="U272" s="39" t="s">
        <v>46</v>
      </c>
      <c r="V272" s="39" t="s">
        <v>46</v>
      </c>
      <c r="W272" s="40" t="s">
        <v>0</v>
      </c>
      <c r="X272" s="58">
        <v>60</v>
      </c>
      <c r="Y272" s="55">
        <f t="shared" si="43"/>
        <v>60.899999999999991</v>
      </c>
      <c r="Z272" s="41">
        <f>IFERROR(IF(Y272=0,"",ROUNDUP(Y272/H272,0)*0.01898),"")</f>
        <v>0.13286000000000001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63.406896551724152</v>
      </c>
      <c r="BN272" s="78">
        <f t="shared" si="45"/>
        <v>64.358000000000004</v>
      </c>
      <c r="BO272" s="78">
        <f t="shared" si="46"/>
        <v>0.10775862068965518</v>
      </c>
      <c r="BP272" s="78">
        <f t="shared" si="47"/>
        <v>0.109375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7">
        <v>4680115882195</v>
      </c>
      <c r="E273" s="68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9"/>
      <c r="R273" s="689"/>
      <c r="S273" s="689"/>
      <c r="T273" s="690"/>
      <c r="U273" s="39" t="s">
        <v>46</v>
      </c>
      <c r="V273" s="39" t="s">
        <v>46</v>
      </c>
      <c r="W273" s="40" t="s">
        <v>0</v>
      </c>
      <c r="X273" s="58">
        <v>200</v>
      </c>
      <c r="Y273" s="55">
        <f t="shared" si="43"/>
        <v>201.6</v>
      </c>
      <c r="Z273" s="41">
        <f>IFERROR(IF(Y273=0,"",ROUNDUP(Y273/H273,0)*0.00651),"")</f>
        <v>0.54683999999999999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222.5</v>
      </c>
      <c r="BN273" s="78">
        <f t="shared" si="45"/>
        <v>224.27999999999997</v>
      </c>
      <c r="BO273" s="78">
        <f t="shared" si="46"/>
        <v>0.45787545787545797</v>
      </c>
      <c r="BP273" s="78">
        <f t="shared" si="47"/>
        <v>0.46153846153846156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7">
        <v>4680115882607</v>
      </c>
      <c r="E274" s="68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9"/>
      <c r="R274" s="689"/>
      <c r="S274" s="689"/>
      <c r="T274" s="69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7">
        <v>4680115882607</v>
      </c>
      <c r="E275" s="68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83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9"/>
      <c r="R275" s="689"/>
      <c r="S275" s="689"/>
      <c r="T275" s="69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7">
        <v>4680115880092</v>
      </c>
      <c r="E276" s="68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9"/>
      <c r="R276" s="689"/>
      <c r="S276" s="689"/>
      <c r="T276" s="690"/>
      <c r="U276" s="39" t="s">
        <v>46</v>
      </c>
      <c r="V276" s="39" t="s">
        <v>46</v>
      </c>
      <c r="W276" s="40" t="s">
        <v>0</v>
      </c>
      <c r="X276" s="58">
        <v>280</v>
      </c>
      <c r="Y276" s="55">
        <f t="shared" si="43"/>
        <v>280.8</v>
      </c>
      <c r="Z276" s="41">
        <f>IFERROR(IF(Y276=0,"",ROUNDUP(Y276/H276,0)*0.00651),"")</f>
        <v>0.76167000000000007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309.40000000000003</v>
      </c>
      <c r="BN276" s="78">
        <f t="shared" si="45"/>
        <v>310.28400000000005</v>
      </c>
      <c r="BO276" s="78">
        <f t="shared" si="46"/>
        <v>0.64102564102564108</v>
      </c>
      <c r="BP276" s="78">
        <f t="shared" si="47"/>
        <v>0.64285714285714302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7">
        <v>4680115889064</v>
      </c>
      <c r="E277" s="68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83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9"/>
      <c r="R277" s="689"/>
      <c r="S277" s="689"/>
      <c r="T277" s="69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87">
        <v>4680115880221</v>
      </c>
      <c r="E278" s="68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9"/>
      <c r="R278" s="689"/>
      <c r="S278" s="689"/>
      <c r="T278" s="69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7">
        <v>4680115880504</v>
      </c>
      <c r="E279" s="68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9"/>
      <c r="R279" s="689"/>
      <c r="S279" s="689"/>
      <c r="T279" s="690"/>
      <c r="U279" s="39" t="s">
        <v>46</v>
      </c>
      <c r="V279" s="39" t="s">
        <v>46</v>
      </c>
      <c r="W279" s="40" t="s">
        <v>0</v>
      </c>
      <c r="X279" s="58">
        <v>80</v>
      </c>
      <c r="Y279" s="55">
        <f t="shared" si="43"/>
        <v>81.599999999999994</v>
      </c>
      <c r="Z279" s="41">
        <f>IFERROR(IF(Y279=0,"",ROUNDUP(Y279/H279,0)*0.00651),"")</f>
        <v>0.22134000000000001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88.40000000000002</v>
      </c>
      <c r="BN279" s="78">
        <f t="shared" si="45"/>
        <v>90.168000000000006</v>
      </c>
      <c r="BO279" s="78">
        <f t="shared" si="46"/>
        <v>0.18315018315018317</v>
      </c>
      <c r="BP279" s="78">
        <f t="shared" si="47"/>
        <v>0.18681318681318682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7">
        <v>4680115882164</v>
      </c>
      <c r="E280" s="68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9"/>
      <c r="R280" s="689"/>
      <c r="S280" s="689"/>
      <c r="T280" s="690"/>
      <c r="U280" s="39" t="s">
        <v>46</v>
      </c>
      <c r="V280" s="39" t="s">
        <v>46</v>
      </c>
      <c r="W280" s="40" t="s">
        <v>0</v>
      </c>
      <c r="X280" s="58">
        <v>160</v>
      </c>
      <c r="Y280" s="55">
        <f t="shared" si="43"/>
        <v>160.79999999999998</v>
      </c>
      <c r="Z280" s="41">
        <f>IFERROR(IF(Y280=0,"",ROUNDUP(Y280/H280,0)*0.00651),"")</f>
        <v>0.43617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177.2</v>
      </c>
      <c r="BN280" s="78">
        <f t="shared" si="45"/>
        <v>178.08599999999998</v>
      </c>
      <c r="BO280" s="78">
        <f t="shared" si="46"/>
        <v>0.36630036630036633</v>
      </c>
      <c r="BP280" s="78">
        <f t="shared" si="47"/>
        <v>0.36813186813186816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7">
        <v>4680115888340</v>
      </c>
      <c r="E281" s="68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9"/>
      <c r="R281" s="689"/>
      <c r="S281" s="689"/>
      <c r="T281" s="69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95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696"/>
      <c r="P282" s="692" t="s">
        <v>40</v>
      </c>
      <c r="Q282" s="693"/>
      <c r="R282" s="693"/>
      <c r="S282" s="693"/>
      <c r="T282" s="693"/>
      <c r="U282" s="693"/>
      <c r="V282" s="69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306.89655172413796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309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2.0988800000000003</v>
      </c>
      <c r="AA282" s="67"/>
      <c r="AB282" s="67"/>
      <c r="AC282" s="67"/>
    </row>
    <row r="283" spans="1:68" x14ac:dyDescent="0.2">
      <c r="A283" s="695"/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6"/>
      <c r="P283" s="692" t="s">
        <v>40</v>
      </c>
      <c r="Q283" s="693"/>
      <c r="R283" s="693"/>
      <c r="S283" s="693"/>
      <c r="T283" s="693"/>
      <c r="U283" s="693"/>
      <c r="V283" s="694"/>
      <c r="W283" s="42" t="s">
        <v>0</v>
      </c>
      <c r="X283" s="43">
        <f>IFERROR(SUM(X270:X281),"0")</f>
        <v>780</v>
      </c>
      <c r="Y283" s="43">
        <f>IFERROR(SUM(Y270:Y281),"0")</f>
        <v>785.69999999999993</v>
      </c>
      <c r="Z283" s="42"/>
      <c r="AA283" s="67"/>
      <c r="AB283" s="67"/>
      <c r="AC283" s="67"/>
    </row>
    <row r="284" spans="1:68" ht="14.25" hidden="1" customHeight="1" x14ac:dyDescent="0.25">
      <c r="A284" s="686" t="s">
        <v>184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87">
        <v>4680115880818</v>
      </c>
      <c r="E285" s="68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9"/>
      <c r="R285" s="689"/>
      <c r="S285" s="689"/>
      <c r="T285" s="69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7">
        <v>4680115880801</v>
      </c>
      <c r="E286" s="68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9"/>
      <c r="R286" s="689"/>
      <c r="S286" s="689"/>
      <c r="T286" s="690"/>
      <c r="U286" s="39" t="s">
        <v>46</v>
      </c>
      <c r="V286" s="39" t="s">
        <v>46</v>
      </c>
      <c r="W286" s="40" t="s">
        <v>0</v>
      </c>
      <c r="X286" s="58">
        <v>120</v>
      </c>
      <c r="Y286" s="55">
        <f>IFERROR(IF(X286="",0,CEILING((X286/$H286),1)*$H286),"")</f>
        <v>120</v>
      </c>
      <c r="Z286" s="41">
        <f>IFERROR(IF(Y286=0,"",ROUNDUP(Y286/H286,0)*0.00651),"")</f>
        <v>0.32550000000000001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132.60000000000002</v>
      </c>
      <c r="BN286" s="78">
        <f>IFERROR(Y286*I286/H286,"0")</f>
        <v>132.60000000000002</v>
      </c>
      <c r="BO286" s="78">
        <f>IFERROR(1/J286*(X286/H286),"0")</f>
        <v>0.27472527472527475</v>
      </c>
      <c r="BP286" s="78">
        <f>IFERROR(1/J286*(Y286/H286),"0")</f>
        <v>0.27472527472527475</v>
      </c>
    </row>
    <row r="287" spans="1:68" x14ac:dyDescent="0.2">
      <c r="A287" s="695"/>
      <c r="B287" s="695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696"/>
      <c r="P287" s="692" t="s">
        <v>40</v>
      </c>
      <c r="Q287" s="693"/>
      <c r="R287" s="693"/>
      <c r="S287" s="693"/>
      <c r="T287" s="693"/>
      <c r="U287" s="693"/>
      <c r="V287" s="694"/>
      <c r="W287" s="42" t="s">
        <v>39</v>
      </c>
      <c r="X287" s="43">
        <f>IFERROR(X285/H285,"0")+IFERROR(X286/H286,"0")</f>
        <v>50</v>
      </c>
      <c r="Y287" s="43">
        <f>IFERROR(Y285/H285,"0")+IFERROR(Y286/H286,"0")</f>
        <v>50</v>
      </c>
      <c r="Z287" s="43">
        <f>IFERROR(IF(Z285="",0,Z285),"0")+IFERROR(IF(Z286="",0,Z286),"0")</f>
        <v>0.32550000000000001</v>
      </c>
      <c r="AA287" s="67"/>
      <c r="AB287" s="67"/>
      <c r="AC287" s="67"/>
    </row>
    <row r="288" spans="1:68" x14ac:dyDescent="0.2">
      <c r="A288" s="695"/>
      <c r="B288" s="695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696"/>
      <c r="P288" s="692" t="s">
        <v>40</v>
      </c>
      <c r="Q288" s="693"/>
      <c r="R288" s="693"/>
      <c r="S288" s="693"/>
      <c r="T288" s="693"/>
      <c r="U288" s="693"/>
      <c r="V288" s="694"/>
      <c r="W288" s="42" t="s">
        <v>0</v>
      </c>
      <c r="X288" s="43">
        <f>IFERROR(SUM(X285:X286),"0")</f>
        <v>120</v>
      </c>
      <c r="Y288" s="43">
        <f>IFERROR(SUM(Y285:Y286),"0")</f>
        <v>120</v>
      </c>
      <c r="Z288" s="42"/>
      <c r="AA288" s="67"/>
      <c r="AB288" s="67"/>
      <c r="AC288" s="67"/>
    </row>
    <row r="289" spans="1:68" ht="16.5" hidden="1" customHeight="1" x14ac:dyDescent="0.25">
      <c r="A289" s="685" t="s">
        <v>493</v>
      </c>
      <c r="B289" s="685"/>
      <c r="C289" s="685"/>
      <c r="D289" s="685"/>
      <c r="E289" s="685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5"/>
      <c r="AB289" s="65"/>
      <c r="AC289" s="79"/>
    </row>
    <row r="290" spans="1:68" ht="14.25" hidden="1" customHeight="1" x14ac:dyDescent="0.25">
      <c r="A290" s="686" t="s">
        <v>132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86"/>
      <c r="P290" s="686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87">
        <v>4680115884137</v>
      </c>
      <c r="E291" s="68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8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9"/>
      <c r="R291" s="689"/>
      <c r="S291" s="689"/>
      <c r="T291" s="690"/>
      <c r="U291" s="39" t="s">
        <v>46</v>
      </c>
      <c r="V291" s="39" t="s">
        <v>46</v>
      </c>
      <c r="W291" s="40" t="s">
        <v>0</v>
      </c>
      <c r="X291" s="58">
        <v>30</v>
      </c>
      <c r="Y291" s="55">
        <f t="shared" ref="Y291:Y297" si="48">IFERROR(IF(X291="",0,CEILING((X291/$H291),1)*$H291),"")</f>
        <v>34.799999999999997</v>
      </c>
      <c r="Z291" s="41">
        <f>IFERROR(IF(Y291=0,"",ROUNDUP(Y291/H291,0)*0.01898),"")</f>
        <v>5.6940000000000004E-2</v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31.06034482758621</v>
      </c>
      <c r="BN291" s="78">
        <f t="shared" ref="BN291:BN297" si="50">IFERROR(Y291*I291/H291,"0")</f>
        <v>36.03</v>
      </c>
      <c r="BO291" s="78">
        <f t="shared" ref="BO291:BO297" si="51">IFERROR(1/J291*(X291/H291),"0")</f>
        <v>4.0409482758620691E-2</v>
      </c>
      <c r="BP291" s="78">
        <f t="shared" ref="BP291:BP297" si="52">IFERROR(1/J291*(Y291/H291),"0")</f>
        <v>4.6875E-2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7">
        <v>4680115884236</v>
      </c>
      <c r="E292" s="68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9"/>
      <c r="R292" s="689"/>
      <c r="S292" s="689"/>
      <c r="T292" s="69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7">
        <v>4680115884175</v>
      </c>
      <c r="E293" s="68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9"/>
      <c r="R293" s="689"/>
      <c r="S293" s="689"/>
      <c r="T293" s="69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7">
        <v>4680115884144</v>
      </c>
      <c r="E294" s="68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9"/>
      <c r="R294" s="689"/>
      <c r="S294" s="689"/>
      <c r="T294" s="690"/>
      <c r="U294" s="39" t="s">
        <v>46</v>
      </c>
      <c r="V294" s="39" t="s">
        <v>46</v>
      </c>
      <c r="W294" s="40" t="s">
        <v>0</v>
      </c>
      <c r="X294" s="58">
        <v>24</v>
      </c>
      <c r="Y294" s="55">
        <f t="shared" si="48"/>
        <v>24</v>
      </c>
      <c r="Z294" s="41">
        <f>IFERROR(IF(Y294=0,"",ROUNDUP(Y294/H294,0)*0.00902),"")</f>
        <v>5.4120000000000001E-2</v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25.14</v>
      </c>
      <c r="BN294" s="78">
        <f t="shared" si="50"/>
        <v>25.14</v>
      </c>
      <c r="BO294" s="78">
        <f t="shared" si="51"/>
        <v>4.5454545454545456E-2</v>
      </c>
      <c r="BP294" s="78">
        <f t="shared" si="52"/>
        <v>4.5454545454545456E-2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7">
        <v>4680115886551</v>
      </c>
      <c r="E295" s="68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8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9"/>
      <c r="R295" s="689"/>
      <c r="S295" s="689"/>
      <c r="T295" s="69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7">
        <v>4680115887282</v>
      </c>
      <c r="E296" s="68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9"/>
      <c r="R296" s="689"/>
      <c r="S296" s="689"/>
      <c r="T296" s="69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7">
        <v>4680115884205</v>
      </c>
      <c r="E297" s="68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8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9"/>
      <c r="R297" s="689"/>
      <c r="S297" s="689"/>
      <c r="T297" s="690"/>
      <c r="U297" s="39" t="s">
        <v>46</v>
      </c>
      <c r="V297" s="39" t="s">
        <v>46</v>
      </c>
      <c r="W297" s="40" t="s">
        <v>0</v>
      </c>
      <c r="X297" s="58">
        <v>80</v>
      </c>
      <c r="Y297" s="55">
        <f t="shared" si="48"/>
        <v>80</v>
      </c>
      <c r="Z297" s="41">
        <f>IFERROR(IF(Y297=0,"",ROUNDUP(Y297/H297,0)*0.00902),"")</f>
        <v>0.1804</v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83.800000000000011</v>
      </c>
      <c r="BN297" s="78">
        <f t="shared" si="50"/>
        <v>83.800000000000011</v>
      </c>
      <c r="BO297" s="78">
        <f t="shared" si="51"/>
        <v>0.15151515151515152</v>
      </c>
      <c r="BP297" s="78">
        <f t="shared" si="52"/>
        <v>0.15151515151515152</v>
      </c>
    </row>
    <row r="298" spans="1:68" x14ac:dyDescent="0.2">
      <c r="A298" s="695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696"/>
      <c r="P298" s="692" t="s">
        <v>40</v>
      </c>
      <c r="Q298" s="693"/>
      <c r="R298" s="693"/>
      <c r="S298" s="693"/>
      <c r="T298" s="693"/>
      <c r="U298" s="693"/>
      <c r="V298" s="694"/>
      <c r="W298" s="42" t="s">
        <v>39</v>
      </c>
      <c r="X298" s="43">
        <f>IFERROR(X291/H291,"0")+IFERROR(X292/H292,"0")+IFERROR(X293/H293,"0")+IFERROR(X294/H294,"0")+IFERROR(X295/H295,"0")+IFERROR(X296/H296,"0")+IFERROR(X297/H297,"0")</f>
        <v>28.586206896551722</v>
      </c>
      <c r="Y298" s="43">
        <f>IFERROR(Y291/H291,"0")+IFERROR(Y292/H292,"0")+IFERROR(Y293/H293,"0")+IFERROR(Y294/H294,"0")+IFERROR(Y295/H295,"0")+IFERROR(Y296/H296,"0")+IFERROR(Y297/H297,"0")</f>
        <v>29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0.29146</v>
      </c>
      <c r="AA298" s="67"/>
      <c r="AB298" s="67"/>
      <c r="AC298" s="67"/>
    </row>
    <row r="299" spans="1:68" x14ac:dyDescent="0.2">
      <c r="A299" s="695"/>
      <c r="B299" s="695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696"/>
      <c r="P299" s="692" t="s">
        <v>40</v>
      </c>
      <c r="Q299" s="693"/>
      <c r="R299" s="693"/>
      <c r="S299" s="693"/>
      <c r="T299" s="693"/>
      <c r="U299" s="693"/>
      <c r="V299" s="694"/>
      <c r="W299" s="42" t="s">
        <v>0</v>
      </c>
      <c r="X299" s="43">
        <f>IFERROR(SUM(X291:X297),"0")</f>
        <v>134</v>
      </c>
      <c r="Y299" s="43">
        <f>IFERROR(SUM(Y291:Y297),"0")</f>
        <v>138.80000000000001</v>
      </c>
      <c r="Z299" s="42"/>
      <c r="AA299" s="67"/>
      <c r="AB299" s="67"/>
      <c r="AC299" s="67"/>
    </row>
    <row r="300" spans="1:68" ht="14.25" hidden="1" customHeight="1" x14ac:dyDescent="0.25">
      <c r="A300" s="686" t="s">
        <v>167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86"/>
      <c r="P300" s="686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7">
        <v>4680115885981</v>
      </c>
      <c r="E301" s="68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9"/>
      <c r="R301" s="689"/>
      <c r="S301" s="689"/>
      <c r="T301" s="69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5"/>
      <c r="B302" s="695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696"/>
      <c r="P302" s="692" t="s">
        <v>40</v>
      </c>
      <c r="Q302" s="693"/>
      <c r="R302" s="693"/>
      <c r="S302" s="693"/>
      <c r="T302" s="693"/>
      <c r="U302" s="693"/>
      <c r="V302" s="69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5"/>
      <c r="B303" s="695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696"/>
      <c r="P303" s="692" t="s">
        <v>40</v>
      </c>
      <c r="Q303" s="693"/>
      <c r="R303" s="693"/>
      <c r="S303" s="693"/>
      <c r="T303" s="693"/>
      <c r="U303" s="693"/>
      <c r="V303" s="69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6" t="s">
        <v>515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86"/>
      <c r="P304" s="686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7">
        <v>4680115886803</v>
      </c>
      <c r="E305" s="68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8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9"/>
      <c r="R305" s="689"/>
      <c r="S305" s="689"/>
      <c r="T305" s="690"/>
      <c r="U305" s="39" t="s">
        <v>46</v>
      </c>
      <c r="V305" s="39" t="s">
        <v>46</v>
      </c>
      <c r="W305" s="40" t="s">
        <v>0</v>
      </c>
      <c r="X305" s="58">
        <v>7.1999999999999993</v>
      </c>
      <c r="Y305" s="55">
        <f>IFERROR(IF(X305="",0,CEILING((X305/$H305),1)*$H305),"")</f>
        <v>7.2</v>
      </c>
      <c r="Z305" s="41">
        <f>IFERROR(IF(Y305=0,"",ROUNDUP(Y305/H305,0)*0.0059),"")</f>
        <v>2.3599999999999999E-2</v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7.8999999999999995</v>
      </c>
      <c r="BN305" s="78">
        <f>IFERROR(Y305*I305/H305,"0")</f>
        <v>7.9</v>
      </c>
      <c r="BO305" s="78">
        <f>IFERROR(1/J305*(X305/H305),"0")</f>
        <v>1.8518518518518514E-2</v>
      </c>
      <c r="BP305" s="78">
        <f>IFERROR(1/J305*(Y305/H305),"0")</f>
        <v>1.8518518518518517E-2</v>
      </c>
    </row>
    <row r="306" spans="1:68" x14ac:dyDescent="0.2">
      <c r="A306" s="695"/>
      <c r="B306" s="695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6"/>
      <c r="P306" s="692" t="s">
        <v>40</v>
      </c>
      <c r="Q306" s="693"/>
      <c r="R306" s="693"/>
      <c r="S306" s="693"/>
      <c r="T306" s="693"/>
      <c r="U306" s="693"/>
      <c r="V306" s="694"/>
      <c r="W306" s="42" t="s">
        <v>39</v>
      </c>
      <c r="X306" s="43">
        <f>IFERROR(X305/H305,"0")</f>
        <v>3.9999999999999996</v>
      </c>
      <c r="Y306" s="43">
        <f>IFERROR(Y305/H305,"0")</f>
        <v>4</v>
      </c>
      <c r="Z306" s="43">
        <f>IFERROR(IF(Z305="",0,Z305),"0")</f>
        <v>2.3599999999999999E-2</v>
      </c>
      <c r="AA306" s="67"/>
      <c r="AB306" s="67"/>
      <c r="AC306" s="67"/>
    </row>
    <row r="307" spans="1:68" x14ac:dyDescent="0.2">
      <c r="A307" s="695"/>
      <c r="B307" s="695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6"/>
      <c r="P307" s="692" t="s">
        <v>40</v>
      </c>
      <c r="Q307" s="693"/>
      <c r="R307" s="693"/>
      <c r="S307" s="693"/>
      <c r="T307" s="693"/>
      <c r="U307" s="693"/>
      <c r="V307" s="694"/>
      <c r="W307" s="42" t="s">
        <v>0</v>
      </c>
      <c r="X307" s="43">
        <f>IFERROR(SUM(X305:X305),"0")</f>
        <v>7.1999999999999993</v>
      </c>
      <c r="Y307" s="43">
        <f>IFERROR(SUM(Y305:Y305),"0")</f>
        <v>7.2</v>
      </c>
      <c r="Z307" s="42"/>
      <c r="AA307" s="67"/>
      <c r="AB307" s="67"/>
      <c r="AC307" s="67"/>
    </row>
    <row r="308" spans="1:68" ht="14.25" hidden="1" customHeight="1" x14ac:dyDescent="0.25">
      <c r="A308" s="686" t="s">
        <v>335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86"/>
      <c r="P308" s="686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7">
        <v>4680115886704</v>
      </c>
      <c r="E309" s="68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8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9"/>
      <c r="R309" s="689"/>
      <c r="S309" s="689"/>
      <c r="T309" s="69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7">
        <v>4680115886681</v>
      </c>
      <c r="E310" s="68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8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9"/>
      <c r="R310" s="689"/>
      <c r="S310" s="689"/>
      <c r="T310" s="690"/>
      <c r="U310" s="39" t="s">
        <v>46</v>
      </c>
      <c r="V310" s="39" t="s">
        <v>46</v>
      </c>
      <c r="W310" s="40" t="s">
        <v>0</v>
      </c>
      <c r="X310" s="58">
        <v>12</v>
      </c>
      <c r="Y310" s="55">
        <f>IFERROR(IF(X310="",0,CEILING((X310/$H310),1)*$H310),"")</f>
        <v>12.6</v>
      </c>
      <c r="Z310" s="41">
        <f>IFERROR(IF(Y310=0,"",ROUNDUP(Y310/H310,0)*0.0059),"")</f>
        <v>4.1299999999999996E-2</v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13.166666666666668</v>
      </c>
      <c r="BN310" s="78">
        <f>IFERROR(Y310*I310/H310,"0")</f>
        <v>13.825000000000001</v>
      </c>
      <c r="BO310" s="78">
        <f>IFERROR(1/J310*(X310/H310),"0")</f>
        <v>3.0864197530864192E-2</v>
      </c>
      <c r="BP310" s="78">
        <f>IFERROR(1/J310*(Y310/H310),"0")</f>
        <v>3.2407407407407406E-2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7">
        <v>4680115886735</v>
      </c>
      <c r="E311" s="68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8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9"/>
      <c r="R311" s="689"/>
      <c r="S311" s="689"/>
      <c r="T311" s="690"/>
      <c r="U311" s="39" t="s">
        <v>46</v>
      </c>
      <c r="V311" s="39" t="s">
        <v>46</v>
      </c>
      <c r="W311" s="40" t="s">
        <v>0</v>
      </c>
      <c r="X311" s="58">
        <v>2.5</v>
      </c>
      <c r="Y311" s="55">
        <f>IFERROR(IF(X311="",0,CEILING((X311/$H311),1)*$H311),"")</f>
        <v>2.7</v>
      </c>
      <c r="Z311" s="41">
        <f>IFERROR(IF(Y311=0,"",ROUNDUP(Y311/H311,0)*0.0059),"")</f>
        <v>1.77E-2</v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3.0277777777777777</v>
      </c>
      <c r="BN311" s="78">
        <f>IFERROR(Y311*I311/H311,"0")</f>
        <v>3.2700000000000005</v>
      </c>
      <c r="BO311" s="78">
        <f>IFERROR(1/J311*(X311/H311),"0")</f>
        <v>1.2860082304526748E-2</v>
      </c>
      <c r="BP311" s="78">
        <f>IFERROR(1/J311*(Y311/H311),"0")</f>
        <v>1.3888888888888888E-2</v>
      </c>
    </row>
    <row r="312" spans="1:68" x14ac:dyDescent="0.2">
      <c r="A312" s="695"/>
      <c r="B312" s="695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6"/>
      <c r="P312" s="692" t="s">
        <v>40</v>
      </c>
      <c r="Q312" s="693"/>
      <c r="R312" s="693"/>
      <c r="S312" s="693"/>
      <c r="T312" s="693"/>
      <c r="U312" s="693"/>
      <c r="V312" s="694"/>
      <c r="W312" s="42" t="s">
        <v>39</v>
      </c>
      <c r="X312" s="43">
        <f>IFERROR(X309/H309,"0")+IFERROR(X310/H310,"0")+IFERROR(X311/H311,"0")</f>
        <v>9.4444444444444429</v>
      </c>
      <c r="Y312" s="43">
        <f>IFERROR(Y309/H309,"0")+IFERROR(Y310/H310,"0")+IFERROR(Y311/H311,"0")</f>
        <v>10</v>
      </c>
      <c r="Z312" s="43">
        <f>IFERROR(IF(Z309="",0,Z309),"0")+IFERROR(IF(Z310="",0,Z310),"0")+IFERROR(IF(Z311="",0,Z311),"0")</f>
        <v>5.8999999999999997E-2</v>
      </c>
      <c r="AA312" s="67"/>
      <c r="AB312" s="67"/>
      <c r="AC312" s="67"/>
    </row>
    <row r="313" spans="1:68" x14ac:dyDescent="0.2">
      <c r="A313" s="695"/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6"/>
      <c r="P313" s="692" t="s">
        <v>40</v>
      </c>
      <c r="Q313" s="693"/>
      <c r="R313" s="693"/>
      <c r="S313" s="693"/>
      <c r="T313" s="693"/>
      <c r="U313" s="693"/>
      <c r="V313" s="694"/>
      <c r="W313" s="42" t="s">
        <v>0</v>
      </c>
      <c r="X313" s="43">
        <f>IFERROR(SUM(X309:X311),"0")</f>
        <v>14.5</v>
      </c>
      <c r="Y313" s="43">
        <f>IFERROR(SUM(Y309:Y311),"0")</f>
        <v>15.3</v>
      </c>
      <c r="Z313" s="42"/>
      <c r="AA313" s="67"/>
      <c r="AB313" s="67"/>
      <c r="AC313" s="67"/>
    </row>
    <row r="314" spans="1:68" ht="16.5" hidden="1" customHeight="1" x14ac:dyDescent="0.25">
      <c r="A314" s="685" t="s">
        <v>526</v>
      </c>
      <c r="B314" s="685"/>
      <c r="C314" s="685"/>
      <c r="D314" s="685"/>
      <c r="E314" s="685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5"/>
      <c r="AB314" s="65"/>
      <c r="AC314" s="79"/>
    </row>
    <row r="315" spans="1:68" ht="14.25" hidden="1" customHeight="1" x14ac:dyDescent="0.25">
      <c r="A315" s="686" t="s">
        <v>132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87">
        <v>4680115885837</v>
      </c>
      <c r="E316" s="68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8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9"/>
      <c r="R316" s="689"/>
      <c r="S316" s="689"/>
      <c r="T316" s="69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87">
        <v>4680115887237</v>
      </c>
      <c r="E317" s="68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85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9"/>
      <c r="R317" s="689"/>
      <c r="S317" s="689"/>
      <c r="T317" s="69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87">
        <v>4680115885806</v>
      </c>
      <c r="E318" s="68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9"/>
      <c r="R318" s="689"/>
      <c r="S318" s="689"/>
      <c r="T318" s="69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87">
        <v>4680115885844</v>
      </c>
      <c r="E319" s="68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8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9"/>
      <c r="R319" s="689"/>
      <c r="S319" s="689"/>
      <c r="T319" s="69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87">
        <v>4680115885820</v>
      </c>
      <c r="E320" s="68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8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9"/>
      <c r="R320" s="689"/>
      <c r="S320" s="689"/>
      <c r="T320" s="69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95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6"/>
      <c r="P321" s="692" t="s">
        <v>40</v>
      </c>
      <c r="Q321" s="693"/>
      <c r="R321" s="693"/>
      <c r="S321" s="693"/>
      <c r="T321" s="693"/>
      <c r="U321" s="693"/>
      <c r="V321" s="69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95"/>
      <c r="B322" s="695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6"/>
      <c r="P322" s="692" t="s">
        <v>40</v>
      </c>
      <c r="Q322" s="693"/>
      <c r="R322" s="693"/>
      <c r="S322" s="693"/>
      <c r="T322" s="693"/>
      <c r="U322" s="693"/>
      <c r="V322" s="69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85" t="s">
        <v>542</v>
      </c>
      <c r="B323" s="685"/>
      <c r="C323" s="685"/>
      <c r="D323" s="685"/>
      <c r="E323" s="685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5"/>
      <c r="AB323" s="65"/>
      <c r="AC323" s="79"/>
    </row>
    <row r="324" spans="1:68" ht="14.25" hidden="1" customHeight="1" x14ac:dyDescent="0.25">
      <c r="A324" s="686" t="s">
        <v>86</v>
      </c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86"/>
      <c r="P324" s="686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7">
        <v>4680115886186</v>
      </c>
      <c r="E325" s="68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9"/>
      <c r="R325" s="689"/>
      <c r="S325" s="689"/>
      <c r="T325" s="69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7">
        <v>4680115881228</v>
      </c>
      <c r="E326" s="68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9"/>
      <c r="R326" s="689"/>
      <c r="S326" s="689"/>
      <c r="T326" s="690"/>
      <c r="U326" s="39" t="s">
        <v>46</v>
      </c>
      <c r="V326" s="39" t="s">
        <v>46</v>
      </c>
      <c r="W326" s="40" t="s">
        <v>0</v>
      </c>
      <c r="X326" s="58">
        <v>48</v>
      </c>
      <c r="Y326" s="55">
        <f>IFERROR(IF(X326="",0,CEILING((X326/$H326),1)*$H326),"")</f>
        <v>48</v>
      </c>
      <c r="Z326" s="41">
        <f>IFERROR(IF(Y326=0,"",ROUNDUP(Y326/H326,0)*0.00651),"")</f>
        <v>0.13020000000000001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53.040000000000006</v>
      </c>
      <c r="BN326" s="78">
        <f>IFERROR(Y326*I326/H326,"0")</f>
        <v>53.040000000000006</v>
      </c>
      <c r="BO326" s="78">
        <f>IFERROR(1/J326*(X326/H326),"0")</f>
        <v>0.1098901098901099</v>
      </c>
      <c r="BP326" s="78">
        <f>IFERROR(1/J326*(Y326/H326),"0")</f>
        <v>0.1098901098901099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7">
        <v>4680115881211</v>
      </c>
      <c r="E327" s="68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9"/>
      <c r="R327" s="689"/>
      <c r="S327" s="689"/>
      <c r="T327" s="690"/>
      <c r="U327" s="39" t="s">
        <v>46</v>
      </c>
      <c r="V327" s="39" t="s">
        <v>46</v>
      </c>
      <c r="W327" s="40" t="s">
        <v>0</v>
      </c>
      <c r="X327" s="58">
        <v>200</v>
      </c>
      <c r="Y327" s="55">
        <f>IFERROR(IF(X327="",0,CEILING((X327/$H327),1)*$H327),"")</f>
        <v>201.6</v>
      </c>
      <c r="Z327" s="41">
        <f>IFERROR(IF(Y327=0,"",ROUNDUP(Y327/H327,0)*0.00651),"")</f>
        <v>0.54683999999999999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215</v>
      </c>
      <c r="BN327" s="78">
        <f>IFERROR(Y327*I327/H327,"0")</f>
        <v>216.72000000000003</v>
      </c>
      <c r="BO327" s="78">
        <f>IFERROR(1/J327*(X327/H327),"0")</f>
        <v>0.45787545787545797</v>
      </c>
      <c r="BP327" s="78">
        <f>IFERROR(1/J327*(Y327/H327),"0")</f>
        <v>0.46153846153846156</v>
      </c>
    </row>
    <row r="328" spans="1:68" x14ac:dyDescent="0.2">
      <c r="A328" s="695"/>
      <c r="B328" s="695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6"/>
      <c r="P328" s="692" t="s">
        <v>40</v>
      </c>
      <c r="Q328" s="693"/>
      <c r="R328" s="693"/>
      <c r="S328" s="693"/>
      <c r="T328" s="693"/>
      <c r="U328" s="693"/>
      <c r="V328" s="694"/>
      <c r="W328" s="42" t="s">
        <v>39</v>
      </c>
      <c r="X328" s="43">
        <f>IFERROR(X325/H325,"0")+IFERROR(X326/H326,"0")+IFERROR(X327/H327,"0")</f>
        <v>103.33333333333334</v>
      </c>
      <c r="Y328" s="43">
        <f>IFERROR(Y325/H325,"0")+IFERROR(Y326/H326,"0")+IFERROR(Y327/H327,"0")</f>
        <v>104</v>
      </c>
      <c r="Z328" s="43">
        <f>IFERROR(IF(Z325="",0,Z325),"0")+IFERROR(IF(Z326="",0,Z326),"0")+IFERROR(IF(Z327="",0,Z327),"0")</f>
        <v>0.67703999999999998</v>
      </c>
      <c r="AA328" s="67"/>
      <c r="AB328" s="67"/>
      <c r="AC328" s="67"/>
    </row>
    <row r="329" spans="1:68" x14ac:dyDescent="0.2">
      <c r="A329" s="695"/>
      <c r="B329" s="695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6"/>
      <c r="P329" s="692" t="s">
        <v>40</v>
      </c>
      <c r="Q329" s="693"/>
      <c r="R329" s="693"/>
      <c r="S329" s="693"/>
      <c r="T329" s="693"/>
      <c r="U329" s="693"/>
      <c r="V329" s="694"/>
      <c r="W329" s="42" t="s">
        <v>0</v>
      </c>
      <c r="X329" s="43">
        <f>IFERROR(SUM(X325:X327),"0")</f>
        <v>248</v>
      </c>
      <c r="Y329" s="43">
        <f>IFERROR(SUM(Y325:Y327),"0")</f>
        <v>249.6</v>
      </c>
      <c r="Z329" s="42"/>
      <c r="AA329" s="67"/>
      <c r="AB329" s="67"/>
      <c r="AC329" s="67"/>
    </row>
    <row r="330" spans="1:68" ht="16.5" hidden="1" customHeight="1" x14ac:dyDescent="0.25">
      <c r="A330" s="685" t="s">
        <v>551</v>
      </c>
      <c r="B330" s="685"/>
      <c r="C330" s="685"/>
      <c r="D330" s="685"/>
      <c r="E330" s="685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5"/>
      <c r="AB330" s="65"/>
      <c r="AC330" s="79"/>
    </row>
    <row r="331" spans="1:68" ht="14.25" hidden="1" customHeight="1" x14ac:dyDescent="0.25">
      <c r="A331" s="686" t="s">
        <v>77</v>
      </c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7">
        <v>4680115888319</v>
      </c>
      <c r="E332" s="68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9"/>
      <c r="R332" s="689"/>
      <c r="S332" s="689"/>
      <c r="T332" s="69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7">
        <v>4680115884700</v>
      </c>
      <c r="E333" s="68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9"/>
      <c r="R333" s="689"/>
      <c r="S333" s="689"/>
      <c r="T333" s="69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87">
        <v>4680115880344</v>
      </c>
      <c r="E334" s="68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9"/>
      <c r="R334" s="689"/>
      <c r="S334" s="689"/>
      <c r="T334" s="69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7">
        <v>4680115886919</v>
      </c>
      <c r="E335" s="68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9"/>
      <c r="R335" s="689"/>
      <c r="S335" s="689"/>
      <c r="T335" s="69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7">
        <v>4680115883970</v>
      </c>
      <c r="E336" s="68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9"/>
      <c r="R336" s="689"/>
      <c r="S336" s="689"/>
      <c r="T336" s="69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95"/>
      <c r="B337" s="695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6"/>
      <c r="P337" s="692" t="s">
        <v>40</v>
      </c>
      <c r="Q337" s="693"/>
      <c r="R337" s="693"/>
      <c r="S337" s="693"/>
      <c r="T337" s="693"/>
      <c r="U337" s="693"/>
      <c r="V337" s="69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95"/>
      <c r="B338" s="695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6"/>
      <c r="P338" s="692" t="s">
        <v>40</v>
      </c>
      <c r="Q338" s="693"/>
      <c r="R338" s="693"/>
      <c r="S338" s="693"/>
      <c r="T338" s="693"/>
      <c r="U338" s="693"/>
      <c r="V338" s="69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86" t="s">
        <v>86</v>
      </c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87">
        <v>4680115884618</v>
      </c>
      <c r="E340" s="68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9"/>
      <c r="R340" s="689"/>
      <c r="S340" s="689"/>
      <c r="T340" s="69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7">
        <v>4680115887114</v>
      </c>
      <c r="E341" s="68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8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9"/>
      <c r="R341" s="689"/>
      <c r="S341" s="689"/>
      <c r="T341" s="69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95"/>
      <c r="B342" s="695"/>
      <c r="C342" s="695"/>
      <c r="D342" s="695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6"/>
      <c r="P342" s="692" t="s">
        <v>40</v>
      </c>
      <c r="Q342" s="693"/>
      <c r="R342" s="693"/>
      <c r="S342" s="693"/>
      <c r="T342" s="693"/>
      <c r="U342" s="693"/>
      <c r="V342" s="69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95"/>
      <c r="B343" s="695"/>
      <c r="C343" s="695"/>
      <c r="D343" s="695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6"/>
      <c r="P343" s="692" t="s">
        <v>40</v>
      </c>
      <c r="Q343" s="693"/>
      <c r="R343" s="693"/>
      <c r="S343" s="693"/>
      <c r="T343" s="693"/>
      <c r="U343" s="693"/>
      <c r="V343" s="69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85" t="s">
        <v>572</v>
      </c>
      <c r="B344" s="685"/>
      <c r="C344" s="685"/>
      <c r="D344" s="685"/>
      <c r="E344" s="685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5"/>
      <c r="AB344" s="65"/>
      <c r="AC344" s="79"/>
    </row>
    <row r="345" spans="1:68" ht="14.25" hidden="1" customHeight="1" x14ac:dyDescent="0.25">
      <c r="A345" s="686" t="s">
        <v>132</v>
      </c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  <c r="L345" s="686"/>
      <c r="M345" s="686"/>
      <c r="N345" s="686"/>
      <c r="O345" s="686"/>
      <c r="P345" s="686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7">
        <v>4680115887947</v>
      </c>
      <c r="E346" s="68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9"/>
      <c r="R346" s="689"/>
      <c r="S346" s="689"/>
      <c r="T346" s="690"/>
      <c r="U346" s="39" t="s">
        <v>46</v>
      </c>
      <c r="V346" s="39" t="s">
        <v>46</v>
      </c>
      <c r="W346" s="40" t="s">
        <v>0</v>
      </c>
      <c r="X346" s="58">
        <v>50</v>
      </c>
      <c r="Y346" s="55">
        <f>IFERROR(IF(X346="",0,CEILING((X346/$H346),1)*$H346),"")</f>
        <v>54.6</v>
      </c>
      <c r="Z346" s="41">
        <f>IFERROR(IF(Y346=0,"",ROUNDUP(Y346/H346,0)*0.01898),"")</f>
        <v>0.13286000000000001</v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52.628205128205138</v>
      </c>
      <c r="BN346" s="78">
        <f>IFERROR(Y346*I346/H346,"0")</f>
        <v>57.470000000000013</v>
      </c>
      <c r="BO346" s="78">
        <f>IFERROR(1/J346*(X346/H346),"0")</f>
        <v>0.10016025641025642</v>
      </c>
      <c r="BP346" s="78">
        <f>IFERROR(1/J346*(Y346/H346),"0")</f>
        <v>0.109375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7">
        <v>4680115887978</v>
      </c>
      <c r="E347" s="68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8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9"/>
      <c r="R347" s="689"/>
      <c r="S347" s="689"/>
      <c r="T347" s="690"/>
      <c r="U347" s="39" t="s">
        <v>46</v>
      </c>
      <c r="V347" s="39" t="s">
        <v>46</v>
      </c>
      <c r="W347" s="40" t="s">
        <v>0</v>
      </c>
      <c r="X347" s="58">
        <v>150</v>
      </c>
      <c r="Y347" s="55">
        <f>IFERROR(IF(X347="",0,CEILING((X347/$H347),1)*$H347),"")</f>
        <v>156</v>
      </c>
      <c r="Z347" s="41">
        <f>IFERROR(IF(Y347=0,"",ROUNDUP(Y347/H347,0)*0.01898),"")</f>
        <v>0.37959999999999999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157.88461538461542</v>
      </c>
      <c r="BN347" s="78">
        <f>IFERROR(Y347*I347/H347,"0")</f>
        <v>164.20000000000005</v>
      </c>
      <c r="BO347" s="78">
        <f>IFERROR(1/J347*(X347/H347),"0")</f>
        <v>0.30048076923076922</v>
      </c>
      <c r="BP347" s="78">
        <f>IFERROR(1/J347*(Y347/H347),"0")</f>
        <v>0.3125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7">
        <v>4680115887992</v>
      </c>
      <c r="E348" s="68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8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9"/>
      <c r="R348" s="689"/>
      <c r="S348" s="689"/>
      <c r="T348" s="690"/>
      <c r="U348" s="39" t="s">
        <v>46</v>
      </c>
      <c r="V348" s="39" t="s">
        <v>46</v>
      </c>
      <c r="W348" s="40" t="s">
        <v>0</v>
      </c>
      <c r="X348" s="58">
        <v>150</v>
      </c>
      <c r="Y348" s="55">
        <f>IFERROR(IF(X348="",0,CEILING((X348/$H348),1)*$H348),"")</f>
        <v>156</v>
      </c>
      <c r="Z348" s="41">
        <f>IFERROR(IF(Y348=0,"",ROUNDUP(Y348/H348,0)*0.01898),"")</f>
        <v>0.37959999999999999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157.88461538461542</v>
      </c>
      <c r="BN348" s="78">
        <f>IFERROR(Y348*I348/H348,"0")</f>
        <v>164.20000000000005</v>
      </c>
      <c r="BO348" s="78">
        <f>IFERROR(1/J348*(X348/H348),"0")</f>
        <v>0.30048076923076922</v>
      </c>
      <c r="BP348" s="78">
        <f>IFERROR(1/J348*(Y348/H348),"0")</f>
        <v>0.3125</v>
      </c>
    </row>
    <row r="349" spans="1:68" x14ac:dyDescent="0.2">
      <c r="A349" s="695"/>
      <c r="B349" s="695"/>
      <c r="C349" s="695"/>
      <c r="D349" s="695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6"/>
      <c r="P349" s="692" t="s">
        <v>40</v>
      </c>
      <c r="Q349" s="693"/>
      <c r="R349" s="693"/>
      <c r="S349" s="693"/>
      <c r="T349" s="693"/>
      <c r="U349" s="693"/>
      <c r="V349" s="694"/>
      <c r="W349" s="42" t="s">
        <v>39</v>
      </c>
      <c r="X349" s="43">
        <f>IFERROR(X346/H346,"0")+IFERROR(X347/H347,"0")+IFERROR(X348/H348,"0")</f>
        <v>44.871794871794876</v>
      </c>
      <c r="Y349" s="43">
        <f>IFERROR(Y346/H346,"0")+IFERROR(Y347/H347,"0")+IFERROR(Y348/H348,"0")</f>
        <v>47</v>
      </c>
      <c r="Z349" s="43">
        <f>IFERROR(IF(Z346="",0,Z346),"0")+IFERROR(IF(Z347="",0,Z347),"0")+IFERROR(IF(Z348="",0,Z348),"0")</f>
        <v>0.89206000000000008</v>
      </c>
      <c r="AA349" s="67"/>
      <c r="AB349" s="67"/>
      <c r="AC349" s="67"/>
    </row>
    <row r="350" spans="1:68" x14ac:dyDescent="0.2">
      <c r="A350" s="695"/>
      <c r="B350" s="695"/>
      <c r="C350" s="695"/>
      <c r="D350" s="695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6"/>
      <c r="P350" s="692" t="s">
        <v>40</v>
      </c>
      <c r="Q350" s="693"/>
      <c r="R350" s="693"/>
      <c r="S350" s="693"/>
      <c r="T350" s="693"/>
      <c r="U350" s="693"/>
      <c r="V350" s="694"/>
      <c r="W350" s="42" t="s">
        <v>0</v>
      </c>
      <c r="X350" s="43">
        <f>IFERROR(SUM(X346:X348),"0")</f>
        <v>350</v>
      </c>
      <c r="Y350" s="43">
        <f>IFERROR(SUM(Y346:Y348),"0")</f>
        <v>366.6</v>
      </c>
      <c r="Z350" s="42"/>
      <c r="AA350" s="67"/>
      <c r="AB350" s="67"/>
      <c r="AC350" s="67"/>
    </row>
    <row r="351" spans="1:68" ht="16.5" hidden="1" customHeight="1" x14ac:dyDescent="0.25">
      <c r="A351" s="685" t="s">
        <v>581</v>
      </c>
      <c r="B351" s="685"/>
      <c r="C351" s="685"/>
      <c r="D351" s="685"/>
      <c r="E351" s="685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5"/>
      <c r="AB351" s="65"/>
      <c r="AC351" s="79"/>
    </row>
    <row r="352" spans="1:68" ht="14.25" hidden="1" customHeight="1" x14ac:dyDescent="0.25">
      <c r="A352" s="686" t="s">
        <v>132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6"/>
      <c r="N352" s="686"/>
      <c r="O352" s="686"/>
      <c r="P352" s="686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7">
        <v>4607091386004</v>
      </c>
      <c r="E353" s="68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8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9"/>
      <c r="R353" s="689"/>
      <c r="S353" s="689"/>
      <c r="T353" s="690"/>
      <c r="U353" s="39" t="s">
        <v>46</v>
      </c>
      <c r="V353" s="39" t="s">
        <v>46</v>
      </c>
      <c r="W353" s="40" t="s">
        <v>0</v>
      </c>
      <c r="X353" s="58">
        <v>80</v>
      </c>
      <c r="Y353" s="55">
        <f t="shared" ref="Y353:Y358" si="53">IFERROR(IF(X353="",0,CEILING((X353/$H353),1)*$H353),"")</f>
        <v>86.4</v>
      </c>
      <c r="Z353" s="41">
        <f>IFERROR(IF(Y353=0,"",ROUNDUP(Y353/H353,0)*0.01898),"")</f>
        <v>0.15184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83.037037037037038</v>
      </c>
      <c r="BN353" s="78">
        <f t="shared" ref="BN353:BN358" si="55">IFERROR(Y353*I353/H353,"0")</f>
        <v>89.68</v>
      </c>
      <c r="BO353" s="78">
        <f t="shared" ref="BO353:BO358" si="56">IFERROR(1/J353*(X353/H353),"0")</f>
        <v>0.11574074074074073</v>
      </c>
      <c r="BP353" s="78">
        <f t="shared" ref="BP353:BP358" si="57">IFERROR(1/J353*(Y353/H353),"0")</f>
        <v>0.125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87">
        <v>4680115887190</v>
      </c>
      <c r="E354" s="68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87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9"/>
      <c r="R354" s="689"/>
      <c r="S354" s="689"/>
      <c r="T354" s="69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87">
        <v>4680115887138</v>
      </c>
      <c r="E355" s="68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87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9"/>
      <c r="R355" s="689"/>
      <c r="S355" s="689"/>
      <c r="T355" s="69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87">
        <v>4680115885554</v>
      </c>
      <c r="E356" s="68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8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9"/>
      <c r="R356" s="689"/>
      <c r="S356" s="689"/>
      <c r="T356" s="69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87">
        <v>4680115887220</v>
      </c>
      <c r="E357" s="68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87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9"/>
      <c r="R357" s="689"/>
      <c r="S357" s="689"/>
      <c r="T357" s="69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87">
        <v>4680115885608</v>
      </c>
      <c r="E358" s="68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9"/>
      <c r="R358" s="689"/>
      <c r="S358" s="689"/>
      <c r="T358" s="69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x14ac:dyDescent="0.2">
      <c r="A359" s="695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6"/>
      <c r="P359" s="692" t="s">
        <v>40</v>
      </c>
      <c r="Q359" s="693"/>
      <c r="R359" s="693"/>
      <c r="S359" s="693"/>
      <c r="T359" s="693"/>
      <c r="U359" s="693"/>
      <c r="V359" s="694"/>
      <c r="W359" s="42" t="s">
        <v>39</v>
      </c>
      <c r="X359" s="43">
        <f>IFERROR(X353/H353,"0")+IFERROR(X354/H354,"0")+IFERROR(X355/H355,"0")+IFERROR(X356/H356,"0")+IFERROR(X357/H357,"0")+IFERROR(X358/H358,"0")</f>
        <v>7.4074074074074066</v>
      </c>
      <c r="Y359" s="43">
        <f>IFERROR(Y353/H353,"0")+IFERROR(Y354/H354,"0")+IFERROR(Y355/H355,"0")+IFERROR(Y356/H356,"0")+IFERROR(Y357/H357,"0")+IFERROR(Y358/H358,"0")</f>
        <v>8</v>
      </c>
      <c r="Z359" s="43">
        <f>IFERROR(IF(Z353="",0,Z353),"0")+IFERROR(IF(Z354="",0,Z354),"0")+IFERROR(IF(Z355="",0,Z355),"0")+IFERROR(IF(Z356="",0,Z356),"0")+IFERROR(IF(Z357="",0,Z357),"0")+IFERROR(IF(Z358="",0,Z358),"0")</f>
        <v>0.15184</v>
      </c>
      <c r="AA359" s="67"/>
      <c r="AB359" s="67"/>
      <c r="AC359" s="67"/>
    </row>
    <row r="360" spans="1:68" x14ac:dyDescent="0.2">
      <c r="A360" s="695"/>
      <c r="B360" s="695"/>
      <c r="C360" s="695"/>
      <c r="D360" s="695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6"/>
      <c r="P360" s="692" t="s">
        <v>40</v>
      </c>
      <c r="Q360" s="693"/>
      <c r="R360" s="693"/>
      <c r="S360" s="693"/>
      <c r="T360" s="693"/>
      <c r="U360" s="693"/>
      <c r="V360" s="694"/>
      <c r="W360" s="42" t="s">
        <v>0</v>
      </c>
      <c r="X360" s="43">
        <f>IFERROR(SUM(X353:X358),"0")</f>
        <v>80</v>
      </c>
      <c r="Y360" s="43">
        <f>IFERROR(SUM(Y353:Y358),"0")</f>
        <v>86.4</v>
      </c>
      <c r="Z360" s="42"/>
      <c r="AA360" s="67"/>
      <c r="AB360" s="67"/>
      <c r="AC360" s="67"/>
    </row>
    <row r="361" spans="1:68" ht="14.25" hidden="1" customHeight="1" x14ac:dyDescent="0.25">
      <c r="A361" s="686" t="s">
        <v>77</v>
      </c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86"/>
      <c r="P361" s="686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87">
        <v>4607091387193</v>
      </c>
      <c r="E362" s="68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9"/>
      <c r="R362" s="689"/>
      <c r="S362" s="689"/>
      <c r="T362" s="69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87">
        <v>4607091387230</v>
      </c>
      <c r="E363" s="68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8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9"/>
      <c r="R363" s="689"/>
      <c r="S363" s="689"/>
      <c r="T363" s="69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87">
        <v>4607091387292</v>
      </c>
      <c r="E364" s="68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9"/>
      <c r="R364" s="689"/>
      <c r="S364" s="689"/>
      <c r="T364" s="69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87">
        <v>4607091387285</v>
      </c>
      <c r="E365" s="68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9"/>
      <c r="R365" s="689"/>
      <c r="S365" s="689"/>
      <c r="T365" s="69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7">
        <v>4607091389845</v>
      </c>
      <c r="E366" s="68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9"/>
      <c r="R366" s="689"/>
      <c r="S366" s="689"/>
      <c r="T366" s="690"/>
      <c r="U366" s="39" t="s">
        <v>46</v>
      </c>
      <c r="V366" s="39" t="s">
        <v>46</v>
      </c>
      <c r="W366" s="40" t="s">
        <v>0</v>
      </c>
      <c r="X366" s="58">
        <v>140</v>
      </c>
      <c r="Y366" s="55">
        <f t="shared" si="58"/>
        <v>140.70000000000002</v>
      </c>
      <c r="Z366" s="41">
        <f>IFERROR(IF(Y366=0,"",ROUNDUP(Y366/H366,0)*0.00502),"")</f>
        <v>0.33634000000000003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146.66666666666666</v>
      </c>
      <c r="BN366" s="78">
        <f t="shared" si="60"/>
        <v>147.40000000000003</v>
      </c>
      <c r="BO366" s="78">
        <f t="shared" si="61"/>
        <v>0.28490028490028491</v>
      </c>
      <c r="BP366" s="78">
        <f t="shared" si="62"/>
        <v>0.28632478632478636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7">
        <v>4680115887442</v>
      </c>
      <c r="E367" s="68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8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9"/>
      <c r="R367" s="689"/>
      <c r="S367" s="689"/>
      <c r="T367" s="69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7">
        <v>4607091383836</v>
      </c>
      <c r="E368" s="68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9"/>
      <c r="R368" s="689"/>
      <c r="S368" s="689"/>
      <c r="T368" s="690"/>
      <c r="U368" s="39" t="s">
        <v>46</v>
      </c>
      <c r="V368" s="39" t="s">
        <v>46</v>
      </c>
      <c r="W368" s="40" t="s">
        <v>0</v>
      </c>
      <c r="X368" s="58">
        <v>36</v>
      </c>
      <c r="Y368" s="55">
        <f t="shared" si="58"/>
        <v>36</v>
      </c>
      <c r="Z368" s="41">
        <f>IFERROR(IF(Y368=0,"",ROUNDUP(Y368/H368,0)*0.00651),"")</f>
        <v>0.13020000000000001</v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40.559999999999995</v>
      </c>
      <c r="BN368" s="78">
        <f t="shared" si="60"/>
        <v>40.559999999999995</v>
      </c>
      <c r="BO368" s="78">
        <f t="shared" si="61"/>
        <v>0.1098901098901099</v>
      </c>
      <c r="BP368" s="78">
        <f t="shared" si="62"/>
        <v>0.1098901098901099</v>
      </c>
    </row>
    <row r="369" spans="1:68" x14ac:dyDescent="0.2">
      <c r="A369" s="695"/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6"/>
      <c r="P369" s="692" t="s">
        <v>40</v>
      </c>
      <c r="Q369" s="693"/>
      <c r="R369" s="693"/>
      <c r="S369" s="693"/>
      <c r="T369" s="693"/>
      <c r="U369" s="693"/>
      <c r="V369" s="694"/>
      <c r="W369" s="42" t="s">
        <v>39</v>
      </c>
      <c r="X369" s="43">
        <f>IFERROR(X362/H362,"0")+IFERROR(X363/H363,"0")+IFERROR(X364/H364,"0")+IFERROR(X365/H365,"0")+IFERROR(X366/H366,"0")+IFERROR(X367/H367,"0")+IFERROR(X368/H368,"0")</f>
        <v>86.666666666666657</v>
      </c>
      <c r="Y369" s="43">
        <f>IFERROR(Y362/H362,"0")+IFERROR(Y363/H363,"0")+IFERROR(Y364/H364,"0")+IFERROR(Y365/H365,"0")+IFERROR(Y366/H366,"0")+IFERROR(Y367/H367,"0")+IFERROR(Y368/H368,"0")</f>
        <v>87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0.46654000000000007</v>
      </c>
      <c r="AA369" s="67"/>
      <c r="AB369" s="67"/>
      <c r="AC369" s="67"/>
    </row>
    <row r="370" spans="1:68" x14ac:dyDescent="0.2">
      <c r="A370" s="695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6"/>
      <c r="P370" s="692" t="s">
        <v>40</v>
      </c>
      <c r="Q370" s="693"/>
      <c r="R370" s="693"/>
      <c r="S370" s="693"/>
      <c r="T370" s="693"/>
      <c r="U370" s="693"/>
      <c r="V370" s="694"/>
      <c r="W370" s="42" t="s">
        <v>0</v>
      </c>
      <c r="X370" s="43">
        <f>IFERROR(SUM(X362:X368),"0")</f>
        <v>176</v>
      </c>
      <c r="Y370" s="43">
        <f>IFERROR(SUM(Y362:Y368),"0")</f>
        <v>176.70000000000002</v>
      </c>
      <c r="Z370" s="42"/>
      <c r="AA370" s="67"/>
      <c r="AB370" s="67"/>
      <c r="AC370" s="67"/>
    </row>
    <row r="371" spans="1:68" ht="14.25" hidden="1" customHeight="1" x14ac:dyDescent="0.25">
      <c r="A371" s="686" t="s">
        <v>86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6"/>
      <c r="N371" s="686"/>
      <c r="O371" s="686"/>
      <c r="P371" s="686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87">
        <v>4607091387766</v>
      </c>
      <c r="E372" s="68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9"/>
      <c r="R372" s="689"/>
      <c r="S372" s="689"/>
      <c r="T372" s="69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87">
        <v>4607091387957</v>
      </c>
      <c r="E373" s="68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8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9"/>
      <c r="R373" s="689"/>
      <c r="S373" s="689"/>
      <c r="T373" s="69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87">
        <v>4607091387964</v>
      </c>
      <c r="E374" s="68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8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9"/>
      <c r="R374" s="689"/>
      <c r="S374" s="689"/>
      <c r="T374" s="69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87">
        <v>4680115884588</v>
      </c>
      <c r="E375" s="68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9"/>
      <c r="R375" s="689"/>
      <c r="S375" s="689"/>
      <c r="T375" s="69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95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6"/>
      <c r="P376" s="692" t="s">
        <v>40</v>
      </c>
      <c r="Q376" s="693"/>
      <c r="R376" s="693"/>
      <c r="S376" s="693"/>
      <c r="T376" s="693"/>
      <c r="U376" s="693"/>
      <c r="V376" s="69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95"/>
      <c r="B377" s="695"/>
      <c r="C377" s="695"/>
      <c r="D377" s="695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6"/>
      <c r="P377" s="692" t="s">
        <v>40</v>
      </c>
      <c r="Q377" s="693"/>
      <c r="R377" s="693"/>
      <c r="S377" s="693"/>
      <c r="T377" s="693"/>
      <c r="U377" s="693"/>
      <c r="V377" s="69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86" t="s">
        <v>184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86"/>
      <c r="P378" s="686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7">
        <v>4607091380880</v>
      </c>
      <c r="E379" s="68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8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9"/>
      <c r="R379" s="689"/>
      <c r="S379" s="689"/>
      <c r="T379" s="690"/>
      <c r="U379" s="39" t="s">
        <v>46</v>
      </c>
      <c r="V379" s="39" t="s">
        <v>46</v>
      </c>
      <c r="W379" s="40" t="s">
        <v>0</v>
      </c>
      <c r="X379" s="58">
        <v>190</v>
      </c>
      <c r="Y379" s="55">
        <f>IFERROR(IF(X379="",0,CEILING((X379/$H379),1)*$H379),"")</f>
        <v>193.20000000000002</v>
      </c>
      <c r="Z379" s="41">
        <f>IFERROR(IF(Y379=0,"",ROUNDUP(Y379/H379,0)*0.01898),"")</f>
        <v>0.43653999999999998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201.17380952380952</v>
      </c>
      <c r="BN379" s="78">
        <f>IFERROR(Y379*I379/H379,"0")</f>
        <v>204.56200000000001</v>
      </c>
      <c r="BO379" s="78">
        <f>IFERROR(1/J379*(X379/H379),"0")</f>
        <v>0.35342261904761901</v>
      </c>
      <c r="BP379" s="78">
        <f>IFERROR(1/J379*(Y379/H379),"0")</f>
        <v>0.359375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7">
        <v>4607091384482</v>
      </c>
      <c r="E380" s="68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8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9"/>
      <c r="R380" s="689"/>
      <c r="S380" s="689"/>
      <c r="T380" s="690"/>
      <c r="U380" s="39" t="s">
        <v>46</v>
      </c>
      <c r="V380" s="39" t="s">
        <v>46</v>
      </c>
      <c r="W380" s="40" t="s">
        <v>0</v>
      </c>
      <c r="X380" s="58">
        <v>350</v>
      </c>
      <c r="Y380" s="55">
        <f>IFERROR(IF(X380="",0,CEILING((X380/$H380),1)*$H380),"")</f>
        <v>351</v>
      </c>
      <c r="Z380" s="41">
        <f>IFERROR(IF(Y380=0,"",ROUNDUP(Y380/H380,0)*0.01898),"")</f>
        <v>0.85409999999999997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372.16666666666669</v>
      </c>
      <c r="BN380" s="78">
        <f>IFERROR(Y380*I380/H380,"0")</f>
        <v>373.23</v>
      </c>
      <c r="BO380" s="78">
        <f>IFERROR(1/J380*(X380/H380),"0")</f>
        <v>0.70112179487179493</v>
      </c>
      <c r="BP380" s="78">
        <f>IFERROR(1/J380*(Y380/H380),"0")</f>
        <v>0.703125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7">
        <v>4607091380897</v>
      </c>
      <c r="E381" s="68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9"/>
      <c r="R381" s="689"/>
      <c r="S381" s="689"/>
      <c r="T381" s="690"/>
      <c r="U381" s="39" t="s">
        <v>46</v>
      </c>
      <c r="V381" s="39" t="s">
        <v>46</v>
      </c>
      <c r="W381" s="40" t="s">
        <v>0</v>
      </c>
      <c r="X381" s="58">
        <v>60</v>
      </c>
      <c r="Y381" s="55">
        <f>IFERROR(IF(X381="",0,CEILING((X381/$H381),1)*$H381),"")</f>
        <v>67.2</v>
      </c>
      <c r="Z381" s="41">
        <f>IFERROR(IF(Y381=0,"",ROUNDUP(Y381/H381,0)*0.01898),"")</f>
        <v>0.15184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63.528571428571425</v>
      </c>
      <c r="BN381" s="78">
        <f>IFERROR(Y381*I381/H381,"0")</f>
        <v>71.152000000000001</v>
      </c>
      <c r="BO381" s="78">
        <f>IFERROR(1/J381*(X381/H381),"0")</f>
        <v>0.11160714285714285</v>
      </c>
      <c r="BP381" s="78">
        <f>IFERROR(1/J381*(Y381/H381),"0")</f>
        <v>0.125</v>
      </c>
    </row>
    <row r="382" spans="1:68" x14ac:dyDescent="0.2">
      <c r="A382" s="695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6"/>
      <c r="P382" s="692" t="s">
        <v>40</v>
      </c>
      <c r="Q382" s="693"/>
      <c r="R382" s="693"/>
      <c r="S382" s="693"/>
      <c r="T382" s="693"/>
      <c r="U382" s="693"/>
      <c r="V382" s="694"/>
      <c r="W382" s="42" t="s">
        <v>39</v>
      </c>
      <c r="X382" s="43">
        <f>IFERROR(X379/H379,"0")+IFERROR(X380/H380,"0")+IFERROR(X381/H381,"0")</f>
        <v>74.633699633699635</v>
      </c>
      <c r="Y382" s="43">
        <f>IFERROR(Y379/H379,"0")+IFERROR(Y380/H380,"0")+IFERROR(Y381/H381,"0")</f>
        <v>76</v>
      </c>
      <c r="Z382" s="43">
        <f>IFERROR(IF(Z379="",0,Z379),"0")+IFERROR(IF(Z380="",0,Z380),"0")+IFERROR(IF(Z381="",0,Z381),"0")</f>
        <v>1.44248</v>
      </c>
      <c r="AA382" s="67"/>
      <c r="AB382" s="67"/>
      <c r="AC382" s="67"/>
    </row>
    <row r="383" spans="1:68" x14ac:dyDescent="0.2">
      <c r="A383" s="695"/>
      <c r="B383" s="695"/>
      <c r="C383" s="695"/>
      <c r="D383" s="695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6"/>
      <c r="P383" s="692" t="s">
        <v>40</v>
      </c>
      <c r="Q383" s="693"/>
      <c r="R383" s="693"/>
      <c r="S383" s="693"/>
      <c r="T383" s="693"/>
      <c r="U383" s="693"/>
      <c r="V383" s="694"/>
      <c r="W383" s="42" t="s">
        <v>0</v>
      </c>
      <c r="X383" s="43">
        <f>IFERROR(SUM(X379:X381),"0")</f>
        <v>600</v>
      </c>
      <c r="Y383" s="43">
        <f>IFERROR(SUM(Y379:Y381),"0")</f>
        <v>611.40000000000009</v>
      </c>
      <c r="Z383" s="42"/>
      <c r="AA383" s="67"/>
      <c r="AB383" s="67"/>
      <c r="AC383" s="67"/>
    </row>
    <row r="384" spans="1:68" ht="14.25" hidden="1" customHeight="1" x14ac:dyDescent="0.25">
      <c r="A384" s="686" t="s">
        <v>107</v>
      </c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  <c r="L384" s="686"/>
      <c r="M384" s="686"/>
      <c r="N384" s="686"/>
      <c r="O384" s="686"/>
      <c r="P384" s="686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87">
        <v>4607091388381</v>
      </c>
      <c r="E385" s="68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8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9"/>
      <c r="R385" s="689"/>
      <c r="S385" s="689"/>
      <c r="T385" s="69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87">
        <v>4607091388374</v>
      </c>
      <c r="E386" s="68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8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9"/>
      <c r="R386" s="689"/>
      <c r="S386" s="689"/>
      <c r="T386" s="69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7">
        <v>4607091383102</v>
      </c>
      <c r="E387" s="68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8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9"/>
      <c r="R387" s="689"/>
      <c r="S387" s="689"/>
      <c r="T387" s="690"/>
      <c r="U387" s="39" t="s">
        <v>46</v>
      </c>
      <c r="V387" s="39" t="s">
        <v>46</v>
      </c>
      <c r="W387" s="40" t="s">
        <v>0</v>
      </c>
      <c r="X387" s="58">
        <v>170</v>
      </c>
      <c r="Y387" s="55">
        <f>IFERROR(IF(X387="",0,CEILING((X387/$H387),1)*$H387),"")</f>
        <v>170.85</v>
      </c>
      <c r="Z387" s="41">
        <f>IFERROR(IF(Y387=0,"",ROUNDUP(Y387/H387,0)*0.00651),"")</f>
        <v>0.43617</v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197.00000000000003</v>
      </c>
      <c r="BN387" s="78">
        <f>IFERROR(Y387*I387/H387,"0")</f>
        <v>197.98500000000001</v>
      </c>
      <c r="BO387" s="78">
        <f>IFERROR(1/J387*(X387/H387),"0")</f>
        <v>0.36630036630036633</v>
      </c>
      <c r="BP387" s="78">
        <f>IFERROR(1/J387*(Y387/H387),"0")</f>
        <v>0.36813186813186816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7">
        <v>4607091388404</v>
      </c>
      <c r="E388" s="68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8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9"/>
      <c r="R388" s="689"/>
      <c r="S388" s="689"/>
      <c r="T388" s="690"/>
      <c r="U388" s="39" t="s">
        <v>46</v>
      </c>
      <c r="V388" s="39" t="s">
        <v>46</v>
      </c>
      <c r="W388" s="40" t="s">
        <v>0</v>
      </c>
      <c r="X388" s="58">
        <v>272</v>
      </c>
      <c r="Y388" s="55">
        <f>IFERROR(IF(X388="",0,CEILING((X388/$H388),1)*$H388),"")</f>
        <v>272.84999999999997</v>
      </c>
      <c r="Z388" s="41">
        <f>IFERROR(IF(Y388=0,"",ROUNDUP(Y388/H388,0)*0.00651),"")</f>
        <v>0.69657000000000002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307.20000000000005</v>
      </c>
      <c r="BN388" s="78">
        <f>IFERROR(Y388*I388/H388,"0")</f>
        <v>308.15999999999997</v>
      </c>
      <c r="BO388" s="78">
        <f>IFERROR(1/J388*(X388/H388),"0")</f>
        <v>0.58608058608058611</v>
      </c>
      <c r="BP388" s="78">
        <f>IFERROR(1/J388*(Y388/H388),"0")</f>
        <v>0.58791208791208793</v>
      </c>
    </row>
    <row r="389" spans="1:68" x14ac:dyDescent="0.2">
      <c r="A389" s="695"/>
      <c r="B389" s="695"/>
      <c r="C389" s="695"/>
      <c r="D389" s="695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6"/>
      <c r="P389" s="692" t="s">
        <v>40</v>
      </c>
      <c r="Q389" s="693"/>
      <c r="R389" s="693"/>
      <c r="S389" s="693"/>
      <c r="T389" s="693"/>
      <c r="U389" s="693"/>
      <c r="V389" s="694"/>
      <c r="W389" s="42" t="s">
        <v>39</v>
      </c>
      <c r="X389" s="43">
        <f>IFERROR(X385/H385,"0")+IFERROR(X386/H386,"0")+IFERROR(X387/H387,"0")+IFERROR(X388/H388,"0")</f>
        <v>173.33333333333334</v>
      </c>
      <c r="Y389" s="43">
        <f>IFERROR(Y385/H385,"0")+IFERROR(Y386/H386,"0")+IFERROR(Y387/H387,"0")+IFERROR(Y388/H388,"0")</f>
        <v>174</v>
      </c>
      <c r="Z389" s="43">
        <f>IFERROR(IF(Z385="",0,Z385),"0")+IFERROR(IF(Z386="",0,Z386),"0")+IFERROR(IF(Z387="",0,Z387),"0")+IFERROR(IF(Z388="",0,Z388),"0")</f>
        <v>1.1327400000000001</v>
      </c>
      <c r="AA389" s="67"/>
      <c r="AB389" s="67"/>
      <c r="AC389" s="67"/>
    </row>
    <row r="390" spans="1:68" x14ac:dyDescent="0.2">
      <c r="A390" s="695"/>
      <c r="B390" s="695"/>
      <c r="C390" s="695"/>
      <c r="D390" s="695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6"/>
      <c r="P390" s="692" t="s">
        <v>40</v>
      </c>
      <c r="Q390" s="693"/>
      <c r="R390" s="693"/>
      <c r="S390" s="693"/>
      <c r="T390" s="693"/>
      <c r="U390" s="693"/>
      <c r="V390" s="694"/>
      <c r="W390" s="42" t="s">
        <v>0</v>
      </c>
      <c r="X390" s="43">
        <f>IFERROR(SUM(X385:X388),"0")</f>
        <v>442</v>
      </c>
      <c r="Y390" s="43">
        <f>IFERROR(SUM(Y385:Y388),"0")</f>
        <v>443.69999999999993</v>
      </c>
      <c r="Z390" s="42"/>
      <c r="AA390" s="67"/>
      <c r="AB390" s="67"/>
      <c r="AC390" s="67"/>
    </row>
    <row r="391" spans="1:68" ht="14.25" hidden="1" customHeight="1" x14ac:dyDescent="0.25">
      <c r="A391" s="686" t="s">
        <v>647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6"/>
      <c r="N391" s="686"/>
      <c r="O391" s="686"/>
      <c r="P391" s="686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87">
        <v>4680115881808</v>
      </c>
      <c r="E392" s="68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9"/>
      <c r="R392" s="689"/>
      <c r="S392" s="689"/>
      <c r="T392" s="690"/>
      <c r="U392" s="39" t="s">
        <v>46</v>
      </c>
      <c r="V392" s="39" t="s">
        <v>46</v>
      </c>
      <c r="W392" s="40" t="s">
        <v>0</v>
      </c>
      <c r="X392" s="58">
        <v>100</v>
      </c>
      <c r="Y392" s="55">
        <f>IFERROR(IF(X392="",0,CEILING((X392/$H392),1)*$H392),"")</f>
        <v>100</v>
      </c>
      <c r="Z392" s="41">
        <f>IFERROR(IF(Y392=0,"",ROUNDUP(Y392/H392,0)*0.00474),"")</f>
        <v>0.23700000000000002</v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112.00000000000001</v>
      </c>
      <c r="BN392" s="78">
        <f>IFERROR(Y392*I392/H392,"0")</f>
        <v>112.00000000000001</v>
      </c>
      <c r="BO392" s="78">
        <f>IFERROR(1/J392*(X392/H392),"0")</f>
        <v>0.21008403361344538</v>
      </c>
      <c r="BP392" s="78">
        <f>IFERROR(1/J392*(Y392/H392),"0")</f>
        <v>0.21008403361344538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87">
        <v>4680115881822</v>
      </c>
      <c r="E393" s="68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9"/>
      <c r="R393" s="689"/>
      <c r="S393" s="689"/>
      <c r="T393" s="690"/>
      <c r="U393" s="39" t="s">
        <v>46</v>
      </c>
      <c r="V393" s="39" t="s">
        <v>46</v>
      </c>
      <c r="W393" s="40" t="s">
        <v>0</v>
      </c>
      <c r="X393" s="58">
        <v>50</v>
      </c>
      <c r="Y393" s="55">
        <f>IFERROR(IF(X393="",0,CEILING((X393/$H393),1)*$H393),"")</f>
        <v>50</v>
      </c>
      <c r="Z393" s="41">
        <f>IFERROR(IF(Y393=0,"",ROUNDUP(Y393/H393,0)*0.00474),"")</f>
        <v>0.11850000000000001</v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56.000000000000007</v>
      </c>
      <c r="BN393" s="78">
        <f>IFERROR(Y393*I393/H393,"0")</f>
        <v>56.000000000000007</v>
      </c>
      <c r="BO393" s="78">
        <f>IFERROR(1/J393*(X393/H393),"0")</f>
        <v>0.10504201680672269</v>
      </c>
      <c r="BP393" s="78">
        <f>IFERROR(1/J393*(Y393/H393),"0")</f>
        <v>0.10504201680672269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7">
        <v>4680115880016</v>
      </c>
      <c r="E394" s="68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9"/>
      <c r="R394" s="689"/>
      <c r="S394" s="689"/>
      <c r="T394" s="690"/>
      <c r="U394" s="39" t="s">
        <v>46</v>
      </c>
      <c r="V394" s="39" t="s">
        <v>46</v>
      </c>
      <c r="W394" s="40" t="s">
        <v>0</v>
      </c>
      <c r="X394" s="58">
        <v>100</v>
      </c>
      <c r="Y394" s="55">
        <f>IFERROR(IF(X394="",0,CEILING((X394/$H394),1)*$H394),"")</f>
        <v>100</v>
      </c>
      <c r="Z394" s="41">
        <f>IFERROR(IF(Y394=0,"",ROUNDUP(Y394/H394,0)*0.00474),"")</f>
        <v>0.23700000000000002</v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112.00000000000001</v>
      </c>
      <c r="BN394" s="78">
        <f>IFERROR(Y394*I394/H394,"0")</f>
        <v>112.00000000000001</v>
      </c>
      <c r="BO394" s="78">
        <f>IFERROR(1/J394*(X394/H394),"0")</f>
        <v>0.21008403361344538</v>
      </c>
      <c r="BP394" s="78">
        <f>IFERROR(1/J394*(Y394/H394),"0")</f>
        <v>0.21008403361344538</v>
      </c>
    </row>
    <row r="395" spans="1:68" x14ac:dyDescent="0.2">
      <c r="A395" s="695"/>
      <c r="B395" s="695"/>
      <c r="C395" s="695"/>
      <c r="D395" s="695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6"/>
      <c r="P395" s="692" t="s">
        <v>40</v>
      </c>
      <c r="Q395" s="693"/>
      <c r="R395" s="693"/>
      <c r="S395" s="693"/>
      <c r="T395" s="693"/>
      <c r="U395" s="693"/>
      <c r="V395" s="694"/>
      <c r="W395" s="42" t="s">
        <v>39</v>
      </c>
      <c r="X395" s="43">
        <f>IFERROR(X392/H392,"0")+IFERROR(X393/H393,"0")+IFERROR(X394/H394,"0")</f>
        <v>125</v>
      </c>
      <c r="Y395" s="43">
        <f>IFERROR(Y392/H392,"0")+IFERROR(Y393/H393,"0")+IFERROR(Y394/H394,"0")</f>
        <v>125</v>
      </c>
      <c r="Z395" s="43">
        <f>IFERROR(IF(Z392="",0,Z392),"0")+IFERROR(IF(Z393="",0,Z393),"0")+IFERROR(IF(Z394="",0,Z394),"0")</f>
        <v>0.59250000000000003</v>
      </c>
      <c r="AA395" s="67"/>
      <c r="AB395" s="67"/>
      <c r="AC395" s="67"/>
    </row>
    <row r="396" spans="1:68" x14ac:dyDescent="0.2">
      <c r="A396" s="695"/>
      <c r="B396" s="695"/>
      <c r="C396" s="695"/>
      <c r="D396" s="695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6"/>
      <c r="P396" s="692" t="s">
        <v>40</v>
      </c>
      <c r="Q396" s="693"/>
      <c r="R396" s="693"/>
      <c r="S396" s="693"/>
      <c r="T396" s="693"/>
      <c r="U396" s="693"/>
      <c r="V396" s="694"/>
      <c r="W396" s="42" t="s">
        <v>0</v>
      </c>
      <c r="X396" s="43">
        <f>IFERROR(SUM(X392:X394),"0")</f>
        <v>250</v>
      </c>
      <c r="Y396" s="43">
        <f>IFERROR(SUM(Y392:Y394),"0")</f>
        <v>250</v>
      </c>
      <c r="Z396" s="42"/>
      <c r="AA396" s="67"/>
      <c r="AB396" s="67"/>
      <c r="AC396" s="67"/>
    </row>
    <row r="397" spans="1:68" ht="16.5" hidden="1" customHeight="1" x14ac:dyDescent="0.25">
      <c r="A397" s="685" t="s">
        <v>656</v>
      </c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5"/>
      <c r="AB397" s="65"/>
      <c r="AC397" s="79"/>
    </row>
    <row r="398" spans="1:68" ht="14.25" hidden="1" customHeight="1" x14ac:dyDescent="0.25">
      <c r="A398" s="686" t="s">
        <v>86</v>
      </c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86"/>
      <c r="P398" s="686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87">
        <v>4607091387919</v>
      </c>
      <c r="E399" s="687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8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9"/>
      <c r="R399" s="689"/>
      <c r="S399" s="689"/>
      <c r="T399" s="69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7">
        <v>4680115883604</v>
      </c>
      <c r="E400" s="687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8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9"/>
      <c r="R400" s="689"/>
      <c r="S400" s="689"/>
      <c r="T400" s="690"/>
      <c r="U400" s="39" t="s">
        <v>46</v>
      </c>
      <c r="V400" s="39" t="s">
        <v>46</v>
      </c>
      <c r="W400" s="40" t="s">
        <v>0</v>
      </c>
      <c r="X400" s="58">
        <v>489.99999999999994</v>
      </c>
      <c r="Y400" s="55">
        <f>IFERROR(IF(X400="",0,CEILING((X400/$H400),1)*$H400),"")</f>
        <v>491.40000000000003</v>
      </c>
      <c r="Z400" s="41">
        <f>IFERROR(IF(Y400=0,"",ROUNDUP(Y400/H400,0)*0.00651),"")</f>
        <v>1.5233400000000001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548.79999999999984</v>
      </c>
      <c r="BN400" s="78">
        <f>IFERROR(Y400*I400/H400,"0")</f>
        <v>550.36799999999994</v>
      </c>
      <c r="BO400" s="78">
        <f>IFERROR(1/J400*(X400/H400),"0")</f>
        <v>1.2820512820512819</v>
      </c>
      <c r="BP400" s="78">
        <f>IFERROR(1/J400*(Y400/H400),"0")</f>
        <v>1.2857142857142858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7">
        <v>4680115883567</v>
      </c>
      <c r="E401" s="687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9"/>
      <c r="R401" s="689"/>
      <c r="S401" s="689"/>
      <c r="T401" s="690"/>
      <c r="U401" s="39" t="s">
        <v>46</v>
      </c>
      <c r="V401" s="39" t="s">
        <v>46</v>
      </c>
      <c r="W401" s="40" t="s">
        <v>0</v>
      </c>
      <c r="X401" s="58">
        <v>350</v>
      </c>
      <c r="Y401" s="55">
        <f>IFERROR(IF(X401="",0,CEILING((X401/$H401),1)*$H401),"")</f>
        <v>350.7</v>
      </c>
      <c r="Z401" s="41">
        <f>IFERROR(IF(Y401=0,"",ROUNDUP(Y401/H401,0)*0.00651),"")</f>
        <v>1.08717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390</v>
      </c>
      <c r="BN401" s="78">
        <f>IFERROR(Y401*I401/H401,"0")</f>
        <v>390.78</v>
      </c>
      <c r="BO401" s="78">
        <f>IFERROR(1/J401*(X401/H401),"0")</f>
        <v>0.91575091575091572</v>
      </c>
      <c r="BP401" s="78">
        <f>IFERROR(1/J401*(Y401/H401),"0")</f>
        <v>0.91758241758241765</v>
      </c>
    </row>
    <row r="402" spans="1:68" x14ac:dyDescent="0.2">
      <c r="A402" s="695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6"/>
      <c r="P402" s="692" t="s">
        <v>40</v>
      </c>
      <c r="Q402" s="693"/>
      <c r="R402" s="693"/>
      <c r="S402" s="693"/>
      <c r="T402" s="693"/>
      <c r="U402" s="693"/>
      <c r="V402" s="694"/>
      <c r="W402" s="42" t="s">
        <v>39</v>
      </c>
      <c r="X402" s="43">
        <f>IFERROR(X399/H399,"0")+IFERROR(X400/H400,"0")+IFERROR(X401/H401,"0")</f>
        <v>399.99999999999994</v>
      </c>
      <c r="Y402" s="43">
        <f>IFERROR(Y399/H399,"0")+IFERROR(Y400/H400,"0")+IFERROR(Y401/H401,"0")</f>
        <v>401</v>
      </c>
      <c r="Z402" s="43">
        <f>IFERROR(IF(Z399="",0,Z399),"0")+IFERROR(IF(Z400="",0,Z400),"0")+IFERROR(IF(Z401="",0,Z401),"0")</f>
        <v>2.6105100000000001</v>
      </c>
      <c r="AA402" s="67"/>
      <c r="AB402" s="67"/>
      <c r="AC402" s="67"/>
    </row>
    <row r="403" spans="1:68" x14ac:dyDescent="0.2">
      <c r="A403" s="695"/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6"/>
      <c r="P403" s="692" t="s">
        <v>40</v>
      </c>
      <c r="Q403" s="693"/>
      <c r="R403" s="693"/>
      <c r="S403" s="693"/>
      <c r="T403" s="693"/>
      <c r="U403" s="693"/>
      <c r="V403" s="694"/>
      <c r="W403" s="42" t="s">
        <v>0</v>
      </c>
      <c r="X403" s="43">
        <f>IFERROR(SUM(X399:X401),"0")</f>
        <v>840</v>
      </c>
      <c r="Y403" s="43">
        <f>IFERROR(SUM(Y399:Y401),"0")</f>
        <v>842.1</v>
      </c>
      <c r="Z403" s="42"/>
      <c r="AA403" s="67"/>
      <c r="AB403" s="67"/>
      <c r="AC403" s="67"/>
    </row>
    <row r="404" spans="1:68" ht="27.75" hidden="1" customHeight="1" x14ac:dyDescent="0.2">
      <c r="A404" s="684" t="s">
        <v>666</v>
      </c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  <c r="AA404" s="54"/>
      <c r="AB404" s="54"/>
      <c r="AC404" s="54"/>
    </row>
    <row r="405" spans="1:68" ht="16.5" hidden="1" customHeight="1" x14ac:dyDescent="0.25">
      <c r="A405" s="685" t="s">
        <v>667</v>
      </c>
      <c r="B405" s="685"/>
      <c r="C405" s="685"/>
      <c r="D405" s="685"/>
      <c r="E405" s="685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5"/>
      <c r="AB405" s="65"/>
      <c r="AC405" s="79"/>
    </row>
    <row r="406" spans="1:68" ht="14.25" hidden="1" customHeight="1" x14ac:dyDescent="0.25">
      <c r="A406" s="686" t="s">
        <v>132</v>
      </c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  <c r="L406" s="686"/>
      <c r="M406" s="686"/>
      <c r="N406" s="686"/>
      <c r="O406" s="686"/>
      <c r="P406" s="686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7">
        <v>4680115888401</v>
      </c>
      <c r="E407" s="687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90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9"/>
      <c r="R407" s="689"/>
      <c r="S407" s="689"/>
      <c r="T407" s="690"/>
      <c r="U407" s="39" t="s">
        <v>46</v>
      </c>
      <c r="V407" s="39" t="s">
        <v>46</v>
      </c>
      <c r="W407" s="40" t="s">
        <v>0</v>
      </c>
      <c r="X407" s="58">
        <v>180</v>
      </c>
      <c r="Y407" s="55">
        <f t="shared" ref="Y407:Y414" si="63">IFERROR(IF(X407="",0,CEILING((X407/$H407),1)*$H407),"")</f>
        <v>180</v>
      </c>
      <c r="Z407" s="41">
        <f>IFERROR(IF(Y407=0,"",ROUNDUP(Y407/H407,0)*0.02175),"")</f>
        <v>0.26100000000000001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185.64</v>
      </c>
      <c r="BN407" s="78">
        <f t="shared" ref="BN407:BN414" si="65">IFERROR(Y407*I407/H407,"0")</f>
        <v>185.64</v>
      </c>
      <c r="BO407" s="78">
        <f t="shared" ref="BO407:BO414" si="66">IFERROR(1/J407*(X407/H407),"0")</f>
        <v>0.25</v>
      </c>
      <c r="BP407" s="78">
        <f t="shared" ref="BP407:BP414" si="67">IFERROR(1/J407*(Y407/H407),"0")</f>
        <v>0.25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7">
        <v>4680115884847</v>
      </c>
      <c r="E408" s="687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9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9"/>
      <c r="R408" s="689"/>
      <c r="S408" s="689"/>
      <c r="T408" s="690"/>
      <c r="U408" s="39" t="s">
        <v>46</v>
      </c>
      <c r="V408" s="39" t="s">
        <v>46</v>
      </c>
      <c r="W408" s="40" t="s">
        <v>0</v>
      </c>
      <c r="X408" s="58">
        <v>1900</v>
      </c>
      <c r="Y408" s="55">
        <f t="shared" si="63"/>
        <v>1905</v>
      </c>
      <c r="Z408" s="41">
        <f>IFERROR(IF(Y408=0,"",ROUNDUP(Y408/H408,0)*0.02175),"")</f>
        <v>2.7622499999999999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1959.5333333333333</v>
      </c>
      <c r="BN408" s="78">
        <f t="shared" si="65"/>
        <v>1964.69</v>
      </c>
      <c r="BO408" s="78">
        <f t="shared" si="66"/>
        <v>2.6388888888888888</v>
      </c>
      <c r="BP408" s="78">
        <f t="shared" si="67"/>
        <v>2.645833333333333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7">
        <v>4680115884854</v>
      </c>
      <c r="E409" s="687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9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9"/>
      <c r="R409" s="689"/>
      <c r="S409" s="689"/>
      <c r="T409" s="690"/>
      <c r="U409" s="39" t="s">
        <v>46</v>
      </c>
      <c r="V409" s="39" t="s">
        <v>46</v>
      </c>
      <c r="W409" s="40" t="s">
        <v>0</v>
      </c>
      <c r="X409" s="58">
        <v>500</v>
      </c>
      <c r="Y409" s="55">
        <f t="shared" si="63"/>
        <v>510</v>
      </c>
      <c r="Z409" s="41">
        <f>IFERROR(IF(Y409=0,"",ROUNDUP(Y409/H409,0)*0.02175),"")</f>
        <v>0.73949999999999994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515.66666666666663</v>
      </c>
      <c r="BN409" s="78">
        <f t="shared" si="65"/>
        <v>525.98</v>
      </c>
      <c r="BO409" s="78">
        <f t="shared" si="66"/>
        <v>0.69444444444444442</v>
      </c>
      <c r="BP409" s="78">
        <f t="shared" si="67"/>
        <v>0.70833333333333326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7">
        <v>4680115884830</v>
      </c>
      <c r="E410" s="687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9"/>
      <c r="R410" s="689"/>
      <c r="S410" s="689"/>
      <c r="T410" s="690"/>
      <c r="U410" s="39" t="s">
        <v>46</v>
      </c>
      <c r="V410" s="39" t="s">
        <v>46</v>
      </c>
      <c r="W410" s="40" t="s">
        <v>0</v>
      </c>
      <c r="X410" s="58">
        <v>800</v>
      </c>
      <c r="Y410" s="55">
        <f t="shared" si="63"/>
        <v>810</v>
      </c>
      <c r="Z410" s="41">
        <f>IFERROR(IF(Y410=0,"",ROUNDUP(Y410/H410,0)*0.02175),"")</f>
        <v>1.1744999999999999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825.06666666666672</v>
      </c>
      <c r="BN410" s="78">
        <f t="shared" si="65"/>
        <v>835.38</v>
      </c>
      <c r="BO410" s="78">
        <f t="shared" si="66"/>
        <v>1.1111111111111112</v>
      </c>
      <c r="BP410" s="78">
        <f t="shared" si="67"/>
        <v>1.125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87">
        <v>4680115889231</v>
      </c>
      <c r="E411" s="68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9"/>
      <c r="R411" s="689"/>
      <c r="S411" s="689"/>
      <c r="T411" s="690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63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0</v>
      </c>
      <c r="BN411" s="78">
        <f t="shared" si="65"/>
        <v>0</v>
      </c>
      <c r="BO411" s="78">
        <f t="shared" si="66"/>
        <v>0</v>
      </c>
      <c r="BP411" s="78">
        <f t="shared" si="67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7">
        <v>4680115882638</v>
      </c>
      <c r="E412" s="687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9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9"/>
      <c r="R412" s="689"/>
      <c r="S412" s="689"/>
      <c r="T412" s="690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7">
        <v>4680115884922</v>
      </c>
      <c r="E413" s="687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9"/>
      <c r="R413" s="689"/>
      <c r="S413" s="689"/>
      <c r="T413" s="69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7">
        <v>4680115884861</v>
      </c>
      <c r="E414" s="687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9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9"/>
      <c r="R414" s="689"/>
      <c r="S414" s="689"/>
      <c r="T414" s="690"/>
      <c r="U414" s="39" t="s">
        <v>46</v>
      </c>
      <c r="V414" s="39" t="s">
        <v>46</v>
      </c>
      <c r="W414" s="40" t="s">
        <v>0</v>
      </c>
      <c r="X414" s="58">
        <v>30</v>
      </c>
      <c r="Y414" s="55">
        <f t="shared" si="63"/>
        <v>30</v>
      </c>
      <c r="Z414" s="41">
        <f>IFERROR(IF(Y414=0,"",ROUNDUP(Y414/H414,0)*0.00902),"")</f>
        <v>5.4120000000000001E-2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31.140000000000004</v>
      </c>
      <c r="BN414" s="78">
        <f t="shared" si="65"/>
        <v>31.140000000000004</v>
      </c>
      <c r="BO414" s="78">
        <f t="shared" si="66"/>
        <v>4.5454545454545456E-2</v>
      </c>
      <c r="BP414" s="78">
        <f t="shared" si="67"/>
        <v>4.5454545454545456E-2</v>
      </c>
    </row>
    <row r="415" spans="1:68" x14ac:dyDescent="0.2">
      <c r="A415" s="695"/>
      <c r="B415" s="695"/>
      <c r="C415" s="695"/>
      <c r="D415" s="695"/>
      <c r="E415" s="695"/>
      <c r="F415" s="695"/>
      <c r="G415" s="695"/>
      <c r="H415" s="695"/>
      <c r="I415" s="695"/>
      <c r="J415" s="695"/>
      <c r="K415" s="695"/>
      <c r="L415" s="695"/>
      <c r="M415" s="695"/>
      <c r="N415" s="695"/>
      <c r="O415" s="696"/>
      <c r="P415" s="692" t="s">
        <v>40</v>
      </c>
      <c r="Q415" s="693"/>
      <c r="R415" s="693"/>
      <c r="S415" s="693"/>
      <c r="T415" s="693"/>
      <c r="U415" s="693"/>
      <c r="V415" s="694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231.33333333333337</v>
      </c>
      <c r="Y415" s="43">
        <f>IFERROR(Y407/H407,"0")+IFERROR(Y408/H408,"0")+IFERROR(Y409/H409,"0")+IFERROR(Y410/H410,"0")+IFERROR(Y411/H411,"0")+IFERROR(Y412/H412,"0")+IFERROR(Y413/H413,"0")+IFERROR(Y414/H414,"0")</f>
        <v>233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4.9913699999999999</v>
      </c>
      <c r="AA415" s="67"/>
      <c r="AB415" s="67"/>
      <c r="AC415" s="67"/>
    </row>
    <row r="416" spans="1:68" x14ac:dyDescent="0.2">
      <c r="A416" s="695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695"/>
      <c r="O416" s="696"/>
      <c r="P416" s="692" t="s">
        <v>40</v>
      </c>
      <c r="Q416" s="693"/>
      <c r="R416" s="693"/>
      <c r="S416" s="693"/>
      <c r="T416" s="693"/>
      <c r="U416" s="693"/>
      <c r="V416" s="694"/>
      <c r="W416" s="42" t="s">
        <v>0</v>
      </c>
      <c r="X416" s="43">
        <f>IFERROR(SUM(X407:X414),"0")</f>
        <v>3410</v>
      </c>
      <c r="Y416" s="43">
        <f>IFERROR(SUM(Y407:Y414),"0")</f>
        <v>3435</v>
      </c>
      <c r="Z416" s="42"/>
      <c r="AA416" s="67"/>
      <c r="AB416" s="67"/>
      <c r="AC416" s="67"/>
    </row>
    <row r="417" spans="1:68" ht="14.25" hidden="1" customHeight="1" x14ac:dyDescent="0.25">
      <c r="A417" s="686" t="s">
        <v>167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86"/>
      <c r="P417" s="686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7">
        <v>4607091383980</v>
      </c>
      <c r="E418" s="687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9"/>
      <c r="R418" s="689"/>
      <c r="S418" s="689"/>
      <c r="T418" s="690"/>
      <c r="U418" s="39" t="s">
        <v>46</v>
      </c>
      <c r="V418" s="39" t="s">
        <v>46</v>
      </c>
      <c r="W418" s="40" t="s">
        <v>0</v>
      </c>
      <c r="X418" s="58">
        <v>800</v>
      </c>
      <c r="Y418" s="55">
        <f>IFERROR(IF(X418="",0,CEILING((X418/$H418),1)*$H418),"")</f>
        <v>810</v>
      </c>
      <c r="Z418" s="41">
        <f>IFERROR(IF(Y418=0,"",ROUNDUP(Y418/H418,0)*0.02175),"")</f>
        <v>1.1744999999999999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825.06666666666672</v>
      </c>
      <c r="BN418" s="78">
        <f>IFERROR(Y418*I418/H418,"0")</f>
        <v>835.38</v>
      </c>
      <c r="BO418" s="78">
        <f>IFERROR(1/J418*(X418/H418),"0")</f>
        <v>1.1111111111111112</v>
      </c>
      <c r="BP418" s="78">
        <f>IFERROR(1/J418*(Y418/H418),"0")</f>
        <v>1.125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87">
        <v>4680115888425</v>
      </c>
      <c r="E419" s="687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91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9"/>
      <c r="R419" s="689"/>
      <c r="S419" s="689"/>
      <c r="T419" s="69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87">
        <v>4607091384178</v>
      </c>
      <c r="E420" s="687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9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9"/>
      <c r="R420" s="689"/>
      <c r="S420" s="689"/>
      <c r="T420" s="69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5"/>
      <c r="B421" s="695"/>
      <c r="C421" s="695"/>
      <c r="D421" s="695"/>
      <c r="E421" s="695"/>
      <c r="F421" s="695"/>
      <c r="G421" s="695"/>
      <c r="H421" s="695"/>
      <c r="I421" s="695"/>
      <c r="J421" s="695"/>
      <c r="K421" s="695"/>
      <c r="L421" s="695"/>
      <c r="M421" s="695"/>
      <c r="N421" s="695"/>
      <c r="O421" s="696"/>
      <c r="P421" s="692" t="s">
        <v>40</v>
      </c>
      <c r="Q421" s="693"/>
      <c r="R421" s="693"/>
      <c r="S421" s="693"/>
      <c r="T421" s="693"/>
      <c r="U421" s="693"/>
      <c r="V421" s="694"/>
      <c r="W421" s="42" t="s">
        <v>39</v>
      </c>
      <c r="X421" s="43">
        <f>IFERROR(X418/H418,"0")+IFERROR(X419/H419,"0")+IFERROR(X420/H420,"0")</f>
        <v>53.333333333333336</v>
      </c>
      <c r="Y421" s="43">
        <f>IFERROR(Y418/H418,"0")+IFERROR(Y419/H419,"0")+IFERROR(Y420/H420,"0")</f>
        <v>54</v>
      </c>
      <c r="Z421" s="43">
        <f>IFERROR(IF(Z418="",0,Z418),"0")+IFERROR(IF(Z419="",0,Z419),"0")+IFERROR(IF(Z420="",0,Z420),"0")</f>
        <v>1.1744999999999999</v>
      </c>
      <c r="AA421" s="67"/>
      <c r="AB421" s="67"/>
      <c r="AC421" s="67"/>
    </row>
    <row r="422" spans="1:68" x14ac:dyDescent="0.2">
      <c r="A422" s="695"/>
      <c r="B422" s="695"/>
      <c r="C422" s="695"/>
      <c r="D422" s="695"/>
      <c r="E422" s="695"/>
      <c r="F422" s="695"/>
      <c r="G422" s="695"/>
      <c r="H422" s="695"/>
      <c r="I422" s="695"/>
      <c r="J422" s="695"/>
      <c r="K422" s="695"/>
      <c r="L422" s="695"/>
      <c r="M422" s="695"/>
      <c r="N422" s="695"/>
      <c r="O422" s="696"/>
      <c r="P422" s="692" t="s">
        <v>40</v>
      </c>
      <c r="Q422" s="693"/>
      <c r="R422" s="693"/>
      <c r="S422" s="693"/>
      <c r="T422" s="693"/>
      <c r="U422" s="693"/>
      <c r="V422" s="694"/>
      <c r="W422" s="42" t="s">
        <v>0</v>
      </c>
      <c r="X422" s="43">
        <f>IFERROR(SUM(X418:X420),"0")</f>
        <v>800</v>
      </c>
      <c r="Y422" s="43">
        <f>IFERROR(SUM(Y418:Y420),"0")</f>
        <v>810</v>
      </c>
      <c r="Z422" s="42"/>
      <c r="AA422" s="67"/>
      <c r="AB422" s="67"/>
      <c r="AC422" s="67"/>
    </row>
    <row r="423" spans="1:68" ht="14.25" hidden="1" customHeight="1" x14ac:dyDescent="0.25">
      <c r="A423" s="686" t="s">
        <v>86</v>
      </c>
      <c r="B423" s="686"/>
      <c r="C423" s="686"/>
      <c r="D423" s="686"/>
      <c r="E423" s="686"/>
      <c r="F423" s="686"/>
      <c r="G423" s="686"/>
      <c r="H423" s="686"/>
      <c r="I423" s="686"/>
      <c r="J423" s="686"/>
      <c r="K423" s="686"/>
      <c r="L423" s="686"/>
      <c r="M423" s="686"/>
      <c r="N423" s="686"/>
      <c r="O423" s="686"/>
      <c r="P423" s="686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87">
        <v>4607091383928</v>
      </c>
      <c r="E424" s="687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9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9"/>
      <c r="R424" s="689"/>
      <c r="S424" s="689"/>
      <c r="T424" s="69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7">
        <v>4607091384260</v>
      </c>
      <c r="E425" s="687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9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9"/>
      <c r="R425" s="689"/>
      <c r="S425" s="689"/>
      <c r="T425" s="690"/>
      <c r="U425" s="39" t="s">
        <v>46</v>
      </c>
      <c r="V425" s="39" t="s">
        <v>46</v>
      </c>
      <c r="W425" s="40" t="s">
        <v>0</v>
      </c>
      <c r="X425" s="58">
        <v>200</v>
      </c>
      <c r="Y425" s="55">
        <f>IFERROR(IF(X425="",0,CEILING((X425/$H425),1)*$H425),"")</f>
        <v>207</v>
      </c>
      <c r="Z425" s="41">
        <f>IFERROR(IF(Y425=0,"",ROUNDUP(Y425/H425,0)*0.01898),"")</f>
        <v>0.43653999999999998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210.97777777777776</v>
      </c>
      <c r="BN425" s="78">
        <f>IFERROR(Y425*I425/H425,"0")</f>
        <v>218.36199999999999</v>
      </c>
      <c r="BO425" s="78">
        <f>IFERROR(1/J425*(X425/H425),"0")</f>
        <v>0.34722222222222221</v>
      </c>
      <c r="BP425" s="78">
        <f>IFERROR(1/J425*(Y425/H425),"0")</f>
        <v>0.359375</v>
      </c>
    </row>
    <row r="426" spans="1:68" x14ac:dyDescent="0.2">
      <c r="A426" s="695"/>
      <c r="B426" s="695"/>
      <c r="C426" s="695"/>
      <c r="D426" s="695"/>
      <c r="E426" s="695"/>
      <c r="F426" s="695"/>
      <c r="G426" s="695"/>
      <c r="H426" s="695"/>
      <c r="I426" s="695"/>
      <c r="J426" s="695"/>
      <c r="K426" s="695"/>
      <c r="L426" s="695"/>
      <c r="M426" s="695"/>
      <c r="N426" s="695"/>
      <c r="O426" s="696"/>
      <c r="P426" s="692" t="s">
        <v>40</v>
      </c>
      <c r="Q426" s="693"/>
      <c r="R426" s="693"/>
      <c r="S426" s="693"/>
      <c r="T426" s="693"/>
      <c r="U426" s="693"/>
      <c r="V426" s="694"/>
      <c r="W426" s="42" t="s">
        <v>39</v>
      </c>
      <c r="X426" s="43">
        <f>IFERROR(X424/H424,"0")+IFERROR(X425/H425,"0")</f>
        <v>22.222222222222221</v>
      </c>
      <c r="Y426" s="43">
        <f>IFERROR(Y424/H424,"0")+IFERROR(Y425/H425,"0")</f>
        <v>23</v>
      </c>
      <c r="Z426" s="43">
        <f>IFERROR(IF(Z424="",0,Z424),"0")+IFERROR(IF(Z425="",0,Z425),"0")</f>
        <v>0.43653999999999998</v>
      </c>
      <c r="AA426" s="67"/>
      <c r="AB426" s="67"/>
      <c r="AC426" s="67"/>
    </row>
    <row r="427" spans="1:68" x14ac:dyDescent="0.2">
      <c r="A427" s="695"/>
      <c r="B427" s="695"/>
      <c r="C427" s="695"/>
      <c r="D427" s="695"/>
      <c r="E427" s="695"/>
      <c r="F427" s="695"/>
      <c r="G427" s="695"/>
      <c r="H427" s="695"/>
      <c r="I427" s="695"/>
      <c r="J427" s="695"/>
      <c r="K427" s="695"/>
      <c r="L427" s="695"/>
      <c r="M427" s="695"/>
      <c r="N427" s="695"/>
      <c r="O427" s="696"/>
      <c r="P427" s="692" t="s">
        <v>40</v>
      </c>
      <c r="Q427" s="693"/>
      <c r="R427" s="693"/>
      <c r="S427" s="693"/>
      <c r="T427" s="693"/>
      <c r="U427" s="693"/>
      <c r="V427" s="694"/>
      <c r="W427" s="42" t="s">
        <v>0</v>
      </c>
      <c r="X427" s="43">
        <f>IFERROR(SUM(X424:X425),"0")</f>
        <v>200</v>
      </c>
      <c r="Y427" s="43">
        <f>IFERROR(SUM(Y424:Y425),"0")</f>
        <v>207</v>
      </c>
      <c r="Z427" s="42"/>
      <c r="AA427" s="67"/>
      <c r="AB427" s="67"/>
      <c r="AC427" s="67"/>
    </row>
    <row r="428" spans="1:68" ht="14.25" hidden="1" customHeight="1" x14ac:dyDescent="0.25">
      <c r="A428" s="686" t="s">
        <v>184</v>
      </c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86"/>
      <c r="P428" s="686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7">
        <v>4607091384673</v>
      </c>
      <c r="E429" s="687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9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9"/>
      <c r="R429" s="689"/>
      <c r="S429" s="689"/>
      <c r="T429" s="690"/>
      <c r="U429" s="39" t="s">
        <v>46</v>
      </c>
      <c r="V429" s="39" t="s">
        <v>46</v>
      </c>
      <c r="W429" s="40" t="s">
        <v>0</v>
      </c>
      <c r="X429" s="58">
        <v>50</v>
      </c>
      <c r="Y429" s="55">
        <f>IFERROR(IF(X429="",0,CEILING((X429/$H429),1)*$H429),"")</f>
        <v>54</v>
      </c>
      <c r="Z429" s="41">
        <f>IFERROR(IF(Y429=0,"",ROUNDUP(Y429/H429,0)*0.01898),"")</f>
        <v>0.11388000000000001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52.74444444444444</v>
      </c>
      <c r="BN429" s="78">
        <f>IFERROR(Y429*I429/H429,"0")</f>
        <v>56.963999999999992</v>
      </c>
      <c r="BO429" s="78">
        <f>IFERROR(1/J429*(X429/H429),"0")</f>
        <v>8.6805555555555552E-2</v>
      </c>
      <c r="BP429" s="78">
        <f>IFERROR(1/J429*(Y429/H429),"0")</f>
        <v>9.375E-2</v>
      </c>
    </row>
    <row r="430" spans="1:68" x14ac:dyDescent="0.2">
      <c r="A430" s="695"/>
      <c r="B430" s="695"/>
      <c r="C430" s="695"/>
      <c r="D430" s="695"/>
      <c r="E430" s="695"/>
      <c r="F430" s="695"/>
      <c r="G430" s="695"/>
      <c r="H430" s="695"/>
      <c r="I430" s="695"/>
      <c r="J430" s="695"/>
      <c r="K430" s="695"/>
      <c r="L430" s="695"/>
      <c r="M430" s="695"/>
      <c r="N430" s="695"/>
      <c r="O430" s="696"/>
      <c r="P430" s="692" t="s">
        <v>40</v>
      </c>
      <c r="Q430" s="693"/>
      <c r="R430" s="693"/>
      <c r="S430" s="693"/>
      <c r="T430" s="693"/>
      <c r="U430" s="693"/>
      <c r="V430" s="694"/>
      <c r="W430" s="42" t="s">
        <v>39</v>
      </c>
      <c r="X430" s="43">
        <f>IFERROR(X429/H429,"0")</f>
        <v>5.5555555555555554</v>
      </c>
      <c r="Y430" s="43">
        <f>IFERROR(Y429/H429,"0")</f>
        <v>6</v>
      </c>
      <c r="Z430" s="43">
        <f>IFERROR(IF(Z429="",0,Z429),"0")</f>
        <v>0.11388000000000001</v>
      </c>
      <c r="AA430" s="67"/>
      <c r="AB430" s="67"/>
      <c r="AC430" s="67"/>
    </row>
    <row r="431" spans="1:68" x14ac:dyDescent="0.2">
      <c r="A431" s="695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95"/>
      <c r="O431" s="696"/>
      <c r="P431" s="692" t="s">
        <v>40</v>
      </c>
      <c r="Q431" s="693"/>
      <c r="R431" s="693"/>
      <c r="S431" s="693"/>
      <c r="T431" s="693"/>
      <c r="U431" s="693"/>
      <c r="V431" s="694"/>
      <c r="W431" s="42" t="s">
        <v>0</v>
      </c>
      <c r="X431" s="43">
        <f>IFERROR(SUM(X429:X429),"0")</f>
        <v>50</v>
      </c>
      <c r="Y431" s="43">
        <f>IFERROR(SUM(Y429:Y429),"0")</f>
        <v>54</v>
      </c>
      <c r="Z431" s="42"/>
      <c r="AA431" s="67"/>
      <c r="AB431" s="67"/>
      <c r="AC431" s="67"/>
    </row>
    <row r="432" spans="1:68" ht="16.5" hidden="1" customHeight="1" x14ac:dyDescent="0.25">
      <c r="A432" s="685" t="s">
        <v>710</v>
      </c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5"/>
      <c r="AB432" s="65"/>
      <c r="AC432" s="79"/>
    </row>
    <row r="433" spans="1:68" ht="14.25" hidden="1" customHeight="1" x14ac:dyDescent="0.25">
      <c r="A433" s="686" t="s">
        <v>132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87">
        <v>4680115884885</v>
      </c>
      <c r="E434" s="687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9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9"/>
      <c r="R434" s="689"/>
      <c r="S434" s="689"/>
      <c r="T434" s="69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7">
        <v>4680115884908</v>
      </c>
      <c r="E435" s="68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9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9"/>
      <c r="R435" s="689"/>
      <c r="S435" s="689"/>
      <c r="T435" s="69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95"/>
      <c r="B436" s="695"/>
      <c r="C436" s="695"/>
      <c r="D436" s="695"/>
      <c r="E436" s="695"/>
      <c r="F436" s="695"/>
      <c r="G436" s="695"/>
      <c r="H436" s="695"/>
      <c r="I436" s="695"/>
      <c r="J436" s="695"/>
      <c r="K436" s="695"/>
      <c r="L436" s="695"/>
      <c r="M436" s="695"/>
      <c r="N436" s="695"/>
      <c r="O436" s="696"/>
      <c r="P436" s="692" t="s">
        <v>40</v>
      </c>
      <c r="Q436" s="693"/>
      <c r="R436" s="693"/>
      <c r="S436" s="693"/>
      <c r="T436" s="693"/>
      <c r="U436" s="693"/>
      <c r="V436" s="694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95"/>
      <c r="B437" s="695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695"/>
      <c r="O437" s="696"/>
      <c r="P437" s="692" t="s">
        <v>40</v>
      </c>
      <c r="Q437" s="693"/>
      <c r="R437" s="693"/>
      <c r="S437" s="693"/>
      <c r="T437" s="693"/>
      <c r="U437" s="693"/>
      <c r="V437" s="694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86" t="s">
        <v>77</v>
      </c>
      <c r="B438" s="686"/>
      <c r="C438" s="686"/>
      <c r="D438" s="686"/>
      <c r="E438" s="686"/>
      <c r="F438" s="686"/>
      <c r="G438" s="686"/>
      <c r="H438" s="686"/>
      <c r="I438" s="686"/>
      <c r="J438" s="686"/>
      <c r="K438" s="686"/>
      <c r="L438" s="686"/>
      <c r="M438" s="686"/>
      <c r="N438" s="686"/>
      <c r="O438" s="686"/>
      <c r="P438" s="686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7">
        <v>4607091384802</v>
      </c>
      <c r="E439" s="687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9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9"/>
      <c r="R439" s="689"/>
      <c r="S439" s="689"/>
      <c r="T439" s="69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5"/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6"/>
      <c r="P440" s="692" t="s">
        <v>40</v>
      </c>
      <c r="Q440" s="693"/>
      <c r="R440" s="693"/>
      <c r="S440" s="693"/>
      <c r="T440" s="693"/>
      <c r="U440" s="693"/>
      <c r="V440" s="694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5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95"/>
      <c r="O441" s="696"/>
      <c r="P441" s="692" t="s">
        <v>40</v>
      </c>
      <c r="Q441" s="693"/>
      <c r="R441" s="693"/>
      <c r="S441" s="693"/>
      <c r="T441" s="693"/>
      <c r="U441" s="693"/>
      <c r="V441" s="694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6" t="s">
        <v>86</v>
      </c>
      <c r="B442" s="686"/>
      <c r="C442" s="686"/>
      <c r="D442" s="686"/>
      <c r="E442" s="686"/>
      <c r="F442" s="686"/>
      <c r="G442" s="686"/>
      <c r="H442" s="686"/>
      <c r="I442" s="686"/>
      <c r="J442" s="686"/>
      <c r="K442" s="686"/>
      <c r="L442" s="686"/>
      <c r="M442" s="686"/>
      <c r="N442" s="686"/>
      <c r="O442" s="686"/>
      <c r="P442" s="686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7">
        <v>4607091384246</v>
      </c>
      <c r="E443" s="687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9"/>
      <c r="R443" s="689"/>
      <c r="S443" s="689"/>
      <c r="T443" s="690"/>
      <c r="U443" s="39" t="s">
        <v>46</v>
      </c>
      <c r="V443" s="39" t="s">
        <v>46</v>
      </c>
      <c r="W443" s="40" t="s">
        <v>0</v>
      </c>
      <c r="X443" s="58">
        <v>40</v>
      </c>
      <c r="Y443" s="55">
        <f>IFERROR(IF(X443="",0,CEILING((X443/$H443),1)*$H443),"")</f>
        <v>45</v>
      </c>
      <c r="Z443" s="41">
        <f>IFERROR(IF(Y443=0,"",ROUNDUP(Y443/H443,0)*0.01898),"")</f>
        <v>9.4899999999999998E-2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42.195555555555558</v>
      </c>
      <c r="BN443" s="78">
        <f>IFERROR(Y443*I443/H443,"0")</f>
        <v>47.47</v>
      </c>
      <c r="BO443" s="78">
        <f>IFERROR(1/J443*(X443/H443),"0")</f>
        <v>6.9444444444444448E-2</v>
      </c>
      <c r="BP443" s="78">
        <f>IFERROR(1/J443*(Y443/H443),"0")</f>
        <v>7.8125E-2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7">
        <v>4607091384253</v>
      </c>
      <c r="E444" s="687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9"/>
      <c r="R444" s="689"/>
      <c r="S444" s="689"/>
      <c r="T444" s="69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7">
        <v>4607091384253</v>
      </c>
      <c r="E445" s="687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9"/>
      <c r="R445" s="689"/>
      <c r="S445" s="689"/>
      <c r="T445" s="69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5"/>
      <c r="B446" s="695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695"/>
      <c r="O446" s="696"/>
      <c r="P446" s="692" t="s">
        <v>40</v>
      </c>
      <c r="Q446" s="693"/>
      <c r="R446" s="693"/>
      <c r="S446" s="693"/>
      <c r="T446" s="693"/>
      <c r="U446" s="693"/>
      <c r="V446" s="694"/>
      <c r="W446" s="42" t="s">
        <v>39</v>
      </c>
      <c r="X446" s="43">
        <f>IFERROR(X443/H443,"0")+IFERROR(X444/H444,"0")+IFERROR(X445/H445,"0")</f>
        <v>4.4444444444444446</v>
      </c>
      <c r="Y446" s="43">
        <f>IFERROR(Y443/H443,"0")+IFERROR(Y444/H444,"0")+IFERROR(Y445/H445,"0")</f>
        <v>5</v>
      </c>
      <c r="Z446" s="43">
        <f>IFERROR(IF(Z443="",0,Z443),"0")+IFERROR(IF(Z444="",0,Z444),"0")+IFERROR(IF(Z445="",0,Z445),"0")</f>
        <v>9.4899999999999998E-2</v>
      </c>
      <c r="AA446" s="67"/>
      <c r="AB446" s="67"/>
      <c r="AC446" s="67"/>
    </row>
    <row r="447" spans="1:68" x14ac:dyDescent="0.2">
      <c r="A447" s="695"/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6"/>
      <c r="P447" s="692" t="s">
        <v>40</v>
      </c>
      <c r="Q447" s="693"/>
      <c r="R447" s="693"/>
      <c r="S447" s="693"/>
      <c r="T447" s="693"/>
      <c r="U447" s="693"/>
      <c r="V447" s="694"/>
      <c r="W447" s="42" t="s">
        <v>0</v>
      </c>
      <c r="X447" s="43">
        <f>IFERROR(SUM(X443:X445),"0")</f>
        <v>40</v>
      </c>
      <c r="Y447" s="43">
        <f>IFERROR(SUM(Y443:Y445),"0")</f>
        <v>45</v>
      </c>
      <c r="Z447" s="42"/>
      <c r="AA447" s="67"/>
      <c r="AB447" s="67"/>
      <c r="AC447" s="67"/>
    </row>
    <row r="448" spans="1:68" ht="27.75" hidden="1" customHeight="1" x14ac:dyDescent="0.2">
      <c r="A448" s="684" t="s">
        <v>726</v>
      </c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  <c r="AA448" s="54"/>
      <c r="AB448" s="54"/>
      <c r="AC448" s="54"/>
    </row>
    <row r="449" spans="1:68" ht="16.5" hidden="1" customHeight="1" x14ac:dyDescent="0.25">
      <c r="A449" s="685" t="s">
        <v>727</v>
      </c>
      <c r="B449" s="685"/>
      <c r="C449" s="685"/>
      <c r="D449" s="685"/>
      <c r="E449" s="685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5"/>
      <c r="AB449" s="65"/>
      <c r="AC449" s="79"/>
    </row>
    <row r="450" spans="1:68" ht="14.25" hidden="1" customHeight="1" x14ac:dyDescent="0.25">
      <c r="A450" s="686" t="s">
        <v>77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87">
        <v>4680115886100</v>
      </c>
      <c r="E451" s="687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9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9"/>
      <c r="R451" s="689"/>
      <c r="S451" s="689"/>
      <c r="T451" s="69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87">
        <v>4680115886124</v>
      </c>
      <c r="E452" s="687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9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9"/>
      <c r="R452" s="689"/>
      <c r="S452" s="689"/>
      <c r="T452" s="690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87">
        <v>4607091384338</v>
      </c>
      <c r="E453" s="687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9"/>
      <c r="R453" s="689"/>
      <c r="S453" s="689"/>
      <c r="T453" s="690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7">
        <v>4680115883161</v>
      </c>
      <c r="E454" s="687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9"/>
      <c r="R454" s="689"/>
      <c r="S454" s="689"/>
      <c r="T454" s="690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87">
        <v>4607091389531</v>
      </c>
      <c r="E455" s="687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9"/>
      <c r="R455" s="689"/>
      <c r="S455" s="689"/>
      <c r="T455" s="690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8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0</v>
      </c>
      <c r="BN455" s="78">
        <f t="shared" si="70"/>
        <v>0</v>
      </c>
      <c r="BO455" s="78">
        <f t="shared" si="71"/>
        <v>0</v>
      </c>
      <c r="BP455" s="78">
        <f t="shared" si="72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87">
        <v>4607091384345</v>
      </c>
      <c r="E456" s="687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9"/>
      <c r="R456" s="689"/>
      <c r="S456" s="689"/>
      <c r="T456" s="690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hidden="1" x14ac:dyDescent="0.2">
      <c r="A457" s="695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6"/>
      <c r="P457" s="692" t="s">
        <v>40</v>
      </c>
      <c r="Q457" s="693"/>
      <c r="R457" s="693"/>
      <c r="S457" s="693"/>
      <c r="T457" s="693"/>
      <c r="U457" s="693"/>
      <c r="V457" s="694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95"/>
      <c r="B458" s="695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695"/>
      <c r="O458" s="696"/>
      <c r="P458" s="692" t="s">
        <v>40</v>
      </c>
      <c r="Q458" s="693"/>
      <c r="R458" s="693"/>
      <c r="S458" s="693"/>
      <c r="T458" s="693"/>
      <c r="U458" s="693"/>
      <c r="V458" s="694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86" t="s">
        <v>86</v>
      </c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86"/>
      <c r="P459" s="686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87">
        <v>4607091384352</v>
      </c>
      <c r="E460" s="687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9"/>
      <c r="R460" s="689"/>
      <c r="S460" s="689"/>
      <c r="T460" s="69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87">
        <v>4607091389654</v>
      </c>
      <c r="E461" s="687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9"/>
      <c r="R461" s="689"/>
      <c r="S461" s="689"/>
      <c r="T461" s="69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95"/>
      <c r="B462" s="695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695"/>
      <c r="O462" s="696"/>
      <c r="P462" s="692" t="s">
        <v>40</v>
      </c>
      <c r="Q462" s="693"/>
      <c r="R462" s="693"/>
      <c r="S462" s="693"/>
      <c r="T462" s="693"/>
      <c r="U462" s="693"/>
      <c r="V462" s="694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95"/>
      <c r="B463" s="695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695"/>
      <c r="O463" s="696"/>
      <c r="P463" s="692" t="s">
        <v>40</v>
      </c>
      <c r="Q463" s="693"/>
      <c r="R463" s="693"/>
      <c r="S463" s="693"/>
      <c r="T463" s="693"/>
      <c r="U463" s="693"/>
      <c r="V463" s="694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85" t="s">
        <v>750</v>
      </c>
      <c r="B464" s="685"/>
      <c r="C464" s="685"/>
      <c r="D464" s="685"/>
      <c r="E464" s="685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5"/>
      <c r="AB464" s="65"/>
      <c r="AC464" s="79"/>
    </row>
    <row r="465" spans="1:68" ht="14.25" hidden="1" customHeight="1" x14ac:dyDescent="0.25">
      <c r="A465" s="686" t="s">
        <v>167</v>
      </c>
      <c r="B465" s="686"/>
      <c r="C465" s="686"/>
      <c r="D465" s="686"/>
      <c r="E465" s="686"/>
      <c r="F465" s="686"/>
      <c r="G465" s="686"/>
      <c r="H465" s="686"/>
      <c r="I465" s="686"/>
      <c r="J465" s="686"/>
      <c r="K465" s="686"/>
      <c r="L465" s="686"/>
      <c r="M465" s="686"/>
      <c r="N465" s="686"/>
      <c r="O465" s="686"/>
      <c r="P465" s="686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7">
        <v>4680115885240</v>
      </c>
      <c r="E466" s="687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2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9"/>
      <c r="R466" s="689"/>
      <c r="S466" s="689"/>
      <c r="T466" s="69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5"/>
      <c r="B467" s="695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695"/>
      <c r="O467" s="696"/>
      <c r="P467" s="692" t="s">
        <v>40</v>
      </c>
      <c r="Q467" s="693"/>
      <c r="R467" s="693"/>
      <c r="S467" s="693"/>
      <c r="T467" s="693"/>
      <c r="U467" s="693"/>
      <c r="V467" s="694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5"/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6"/>
      <c r="P468" s="692" t="s">
        <v>40</v>
      </c>
      <c r="Q468" s="693"/>
      <c r="R468" s="693"/>
      <c r="S468" s="693"/>
      <c r="T468" s="693"/>
      <c r="U468" s="693"/>
      <c r="V468" s="694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6" t="s">
        <v>77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87">
        <v>4680115886094</v>
      </c>
      <c r="E470" s="687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9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9"/>
      <c r="R470" s="689"/>
      <c r="S470" s="689"/>
      <c r="T470" s="690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7">
        <v>4680115880771</v>
      </c>
      <c r="E471" s="68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9"/>
      <c r="R471" s="689"/>
      <c r="S471" s="689"/>
      <c r="T471" s="69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87">
        <v>4607091389500</v>
      </c>
      <c r="E472" s="68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9"/>
      <c r="R472" s="689"/>
      <c r="S472" s="689"/>
      <c r="T472" s="69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95"/>
      <c r="B473" s="695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695"/>
      <c r="O473" s="696"/>
      <c r="P473" s="692" t="s">
        <v>40</v>
      </c>
      <c r="Q473" s="693"/>
      <c r="R473" s="693"/>
      <c r="S473" s="693"/>
      <c r="T473" s="693"/>
      <c r="U473" s="693"/>
      <c r="V473" s="694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95"/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6"/>
      <c r="P474" s="692" t="s">
        <v>40</v>
      </c>
      <c r="Q474" s="693"/>
      <c r="R474" s="693"/>
      <c r="S474" s="693"/>
      <c r="T474" s="693"/>
      <c r="U474" s="693"/>
      <c r="V474" s="694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84" t="s">
        <v>762</v>
      </c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  <c r="AA475" s="54"/>
      <c r="AB475" s="54"/>
      <c r="AC475" s="54"/>
    </row>
    <row r="476" spans="1:68" ht="16.5" hidden="1" customHeight="1" x14ac:dyDescent="0.25">
      <c r="A476" s="685" t="s">
        <v>762</v>
      </c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5"/>
      <c r="P476" s="685"/>
      <c r="Q476" s="685"/>
      <c r="R476" s="685"/>
      <c r="S476" s="685"/>
      <c r="T476" s="685"/>
      <c r="U476" s="685"/>
      <c r="V476" s="685"/>
      <c r="W476" s="685"/>
      <c r="X476" s="685"/>
      <c r="Y476" s="685"/>
      <c r="Z476" s="685"/>
      <c r="AA476" s="65"/>
      <c r="AB476" s="65"/>
      <c r="AC476" s="79"/>
    </row>
    <row r="477" spans="1:68" ht="14.25" hidden="1" customHeight="1" x14ac:dyDescent="0.25">
      <c r="A477" s="686" t="s">
        <v>132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7">
        <v>4607091389067</v>
      </c>
      <c r="E478" s="68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9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9"/>
      <c r="R478" s="689"/>
      <c r="S478" s="689"/>
      <c r="T478" s="690"/>
      <c r="U478" s="39" t="s">
        <v>46</v>
      </c>
      <c r="V478" s="39" t="s">
        <v>46</v>
      </c>
      <c r="W478" s="40" t="s">
        <v>0</v>
      </c>
      <c r="X478" s="58">
        <v>150</v>
      </c>
      <c r="Y478" s="55">
        <f t="shared" ref="Y478:Y486" si="73">IFERROR(IF(X478="",0,CEILING((X478/$H478),1)*$H478),"")</f>
        <v>153.12</v>
      </c>
      <c r="Z478" s="41">
        <f t="shared" ref="Z478:Z483" si="74">IFERROR(IF(Y478=0,"",ROUNDUP(Y478/H478,0)*0.01196),"")</f>
        <v>0.34683999999999998</v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159.94318181818181</v>
      </c>
      <c r="BN478" s="78">
        <f t="shared" ref="BN478:BN486" si="76">IFERROR(Y478*I478/H478,"0")</f>
        <v>163.26999999999998</v>
      </c>
      <c r="BO478" s="78">
        <f t="shared" ref="BO478:BO486" si="77">IFERROR(1/J478*(X478/H478),"0")</f>
        <v>0.27316433566433568</v>
      </c>
      <c r="BP478" s="78">
        <f t="shared" ref="BP478:BP486" si="78">IFERROR(1/J478*(Y478/H478),"0")</f>
        <v>0.27884615384615385</v>
      </c>
    </row>
    <row r="479" spans="1:68" ht="27" hidden="1" customHeight="1" x14ac:dyDescent="0.25">
      <c r="A479" s="63" t="s">
        <v>765</v>
      </c>
      <c r="B479" s="63" t="s">
        <v>766</v>
      </c>
      <c r="C479" s="36">
        <v>4301012210</v>
      </c>
      <c r="D479" s="687">
        <v>4607091383522</v>
      </c>
      <c r="E479" s="687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93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89"/>
      <c r="R479" s="689"/>
      <c r="S479" s="689"/>
      <c r="T479" s="69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87">
        <v>4680115885271</v>
      </c>
      <c r="E480" s="687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9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9"/>
      <c r="R480" s="689"/>
      <c r="S480" s="689"/>
      <c r="T480" s="69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7">
        <v>4680115885226</v>
      </c>
      <c r="E481" s="687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9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9"/>
      <c r="R481" s="689"/>
      <c r="S481" s="689"/>
      <c r="T481" s="690"/>
      <c r="U481" s="39" t="s">
        <v>46</v>
      </c>
      <c r="V481" s="39" t="s">
        <v>46</v>
      </c>
      <c r="W481" s="40" t="s">
        <v>0</v>
      </c>
      <c r="X481" s="58">
        <v>50</v>
      </c>
      <c r="Y481" s="55">
        <f t="shared" si="73"/>
        <v>52.800000000000004</v>
      </c>
      <c r="Z481" s="41">
        <f t="shared" si="74"/>
        <v>0.1196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53.314393939393938</v>
      </c>
      <c r="BN481" s="78">
        <f t="shared" si="76"/>
        <v>56.3</v>
      </c>
      <c r="BO481" s="78">
        <f t="shared" si="77"/>
        <v>9.1054778554778545E-2</v>
      </c>
      <c r="BP481" s="78">
        <f t="shared" si="78"/>
        <v>9.6153846153846159E-2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7">
        <v>4680115884502</v>
      </c>
      <c r="E482" s="687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9"/>
      <c r="R482" s="689"/>
      <c r="S482" s="689"/>
      <c r="T482" s="69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7">
        <v>4607091389104</v>
      </c>
      <c r="E483" s="68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9"/>
      <c r="R483" s="689"/>
      <c r="S483" s="689"/>
      <c r="T483" s="690"/>
      <c r="U483" s="39" t="s">
        <v>46</v>
      </c>
      <c r="V483" s="39" t="s">
        <v>46</v>
      </c>
      <c r="W483" s="40" t="s">
        <v>0</v>
      </c>
      <c r="X483" s="58">
        <v>700</v>
      </c>
      <c r="Y483" s="55">
        <f t="shared" si="73"/>
        <v>702.24</v>
      </c>
      <c r="Z483" s="41">
        <f t="shared" si="74"/>
        <v>1.5906800000000001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746.40151515151513</v>
      </c>
      <c r="BN483" s="78">
        <f t="shared" si="76"/>
        <v>748.79</v>
      </c>
      <c r="BO483" s="78">
        <f t="shared" si="77"/>
        <v>1.2747668997668997</v>
      </c>
      <c r="BP483" s="78">
        <f t="shared" si="78"/>
        <v>1.278846153846154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7">
        <v>4680115886391</v>
      </c>
      <c r="E484" s="68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9"/>
      <c r="R484" s="689"/>
      <c r="S484" s="689"/>
      <c r="T484" s="69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7">
        <v>4680115880603</v>
      </c>
      <c r="E485" s="68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9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9"/>
      <c r="R485" s="689"/>
      <c r="S485" s="689"/>
      <c r="T485" s="690"/>
      <c r="U485" s="39" t="s">
        <v>46</v>
      </c>
      <c r="V485" s="39" t="s">
        <v>46</v>
      </c>
      <c r="W485" s="40" t="s">
        <v>0</v>
      </c>
      <c r="X485" s="58">
        <v>120</v>
      </c>
      <c r="Y485" s="55">
        <f t="shared" si="73"/>
        <v>120</v>
      </c>
      <c r="Z485" s="41">
        <f>IFERROR(IF(Y485=0,"",ROUNDUP(Y485/H485,0)*0.00902),"")</f>
        <v>0.22550000000000001</v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172.75000000000003</v>
      </c>
      <c r="BN485" s="78">
        <f t="shared" si="76"/>
        <v>172.75000000000003</v>
      </c>
      <c r="BO485" s="78">
        <f t="shared" si="77"/>
        <v>0.18939393939393939</v>
      </c>
      <c r="BP485" s="78">
        <f t="shared" si="78"/>
        <v>0.18939393939393939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7">
        <v>4607091389982</v>
      </c>
      <c r="E486" s="687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9"/>
      <c r="R486" s="689"/>
      <c r="S486" s="689"/>
      <c r="T486" s="690"/>
      <c r="U486" s="39" t="s">
        <v>46</v>
      </c>
      <c r="V486" s="39" t="s">
        <v>46</v>
      </c>
      <c r="W486" s="40" t="s">
        <v>0</v>
      </c>
      <c r="X486" s="58">
        <v>300</v>
      </c>
      <c r="Y486" s="55">
        <f t="shared" si="73"/>
        <v>302.39999999999998</v>
      </c>
      <c r="Z486" s="41">
        <f>IFERROR(IF(Y486=0,"",ROUNDUP(Y486/H486,0)*0.00902),"")</f>
        <v>0.56825999999999999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431.875</v>
      </c>
      <c r="BN486" s="78">
        <f t="shared" si="76"/>
        <v>435.33</v>
      </c>
      <c r="BO486" s="78">
        <f t="shared" si="77"/>
        <v>0.47348484848484851</v>
      </c>
      <c r="BP486" s="78">
        <f t="shared" si="78"/>
        <v>0.47727272727272729</v>
      </c>
    </row>
    <row r="487" spans="1:68" x14ac:dyDescent="0.2">
      <c r="A487" s="695"/>
      <c r="B487" s="695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695"/>
      <c r="O487" s="696"/>
      <c r="P487" s="692" t="s">
        <v>40</v>
      </c>
      <c r="Q487" s="693"/>
      <c r="R487" s="693"/>
      <c r="S487" s="693"/>
      <c r="T487" s="693"/>
      <c r="U487" s="693"/>
      <c r="V487" s="694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257.95454545454544</v>
      </c>
      <c r="Y487" s="43">
        <f>IFERROR(Y478/H478,"0")+IFERROR(Y479/H479,"0")+IFERROR(Y480/H480,"0")+IFERROR(Y481/H481,"0")+IFERROR(Y482/H482,"0")+IFERROR(Y483/H483,"0")+IFERROR(Y484/H484,"0")+IFERROR(Y485/H485,"0")+IFERROR(Y486/H486,"0")</f>
        <v>260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2.8508800000000001</v>
      </c>
      <c r="AA487" s="67"/>
      <c r="AB487" s="67"/>
      <c r="AC487" s="67"/>
    </row>
    <row r="488" spans="1:68" x14ac:dyDescent="0.2">
      <c r="A488" s="695"/>
      <c r="B488" s="695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695"/>
      <c r="O488" s="696"/>
      <c r="P488" s="692" t="s">
        <v>40</v>
      </c>
      <c r="Q488" s="693"/>
      <c r="R488" s="693"/>
      <c r="S488" s="693"/>
      <c r="T488" s="693"/>
      <c r="U488" s="693"/>
      <c r="V488" s="694"/>
      <c r="W488" s="42" t="s">
        <v>0</v>
      </c>
      <c r="X488" s="43">
        <f>IFERROR(SUM(X478:X486),"0")</f>
        <v>1320</v>
      </c>
      <c r="Y488" s="43">
        <f>IFERROR(SUM(Y478:Y486),"0")</f>
        <v>1330.56</v>
      </c>
      <c r="Z488" s="42"/>
      <c r="AA488" s="67"/>
      <c r="AB488" s="67"/>
      <c r="AC488" s="67"/>
    </row>
    <row r="489" spans="1:68" ht="14.25" hidden="1" customHeight="1" x14ac:dyDescent="0.25">
      <c r="A489" s="686" t="s">
        <v>167</v>
      </c>
      <c r="B489" s="686"/>
      <c r="C489" s="686"/>
      <c r="D489" s="686"/>
      <c r="E489" s="686"/>
      <c r="F489" s="686"/>
      <c r="G489" s="686"/>
      <c r="H489" s="686"/>
      <c r="I489" s="686"/>
      <c r="J489" s="686"/>
      <c r="K489" s="686"/>
      <c r="L489" s="686"/>
      <c r="M489" s="686"/>
      <c r="N489" s="686"/>
      <c r="O489" s="686"/>
      <c r="P489" s="686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7">
        <v>4607091388930</v>
      </c>
      <c r="E490" s="68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9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9"/>
      <c r="R490" s="689"/>
      <c r="S490" s="689"/>
      <c r="T490" s="690"/>
      <c r="U490" s="39" t="s">
        <v>46</v>
      </c>
      <c r="V490" s="39" t="s">
        <v>46</v>
      </c>
      <c r="W490" s="40" t="s">
        <v>0</v>
      </c>
      <c r="X490" s="58">
        <v>400</v>
      </c>
      <c r="Y490" s="55">
        <f>IFERROR(IF(X490="",0,CEILING((X490/$H490),1)*$H490),"")</f>
        <v>401.28000000000003</v>
      </c>
      <c r="Z490" s="41">
        <f>IFERROR(IF(Y490=0,"",ROUNDUP(Y490/H490,0)*0.01196),"")</f>
        <v>0.90895999999999999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426.5151515151515</v>
      </c>
      <c r="BN490" s="78">
        <f>IFERROR(Y490*I490/H490,"0")</f>
        <v>427.88</v>
      </c>
      <c r="BO490" s="78">
        <f>IFERROR(1/J490*(X490/H490),"0")</f>
        <v>0.72843822843822836</v>
      </c>
      <c r="BP490" s="78">
        <f>IFERROR(1/J490*(Y490/H490),"0")</f>
        <v>0.73076923076923084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7">
        <v>4680115886407</v>
      </c>
      <c r="E491" s="687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9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9"/>
      <c r="R491" s="689"/>
      <c r="S491" s="689"/>
      <c r="T491" s="690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7">
        <v>4680115880054</v>
      </c>
      <c r="E492" s="68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9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9"/>
      <c r="R492" s="689"/>
      <c r="S492" s="689"/>
      <c r="T492" s="690"/>
      <c r="U492" s="39" t="s">
        <v>46</v>
      </c>
      <c r="V492" s="39" t="s">
        <v>46</v>
      </c>
      <c r="W492" s="40" t="s">
        <v>0</v>
      </c>
      <c r="X492" s="58">
        <v>120</v>
      </c>
      <c r="Y492" s="55">
        <f>IFERROR(IF(X492="",0,CEILING((X492/$H492),1)*$H492),"")</f>
        <v>120</v>
      </c>
      <c r="Z492" s="41">
        <f>IFERROR(IF(Y492=0,"",ROUNDUP(Y492/H492,0)*0.00902),"")</f>
        <v>0.22550000000000001</v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172.75000000000003</v>
      </c>
      <c r="BN492" s="78">
        <f>IFERROR(Y492*I492/H492,"0")</f>
        <v>172.75000000000003</v>
      </c>
      <c r="BO492" s="78">
        <f>IFERROR(1/J492*(X492/H492),"0")</f>
        <v>0.18939393939393939</v>
      </c>
      <c r="BP492" s="78">
        <f>IFERROR(1/J492*(Y492/H492),"0")</f>
        <v>0.18939393939393939</v>
      </c>
    </row>
    <row r="493" spans="1:68" x14ac:dyDescent="0.2">
      <c r="A493" s="695"/>
      <c r="B493" s="695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695"/>
      <c r="O493" s="696"/>
      <c r="P493" s="692" t="s">
        <v>40</v>
      </c>
      <c r="Q493" s="693"/>
      <c r="R493" s="693"/>
      <c r="S493" s="693"/>
      <c r="T493" s="693"/>
      <c r="U493" s="693"/>
      <c r="V493" s="694"/>
      <c r="W493" s="42" t="s">
        <v>39</v>
      </c>
      <c r="X493" s="43">
        <f>IFERROR(X490/H490,"0")+IFERROR(X491/H491,"0")+IFERROR(X492/H492,"0")</f>
        <v>100.75757575757575</v>
      </c>
      <c r="Y493" s="43">
        <f>IFERROR(Y490/H490,"0")+IFERROR(Y491/H491,"0")+IFERROR(Y492/H492,"0")</f>
        <v>101</v>
      </c>
      <c r="Z493" s="43">
        <f>IFERROR(IF(Z490="",0,Z490),"0")+IFERROR(IF(Z491="",0,Z491),"0")+IFERROR(IF(Z492="",0,Z492),"0")</f>
        <v>1.13446</v>
      </c>
      <c r="AA493" s="67"/>
      <c r="AB493" s="67"/>
      <c r="AC493" s="67"/>
    </row>
    <row r="494" spans="1:68" x14ac:dyDescent="0.2">
      <c r="A494" s="695"/>
      <c r="B494" s="695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695"/>
      <c r="O494" s="696"/>
      <c r="P494" s="692" t="s">
        <v>40</v>
      </c>
      <c r="Q494" s="693"/>
      <c r="R494" s="693"/>
      <c r="S494" s="693"/>
      <c r="T494" s="693"/>
      <c r="U494" s="693"/>
      <c r="V494" s="694"/>
      <c r="W494" s="42" t="s">
        <v>0</v>
      </c>
      <c r="X494" s="43">
        <f>IFERROR(SUM(X490:X492),"0")</f>
        <v>520</v>
      </c>
      <c r="Y494" s="43">
        <f>IFERROR(SUM(Y490:Y492),"0")</f>
        <v>521.28</v>
      </c>
      <c r="Z494" s="42"/>
      <c r="AA494" s="67"/>
      <c r="AB494" s="67"/>
      <c r="AC494" s="67"/>
    </row>
    <row r="495" spans="1:68" ht="14.25" hidden="1" customHeight="1" x14ac:dyDescent="0.25">
      <c r="A495" s="686" t="s">
        <v>77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6"/>
      <c r="M495" s="686"/>
      <c r="N495" s="686"/>
      <c r="O495" s="686"/>
      <c r="P495" s="686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7">
        <v>4680115883116</v>
      </c>
      <c r="E496" s="68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9"/>
      <c r="R496" s="689"/>
      <c r="S496" s="689"/>
      <c r="T496" s="690"/>
      <c r="U496" s="39" t="s">
        <v>46</v>
      </c>
      <c r="V496" s="39" t="s">
        <v>46</v>
      </c>
      <c r="W496" s="40" t="s">
        <v>0</v>
      </c>
      <c r="X496" s="58">
        <v>100</v>
      </c>
      <c r="Y496" s="55">
        <f t="shared" ref="Y496:Y502" si="79">IFERROR(IF(X496="",0,CEILING((X496/$H496),1)*$H496),"")</f>
        <v>100.32000000000001</v>
      </c>
      <c r="Z496" s="41">
        <f>IFERROR(IF(Y496=0,"",ROUNDUP(Y496/H496,0)*0.01196),"")</f>
        <v>0.22724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106.62878787878788</v>
      </c>
      <c r="BN496" s="78">
        <f t="shared" ref="BN496:BN502" si="81">IFERROR(Y496*I496/H496,"0")</f>
        <v>106.97</v>
      </c>
      <c r="BO496" s="78">
        <f t="shared" ref="BO496:BO502" si="82">IFERROR(1/J496*(X496/H496),"0")</f>
        <v>0.18210955710955709</v>
      </c>
      <c r="BP496" s="78">
        <f t="shared" ref="BP496:BP502" si="83">IFERROR(1/J496*(Y496/H496),"0")</f>
        <v>0.18269230769230771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7">
        <v>4680115883093</v>
      </c>
      <c r="E497" s="68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9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9"/>
      <c r="R497" s="689"/>
      <c r="S497" s="689"/>
      <c r="T497" s="690"/>
      <c r="U497" s="39" t="s">
        <v>46</v>
      </c>
      <c r="V497" s="39" t="s">
        <v>46</v>
      </c>
      <c r="W497" s="40" t="s">
        <v>0</v>
      </c>
      <c r="X497" s="58">
        <v>50</v>
      </c>
      <c r="Y497" s="55">
        <f t="shared" si="79"/>
        <v>52.800000000000004</v>
      </c>
      <c r="Z497" s="41">
        <f>IFERROR(IF(Y497=0,"",ROUNDUP(Y497/H497,0)*0.01196),"")</f>
        <v>0.1196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53.314393939393938</v>
      </c>
      <c r="BN497" s="78">
        <f t="shared" si="81"/>
        <v>56.3</v>
      </c>
      <c r="BO497" s="78">
        <f t="shared" si="82"/>
        <v>9.1054778554778545E-2</v>
      </c>
      <c r="BP497" s="78">
        <f t="shared" si="83"/>
        <v>9.6153846153846159E-2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7">
        <v>4680115883109</v>
      </c>
      <c r="E498" s="68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9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9"/>
      <c r="R498" s="689"/>
      <c r="S498" s="689"/>
      <c r="T498" s="690"/>
      <c r="U498" s="39" t="s">
        <v>46</v>
      </c>
      <c r="V498" s="39" t="s">
        <v>46</v>
      </c>
      <c r="W498" s="40" t="s">
        <v>0</v>
      </c>
      <c r="X498" s="58">
        <v>160</v>
      </c>
      <c r="Y498" s="55">
        <f t="shared" si="79"/>
        <v>163.68</v>
      </c>
      <c r="Z498" s="41">
        <f>IFERROR(IF(Y498=0,"",ROUNDUP(Y498/H498,0)*0.01196),"")</f>
        <v>0.37075999999999998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170.60606060606059</v>
      </c>
      <c r="BN498" s="78">
        <f t="shared" si="81"/>
        <v>174.53</v>
      </c>
      <c r="BO498" s="78">
        <f t="shared" si="82"/>
        <v>0.29137529137529139</v>
      </c>
      <c r="BP498" s="78">
        <f t="shared" si="83"/>
        <v>0.29807692307692307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7">
        <v>4680115882072</v>
      </c>
      <c r="E499" s="68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9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9"/>
      <c r="R499" s="689"/>
      <c r="S499" s="689"/>
      <c r="T499" s="690"/>
      <c r="U499" s="39" t="s">
        <v>46</v>
      </c>
      <c r="V499" s="39" t="s">
        <v>46</v>
      </c>
      <c r="W499" s="40" t="s">
        <v>0</v>
      </c>
      <c r="X499" s="58">
        <v>66</v>
      </c>
      <c r="Y499" s="55">
        <f t="shared" si="79"/>
        <v>67.2</v>
      </c>
      <c r="Z499" s="41">
        <f>IFERROR(IF(Y499=0,"",ROUNDUP(Y499/H499,0)*0.00902),"")</f>
        <v>0.12628</v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95.012500000000003</v>
      </c>
      <c r="BN499" s="78">
        <f t="shared" si="81"/>
        <v>96.740000000000009</v>
      </c>
      <c r="BO499" s="78">
        <f t="shared" si="82"/>
        <v>0.10416666666666667</v>
      </c>
      <c r="BP499" s="78">
        <f t="shared" si="83"/>
        <v>0.10606060606060608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7">
        <v>4680115882102</v>
      </c>
      <c r="E500" s="687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9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9"/>
      <c r="R500" s="689"/>
      <c r="S500" s="689"/>
      <c r="T500" s="69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87">
        <v>4680115882102</v>
      </c>
      <c r="E501" s="687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9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9"/>
      <c r="R501" s="689"/>
      <c r="S501" s="689"/>
      <c r="T501" s="69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7">
        <v>4680115882096</v>
      </c>
      <c r="E502" s="687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9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9"/>
      <c r="R502" s="689"/>
      <c r="S502" s="689"/>
      <c r="T502" s="690"/>
      <c r="U502" s="39" t="s">
        <v>46</v>
      </c>
      <c r="V502" s="39" t="s">
        <v>46</v>
      </c>
      <c r="W502" s="40" t="s">
        <v>0</v>
      </c>
      <c r="X502" s="58">
        <v>120</v>
      </c>
      <c r="Y502" s="55">
        <f t="shared" si="79"/>
        <v>120</v>
      </c>
      <c r="Z502" s="41">
        <f>IFERROR(IF(Y502=0,"",ROUNDUP(Y502/H502,0)*0.00902),"")</f>
        <v>0.22550000000000001</v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166.75</v>
      </c>
      <c r="BN502" s="78">
        <f t="shared" si="81"/>
        <v>166.75</v>
      </c>
      <c r="BO502" s="78">
        <f t="shared" si="82"/>
        <v>0.18939393939393939</v>
      </c>
      <c r="BP502" s="78">
        <f t="shared" si="83"/>
        <v>0.18939393939393939</v>
      </c>
    </row>
    <row r="503" spans="1:68" x14ac:dyDescent="0.2">
      <c r="A503" s="695"/>
      <c r="B503" s="695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695"/>
      <c r="O503" s="696"/>
      <c r="P503" s="692" t="s">
        <v>40</v>
      </c>
      <c r="Q503" s="693"/>
      <c r="R503" s="693"/>
      <c r="S503" s="693"/>
      <c r="T503" s="693"/>
      <c r="U503" s="693"/>
      <c r="V503" s="694"/>
      <c r="W503" s="42" t="s">
        <v>39</v>
      </c>
      <c r="X503" s="43">
        <f>IFERROR(X496/H496,"0")+IFERROR(X497/H497,"0")+IFERROR(X498/H498,"0")+IFERROR(X499/H499,"0")+IFERROR(X500/H500,"0")+IFERROR(X501/H501,"0")+IFERROR(X502/H502,"0")</f>
        <v>97.462121212121204</v>
      </c>
      <c r="Y503" s="43">
        <f>IFERROR(Y496/H496,"0")+IFERROR(Y497/H497,"0")+IFERROR(Y498/H498,"0")+IFERROR(Y499/H499,"0")+IFERROR(Y500/H500,"0")+IFERROR(Y501/H501,"0")+IFERROR(Y502/H502,"0")</f>
        <v>99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1.06938</v>
      </c>
      <c r="AA503" s="67"/>
      <c r="AB503" s="67"/>
      <c r="AC503" s="67"/>
    </row>
    <row r="504" spans="1:68" x14ac:dyDescent="0.2">
      <c r="A504" s="695"/>
      <c r="B504" s="695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695"/>
      <c r="O504" s="696"/>
      <c r="P504" s="692" t="s">
        <v>40</v>
      </c>
      <c r="Q504" s="693"/>
      <c r="R504" s="693"/>
      <c r="S504" s="693"/>
      <c r="T504" s="693"/>
      <c r="U504" s="693"/>
      <c r="V504" s="694"/>
      <c r="W504" s="42" t="s">
        <v>0</v>
      </c>
      <c r="X504" s="43">
        <f>IFERROR(SUM(X496:X502),"0")</f>
        <v>496</v>
      </c>
      <c r="Y504" s="43">
        <f>IFERROR(SUM(Y496:Y502),"0")</f>
        <v>504</v>
      </c>
      <c r="Z504" s="42"/>
      <c r="AA504" s="67"/>
      <c r="AB504" s="67"/>
      <c r="AC504" s="67"/>
    </row>
    <row r="505" spans="1:68" ht="27.75" hidden="1" customHeight="1" x14ac:dyDescent="0.2">
      <c r="A505" s="684" t="s">
        <v>809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hidden="1" customHeight="1" x14ac:dyDescent="0.25">
      <c r="A506" s="685" t="s">
        <v>809</v>
      </c>
      <c r="B506" s="685"/>
      <c r="C506" s="685"/>
      <c r="D506" s="685"/>
      <c r="E506" s="685"/>
      <c r="F506" s="685"/>
      <c r="G506" s="685"/>
      <c r="H506" s="685"/>
      <c r="I506" s="685"/>
      <c r="J506" s="685"/>
      <c r="K506" s="685"/>
      <c r="L506" s="685"/>
      <c r="M506" s="685"/>
      <c r="N506" s="685"/>
      <c r="O506" s="685"/>
      <c r="P506" s="685"/>
      <c r="Q506" s="685"/>
      <c r="R506" s="685"/>
      <c r="S506" s="685"/>
      <c r="T506" s="685"/>
      <c r="U506" s="685"/>
      <c r="V506" s="685"/>
      <c r="W506" s="685"/>
      <c r="X506" s="685"/>
      <c r="Y506" s="685"/>
      <c r="Z506" s="685"/>
      <c r="AA506" s="65"/>
      <c r="AB506" s="65"/>
      <c r="AC506" s="79"/>
    </row>
    <row r="507" spans="1:68" ht="14.25" hidden="1" customHeight="1" x14ac:dyDescent="0.25">
      <c r="A507" s="686" t="s">
        <v>132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7">
        <v>4640242180564</v>
      </c>
      <c r="E508" s="687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9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9"/>
      <c r="R508" s="689"/>
      <c r="S508" s="689"/>
      <c r="T508" s="690"/>
      <c r="U508" s="39" t="s">
        <v>46</v>
      </c>
      <c r="V508" s="39" t="s">
        <v>46</v>
      </c>
      <c r="W508" s="40" t="s">
        <v>0</v>
      </c>
      <c r="X508" s="58">
        <v>50</v>
      </c>
      <c r="Y508" s="55">
        <f>IFERROR(IF(X508="",0,CEILING((X508/$H508),1)*$H508),"")</f>
        <v>60</v>
      </c>
      <c r="Z508" s="41">
        <f>IFERROR(IF(Y508=0,"",ROUNDUP(Y508/H508,0)*0.01898),"")</f>
        <v>9.4899999999999998E-2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51.708333333333336</v>
      </c>
      <c r="BN508" s="78">
        <f>IFERROR(Y508*I508/H508,"0")</f>
        <v>62.050000000000004</v>
      </c>
      <c r="BO508" s="78">
        <f>IFERROR(1/J508*(X508/H508),"0")</f>
        <v>6.5104166666666671E-2</v>
      </c>
      <c r="BP508" s="78">
        <f>IFERROR(1/J508*(Y508/H508),"0")</f>
        <v>7.8125E-2</v>
      </c>
    </row>
    <row r="509" spans="1:68" x14ac:dyDescent="0.2">
      <c r="A509" s="695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95"/>
      <c r="O509" s="696"/>
      <c r="P509" s="692" t="s">
        <v>40</v>
      </c>
      <c r="Q509" s="693"/>
      <c r="R509" s="693"/>
      <c r="S509" s="693"/>
      <c r="T509" s="693"/>
      <c r="U509" s="693"/>
      <c r="V509" s="694"/>
      <c r="W509" s="42" t="s">
        <v>39</v>
      </c>
      <c r="X509" s="43">
        <f>IFERROR(X508/H508,"0")</f>
        <v>4.166666666666667</v>
      </c>
      <c r="Y509" s="43">
        <f>IFERROR(Y508/H508,"0")</f>
        <v>5</v>
      </c>
      <c r="Z509" s="43">
        <f>IFERROR(IF(Z508="",0,Z508),"0")</f>
        <v>9.4899999999999998E-2</v>
      </c>
      <c r="AA509" s="67"/>
      <c r="AB509" s="67"/>
      <c r="AC509" s="67"/>
    </row>
    <row r="510" spans="1:68" x14ac:dyDescent="0.2">
      <c r="A510" s="695"/>
      <c r="B510" s="695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695"/>
      <c r="O510" s="696"/>
      <c r="P510" s="692" t="s">
        <v>40</v>
      </c>
      <c r="Q510" s="693"/>
      <c r="R510" s="693"/>
      <c r="S510" s="693"/>
      <c r="T510" s="693"/>
      <c r="U510" s="693"/>
      <c r="V510" s="694"/>
      <c r="W510" s="42" t="s">
        <v>0</v>
      </c>
      <c r="X510" s="43">
        <f>IFERROR(SUM(X508:X508),"0")</f>
        <v>50</v>
      </c>
      <c r="Y510" s="43">
        <f>IFERROR(SUM(Y508:Y508),"0")</f>
        <v>60</v>
      </c>
      <c r="Z510" s="42"/>
      <c r="AA510" s="67"/>
      <c r="AB510" s="67"/>
      <c r="AC510" s="67"/>
    </row>
    <row r="511" spans="1:68" ht="14.25" hidden="1" customHeight="1" x14ac:dyDescent="0.25">
      <c r="A511" s="686" t="s">
        <v>167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7">
        <v>4640242180519</v>
      </c>
      <c r="E512" s="687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9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9"/>
      <c r="R512" s="689"/>
      <c r="S512" s="689"/>
      <c r="T512" s="69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5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95"/>
      <c r="O513" s="696"/>
      <c r="P513" s="692" t="s">
        <v>40</v>
      </c>
      <c r="Q513" s="693"/>
      <c r="R513" s="693"/>
      <c r="S513" s="693"/>
      <c r="T513" s="693"/>
      <c r="U513" s="693"/>
      <c r="V513" s="694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5"/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6"/>
      <c r="P514" s="692" t="s">
        <v>40</v>
      </c>
      <c r="Q514" s="693"/>
      <c r="R514" s="693"/>
      <c r="S514" s="693"/>
      <c r="T514" s="693"/>
      <c r="U514" s="693"/>
      <c r="V514" s="694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6" t="s">
        <v>77</v>
      </c>
      <c r="B515" s="686"/>
      <c r="C515" s="686"/>
      <c r="D515" s="686"/>
      <c r="E515" s="686"/>
      <c r="F515" s="686"/>
      <c r="G515" s="686"/>
      <c r="H515" s="686"/>
      <c r="I515" s="686"/>
      <c r="J515" s="686"/>
      <c r="K515" s="686"/>
      <c r="L515" s="686"/>
      <c r="M515" s="686"/>
      <c r="N515" s="686"/>
      <c r="O515" s="686"/>
      <c r="P515" s="686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87">
        <v>4640242180595</v>
      </c>
      <c r="E516" s="687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95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9"/>
      <c r="R516" s="689"/>
      <c r="S516" s="689"/>
      <c r="T516" s="69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7">
        <v>4640242180595</v>
      </c>
      <c r="E517" s="687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9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9"/>
      <c r="R517" s="689"/>
      <c r="S517" s="689"/>
      <c r="T517" s="690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95"/>
      <c r="B518" s="695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695"/>
      <c r="O518" s="696"/>
      <c r="P518" s="692" t="s">
        <v>40</v>
      </c>
      <c r="Q518" s="693"/>
      <c r="R518" s="693"/>
      <c r="S518" s="693"/>
      <c r="T518" s="693"/>
      <c r="U518" s="693"/>
      <c r="V518" s="694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95"/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P519" s="692" t="s">
        <v>40</v>
      </c>
      <c r="Q519" s="693"/>
      <c r="R519" s="693"/>
      <c r="S519" s="693"/>
      <c r="T519" s="693"/>
      <c r="U519" s="693"/>
      <c r="V519" s="694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86" t="s">
        <v>86</v>
      </c>
      <c r="B520" s="686"/>
      <c r="C520" s="686"/>
      <c r="D520" s="686"/>
      <c r="E520" s="686"/>
      <c r="F520" s="686"/>
      <c r="G520" s="686"/>
      <c r="H520" s="686"/>
      <c r="I520" s="686"/>
      <c r="J520" s="686"/>
      <c r="K520" s="686"/>
      <c r="L520" s="686"/>
      <c r="M520" s="686"/>
      <c r="N520" s="686"/>
      <c r="O520" s="686"/>
      <c r="P520" s="686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7">
        <v>4640242180533</v>
      </c>
      <c r="E521" s="687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9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9"/>
      <c r="R521" s="689"/>
      <c r="S521" s="689"/>
      <c r="T521" s="690"/>
      <c r="U521" s="39" t="s">
        <v>46</v>
      </c>
      <c r="V521" s="39" t="s">
        <v>46</v>
      </c>
      <c r="W521" s="40" t="s">
        <v>0</v>
      </c>
      <c r="X521" s="58">
        <v>1190</v>
      </c>
      <c r="Y521" s="55">
        <f>IFERROR(IF(X521="",0,CEILING((X521/$H521),1)*$H521),"")</f>
        <v>1197</v>
      </c>
      <c r="Z521" s="41">
        <f>IFERROR(IF(Y521=0,"",ROUNDUP(Y521/H521,0)*0.01898),"")</f>
        <v>2.52434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1255.3177777777778</v>
      </c>
      <c r="BN521" s="78">
        <f>IFERROR(Y521*I521/H521,"0")</f>
        <v>1262.702</v>
      </c>
      <c r="BO521" s="78">
        <f>IFERROR(1/J521*(X521/H521),"0")</f>
        <v>2.0659722222222223</v>
      </c>
      <c r="BP521" s="78">
        <f>IFERROR(1/J521*(Y521/H521),"0")</f>
        <v>2.078125</v>
      </c>
    </row>
    <row r="522" spans="1:68" x14ac:dyDescent="0.2">
      <c r="A522" s="695"/>
      <c r="B522" s="695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695"/>
      <c r="O522" s="696"/>
      <c r="P522" s="692" t="s">
        <v>40</v>
      </c>
      <c r="Q522" s="693"/>
      <c r="R522" s="693"/>
      <c r="S522" s="693"/>
      <c r="T522" s="693"/>
      <c r="U522" s="693"/>
      <c r="V522" s="694"/>
      <c r="W522" s="42" t="s">
        <v>39</v>
      </c>
      <c r="X522" s="43">
        <f>IFERROR(X521/H521,"0")</f>
        <v>132.22222222222223</v>
      </c>
      <c r="Y522" s="43">
        <f>IFERROR(Y521/H521,"0")</f>
        <v>133</v>
      </c>
      <c r="Z522" s="43">
        <f>IFERROR(IF(Z521="",0,Z521),"0")</f>
        <v>2.52434</v>
      </c>
      <c r="AA522" s="67"/>
      <c r="AB522" s="67"/>
      <c r="AC522" s="67"/>
    </row>
    <row r="523" spans="1:68" x14ac:dyDescent="0.2">
      <c r="A523" s="695"/>
      <c r="B523" s="695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695"/>
      <c r="O523" s="696"/>
      <c r="P523" s="692" t="s">
        <v>40</v>
      </c>
      <c r="Q523" s="693"/>
      <c r="R523" s="693"/>
      <c r="S523" s="693"/>
      <c r="T523" s="693"/>
      <c r="U523" s="693"/>
      <c r="V523" s="694"/>
      <c r="W523" s="42" t="s">
        <v>0</v>
      </c>
      <c r="X523" s="43">
        <f>IFERROR(SUM(X521:X521),"0")</f>
        <v>1190</v>
      </c>
      <c r="Y523" s="43">
        <f>IFERROR(SUM(Y521:Y521),"0")</f>
        <v>1197</v>
      </c>
      <c r="Z523" s="42"/>
      <c r="AA523" s="67"/>
      <c r="AB523" s="67"/>
      <c r="AC523" s="67"/>
    </row>
    <row r="524" spans="1:68" ht="14.25" hidden="1" customHeight="1" x14ac:dyDescent="0.25">
      <c r="A524" s="686" t="s">
        <v>184</v>
      </c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86"/>
      <c r="P524" s="686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87">
        <v>4640242180120</v>
      </c>
      <c r="E525" s="687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9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9"/>
      <c r="R525" s="689"/>
      <c r="S525" s="689"/>
      <c r="T525" s="69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87">
        <v>4640242180137</v>
      </c>
      <c r="E526" s="687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9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9"/>
      <c r="R526" s="689"/>
      <c r="S526" s="689"/>
      <c r="T526" s="69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95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695"/>
      <c r="O527" s="696"/>
      <c r="P527" s="692" t="s">
        <v>40</v>
      </c>
      <c r="Q527" s="693"/>
      <c r="R527" s="693"/>
      <c r="S527" s="693"/>
      <c r="T527" s="693"/>
      <c r="U527" s="693"/>
      <c r="V527" s="694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95"/>
      <c r="B528" s="695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695"/>
      <c r="O528" s="696"/>
      <c r="P528" s="692" t="s">
        <v>40</v>
      </c>
      <c r="Q528" s="693"/>
      <c r="R528" s="693"/>
      <c r="S528" s="693"/>
      <c r="T528" s="693"/>
      <c r="U528" s="693"/>
      <c r="V528" s="694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85" t="s">
        <v>830</v>
      </c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5"/>
      <c r="P529" s="685"/>
      <c r="Q529" s="685"/>
      <c r="R529" s="685"/>
      <c r="S529" s="685"/>
      <c r="T529" s="685"/>
      <c r="U529" s="685"/>
      <c r="V529" s="685"/>
      <c r="W529" s="685"/>
      <c r="X529" s="685"/>
      <c r="Y529" s="685"/>
      <c r="Z529" s="685"/>
      <c r="AA529" s="65"/>
      <c r="AB529" s="65"/>
      <c r="AC529" s="79"/>
    </row>
    <row r="530" spans="1:68" ht="14.25" hidden="1" customHeight="1" x14ac:dyDescent="0.25">
      <c r="A530" s="686" t="s">
        <v>167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7">
        <v>4640242180090</v>
      </c>
      <c r="E531" s="687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9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9"/>
      <c r="R531" s="689"/>
      <c r="S531" s="689"/>
      <c r="T531" s="690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5"/>
      <c r="B532" s="695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695"/>
      <c r="O532" s="696"/>
      <c r="P532" s="692" t="s">
        <v>40</v>
      </c>
      <c r="Q532" s="693"/>
      <c r="R532" s="693"/>
      <c r="S532" s="693"/>
      <c r="T532" s="693"/>
      <c r="U532" s="693"/>
      <c r="V532" s="69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5"/>
      <c r="B533" s="695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695"/>
      <c r="O533" s="696"/>
      <c r="P533" s="692" t="s">
        <v>40</v>
      </c>
      <c r="Q533" s="693"/>
      <c r="R533" s="693"/>
      <c r="S533" s="693"/>
      <c r="T533" s="693"/>
      <c r="U533" s="693"/>
      <c r="V533" s="69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5"/>
      <c r="B534" s="695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695"/>
      <c r="O534" s="963"/>
      <c r="P534" s="960" t="s">
        <v>33</v>
      </c>
      <c r="Q534" s="961"/>
      <c r="R534" s="961"/>
      <c r="S534" s="961"/>
      <c r="T534" s="961"/>
      <c r="U534" s="961"/>
      <c r="V534" s="96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17410.7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17622.960000000003</v>
      </c>
      <c r="Z534" s="42"/>
      <c r="AA534" s="67"/>
      <c r="AB534" s="67"/>
      <c r="AC534" s="67"/>
    </row>
    <row r="535" spans="1:68" x14ac:dyDescent="0.2">
      <c r="A535" s="695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95"/>
      <c r="O535" s="963"/>
      <c r="P535" s="960" t="s">
        <v>34</v>
      </c>
      <c r="Q535" s="961"/>
      <c r="R535" s="961"/>
      <c r="S535" s="961"/>
      <c r="T535" s="961"/>
      <c r="U535" s="961"/>
      <c r="V535" s="962"/>
      <c r="W535" s="42" t="s">
        <v>0</v>
      </c>
      <c r="X535" s="43">
        <f>IFERROR(SUM(BM22:BM531),"0")</f>
        <v>18749.284658190893</v>
      </c>
      <c r="Y535" s="43">
        <f>IFERROR(SUM(BN22:BN531),"0")</f>
        <v>18974.252000000004</v>
      </c>
      <c r="Z535" s="42"/>
      <c r="AA535" s="67"/>
      <c r="AB535" s="67"/>
      <c r="AC535" s="67"/>
    </row>
    <row r="536" spans="1:68" x14ac:dyDescent="0.2">
      <c r="A536" s="695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963"/>
      <c r="P536" s="960" t="s">
        <v>35</v>
      </c>
      <c r="Q536" s="961"/>
      <c r="R536" s="961"/>
      <c r="S536" s="961"/>
      <c r="T536" s="961"/>
      <c r="U536" s="961"/>
      <c r="V536" s="962"/>
      <c r="W536" s="42" t="s">
        <v>20</v>
      </c>
      <c r="X536" s="44">
        <f>ROUNDUP(SUM(BO22:BO531),0)</f>
        <v>32</v>
      </c>
      <c r="Y536" s="44">
        <f>ROUNDUP(SUM(BP22:BP531),0)</f>
        <v>33</v>
      </c>
      <c r="Z536" s="42"/>
      <c r="AA536" s="67"/>
      <c r="AB536" s="67"/>
      <c r="AC536" s="67"/>
    </row>
    <row r="537" spans="1:68" x14ac:dyDescent="0.2">
      <c r="A537" s="695"/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963"/>
      <c r="P537" s="960" t="s">
        <v>36</v>
      </c>
      <c r="Q537" s="961"/>
      <c r="R537" s="961"/>
      <c r="S537" s="961"/>
      <c r="T537" s="961"/>
      <c r="U537" s="961"/>
      <c r="V537" s="962"/>
      <c r="W537" s="42" t="s">
        <v>0</v>
      </c>
      <c r="X537" s="43">
        <f>GrossWeightTotal+PalletQtyTotal*25</f>
        <v>19549.284658190893</v>
      </c>
      <c r="Y537" s="43">
        <f>GrossWeightTotalR+PalletQtyTotalR*25</f>
        <v>19799.252000000004</v>
      </c>
      <c r="Z537" s="42"/>
      <c r="AA537" s="67"/>
      <c r="AB537" s="67"/>
      <c r="AC537" s="67"/>
    </row>
    <row r="538" spans="1:68" x14ac:dyDescent="0.2">
      <c r="A538" s="695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95"/>
      <c r="O538" s="963"/>
      <c r="P538" s="960" t="s">
        <v>37</v>
      </c>
      <c r="Q538" s="961"/>
      <c r="R538" s="961"/>
      <c r="S538" s="961"/>
      <c r="T538" s="961"/>
      <c r="U538" s="961"/>
      <c r="V538" s="96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3870.3834628547274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3907</v>
      </c>
      <c r="Z538" s="42"/>
      <c r="AA538" s="67"/>
      <c r="AB538" s="67"/>
      <c r="AC538" s="67"/>
    </row>
    <row r="539" spans="1:68" ht="14.25" hidden="1" x14ac:dyDescent="0.2">
      <c r="A539" s="695"/>
      <c r="B539" s="695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695"/>
      <c r="O539" s="963"/>
      <c r="P539" s="960" t="s">
        <v>38</v>
      </c>
      <c r="Q539" s="961"/>
      <c r="R539" s="961"/>
      <c r="S539" s="961"/>
      <c r="T539" s="961"/>
      <c r="U539" s="961"/>
      <c r="V539" s="96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37.819580000000002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6" t="s">
        <v>130</v>
      </c>
      <c r="E541" s="966" t="s">
        <v>130</v>
      </c>
      <c r="F541" s="966" t="s">
        <v>130</v>
      </c>
      <c r="G541" s="966" t="s">
        <v>130</v>
      </c>
      <c r="H541" s="966" t="s">
        <v>130</v>
      </c>
      <c r="I541" s="966" t="s">
        <v>130</v>
      </c>
      <c r="J541" s="966" t="s">
        <v>130</v>
      </c>
      <c r="K541" s="966" t="s">
        <v>339</v>
      </c>
      <c r="L541" s="966" t="s">
        <v>339</v>
      </c>
      <c r="M541" s="966" t="s">
        <v>339</v>
      </c>
      <c r="N541" s="967"/>
      <c r="O541" s="966" t="s">
        <v>339</v>
      </c>
      <c r="P541" s="966" t="s">
        <v>339</v>
      </c>
      <c r="Q541" s="966" t="s">
        <v>339</v>
      </c>
      <c r="R541" s="966" t="s">
        <v>339</v>
      </c>
      <c r="S541" s="966" t="s">
        <v>339</v>
      </c>
      <c r="T541" s="966" t="s">
        <v>339</v>
      </c>
      <c r="U541" s="966" t="s">
        <v>339</v>
      </c>
      <c r="V541" s="966" t="s">
        <v>666</v>
      </c>
      <c r="W541" s="966" t="s">
        <v>666</v>
      </c>
      <c r="X541" s="966" t="s">
        <v>726</v>
      </c>
      <c r="Y541" s="966" t="s">
        <v>726</v>
      </c>
      <c r="Z541" s="85" t="s">
        <v>762</v>
      </c>
      <c r="AA541" s="966" t="s">
        <v>809</v>
      </c>
      <c r="AB541" s="966" t="s">
        <v>809</v>
      </c>
      <c r="AC541" s="60"/>
      <c r="AF541" s="1"/>
    </row>
    <row r="542" spans="1:68" ht="14.25" customHeight="1" thickTop="1" x14ac:dyDescent="0.2">
      <c r="A542" s="964" t="s">
        <v>10</v>
      </c>
      <c r="B542" s="966" t="s">
        <v>76</v>
      </c>
      <c r="C542" s="966" t="s">
        <v>113</v>
      </c>
      <c r="D542" s="966" t="s">
        <v>131</v>
      </c>
      <c r="E542" s="966" t="s">
        <v>147</v>
      </c>
      <c r="F542" s="966" t="s">
        <v>191</v>
      </c>
      <c r="G542" s="966" t="s">
        <v>212</v>
      </c>
      <c r="H542" s="966" t="s">
        <v>256</v>
      </c>
      <c r="I542" s="966" t="s">
        <v>268</v>
      </c>
      <c r="J542" s="966" t="s">
        <v>130</v>
      </c>
      <c r="K542" s="966" t="s">
        <v>340</v>
      </c>
      <c r="L542" s="966" t="s">
        <v>361</v>
      </c>
      <c r="M542" s="966" t="s">
        <v>425</v>
      </c>
      <c r="N542" s="1"/>
      <c r="O542" s="966" t="s">
        <v>493</v>
      </c>
      <c r="P542" s="966" t="s">
        <v>526</v>
      </c>
      <c r="Q542" s="966" t="s">
        <v>542</v>
      </c>
      <c r="R542" s="966" t="s">
        <v>551</v>
      </c>
      <c r="S542" s="966" t="s">
        <v>572</v>
      </c>
      <c r="T542" s="966" t="s">
        <v>581</v>
      </c>
      <c r="U542" s="966" t="s">
        <v>656</v>
      </c>
      <c r="V542" s="966" t="s">
        <v>667</v>
      </c>
      <c r="W542" s="966" t="s">
        <v>710</v>
      </c>
      <c r="X542" s="966" t="s">
        <v>727</v>
      </c>
      <c r="Y542" s="966" t="s">
        <v>750</v>
      </c>
      <c r="Z542" s="966" t="s">
        <v>762</v>
      </c>
      <c r="AA542" s="966" t="s">
        <v>809</v>
      </c>
      <c r="AB542" s="966" t="s">
        <v>830</v>
      </c>
      <c r="AC542" s="60"/>
      <c r="AF542" s="1"/>
    </row>
    <row r="543" spans="1:68" ht="13.5" thickBot="1" x14ac:dyDescent="0.25">
      <c r="A543" s="965"/>
      <c r="B543" s="966"/>
      <c r="C543" s="966"/>
      <c r="D543" s="966"/>
      <c r="E543" s="966"/>
      <c r="F543" s="966"/>
      <c r="G543" s="966"/>
      <c r="H543" s="966"/>
      <c r="I543" s="966"/>
      <c r="J543" s="966"/>
      <c r="K543" s="966"/>
      <c r="L543" s="966"/>
      <c r="M543" s="966"/>
      <c r="N543" s="1"/>
      <c r="O543" s="966"/>
      <c r="P543" s="966"/>
      <c r="Q543" s="966"/>
      <c r="R543" s="966"/>
      <c r="S543" s="966"/>
      <c r="T543" s="966"/>
      <c r="U543" s="966"/>
      <c r="V543" s="966"/>
      <c r="W543" s="966"/>
      <c r="X543" s="966"/>
      <c r="Y543" s="966"/>
      <c r="Z543" s="966"/>
      <c r="AA543" s="966"/>
      <c r="AB543" s="96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32.64</v>
      </c>
      <c r="D544" s="52">
        <f>IFERROR(Y52*1,"0")+IFERROR(Y53*1,"0")+IFERROR(Y54*1,"0")+IFERROR(Y55*1,"0")</f>
        <v>605.20000000000005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616.80000000000007</v>
      </c>
      <c r="F544" s="52">
        <f>IFERROR(Y88*1,"0")+IFERROR(Y89*1,"0")+IFERROR(Y90*1,"0")+IFERROR(Y91*1,"0")+IFERROR(Y95*1,"0")+IFERROR(Y96*1,"0")+IFERROR(Y97*1,"0")+IFERROR(Y98*1,"0")</f>
        <v>1147.5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1350.9199999999998</v>
      </c>
      <c r="H544" s="52">
        <f>IFERROR(Y135*1,"0")+IFERROR(Y136*1,"0")+IFERROR(Y140*1,"0")+IFERROR(Y141*1,"0")+IFERROR(Y145*1,"0")+IFERROR(Y146*1,"0")</f>
        <v>60.480000000000004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691.83999999999992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350.84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1415.1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161.29999999999998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249.6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366.6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1568.2</v>
      </c>
      <c r="U544" s="52">
        <f>IFERROR(Y399*1,"0")+IFERROR(Y400*1,"0")+IFERROR(Y401*1,"0")</f>
        <v>842.1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4506</v>
      </c>
      <c r="W544" s="52">
        <f>IFERROR(Y434*1,"0")+IFERROR(Y435*1,"0")+IFERROR(Y439*1,"0")+IFERROR(Y443*1,"0")+IFERROR(Y444*1,"0")+IFERROR(Y445*1,"0")</f>
        <v>45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2355.8399999999997</v>
      </c>
      <c r="AA544" s="52">
        <f>IFERROR(Y508*1,"0")+IFERROR(Y512*1,"0")+IFERROR(Y516*1,"0")+IFERROR(Y517*1,"0")+IFERROR(Y521*1,"0")+IFERROR(Y525*1,"0")+IFERROR(Y526*1,"0")</f>
        <v>1257</v>
      </c>
      <c r="AB544" s="52">
        <f>IFERROR(Y531*1,"0")</f>
        <v>0</v>
      </c>
      <c r="AC544" s="60"/>
      <c r="AF544" s="1"/>
    </row>
  </sheetData>
  <sheetProtection algorithmName="SHA-512" hashValue="3kQ37mIpbZwMRS5rsZJ6K+byMV/p67UJpbn5dyRYs0U37uXL4zG6u6EkQepxtMZsWe+Xkt7dNz1/mqCrOg/tyQ==" saltValue="8Gyvd9P6ZOxXmjuQXwhy6g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90,00"/>
        <filter val="1 320,00"/>
        <filter val="1 900,00"/>
        <filter val="1,10"/>
        <filter val="10,50"/>
        <filter val="100,00"/>
        <filter val="100,76"/>
        <filter val="103,33"/>
        <filter val="105,00"/>
        <filter val="110,00"/>
        <filter val="112,00"/>
        <filter val="118,52"/>
        <filter val="12,00"/>
        <filter val="120,00"/>
        <filter val="125,00"/>
        <filter val="132,22"/>
        <filter val="134,00"/>
        <filter val="14,40"/>
        <filter val="14,50"/>
        <filter val="140,00"/>
        <filter val="150,00"/>
        <filter val="155,86"/>
        <filter val="159,07"/>
        <filter val="16,50"/>
        <filter val="16,67"/>
        <filter val="160,00"/>
        <filter val="17 410,70"/>
        <filter val="17,50"/>
        <filter val="170,00"/>
        <filter val="173,33"/>
        <filter val="176,00"/>
        <filter val="18 749,28"/>
        <filter val="18,33"/>
        <filter val="180,00"/>
        <filter val="19 549,28"/>
        <filter val="190,00"/>
        <filter val="2,50"/>
        <filter val="20,00"/>
        <filter val="200,00"/>
        <filter val="203,70"/>
        <filter val="21,11"/>
        <filter val="22,22"/>
        <filter val="225,00"/>
        <filter val="231,33"/>
        <filter val="236,73"/>
        <filter val="24,00"/>
        <filter val="248,00"/>
        <filter val="250,00"/>
        <filter val="257,95"/>
        <filter val="26,60"/>
        <filter val="270,00"/>
        <filter val="272,00"/>
        <filter val="28,59"/>
        <filter val="280,00"/>
        <filter val="3 410,00"/>
        <filter val="3 870,38"/>
        <filter val="30,00"/>
        <filter val="300,00"/>
        <filter val="306,90"/>
        <filter val="308,95"/>
        <filter val="310,90"/>
        <filter val="32"/>
        <filter val="32,00"/>
        <filter val="350,00"/>
        <filter val="36,00"/>
        <filter val="36,30"/>
        <filter val="360,00"/>
        <filter val="361,10"/>
        <filter val="375,00"/>
        <filter val="380,00"/>
        <filter val="4,00"/>
        <filter val="4,17"/>
        <filter val="4,44"/>
        <filter val="4,50"/>
        <filter val="40,00"/>
        <filter val="40,74"/>
        <filter val="400,00"/>
        <filter val="405,00"/>
        <filter val="44,87"/>
        <filter val="442,00"/>
        <filter val="45,00"/>
        <filter val="45,50"/>
        <filter val="450,00"/>
        <filter val="48,00"/>
        <filter val="490,00"/>
        <filter val="493,00"/>
        <filter val="496,00"/>
        <filter val="5,56"/>
        <filter val="50,00"/>
        <filter val="500,00"/>
        <filter val="520,00"/>
        <filter val="53,33"/>
        <filter val="6,25"/>
        <filter val="60,00"/>
        <filter val="600,00"/>
        <filter val="63,00"/>
        <filter val="63,89"/>
        <filter val="66,00"/>
        <filter val="672,70"/>
        <filter val="7,00"/>
        <filter val="7,20"/>
        <filter val="7,41"/>
        <filter val="7,69"/>
        <filter val="70,00"/>
        <filter val="70,19"/>
        <filter val="700,00"/>
        <filter val="74,63"/>
        <filter val="750,00"/>
        <filter val="780,00"/>
        <filter val="8,00"/>
        <filter val="80,00"/>
        <filter val="800,00"/>
        <filter val="81,00"/>
        <filter val="840,00"/>
        <filter val="86,67"/>
        <filter val="9,00"/>
        <filter val="9,10"/>
        <filter val="9,44"/>
        <filter val="90,00"/>
        <filter val="950,00"/>
        <filter val="97,46"/>
        <filter val="98,00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ov7K7EqTgPkcWVK8FohYaO4RXg+5oYgs//Wqo9rin5GIoaRguUdlNrzT6H+H+w7tcTG9Sr9E6cmSfOaSfCm9rQ==" saltValue="EIqJWcv12f9so/HEEtlvR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2026-07-08T11:11:02Z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