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51A089D-B3F5-497C-BBB6-FD615C00B35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N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Y510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Z491" i="2"/>
  <c r="Y491" i="2"/>
  <c r="BN491" i="2" s="1"/>
  <c r="P491" i="2"/>
  <c r="BO490" i="2"/>
  <c r="BM490" i="2"/>
  <c r="Y490" i="2"/>
  <c r="BN490" i="2" s="1"/>
  <c r="P490" i="2"/>
  <c r="X488" i="2"/>
  <c r="X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P461" i="2"/>
  <c r="BO460" i="2"/>
  <c r="BM460" i="2"/>
  <c r="Y460" i="2"/>
  <c r="Y463" i="2" s="1"/>
  <c r="P460" i="2"/>
  <c r="X458" i="2"/>
  <c r="X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Y440" i="2" s="1"/>
  <c r="P439" i="2"/>
  <c r="X437" i="2"/>
  <c r="X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Z420" i="2" s="1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Z407" i="2" s="1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Z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Z364" i="2"/>
  <c r="Y364" i="2"/>
  <c r="BN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Z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Z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N309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Z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Z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Z275" i="2" s="1"/>
  <c r="P275" i="2"/>
  <c r="BO274" i="2"/>
  <c r="BM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Z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Z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P189" i="2"/>
  <c r="BO189" i="2"/>
  <c r="BM189" i="2"/>
  <c r="Y189" i="2"/>
  <c r="BN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Y166" i="2"/>
  <c r="X166" i="2"/>
  <c r="X165" i="2"/>
  <c r="BO164" i="2"/>
  <c r="BM164" i="2"/>
  <c r="Y164" i="2"/>
  <c r="BP164" i="2" s="1"/>
  <c r="P164" i="2"/>
  <c r="X162" i="2"/>
  <c r="X161" i="2"/>
  <c r="BO160" i="2"/>
  <c r="BM160" i="2"/>
  <c r="Y160" i="2"/>
  <c r="Z160" i="2" s="1"/>
  <c r="P160" i="2"/>
  <c r="BO159" i="2"/>
  <c r="BM159" i="2"/>
  <c r="Y159" i="2"/>
  <c r="BP159" i="2" s="1"/>
  <c r="P159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Y156" i="2" s="1"/>
  <c r="P151" i="2"/>
  <c r="X148" i="2"/>
  <c r="X147" i="2"/>
  <c r="BO146" i="2"/>
  <c r="BM146" i="2"/>
  <c r="Y146" i="2"/>
  <c r="BN146" i="2" s="1"/>
  <c r="P146" i="2"/>
  <c r="BO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P91" i="2"/>
  <c r="BO90" i="2"/>
  <c r="BM90" i="2"/>
  <c r="Y90" i="2"/>
  <c r="Z90" i="2" s="1"/>
  <c r="P90" i="2"/>
  <c r="BO89" i="2"/>
  <c r="BM89" i="2"/>
  <c r="Y89" i="2"/>
  <c r="BP89" i="2" s="1"/>
  <c r="P89" i="2"/>
  <c r="BO88" i="2"/>
  <c r="BM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P72" i="2"/>
  <c r="BO72" i="2"/>
  <c r="BM72" i="2"/>
  <c r="Y72" i="2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P60" i="2"/>
  <c r="X57" i="2"/>
  <c r="X56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X48" i="2"/>
  <c r="X47" i="2"/>
  <c r="BO46" i="2"/>
  <c r="BM46" i="2"/>
  <c r="Y46" i="2"/>
  <c r="Z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Y24" i="2" s="1"/>
  <c r="P22" i="2"/>
  <c r="H10" i="2"/>
  <c r="A9" i="2"/>
  <c r="F10" i="2" s="1"/>
  <c r="D7" i="2"/>
  <c r="Q6" i="2"/>
  <c r="P2" i="2"/>
  <c r="BN55" i="2" l="1"/>
  <c r="BN159" i="2"/>
  <c r="BN224" i="2"/>
  <c r="BN255" i="2"/>
  <c r="BN270" i="2"/>
  <c r="BN320" i="2"/>
  <c r="BN340" i="2"/>
  <c r="BN357" i="2"/>
  <c r="BN439" i="2"/>
  <c r="BN453" i="2"/>
  <c r="BN90" i="2"/>
  <c r="Z188" i="2"/>
  <c r="BP215" i="2"/>
  <c r="BN232" i="2"/>
  <c r="BN291" i="2"/>
  <c r="Z293" i="2"/>
  <c r="BN336" i="2"/>
  <c r="BN356" i="2"/>
  <c r="Z374" i="2"/>
  <c r="BP385" i="2"/>
  <c r="BN386" i="2"/>
  <c r="BN444" i="2"/>
  <c r="BP491" i="2"/>
  <c r="BN178" i="2"/>
  <c r="Z176" i="2"/>
  <c r="BN173" i="2"/>
  <c r="BN305" i="2"/>
  <c r="Y307" i="2"/>
  <c r="BN266" i="2"/>
  <c r="BN400" i="2"/>
  <c r="Z401" i="2"/>
  <c r="BN485" i="2"/>
  <c r="BP521" i="2"/>
  <c r="Z225" i="2"/>
  <c r="Z327" i="2"/>
  <c r="BN218" i="2"/>
  <c r="BN381" i="2"/>
  <c r="Z443" i="2"/>
  <c r="BN500" i="2"/>
  <c r="BN498" i="2"/>
  <c r="Y503" i="2"/>
  <c r="BP490" i="2"/>
  <c r="Z490" i="2"/>
  <c r="BN480" i="2"/>
  <c r="BN455" i="2"/>
  <c r="Z444" i="2"/>
  <c r="BP443" i="2"/>
  <c r="Y441" i="2"/>
  <c r="BN435" i="2"/>
  <c r="Z419" i="2"/>
  <c r="Z421" i="2" s="1"/>
  <c r="BN412" i="2"/>
  <c r="BN410" i="2"/>
  <c r="Y402" i="2"/>
  <c r="BN399" i="2"/>
  <c r="BN394" i="2"/>
  <c r="Y383" i="2"/>
  <c r="Z358" i="2"/>
  <c r="Z354" i="2"/>
  <c r="Z346" i="2"/>
  <c r="BN325" i="2"/>
  <c r="Y328" i="2"/>
  <c r="Z318" i="2"/>
  <c r="BN296" i="2"/>
  <c r="Z278" i="2"/>
  <c r="BN277" i="2"/>
  <c r="Z277" i="2"/>
  <c r="BN276" i="2"/>
  <c r="Z274" i="2"/>
  <c r="BN261" i="2"/>
  <c r="Z254" i="2"/>
  <c r="Z256" i="2" s="1"/>
  <c r="Z239" i="2"/>
  <c r="Z234" i="2"/>
  <c r="BN234" i="2"/>
  <c r="Z231" i="2"/>
  <c r="Z224" i="2"/>
  <c r="BN222" i="2"/>
  <c r="BN202" i="2"/>
  <c r="Z200" i="2"/>
  <c r="BP188" i="2"/>
  <c r="BN182" i="2"/>
  <c r="Y186" i="2"/>
  <c r="Z164" i="2"/>
  <c r="Z165" i="2" s="1"/>
  <c r="Y165" i="2"/>
  <c r="Z159" i="2"/>
  <c r="Y131" i="2"/>
  <c r="BN130" i="2"/>
  <c r="BN126" i="2"/>
  <c r="Z119" i="2"/>
  <c r="BN116" i="2"/>
  <c r="Z109" i="2"/>
  <c r="Z107" i="2"/>
  <c r="BN105" i="2"/>
  <c r="Z96" i="2"/>
  <c r="BN71" i="2"/>
  <c r="BN66" i="2"/>
  <c r="Z65" i="2"/>
  <c r="Z63" i="2"/>
  <c r="BN61" i="2"/>
  <c r="Z54" i="2"/>
  <c r="Z52" i="2"/>
  <c r="Z45" i="2"/>
  <c r="BN43" i="2"/>
  <c r="X534" i="2"/>
  <c r="X535" i="2"/>
  <c r="Z29" i="2"/>
  <c r="BP29" i="2"/>
  <c r="X538" i="2"/>
  <c r="Z27" i="2"/>
  <c r="F9" i="2"/>
  <c r="X536" i="2"/>
  <c r="BP31" i="2"/>
  <c r="BP54" i="2"/>
  <c r="Y57" i="2"/>
  <c r="Z95" i="2"/>
  <c r="Y100" i="2"/>
  <c r="BN95" i="2"/>
  <c r="Z106" i="2"/>
  <c r="BN106" i="2"/>
  <c r="BN145" i="2"/>
  <c r="BP145" i="2"/>
  <c r="Y147" i="2"/>
  <c r="BP153" i="2"/>
  <c r="BN153" i="2"/>
  <c r="BP154" i="2"/>
  <c r="Z154" i="2"/>
  <c r="Z217" i="2"/>
  <c r="BN217" i="2"/>
  <c r="BN280" i="2"/>
  <c r="BP280" i="2"/>
  <c r="Z301" i="2"/>
  <c r="Z302" i="2" s="1"/>
  <c r="Y302" i="2"/>
  <c r="BN301" i="2"/>
  <c r="BN332" i="2"/>
  <c r="BP332" i="2"/>
  <c r="Z332" i="2"/>
  <c r="BN341" i="2"/>
  <c r="BP341" i="2"/>
  <c r="Z341" i="2"/>
  <c r="Z380" i="2"/>
  <c r="BN380" i="2"/>
  <c r="Y389" i="2"/>
  <c r="Y430" i="2"/>
  <c r="Y431" i="2"/>
  <c r="BN429" i="2"/>
  <c r="BN456" i="2"/>
  <c r="BP456" i="2"/>
  <c r="Z456" i="2"/>
  <c r="BN497" i="2"/>
  <c r="BP497" i="2"/>
  <c r="BP22" i="2"/>
  <c r="BP27" i="2"/>
  <c r="BN30" i="2"/>
  <c r="BP32" i="2"/>
  <c r="BP36" i="2"/>
  <c r="C544" i="2"/>
  <c r="Z42" i="2"/>
  <c r="BP65" i="2"/>
  <c r="BP91" i="2"/>
  <c r="BN91" i="2"/>
  <c r="Y120" i="2"/>
  <c r="BP113" i="2"/>
  <c r="Z115" i="2"/>
  <c r="BN115" i="2"/>
  <c r="Y121" i="2"/>
  <c r="BP168" i="2"/>
  <c r="BP174" i="2"/>
  <c r="Z174" i="2"/>
  <c r="Z201" i="2"/>
  <c r="BN201" i="2"/>
  <c r="Z265" i="2"/>
  <c r="BN265" i="2"/>
  <c r="Z297" i="2"/>
  <c r="BN297" i="2"/>
  <c r="BP310" i="2"/>
  <c r="BN310" i="2"/>
  <c r="Z310" i="2"/>
  <c r="Y343" i="2"/>
  <c r="Y349" i="2"/>
  <c r="Z347" i="2"/>
  <c r="Z375" i="2"/>
  <c r="BN375" i="2"/>
  <c r="BN409" i="2"/>
  <c r="Z409" i="2"/>
  <c r="BP413" i="2"/>
  <c r="Z413" i="2"/>
  <c r="Y488" i="2"/>
  <c r="BN479" i="2"/>
  <c r="BP499" i="2"/>
  <c r="BN499" i="2"/>
  <c r="BP77" i="2"/>
  <c r="Z77" i="2"/>
  <c r="Z91" i="2"/>
  <c r="BP98" i="2"/>
  <c r="G544" i="2"/>
  <c r="Y111" i="2"/>
  <c r="BP140" i="2"/>
  <c r="Z140" i="2"/>
  <c r="BP151" i="2"/>
  <c r="BN154" i="2"/>
  <c r="Z161" i="2"/>
  <c r="Z168" i="2"/>
  <c r="BP219" i="2"/>
  <c r="Z219" i="2"/>
  <c r="Z271" i="2"/>
  <c r="BN271" i="2"/>
  <c r="Y303" i="2"/>
  <c r="BP367" i="2"/>
  <c r="BN367" i="2"/>
  <c r="Z367" i="2"/>
  <c r="Y436" i="2"/>
  <c r="BN434" i="2"/>
  <c r="X544" i="2"/>
  <c r="BN452" i="2"/>
  <c r="BP452" i="2"/>
  <c r="BN481" i="2"/>
  <c r="BP481" i="2"/>
  <c r="Z481" i="2"/>
  <c r="BN501" i="2"/>
  <c r="BP501" i="2"/>
  <c r="Z501" i="2"/>
  <c r="Y25" i="2"/>
  <c r="Z30" i="2"/>
  <c r="Y33" i="2"/>
  <c r="Z44" i="2"/>
  <c r="BN44" i="2"/>
  <c r="Z62" i="2"/>
  <c r="BN62" i="2"/>
  <c r="Z72" i="2"/>
  <c r="BN72" i="2"/>
  <c r="BN78" i="2"/>
  <c r="BP78" i="2"/>
  <c r="Z89" i="2"/>
  <c r="BN89" i="2"/>
  <c r="BP95" i="2"/>
  <c r="Z98" i="2"/>
  <c r="BP106" i="2"/>
  <c r="BP117" i="2"/>
  <c r="Z117" i="2"/>
  <c r="Z125" i="2"/>
  <c r="BN125" i="2"/>
  <c r="H544" i="2"/>
  <c r="Z135" i="2"/>
  <c r="BP146" i="2"/>
  <c r="I544" i="2"/>
  <c r="BN170" i="2"/>
  <c r="BP170" i="2"/>
  <c r="Z172" i="2"/>
  <c r="BN172" i="2"/>
  <c r="BP203" i="2"/>
  <c r="BN203" i="2"/>
  <c r="Z203" i="2"/>
  <c r="BP217" i="2"/>
  <c r="BN295" i="2"/>
  <c r="Z295" i="2"/>
  <c r="BP301" i="2"/>
  <c r="BP380" i="2"/>
  <c r="BN393" i="2"/>
  <c r="Y396" i="2"/>
  <c r="BP393" i="2"/>
  <c r="Z393" i="2"/>
  <c r="Z411" i="2"/>
  <c r="BN411" i="2"/>
  <c r="BP454" i="2"/>
  <c r="BN454" i="2"/>
  <c r="BN486" i="2"/>
  <c r="BP486" i="2"/>
  <c r="BN45" i="2"/>
  <c r="BP55" i="2"/>
  <c r="BP66" i="2"/>
  <c r="Y74" i="2"/>
  <c r="BP71" i="2"/>
  <c r="BP83" i="2"/>
  <c r="F544" i="2"/>
  <c r="BP88" i="2"/>
  <c r="BP90" i="2"/>
  <c r="Y92" i="2"/>
  <c r="BP105" i="2"/>
  <c r="BP119" i="2"/>
  <c r="BP126" i="2"/>
  <c r="Z142" i="2"/>
  <c r="BP152" i="2"/>
  <c r="BP169" i="2"/>
  <c r="BP176" i="2"/>
  <c r="BN177" i="2"/>
  <c r="BP178" i="2"/>
  <c r="BP182" i="2"/>
  <c r="BN183" i="2"/>
  <c r="BP214" i="2"/>
  <c r="BP221" i="2"/>
  <c r="BP223" i="2"/>
  <c r="BP227" i="2"/>
  <c r="BP231" i="2"/>
  <c r="Y235" i="2"/>
  <c r="BP233" i="2"/>
  <c r="BP250" i="2"/>
  <c r="BP254" i="2"/>
  <c r="Y256" i="2"/>
  <c r="BP260" i="2"/>
  <c r="BP275" i="2"/>
  <c r="BP281" i="2"/>
  <c r="BP285" i="2"/>
  <c r="Y298" i="2"/>
  <c r="BP292" i="2"/>
  <c r="BP319" i="2"/>
  <c r="BP326" i="2"/>
  <c r="BP355" i="2"/>
  <c r="BP365" i="2"/>
  <c r="BP420" i="2"/>
  <c r="Y446" i="2"/>
  <c r="Z544" i="2"/>
  <c r="Y493" i="2"/>
  <c r="Y518" i="2"/>
  <c r="BP43" i="2"/>
  <c r="E544" i="2"/>
  <c r="BP61" i="2"/>
  <c r="Z73" i="2"/>
  <c r="Z88" i="2"/>
  <c r="BP109" i="2"/>
  <c r="BP116" i="2"/>
  <c r="Y128" i="2"/>
  <c r="Z130" i="2"/>
  <c r="Z131" i="2" s="1"/>
  <c r="BP130" i="2"/>
  <c r="Y138" i="2"/>
  <c r="Z152" i="2"/>
  <c r="BP173" i="2"/>
  <c r="Z184" i="2"/>
  <c r="Z185" i="2" s="1"/>
  <c r="Y185" i="2"/>
  <c r="BP200" i="2"/>
  <c r="BP202" i="2"/>
  <c r="BP218" i="2"/>
  <c r="BP264" i="2"/>
  <c r="BP266" i="2"/>
  <c r="BP270" i="2"/>
  <c r="Z281" i="2"/>
  <c r="BP296" i="2"/>
  <c r="Y313" i="2"/>
  <c r="BP309" i="2"/>
  <c r="Y329" i="2"/>
  <c r="Y350" i="2"/>
  <c r="Z357" i="2"/>
  <c r="BP366" i="2"/>
  <c r="Z372" i="2"/>
  <c r="BP374" i="2"/>
  <c r="BP381" i="2"/>
  <c r="Z386" i="2"/>
  <c r="Z400" i="2"/>
  <c r="BP410" i="2"/>
  <c r="BP439" i="2"/>
  <c r="Z453" i="2"/>
  <c r="Z455" i="2"/>
  <c r="Z460" i="2"/>
  <c r="Y462" i="2"/>
  <c r="Z478" i="2"/>
  <c r="BP478" i="2"/>
  <c r="Z480" i="2"/>
  <c r="Z498" i="2"/>
  <c r="Z500" i="2"/>
  <c r="BP177" i="2"/>
  <c r="BP183" i="2"/>
  <c r="BP222" i="2"/>
  <c r="BN223" i="2"/>
  <c r="BP232" i="2"/>
  <c r="BN233" i="2"/>
  <c r="Y242" i="2"/>
  <c r="BP238" i="2"/>
  <c r="BP255" i="2"/>
  <c r="Y257" i="2"/>
  <c r="BN260" i="2"/>
  <c r="BP261" i="2"/>
  <c r="Z264" i="2"/>
  <c r="Z272" i="2"/>
  <c r="BP274" i="2"/>
  <c r="BN275" i="2"/>
  <c r="BP276" i="2"/>
  <c r="BN285" i="2"/>
  <c r="Y288" i="2"/>
  <c r="BP286" i="2"/>
  <c r="BP291" i="2"/>
  <c r="BN292" i="2"/>
  <c r="Z311" i="2"/>
  <c r="Y312" i="2"/>
  <c r="Z316" i="2"/>
  <c r="Z321" i="2" s="1"/>
  <c r="BP318" i="2"/>
  <c r="BN319" i="2"/>
  <c r="BP320" i="2"/>
  <c r="BP325" i="2"/>
  <c r="BN326" i="2"/>
  <c r="BP336" i="2"/>
  <c r="BP354" i="2"/>
  <c r="BN355" i="2"/>
  <c r="BP356" i="2"/>
  <c r="Z362" i="2"/>
  <c r="BP364" i="2"/>
  <c r="BN365" i="2"/>
  <c r="Z368" i="2"/>
  <c r="Y395" i="2"/>
  <c r="U544" i="2"/>
  <c r="BP399" i="2"/>
  <c r="Y416" i="2"/>
  <c r="Z412" i="2"/>
  <c r="BP419" i="2"/>
  <c r="BN420" i="2"/>
  <c r="BN425" i="2"/>
  <c r="Y474" i="2"/>
  <c r="Z525" i="2"/>
  <c r="Y527" i="2"/>
  <c r="Y533" i="2"/>
  <c r="Z359" i="2"/>
  <c r="Z47" i="2"/>
  <c r="Z328" i="2"/>
  <c r="Z136" i="2"/>
  <c r="Z137" i="2" s="1"/>
  <c r="Z53" i="2"/>
  <c r="Z175" i="2"/>
  <c r="Y190" i="2"/>
  <c r="Z210" i="2"/>
  <c r="Z211" i="2" s="1"/>
  <c r="Z22" i="2"/>
  <c r="Z32" i="2"/>
  <c r="Y37" i="2"/>
  <c r="BN46" i="2"/>
  <c r="Y84" i="2"/>
  <c r="Y93" i="2"/>
  <c r="Z103" i="2"/>
  <c r="Z113" i="2"/>
  <c r="Z123" i="2"/>
  <c r="BN136" i="2"/>
  <c r="Z146" i="2"/>
  <c r="BN160" i="2"/>
  <c r="Z170" i="2"/>
  <c r="BN204" i="2"/>
  <c r="Z215" i="2"/>
  <c r="BN225" i="2"/>
  <c r="Y228" i="2"/>
  <c r="Y236" i="2"/>
  <c r="Y251" i="2"/>
  <c r="BN278" i="2"/>
  <c r="BN311" i="2"/>
  <c r="Z334" i="2"/>
  <c r="BN347" i="2"/>
  <c r="BN358" i="2"/>
  <c r="BN368" i="2"/>
  <c r="Z388" i="2"/>
  <c r="BN401" i="2"/>
  <c r="BN413" i="2"/>
  <c r="BP425" i="2"/>
  <c r="Y437" i="2"/>
  <c r="BN460" i="2"/>
  <c r="Z471" i="2"/>
  <c r="Z483" i="2"/>
  <c r="BP485" i="2"/>
  <c r="Z517" i="2"/>
  <c r="Y522" i="2"/>
  <c r="J544" i="2"/>
  <c r="Z108" i="2"/>
  <c r="BN53" i="2"/>
  <c r="Y56" i="2"/>
  <c r="BN64" i="2"/>
  <c r="Y67" i="2"/>
  <c r="BN97" i="2"/>
  <c r="BN141" i="2"/>
  <c r="BN199" i="2"/>
  <c r="BN263" i="2"/>
  <c r="BN273" i="2"/>
  <c r="BN294" i="2"/>
  <c r="BN317" i="2"/>
  <c r="BN353" i="2"/>
  <c r="BN363" i="2"/>
  <c r="BN373" i="2"/>
  <c r="Y376" i="2"/>
  <c r="BN408" i="2"/>
  <c r="BN418" i="2"/>
  <c r="Y421" i="2"/>
  <c r="BN466" i="2"/>
  <c r="BN512" i="2"/>
  <c r="K544" i="2"/>
  <c r="BN210" i="2"/>
  <c r="BN220" i="2"/>
  <c r="BP46" i="2"/>
  <c r="Y80" i="2"/>
  <c r="BN103" i="2"/>
  <c r="BP160" i="2"/>
  <c r="Y191" i="2"/>
  <c r="BP204" i="2"/>
  <c r="Z233" i="2"/>
  <c r="Z235" i="2" s="1"/>
  <c r="Y246" i="2"/>
  <c r="Z286" i="2"/>
  <c r="Z287" i="2" s="1"/>
  <c r="Z309" i="2"/>
  <c r="BN334" i="2"/>
  <c r="Y337" i="2"/>
  <c r="BP347" i="2"/>
  <c r="Z366" i="2"/>
  <c r="BN388" i="2"/>
  <c r="Z399" i="2"/>
  <c r="Y426" i="2"/>
  <c r="Z434" i="2"/>
  <c r="Z436" i="2" s="1"/>
  <c r="Y447" i="2"/>
  <c r="BP460" i="2"/>
  <c r="BN471" i="2"/>
  <c r="BN483" i="2"/>
  <c r="Y494" i="2"/>
  <c r="Y504" i="2"/>
  <c r="BN517" i="2"/>
  <c r="L544" i="2"/>
  <c r="Y79" i="2"/>
  <c r="Y75" i="2"/>
  <c r="BN108" i="2"/>
  <c r="BN118" i="2"/>
  <c r="BN175" i="2"/>
  <c r="BN240" i="2"/>
  <c r="BN22" i="2"/>
  <c r="BN113" i="2"/>
  <c r="BN123" i="2"/>
  <c r="BP136" i="2"/>
  <c r="Y38" i="2"/>
  <c r="BP64" i="2"/>
  <c r="Y85" i="2"/>
  <c r="BP97" i="2"/>
  <c r="BP118" i="2"/>
  <c r="BP141" i="2"/>
  <c r="Y155" i="2"/>
  <c r="BP199" i="2"/>
  <c r="BP210" i="2"/>
  <c r="BP220" i="2"/>
  <c r="Y229" i="2"/>
  <c r="Z238" i="2"/>
  <c r="Z241" i="2" s="1"/>
  <c r="BP240" i="2"/>
  <c r="Y252" i="2"/>
  <c r="BP263" i="2"/>
  <c r="BP273" i="2"/>
  <c r="Z292" i="2"/>
  <c r="BP294" i="2"/>
  <c r="BP317" i="2"/>
  <c r="Y342" i="2"/>
  <c r="BP353" i="2"/>
  <c r="BP363" i="2"/>
  <c r="BP373" i="2"/>
  <c r="BP408" i="2"/>
  <c r="BP418" i="2"/>
  <c r="Z439" i="2"/>
  <c r="Z440" i="2" s="1"/>
  <c r="BP466" i="2"/>
  <c r="Z486" i="2"/>
  <c r="BP512" i="2"/>
  <c r="Y523" i="2"/>
  <c r="M544" i="2"/>
  <c r="Y137" i="2"/>
  <c r="Y161" i="2"/>
  <c r="Y359" i="2"/>
  <c r="Y369" i="2"/>
  <c r="Y377" i="2"/>
  <c r="Y422" i="2"/>
  <c r="BP517" i="2"/>
  <c r="Y528" i="2"/>
  <c r="O544" i="2"/>
  <c r="Y47" i="2"/>
  <c r="Y68" i="2"/>
  <c r="Z82" i="2"/>
  <c r="Y142" i="2"/>
  <c r="Z193" i="2"/>
  <c r="Z194" i="2" s="1"/>
  <c r="Z205" i="2"/>
  <c r="Y211" i="2"/>
  <c r="Z226" i="2"/>
  <c r="Y241" i="2"/>
  <c r="Z249" i="2"/>
  <c r="Z279" i="2"/>
  <c r="Y338" i="2"/>
  <c r="Z348" i="2"/>
  <c r="Z414" i="2"/>
  <c r="Y427" i="2"/>
  <c r="Z451" i="2"/>
  <c r="Z461" i="2"/>
  <c r="Z462" i="2" s="1"/>
  <c r="Y467" i="2"/>
  <c r="Z496" i="2"/>
  <c r="Z508" i="2"/>
  <c r="Z509" i="2" s="1"/>
  <c r="Y513" i="2"/>
  <c r="P544" i="2"/>
  <c r="Q544" i="2"/>
  <c r="Z60" i="2"/>
  <c r="BN82" i="2"/>
  <c r="Z104" i="2"/>
  <c r="Z114" i="2"/>
  <c r="BN205" i="2"/>
  <c r="Z216" i="2"/>
  <c r="BN226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N451" i="2"/>
  <c r="BN461" i="2"/>
  <c r="Z472" i="2"/>
  <c r="Z484" i="2"/>
  <c r="BN496" i="2"/>
  <c r="BN508" i="2"/>
  <c r="Z531" i="2"/>
  <c r="Z532" i="2" s="1"/>
  <c r="R544" i="2"/>
  <c r="Z70" i="2"/>
  <c r="Z74" i="2" s="1"/>
  <c r="Z124" i="2"/>
  <c r="Y162" i="2"/>
  <c r="Z171" i="2"/>
  <c r="BN193" i="2"/>
  <c r="Z28" i="2"/>
  <c r="BN42" i="2"/>
  <c r="BN88" i="2"/>
  <c r="Y143" i="2"/>
  <c r="Z153" i="2"/>
  <c r="Y179" i="2"/>
  <c r="Y267" i="2"/>
  <c r="Y287" i="2"/>
  <c r="Z305" i="2"/>
  <c r="Z306" i="2" s="1"/>
  <c r="Y321" i="2"/>
  <c r="Z340" i="2"/>
  <c r="Z394" i="2"/>
  <c r="Z429" i="2"/>
  <c r="Z430" i="2" s="1"/>
  <c r="Z454" i="2"/>
  <c r="Y468" i="2"/>
  <c r="Z479" i="2"/>
  <c r="Z499" i="2"/>
  <c r="Y514" i="2"/>
  <c r="BN525" i="2"/>
  <c r="S544" i="2"/>
  <c r="Z23" i="2"/>
  <c r="Y48" i="2"/>
  <c r="BN23" i="2"/>
  <c r="Y34" i="2"/>
  <c r="BN60" i="2"/>
  <c r="BN70" i="2"/>
  <c r="BN104" i="2"/>
  <c r="BN114" i="2"/>
  <c r="BN124" i="2"/>
  <c r="Y127" i="2"/>
  <c r="Y148" i="2"/>
  <c r="BN171" i="2"/>
  <c r="BP193" i="2"/>
  <c r="BN216" i="2"/>
  <c r="BN259" i="2"/>
  <c r="BN335" i="2"/>
  <c r="BN379" i="2"/>
  <c r="Y382" i="2"/>
  <c r="Y390" i="2"/>
  <c r="BN424" i="2"/>
  <c r="BP451" i="2"/>
  <c r="BP461" i="2"/>
  <c r="BN472" i="2"/>
  <c r="BN484" i="2"/>
  <c r="Y487" i="2"/>
  <c r="BP496" i="2"/>
  <c r="BP508" i="2"/>
  <c r="Y519" i="2"/>
  <c r="BN531" i="2"/>
  <c r="T544" i="2"/>
  <c r="BN28" i="2"/>
  <c r="Y283" i="2"/>
  <c r="Y457" i="2"/>
  <c r="B544" i="2"/>
  <c r="Z78" i="2"/>
  <c r="Z79" i="2" s="1"/>
  <c r="Z169" i="2"/>
  <c r="Z244" i="2"/>
  <c r="Z245" i="2" s="1"/>
  <c r="Y268" i="2"/>
  <c r="Y299" i="2"/>
  <c r="Y322" i="2"/>
  <c r="Z333" i="2"/>
  <c r="BP379" i="2"/>
  <c r="Z387" i="2"/>
  <c r="Y415" i="2"/>
  <c r="Z445" i="2"/>
  <c r="Z470" i="2"/>
  <c r="Z482" i="2"/>
  <c r="Z492" i="2"/>
  <c r="Z493" i="2" s="1"/>
  <c r="Z502" i="2"/>
  <c r="Y509" i="2"/>
  <c r="Z516" i="2"/>
  <c r="BP531" i="2"/>
  <c r="V544" i="2"/>
  <c r="H9" i="2"/>
  <c r="BP23" i="2"/>
  <c r="Z31" i="2"/>
  <c r="Y194" i="2"/>
  <c r="J9" i="2"/>
  <c r="Z36" i="2"/>
  <c r="Z37" i="2" s="1"/>
  <c r="BN52" i="2"/>
  <c r="BN73" i="2"/>
  <c r="Z83" i="2"/>
  <c r="BN107" i="2"/>
  <c r="BN117" i="2"/>
  <c r="BN184" i="2"/>
  <c r="BN219" i="2"/>
  <c r="BN239" i="2"/>
  <c r="Z250" i="2"/>
  <c r="BN262" i="2"/>
  <c r="BN272" i="2"/>
  <c r="Z280" i="2"/>
  <c r="BN293" i="2"/>
  <c r="BP305" i="2"/>
  <c r="BN316" i="2"/>
  <c r="BN327" i="2"/>
  <c r="BN362" i="2"/>
  <c r="BN372" i="2"/>
  <c r="Z392" i="2"/>
  <c r="BN407" i="2"/>
  <c r="BP429" i="2"/>
  <c r="Z452" i="2"/>
  <c r="BP479" i="2"/>
  <c r="Z497" i="2"/>
  <c r="Z521" i="2"/>
  <c r="Z522" i="2" s="1"/>
  <c r="D544" i="2"/>
  <c r="W544" i="2"/>
  <c r="BP60" i="2"/>
  <c r="BP70" i="2"/>
  <c r="Z145" i="2"/>
  <c r="Z147" i="2" s="1"/>
  <c r="Y180" i="2"/>
  <c r="Z189" i="2"/>
  <c r="Y206" i="2"/>
  <c r="Y99" i="2"/>
  <c r="Y110" i="2"/>
  <c r="BN140" i="2"/>
  <c r="Z151" i="2"/>
  <c r="BN164" i="2"/>
  <c r="BP135" i="2"/>
  <c r="BN214" i="2"/>
  <c r="BN244" i="2"/>
  <c r="BN333" i="2"/>
  <c r="BP346" i="2"/>
  <c r="BN387" i="2"/>
  <c r="BN445" i="2"/>
  <c r="Y458" i="2"/>
  <c r="BN470" i="2"/>
  <c r="Y473" i="2"/>
  <c r="BN482" i="2"/>
  <c r="BN492" i="2"/>
  <c r="BN502" i="2"/>
  <c r="BN516" i="2"/>
  <c r="Z526" i="2"/>
  <c r="Z527" i="2" s="1"/>
  <c r="Y532" i="2"/>
  <c r="BN63" i="2"/>
  <c r="BN96" i="2"/>
  <c r="BN174" i="2"/>
  <c r="Z227" i="2"/>
  <c r="A10" i="2"/>
  <c r="BN151" i="2"/>
  <c r="Y207" i="2"/>
  <c r="BN392" i="2"/>
  <c r="BP407" i="2"/>
  <c r="Y544" i="2"/>
  <c r="BP244" i="2"/>
  <c r="BN526" i="2"/>
  <c r="AA544" i="2"/>
  <c r="Z190" i="2" l="1"/>
  <c r="Z446" i="2"/>
  <c r="Z337" i="2"/>
  <c r="Z56" i="2"/>
  <c r="Z349" i="2"/>
  <c r="Z267" i="2"/>
  <c r="Z298" i="2"/>
  <c r="Z402" i="2"/>
  <c r="Z67" i="2"/>
  <c r="Z92" i="2"/>
  <c r="Z415" i="2"/>
  <c r="Z389" i="2"/>
  <c r="Z382" i="2"/>
  <c r="Z376" i="2"/>
  <c r="Z369" i="2"/>
  <c r="Z342" i="2"/>
  <c r="Z312" i="2"/>
  <c r="Z282" i="2"/>
  <c r="Z206" i="2"/>
  <c r="Z179" i="2"/>
  <c r="X537" i="2"/>
  <c r="Y538" i="2"/>
  <c r="Y534" i="2"/>
  <c r="Z503" i="2"/>
  <c r="Z84" i="2"/>
  <c r="Z120" i="2"/>
  <c r="Z99" i="2"/>
  <c r="Y536" i="2"/>
  <c r="Z228" i="2"/>
  <c r="Z110" i="2"/>
  <c r="Z33" i="2"/>
  <c r="Z457" i="2"/>
  <c r="Z127" i="2"/>
  <c r="Z487" i="2"/>
  <c r="Z473" i="2"/>
  <c r="Y535" i="2"/>
  <c r="Z251" i="2"/>
  <c r="Z155" i="2"/>
  <c r="Z395" i="2"/>
  <c r="Z518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<sst xmlns="http://schemas.openxmlformats.org/spreadsheetml/2006/main" count="4040" uniqueCount="856">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</sst>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46213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Пятница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100</v>
      </c>
      <c r="Y52" s="55">
        <f>IFERROR(IF(X52="",0,CEILING((X52/$H52),1)*$H52),"")</f>
        <v>108</v>
      </c>
      <c r="Z52" s="41">
        <f>IFERROR(IF(Y52=0,"",ROUNDUP(Y52/H52,0)*0.01898),"")</f>
        <v>0.1898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103.79629629629629</v>
      </c>
      <c r="BN52" s="78">
        <f>IFERROR(Y52*I52/H52,"0")</f>
        <v>112.1</v>
      </c>
      <c r="BO52" s="78">
        <f>IFERROR(1/J52*(X52/H52),"0")</f>
        <v>0.14467592592592593</v>
      </c>
      <c r="BP52" s="78">
        <f>IFERROR(1/J52*(Y52/H52),"0")</f>
        <v>0.15625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320</v>
      </c>
      <c r="Y54" s="55">
        <f>IFERROR(IF(X54="",0,CEILING((X54/$H54),1)*$H54),"")</f>
        <v>320</v>
      </c>
      <c r="Z54" s="41">
        <f>IFERROR(IF(Y54=0,"",ROUNDUP(Y54/H54,0)*0.00902),"")</f>
        <v>0.72160000000000002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335.20000000000005</v>
      </c>
      <c r="BN54" s="78">
        <f>IFERROR(Y54*I54/H54,"0")</f>
        <v>335.20000000000005</v>
      </c>
      <c r="BO54" s="78">
        <f>IFERROR(1/J54*(X54/H54),"0")</f>
        <v>0.60606060606060608</v>
      </c>
      <c r="BP54" s="78">
        <f>IFERROR(1/J54*(Y54/H54),"0")</f>
        <v>0.60606060606060608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89.259259259259267</v>
      </c>
      <c r="Y56" s="43">
        <f>IFERROR(Y52/H52,"0")+IFERROR(Y53/H53,"0")+IFERROR(Y54/H54,"0")+IFERROR(Y55/H55,"0")</f>
        <v>90</v>
      </c>
      <c r="Z56" s="43">
        <f>IFERROR(IF(Z52="",0,Z52),"0")+IFERROR(IF(Z53="",0,Z53),"0")+IFERROR(IF(Z54="",0,Z54),"0")+IFERROR(IF(Z55="",0,Z55),"0")</f>
        <v>0.91139999999999999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420</v>
      </c>
      <c r="Y57" s="43">
        <f>IFERROR(SUM(Y52:Y55),"0")</f>
        <v>428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100</v>
      </c>
      <c r="Y62" s="55">
        <f t="shared" si="6"/>
        <v>108</v>
      </c>
      <c r="Z62" s="41">
        <f>IFERROR(IF(Y62=0,"",ROUNDUP(Y62/H62,0)*0.01898),"")</f>
        <v>0.1898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103.79629629629629</v>
      </c>
      <c r="BN62" s="78">
        <f t="shared" si="8"/>
        <v>112.1</v>
      </c>
      <c r="BO62" s="78">
        <f t="shared" si="9"/>
        <v>0.14467592592592593</v>
      </c>
      <c r="BP62" s="78">
        <f t="shared" si="10"/>
        <v>0.15625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270</v>
      </c>
      <c r="Y66" s="55">
        <f t="shared" si="6"/>
        <v>270</v>
      </c>
      <c r="Z66" s="41">
        <f>IFERROR(IF(Y66=0,"",ROUNDUP(Y66/H66,0)*0.00902),"")</f>
        <v>0.54120000000000001</v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281.40000000000003</v>
      </c>
      <c r="BN66" s="78">
        <f t="shared" si="8"/>
        <v>281.40000000000003</v>
      </c>
      <c r="BO66" s="78">
        <f t="shared" si="9"/>
        <v>0.45454545454545459</v>
      </c>
      <c r="BP66" s="78">
        <f t="shared" si="10"/>
        <v>0.45454545454545459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69.259259259259267</v>
      </c>
      <c r="Y67" s="43">
        <f>IFERROR(Y60/H60,"0")+IFERROR(Y61/H61,"0")+IFERROR(Y62/H62,"0")+IFERROR(Y63/H63,"0")+IFERROR(Y64/H64,"0")+IFERROR(Y65/H65,"0")+IFERROR(Y66/H66,"0")</f>
        <v>70</v>
      </c>
      <c r="Z67" s="43">
        <f>IFERROR(IF(Z60="",0,Z60),"0")+IFERROR(IF(Z61="",0,Z61),"0")+IFERROR(IF(Z62="",0,Z62),"0")+IFERROR(IF(Z63="",0,Z63),"0")+IFERROR(IF(Z64="",0,Z64),"0")+IFERROR(IF(Z65="",0,Z65),"0")+IFERROR(IF(Z66="",0,Z66),"0")</f>
        <v>0.73099999999999998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370</v>
      </c>
      <c r="Y68" s="43">
        <f>IFERROR(SUM(Y60:Y66),"0")</f>
        <v>378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70</v>
      </c>
      <c r="Y70" s="55">
        <f>IFERROR(IF(X70="",0,CEILING((X70/$H70),1)*$H70),"")</f>
        <v>75.600000000000009</v>
      </c>
      <c r="Z70" s="41">
        <f>IFERROR(IF(Y70=0,"",ROUNDUP(Y70/H70,0)*0.01898),"")</f>
        <v>0.13286000000000001</v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72.657407407407405</v>
      </c>
      <c r="BN70" s="78">
        <f>IFERROR(Y70*I70/H70,"0")</f>
        <v>78.47</v>
      </c>
      <c r="BO70" s="78">
        <f>IFERROR(1/J70*(X70/H70),"0")</f>
        <v>0.10127314814814814</v>
      </c>
      <c r="BP70" s="78">
        <f>IFERROR(1/J70*(Y70/H70),"0")</f>
        <v>0.109375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67.5</v>
      </c>
      <c r="Y73" s="55">
        <f>IFERROR(IF(X73="",0,CEILING((X73/$H73),1)*$H73),"")</f>
        <v>67.5</v>
      </c>
      <c r="Z73" s="41">
        <f>IFERROR(IF(Y73=0,"",ROUNDUP(Y73/H73,0)*0.00651),"")</f>
        <v>0.16275000000000001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72</v>
      </c>
      <c r="BN73" s="78">
        <f>IFERROR(Y73*I73/H73,"0")</f>
        <v>72</v>
      </c>
      <c r="BO73" s="78">
        <f>IFERROR(1/J73*(X73/H73),"0")</f>
        <v>0.13736263736263737</v>
      </c>
      <c r="BP73" s="78">
        <f>IFERROR(1/J73*(Y73/H73),"0")</f>
        <v>0.13736263736263737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31.481481481481481</v>
      </c>
      <c r="Y74" s="43">
        <f>IFERROR(Y70/H70,"0")+IFERROR(Y71/H71,"0")+IFERROR(Y72/H72,"0")+IFERROR(Y73/H73,"0")</f>
        <v>32</v>
      </c>
      <c r="Z74" s="43">
        <f>IFERROR(IF(Z70="",0,Z70),"0")+IFERROR(IF(Z71="",0,Z71),"0")+IFERROR(IF(Z72="",0,Z72),"0")+IFERROR(IF(Z73="",0,Z73),"0")</f>
        <v>0.29561000000000004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137.5</v>
      </c>
      <c r="Y75" s="43">
        <f>IFERROR(SUM(Y70:Y73),"0")</f>
        <v>143.10000000000002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110</v>
      </c>
      <c r="Y88" s="55">
        <f>IFERROR(IF(X88="",0,CEILING((X88/$H88),1)*$H88),"")</f>
        <v>118.80000000000001</v>
      </c>
      <c r="Z88" s="41">
        <f>IFERROR(IF(Y88=0,"",ROUNDUP(Y88/H88,0)*0.01898),"")</f>
        <v>0.20877999999999999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114.17592592592594</v>
      </c>
      <c r="BN88" s="78">
        <f>IFERROR(Y88*I88/H88,"0")</f>
        <v>123.31000000000002</v>
      </c>
      <c r="BO88" s="78">
        <f>IFERROR(1/J88*(X88/H88),"0")</f>
        <v>0.15914351851851852</v>
      </c>
      <c r="BP88" s="78">
        <f>IFERROR(1/J88*(Y88/H88),"0")</f>
        <v>0.171875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270</v>
      </c>
      <c r="Y91" s="55">
        <f>IFERROR(IF(X91="",0,CEILING((X91/$H91),1)*$H91),"")</f>
        <v>270</v>
      </c>
      <c r="Z91" s="41">
        <f>IFERROR(IF(Y91=0,"",ROUNDUP(Y91/H91,0)*0.00902),"")</f>
        <v>0.54120000000000001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281.40000000000003</v>
      </c>
      <c r="BN91" s="78">
        <f>IFERROR(Y91*I91/H91,"0")</f>
        <v>281.40000000000003</v>
      </c>
      <c r="BO91" s="78">
        <f>IFERROR(1/J91*(X91/H91),"0")</f>
        <v>0.45454545454545459</v>
      </c>
      <c r="BP91" s="78">
        <f>IFERROR(1/J91*(Y91/H91),"0")</f>
        <v>0.45454545454545459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70.18518518518519</v>
      </c>
      <c r="Y92" s="43">
        <f>IFERROR(Y88/H88,"0")+IFERROR(Y89/H89,"0")+IFERROR(Y90/H90,"0")+IFERROR(Y91/H91,"0")</f>
        <v>71</v>
      </c>
      <c r="Z92" s="43">
        <f>IFERROR(IF(Z88="",0,Z88),"0")+IFERROR(IF(Z89="",0,Z89),"0")+IFERROR(IF(Z90="",0,Z90),"0")+IFERROR(IF(Z91="",0,Z91),"0")</f>
        <v>0.74997999999999998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380</v>
      </c>
      <c r="Y93" s="43">
        <f>IFERROR(SUM(Y88:Y91),"0")</f>
        <v>388.8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220</v>
      </c>
      <c r="Y95" s="55">
        <f>IFERROR(IF(X95="",0,CEILING((X95/$H95),1)*$H95),"")</f>
        <v>226.79999999999998</v>
      </c>
      <c r="Z95" s="41">
        <f>IFERROR(IF(Y95=0,"",ROUNDUP(Y95/H95,0)*0.01898),"")</f>
        <v>0.53144000000000002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233.41728395061727</v>
      </c>
      <c r="BN95" s="78">
        <f>IFERROR(Y95*I95/H95,"0")</f>
        <v>240.63199999999998</v>
      </c>
      <c r="BO95" s="78">
        <f>IFERROR(1/J95*(X95/H95),"0")</f>
        <v>0.42438271604938271</v>
      </c>
      <c r="BP95" s="78">
        <f>IFERROR(1/J95*(Y95/H95),"0")</f>
        <v>0.4375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315</v>
      </c>
      <c r="Y97" s="55">
        <f>IFERROR(IF(X97="",0,CEILING((X97/$H97),1)*$H97),"")</f>
        <v>315.90000000000003</v>
      </c>
      <c r="Z97" s="41">
        <f>IFERROR(IF(Y97=0,"",ROUNDUP(Y97/H97,0)*0.00651),"")</f>
        <v>0.76167000000000007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344.4</v>
      </c>
      <c r="BN97" s="78">
        <f>IFERROR(Y97*I97/H97,"0")</f>
        <v>345.38400000000001</v>
      </c>
      <c r="BO97" s="78">
        <f>IFERROR(1/J97*(X97/H97),"0")</f>
        <v>0.64102564102564097</v>
      </c>
      <c r="BP97" s="78">
        <f>IFERROR(1/J97*(Y97/H97),"0")</f>
        <v>0.6428571428571429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143.82716049382714</v>
      </c>
      <c r="Y99" s="43">
        <f>IFERROR(Y95/H95,"0")+IFERROR(Y96/H96,"0")+IFERROR(Y97/H97,"0")+IFERROR(Y98/H98,"0")</f>
        <v>145</v>
      </c>
      <c r="Z99" s="43">
        <f>IFERROR(IF(Z95="",0,Z95),"0")+IFERROR(IF(Z96="",0,Z96),"0")+IFERROR(IF(Z97="",0,Z97),"0")+IFERROR(IF(Z98="",0,Z98),"0")</f>
        <v>1.29311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535</v>
      </c>
      <c r="Y100" s="43">
        <f>IFERROR(SUM(Y95:Y98),"0")</f>
        <v>542.70000000000005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360</v>
      </c>
      <c r="Y108" s="55">
        <f t="shared" si="11"/>
        <v>360</v>
      </c>
      <c r="Z108" s="41">
        <f>IFERROR(IF(Y108=0,"",ROUNDUP(Y108/H108,0)*0.00902),"")</f>
        <v>0.72160000000000002</v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375.20000000000005</v>
      </c>
      <c r="BN108" s="78">
        <f t="shared" si="13"/>
        <v>375.20000000000005</v>
      </c>
      <c r="BO108" s="78">
        <f t="shared" si="14"/>
        <v>0.60606060606060608</v>
      </c>
      <c r="BP108" s="78">
        <f t="shared" si="15"/>
        <v>0.60606060606060608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80</v>
      </c>
      <c r="Y110" s="43">
        <f>IFERROR(Y103/H103,"0")+IFERROR(Y104/H104,"0")+IFERROR(Y105/H105,"0")+IFERROR(Y106/H106,"0")+IFERROR(Y107/H107,"0")+IFERROR(Y108/H108,"0")+IFERROR(Y109/H109,"0")</f>
        <v>80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0.72160000000000002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360</v>
      </c>
      <c r="Y111" s="43">
        <f>IFERROR(SUM(Y103:Y109),"0")</f>
        <v>360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400</v>
      </c>
      <c r="Y123" s="55">
        <f>IFERROR(IF(X123="",0,CEILING((X123/$H123),1)*$H123),"")</f>
        <v>405</v>
      </c>
      <c r="Z123" s="41">
        <f>IFERROR(IF(Y123=0,"",ROUNDUP(Y123/H123,0)*0.01898),"")</f>
        <v>0.94900000000000007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424.09876543209879</v>
      </c>
      <c r="BN123" s="78">
        <f>IFERROR(Y123*I123/H123,"0")</f>
        <v>429.4</v>
      </c>
      <c r="BO123" s="78">
        <f>IFERROR(1/J123*(X123/H123),"0")</f>
        <v>0.77160493827160492</v>
      </c>
      <c r="BP123" s="78">
        <f>IFERROR(1/J123*(Y123/H123),"0")</f>
        <v>0.78125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270</v>
      </c>
      <c r="Y125" s="55">
        <f>IFERROR(IF(X125="",0,CEILING((X125/$H125),1)*$H125),"")</f>
        <v>270</v>
      </c>
      <c r="Z125" s="41">
        <f>IFERROR(IF(Y125=0,"",ROUNDUP(Y125/H125,0)*0.00651),"")</f>
        <v>0.65100000000000002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295.2</v>
      </c>
      <c r="BN125" s="78">
        <f>IFERROR(Y125*I125/H125,"0")</f>
        <v>295.2</v>
      </c>
      <c r="BO125" s="78">
        <f>IFERROR(1/J125*(X125/H125),"0")</f>
        <v>0.5494505494505495</v>
      </c>
      <c r="BP125" s="78">
        <f>IFERROR(1/J125*(Y125/H125),"0")</f>
        <v>0.5494505494505495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45</v>
      </c>
      <c r="Y126" s="55">
        <f>IFERROR(IF(X126="",0,CEILING((X126/$H126),1)*$H126),"")</f>
        <v>45</v>
      </c>
      <c r="Z126" s="41">
        <f>IFERROR(IF(Y126=0,"",ROUNDUP(Y126/H126,0)*0.00651),"")</f>
        <v>0.16275000000000001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49.499999999999993</v>
      </c>
      <c r="BN126" s="78">
        <f>IFERROR(Y126*I126/H126,"0")</f>
        <v>49.499999999999993</v>
      </c>
      <c r="BO126" s="78">
        <f>IFERROR(1/J126*(X126/H126),"0")</f>
        <v>0.13736263736263737</v>
      </c>
      <c r="BP126" s="78">
        <f>IFERROR(1/J126*(Y126/H126),"0")</f>
        <v>0.13736263736263737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174.38271604938271</v>
      </c>
      <c r="Y127" s="43">
        <f>IFERROR(Y123/H123,"0")+IFERROR(Y124/H124,"0")+IFERROR(Y125/H125,"0")+IFERROR(Y126/H126,"0")</f>
        <v>175</v>
      </c>
      <c r="Z127" s="43">
        <f>IFERROR(IF(Z123="",0,Z123),"0")+IFERROR(IF(Z124="",0,Z124),"0")+IFERROR(IF(Z125="",0,Z125),"0")+IFERROR(IF(Z126="",0,Z126),"0")</f>
        <v>1.76275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715</v>
      </c>
      <c r="Y128" s="43">
        <f>IFERROR(SUM(Y123:Y126),"0")</f>
        <v>720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39.6</v>
      </c>
      <c r="Y130" s="55">
        <f>IFERROR(IF(X130="",0,CEILING((X130/$H130),1)*$H130),"")</f>
        <v>39.6</v>
      </c>
      <c r="Z130" s="41">
        <f>IFERROR(IF(Y130=0,"",ROUNDUP(Y130/H130,0)*0.00651),"")</f>
        <v>0.13020000000000001</v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44.760000000000005</v>
      </c>
      <c r="BN130" s="78">
        <f>IFERROR(Y130*I130/H130,"0")</f>
        <v>44.760000000000005</v>
      </c>
      <c r="BO130" s="78">
        <f>IFERROR(1/J130*(X130/H130),"0")</f>
        <v>0.1098901098901099</v>
      </c>
      <c r="BP130" s="78">
        <f>IFERROR(1/J130*(Y130/H130),"0")</f>
        <v>0.1098901098901099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20</v>
      </c>
      <c r="Y131" s="43">
        <f>IFERROR(Y130/H130,"0")</f>
        <v>20</v>
      </c>
      <c r="Z131" s="43">
        <f>IFERROR(IF(Z130="",0,Z130),"0")</f>
        <v>0.13020000000000001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39.6</v>
      </c>
      <c r="Y132" s="43">
        <f>IFERROR(SUM(Y130:Y130),"0")</f>
        <v>39.6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12</v>
      </c>
      <c r="Y164" s="55">
        <f>IFERROR(IF(X164="",0,CEILING((X164/$H164),1)*$H164),"")</f>
        <v>12.24</v>
      </c>
      <c r="Z164" s="41">
        <f>IFERROR(IF(Y164=0,"",ROUNDUP(Y164/H164,0)*0.00556),"")</f>
        <v>9.4519999999999993E-2</v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14.166666666666666</v>
      </c>
      <c r="BN164" s="78">
        <f>IFERROR(Y164*I164/H164,"0")</f>
        <v>14.450000000000001</v>
      </c>
      <c r="BO164" s="78">
        <f>IFERROR(1/J164*(X164/H164),"0")</f>
        <v>6.6137566137566134E-2</v>
      </c>
      <c r="BP164" s="78">
        <f>IFERROR(1/J164*(Y164/H164),"0")</f>
        <v>6.7460317460317457E-2</v>
      </c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16.666666666666668</v>
      </c>
      <c r="Y165" s="43">
        <f>IFERROR(Y164/H164,"0")</f>
        <v>17</v>
      </c>
      <c r="Z165" s="43">
        <f>IFERROR(IF(Z164="",0,Z164),"0")</f>
        <v>9.4519999999999993E-2</v>
      </c>
      <c r="AA165" s="67"/>
      <c r="AB165" s="67"/>
      <c r="AC165" s="67"/>
    </row>
    <row r="166" spans="1:68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12</v>
      </c>
      <c r="Y166" s="43">
        <f>IFERROR(SUM(Y164:Y164),"0")</f>
        <v>12.24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70</v>
      </c>
      <c r="Y168" s="55">
        <f t="shared" ref="Y168:Y178" si="21">IFERROR(IF(X168="",0,CEILING((X168/$H168),1)*$H168),"")</f>
        <v>70</v>
      </c>
      <c r="Z168" s="41">
        <f>IFERROR(IF(Y168=0,"",ROUNDUP(Y168/H168,0)*0.00902),"")</f>
        <v>0.1804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73.8</v>
      </c>
      <c r="BN168" s="78">
        <f t="shared" ref="BN168:BN178" si="23">IFERROR(Y168*I168/H168,"0")</f>
        <v>73.8</v>
      </c>
      <c r="BO168" s="78">
        <f t="shared" ref="BO168:BO178" si="24">IFERROR(1/J168*(X168/H168),"0")</f>
        <v>0.15151515151515152</v>
      </c>
      <c r="BP168" s="78">
        <f t="shared" ref="BP168:BP178" si="25">IFERROR(1/J168*(Y168/H168),"0")</f>
        <v>0.15151515151515152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100</v>
      </c>
      <c r="Y170" s="55">
        <f t="shared" si="21"/>
        <v>101.5</v>
      </c>
      <c r="Z170" s="41">
        <f>IFERROR(IF(Y170=0,"",ROUNDUP(Y170/H170,0)*0.00902),"")</f>
        <v>0.26158000000000003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105.42857142857143</v>
      </c>
      <c r="BN170" s="78">
        <f t="shared" si="23"/>
        <v>107.00999999999999</v>
      </c>
      <c r="BO170" s="78">
        <f t="shared" si="24"/>
        <v>0.21645021645021648</v>
      </c>
      <c r="BP170" s="78">
        <f t="shared" si="25"/>
        <v>0.2196969696969697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150</v>
      </c>
      <c r="Y171" s="55">
        <f t="shared" si="21"/>
        <v>150.5</v>
      </c>
      <c r="Z171" s="41">
        <f>IFERROR(IF(Y171=0,"",ROUNDUP(Y171/H171,0)*0.00902),"")</f>
        <v>0.38785999999999998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158.14285714285714</v>
      </c>
      <c r="BN171" s="78">
        <f t="shared" si="23"/>
        <v>158.67000000000002</v>
      </c>
      <c r="BO171" s="78">
        <f t="shared" si="24"/>
        <v>0.32467532467532467</v>
      </c>
      <c r="BP171" s="78">
        <f t="shared" si="25"/>
        <v>0.32575757575757575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140</v>
      </c>
      <c r="Y173" s="55">
        <f t="shared" si="21"/>
        <v>141.12</v>
      </c>
      <c r="Z173" s="41">
        <f>IFERROR(IF(Y173=0,"",ROUNDUP(Y173/H173,0)*0.00502),"")</f>
        <v>0.42168</v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148.33333333333334</v>
      </c>
      <c r="BN173" s="78">
        <f t="shared" si="23"/>
        <v>149.52000000000001</v>
      </c>
      <c r="BO173" s="78">
        <f t="shared" si="24"/>
        <v>0.35612535612535623</v>
      </c>
      <c r="BP173" s="78">
        <f t="shared" si="25"/>
        <v>0.35897435897435903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56.000000000000007</v>
      </c>
      <c r="Y176" s="55">
        <f t="shared" si="21"/>
        <v>57.12</v>
      </c>
      <c r="Z176" s="41">
        <f>IFERROR(IF(Y176=0,"",ROUNDUP(Y176/H176,0)*0.00502),"")</f>
        <v>0.17068</v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59.33333333333335</v>
      </c>
      <c r="BN176" s="78">
        <f t="shared" si="23"/>
        <v>60.519999999999996</v>
      </c>
      <c r="BO176" s="78">
        <f t="shared" si="24"/>
        <v>0.14245014245014248</v>
      </c>
      <c r="BP176" s="78">
        <f t="shared" si="25"/>
        <v>0.14529914529914531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84.000000000000014</v>
      </c>
      <c r="Y178" s="55">
        <f t="shared" si="21"/>
        <v>84</v>
      </c>
      <c r="Z178" s="41">
        <f>IFERROR(IF(Y178=0,"",ROUNDUP(Y178/H178,0)*0.00502),"")</f>
        <v>0.251</v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89.000000000000028</v>
      </c>
      <c r="BN178" s="78">
        <f t="shared" si="23"/>
        <v>89.000000000000014</v>
      </c>
      <c r="BO178" s="78">
        <f t="shared" si="24"/>
        <v>0.21367521367521372</v>
      </c>
      <c r="BP178" s="78">
        <f t="shared" si="25"/>
        <v>0.21367521367521369</v>
      </c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258.09523809523813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260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1.6732</v>
      </c>
      <c r="AA179" s="67"/>
      <c r="AB179" s="67"/>
      <c r="AC179" s="67"/>
    </row>
    <row r="180" spans="1:68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600</v>
      </c>
      <c r="Y180" s="43">
        <f>IFERROR(SUM(Y168:Y178),"0")</f>
        <v>604.24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hidden="1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45.5</v>
      </c>
      <c r="Y218" s="55">
        <f t="shared" si="32"/>
        <v>46.2</v>
      </c>
      <c r="Z218" s="41">
        <f t="shared" ref="Z218:Z223" si="37">IFERROR(IF(Y218=0,"",ROUNDUP(Y218/H218,0)*0.00502),"")</f>
        <v>0.11044000000000001</v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48.316666666666663</v>
      </c>
      <c r="BN218" s="78">
        <f t="shared" si="34"/>
        <v>49.06</v>
      </c>
      <c r="BO218" s="78">
        <f t="shared" si="35"/>
        <v>9.2592592592592587E-2</v>
      </c>
      <c r="BP218" s="78">
        <f t="shared" si="36"/>
        <v>9.401709401709403E-2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70</v>
      </c>
      <c r="Y220" s="55">
        <f t="shared" si="32"/>
        <v>71.400000000000006</v>
      </c>
      <c r="Z220" s="41">
        <f t="shared" si="37"/>
        <v>0.17068</v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74.333333333333329</v>
      </c>
      <c r="BN220" s="78">
        <f t="shared" si="34"/>
        <v>75.820000000000007</v>
      </c>
      <c r="BO220" s="78">
        <f t="shared" si="35"/>
        <v>0.14245014245014245</v>
      </c>
      <c r="BP220" s="78">
        <f t="shared" si="36"/>
        <v>0.14529914529914531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87.5</v>
      </c>
      <c r="Y225" s="55">
        <f t="shared" si="32"/>
        <v>88.2</v>
      </c>
      <c r="Z225" s="41">
        <f>IFERROR(IF(Y225=0,"",ROUNDUP(Y225/H225,0)*0.00502),"")</f>
        <v>0.21084</v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91.666666666666671</v>
      </c>
      <c r="BN225" s="78">
        <f t="shared" si="34"/>
        <v>92.4</v>
      </c>
      <c r="BO225" s="78">
        <f t="shared" si="35"/>
        <v>0.17806267806267806</v>
      </c>
      <c r="BP225" s="78">
        <f t="shared" si="36"/>
        <v>0.17948717948717952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96.666666666666657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98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0.49196000000000006</v>
      </c>
      <c r="AA228" s="67"/>
      <c r="AB228" s="67"/>
      <c r="AC228" s="67"/>
    </row>
    <row r="229" spans="1:68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203</v>
      </c>
      <c r="Y229" s="43">
        <f>IFERROR(SUM(Y214:Y227),"0")</f>
        <v>205.8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8.4</v>
      </c>
      <c r="Y240" s="55">
        <f>IFERROR(IF(X240="",0,CEILING((X240/$H240),1)*$H240),"")</f>
        <v>8.82</v>
      </c>
      <c r="Z240" s="41">
        <f>IFERROR(IF(Y240=0,"",ROUNDUP(Y240/H240,0)*0.0059),"")</f>
        <v>4.1299999999999996E-2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9.6666666666666661</v>
      </c>
      <c r="BN240" s="78">
        <f>IFERROR(Y240*I240/H240,"0")</f>
        <v>10.15</v>
      </c>
      <c r="BO240" s="78">
        <f>IFERROR(1/J240*(X240/H240),"0")</f>
        <v>3.0864197530864196E-2</v>
      </c>
      <c r="BP240" s="78">
        <f>IFERROR(1/J240*(Y240/H240),"0")</f>
        <v>3.2407407407407406E-2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6.666666666666667</v>
      </c>
      <c r="Y241" s="43">
        <f>IFERROR(Y238/H238,"0")+IFERROR(Y239/H239,"0")+IFERROR(Y240/H240,"0")</f>
        <v>7</v>
      </c>
      <c r="Z241" s="43">
        <f>IFERROR(IF(Z238="",0,Z238),"0")+IFERROR(IF(Z239="",0,Z239),"0")+IFERROR(IF(Z240="",0,Z240),"0")</f>
        <v>4.1299999999999996E-2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8.4</v>
      </c>
      <c r="Y242" s="43">
        <f>IFERROR(SUM(Y238:Y240),"0")</f>
        <v>8.82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220</v>
      </c>
      <c r="Y261" s="55">
        <f t="shared" si="38"/>
        <v>221.4</v>
      </c>
      <c r="Z261" s="41">
        <f>IFERROR(IF(Y261=0,"",ROUNDUP(Y261/H261,0)*0.00902),"")</f>
        <v>0.36982000000000004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227.7407407407407</v>
      </c>
      <c r="BN261" s="78">
        <f t="shared" si="40"/>
        <v>229.18999999999997</v>
      </c>
      <c r="BO261" s="78">
        <f t="shared" si="41"/>
        <v>0.30864197530864196</v>
      </c>
      <c r="BP261" s="78">
        <f t="shared" si="42"/>
        <v>0.31060606060606061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66</v>
      </c>
      <c r="Y263" s="55">
        <f t="shared" si="38"/>
        <v>66.600000000000009</v>
      </c>
      <c r="Z263" s="41">
        <f>IFERROR(IF(Y263=0,"",ROUNDUP(Y263/H263,0)*0.00502),"")</f>
        <v>0.18574000000000002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70.766666666666666</v>
      </c>
      <c r="BN263" s="78">
        <f t="shared" si="40"/>
        <v>71.410000000000011</v>
      </c>
      <c r="BO263" s="78">
        <f t="shared" si="41"/>
        <v>0.15669515669515671</v>
      </c>
      <c r="BP263" s="78">
        <f t="shared" si="42"/>
        <v>0.15811965811965817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30</v>
      </c>
      <c r="Y264" s="55">
        <f t="shared" si="38"/>
        <v>30.6</v>
      </c>
      <c r="Z264" s="41">
        <f>IFERROR(IF(Y264=0,"",ROUNDUP(Y264/H264,0)*0.00502),"")</f>
        <v>8.5339999999999999E-2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31.666666666666664</v>
      </c>
      <c r="BN264" s="78">
        <f t="shared" si="40"/>
        <v>32.299999999999997</v>
      </c>
      <c r="BO264" s="78">
        <f t="shared" si="41"/>
        <v>7.122507122507124E-2</v>
      </c>
      <c r="BP264" s="78">
        <f t="shared" si="42"/>
        <v>7.2649572649572655E-2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45</v>
      </c>
      <c r="Y265" s="55">
        <f t="shared" si="38"/>
        <v>45</v>
      </c>
      <c r="Z265" s="41">
        <f>IFERROR(IF(Y265=0,"",ROUNDUP(Y265/H265,0)*0.00502),"")</f>
        <v>0.1255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47.5</v>
      </c>
      <c r="BN265" s="78">
        <f t="shared" si="40"/>
        <v>47.5</v>
      </c>
      <c r="BO265" s="78">
        <f t="shared" si="41"/>
        <v>0.10683760683760685</v>
      </c>
      <c r="BP265" s="78">
        <f t="shared" si="42"/>
        <v>0.10683760683760685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27</v>
      </c>
      <c r="Y266" s="55">
        <f t="shared" si="38"/>
        <v>27</v>
      </c>
      <c r="Z266" s="41">
        <f>IFERROR(IF(Y266=0,"",ROUNDUP(Y266/H266,0)*0.00502),"")</f>
        <v>7.5300000000000006E-2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28.499999999999996</v>
      </c>
      <c r="BN266" s="78">
        <f t="shared" si="40"/>
        <v>28.499999999999996</v>
      </c>
      <c r="BO266" s="78">
        <f t="shared" si="41"/>
        <v>6.4102564102564111E-2</v>
      </c>
      <c r="BP266" s="78">
        <f t="shared" si="42"/>
        <v>6.4102564102564111E-2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134.07407407407408</v>
      </c>
      <c r="Y267" s="43">
        <f>IFERROR(Y259/H259,"0")+IFERROR(Y260/H260,"0")+IFERROR(Y261/H261,"0")+IFERROR(Y262/H262,"0")+IFERROR(Y263/H263,"0")+IFERROR(Y264/H264,"0")+IFERROR(Y265/H265,"0")+IFERROR(Y266/H266,"0")</f>
        <v>135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0.8417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388</v>
      </c>
      <c r="Y268" s="43">
        <f>IFERROR(SUM(Y259:Y266),"0")</f>
        <v>390.6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60</v>
      </c>
      <c r="Y272" s="55">
        <f t="shared" si="43"/>
        <v>60.899999999999991</v>
      </c>
      <c r="Z272" s="41">
        <f>IFERROR(IF(Y272=0,"",ROUNDUP(Y272/H272,0)*0.01898),"")</f>
        <v>0.13286000000000001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63.406896551724152</v>
      </c>
      <c r="BN272" s="78">
        <f t="shared" si="45"/>
        <v>64.358000000000004</v>
      </c>
      <c r="BO272" s="78">
        <f t="shared" si="46"/>
        <v>0.10775862068965518</v>
      </c>
      <c r="BP272" s="78">
        <f t="shared" si="47"/>
        <v>0.109375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200</v>
      </c>
      <c r="Y273" s="55">
        <f t="shared" si="43"/>
        <v>201.6</v>
      </c>
      <c r="Z273" s="41">
        <f>IFERROR(IF(Y273=0,"",ROUNDUP(Y273/H273,0)*0.00651),"")</f>
        <v>0.54683999999999999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222.5</v>
      </c>
      <c r="BN273" s="78">
        <f t="shared" si="45"/>
        <v>224.27999999999997</v>
      </c>
      <c r="BO273" s="78">
        <f t="shared" si="46"/>
        <v>0.45787545787545797</v>
      </c>
      <c r="BP273" s="78">
        <f t="shared" si="47"/>
        <v>0.46153846153846156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280</v>
      </c>
      <c r="Y276" s="55">
        <f t="shared" si="43"/>
        <v>280.8</v>
      </c>
      <c r="Z276" s="41">
        <f>IFERROR(IF(Y276=0,"",ROUNDUP(Y276/H276,0)*0.00651),"")</f>
        <v>0.76167000000000007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309.40000000000003</v>
      </c>
      <c r="BN276" s="78">
        <f t="shared" si="45"/>
        <v>310.28400000000005</v>
      </c>
      <c r="BO276" s="78">
        <f t="shared" si="46"/>
        <v>0.64102564102564108</v>
      </c>
      <c r="BP276" s="78">
        <f t="shared" si="47"/>
        <v>0.64285714285714302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43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66.300000000000011</v>
      </c>
      <c r="BN279" s="78">
        <f t="shared" si="45"/>
        <v>66.300000000000011</v>
      </c>
      <c r="BO279" s="78">
        <f t="shared" si="46"/>
        <v>0.13736263736263737</v>
      </c>
      <c r="BP279" s="78">
        <f t="shared" si="47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43"/>
        <v>160.79999999999998</v>
      </c>
      <c r="Z280" s="41">
        <f>IFERROR(IF(Y280=0,"",ROUNDUP(Y280/H280,0)*0.00651),"")</f>
        <v>0.43617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177.2</v>
      </c>
      <c r="BN280" s="78">
        <f t="shared" si="45"/>
        <v>178.08599999999998</v>
      </c>
      <c r="BO280" s="78">
        <f t="shared" si="46"/>
        <v>0.36630036630036633</v>
      </c>
      <c r="BP280" s="78">
        <f t="shared" si="47"/>
        <v>0.36813186813186816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298.56321839080465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300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2.0402900000000002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760</v>
      </c>
      <c r="Y283" s="43">
        <f>IFERROR(SUM(Y270:Y281),"0")</f>
        <v>764.09999999999991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100</v>
      </c>
      <c r="Y286" s="55">
        <f>IFERROR(IF(X286="",0,CEILING((X286/$H286),1)*$H286),"")</f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110.5</v>
      </c>
      <c r="BN286" s="78">
        <f>IFERROR(Y286*I286/H286,"0")</f>
        <v>111.384</v>
      </c>
      <c r="BO286" s="78">
        <f>IFERROR(1/J286*(X286/H286),"0")</f>
        <v>0.22893772893772898</v>
      </c>
      <c r="BP286" s="78">
        <f>IFERROR(1/J286*(Y286/H286),"0")</f>
        <v>0.23076923076923078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41.666666666666671</v>
      </c>
      <c r="Y287" s="43">
        <f>IFERROR(Y285/H285,"0")+IFERROR(Y286/H286,"0")</f>
        <v>42</v>
      </c>
      <c r="Z287" s="43">
        <f>IFERROR(IF(Z285="",0,Z285),"0")+IFERROR(IF(Z286="",0,Z286),"0")</f>
        <v>0.27342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100</v>
      </c>
      <c r="Y288" s="43">
        <f>IFERROR(SUM(Y285:Y286),"0")</f>
        <v>100.8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24</v>
      </c>
      <c r="Y294" s="55">
        <f t="shared" si="48"/>
        <v>24</v>
      </c>
      <c r="Z294" s="41">
        <f>IFERROR(IF(Y294=0,"",ROUNDUP(Y294/H294,0)*0.00902),"")</f>
        <v>5.4120000000000001E-2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25.14</v>
      </c>
      <c r="BN294" s="78">
        <f t="shared" si="50"/>
        <v>25.14</v>
      </c>
      <c r="BO294" s="78">
        <f t="shared" si="51"/>
        <v>4.5454545454545456E-2</v>
      </c>
      <c r="BP294" s="78">
        <f t="shared" si="52"/>
        <v>4.5454545454545456E-2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80</v>
      </c>
      <c r="Y297" s="55">
        <f t="shared" si="48"/>
        <v>80</v>
      </c>
      <c r="Z297" s="41">
        <f>IFERROR(IF(Y297=0,"",ROUNDUP(Y297/H297,0)*0.00902),"")</f>
        <v>0.1804</v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83.800000000000011</v>
      </c>
      <c r="BN297" s="78">
        <f t="shared" si="50"/>
        <v>83.800000000000011</v>
      </c>
      <c r="BO297" s="78">
        <f t="shared" si="51"/>
        <v>0.15151515151515152</v>
      </c>
      <c r="BP297" s="78">
        <f t="shared" si="52"/>
        <v>0.15151515151515152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26</v>
      </c>
      <c r="Y298" s="43">
        <f>IFERROR(Y291/H291,"0")+IFERROR(Y292/H292,"0")+IFERROR(Y293/H293,"0")+IFERROR(Y294/H294,"0")+IFERROR(Y295/H295,"0")+IFERROR(Y296/H296,"0")+IFERROR(Y297/H297,"0")</f>
        <v>26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0.23452000000000001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104</v>
      </c>
      <c r="Y299" s="43">
        <f>IFERROR(SUM(Y291:Y297),"0")</f>
        <v>104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7.1999999999999993</v>
      </c>
      <c r="Y305" s="55">
        <f>IFERROR(IF(X305="",0,CEILING((X305/$H305),1)*$H305),"")</f>
        <v>7.2</v>
      </c>
      <c r="Z305" s="41">
        <f>IFERROR(IF(Y305=0,"",ROUNDUP(Y305/H305,0)*0.0059),"")</f>
        <v>2.3599999999999999E-2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7.8999999999999995</v>
      </c>
      <c r="BN305" s="78">
        <f>IFERROR(Y305*I305/H305,"0")</f>
        <v>7.9</v>
      </c>
      <c r="BO305" s="78">
        <f>IFERROR(1/J305*(X305/H305),"0")</f>
        <v>1.8518518518518514E-2</v>
      </c>
      <c r="BP305" s="78">
        <f>IFERROR(1/J305*(Y305/H305),"0")</f>
        <v>1.8518518518518517E-2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3.9999999999999996</v>
      </c>
      <c r="Y306" s="43">
        <f>IFERROR(Y305/H305,"0")</f>
        <v>4</v>
      </c>
      <c r="Z306" s="43">
        <f>IFERROR(IF(Z305="",0,Z305),"0")</f>
        <v>2.3599999999999999E-2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7.1999999999999993</v>
      </c>
      <c r="Y307" s="43">
        <f>IFERROR(SUM(Y305:Y305),"0")</f>
        <v>7.2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6.6666666666666661</v>
      </c>
      <c r="Y312" s="43">
        <f>IFERROR(Y309/H309,"0")+IFERROR(Y310/H310,"0")+IFERROR(Y311/H311,"0")</f>
        <v>7</v>
      </c>
      <c r="Z312" s="43">
        <f>IFERROR(IF(Z309="",0,Z309),"0")+IFERROR(IF(Z310="",0,Z310),"0")+IFERROR(IF(Z311="",0,Z311),"0")</f>
        <v>4.1299999999999996E-2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12</v>
      </c>
      <c r="Y313" s="43">
        <f>IFERROR(SUM(Y309:Y311),"0")</f>
        <v>12.6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240</v>
      </c>
      <c r="Y327" s="55">
        <f>IFERROR(IF(X327="",0,CEILING((X327/$H327),1)*$H327),"")</f>
        <v>240</v>
      </c>
      <c r="Z327" s="41">
        <f>IFERROR(IF(Y327=0,"",ROUNDUP(Y327/H327,0)*0.00651),"")</f>
        <v>0.65100000000000002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258.00000000000006</v>
      </c>
      <c r="BN327" s="78">
        <f>IFERROR(Y327*I327/H327,"0")</f>
        <v>258.00000000000006</v>
      </c>
      <c r="BO327" s="78">
        <f>IFERROR(1/J327*(X327/H327),"0")</f>
        <v>0.5494505494505495</v>
      </c>
      <c r="BP327" s="78">
        <f>IFERROR(1/J327*(Y327/H327),"0")</f>
        <v>0.5494505494505495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116.66666666666667</v>
      </c>
      <c r="Y328" s="43">
        <f>IFERROR(Y325/H325,"0")+IFERROR(Y326/H326,"0")+IFERROR(Y327/H327,"0")</f>
        <v>117</v>
      </c>
      <c r="Z328" s="43">
        <f>IFERROR(IF(Z325="",0,Z325),"0")+IFERROR(IF(Z326="",0,Z326),"0")+IFERROR(IF(Z327="",0,Z327),"0")</f>
        <v>0.76167000000000007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280</v>
      </c>
      <c r="Y329" s="43">
        <f>IFERROR(SUM(Y325:Y327),"0")</f>
        <v>280.8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100</v>
      </c>
      <c r="Y346" s="55">
        <f>IFERROR(IF(X346="",0,CEILING((X346/$H346),1)*$H346),"")</f>
        <v>101.39999999999999</v>
      </c>
      <c r="Z346" s="41">
        <f>IFERROR(IF(Y346=0,"",ROUNDUP(Y346/H346,0)*0.01898),"")</f>
        <v>0.24674000000000001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105.25641025641028</v>
      </c>
      <c r="BN346" s="78">
        <f>IFERROR(Y346*I346/H346,"0")</f>
        <v>106.73</v>
      </c>
      <c r="BO346" s="78">
        <f>IFERROR(1/J346*(X346/H346),"0")</f>
        <v>0.20032051282051283</v>
      </c>
      <c r="BP346" s="78">
        <f>IFERROR(1/J346*(Y346/H346),"0")</f>
        <v>0.203125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100</v>
      </c>
      <c r="Y348" s="55">
        <f>IFERROR(IF(X348="",0,CEILING((X348/$H348),1)*$H348),"")</f>
        <v>101.39999999999999</v>
      </c>
      <c r="Z348" s="41">
        <f>IFERROR(IF(Y348=0,"",ROUNDUP(Y348/H348,0)*0.01898),"")</f>
        <v>0.24674000000000001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105.25641025641028</v>
      </c>
      <c r="BN348" s="78">
        <f>IFERROR(Y348*I348/H348,"0")</f>
        <v>106.73</v>
      </c>
      <c r="BO348" s="78">
        <f>IFERROR(1/J348*(X348/H348),"0")</f>
        <v>0.20032051282051283</v>
      </c>
      <c r="BP348" s="78">
        <f>IFERROR(1/J348*(Y348/H348),"0")</f>
        <v>0.203125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51.282051282051285</v>
      </c>
      <c r="Y349" s="43">
        <f>IFERROR(Y346/H346,"0")+IFERROR(Y347/H347,"0")+IFERROR(Y348/H348,"0")</f>
        <v>52</v>
      </c>
      <c r="Z349" s="43">
        <f>IFERROR(IF(Z346="",0,Z346),"0")+IFERROR(IF(Z347="",0,Z347),"0")+IFERROR(IF(Z348="",0,Z348),"0")</f>
        <v>0.98696000000000006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400</v>
      </c>
      <c r="Y350" s="43">
        <f>IFERROR(SUM(Y346:Y348),"0")</f>
        <v>405.59999999999997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70</v>
      </c>
      <c r="Y353" s="55">
        <f t="shared" ref="Y353:Y358" si="53">IFERROR(IF(X353="",0,CEILING((X353/$H353),1)*$H353),"")</f>
        <v>75.600000000000009</v>
      </c>
      <c r="Z353" s="41">
        <f>IFERROR(IF(Y353=0,"",ROUNDUP(Y353/H353,0)*0.01898),"")</f>
        <v>0.13286000000000001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72.657407407407405</v>
      </c>
      <c r="BN353" s="78">
        <f t="shared" ref="BN353:BN358" si="55">IFERROR(Y353*I353/H353,"0")</f>
        <v>78.47</v>
      </c>
      <c r="BO353" s="78">
        <f t="shared" ref="BO353:BO358" si="56">IFERROR(1/J353*(X353/H353),"0")</f>
        <v>0.10127314814814814</v>
      </c>
      <c r="BP353" s="78">
        <f t="shared" ref="BP353:BP358" si="57">IFERROR(1/J353*(Y353/H353),"0")</f>
        <v>0.109375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6.481481481481481</v>
      </c>
      <c r="Y359" s="43">
        <f>IFERROR(Y353/H353,"0")+IFERROR(Y354/H354,"0")+IFERROR(Y355/H355,"0")+IFERROR(Y356/H356,"0")+IFERROR(Y357/H357,"0")+IFERROR(Y358/H358,"0")</f>
        <v>7</v>
      </c>
      <c r="Z359" s="43">
        <f>IFERROR(IF(Z353="",0,Z353),"0")+IFERROR(IF(Z354="",0,Z354),"0")+IFERROR(IF(Z355="",0,Z355),"0")+IFERROR(IF(Z356="",0,Z356),"0")+IFERROR(IF(Z357="",0,Z357),"0")+IFERROR(IF(Z358="",0,Z358),"0")</f>
        <v>0.13286000000000001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70</v>
      </c>
      <c r="Y360" s="43">
        <f>IFERROR(SUM(Y353:Y358),"0")</f>
        <v>75.600000000000009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105</v>
      </c>
      <c r="Y366" s="55">
        <f t="shared" si="58"/>
        <v>105</v>
      </c>
      <c r="Z366" s="41">
        <f>IFERROR(IF(Y366=0,"",ROUNDUP(Y366/H366,0)*0.00502),"")</f>
        <v>0.251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110.00000000000001</v>
      </c>
      <c r="BN366" s="78">
        <f t="shared" si="60"/>
        <v>110.00000000000001</v>
      </c>
      <c r="BO366" s="78">
        <f t="shared" si="61"/>
        <v>0.21367521367521369</v>
      </c>
      <c r="BP366" s="78">
        <f t="shared" si="62"/>
        <v>0.21367521367521369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50</v>
      </c>
      <c r="Y369" s="43">
        <f>IFERROR(Y362/H362,"0")+IFERROR(Y363/H363,"0")+IFERROR(Y364/H364,"0")+IFERROR(Y365/H365,"0")+IFERROR(Y366/H366,"0")+IFERROR(Y367/H367,"0")+IFERROR(Y368/H368,"0")</f>
        <v>50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0.251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105</v>
      </c>
      <c r="Y370" s="43">
        <f>IFERROR(SUM(Y362:Y368),"0")</f>
        <v>105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190</v>
      </c>
      <c r="Y379" s="55">
        <f>IFERROR(IF(X379="",0,CEILING((X379/$H379),1)*$H379),"")</f>
        <v>193.20000000000002</v>
      </c>
      <c r="Z379" s="41">
        <f>IFERROR(IF(Y379=0,"",ROUNDUP(Y379/H379,0)*0.01898),"")</f>
        <v>0.43653999999999998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201.17380952380952</v>
      </c>
      <c r="BN379" s="78">
        <f>IFERROR(Y379*I379/H379,"0")</f>
        <v>204.56200000000001</v>
      </c>
      <c r="BO379" s="78">
        <f>IFERROR(1/J379*(X379/H379),"0")</f>
        <v>0.35342261904761901</v>
      </c>
      <c r="BP379" s="78">
        <f>IFERROR(1/J379*(Y379/H379),"0")</f>
        <v>0.359375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350</v>
      </c>
      <c r="Y380" s="55">
        <f>IFERROR(IF(X380="",0,CEILING((X380/$H380),1)*$H380),"")</f>
        <v>351</v>
      </c>
      <c r="Z380" s="41">
        <f>IFERROR(IF(Y380=0,"",ROUNDUP(Y380/H380,0)*0.01898),"")</f>
        <v>0.85409999999999997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372.16666666666669</v>
      </c>
      <c r="BN380" s="78">
        <f>IFERROR(Y380*I380/H380,"0")</f>
        <v>373.23</v>
      </c>
      <c r="BO380" s="78">
        <f>IFERROR(1/J380*(X380/H380),"0")</f>
        <v>0.70112179487179493</v>
      </c>
      <c r="BP380" s="78">
        <f>IFERROR(1/J380*(Y380/H380),"0")</f>
        <v>0.703125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60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63.528571428571425</v>
      </c>
      <c r="BN381" s="78">
        <f>IFERROR(Y381*I381/H381,"0")</f>
        <v>71.152000000000001</v>
      </c>
      <c r="BO381" s="78">
        <f>IFERROR(1/J381*(X381/H381),"0")</f>
        <v>0.11160714285714285</v>
      </c>
      <c r="BP381" s="78">
        <f>IFERROR(1/J381*(Y381/H381),"0")</f>
        <v>0.125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74.633699633699635</v>
      </c>
      <c r="Y382" s="43">
        <f>IFERROR(Y379/H379,"0")+IFERROR(Y380/H380,"0")+IFERROR(Y381/H381,"0")</f>
        <v>76</v>
      </c>
      <c r="Z382" s="43">
        <f>IFERROR(IF(Z379="",0,Z379),"0")+IFERROR(IF(Z380="",0,Z380),"0")+IFERROR(IF(Z381="",0,Z381),"0")</f>
        <v>1.44248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600</v>
      </c>
      <c r="Y383" s="43">
        <f>IFERROR(SUM(Y379:Y381),"0")</f>
        <v>611.40000000000009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489.99999999999994</v>
      </c>
      <c r="Y400" s="55">
        <f>IFERROR(IF(X400="",0,CEILING((X400/$H400),1)*$H400),"")</f>
        <v>491.40000000000003</v>
      </c>
      <c r="Z400" s="41">
        <f>IFERROR(IF(Y400=0,"",ROUNDUP(Y400/H400,0)*0.00651),"")</f>
        <v>1.5233400000000001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548.79999999999984</v>
      </c>
      <c r="BN400" s="78">
        <f>IFERROR(Y400*I400/H400,"0")</f>
        <v>550.36799999999994</v>
      </c>
      <c r="BO400" s="78">
        <f>IFERROR(1/J400*(X400/H400),"0")</f>
        <v>1.2820512820512819</v>
      </c>
      <c r="BP400" s="78">
        <f>IFERROR(1/J400*(Y400/H400),"0")</f>
        <v>1.2857142857142858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350</v>
      </c>
      <c r="Y401" s="55">
        <f>IFERROR(IF(X401="",0,CEILING((X401/$H401),1)*$H401),"")</f>
        <v>350.7</v>
      </c>
      <c r="Z401" s="41">
        <f>IFERROR(IF(Y401=0,"",ROUNDUP(Y401/H401,0)*0.00651),"")</f>
        <v>1.08717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390</v>
      </c>
      <c r="BN401" s="78">
        <f>IFERROR(Y401*I401/H401,"0")</f>
        <v>390.78</v>
      </c>
      <c r="BO401" s="78">
        <f>IFERROR(1/J401*(X401/H401),"0")</f>
        <v>0.91575091575091572</v>
      </c>
      <c r="BP401" s="78">
        <f>IFERROR(1/J401*(Y401/H401),"0")</f>
        <v>0.91758241758241765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399.99999999999994</v>
      </c>
      <c r="Y402" s="43">
        <f>IFERROR(Y399/H399,"0")+IFERROR(Y400/H400,"0")+IFERROR(Y401/H401,"0")</f>
        <v>401</v>
      </c>
      <c r="Z402" s="43">
        <f>IFERROR(IF(Z399="",0,Z399),"0")+IFERROR(IF(Z400="",0,Z400),"0")+IFERROR(IF(Z401="",0,Z401),"0")</f>
        <v>2.6105100000000001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840</v>
      </c>
      <c r="Y403" s="43">
        <f>IFERROR(SUM(Y399:Y401),"0")</f>
        <v>842.1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200</v>
      </c>
      <c r="Y407" s="55">
        <f t="shared" ref="Y407:Y414" si="63">IFERROR(IF(X407="",0,CEILING((X407/$H407),1)*$H407),"")</f>
        <v>210</v>
      </c>
      <c r="Z407" s="41">
        <f>IFERROR(IF(Y407=0,"",ROUNDUP(Y407/H407,0)*0.02175),"")</f>
        <v>0.30449999999999999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206.26666666666668</v>
      </c>
      <c r="BN407" s="78">
        <f t="shared" ref="BN407:BN414" si="65">IFERROR(Y407*I407/H407,"0")</f>
        <v>216.58</v>
      </c>
      <c r="BO407" s="78">
        <f t="shared" ref="BO407:BO414" si="66">IFERROR(1/J407*(X407/H407),"0")</f>
        <v>0.27777777777777779</v>
      </c>
      <c r="BP407" s="78">
        <f t="shared" ref="BP407:BP414" si="67">IFERROR(1/J407*(Y407/H407),"0")</f>
        <v>0.29166666666666663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1900</v>
      </c>
      <c r="Y408" s="55">
        <f t="shared" si="63"/>
        <v>1905</v>
      </c>
      <c r="Z408" s="41">
        <f>IFERROR(IF(Y408=0,"",ROUNDUP(Y408/H408,0)*0.02175),"")</f>
        <v>2.7622499999999999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1959.5333333333333</v>
      </c>
      <c r="BN408" s="78">
        <f t="shared" si="65"/>
        <v>1964.69</v>
      </c>
      <c r="BO408" s="78">
        <f t="shared" si="66"/>
        <v>2.6388888888888888</v>
      </c>
      <c r="BP408" s="78">
        <f t="shared" si="67"/>
        <v>2.645833333333333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500</v>
      </c>
      <c r="Y409" s="55">
        <f t="shared" si="63"/>
        <v>510</v>
      </c>
      <c r="Z409" s="41">
        <f>IFERROR(IF(Y409=0,"",ROUNDUP(Y409/H409,0)*0.02175),"")</f>
        <v>0.73949999999999994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515.66666666666663</v>
      </c>
      <c r="BN409" s="78">
        <f t="shared" si="65"/>
        <v>525.98</v>
      </c>
      <c r="BO409" s="78">
        <f t="shared" si="66"/>
        <v>0.69444444444444442</v>
      </c>
      <c r="BP409" s="78">
        <f t="shared" si="67"/>
        <v>0.70833333333333326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700</v>
      </c>
      <c r="Y410" s="55">
        <f t="shared" si="63"/>
        <v>705</v>
      </c>
      <c r="Z410" s="41">
        <f>IFERROR(IF(Y410=0,"",ROUNDUP(Y410/H410,0)*0.02175),"")</f>
        <v>1.0222499999999999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721.93333333333328</v>
      </c>
      <c r="BN410" s="78">
        <f t="shared" si="65"/>
        <v>727.09</v>
      </c>
      <c r="BO410" s="78">
        <f t="shared" si="66"/>
        <v>0.9722222222222221</v>
      </c>
      <c r="BP410" s="78">
        <f t="shared" si="67"/>
        <v>0.97916666666666663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220</v>
      </c>
      <c r="Y415" s="43">
        <f>IFERROR(Y407/H407,"0")+IFERROR(Y408/H408,"0")+IFERROR(Y409/H409,"0")+IFERROR(Y410/H410,"0")+IFERROR(Y411/H411,"0")+IFERROR(Y412/H412,"0")+IFERROR(Y413/H413,"0")+IFERROR(Y414/H414,"0")</f>
        <v>222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4.8285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3300</v>
      </c>
      <c r="Y416" s="43">
        <f>IFERROR(SUM(Y407:Y414),"0")</f>
        <v>3330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900</v>
      </c>
      <c r="Y418" s="55">
        <f>IFERROR(IF(X418="",0,CEILING((X418/$H418),1)*$H418),"")</f>
        <v>900</v>
      </c>
      <c r="Z418" s="41">
        <f>IFERROR(IF(Y418=0,"",ROUNDUP(Y418/H418,0)*0.02175),"")</f>
        <v>1.3049999999999999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928.2</v>
      </c>
      <c r="BN418" s="78">
        <f>IFERROR(Y418*I418/H418,"0")</f>
        <v>928.2</v>
      </c>
      <c r="BO418" s="78">
        <f>IFERROR(1/J418*(X418/H418),"0")</f>
        <v>1.25</v>
      </c>
      <c r="BP418" s="78">
        <f>IFERROR(1/J418*(Y418/H418),"0")</f>
        <v>1.25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60</v>
      </c>
      <c r="Y421" s="43">
        <f>IFERROR(Y418/H418,"0")+IFERROR(Y419/H419,"0")+IFERROR(Y420/H420,"0")</f>
        <v>60</v>
      </c>
      <c r="Z421" s="43">
        <f>IFERROR(IF(Z418="",0,Z418),"0")+IFERROR(IF(Z419="",0,Z419),"0")+IFERROR(IF(Z420="",0,Z420),"0")</f>
        <v>1.3049999999999999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900</v>
      </c>
      <c r="Y422" s="43">
        <f>IFERROR(SUM(Y418:Y420),"0")</f>
        <v>900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100</v>
      </c>
      <c r="Y425" s="55">
        <f>IFERROR(IF(X425="",0,CEILING((X425/$H425),1)*$H425),"")</f>
        <v>108</v>
      </c>
      <c r="Z425" s="41">
        <f>IFERROR(IF(Y425=0,"",ROUNDUP(Y425/H425,0)*0.01898),"")</f>
        <v>0.22776000000000002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105.48888888888888</v>
      </c>
      <c r="BN425" s="78">
        <f>IFERROR(Y425*I425/H425,"0")</f>
        <v>113.92799999999998</v>
      </c>
      <c r="BO425" s="78">
        <f>IFERROR(1/J425*(X425/H425),"0")</f>
        <v>0.1736111111111111</v>
      </c>
      <c r="BP425" s="78">
        <f>IFERROR(1/J425*(Y425/H425),"0")</f>
        <v>0.1875</v>
      </c>
    </row>
    <row r="426" spans="1:68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11.111111111111111</v>
      </c>
      <c r="Y426" s="43">
        <f>IFERROR(Y424/H424,"0")+IFERROR(Y425/H425,"0")</f>
        <v>12</v>
      </c>
      <c r="Z426" s="43">
        <f>IFERROR(IF(Z424="",0,Z424),"0")+IFERROR(IF(Z425="",0,Z425),"0")</f>
        <v>0.22776000000000002</v>
      </c>
      <c r="AA426" s="67"/>
      <c r="AB426" s="67"/>
      <c r="AC426" s="67"/>
    </row>
    <row r="427" spans="1:68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100</v>
      </c>
      <c r="Y427" s="43">
        <f>IFERROR(SUM(Y424:Y425),"0")</f>
        <v>108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50</v>
      </c>
      <c r="Y429" s="55">
        <f>IFERROR(IF(X429="",0,CEILING((X429/$H429),1)*$H429),"")</f>
        <v>54</v>
      </c>
      <c r="Z429" s="41">
        <f>IFERROR(IF(Y429=0,"",ROUNDUP(Y429/H429,0)*0.01898),"")</f>
        <v>0.11388000000000001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52.74444444444444</v>
      </c>
      <c r="BN429" s="78">
        <f>IFERROR(Y429*I429/H429,"0")</f>
        <v>56.963999999999992</v>
      </c>
      <c r="BO429" s="78">
        <f>IFERROR(1/J429*(X429/H429),"0")</f>
        <v>8.6805555555555552E-2</v>
      </c>
      <c r="BP429" s="78">
        <f>IFERROR(1/J429*(Y429/H429),"0")</f>
        <v>9.375E-2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5.5555555555555554</v>
      </c>
      <c r="Y430" s="43">
        <f>IFERROR(Y429/H429,"0")</f>
        <v>6</v>
      </c>
      <c r="Z430" s="43">
        <f>IFERROR(IF(Z429="",0,Z429),"0")</f>
        <v>0.11388000000000001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50</v>
      </c>
      <c r="Y431" s="43">
        <f>IFERROR(SUM(Y429:Y429),"0")</f>
        <v>54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30</v>
      </c>
      <c r="Y443" s="55">
        <f>IFERROR(IF(X443="",0,CEILING((X443/$H443),1)*$H443),"")</f>
        <v>36</v>
      </c>
      <c r="Z443" s="41">
        <f>IFERROR(IF(Y443=0,"",ROUNDUP(Y443/H443,0)*0.01898),"")</f>
        <v>7.5920000000000001E-2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31.646666666666665</v>
      </c>
      <c r="BN443" s="78">
        <f>IFERROR(Y443*I443/H443,"0")</f>
        <v>37.975999999999999</v>
      </c>
      <c r="BO443" s="78">
        <f>IFERROR(1/J443*(X443/H443),"0")</f>
        <v>5.2083333333333336E-2</v>
      </c>
      <c r="BP443" s="78">
        <f>IFERROR(1/J443*(Y443/H443),"0")</f>
        <v>6.25E-2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3.3333333333333335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30</v>
      </c>
      <c r="Y447" s="43">
        <f>IFERROR(SUM(Y443:Y445),"0")</f>
        <v>36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100</v>
      </c>
      <c r="Y478" s="55">
        <f t="shared" ref="Y478:Y486" si="73">IFERROR(IF(X478="",0,CEILING((X478/$H478),1)*$H478),"")</f>
        <v>100.32000000000001</v>
      </c>
      <c r="Z478" s="41">
        <f t="shared" ref="Z478:Z483" si="74">IFERROR(IF(Y478=0,"",ROUNDUP(Y478/H478,0)*0.01196),"")</f>
        <v>0.22724</v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106.62878787878788</v>
      </c>
      <c r="BN478" s="78">
        <f t="shared" ref="BN478:BN486" si="76">IFERROR(Y478*I478/H478,"0")</f>
        <v>106.97</v>
      </c>
      <c r="BO478" s="78">
        <f t="shared" ref="BO478:BO486" si="77">IFERROR(1/J478*(X478/H478),"0")</f>
        <v>0.18210955710955709</v>
      </c>
      <c r="BP478" s="78">
        <f t="shared" ref="BP478:BP486" si="78">IFERROR(1/J478*(Y478/H478),"0")</f>
        <v>0.18269230769230771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50</v>
      </c>
      <c r="Y481" s="55">
        <f t="shared" si="73"/>
        <v>52.800000000000004</v>
      </c>
      <c r="Z481" s="41">
        <f t="shared" si="74"/>
        <v>0.1196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53.314393939393938</v>
      </c>
      <c r="BN481" s="78">
        <f t="shared" si="76"/>
        <v>56.3</v>
      </c>
      <c r="BO481" s="78">
        <f t="shared" si="77"/>
        <v>9.1054778554778545E-2</v>
      </c>
      <c r="BP481" s="78">
        <f t="shared" si="78"/>
        <v>9.6153846153846159E-2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600</v>
      </c>
      <c r="Y483" s="55">
        <f t="shared" si="73"/>
        <v>601.92000000000007</v>
      </c>
      <c r="Z483" s="41">
        <f t="shared" si="74"/>
        <v>1.36344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639.77272727272725</v>
      </c>
      <c r="BN483" s="78">
        <f t="shared" si="76"/>
        <v>641.82000000000005</v>
      </c>
      <c r="BO483" s="78">
        <f t="shared" si="77"/>
        <v>1.0926573426573427</v>
      </c>
      <c r="BP483" s="78">
        <f t="shared" si="78"/>
        <v>1.0961538461538463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90</v>
      </c>
      <c r="Y485" s="55">
        <f t="shared" si="73"/>
        <v>91.2</v>
      </c>
      <c r="Z485" s="41">
        <f>IFERROR(IF(Y485=0,"",ROUNDUP(Y485/H485,0)*0.00902),"")</f>
        <v>0.17138</v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129.5625</v>
      </c>
      <c r="BN485" s="78">
        <f t="shared" si="76"/>
        <v>131.29000000000002</v>
      </c>
      <c r="BO485" s="78">
        <f t="shared" si="77"/>
        <v>0.14204545454545456</v>
      </c>
      <c r="BP485" s="78">
        <f t="shared" si="78"/>
        <v>0.14393939393939395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240</v>
      </c>
      <c r="Y486" s="55">
        <f t="shared" si="73"/>
        <v>240</v>
      </c>
      <c r="Z486" s="41">
        <f>IFERROR(IF(Y486=0,"",ROUNDUP(Y486/H486,0)*0.00902),"")</f>
        <v>0.45100000000000001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345.50000000000006</v>
      </c>
      <c r="BN486" s="78">
        <f t="shared" si="76"/>
        <v>345.50000000000006</v>
      </c>
      <c r="BO486" s="78">
        <f t="shared" si="77"/>
        <v>0.37878787878787878</v>
      </c>
      <c r="BP486" s="78">
        <f t="shared" si="78"/>
        <v>0.37878787878787878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210.79545454545453</v>
      </c>
      <c r="Y487" s="43">
        <f>IFERROR(Y478/H478,"0")+IFERROR(Y479/H479,"0")+IFERROR(Y480/H480,"0")+IFERROR(Y481/H481,"0")+IFERROR(Y482/H482,"0")+IFERROR(Y483/H483,"0")+IFERROR(Y484/H484,"0")+IFERROR(Y485/H485,"0")+IFERROR(Y486/H486,"0")</f>
        <v>212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2.3326600000000002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1080</v>
      </c>
      <c r="Y488" s="43">
        <f>IFERROR(SUM(Y478:Y486),"0")</f>
        <v>1086.2400000000002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400</v>
      </c>
      <c r="Y490" s="55">
        <f>IFERROR(IF(X490="",0,CEILING((X490/$H490),1)*$H490),"")</f>
        <v>401.28000000000003</v>
      </c>
      <c r="Z490" s="41">
        <f>IFERROR(IF(Y490=0,"",ROUNDUP(Y490/H490,0)*0.01196),"")</f>
        <v>0.90895999999999999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426.5151515151515</v>
      </c>
      <c r="BN490" s="78">
        <f>IFERROR(Y490*I490/H490,"0")</f>
        <v>427.88</v>
      </c>
      <c r="BO490" s="78">
        <f>IFERROR(1/J490*(X490/H490),"0")</f>
        <v>0.72843822843822836</v>
      </c>
      <c r="BP490" s="78">
        <f>IFERROR(1/J490*(Y490/H490),"0")</f>
        <v>0.73076923076923084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120</v>
      </c>
      <c r="Y492" s="55">
        <f>IFERROR(IF(X492="",0,CEILING((X492/$H492),1)*$H492),"")</f>
        <v>120</v>
      </c>
      <c r="Z492" s="41">
        <f>IFERROR(IF(Y492=0,"",ROUNDUP(Y492/H492,0)*0.00902),"")</f>
        <v>0.22550000000000001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172.75000000000003</v>
      </c>
      <c r="BN492" s="78">
        <f>IFERROR(Y492*I492/H492,"0")</f>
        <v>172.75000000000003</v>
      </c>
      <c r="BO492" s="78">
        <f>IFERROR(1/J492*(X492/H492),"0")</f>
        <v>0.18939393939393939</v>
      </c>
      <c r="BP492" s="78">
        <f>IFERROR(1/J492*(Y492/H492),"0")</f>
        <v>0.18939393939393939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100.75757575757575</v>
      </c>
      <c r="Y493" s="43">
        <f>IFERROR(Y490/H490,"0")+IFERROR(Y491/H491,"0")+IFERROR(Y492/H492,"0")</f>
        <v>101</v>
      </c>
      <c r="Z493" s="43">
        <f>IFERROR(IF(Z490="",0,Z490),"0")+IFERROR(IF(Z491="",0,Z491),"0")+IFERROR(IF(Z492="",0,Z492),"0")</f>
        <v>1.13446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520</v>
      </c>
      <c r="Y494" s="43">
        <f>IFERROR(SUM(Y490:Y492),"0")</f>
        <v>521.28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100</v>
      </c>
      <c r="Y496" s="55">
        <f t="shared" ref="Y496:Y502" si="79">IFERROR(IF(X496="",0,CEILING((X496/$H496),1)*$H496),"")</f>
        <v>100.32000000000001</v>
      </c>
      <c r="Z496" s="41">
        <f>IFERROR(IF(Y496=0,"",ROUNDUP(Y496/H496,0)*0.01196),"")</f>
        <v>0.22724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106.62878787878788</v>
      </c>
      <c r="BN496" s="78">
        <f t="shared" ref="BN496:BN502" si="81">IFERROR(Y496*I496/H496,"0")</f>
        <v>106.97</v>
      </c>
      <c r="BO496" s="78">
        <f t="shared" ref="BO496:BO502" si="82">IFERROR(1/J496*(X496/H496),"0")</f>
        <v>0.18210955710955709</v>
      </c>
      <c r="BP496" s="78">
        <f t="shared" ref="BP496:BP502" si="83">IFERROR(1/J496*(Y496/H496),"0")</f>
        <v>0.18269230769230771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50</v>
      </c>
      <c r="Y497" s="55">
        <f t="shared" si="79"/>
        <v>52.800000000000004</v>
      </c>
      <c r="Z497" s="41">
        <f>IFERROR(IF(Y497=0,"",ROUNDUP(Y497/H497,0)*0.01196),"")</f>
        <v>0.1196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53.314393939393938</v>
      </c>
      <c r="BN497" s="78">
        <f t="shared" si="81"/>
        <v>56.3</v>
      </c>
      <c r="BO497" s="78">
        <f t="shared" si="82"/>
        <v>9.1054778554778545E-2</v>
      </c>
      <c r="BP497" s="78">
        <f t="shared" si="83"/>
        <v>9.6153846153846159E-2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160</v>
      </c>
      <c r="Y498" s="55">
        <f t="shared" si="79"/>
        <v>163.68</v>
      </c>
      <c r="Z498" s="41">
        <f>IFERROR(IF(Y498=0,"",ROUNDUP(Y498/H498,0)*0.01196),"")</f>
        <v>0.37075999999999998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170.60606060606059</v>
      </c>
      <c r="BN498" s="78">
        <f t="shared" si="81"/>
        <v>174.53</v>
      </c>
      <c r="BO498" s="78">
        <f t="shared" si="82"/>
        <v>0.29137529137529139</v>
      </c>
      <c r="BP498" s="78">
        <f t="shared" si="83"/>
        <v>0.29807692307692307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72</v>
      </c>
      <c r="Y499" s="55">
        <f t="shared" si="79"/>
        <v>72</v>
      </c>
      <c r="Z499" s="41">
        <f>IFERROR(IF(Y499=0,"",ROUNDUP(Y499/H499,0)*0.00902),"")</f>
        <v>0.1353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103.65</v>
      </c>
      <c r="BN499" s="78">
        <f t="shared" si="81"/>
        <v>103.65</v>
      </c>
      <c r="BO499" s="78">
        <f t="shared" si="82"/>
        <v>0.11363636363636365</v>
      </c>
      <c r="BP499" s="78">
        <f t="shared" si="83"/>
        <v>0.11363636363636365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79"/>
        <v>120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166.75</v>
      </c>
      <c r="BN502" s="78">
        <f t="shared" si="81"/>
        <v>166.75</v>
      </c>
      <c r="BO502" s="78">
        <f t="shared" si="82"/>
        <v>0.18939393939393939</v>
      </c>
      <c r="BP502" s="78">
        <f t="shared" si="83"/>
        <v>0.18939393939393939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98.712121212121204</v>
      </c>
      <c r="Y503" s="43">
        <f>IFERROR(Y496/H496,"0")+IFERROR(Y497/H497,"0")+IFERROR(Y498/H498,"0")+IFERROR(Y499/H499,"0")+IFERROR(Y500/H500,"0")+IFERROR(Y501/H501,"0")+IFERROR(Y502/H502,"0")</f>
        <v>100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1.0784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502</v>
      </c>
      <c r="Y504" s="43">
        <f>IFERROR(SUM(Y496:Y502),"0")</f>
        <v>508.8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50</v>
      </c>
      <c r="Y508" s="55">
        <f>IFERROR(IF(X508="",0,CEILING((X508/$H508),1)*$H508),"")</f>
        <v>60</v>
      </c>
      <c r="Z508" s="41">
        <f>IFERROR(IF(Y508=0,"",ROUNDUP(Y508/H508,0)*0.01898),"")</f>
        <v>9.4899999999999998E-2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51.708333333333336</v>
      </c>
      <c r="BN508" s="78">
        <f>IFERROR(Y508*I508/H508,"0")</f>
        <v>62.050000000000004</v>
      </c>
      <c r="BO508" s="78">
        <f>IFERROR(1/J508*(X508/H508),"0")</f>
        <v>6.5104166666666671E-2</v>
      </c>
      <c r="BP508" s="78">
        <f>IFERROR(1/J508*(Y508/H508),"0")</f>
        <v>7.8125E-2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4.166666666666667</v>
      </c>
      <c r="Y509" s="43">
        <f>IFERROR(Y508/H508,"0")</f>
        <v>5</v>
      </c>
      <c r="Z509" s="43">
        <f>IFERROR(IF(Z508="",0,Z508),"0")</f>
        <v>9.4899999999999998E-2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50</v>
      </c>
      <c r="Y510" s="43">
        <f>IFERROR(SUM(Y508:Y508),"0")</f>
        <v>60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1300</v>
      </c>
      <c r="Y521" s="55">
        <f>IFERROR(IF(X521="",0,CEILING((X521/$H521),1)*$H521),"")</f>
        <v>1305</v>
      </c>
      <c r="Z521" s="41">
        <f>IFERROR(IF(Y521=0,"",ROUNDUP(Y521/H521,0)*0.01898),"")</f>
        <v>2.7521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1371.3555555555554</v>
      </c>
      <c r="BN521" s="78">
        <f>IFERROR(Y521*I521/H521,"0")</f>
        <v>1376.63</v>
      </c>
      <c r="BO521" s="78">
        <f>IFERROR(1/J521*(X521/H521),"0")</f>
        <v>2.2569444444444446</v>
      </c>
      <c r="BP521" s="78">
        <f>IFERROR(1/J521*(Y521/H521),"0")</f>
        <v>2.265625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144.44444444444446</v>
      </c>
      <c r="Y522" s="43">
        <f>IFERROR(Y521/H521,"0")</f>
        <v>145</v>
      </c>
      <c r="Z522" s="43">
        <f>IFERROR(IF(Z521="",0,Z521),"0")</f>
        <v>2.7521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1300</v>
      </c>
      <c r="Y523" s="43">
        <f>IFERROR(SUM(Y521:Y521),"0")</f>
        <v>1305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15278.7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15440.420000000002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16389.766495810491</v>
      </c>
      <c r="Y535" s="43">
        <f>IFERROR(SUM(BN22:BN531),"0")</f>
        <v>16560.076999999997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28</v>
      </c>
      <c r="Y536" s="44">
        <f>ROUNDUP(SUM(BP22:BP531),0)</f>
        <v>28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17089.766495810491</v>
      </c>
      <c r="Y537" s="43">
        <f>GrossWeightTotalR+PalletQtyTotalR*25</f>
        <v>17260.076999999997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3125.4010873120073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3149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32.480519999999999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428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521.1</v>
      </c>
      <c r="F544" s="52">
        <f>IFERROR(Y88*1,"0")+IFERROR(Y89*1,"0")+IFERROR(Y90*1,"0")+IFERROR(Y91*1,"0")+IFERROR(Y95*1,"0")+IFERROR(Y96*1,"0")+IFERROR(Y97*1,"0")+IFERROR(Y98*1,"0")</f>
        <v>931.5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1119.5999999999999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616.48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214.62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1255.5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123.8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280.8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405.59999999999997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792.00000000000011</v>
      </c>
      <c r="U544" s="52">
        <f>IFERROR(Y399*1,"0")+IFERROR(Y400*1,"0")+IFERROR(Y401*1,"0")</f>
        <v>842.1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4392</v>
      </c>
      <c r="W544" s="52">
        <f>IFERROR(Y434*1,"0")+IFERROR(Y435*1,"0")+IFERROR(Y439*1,"0")+IFERROR(Y443*1,"0")+IFERROR(Y444*1,"0")+IFERROR(Y445*1,"0")</f>
        <v>36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2116.3200000000002</v>
      </c>
      <c r="AA544" s="52">
        <f>IFERROR(Y508*1,"0")+IFERROR(Y512*1,"0")+IFERROR(Y516*1,"0")+IFERROR(Y517*1,"0")+IFERROR(Y521*1,"0")+IFERROR(Y525*1,"0")+IFERROR(Y526*1,"0")</f>
        <v>1365</v>
      </c>
      <c r="AB544" s="52">
        <f>IFERROR(Y531*1,"0")</f>
        <v>0</v>
      </c>
      <c r="AC544" s="60"/>
      <c r="AF544" s="1"/>
    </row>
  </sheetData>
  <sheetProtection algorithmName="SHA-512" hashValue="3kQ37mIpbZwMRS5rsZJ6K+byMV/p67UJpbn5dyRYs0U37uXL4zG6u6EkQepxtMZsWe+Xkt7dNz1/mqCrOg/tyQ==" saltValue="8Gyvd9P6ZOxXmjuQXwhy6g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300,00"/>
        <filter val="1 900,00"/>
        <filter val="100,00"/>
        <filter val="100,76"/>
        <filter val="104,00"/>
        <filter val="105,00"/>
        <filter val="11,11"/>
        <filter val="110,00"/>
        <filter val="116,67"/>
        <filter val="12,00"/>
        <filter val="120,00"/>
        <filter val="134,07"/>
        <filter val="137,50"/>
        <filter val="140,00"/>
        <filter val="143,83"/>
        <filter val="144,44"/>
        <filter val="15 278,70"/>
        <filter val="150,00"/>
        <filter val="16 389,77"/>
        <filter val="16,67"/>
        <filter val="160,00"/>
        <filter val="17 089,77"/>
        <filter val="174,38"/>
        <filter val="190,00"/>
        <filter val="20,00"/>
        <filter val="200,00"/>
        <filter val="203,00"/>
        <filter val="210,80"/>
        <filter val="220,00"/>
        <filter val="24,00"/>
        <filter val="240,00"/>
        <filter val="258,10"/>
        <filter val="26,00"/>
        <filter val="27,00"/>
        <filter val="270,00"/>
        <filter val="28"/>
        <filter val="280,00"/>
        <filter val="298,56"/>
        <filter val="3 125,40"/>
        <filter val="3 300,00"/>
        <filter val="3,33"/>
        <filter val="30,00"/>
        <filter val="31,48"/>
        <filter val="315,00"/>
        <filter val="320,00"/>
        <filter val="350,00"/>
        <filter val="360,00"/>
        <filter val="370,00"/>
        <filter val="380,00"/>
        <filter val="388,00"/>
        <filter val="39,60"/>
        <filter val="4,00"/>
        <filter val="4,17"/>
        <filter val="40,00"/>
        <filter val="400,00"/>
        <filter val="41,67"/>
        <filter val="420,00"/>
        <filter val="45,00"/>
        <filter val="45,50"/>
        <filter val="490,00"/>
        <filter val="5,56"/>
        <filter val="50,00"/>
        <filter val="500,00"/>
        <filter val="502,00"/>
        <filter val="51,28"/>
        <filter val="520,00"/>
        <filter val="535,00"/>
        <filter val="56,00"/>
        <filter val="6,48"/>
        <filter val="6,67"/>
        <filter val="60,00"/>
        <filter val="600,00"/>
        <filter val="66,00"/>
        <filter val="67,50"/>
        <filter val="69,26"/>
        <filter val="7,20"/>
        <filter val="70,00"/>
        <filter val="70,19"/>
        <filter val="700,00"/>
        <filter val="715,00"/>
        <filter val="72,00"/>
        <filter val="74,63"/>
        <filter val="760,00"/>
        <filter val="8,40"/>
        <filter val="80,00"/>
        <filter val="84,00"/>
        <filter val="840,00"/>
        <filter val="87,50"/>
        <filter val="89,26"/>
        <filter val="90,00"/>
        <filter val="900,00"/>
        <filter val="96,67"/>
        <filter val="98,71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ov7K7EqTgPkcWVK8FohYaO4RXg+5oYgs//Wqo9rin5GIoaRguUdlNrzT6H+H+w7tcTG9Sr9E6cmSfOaSfCm9rQ==" saltValue="EIqJWcv12f9so/HEEtlvR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