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ADCF7FF-5F47-414E-965C-695EA3DB8D1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заказа'!$B$142:$B$142</definedName>
    <definedName name="ProductId55">'Бланк заказа'!$B$143:$B$143</definedName>
    <definedName name="ProductId56">'Бланк заказа'!$B$144:$B$144</definedName>
    <definedName name="ProductId57">'Бланк заказа'!$B$149:$B$149</definedName>
    <definedName name="ProductId58">'Бланк заказа'!$B$150:$B$150</definedName>
    <definedName name="ProductId59">'Бланк заказа'!$B$155:$B$155</definedName>
    <definedName name="ProductId6">'Бланк заказа'!$B$27:$B$27</definedName>
    <definedName name="ProductId60">'Бланк заказа'!$B$156:$B$156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заказа'!$B$172:$B$172</definedName>
    <definedName name="ProductId65">'Бланк заказа'!$B$177:$B$177</definedName>
    <definedName name="ProductId66">'Бланк заказа'!$B$183:$B$183</definedName>
    <definedName name="ProductId67">'Бланк заказа'!$B$184:$B$184</definedName>
    <definedName name="ProductId68">'Бланк заказа'!$B$189:$B$189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заказа'!$B$198:$B$198</definedName>
    <definedName name="ProductId73">'Бланк заказа'!$B$204:$B$204</definedName>
    <definedName name="ProductId74">'Бланк заказа'!$B$208:$B$208</definedName>
    <definedName name="ProductId75">'Бланк заказа'!$B$209:$B$209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заказа'!$B$29:$B$29</definedName>
    <definedName name="ProductId80">'Бланк заказа'!$B$226:$B$226</definedName>
    <definedName name="ProductId81">'Бланк заказа'!$B$232:$B$232</definedName>
    <definedName name="ProductId82">'Бланк заказа'!$B$238:$B$238</definedName>
    <definedName name="ProductId83">'Бланк заказа'!$B$242:$B$242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заказа'!$X$142:$X$142</definedName>
    <definedName name="SalesQty55">'Бланк заказа'!$X$143:$X$143</definedName>
    <definedName name="SalesQty56">'Бланк заказа'!$X$144:$X$144</definedName>
    <definedName name="SalesQty57">'Бланк заказа'!$X$149:$X$149</definedName>
    <definedName name="SalesQty58">'Бланк заказа'!$X$150:$X$150</definedName>
    <definedName name="SalesQty59">'Бланк заказа'!$X$155:$X$155</definedName>
    <definedName name="SalesQty6">'Бланк заказа'!$X$27:$X$27</definedName>
    <definedName name="SalesQty60">'Бланк заказа'!$X$156:$X$156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заказа'!$X$172:$X$172</definedName>
    <definedName name="SalesQty65">'Бланк заказа'!$X$177:$X$177</definedName>
    <definedName name="SalesQty66">'Бланк заказа'!$X$183:$X$183</definedName>
    <definedName name="SalesQty67">'Бланк заказа'!$X$184:$X$184</definedName>
    <definedName name="SalesQty68">'Бланк заказа'!$X$189:$X$189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заказа'!$X$198:$X$198</definedName>
    <definedName name="SalesQty73">'Бланк заказа'!$X$204:$X$204</definedName>
    <definedName name="SalesQty74">'Бланк заказа'!$X$208:$X$208</definedName>
    <definedName name="SalesQty75">'Бланк заказа'!$X$209:$X$209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заказа'!$X$29:$X$29</definedName>
    <definedName name="SalesQty80">'Бланк заказа'!$X$226:$X$226</definedName>
    <definedName name="SalesQty81">'Бланк заказа'!$X$232:$X$232</definedName>
    <definedName name="SalesQty82">'Бланк заказа'!$X$238:$X$238</definedName>
    <definedName name="SalesQty83">'Бланк заказа'!$X$242:$X$242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заказа'!$Y$142:$Y$142</definedName>
    <definedName name="SalesRoundBox55">'Бланк заказа'!$Y$143:$Y$143</definedName>
    <definedName name="SalesRoundBox56">'Бланк заказа'!$Y$144:$Y$144</definedName>
    <definedName name="SalesRoundBox57">'Бланк заказа'!$Y$149:$Y$149</definedName>
    <definedName name="SalesRoundBox58">'Бланк заказа'!$Y$150:$Y$150</definedName>
    <definedName name="SalesRoundBox59">'Бланк заказа'!$Y$155:$Y$155</definedName>
    <definedName name="SalesRoundBox6">'Бланк заказа'!$Y$27:$Y$27</definedName>
    <definedName name="SalesRoundBox60">'Бланк заказа'!$Y$156:$Y$156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заказа'!$Y$172:$Y$172</definedName>
    <definedName name="SalesRoundBox65">'Бланк заказа'!$Y$177:$Y$177</definedName>
    <definedName name="SalesRoundBox66">'Бланк заказа'!$Y$183:$Y$183</definedName>
    <definedName name="SalesRoundBox67">'Бланк заказа'!$Y$184:$Y$184</definedName>
    <definedName name="SalesRoundBox68">'Бланк заказа'!$Y$189:$Y$189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заказа'!$Y$198:$Y$198</definedName>
    <definedName name="SalesRoundBox73">'Бланк заказа'!$Y$204:$Y$204</definedName>
    <definedName name="SalesRoundBox74">'Бланк заказа'!$Y$208:$Y$208</definedName>
    <definedName name="SalesRoundBox75">'Бланк заказа'!$Y$209:$Y$209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заказа'!$Y$29:$Y$29</definedName>
    <definedName name="SalesRoundBox80">'Бланк заказа'!$Y$226:$Y$226</definedName>
    <definedName name="SalesRoundBox81">'Бланк заказа'!$Y$232:$Y$232</definedName>
    <definedName name="SalesRoundBox82">'Бланк заказа'!$Y$238:$Y$238</definedName>
    <definedName name="SalesRoundBox83">'Бланк заказа'!$Y$242:$Y$242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заказа'!$W$142:$W$142</definedName>
    <definedName name="UnitOfMeasure55">'Бланк заказа'!$W$143:$W$143</definedName>
    <definedName name="UnitOfMeasure56">'Бланк заказа'!$W$144:$W$144</definedName>
    <definedName name="UnitOfMeasure57">'Бланк заказа'!$W$149:$W$149</definedName>
    <definedName name="UnitOfMeasure58">'Бланк заказа'!$W$150:$W$150</definedName>
    <definedName name="UnitOfMeasure59">'Бланк заказа'!$W$155:$W$155</definedName>
    <definedName name="UnitOfMeasure6">'Бланк заказа'!$W$27:$W$27</definedName>
    <definedName name="UnitOfMeasure60">'Бланк заказа'!$W$156:$W$156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заказа'!$W$172:$W$172</definedName>
    <definedName name="UnitOfMeasure65">'Бланк заказа'!$W$177:$W$177</definedName>
    <definedName name="UnitOfMeasure66">'Бланк заказа'!$W$183:$W$183</definedName>
    <definedName name="UnitOfMeasure67">'Бланк заказа'!$W$184:$W$184</definedName>
    <definedName name="UnitOfMeasure68">'Бланк заказа'!$W$189:$W$189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заказа'!$W$198:$W$198</definedName>
    <definedName name="UnitOfMeasure73">'Бланк заказа'!$W$204:$W$204</definedName>
    <definedName name="UnitOfMeasure74">'Бланк заказа'!$W$208:$W$208</definedName>
    <definedName name="UnitOfMeasure75">'Бланк заказа'!$W$209:$W$209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заказа'!$W$29:$W$29</definedName>
    <definedName name="UnitOfMeasure80">'Бланк заказа'!$W$226:$W$226</definedName>
    <definedName name="UnitOfMeasure81">'Бланк заказа'!$W$232:$W$232</definedName>
    <definedName name="UnitOfMeasure82">'Бланк заказа'!$W$238:$W$238</definedName>
    <definedName name="UnitOfMeasure83">'Бланк заказа'!$W$242:$W$242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N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Z264" i="2"/>
  <c r="Y264" i="2"/>
  <c r="BN264" i="2" s="1"/>
  <c r="P264" i="2"/>
  <c r="BO263" i="2"/>
  <c r="BM263" i="2"/>
  <c r="Z263" i="2"/>
  <c r="Y263" i="2"/>
  <c r="BN263" i="2" s="1"/>
  <c r="P263" i="2"/>
  <c r="X261" i="2"/>
  <c r="X260" i="2"/>
  <c r="BO259" i="2"/>
  <c r="BM259" i="2"/>
  <c r="Z259" i="2"/>
  <c r="Z260" i="2" s="1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N254" i="2" s="1"/>
  <c r="P254" i="2"/>
  <c r="X250" i="2"/>
  <c r="X249" i="2"/>
  <c r="BO248" i="2"/>
  <c r="BM248" i="2"/>
  <c r="Z248" i="2"/>
  <c r="Z249" i="2" s="1"/>
  <c r="Y248" i="2"/>
  <c r="Y250" i="2" s="1"/>
  <c r="P248" i="2"/>
  <c r="X244" i="2"/>
  <c r="X243" i="2"/>
  <c r="BO242" i="2"/>
  <c r="BM242" i="2"/>
  <c r="Z242" i="2"/>
  <c r="Z243" i="2" s="1"/>
  <c r="Y242" i="2"/>
  <c r="BN242" i="2" s="1"/>
  <c r="P242" i="2"/>
  <c r="X240" i="2"/>
  <c r="X239" i="2"/>
  <c r="BO238" i="2"/>
  <c r="BM238" i="2"/>
  <c r="Z238" i="2"/>
  <c r="Z239" i="2" s="1"/>
  <c r="Y238" i="2"/>
  <c r="Y240" i="2" s="1"/>
  <c r="P238" i="2"/>
  <c r="X234" i="2"/>
  <c r="X233" i="2"/>
  <c r="BO232" i="2"/>
  <c r="BM232" i="2"/>
  <c r="Z232" i="2"/>
  <c r="Z233" i="2" s="1"/>
  <c r="Y232" i="2"/>
  <c r="BN232" i="2" s="1"/>
  <c r="P232" i="2"/>
  <c r="X228" i="2"/>
  <c r="X227" i="2"/>
  <c r="BO226" i="2"/>
  <c r="BM226" i="2"/>
  <c r="Z226" i="2"/>
  <c r="Z227" i="2" s="1"/>
  <c r="Y226" i="2"/>
  <c r="BN226" i="2" s="1"/>
  <c r="P226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Y216" i="2"/>
  <c r="BN216" i="2" s="1"/>
  <c r="P216" i="2"/>
  <c r="BO215" i="2"/>
  <c r="BM215" i="2"/>
  <c r="Z215" i="2"/>
  <c r="Y215" i="2"/>
  <c r="BN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P209" i="2"/>
  <c r="BO208" i="2"/>
  <c r="BM208" i="2"/>
  <c r="Z208" i="2"/>
  <c r="Y208" i="2"/>
  <c r="BN208" i="2" s="1"/>
  <c r="P208" i="2"/>
  <c r="X206" i="2"/>
  <c r="X205" i="2"/>
  <c r="BO204" i="2"/>
  <c r="BM204" i="2"/>
  <c r="Z204" i="2"/>
  <c r="Z205" i="2" s="1"/>
  <c r="Y204" i="2"/>
  <c r="Y206" i="2" s="1"/>
  <c r="P204" i="2"/>
  <c r="X200" i="2"/>
  <c r="X199" i="2"/>
  <c r="BO198" i="2"/>
  <c r="BM198" i="2"/>
  <c r="Z198" i="2"/>
  <c r="Y198" i="2"/>
  <c r="BP198" i="2" s="1"/>
  <c r="P198" i="2"/>
  <c r="BO197" i="2"/>
  <c r="BM197" i="2"/>
  <c r="Z197" i="2"/>
  <c r="Y197" i="2"/>
  <c r="BN197" i="2" s="1"/>
  <c r="P197" i="2"/>
  <c r="BO196" i="2"/>
  <c r="BM196" i="2"/>
  <c r="Z196" i="2"/>
  <c r="Y196" i="2"/>
  <c r="BN196" i="2" s="1"/>
  <c r="P196" i="2"/>
  <c r="BO195" i="2"/>
  <c r="BM195" i="2"/>
  <c r="Z195" i="2"/>
  <c r="Y195" i="2"/>
  <c r="BN195" i="2" s="1"/>
  <c r="P195" i="2"/>
  <c r="X191" i="2"/>
  <c r="X190" i="2"/>
  <c r="BO189" i="2"/>
  <c r="BM189" i="2"/>
  <c r="Z189" i="2"/>
  <c r="Z190" i="2" s="1"/>
  <c r="Y189" i="2"/>
  <c r="Y190" i="2" s="1"/>
  <c r="P189" i="2"/>
  <c r="X186" i="2"/>
  <c r="X185" i="2"/>
  <c r="BO184" i="2"/>
  <c r="BM184" i="2"/>
  <c r="Z184" i="2"/>
  <c r="Y184" i="2"/>
  <c r="BP184" i="2" s="1"/>
  <c r="P184" i="2"/>
  <c r="BO183" i="2"/>
  <c r="BN183" i="2"/>
  <c r="BM183" i="2"/>
  <c r="Z183" i="2"/>
  <c r="Y183" i="2"/>
  <c r="BP183" i="2" s="1"/>
  <c r="P183" i="2"/>
  <c r="X179" i="2"/>
  <c r="X178" i="2"/>
  <c r="BO177" i="2"/>
  <c r="BM177" i="2"/>
  <c r="Z177" i="2"/>
  <c r="Z178" i="2" s="1"/>
  <c r="Y177" i="2"/>
  <c r="BP177" i="2" s="1"/>
  <c r="P177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Y162" i="2"/>
  <c r="BN162" i="2" s="1"/>
  <c r="P162" i="2"/>
  <c r="BO161" i="2"/>
  <c r="BM161" i="2"/>
  <c r="Z161" i="2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P150" i="2"/>
  <c r="BO149" i="2"/>
  <c r="BN149" i="2"/>
  <c r="BM149" i="2"/>
  <c r="Z149" i="2"/>
  <c r="Y149" i="2"/>
  <c r="BP149" i="2" s="1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2" i="2"/>
  <c r="X131" i="2"/>
  <c r="BO130" i="2"/>
  <c r="BM130" i="2"/>
  <c r="Z130" i="2"/>
  <c r="Z131" i="2" s="1"/>
  <c r="Y130" i="2"/>
  <c r="Y132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Z93" i="2"/>
  <c r="Z95" i="2" s="1"/>
  <c r="Y93" i="2"/>
  <c r="P93" i="2"/>
  <c r="X90" i="2"/>
  <c r="X89" i="2"/>
  <c r="BO88" i="2"/>
  <c r="BM88" i="2"/>
  <c r="Z88" i="2"/>
  <c r="Z89" i="2" s="1"/>
  <c r="Y88" i="2"/>
  <c r="Y90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N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M48" i="2"/>
  <c r="Z48" i="2"/>
  <c r="Y48" i="2"/>
  <c r="BN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Y89" i="2" l="1"/>
  <c r="Y96" i="2"/>
  <c r="Z185" i="2"/>
  <c r="Y211" i="2"/>
  <c r="BN26" i="2"/>
  <c r="BN88" i="2"/>
  <c r="Z256" i="2"/>
  <c r="Y261" i="2"/>
  <c r="Z266" i="2"/>
  <c r="Y151" i="2"/>
  <c r="BN136" i="2"/>
  <c r="Y37" i="2"/>
  <c r="BN23" i="2"/>
  <c r="BN122" i="2"/>
  <c r="BP118" i="2"/>
  <c r="Y131" i="2"/>
  <c r="BN130" i="2"/>
  <c r="Z58" i="2"/>
  <c r="Y59" i="2"/>
  <c r="BN271" i="2"/>
  <c r="Z163" i="2"/>
  <c r="BN275" i="2"/>
  <c r="Y260" i="2"/>
  <c r="Y234" i="2"/>
  <c r="Y233" i="2"/>
  <c r="Z217" i="2"/>
  <c r="BN198" i="2"/>
  <c r="BP197" i="2"/>
  <c r="Z199" i="2"/>
  <c r="Y174" i="2"/>
  <c r="BP172" i="2"/>
  <c r="BN172" i="2"/>
  <c r="BP162" i="2"/>
  <c r="Y164" i="2"/>
  <c r="Z157" i="2"/>
  <c r="BP130" i="2"/>
  <c r="BP121" i="2"/>
  <c r="BN115" i="2"/>
  <c r="Z123" i="2"/>
  <c r="Y112" i="2"/>
  <c r="BP94" i="2"/>
  <c r="BP88" i="2"/>
  <c r="Z78" i="2"/>
  <c r="Y73" i="2"/>
  <c r="Z72" i="2"/>
  <c r="BN57" i="2"/>
  <c r="X285" i="2"/>
  <c r="Z43" i="2"/>
  <c r="BP41" i="2"/>
  <c r="Y43" i="2"/>
  <c r="BP29" i="2"/>
  <c r="Z30" i="2"/>
  <c r="Y30" i="2"/>
  <c r="BP22" i="2"/>
  <c r="X282" i="2"/>
  <c r="X281" i="2"/>
  <c r="Z36" i="2"/>
  <c r="BN47" i="2"/>
  <c r="BN66" i="2"/>
  <c r="Y67" i="2"/>
  <c r="Z84" i="2"/>
  <c r="Z105" i="2"/>
  <c r="BN101" i="2"/>
  <c r="Y106" i="2"/>
  <c r="BN155" i="2"/>
  <c r="BP259" i="2"/>
  <c r="BN265" i="2"/>
  <c r="Y266" i="2"/>
  <c r="Y31" i="2"/>
  <c r="Y79" i="2"/>
  <c r="BP104" i="2"/>
  <c r="BP142" i="2"/>
  <c r="BP221" i="2"/>
  <c r="BP242" i="2"/>
  <c r="X283" i="2"/>
  <c r="Y58" i="2"/>
  <c r="BP66" i="2"/>
  <c r="Y140" i="2"/>
  <c r="Z145" i="2"/>
  <c r="Y212" i="2"/>
  <c r="Y223" i="2"/>
  <c r="Y244" i="2"/>
  <c r="Z279" i="2"/>
  <c r="Z50" i="2"/>
  <c r="Y44" i="2"/>
  <c r="BP54" i="2"/>
  <c r="Y95" i="2"/>
  <c r="Y105" i="2"/>
  <c r="Z111" i="2"/>
  <c r="Z139" i="2"/>
  <c r="Y152" i="2"/>
  <c r="Z151" i="2"/>
  <c r="Y163" i="2"/>
  <c r="Y191" i="2"/>
  <c r="Z211" i="2"/>
  <c r="BP208" i="2"/>
  <c r="Y222" i="2"/>
  <c r="BP232" i="2"/>
  <c r="Y243" i="2"/>
  <c r="BP254" i="2"/>
  <c r="BP278" i="2"/>
  <c r="BN137" i="2"/>
  <c r="BN27" i="2"/>
  <c r="BP48" i="2"/>
  <c r="BP109" i="2"/>
  <c r="BN150" i="2"/>
  <c r="H9" i="2"/>
  <c r="Y200" i="2"/>
  <c r="BP150" i="2"/>
  <c r="BN273" i="2"/>
  <c r="BN100" i="2"/>
  <c r="BN135" i="2"/>
  <c r="Y178" i="2"/>
  <c r="BP196" i="2"/>
  <c r="Y64" i="2"/>
  <c r="BN117" i="2"/>
  <c r="BN161" i="2"/>
  <c r="Y217" i="2"/>
  <c r="Y227" i="2"/>
  <c r="Y239" i="2"/>
  <c r="Y249" i="2"/>
  <c r="BP264" i="2"/>
  <c r="BN270" i="2"/>
  <c r="BN156" i="2"/>
  <c r="BN102" i="2"/>
  <c r="BN82" i="2"/>
  <c r="BN55" i="2"/>
  <c r="BP215" i="2"/>
  <c r="BN255" i="2"/>
  <c r="BN34" i="2"/>
  <c r="BN99" i="2"/>
  <c r="Y157" i="2"/>
  <c r="BP195" i="2"/>
  <c r="BP263" i="2"/>
  <c r="BN209" i="2"/>
  <c r="BN276" i="2"/>
  <c r="BP24" i="2"/>
  <c r="BP70" i="2"/>
  <c r="Y63" i="2"/>
  <c r="BN83" i="2"/>
  <c r="BN120" i="2"/>
  <c r="Y186" i="2"/>
  <c r="BP138" i="2"/>
  <c r="BN144" i="2"/>
  <c r="BP216" i="2"/>
  <c r="BP226" i="2"/>
  <c r="BP248" i="2"/>
  <c r="BN25" i="2"/>
  <c r="Y50" i="2"/>
  <c r="BP56" i="2"/>
  <c r="BN71" i="2"/>
  <c r="BP110" i="2"/>
  <c r="Y139" i="2"/>
  <c r="BP35" i="2"/>
  <c r="Y84" i="2"/>
  <c r="BP126" i="2"/>
  <c r="BP135" i="2"/>
  <c r="BP204" i="2"/>
  <c r="BN210" i="2"/>
  <c r="BN277" i="2"/>
  <c r="Y199" i="2"/>
  <c r="BN62" i="2"/>
  <c r="BN42" i="2"/>
  <c r="BP99" i="2"/>
  <c r="Y185" i="2"/>
  <c r="BP209" i="2"/>
  <c r="BN238" i="2"/>
  <c r="BN248" i="2"/>
  <c r="BP167" i="2"/>
  <c r="BP49" i="2"/>
  <c r="BP238" i="2"/>
  <c r="BP28" i="2"/>
  <c r="BN126" i="2"/>
  <c r="Y168" i="2"/>
  <c r="BN204" i="2"/>
  <c r="Y111" i="2"/>
  <c r="Y145" i="2"/>
  <c r="Y169" i="2"/>
  <c r="Y179" i="2"/>
  <c r="BN189" i="2"/>
  <c r="BN184" i="2"/>
  <c r="BN143" i="2"/>
  <c r="Y280" i="2"/>
  <c r="BP119" i="2"/>
  <c r="BN177" i="2"/>
  <c r="A10" i="2"/>
  <c r="BP42" i="2"/>
  <c r="F10" i="2"/>
  <c r="BN93" i="2"/>
  <c r="BN22" i="2"/>
  <c r="Y51" i="2"/>
  <c r="Y127" i="2"/>
  <c r="Y205" i="2"/>
  <c r="Y218" i="2"/>
  <c r="Y228" i="2"/>
  <c r="Y257" i="2"/>
  <c r="BP93" i="2"/>
  <c r="BN77" i="2"/>
  <c r="Y36" i="2"/>
  <c r="Y72" i="2"/>
  <c r="Y85" i="2"/>
  <c r="BP189" i="2"/>
  <c r="BN75" i="2"/>
  <c r="Y267" i="2"/>
  <c r="BN272" i="2"/>
  <c r="BN109" i="2"/>
  <c r="BN116" i="2"/>
  <c r="Y158" i="2"/>
  <c r="Y256" i="2"/>
  <c r="BP269" i="2"/>
  <c r="BN103" i="2"/>
  <c r="Y146" i="2"/>
  <c r="BP55" i="2"/>
  <c r="BP34" i="2"/>
  <c r="Y124" i="2"/>
  <c r="BP76" i="2"/>
  <c r="Y78" i="2"/>
  <c r="Y279" i="2"/>
  <c r="Y123" i="2"/>
  <c r="F9" i="2"/>
  <c r="BN70" i="2"/>
  <c r="Z286" i="2" l="1"/>
  <c r="X284" i="2"/>
  <c r="Y283" i="2"/>
  <c r="Y282" i="2"/>
  <c r="Y285" i="2"/>
  <c r="Y281" i="2"/>
  <c r="Y284" i="2" l="1"/>
  <c r="A294" i="2"/>
  <c r="C294" i="2"/>
  <c r="B294" i="2"/>
</calcChain>
</file>

<file path=xl/sharedStrings.xml><?xml version="1.0" encoding="utf-8"?>
<sst xmlns="http://schemas.openxmlformats.org/spreadsheetml/2006/main" count="1748" uniqueCount="405">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</sst>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4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5" t="s">
        <v>26</v>
      </c>
      <c r="E1" s="465"/>
      <c r="F1" s="465"/>
      <c r="G1" s="14" t="s">
        <v>70</v>
      </c>
      <c r="H1" s="465" t="s">
        <v>47</v>
      </c>
      <c r="I1" s="465"/>
      <c r="J1" s="465"/>
      <c r="K1" s="465"/>
      <c r="L1" s="465"/>
      <c r="M1" s="465"/>
      <c r="N1" s="465"/>
      <c r="O1" s="465"/>
      <c r="P1" s="465"/>
      <c r="Q1" s="465"/>
      <c r="R1" s="466" t="s">
        <v>71</v>
      </c>
      <c r="S1" s="467"/>
      <c r="T1" s="46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8"/>
      <c r="R2" s="468"/>
      <c r="S2" s="468"/>
      <c r="T2" s="468"/>
      <c r="U2" s="468"/>
      <c r="V2" s="468"/>
      <c r="W2" s="46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8"/>
      <c r="Q3" s="468"/>
      <c r="R3" s="468"/>
      <c r="S3" s="468"/>
      <c r="T3" s="468"/>
      <c r="U3" s="468"/>
      <c r="V3" s="468"/>
      <c r="W3" s="46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7" t="s">
        <v>8</v>
      </c>
      <c r="B5" s="447"/>
      <c r="C5" s="447"/>
      <c r="D5" s="469"/>
      <c r="E5" s="469"/>
      <c r="F5" s="470" t="s">
        <v>14</v>
      </c>
      <c r="G5" s="470"/>
      <c r="H5" s="469"/>
      <c r="I5" s="469"/>
      <c r="J5" s="469"/>
      <c r="K5" s="469"/>
      <c r="L5" s="469"/>
      <c r="M5" s="469"/>
      <c r="N5" s="75"/>
      <c r="P5" s="27" t="s">
        <v>4</v>
      </c>
      <c r="Q5" s="471">
        <v>46235</v>
      </c>
      <c r="R5" s="471"/>
      <c r="T5" s="472" t="s">
        <v>3</v>
      </c>
      <c r="U5" s="473"/>
      <c r="V5" s="474" t="s">
        <v>391</v>
      </c>
      <c r="W5" s="475"/>
      <c r="AB5" s="59"/>
      <c r="AC5" s="59"/>
      <c r="AD5" s="59"/>
      <c r="AE5" s="59"/>
    </row>
    <row r="6" spans="1:32" s="17" customFormat="1" ht="24" customHeight="1" x14ac:dyDescent="0.2">
      <c r="A6" s="447" t="s">
        <v>1</v>
      </c>
      <c r="B6" s="447"/>
      <c r="C6" s="447"/>
      <c r="D6" s="448" t="s">
        <v>79</v>
      </c>
      <c r="E6" s="448"/>
      <c r="F6" s="448"/>
      <c r="G6" s="448"/>
      <c r="H6" s="448"/>
      <c r="I6" s="448"/>
      <c r="J6" s="448"/>
      <c r="K6" s="448"/>
      <c r="L6" s="448"/>
      <c r="M6" s="448"/>
      <c r="N6" s="76"/>
      <c r="P6" s="27" t="s">
        <v>27</v>
      </c>
      <c r="Q6" s="449" t="str">
        <f>IF(Q5=0," ",CHOOSE(WEEKDAY(Q5,2),"Понедельник","Вторник","Среда","Четверг","Пятница","Суббота","Воскресенье"))</f>
        <v>Суббота</v>
      </c>
      <c r="R6" s="449"/>
      <c r="T6" s="450" t="s">
        <v>5</v>
      </c>
      <c r="U6" s="451"/>
      <c r="V6" s="452" t="s">
        <v>73</v>
      </c>
      <c r="W6" s="4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8" t="str">
        <f>IFERROR(VLOOKUP(DeliveryAddress,Table,3,0),1)</f>
        <v>1</v>
      </c>
      <c r="E7" s="459"/>
      <c r="F7" s="459"/>
      <c r="G7" s="459"/>
      <c r="H7" s="459"/>
      <c r="I7" s="459"/>
      <c r="J7" s="459"/>
      <c r="K7" s="459"/>
      <c r="L7" s="459"/>
      <c r="M7" s="460"/>
      <c r="N7" s="77"/>
      <c r="P7" s="29"/>
      <c r="Q7" s="48"/>
      <c r="R7" s="48"/>
      <c r="T7" s="450"/>
      <c r="U7" s="451"/>
      <c r="V7" s="454"/>
      <c r="W7" s="455"/>
      <c r="AB7" s="59"/>
      <c r="AC7" s="59"/>
      <c r="AD7" s="59"/>
      <c r="AE7" s="59"/>
    </row>
    <row r="8" spans="1:32" s="17" customFormat="1" ht="25.5" customHeight="1" x14ac:dyDescent="0.2">
      <c r="A8" s="461" t="s">
        <v>58</v>
      </c>
      <c r="B8" s="461"/>
      <c r="C8" s="461"/>
      <c r="D8" s="462" t="s">
        <v>80</v>
      </c>
      <c r="E8" s="462"/>
      <c r="F8" s="462"/>
      <c r="G8" s="462"/>
      <c r="H8" s="462"/>
      <c r="I8" s="462"/>
      <c r="J8" s="462"/>
      <c r="K8" s="462"/>
      <c r="L8" s="462"/>
      <c r="M8" s="462"/>
      <c r="N8" s="78"/>
      <c r="P8" s="27" t="s">
        <v>11</v>
      </c>
      <c r="Q8" s="445">
        <v>0.375</v>
      </c>
      <c r="R8" s="445"/>
      <c r="T8" s="450"/>
      <c r="U8" s="451"/>
      <c r="V8" s="454"/>
      <c r="W8" s="455"/>
      <c r="AB8" s="59"/>
      <c r="AC8" s="59"/>
      <c r="AD8" s="59"/>
      <c r="AE8" s="59"/>
    </row>
    <row r="9" spans="1:32" s="17" customFormat="1" ht="39.950000000000003" customHeight="1" x14ac:dyDescent="0.2">
      <c r="A9" s="4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7"/>
      <c r="C9" s="437"/>
      <c r="D9" s="438" t="s">
        <v>46</v>
      </c>
      <c r="E9" s="439"/>
      <c r="F9" s="4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7"/>
      <c r="H9" s="463" t="str">
        <f>IF(AND($A$9="Тип доверенности/получателя при получении в адресе перегруза:",$D$9="Разовая доверенность"),"Введите ФИО","")</f>
        <v/>
      </c>
      <c r="I9" s="463"/>
      <c r="J9" s="4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3"/>
      <c r="L9" s="463"/>
      <c r="M9" s="463"/>
      <c r="N9" s="73"/>
      <c r="P9" s="31" t="s">
        <v>15</v>
      </c>
      <c r="Q9" s="464"/>
      <c r="R9" s="464"/>
      <c r="T9" s="450"/>
      <c r="U9" s="451"/>
      <c r="V9" s="456"/>
      <c r="W9" s="4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7"/>
      <c r="C10" s="437"/>
      <c r="D10" s="438"/>
      <c r="E10" s="439"/>
      <c r="F10" s="4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7"/>
      <c r="H10" s="440" t="str">
        <f>IFERROR(VLOOKUP($D$10,Proxy,2,FALSE),"")</f>
        <v/>
      </c>
      <c r="I10" s="440"/>
      <c r="J10" s="440"/>
      <c r="K10" s="440"/>
      <c r="L10" s="440"/>
      <c r="M10" s="440"/>
      <c r="N10" s="74"/>
      <c r="P10" s="31" t="s">
        <v>32</v>
      </c>
      <c r="Q10" s="441"/>
      <c r="R10" s="441"/>
      <c r="U10" s="29" t="s">
        <v>12</v>
      </c>
      <c r="V10" s="442" t="s">
        <v>74</v>
      </c>
      <c r="W10" s="44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4"/>
      <c r="R11" s="444"/>
      <c r="U11" s="29" t="s">
        <v>28</v>
      </c>
      <c r="V11" s="423" t="s">
        <v>55</v>
      </c>
      <c r="W11" s="4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2" t="s">
        <v>75</v>
      </c>
      <c r="B12" s="422"/>
      <c r="C12" s="422"/>
      <c r="D12" s="422"/>
      <c r="E12" s="422"/>
      <c r="F12" s="422"/>
      <c r="G12" s="422"/>
      <c r="H12" s="422"/>
      <c r="I12" s="422"/>
      <c r="J12" s="422"/>
      <c r="K12" s="422"/>
      <c r="L12" s="422"/>
      <c r="M12" s="422"/>
      <c r="N12" s="79"/>
      <c r="P12" s="27" t="s">
        <v>30</v>
      </c>
      <c r="Q12" s="445"/>
      <c r="R12" s="445"/>
      <c r="S12" s="28"/>
      <c r="T12"/>
      <c r="U12" s="29" t="s">
        <v>46</v>
      </c>
      <c r="V12" s="446"/>
      <c r="W12" s="446"/>
      <c r="X12"/>
      <c r="AB12" s="59"/>
      <c r="AC12" s="59"/>
      <c r="AD12" s="59"/>
      <c r="AE12" s="59"/>
    </row>
    <row r="13" spans="1:32" s="17" customFormat="1" ht="23.25" customHeight="1" x14ac:dyDescent="0.2">
      <c r="A13" s="422" t="s">
        <v>76</v>
      </c>
      <c r="B13" s="422"/>
      <c r="C13" s="422"/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79"/>
      <c r="O13" s="31"/>
      <c r="P13" s="31" t="s">
        <v>31</v>
      </c>
      <c r="Q13" s="423"/>
      <c r="R13" s="4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2" t="s">
        <v>77</v>
      </c>
      <c r="B14" s="422"/>
      <c r="C14" s="422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4" t="s">
        <v>78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80"/>
      <c r="O15"/>
      <c r="P15" s="425" t="s">
        <v>61</v>
      </c>
      <c r="Q15" s="425"/>
      <c r="R15" s="425"/>
      <c r="S15" s="425"/>
      <c r="T15" s="4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6"/>
      <c r="Q16" s="426"/>
      <c r="R16" s="426"/>
      <c r="S16" s="426"/>
      <c r="T16" s="4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8" t="s">
        <v>59</v>
      </c>
      <c r="B17" s="408" t="s">
        <v>49</v>
      </c>
      <c r="C17" s="429" t="s">
        <v>48</v>
      </c>
      <c r="D17" s="431" t="s">
        <v>50</v>
      </c>
      <c r="E17" s="432"/>
      <c r="F17" s="408" t="s">
        <v>21</v>
      </c>
      <c r="G17" s="408" t="s">
        <v>24</v>
      </c>
      <c r="H17" s="408" t="s">
        <v>22</v>
      </c>
      <c r="I17" s="408" t="s">
        <v>23</v>
      </c>
      <c r="J17" s="408" t="s">
        <v>16</v>
      </c>
      <c r="K17" s="408" t="s">
        <v>69</v>
      </c>
      <c r="L17" s="408" t="s">
        <v>67</v>
      </c>
      <c r="M17" s="408" t="s">
        <v>2</v>
      </c>
      <c r="N17" s="408" t="s">
        <v>66</v>
      </c>
      <c r="O17" s="408" t="s">
        <v>25</v>
      </c>
      <c r="P17" s="431" t="s">
        <v>17</v>
      </c>
      <c r="Q17" s="435"/>
      <c r="R17" s="435"/>
      <c r="S17" s="435"/>
      <c r="T17" s="432"/>
      <c r="U17" s="427" t="s">
        <v>56</v>
      </c>
      <c r="V17" s="428"/>
      <c r="W17" s="408" t="s">
        <v>6</v>
      </c>
      <c r="X17" s="408" t="s">
        <v>41</v>
      </c>
      <c r="Y17" s="410" t="s">
        <v>54</v>
      </c>
      <c r="Z17" s="412" t="s">
        <v>18</v>
      </c>
      <c r="AA17" s="414" t="s">
        <v>60</v>
      </c>
      <c r="AB17" s="414" t="s">
        <v>19</v>
      </c>
      <c r="AC17" s="414" t="s">
        <v>68</v>
      </c>
      <c r="AD17" s="416" t="s">
        <v>57</v>
      </c>
      <c r="AE17" s="417"/>
      <c r="AF17" s="418"/>
      <c r="AG17" s="85"/>
      <c r="BD17" s="84" t="s">
        <v>64</v>
      </c>
    </row>
    <row r="18" spans="1:68" ht="14.25" customHeight="1" x14ac:dyDescent="0.2">
      <c r="A18" s="409"/>
      <c r="B18" s="409"/>
      <c r="C18" s="430"/>
      <c r="D18" s="433"/>
      <c r="E18" s="434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33"/>
      <c r="Q18" s="436"/>
      <c r="R18" s="436"/>
      <c r="S18" s="436"/>
      <c r="T18" s="434"/>
      <c r="U18" s="86" t="s">
        <v>44</v>
      </c>
      <c r="V18" s="86" t="s">
        <v>43</v>
      </c>
      <c r="W18" s="409"/>
      <c r="X18" s="409"/>
      <c r="Y18" s="411"/>
      <c r="Z18" s="413"/>
      <c r="AA18" s="415"/>
      <c r="AB18" s="415"/>
      <c r="AC18" s="415"/>
      <c r="AD18" s="419"/>
      <c r="AE18" s="420"/>
      <c r="AF18" s="421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1" t="s">
        <v>82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3">
        <v>4620207491508</v>
      </c>
      <c r="E22" s="293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3">
        <v>4620207491256</v>
      </c>
      <c r="E23" s="293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9" t="s">
        <v>46</v>
      </c>
      <c r="V23" s="39" t="s">
        <v>46</v>
      </c>
      <c r="W23" s="40" t="s">
        <v>39</v>
      </c>
      <c r="X23" s="58">
        <v>12</v>
      </c>
      <c r="Y23" s="55">
        <f t="shared" si="0"/>
        <v>12</v>
      </c>
      <c r="Z23" s="41">
        <f t="shared" si="1"/>
        <v>0.186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79.56</v>
      </c>
      <c r="BN23" s="81">
        <f t="shared" si="3"/>
        <v>79.56</v>
      </c>
      <c r="BO23" s="81">
        <f t="shared" si="4"/>
        <v>0.14285714285714285</v>
      </c>
      <c r="BP23" s="81">
        <f t="shared" si="5"/>
        <v>0.14285714285714285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3">
        <v>4620207491713</v>
      </c>
      <c r="E24" s="293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3">
        <v>4620207491720</v>
      </c>
      <c r="E25" s="293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3">
        <v>4607111035912</v>
      </c>
      <c r="E26" s="293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3">
        <v>4607111035929</v>
      </c>
      <c r="E27" s="293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3">
        <v>4607111035882</v>
      </c>
      <c r="E28" s="293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3">
        <v>4607111035905</v>
      </c>
      <c r="E29" s="293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0"/>
      <c r="B30" s="300"/>
      <c r="C30" s="300"/>
      <c r="D30" s="300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1"/>
      <c r="P30" s="297" t="s">
        <v>40</v>
      </c>
      <c r="Q30" s="298"/>
      <c r="R30" s="298"/>
      <c r="S30" s="298"/>
      <c r="T30" s="298"/>
      <c r="U30" s="298"/>
      <c r="V30" s="299"/>
      <c r="W30" s="42" t="s">
        <v>39</v>
      </c>
      <c r="X30" s="43">
        <f>IFERROR(SUM(X22:X29),"0")</f>
        <v>36</v>
      </c>
      <c r="Y30" s="43">
        <f>IFERROR(SUM(Y22:Y29),"0")</f>
        <v>36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67"/>
      <c r="AB30" s="67"/>
      <c r="AC30" s="67"/>
    </row>
    <row r="31" spans="1:68" x14ac:dyDescent="0.2">
      <c r="A31" s="300"/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1"/>
      <c r="P31" s="297" t="s">
        <v>40</v>
      </c>
      <c r="Q31" s="298"/>
      <c r="R31" s="298"/>
      <c r="S31" s="298"/>
      <c r="T31" s="298"/>
      <c r="U31" s="298"/>
      <c r="V31" s="299"/>
      <c r="W31" s="42" t="s">
        <v>0</v>
      </c>
      <c r="X31" s="43">
        <f>IFERROR(SUMPRODUCT(X22:X29*H22:H29),"0")</f>
        <v>249.60000000000002</v>
      </c>
      <c r="Y31" s="43">
        <f>IFERROR(SUMPRODUCT(Y22:Y29*H22:H29),"0")</f>
        <v>249.60000000000002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1" t="s">
        <v>82</v>
      </c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3">
        <v>4607111039019</v>
      </c>
      <c r="E34" s="293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9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3">
        <v>4607111038708</v>
      </c>
      <c r="E35" s="293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9" t="s">
        <v>46</v>
      </c>
      <c r="V35" s="39" t="s">
        <v>46</v>
      </c>
      <c r="W35" s="40" t="s">
        <v>39</v>
      </c>
      <c r="X35" s="58">
        <v>24</v>
      </c>
      <c r="Y35" s="55">
        <f>IFERROR(IF(X35="","",X35),"")</f>
        <v>24</v>
      </c>
      <c r="Z35" s="41">
        <f>IFERROR(IF(X35="","",X35*0.0155),"")</f>
        <v>0.372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160.07999999999998</v>
      </c>
      <c r="BN35" s="81">
        <f>IFERROR(Y35*I35,"0")</f>
        <v>160.07999999999998</v>
      </c>
      <c r="BO35" s="81">
        <f>IFERROR(X35/J35,"0")</f>
        <v>0.2857142857142857</v>
      </c>
      <c r="BP35" s="81">
        <f>IFERROR(Y35/J35,"0")</f>
        <v>0.2857142857142857</v>
      </c>
    </row>
    <row r="36" spans="1:68" x14ac:dyDescent="0.2">
      <c r="A36" s="300"/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1"/>
      <c r="P36" s="297" t="s">
        <v>40</v>
      </c>
      <c r="Q36" s="298"/>
      <c r="R36" s="298"/>
      <c r="S36" s="298"/>
      <c r="T36" s="298"/>
      <c r="U36" s="298"/>
      <c r="V36" s="299"/>
      <c r="W36" s="42" t="s">
        <v>39</v>
      </c>
      <c r="X36" s="43">
        <f>IFERROR(SUM(X34:X35),"0")</f>
        <v>24</v>
      </c>
      <c r="Y36" s="43">
        <f>IFERROR(SUM(Y34:Y35),"0")</f>
        <v>24</v>
      </c>
      <c r="Z36" s="43">
        <f>IFERROR(IF(Z34="",0,Z34),"0")+IFERROR(IF(Z35="",0,Z35),"0")</f>
        <v>0.372</v>
      </c>
      <c r="AA36" s="67"/>
      <c r="AB36" s="67"/>
      <c r="AC36" s="67"/>
    </row>
    <row r="37" spans="1:68" x14ac:dyDescent="0.2">
      <c r="A37" s="300"/>
      <c r="B37" s="300"/>
      <c r="C37" s="300"/>
      <c r="D37" s="300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1"/>
      <c r="P37" s="297" t="s">
        <v>40</v>
      </c>
      <c r="Q37" s="298"/>
      <c r="R37" s="298"/>
      <c r="S37" s="298"/>
      <c r="T37" s="298"/>
      <c r="U37" s="298"/>
      <c r="V37" s="299"/>
      <c r="W37" s="42" t="s">
        <v>0</v>
      </c>
      <c r="X37" s="43">
        <f>IFERROR(SUMPRODUCT(X34:X35*H34:H35),"0")</f>
        <v>153.60000000000002</v>
      </c>
      <c r="Y37" s="43">
        <f>IFERROR(SUMPRODUCT(Y34:Y35*H34:H35),"0")</f>
        <v>153.60000000000002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1" t="s">
        <v>113</v>
      </c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3">
        <v>4607111036537</v>
      </c>
      <c r="E41" s="293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9" t="s">
        <v>46</v>
      </c>
      <c r="V41" s="39" t="s">
        <v>46</v>
      </c>
      <c r="W41" s="40" t="s">
        <v>39</v>
      </c>
      <c r="X41" s="58">
        <v>112</v>
      </c>
      <c r="Y41" s="55">
        <f>IFERROR(IF(X41="","",X41),"")</f>
        <v>112</v>
      </c>
      <c r="Z41" s="41">
        <f>IFERROR(IF(X41="","",X41*0.00941),"")</f>
        <v>1.05392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215.24160000000001</v>
      </c>
      <c r="BN41" s="81">
        <f>IFERROR(Y41*I41,"0")</f>
        <v>215.24160000000001</v>
      </c>
      <c r="BO41" s="81">
        <f>IFERROR(X41/J41,"0")</f>
        <v>0.8</v>
      </c>
      <c r="BP41" s="81">
        <f>IFERROR(Y41/J41,"0")</f>
        <v>0.8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293">
        <v>4607111036605</v>
      </c>
      <c r="E42" s="293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9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1"/>
      <c r="P43" s="297" t="s">
        <v>40</v>
      </c>
      <c r="Q43" s="298"/>
      <c r="R43" s="298"/>
      <c r="S43" s="298"/>
      <c r="T43" s="298"/>
      <c r="U43" s="298"/>
      <c r="V43" s="299"/>
      <c r="W43" s="42" t="s">
        <v>39</v>
      </c>
      <c r="X43" s="43">
        <f>IFERROR(SUM(X41:X42),"0")</f>
        <v>112</v>
      </c>
      <c r="Y43" s="43">
        <f>IFERROR(SUM(Y41:Y42),"0")</f>
        <v>112</v>
      </c>
      <c r="Z43" s="43">
        <f>IFERROR(IF(Z41="",0,Z41),"0")+IFERROR(IF(Z42="",0,Z42),"0")</f>
        <v>1.05392</v>
      </c>
      <c r="AA43" s="67"/>
      <c r="AB43" s="67"/>
      <c r="AC43" s="67"/>
    </row>
    <row r="44" spans="1:68" x14ac:dyDescent="0.2">
      <c r="A44" s="300"/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1"/>
      <c r="P44" s="297" t="s">
        <v>40</v>
      </c>
      <c r="Q44" s="298"/>
      <c r="R44" s="298"/>
      <c r="S44" s="298"/>
      <c r="T44" s="298"/>
      <c r="U44" s="298"/>
      <c r="V44" s="299"/>
      <c r="W44" s="42" t="s">
        <v>0</v>
      </c>
      <c r="X44" s="43">
        <f>IFERROR(SUMPRODUCT(X41:X42*H41:H42),"0")</f>
        <v>168</v>
      </c>
      <c r="Y44" s="43">
        <f>IFERROR(SUMPRODUCT(Y41:Y42*H41:H42),"0")</f>
        <v>168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1" t="s">
        <v>82</v>
      </c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3">
        <v>4620207490075</v>
      </c>
      <c r="E47" s="293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3">
        <v>4620207490174</v>
      </c>
      <c r="E48" s="293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9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ht="27" hidden="1" customHeight="1" x14ac:dyDescent="0.25">
      <c r="A49" s="63" t="s">
        <v>130</v>
      </c>
      <c r="B49" s="63" t="s">
        <v>131</v>
      </c>
      <c r="C49" s="36">
        <v>4301071091</v>
      </c>
      <c r="D49" s="293">
        <v>4620207490044</v>
      </c>
      <c r="E49" s="293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88</v>
      </c>
      <c r="M49" s="38" t="s">
        <v>86</v>
      </c>
      <c r="N49" s="38"/>
      <c r="O49" s="37">
        <v>180</v>
      </c>
      <c r="P49" s="39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5"/>
      <c r="R49" s="295"/>
      <c r="S49" s="295"/>
      <c r="T49" s="296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132</v>
      </c>
      <c r="AG49" s="81"/>
      <c r="AJ49" s="87" t="s">
        <v>89</v>
      </c>
      <c r="AK49" s="87">
        <v>1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00"/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1"/>
      <c r="P50" s="297" t="s">
        <v>40</v>
      </c>
      <c r="Q50" s="298"/>
      <c r="R50" s="298"/>
      <c r="S50" s="298"/>
      <c r="T50" s="298"/>
      <c r="U50" s="298"/>
      <c r="V50" s="299"/>
      <c r="W50" s="42" t="s">
        <v>39</v>
      </c>
      <c r="X50" s="43">
        <f>IFERROR(SUM(X47:X49),"0")</f>
        <v>12</v>
      </c>
      <c r="Y50" s="43">
        <f>IFERROR(SUM(Y47:Y49),"0")</f>
        <v>12</v>
      </c>
      <c r="Z50" s="43">
        <f>IFERROR(IF(Z47="",0,Z47),"0")+IFERROR(IF(Z48="",0,Z48),"0")+IFERROR(IF(Z49="",0,Z49),"0")</f>
        <v>0.186</v>
      </c>
      <c r="AA50" s="67"/>
      <c r="AB50" s="67"/>
      <c r="AC50" s="67"/>
    </row>
    <row r="51" spans="1:68" x14ac:dyDescent="0.2">
      <c r="A51" s="300"/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1"/>
      <c r="P51" s="297" t="s">
        <v>40</v>
      </c>
      <c r="Q51" s="298"/>
      <c r="R51" s="298"/>
      <c r="S51" s="298"/>
      <c r="T51" s="298"/>
      <c r="U51" s="298"/>
      <c r="V51" s="299"/>
      <c r="W51" s="42" t="s">
        <v>0</v>
      </c>
      <c r="X51" s="43">
        <f>IFERROR(SUMPRODUCT(X47:X49*H47:H49),"0")</f>
        <v>67.199999999999989</v>
      </c>
      <c r="Y51" s="43">
        <f>IFERROR(SUMPRODUCT(Y47:Y49*H47:H49),"0")</f>
        <v>67.199999999999989</v>
      </c>
      <c r="Z51" s="42"/>
      <c r="AA51" s="67"/>
      <c r="AB51" s="67"/>
      <c r="AC51" s="67"/>
    </row>
    <row r="52" spans="1:68" ht="16.5" hidden="1" customHeight="1" x14ac:dyDescent="0.25">
      <c r="A52" s="323" t="s">
        <v>133</v>
      </c>
      <c r="B52" s="323"/>
      <c r="C52" s="323"/>
      <c r="D52" s="323"/>
      <c r="E52" s="323"/>
      <c r="F52" s="323"/>
      <c r="G52" s="323"/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3"/>
      <c r="W52" s="323"/>
      <c r="X52" s="323"/>
      <c r="Y52" s="323"/>
      <c r="Z52" s="323"/>
      <c r="AA52" s="65"/>
      <c r="AB52" s="65"/>
      <c r="AC52" s="82"/>
    </row>
    <row r="53" spans="1:68" ht="14.25" hidden="1" customHeight="1" x14ac:dyDescent="0.25">
      <c r="A53" s="311" t="s">
        <v>82</v>
      </c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293">
        <v>4607111039385</v>
      </c>
      <c r="E54" s="293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5"/>
      <c r="R54" s="295"/>
      <c r="S54" s="295"/>
      <c r="T54" s="296"/>
      <c r="U54" s="39" t="s">
        <v>46</v>
      </c>
      <c r="V54" s="39" t="s">
        <v>46</v>
      </c>
      <c r="W54" s="40" t="s">
        <v>39</v>
      </c>
      <c r="X54" s="58">
        <v>72</v>
      </c>
      <c r="Y54" s="55">
        <f>IFERROR(IF(X54="","",X54),"")</f>
        <v>72</v>
      </c>
      <c r="Z54" s="41">
        <f>IFERROR(IF(X54="","",X54*0.0155),"")</f>
        <v>1.1160000000000001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525.6</v>
      </c>
      <c r="BN54" s="81">
        <f>IFERROR(Y54*I54,"0")</f>
        <v>525.6</v>
      </c>
      <c r="BO54" s="81">
        <f>IFERROR(X54/J54,"0")</f>
        <v>0.8571428571428571</v>
      </c>
      <c r="BP54" s="81">
        <f>IFERROR(Y54/J54,"0")</f>
        <v>0.8571428571428571</v>
      </c>
    </row>
    <row r="55" spans="1:68" ht="27" customHeight="1" x14ac:dyDescent="0.25">
      <c r="A55" s="63" t="s">
        <v>137</v>
      </c>
      <c r="B55" s="63" t="s">
        <v>138</v>
      </c>
      <c r="C55" s="36">
        <v>4301071031</v>
      </c>
      <c r="D55" s="293">
        <v>4607111038982</v>
      </c>
      <c r="E55" s="293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5"/>
      <c r="R55" s="295"/>
      <c r="S55" s="295"/>
      <c r="T55" s="296"/>
      <c r="U55" s="39" t="s">
        <v>46</v>
      </c>
      <c r="V55" s="39" t="s">
        <v>46</v>
      </c>
      <c r="W55" s="40" t="s">
        <v>39</v>
      </c>
      <c r="X55" s="58">
        <v>96</v>
      </c>
      <c r="Y55" s="55">
        <f>IFERROR(IF(X55="","",X55),"")</f>
        <v>96</v>
      </c>
      <c r="Z55" s="41">
        <f>IFERROR(IF(X55="","",X55*0.0155),"")</f>
        <v>1.488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699.4559999999999</v>
      </c>
      <c r="BN55" s="81">
        <f>IFERROR(Y55*I55,"0")</f>
        <v>699.4559999999999</v>
      </c>
      <c r="BO55" s="81">
        <f>IFERROR(X55/J55,"0")</f>
        <v>1.1428571428571428</v>
      </c>
      <c r="BP55" s="81">
        <f>IFERROR(Y55/J55,"0")</f>
        <v>1.1428571428571428</v>
      </c>
    </row>
    <row r="56" spans="1:68" ht="27" customHeight="1" x14ac:dyDescent="0.25">
      <c r="A56" s="63" t="s">
        <v>140</v>
      </c>
      <c r="B56" s="63" t="s">
        <v>141</v>
      </c>
      <c r="C56" s="36">
        <v>4301071046</v>
      </c>
      <c r="D56" s="293">
        <v>4607111039354</v>
      </c>
      <c r="E56" s="293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5"/>
      <c r="R56" s="295"/>
      <c r="S56" s="295"/>
      <c r="T56" s="296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80.635199999999998</v>
      </c>
      <c r="BN56" s="81">
        <f>IFERROR(Y56*I56,"0")</f>
        <v>80.635199999999998</v>
      </c>
      <c r="BO56" s="81">
        <f>IFERROR(X56/J56,"0")</f>
        <v>0.14285714285714285</v>
      </c>
      <c r="BP56" s="81">
        <f>IFERROR(Y56/J56,"0")</f>
        <v>0.14285714285714285</v>
      </c>
    </row>
    <row r="57" spans="1:68" ht="27" customHeight="1" x14ac:dyDescent="0.25">
      <c r="A57" s="63" t="s">
        <v>142</v>
      </c>
      <c r="B57" s="63" t="s">
        <v>143</v>
      </c>
      <c r="C57" s="36">
        <v>4301071047</v>
      </c>
      <c r="D57" s="293">
        <v>4607111039330</v>
      </c>
      <c r="E57" s="293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9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5"/>
      <c r="R57" s="295"/>
      <c r="S57" s="295"/>
      <c r="T57" s="296"/>
      <c r="U57" s="39" t="s">
        <v>46</v>
      </c>
      <c r="V57" s="39" t="s">
        <v>46</v>
      </c>
      <c r="W57" s="40" t="s">
        <v>39</v>
      </c>
      <c r="X57" s="58">
        <v>48</v>
      </c>
      <c r="Y57" s="55">
        <f>IFERROR(IF(X57="","",X57),"")</f>
        <v>48</v>
      </c>
      <c r="Z57" s="41">
        <f>IFERROR(IF(X57="","",X57*0.0155),"")</f>
        <v>0.74399999999999999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350.4</v>
      </c>
      <c r="BN57" s="81">
        <f>IFERROR(Y57*I57,"0")</f>
        <v>350.4</v>
      </c>
      <c r="BO57" s="81">
        <f>IFERROR(X57/J57,"0")</f>
        <v>0.5714285714285714</v>
      </c>
      <c r="BP57" s="81">
        <f>IFERROR(Y57/J57,"0")</f>
        <v>0.5714285714285714</v>
      </c>
    </row>
    <row r="58" spans="1:68" x14ac:dyDescent="0.2">
      <c r="A58" s="300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1"/>
      <c r="P58" s="297" t="s">
        <v>40</v>
      </c>
      <c r="Q58" s="298"/>
      <c r="R58" s="298"/>
      <c r="S58" s="298"/>
      <c r="T58" s="298"/>
      <c r="U58" s="298"/>
      <c r="V58" s="299"/>
      <c r="W58" s="42" t="s">
        <v>39</v>
      </c>
      <c r="X58" s="43">
        <f>IFERROR(SUM(X54:X57),"0")</f>
        <v>228</v>
      </c>
      <c r="Y58" s="43">
        <f>IFERROR(SUM(Y54:Y57),"0")</f>
        <v>228</v>
      </c>
      <c r="Z58" s="43">
        <f>IFERROR(IF(Z54="",0,Z54),"0")+IFERROR(IF(Z55="",0,Z55),"0")+IFERROR(IF(Z56="",0,Z56),"0")+IFERROR(IF(Z57="",0,Z57),"0")</f>
        <v>3.5339999999999998</v>
      </c>
      <c r="AA58" s="67"/>
      <c r="AB58" s="67"/>
      <c r="AC58" s="67"/>
    </row>
    <row r="59" spans="1:68" x14ac:dyDescent="0.2">
      <c r="A59" s="300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1"/>
      <c r="P59" s="297" t="s">
        <v>40</v>
      </c>
      <c r="Q59" s="298"/>
      <c r="R59" s="298"/>
      <c r="S59" s="298"/>
      <c r="T59" s="298"/>
      <c r="U59" s="298"/>
      <c r="V59" s="299"/>
      <c r="W59" s="42" t="s">
        <v>0</v>
      </c>
      <c r="X59" s="43">
        <f>IFERROR(SUMPRODUCT(X54:X57*H54:H57),"0")</f>
        <v>1588.8</v>
      </c>
      <c r="Y59" s="43">
        <f>IFERROR(SUMPRODUCT(Y54:Y57*H54:H57),"0")</f>
        <v>1588.8</v>
      </c>
      <c r="Z59" s="42"/>
      <c r="AA59" s="67"/>
      <c r="AB59" s="67"/>
      <c r="AC59" s="67"/>
    </row>
    <row r="60" spans="1:68" ht="16.5" hidden="1" customHeight="1" x14ac:dyDescent="0.25">
      <c r="A60" s="323" t="s">
        <v>144</v>
      </c>
      <c r="B60" s="323"/>
      <c r="C60" s="323"/>
      <c r="D60" s="323"/>
      <c r="E60" s="323"/>
      <c r="F60" s="323"/>
      <c r="G60" s="323"/>
      <c r="H60" s="323"/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3"/>
      <c r="T60" s="323"/>
      <c r="U60" s="323"/>
      <c r="V60" s="323"/>
      <c r="W60" s="323"/>
      <c r="X60" s="323"/>
      <c r="Y60" s="323"/>
      <c r="Z60" s="323"/>
      <c r="AA60" s="65"/>
      <c r="AB60" s="65"/>
      <c r="AC60" s="82"/>
    </row>
    <row r="61" spans="1:68" ht="14.25" hidden="1" customHeight="1" x14ac:dyDescent="0.25">
      <c r="A61" s="311" t="s">
        <v>82</v>
      </c>
      <c r="B61" s="311"/>
      <c r="C61" s="311"/>
      <c r="D61" s="311"/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66"/>
      <c r="AB61" s="66"/>
      <c r="AC61" s="83"/>
    </row>
    <row r="62" spans="1:68" ht="16.5" hidden="1" customHeight="1" x14ac:dyDescent="0.25">
      <c r="A62" s="63" t="s">
        <v>145</v>
      </c>
      <c r="B62" s="63" t="s">
        <v>146</v>
      </c>
      <c r="C62" s="36">
        <v>4301071073</v>
      </c>
      <c r="D62" s="293">
        <v>4620207490822</v>
      </c>
      <c r="E62" s="293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5"/>
      <c r="R62" s="295"/>
      <c r="S62" s="295"/>
      <c r="T62" s="296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00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1"/>
      <c r="P63" s="297" t="s">
        <v>40</v>
      </c>
      <c r="Q63" s="298"/>
      <c r="R63" s="298"/>
      <c r="S63" s="298"/>
      <c r="T63" s="298"/>
      <c r="U63" s="298"/>
      <c r="V63" s="299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300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1"/>
      <c r="P64" s="297" t="s">
        <v>40</v>
      </c>
      <c r="Q64" s="298"/>
      <c r="R64" s="298"/>
      <c r="S64" s="298"/>
      <c r="T64" s="298"/>
      <c r="U64" s="298"/>
      <c r="V64" s="299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11" t="s">
        <v>113</v>
      </c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66"/>
      <c r="AB65" s="66"/>
      <c r="AC65" s="83"/>
    </row>
    <row r="66" spans="1:68" ht="27" hidden="1" customHeight="1" x14ac:dyDescent="0.25">
      <c r="A66" s="63" t="s">
        <v>148</v>
      </c>
      <c r="B66" s="63" t="s">
        <v>149</v>
      </c>
      <c r="C66" s="36">
        <v>4301132194</v>
      </c>
      <c r="D66" s="293">
        <v>4607111039712</v>
      </c>
      <c r="E66" s="293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5"/>
      <c r="R66" s="295"/>
      <c r="S66" s="295"/>
      <c r="T66" s="296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1"/>
      <c r="P67" s="297" t="s">
        <v>40</v>
      </c>
      <c r="Q67" s="298"/>
      <c r="R67" s="298"/>
      <c r="S67" s="298"/>
      <c r="T67" s="298"/>
      <c r="U67" s="298"/>
      <c r="V67" s="299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1"/>
      <c r="P68" s="297" t="s">
        <v>40</v>
      </c>
      <c r="Q68" s="298"/>
      <c r="R68" s="298"/>
      <c r="S68" s="298"/>
      <c r="T68" s="298"/>
      <c r="U68" s="298"/>
      <c r="V68" s="299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11" t="s">
        <v>151</v>
      </c>
      <c r="B69" s="311"/>
      <c r="C69" s="311"/>
      <c r="D69" s="311"/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66"/>
      <c r="AB69" s="66"/>
      <c r="AC69" s="83"/>
    </row>
    <row r="70" spans="1:68" ht="16.5" hidden="1" customHeight="1" x14ac:dyDescent="0.25">
      <c r="A70" s="63" t="s">
        <v>152</v>
      </c>
      <c r="B70" s="63" t="s">
        <v>153</v>
      </c>
      <c r="C70" s="36">
        <v>4301136018</v>
      </c>
      <c r="D70" s="293">
        <v>4607111037008</v>
      </c>
      <c r="E70" s="293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5"/>
      <c r="R70" s="295"/>
      <c r="S70" s="295"/>
      <c r="T70" s="296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155</v>
      </c>
      <c r="B71" s="63" t="s">
        <v>156</v>
      </c>
      <c r="C71" s="36">
        <v>4301136015</v>
      </c>
      <c r="D71" s="293">
        <v>4607111037398</v>
      </c>
      <c r="E71" s="293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5"/>
      <c r="R71" s="295"/>
      <c r="S71" s="295"/>
      <c r="T71" s="296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00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1"/>
      <c r="P72" s="297" t="s">
        <v>40</v>
      </c>
      <c r="Q72" s="298"/>
      <c r="R72" s="298"/>
      <c r="S72" s="298"/>
      <c r="T72" s="298"/>
      <c r="U72" s="298"/>
      <c r="V72" s="299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300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1"/>
      <c r="P73" s="297" t="s">
        <v>40</v>
      </c>
      <c r="Q73" s="298"/>
      <c r="R73" s="298"/>
      <c r="S73" s="298"/>
      <c r="T73" s="298"/>
      <c r="U73" s="298"/>
      <c r="V73" s="299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11" t="s">
        <v>157</v>
      </c>
      <c r="B74" s="311"/>
      <c r="C74" s="311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66"/>
      <c r="AB74" s="66"/>
      <c r="AC74" s="83"/>
    </row>
    <row r="75" spans="1:68" ht="27" hidden="1" customHeight="1" x14ac:dyDescent="0.25">
      <c r="A75" s="63" t="s">
        <v>158</v>
      </c>
      <c r="B75" s="63" t="s">
        <v>159</v>
      </c>
      <c r="C75" s="36">
        <v>4301135664</v>
      </c>
      <c r="D75" s="293">
        <v>4607111039705</v>
      </c>
      <c r="E75" s="293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5"/>
      <c r="R75" s="295"/>
      <c r="S75" s="295"/>
      <c r="T75" s="296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160</v>
      </c>
      <c r="B76" s="63" t="s">
        <v>161</v>
      </c>
      <c r="C76" s="36">
        <v>4301135665</v>
      </c>
      <c r="D76" s="293">
        <v>4607111039729</v>
      </c>
      <c r="E76" s="293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119</v>
      </c>
      <c r="M76" s="38" t="s">
        <v>86</v>
      </c>
      <c r="N76" s="38"/>
      <c r="O76" s="37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5"/>
      <c r="R76" s="295"/>
      <c r="S76" s="295"/>
      <c r="T76" s="296"/>
      <c r="U76" s="39" t="s">
        <v>46</v>
      </c>
      <c r="V76" s="39" t="s">
        <v>46</v>
      </c>
      <c r="W76" s="40" t="s">
        <v>39</v>
      </c>
      <c r="X76" s="58">
        <v>28</v>
      </c>
      <c r="Y76" s="55">
        <f>IFERROR(IF(X76="","",X76),"")</f>
        <v>28</v>
      </c>
      <c r="Z76" s="41">
        <f>IFERROR(IF(X76="","",X76*0.00941),"")</f>
        <v>0.26347999999999999</v>
      </c>
      <c r="AA76" s="68" t="s">
        <v>46</v>
      </c>
      <c r="AB76" s="69" t="s">
        <v>46</v>
      </c>
      <c r="AC76" s="137" t="s">
        <v>162</v>
      </c>
      <c r="AG76" s="81"/>
      <c r="AJ76" s="87" t="s">
        <v>120</v>
      </c>
      <c r="AK76" s="87">
        <v>14</v>
      </c>
      <c r="BB76" s="138" t="s">
        <v>117</v>
      </c>
      <c r="BM76" s="81">
        <f>IFERROR(X76*I76,"0")</f>
        <v>43.68</v>
      </c>
      <c r="BN76" s="81">
        <f>IFERROR(Y76*I76,"0")</f>
        <v>43.68</v>
      </c>
      <c r="BO76" s="81">
        <f>IFERROR(X76/J76,"0")</f>
        <v>0.2</v>
      </c>
      <c r="BP76" s="81">
        <f>IFERROR(Y76/J76,"0")</f>
        <v>0.2</v>
      </c>
    </row>
    <row r="77" spans="1:68" ht="27" customHeight="1" x14ac:dyDescent="0.25">
      <c r="A77" s="63" t="s">
        <v>163</v>
      </c>
      <c r="B77" s="63" t="s">
        <v>164</v>
      </c>
      <c r="C77" s="36">
        <v>4301135702</v>
      </c>
      <c r="D77" s="293">
        <v>4620207490228</v>
      </c>
      <c r="E77" s="293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119</v>
      </c>
      <c r="M77" s="38" t="s">
        <v>86</v>
      </c>
      <c r="N77" s="38"/>
      <c r="O77" s="37">
        <v>365</v>
      </c>
      <c r="P77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5"/>
      <c r="R77" s="295"/>
      <c r="S77" s="295"/>
      <c r="T77" s="296"/>
      <c r="U77" s="39" t="s">
        <v>46</v>
      </c>
      <c r="V77" s="39" t="s">
        <v>46</v>
      </c>
      <c r="W77" s="40" t="s">
        <v>39</v>
      </c>
      <c r="X77" s="58">
        <v>14</v>
      </c>
      <c r="Y77" s="55">
        <f>IFERROR(IF(X77="","",X77),"")</f>
        <v>14</v>
      </c>
      <c r="Z77" s="41">
        <f>IFERROR(IF(X77="","",X77*0.00941),"")</f>
        <v>0.13174</v>
      </c>
      <c r="AA77" s="68" t="s">
        <v>46</v>
      </c>
      <c r="AB77" s="69" t="s">
        <v>46</v>
      </c>
      <c r="AC77" s="139" t="s">
        <v>162</v>
      </c>
      <c r="AG77" s="81"/>
      <c r="AJ77" s="87" t="s">
        <v>120</v>
      </c>
      <c r="AK77" s="87">
        <v>14</v>
      </c>
      <c r="BB77" s="140" t="s">
        <v>117</v>
      </c>
      <c r="BM77" s="81">
        <f>IFERROR(X77*I77,"0")</f>
        <v>21.84</v>
      </c>
      <c r="BN77" s="81">
        <f>IFERROR(Y77*I77,"0")</f>
        <v>21.84</v>
      </c>
      <c r="BO77" s="81">
        <f>IFERROR(X77/J77,"0")</f>
        <v>0.1</v>
      </c>
      <c r="BP77" s="81">
        <f>IFERROR(Y77/J77,"0")</f>
        <v>0.1</v>
      </c>
    </row>
    <row r="78" spans="1:68" x14ac:dyDescent="0.2">
      <c r="A78" s="30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1"/>
      <c r="P78" s="297" t="s">
        <v>40</v>
      </c>
      <c r="Q78" s="298"/>
      <c r="R78" s="298"/>
      <c r="S78" s="298"/>
      <c r="T78" s="298"/>
      <c r="U78" s="298"/>
      <c r="V78" s="299"/>
      <c r="W78" s="42" t="s">
        <v>39</v>
      </c>
      <c r="X78" s="43">
        <f>IFERROR(SUM(X75:X77),"0")</f>
        <v>42</v>
      </c>
      <c r="Y78" s="43">
        <f>IFERROR(SUM(Y75:Y77),"0")</f>
        <v>42</v>
      </c>
      <c r="Z78" s="43">
        <f>IFERROR(IF(Z75="",0,Z75),"0")+IFERROR(IF(Z76="",0,Z76),"0")+IFERROR(IF(Z77="",0,Z77),"0")</f>
        <v>0.39522000000000002</v>
      </c>
      <c r="AA78" s="67"/>
      <c r="AB78" s="67"/>
      <c r="AC78" s="67"/>
    </row>
    <row r="79" spans="1:68" x14ac:dyDescent="0.2">
      <c r="A79" s="300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1"/>
      <c r="P79" s="297" t="s">
        <v>40</v>
      </c>
      <c r="Q79" s="298"/>
      <c r="R79" s="298"/>
      <c r="S79" s="298"/>
      <c r="T79" s="298"/>
      <c r="U79" s="298"/>
      <c r="V79" s="299"/>
      <c r="W79" s="42" t="s">
        <v>0</v>
      </c>
      <c r="X79" s="43">
        <f>IFERROR(SUMPRODUCT(X75:X77*H75:H77),"0")</f>
        <v>50.400000000000006</v>
      </c>
      <c r="Y79" s="43">
        <f>IFERROR(SUMPRODUCT(Y75:Y77*H75:H77),"0")</f>
        <v>50.400000000000006</v>
      </c>
      <c r="Z79" s="42"/>
      <c r="AA79" s="67"/>
      <c r="AB79" s="67"/>
      <c r="AC79" s="67"/>
    </row>
    <row r="80" spans="1:68" ht="16.5" hidden="1" customHeight="1" x14ac:dyDescent="0.25">
      <c r="A80" s="323" t="s">
        <v>165</v>
      </c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65"/>
      <c r="AB80" s="65"/>
      <c r="AC80" s="82"/>
    </row>
    <row r="81" spans="1:68" ht="14.25" hidden="1" customHeight="1" x14ac:dyDescent="0.25">
      <c r="A81" s="311" t="s">
        <v>82</v>
      </c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66"/>
      <c r="AB81" s="66"/>
      <c r="AC81" s="83"/>
    </row>
    <row r="82" spans="1:68" ht="27" hidden="1" customHeight="1" x14ac:dyDescent="0.25">
      <c r="A82" s="63" t="s">
        <v>166</v>
      </c>
      <c r="B82" s="63" t="s">
        <v>167</v>
      </c>
      <c r="C82" s="36">
        <v>4301070977</v>
      </c>
      <c r="D82" s="293">
        <v>4607111037411</v>
      </c>
      <c r="E82" s="293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5"/>
      <c r="R82" s="295"/>
      <c r="S82" s="295"/>
      <c r="T82" s="296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170</v>
      </c>
      <c r="B83" s="63" t="s">
        <v>171</v>
      </c>
      <c r="C83" s="36">
        <v>4301070981</v>
      </c>
      <c r="D83" s="293">
        <v>4607111036728</v>
      </c>
      <c r="E83" s="293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5"/>
      <c r="R83" s="295"/>
      <c r="S83" s="295"/>
      <c r="T83" s="296"/>
      <c r="U83" s="39" t="s">
        <v>46</v>
      </c>
      <c r="V83" s="39" t="s">
        <v>46</v>
      </c>
      <c r="W83" s="40" t="s">
        <v>39</v>
      </c>
      <c r="X83" s="58">
        <v>240</v>
      </c>
      <c r="Y83" s="55">
        <f>IFERROR(IF(X83="","",X83),"")</f>
        <v>240</v>
      </c>
      <c r="Z83" s="41">
        <f>IFERROR(IF(X83="","",X83*0.00866),"")</f>
        <v>2.0783999999999998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1251.1679999999999</v>
      </c>
      <c r="BN83" s="81">
        <f>IFERROR(Y83*I83,"0")</f>
        <v>1251.1679999999999</v>
      </c>
      <c r="BO83" s="81">
        <f>IFERROR(X83/J83,"0")</f>
        <v>1.6666666666666667</v>
      </c>
      <c r="BP83" s="81">
        <f>IFERROR(Y83/J83,"0")</f>
        <v>1.6666666666666667</v>
      </c>
    </row>
    <row r="84" spans="1:68" x14ac:dyDescent="0.2">
      <c r="A84" s="30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1"/>
      <c r="P84" s="297" t="s">
        <v>40</v>
      </c>
      <c r="Q84" s="298"/>
      <c r="R84" s="298"/>
      <c r="S84" s="298"/>
      <c r="T84" s="298"/>
      <c r="U84" s="298"/>
      <c r="V84" s="299"/>
      <c r="W84" s="42" t="s">
        <v>39</v>
      </c>
      <c r="X84" s="43">
        <f>IFERROR(SUM(X82:X83),"0")</f>
        <v>240</v>
      </c>
      <c r="Y84" s="43">
        <f>IFERROR(SUM(Y82:Y83),"0")</f>
        <v>240</v>
      </c>
      <c r="Z84" s="43">
        <f>IFERROR(IF(Z82="",0,Z82),"0")+IFERROR(IF(Z83="",0,Z83),"0")</f>
        <v>2.0783999999999998</v>
      </c>
      <c r="AA84" s="67"/>
      <c r="AB84" s="67"/>
      <c r="AC84" s="67"/>
    </row>
    <row r="85" spans="1:68" x14ac:dyDescent="0.2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1"/>
      <c r="P85" s="297" t="s">
        <v>40</v>
      </c>
      <c r="Q85" s="298"/>
      <c r="R85" s="298"/>
      <c r="S85" s="298"/>
      <c r="T85" s="298"/>
      <c r="U85" s="298"/>
      <c r="V85" s="299"/>
      <c r="W85" s="42" t="s">
        <v>0</v>
      </c>
      <c r="X85" s="43">
        <f>IFERROR(SUMPRODUCT(X82:X83*H82:H83),"0")</f>
        <v>1200</v>
      </c>
      <c r="Y85" s="43">
        <f>IFERROR(SUMPRODUCT(Y82:Y83*H82:H83),"0")</f>
        <v>1200</v>
      </c>
      <c r="Z85" s="42"/>
      <c r="AA85" s="67"/>
      <c r="AB85" s="67"/>
      <c r="AC85" s="67"/>
    </row>
    <row r="86" spans="1:68" ht="16.5" hidden="1" customHeight="1" x14ac:dyDescent="0.25">
      <c r="A86" s="323" t="s">
        <v>172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1" t="s">
        <v>157</v>
      </c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293">
        <v>4607111033659</v>
      </c>
      <c r="E88" s="293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5"/>
      <c r="R88" s="295"/>
      <c r="S88" s="295"/>
      <c r="T88" s="296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x14ac:dyDescent="0.2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1"/>
      <c r="P89" s="297" t="s">
        <v>40</v>
      </c>
      <c r="Q89" s="298"/>
      <c r="R89" s="298"/>
      <c r="S89" s="298"/>
      <c r="T89" s="298"/>
      <c r="U89" s="298"/>
      <c r="V89" s="299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x14ac:dyDescent="0.2">
      <c r="A90" s="30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1"/>
      <c r="P90" s="297" t="s">
        <v>40</v>
      </c>
      <c r="Q90" s="298"/>
      <c r="R90" s="298"/>
      <c r="S90" s="298"/>
      <c r="T90" s="298"/>
      <c r="U90" s="298"/>
      <c r="V90" s="299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hidden="1" customHeight="1" x14ac:dyDescent="0.25">
      <c r="A91" s="323" t="s">
        <v>176</v>
      </c>
      <c r="B91" s="323"/>
      <c r="C91" s="323"/>
      <c r="D91" s="323"/>
      <c r="E91" s="323"/>
      <c r="F91" s="323"/>
      <c r="G91" s="323"/>
      <c r="H91" s="323"/>
      <c r="I91" s="323"/>
      <c r="J91" s="323"/>
      <c r="K91" s="323"/>
      <c r="L91" s="323"/>
      <c r="M91" s="323"/>
      <c r="N91" s="323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65"/>
      <c r="AB91" s="65"/>
      <c r="AC91" s="82"/>
    </row>
    <row r="92" spans="1:68" ht="14.25" hidden="1" customHeight="1" x14ac:dyDescent="0.25">
      <c r="A92" s="311" t="s">
        <v>177</v>
      </c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293">
        <v>4607111034120</v>
      </c>
      <c r="E93" s="293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5"/>
      <c r="R93" s="295"/>
      <c r="S93" s="295"/>
      <c r="T93" s="296"/>
      <c r="U93" s="39" t="s">
        <v>46</v>
      </c>
      <c r="V93" s="39" t="s">
        <v>46</v>
      </c>
      <c r="W93" s="40" t="s">
        <v>39</v>
      </c>
      <c r="X93" s="58">
        <v>14</v>
      </c>
      <c r="Y93" s="55">
        <f>IFERROR(IF(X93="","",X93),"")</f>
        <v>14</v>
      </c>
      <c r="Z93" s="41">
        <f>IFERROR(IF(X93="","",X93*0.01788),"")</f>
        <v>0.25031999999999999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60.250400000000006</v>
      </c>
      <c r="BN93" s="81">
        <f>IFERROR(Y93*I93,"0")</f>
        <v>60.250400000000006</v>
      </c>
      <c r="BO93" s="81">
        <f>IFERROR(X93/J93,"0")</f>
        <v>0.2</v>
      </c>
      <c r="BP93" s="81">
        <f>IFERROR(Y93/J93,"0")</f>
        <v>0.2</v>
      </c>
    </row>
    <row r="94" spans="1:68" ht="27" hidden="1" customHeight="1" x14ac:dyDescent="0.25">
      <c r="A94" s="63" t="s">
        <v>181</v>
      </c>
      <c r="B94" s="63" t="s">
        <v>182</v>
      </c>
      <c r="C94" s="36">
        <v>4301131046</v>
      </c>
      <c r="D94" s="293">
        <v>4607111034137</v>
      </c>
      <c r="E94" s="293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5"/>
      <c r="R94" s="295"/>
      <c r="S94" s="295"/>
      <c r="T94" s="296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0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1"/>
      <c r="P95" s="297" t="s">
        <v>40</v>
      </c>
      <c r="Q95" s="298"/>
      <c r="R95" s="298"/>
      <c r="S95" s="298"/>
      <c r="T95" s="298"/>
      <c r="U95" s="298"/>
      <c r="V95" s="299"/>
      <c r="W95" s="42" t="s">
        <v>39</v>
      </c>
      <c r="X95" s="43">
        <f>IFERROR(SUM(X93:X94),"0")</f>
        <v>14</v>
      </c>
      <c r="Y95" s="43">
        <f>IFERROR(SUM(Y93:Y94),"0")</f>
        <v>14</v>
      </c>
      <c r="Z95" s="43">
        <f>IFERROR(IF(Z93="",0,Z93),"0")+IFERROR(IF(Z94="",0,Z94),"0")</f>
        <v>0.25031999999999999</v>
      </c>
      <c r="AA95" s="67"/>
      <c r="AB95" s="67"/>
      <c r="AC95" s="67"/>
    </row>
    <row r="96" spans="1:68" x14ac:dyDescent="0.2">
      <c r="A96" s="30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1"/>
      <c r="P96" s="297" t="s">
        <v>40</v>
      </c>
      <c r="Q96" s="298"/>
      <c r="R96" s="298"/>
      <c r="S96" s="298"/>
      <c r="T96" s="298"/>
      <c r="U96" s="298"/>
      <c r="V96" s="299"/>
      <c r="W96" s="42" t="s">
        <v>0</v>
      </c>
      <c r="X96" s="43">
        <f>IFERROR(SUMPRODUCT(X93:X94*H93:H94),"0")</f>
        <v>50.4</v>
      </c>
      <c r="Y96" s="43">
        <f>IFERROR(SUMPRODUCT(Y93:Y94*H93:H94),"0")</f>
        <v>50.4</v>
      </c>
      <c r="Z96" s="42"/>
      <c r="AA96" s="67"/>
      <c r="AB96" s="67"/>
      <c r="AC96" s="67"/>
    </row>
    <row r="97" spans="1:68" ht="16.5" hidden="1" customHeight="1" x14ac:dyDescent="0.25">
      <c r="A97" s="323" t="s">
        <v>184</v>
      </c>
      <c r="B97" s="323"/>
      <c r="C97" s="323"/>
      <c r="D97" s="323"/>
      <c r="E97" s="323"/>
      <c r="F97" s="323"/>
      <c r="G97" s="323"/>
      <c r="H97" s="323"/>
      <c r="I97" s="323"/>
      <c r="J97" s="323"/>
      <c r="K97" s="323"/>
      <c r="L97" s="323"/>
      <c r="M97" s="323"/>
      <c r="N97" s="323"/>
      <c r="O97" s="323"/>
      <c r="P97" s="323"/>
      <c r="Q97" s="323"/>
      <c r="R97" s="323"/>
      <c r="S97" s="323"/>
      <c r="T97" s="323"/>
      <c r="U97" s="323"/>
      <c r="V97" s="323"/>
      <c r="W97" s="323"/>
      <c r="X97" s="323"/>
      <c r="Y97" s="323"/>
      <c r="Z97" s="323"/>
      <c r="AA97" s="65"/>
      <c r="AB97" s="65"/>
      <c r="AC97" s="82"/>
    </row>
    <row r="98" spans="1:68" ht="14.25" hidden="1" customHeight="1" x14ac:dyDescent="0.25">
      <c r="A98" s="311" t="s">
        <v>157</v>
      </c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66"/>
      <c r="AB98" s="66"/>
      <c r="AC98" s="83"/>
    </row>
    <row r="99" spans="1:68" ht="27" customHeight="1" x14ac:dyDescent="0.25">
      <c r="A99" s="63" t="s">
        <v>185</v>
      </c>
      <c r="B99" s="63" t="s">
        <v>186</v>
      </c>
      <c r="C99" s="36">
        <v>4301135763</v>
      </c>
      <c r="D99" s="293">
        <v>4620207491027</v>
      </c>
      <c r="E99" s="293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5"/>
      <c r="R99" s="295"/>
      <c r="S99" s="295"/>
      <c r="T99" s="296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175</v>
      </c>
      <c r="AG99" s="81"/>
      <c r="AJ99" s="87" t="s">
        <v>120</v>
      </c>
      <c r="AK99" s="87">
        <v>14</v>
      </c>
      <c r="BB99" s="152" t="s">
        <v>117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293">
        <v>4620207491003</v>
      </c>
      <c r="E100" s="293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5"/>
      <c r="R100" s="295"/>
      <c r="S100" s="295"/>
      <c r="T100" s="296"/>
      <c r="U100" s="39" t="s">
        <v>46</v>
      </c>
      <c r="V100" s="39" t="s">
        <v>46</v>
      </c>
      <c r="W100" s="40" t="s">
        <v>39</v>
      </c>
      <c r="X100" s="58">
        <v>98</v>
      </c>
      <c r="Y100" s="55">
        <f t="shared" si="6"/>
        <v>98</v>
      </c>
      <c r="Z100" s="41">
        <f t="shared" si="7"/>
        <v>1.75224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351.19280000000003</v>
      </c>
      <c r="BN100" s="81">
        <f t="shared" si="9"/>
        <v>351.19280000000003</v>
      </c>
      <c r="BO100" s="81">
        <f t="shared" si="10"/>
        <v>1.4</v>
      </c>
      <c r="BP100" s="81">
        <f t="shared" si="11"/>
        <v>1.4</v>
      </c>
    </row>
    <row r="101" spans="1:68" ht="27" hidden="1" customHeight="1" x14ac:dyDescent="0.25">
      <c r="A101" s="63" t="s">
        <v>189</v>
      </c>
      <c r="B101" s="63" t="s">
        <v>190</v>
      </c>
      <c r="C101" s="36">
        <v>4301135768</v>
      </c>
      <c r="D101" s="293">
        <v>4620207491034</v>
      </c>
      <c r="E101" s="293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37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5"/>
      <c r="R101" s="295"/>
      <c r="S101" s="295"/>
      <c r="T101" s="296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293">
        <v>4620207491010</v>
      </c>
      <c r="E102" s="293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37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5"/>
      <c r="R102" s="295"/>
      <c r="S102" s="295"/>
      <c r="T102" s="296"/>
      <c r="U102" s="39" t="s">
        <v>46</v>
      </c>
      <c r="V102" s="39" t="s">
        <v>46</v>
      </c>
      <c r="W102" s="40" t="s">
        <v>39</v>
      </c>
      <c r="X102" s="58">
        <v>98</v>
      </c>
      <c r="Y102" s="55">
        <f t="shared" si="6"/>
        <v>98</v>
      </c>
      <c r="Z102" s="41">
        <f t="shared" si="7"/>
        <v>1.75224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351.19280000000003</v>
      </c>
      <c r="BN102" s="81">
        <f t="shared" si="9"/>
        <v>351.19280000000003</v>
      </c>
      <c r="BO102" s="81">
        <f t="shared" si="10"/>
        <v>1.4</v>
      </c>
      <c r="BP102" s="81">
        <f t="shared" si="11"/>
        <v>1.4</v>
      </c>
    </row>
    <row r="103" spans="1:68" ht="27" hidden="1" customHeight="1" x14ac:dyDescent="0.25">
      <c r="A103" s="63" t="s">
        <v>194</v>
      </c>
      <c r="B103" s="63" t="s">
        <v>195</v>
      </c>
      <c r="C103" s="36">
        <v>4301135571</v>
      </c>
      <c r="D103" s="293">
        <v>4607111035028</v>
      </c>
      <c r="E103" s="293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37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5"/>
      <c r="R103" s="295"/>
      <c r="S103" s="295"/>
      <c r="T103" s="296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89</v>
      </c>
      <c r="AK103" s="87">
        <v>1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196</v>
      </c>
      <c r="B104" s="63" t="s">
        <v>197</v>
      </c>
      <c r="C104" s="36">
        <v>4301135285</v>
      </c>
      <c r="D104" s="293">
        <v>4607111036407</v>
      </c>
      <c r="E104" s="293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5"/>
      <c r="R104" s="295"/>
      <c r="S104" s="295"/>
      <c r="T104" s="296"/>
      <c r="U104" s="39" t="s">
        <v>46</v>
      </c>
      <c r="V104" s="39" t="s">
        <v>46</v>
      </c>
      <c r="W104" s="40" t="s">
        <v>39</v>
      </c>
      <c r="X104" s="58">
        <v>14</v>
      </c>
      <c r="Y104" s="55">
        <f t="shared" si="6"/>
        <v>14</v>
      </c>
      <c r="Z104" s="41">
        <f t="shared" si="7"/>
        <v>0.25031999999999999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63.408800000000006</v>
      </c>
      <c r="BN104" s="81">
        <f t="shared" si="9"/>
        <v>63.408800000000006</v>
      </c>
      <c r="BO104" s="81">
        <f t="shared" si="10"/>
        <v>0.2</v>
      </c>
      <c r="BP104" s="81">
        <f t="shared" si="11"/>
        <v>0.2</v>
      </c>
    </row>
    <row r="105" spans="1:68" x14ac:dyDescent="0.2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1"/>
      <c r="P105" s="297" t="s">
        <v>40</v>
      </c>
      <c r="Q105" s="298"/>
      <c r="R105" s="298"/>
      <c r="S105" s="298"/>
      <c r="T105" s="298"/>
      <c r="U105" s="298"/>
      <c r="V105" s="299"/>
      <c r="W105" s="42" t="s">
        <v>39</v>
      </c>
      <c r="X105" s="43">
        <f>IFERROR(SUM(X99:X104),"0")</f>
        <v>238</v>
      </c>
      <c r="Y105" s="43">
        <f>IFERROR(SUM(Y99:Y104),"0")</f>
        <v>238</v>
      </c>
      <c r="Z105" s="43">
        <f>IFERROR(IF(Z99="",0,Z99),"0")+IFERROR(IF(Z100="",0,Z100),"0")+IFERROR(IF(Z101="",0,Z101),"0")+IFERROR(IF(Z102="",0,Z102),"0")+IFERROR(IF(Z103="",0,Z103),"0")+IFERROR(IF(Z104="",0,Z104),"0")</f>
        <v>4.2554400000000001</v>
      </c>
      <c r="AA105" s="67"/>
      <c r="AB105" s="67"/>
      <c r="AC105" s="67"/>
    </row>
    <row r="106" spans="1:68" x14ac:dyDescent="0.2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1"/>
      <c r="P106" s="297" t="s">
        <v>40</v>
      </c>
      <c r="Q106" s="298"/>
      <c r="R106" s="298"/>
      <c r="S106" s="298"/>
      <c r="T106" s="298"/>
      <c r="U106" s="298"/>
      <c r="V106" s="299"/>
      <c r="W106" s="42" t="s">
        <v>0</v>
      </c>
      <c r="X106" s="43">
        <f>IFERROR(SUMPRODUCT(X99:X104*H99:H104),"0")</f>
        <v>703.92</v>
      </c>
      <c r="Y106" s="43">
        <f>IFERROR(SUMPRODUCT(Y99:Y104*H99:H104),"0")</f>
        <v>703.92</v>
      </c>
      <c r="Z106" s="42"/>
      <c r="AA106" s="67"/>
      <c r="AB106" s="67"/>
      <c r="AC106" s="67"/>
    </row>
    <row r="107" spans="1:68" ht="16.5" hidden="1" customHeight="1" x14ac:dyDescent="0.25">
      <c r="A107" s="323" t="s">
        <v>199</v>
      </c>
      <c r="B107" s="323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23"/>
      <c r="Z107" s="323"/>
      <c r="AA107" s="65"/>
      <c r="AB107" s="65"/>
      <c r="AC107" s="82"/>
    </row>
    <row r="108" spans="1:68" ht="14.25" hidden="1" customHeight="1" x14ac:dyDescent="0.25">
      <c r="A108" s="311" t="s">
        <v>151</v>
      </c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66"/>
      <c r="AB108" s="66"/>
      <c r="AC108" s="83"/>
    </row>
    <row r="109" spans="1:68" ht="27" hidden="1" customHeight="1" x14ac:dyDescent="0.25">
      <c r="A109" s="63" t="s">
        <v>200</v>
      </c>
      <c r="B109" s="63" t="s">
        <v>201</v>
      </c>
      <c r="C109" s="36">
        <v>4301136070</v>
      </c>
      <c r="D109" s="293">
        <v>4607025784012</v>
      </c>
      <c r="E109" s="293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36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5"/>
      <c r="R109" s="295"/>
      <c r="S109" s="295"/>
      <c r="T109" s="296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203</v>
      </c>
      <c r="B110" s="63" t="s">
        <v>204</v>
      </c>
      <c r="C110" s="36">
        <v>4301136079</v>
      </c>
      <c r="D110" s="293">
        <v>4607025784319</v>
      </c>
      <c r="E110" s="293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88</v>
      </c>
      <c r="M110" s="38" t="s">
        <v>86</v>
      </c>
      <c r="N110" s="38"/>
      <c r="O110" s="37">
        <v>180</v>
      </c>
      <c r="P110" s="37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5"/>
      <c r="R110" s="295"/>
      <c r="S110" s="295"/>
      <c r="T110" s="296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89</v>
      </c>
      <c r="AK110" s="87">
        <v>1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idden="1" x14ac:dyDescent="0.2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1"/>
      <c r="P111" s="297" t="s">
        <v>40</v>
      </c>
      <c r="Q111" s="298"/>
      <c r="R111" s="298"/>
      <c r="S111" s="298"/>
      <c r="T111" s="298"/>
      <c r="U111" s="298"/>
      <c r="V111" s="299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idden="1" x14ac:dyDescent="0.2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1"/>
      <c r="P112" s="297" t="s">
        <v>40</v>
      </c>
      <c r="Q112" s="298"/>
      <c r="R112" s="298"/>
      <c r="S112" s="298"/>
      <c r="T112" s="298"/>
      <c r="U112" s="298"/>
      <c r="V112" s="299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23" t="s">
        <v>205</v>
      </c>
      <c r="B113" s="323"/>
      <c r="C113" s="323"/>
      <c r="D113" s="323"/>
      <c r="E113" s="323"/>
      <c r="F113" s="323"/>
      <c r="G113" s="323"/>
      <c r="H113" s="323"/>
      <c r="I113" s="323"/>
      <c r="J113" s="323"/>
      <c r="K113" s="323"/>
      <c r="L113" s="323"/>
      <c r="M113" s="323"/>
      <c r="N113" s="323"/>
      <c r="O113" s="323"/>
      <c r="P113" s="323"/>
      <c r="Q113" s="323"/>
      <c r="R113" s="323"/>
      <c r="S113" s="323"/>
      <c r="T113" s="323"/>
      <c r="U113" s="323"/>
      <c r="V113" s="323"/>
      <c r="W113" s="323"/>
      <c r="X113" s="323"/>
      <c r="Y113" s="323"/>
      <c r="Z113" s="323"/>
      <c r="AA113" s="65"/>
      <c r="AB113" s="65"/>
      <c r="AC113" s="82"/>
    </row>
    <row r="114" spans="1:68" ht="14.25" hidden="1" customHeight="1" x14ac:dyDescent="0.25">
      <c r="A114" s="311" t="s">
        <v>82</v>
      </c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66"/>
      <c r="AB114" s="66"/>
      <c r="AC114" s="83"/>
    </row>
    <row r="115" spans="1:68" ht="27" customHeight="1" x14ac:dyDescent="0.25">
      <c r="A115" s="63" t="s">
        <v>206</v>
      </c>
      <c r="B115" s="63" t="s">
        <v>207</v>
      </c>
      <c r="C115" s="36">
        <v>4301071074</v>
      </c>
      <c r="D115" s="293">
        <v>4620207491157</v>
      </c>
      <c r="E115" s="293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36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5"/>
      <c r="R115" s="295"/>
      <c r="S115" s="295"/>
      <c r="T115" s="296"/>
      <c r="U115" s="39" t="s">
        <v>46</v>
      </c>
      <c r="V115" s="39" t="s">
        <v>46</v>
      </c>
      <c r="W115" s="40" t="s">
        <v>39</v>
      </c>
      <c r="X115" s="58">
        <v>48</v>
      </c>
      <c r="Y115" s="55">
        <f t="shared" ref="Y115:Y122" si="12">IFERROR(IF(X115="","",X115),"")</f>
        <v>48</v>
      </c>
      <c r="Z115" s="41">
        <f t="shared" ref="Z115:Z122" si="13">IFERROR(IF(X115="","",X115*0.0155),"")</f>
        <v>0.74399999999999999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349.44</v>
      </c>
      <c r="BN115" s="81">
        <f t="shared" ref="BN115:BN122" si="15">IFERROR(Y115*I115,"0")</f>
        <v>349.44</v>
      </c>
      <c r="BO115" s="81">
        <f t="shared" ref="BO115:BO122" si="16">IFERROR(X115/J115,"0")</f>
        <v>0.5714285714285714</v>
      </c>
      <c r="BP115" s="81">
        <f t="shared" ref="BP115:BP122" si="17">IFERROR(Y115/J115,"0")</f>
        <v>0.5714285714285714</v>
      </c>
    </row>
    <row r="116" spans="1:68" ht="27" customHeight="1" x14ac:dyDescent="0.25">
      <c r="A116" s="63" t="s">
        <v>209</v>
      </c>
      <c r="B116" s="63" t="s">
        <v>210</v>
      </c>
      <c r="C116" s="36">
        <v>4301071121</v>
      </c>
      <c r="D116" s="293">
        <v>4620207491393</v>
      </c>
      <c r="E116" s="293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5"/>
      <c r="R116" s="295"/>
      <c r="S116" s="295"/>
      <c r="T116" s="296"/>
      <c r="U116" s="39" t="s">
        <v>46</v>
      </c>
      <c r="V116" s="39" t="s">
        <v>46</v>
      </c>
      <c r="W116" s="40" t="s">
        <v>39</v>
      </c>
      <c r="X116" s="58">
        <v>12</v>
      </c>
      <c r="Y116" s="55">
        <f t="shared" si="12"/>
        <v>12</v>
      </c>
      <c r="Z116" s="41">
        <f t="shared" si="13"/>
        <v>0.186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80.52</v>
      </c>
      <c r="BN116" s="81">
        <f t="shared" si="15"/>
        <v>80.52</v>
      </c>
      <c r="BO116" s="81">
        <f t="shared" si="16"/>
        <v>0.14285714285714285</v>
      </c>
      <c r="BP116" s="81">
        <f t="shared" si="17"/>
        <v>0.14285714285714285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293">
        <v>4607111039262</v>
      </c>
      <c r="E117" s="293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5"/>
      <c r="R117" s="295"/>
      <c r="S117" s="295"/>
      <c r="T117" s="296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293">
        <v>4607111039248</v>
      </c>
      <c r="E118" s="293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5"/>
      <c r="R118" s="295"/>
      <c r="S118" s="295"/>
      <c r="T118" s="296"/>
      <c r="U118" s="39" t="s">
        <v>46</v>
      </c>
      <c r="V118" s="39" t="s">
        <v>46</v>
      </c>
      <c r="W118" s="40" t="s">
        <v>39</v>
      </c>
      <c r="X118" s="58">
        <v>144</v>
      </c>
      <c r="Y118" s="55">
        <f t="shared" si="12"/>
        <v>144</v>
      </c>
      <c r="Z118" s="41">
        <f t="shared" si="13"/>
        <v>2.2320000000000002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1051.2</v>
      </c>
      <c r="BN118" s="81">
        <f t="shared" si="15"/>
        <v>1051.2</v>
      </c>
      <c r="BO118" s="81">
        <f t="shared" si="16"/>
        <v>1.7142857142857142</v>
      </c>
      <c r="BP118" s="81">
        <f t="shared" si="17"/>
        <v>1.7142857142857142</v>
      </c>
    </row>
    <row r="119" spans="1:68" ht="27" hidden="1" customHeight="1" x14ac:dyDescent="0.25">
      <c r="A119" s="63" t="s">
        <v>216</v>
      </c>
      <c r="B119" s="63" t="s">
        <v>217</v>
      </c>
      <c r="C119" s="36">
        <v>4301070979</v>
      </c>
      <c r="D119" s="293">
        <v>4607111037145</v>
      </c>
      <c r="E119" s="293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5"/>
      <c r="R119" s="295"/>
      <c r="S119" s="295"/>
      <c r="T119" s="296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293">
        <v>4620207491102</v>
      </c>
      <c r="E120" s="293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36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5"/>
      <c r="R120" s="295"/>
      <c r="S120" s="295"/>
      <c r="T120" s="296"/>
      <c r="U120" s="39" t="s">
        <v>46</v>
      </c>
      <c r="V120" s="39" t="s">
        <v>46</v>
      </c>
      <c r="W120" s="40" t="s">
        <v>39</v>
      </c>
      <c r="X120" s="58">
        <v>12</v>
      </c>
      <c r="Y120" s="55">
        <f t="shared" si="12"/>
        <v>12</v>
      </c>
      <c r="Z120" s="41">
        <f t="shared" si="13"/>
        <v>0.186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86.76</v>
      </c>
      <c r="BN120" s="81">
        <f t="shared" si="15"/>
        <v>86.76</v>
      </c>
      <c r="BO120" s="81">
        <f t="shared" si="16"/>
        <v>0.14285714285714285</v>
      </c>
      <c r="BP120" s="81">
        <f t="shared" si="17"/>
        <v>0.14285714285714285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293">
        <v>4607111039293</v>
      </c>
      <c r="E121" s="293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295"/>
      <c r="R121" s="295"/>
      <c r="S121" s="295"/>
      <c r="T121" s="296"/>
      <c r="U121" s="39" t="s">
        <v>46</v>
      </c>
      <c r="V121" s="39" t="s">
        <v>46</v>
      </c>
      <c r="W121" s="40" t="s">
        <v>39</v>
      </c>
      <c r="X121" s="58">
        <v>48</v>
      </c>
      <c r="Y121" s="55">
        <f t="shared" si="12"/>
        <v>48</v>
      </c>
      <c r="Z121" s="41">
        <f t="shared" si="13"/>
        <v>0.74399999999999999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322.54079999999999</v>
      </c>
      <c r="BN121" s="81">
        <f t="shared" si="15"/>
        <v>322.54079999999999</v>
      </c>
      <c r="BO121" s="81">
        <f t="shared" si="16"/>
        <v>0.5714285714285714</v>
      </c>
      <c r="BP121" s="81">
        <f t="shared" si="17"/>
        <v>0.5714285714285714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293">
        <v>4607111039279</v>
      </c>
      <c r="E122" s="293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3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295"/>
      <c r="R122" s="295"/>
      <c r="S122" s="295"/>
      <c r="T122" s="296"/>
      <c r="U122" s="39" t="s">
        <v>46</v>
      </c>
      <c r="V122" s="39" t="s">
        <v>46</v>
      </c>
      <c r="W122" s="40" t="s">
        <v>39</v>
      </c>
      <c r="X122" s="58">
        <v>324</v>
      </c>
      <c r="Y122" s="55">
        <f t="shared" si="12"/>
        <v>324</v>
      </c>
      <c r="Z122" s="41">
        <f t="shared" si="13"/>
        <v>5.0220000000000002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2365.1999999999998</v>
      </c>
      <c r="BN122" s="81">
        <f t="shared" si="15"/>
        <v>2365.1999999999998</v>
      </c>
      <c r="BO122" s="81">
        <f t="shared" si="16"/>
        <v>3.8571428571428572</v>
      </c>
      <c r="BP122" s="81">
        <f t="shared" si="17"/>
        <v>3.8571428571428572</v>
      </c>
    </row>
    <row r="123" spans="1:68" x14ac:dyDescent="0.2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1"/>
      <c r="P123" s="297" t="s">
        <v>40</v>
      </c>
      <c r="Q123" s="298"/>
      <c r="R123" s="298"/>
      <c r="S123" s="298"/>
      <c r="T123" s="298"/>
      <c r="U123" s="298"/>
      <c r="V123" s="299"/>
      <c r="W123" s="42" t="s">
        <v>39</v>
      </c>
      <c r="X123" s="43">
        <f>IFERROR(SUM(X115:X122),"0")</f>
        <v>624</v>
      </c>
      <c r="Y123" s="43">
        <f>IFERROR(SUM(Y115:Y122),"0")</f>
        <v>624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9.6720000000000006</v>
      </c>
      <c r="AA123" s="67"/>
      <c r="AB123" s="67"/>
      <c r="AC123" s="67"/>
    </row>
    <row r="124" spans="1:68" x14ac:dyDescent="0.2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1"/>
      <c r="P124" s="297" t="s">
        <v>40</v>
      </c>
      <c r="Q124" s="298"/>
      <c r="R124" s="298"/>
      <c r="S124" s="298"/>
      <c r="T124" s="298"/>
      <c r="U124" s="298"/>
      <c r="V124" s="299"/>
      <c r="W124" s="42" t="s">
        <v>0</v>
      </c>
      <c r="X124" s="43">
        <f>IFERROR(SUMPRODUCT(X115:X122*H115:H122),"0")</f>
        <v>4310.3999999999996</v>
      </c>
      <c r="Y124" s="43">
        <f>IFERROR(SUMPRODUCT(Y115:Y122*H115:H122),"0")</f>
        <v>4310.3999999999996</v>
      </c>
      <c r="Z124" s="42"/>
      <c r="AA124" s="67"/>
      <c r="AB124" s="67"/>
      <c r="AC124" s="67"/>
    </row>
    <row r="125" spans="1:68" ht="14.25" hidden="1" customHeight="1" x14ac:dyDescent="0.25">
      <c r="A125" s="311" t="s">
        <v>157</v>
      </c>
      <c r="B125" s="311"/>
      <c r="C125" s="311"/>
      <c r="D125" s="311"/>
      <c r="E125" s="311"/>
      <c r="F125" s="311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66"/>
      <c r="AB125" s="66"/>
      <c r="AC125" s="83"/>
    </row>
    <row r="126" spans="1:68" ht="27" hidden="1" customHeight="1" x14ac:dyDescent="0.25">
      <c r="A126" s="63" t="s">
        <v>226</v>
      </c>
      <c r="B126" s="63" t="s">
        <v>227</v>
      </c>
      <c r="C126" s="36">
        <v>4301135826</v>
      </c>
      <c r="D126" s="293">
        <v>4620207490983</v>
      </c>
      <c r="E126" s="293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95"/>
      <c r="R126" s="295"/>
      <c r="S126" s="295"/>
      <c r="T126" s="296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1"/>
      <c r="P127" s="297" t="s">
        <v>40</v>
      </c>
      <c r="Q127" s="298"/>
      <c r="R127" s="298"/>
      <c r="S127" s="298"/>
      <c r="T127" s="298"/>
      <c r="U127" s="298"/>
      <c r="V127" s="299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1"/>
      <c r="P128" s="297" t="s">
        <v>40</v>
      </c>
      <c r="Q128" s="298"/>
      <c r="R128" s="298"/>
      <c r="S128" s="298"/>
      <c r="T128" s="298"/>
      <c r="U128" s="298"/>
      <c r="V128" s="299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11" t="s">
        <v>229</v>
      </c>
      <c r="B129" s="311"/>
      <c r="C129" s="311"/>
      <c r="D129" s="311"/>
      <c r="E129" s="311"/>
      <c r="F129" s="311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4301071094</v>
      </c>
      <c r="D130" s="293">
        <v>4620207491140</v>
      </c>
      <c r="E130" s="293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36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95"/>
      <c r="R130" s="295"/>
      <c r="S130" s="295"/>
      <c r="T130" s="296"/>
      <c r="U130" s="39" t="s">
        <v>46</v>
      </c>
      <c r="V130" s="39" t="s">
        <v>46</v>
      </c>
      <c r="W130" s="40" t="s">
        <v>39</v>
      </c>
      <c r="X130" s="58">
        <v>12</v>
      </c>
      <c r="Y130" s="55">
        <f>IFERROR(IF(X130="","",X130),"")</f>
        <v>12</v>
      </c>
      <c r="Z130" s="41">
        <f>IFERROR(IF(X130="","",X130*0.0155),"")</f>
        <v>0.186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75.36</v>
      </c>
      <c r="BN130" s="81">
        <f>IFERROR(Y130*I130,"0")</f>
        <v>75.36</v>
      </c>
      <c r="BO130" s="81">
        <f>IFERROR(X130/J130,"0")</f>
        <v>0.14285714285714285</v>
      </c>
      <c r="BP130" s="81">
        <f>IFERROR(Y130/J130,"0")</f>
        <v>0.14285714285714285</v>
      </c>
    </row>
    <row r="131" spans="1:68" x14ac:dyDescent="0.2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1"/>
      <c r="P131" s="297" t="s">
        <v>40</v>
      </c>
      <c r="Q131" s="298"/>
      <c r="R131" s="298"/>
      <c r="S131" s="298"/>
      <c r="T131" s="298"/>
      <c r="U131" s="298"/>
      <c r="V131" s="299"/>
      <c r="W131" s="42" t="s">
        <v>39</v>
      </c>
      <c r="X131" s="43">
        <f>IFERROR(SUM(X130:X130),"0")</f>
        <v>12</v>
      </c>
      <c r="Y131" s="43">
        <f>IFERROR(SUM(Y130:Y130),"0")</f>
        <v>12</v>
      </c>
      <c r="Z131" s="43">
        <f>IFERROR(IF(Z130="",0,Z130),"0")</f>
        <v>0.186</v>
      </c>
      <c r="AA131" s="67"/>
      <c r="AB131" s="67"/>
      <c r="AC131" s="67"/>
    </row>
    <row r="132" spans="1:68" x14ac:dyDescent="0.2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1"/>
      <c r="P132" s="297" t="s">
        <v>40</v>
      </c>
      <c r="Q132" s="298"/>
      <c r="R132" s="298"/>
      <c r="S132" s="298"/>
      <c r="T132" s="298"/>
      <c r="U132" s="298"/>
      <c r="V132" s="299"/>
      <c r="W132" s="42" t="s">
        <v>0</v>
      </c>
      <c r="X132" s="43">
        <f>IFERROR(SUMPRODUCT(X130:X130*H130:H130),"0")</f>
        <v>72</v>
      </c>
      <c r="Y132" s="43">
        <f>IFERROR(SUMPRODUCT(Y130:Y130*H130:H130),"0")</f>
        <v>72</v>
      </c>
      <c r="Z132" s="42"/>
      <c r="AA132" s="67"/>
      <c r="AB132" s="67"/>
      <c r="AC132" s="67"/>
    </row>
    <row r="133" spans="1:68" ht="16.5" hidden="1" customHeight="1" x14ac:dyDescent="0.25">
      <c r="A133" s="323" t="s">
        <v>233</v>
      </c>
      <c r="B133" s="323"/>
      <c r="C133" s="323"/>
      <c r="D133" s="323"/>
      <c r="E133" s="323"/>
      <c r="F133" s="323"/>
      <c r="G133" s="323"/>
      <c r="H133" s="323"/>
      <c r="I133" s="323"/>
      <c r="J133" s="323"/>
      <c r="K133" s="323"/>
      <c r="L133" s="323"/>
      <c r="M133" s="323"/>
      <c r="N133" s="323"/>
      <c r="O133" s="323"/>
      <c r="P133" s="323"/>
      <c r="Q133" s="323"/>
      <c r="R133" s="323"/>
      <c r="S133" s="323"/>
      <c r="T133" s="323"/>
      <c r="U133" s="323"/>
      <c r="V133" s="323"/>
      <c r="W133" s="323"/>
      <c r="X133" s="323"/>
      <c r="Y133" s="323"/>
      <c r="Z133" s="323"/>
      <c r="AA133" s="65"/>
      <c r="AB133" s="65"/>
      <c r="AC133" s="82"/>
    </row>
    <row r="134" spans="1:68" ht="14.25" hidden="1" customHeight="1" x14ac:dyDescent="0.25">
      <c r="A134" s="311" t="s">
        <v>157</v>
      </c>
      <c r="B134" s="311"/>
      <c r="C134" s="311"/>
      <c r="D134" s="311"/>
      <c r="E134" s="311"/>
      <c r="F134" s="311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66"/>
      <c r="AB134" s="66"/>
      <c r="AC134" s="83"/>
    </row>
    <row r="135" spans="1:68" ht="27" hidden="1" customHeight="1" x14ac:dyDescent="0.25">
      <c r="A135" s="63" t="s">
        <v>234</v>
      </c>
      <c r="B135" s="63" t="s">
        <v>235</v>
      </c>
      <c r="C135" s="36">
        <v>4301135848</v>
      </c>
      <c r="D135" s="293">
        <v>4620207491799</v>
      </c>
      <c r="E135" s="293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35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5" s="295"/>
      <c r="R135" s="295"/>
      <c r="S135" s="295"/>
      <c r="T135" s="296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237</v>
      </c>
      <c r="B136" s="63" t="s">
        <v>238</v>
      </c>
      <c r="C136" s="36">
        <v>4301135850</v>
      </c>
      <c r="D136" s="293">
        <v>4620207491492</v>
      </c>
      <c r="E136" s="293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35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6" s="295"/>
      <c r="R136" s="295"/>
      <c r="S136" s="295"/>
      <c r="T136" s="296"/>
      <c r="U136" s="39" t="s">
        <v>46</v>
      </c>
      <c r="V136" s="39" t="s">
        <v>46</v>
      </c>
      <c r="W136" s="40" t="s">
        <v>39</v>
      </c>
      <c r="X136" s="58">
        <v>28</v>
      </c>
      <c r="Y136" s="55">
        <f>IFERROR(IF(X136="","",X136),"")</f>
        <v>28</v>
      </c>
      <c r="Z136" s="41">
        <f>IFERROR(IF(X136="","",X136*0.00941),"")</f>
        <v>0.26347999999999999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50.4</v>
      </c>
      <c r="BN136" s="81">
        <f>IFERROR(Y136*I136,"0")</f>
        <v>50.4</v>
      </c>
      <c r="BO136" s="81">
        <f>IFERROR(X136/J136,"0")</f>
        <v>0.2</v>
      </c>
      <c r="BP136" s="81">
        <f>IFERROR(Y136/J136,"0")</f>
        <v>0.2</v>
      </c>
    </row>
    <row r="137" spans="1:68" ht="27" customHeight="1" x14ac:dyDescent="0.25">
      <c r="A137" s="63" t="s">
        <v>239</v>
      </c>
      <c r="B137" s="63" t="s">
        <v>240</v>
      </c>
      <c r="C137" s="36">
        <v>4301190118</v>
      </c>
      <c r="D137" s="293">
        <v>4620207491461</v>
      </c>
      <c r="E137" s="293"/>
      <c r="F137" s="62">
        <v>0.22</v>
      </c>
      <c r="G137" s="37">
        <v>6</v>
      </c>
      <c r="H137" s="62">
        <v>1.32</v>
      </c>
      <c r="I137" s="62">
        <v>1.74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35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7" s="295"/>
      <c r="R137" s="295"/>
      <c r="S137" s="295"/>
      <c r="T137" s="296"/>
      <c r="U137" s="39" t="s">
        <v>46</v>
      </c>
      <c r="V137" s="39" t="s">
        <v>46</v>
      </c>
      <c r="W137" s="40" t="s">
        <v>39</v>
      </c>
      <c r="X137" s="58">
        <v>42</v>
      </c>
      <c r="Y137" s="55">
        <f>IFERROR(IF(X137="","",X137),"")</f>
        <v>42</v>
      </c>
      <c r="Z137" s="41">
        <f>IFERROR(IF(X137="","",X137*0.00941),"")</f>
        <v>0.39522000000000002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73.08</v>
      </c>
      <c r="BN137" s="81">
        <f>IFERROR(Y137*I137,"0")</f>
        <v>73.08</v>
      </c>
      <c r="BO137" s="81">
        <f>IFERROR(X137/J137,"0")</f>
        <v>0.3</v>
      </c>
      <c r="BP137" s="81">
        <f>IFERROR(Y137/J137,"0")</f>
        <v>0.3</v>
      </c>
    </row>
    <row r="138" spans="1:68" ht="27" customHeight="1" x14ac:dyDescent="0.25">
      <c r="A138" s="63" t="s">
        <v>241</v>
      </c>
      <c r="B138" s="63" t="s">
        <v>242</v>
      </c>
      <c r="C138" s="36">
        <v>4301135865</v>
      </c>
      <c r="D138" s="293">
        <v>4620207491485</v>
      </c>
      <c r="E138" s="293"/>
      <c r="F138" s="62">
        <v>0.23</v>
      </c>
      <c r="G138" s="37">
        <v>6</v>
      </c>
      <c r="H138" s="62">
        <v>1.38</v>
      </c>
      <c r="I138" s="62">
        <v>1.8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5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8" s="295"/>
      <c r="R138" s="295"/>
      <c r="S138" s="295"/>
      <c r="T138" s="296"/>
      <c r="U138" s="39" t="s">
        <v>46</v>
      </c>
      <c r="V138" s="39" t="s">
        <v>46</v>
      </c>
      <c r="W138" s="40" t="s">
        <v>39</v>
      </c>
      <c r="X138" s="58">
        <v>70</v>
      </c>
      <c r="Y138" s="55">
        <f>IFERROR(IF(X138="","",X138),"")</f>
        <v>70</v>
      </c>
      <c r="Z138" s="41">
        <f>IFERROR(IF(X138="","",X138*0.00941),"")</f>
        <v>0.65869999999999995</v>
      </c>
      <c r="AA138" s="68" t="s">
        <v>46</v>
      </c>
      <c r="AB138" s="69" t="s">
        <v>46</v>
      </c>
      <c r="AC138" s="193" t="s">
        <v>236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126</v>
      </c>
      <c r="BN138" s="81">
        <f>IFERROR(Y138*I138,"0")</f>
        <v>126</v>
      </c>
      <c r="BO138" s="81">
        <f>IFERROR(X138/J138,"0")</f>
        <v>0.5</v>
      </c>
      <c r="BP138" s="81">
        <f>IFERROR(Y138/J138,"0")</f>
        <v>0.5</v>
      </c>
    </row>
    <row r="139" spans="1:68" x14ac:dyDescent="0.2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1"/>
      <c r="P139" s="297" t="s">
        <v>40</v>
      </c>
      <c r="Q139" s="298"/>
      <c r="R139" s="298"/>
      <c r="S139" s="298"/>
      <c r="T139" s="298"/>
      <c r="U139" s="298"/>
      <c r="V139" s="299"/>
      <c r="W139" s="42" t="s">
        <v>39</v>
      </c>
      <c r="X139" s="43">
        <f>IFERROR(SUM(X135:X138),"0")</f>
        <v>140</v>
      </c>
      <c r="Y139" s="43">
        <f>IFERROR(SUM(Y135:Y138),"0")</f>
        <v>140</v>
      </c>
      <c r="Z139" s="43">
        <f>IFERROR(IF(Z135="",0,Z135),"0")+IFERROR(IF(Z136="",0,Z136),"0")+IFERROR(IF(Z137="",0,Z137),"0")+IFERROR(IF(Z138="",0,Z138),"0")</f>
        <v>1.3174000000000001</v>
      </c>
      <c r="AA139" s="67"/>
      <c r="AB139" s="67"/>
      <c r="AC139" s="67"/>
    </row>
    <row r="140" spans="1:68" x14ac:dyDescent="0.2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1"/>
      <c r="P140" s="297" t="s">
        <v>40</v>
      </c>
      <c r="Q140" s="298"/>
      <c r="R140" s="298"/>
      <c r="S140" s="298"/>
      <c r="T140" s="298"/>
      <c r="U140" s="298"/>
      <c r="V140" s="299"/>
      <c r="W140" s="42" t="s">
        <v>0</v>
      </c>
      <c r="X140" s="43">
        <f>IFERROR(SUMPRODUCT(X135:X138*H135:H138),"0")</f>
        <v>190.68</v>
      </c>
      <c r="Y140" s="43">
        <f>IFERROR(SUMPRODUCT(Y135:Y138*H135:H138),"0")</f>
        <v>190.68</v>
      </c>
      <c r="Z140" s="42"/>
      <c r="AA140" s="67"/>
      <c r="AB140" s="67"/>
      <c r="AC140" s="67"/>
    </row>
    <row r="141" spans="1:68" ht="14.25" hidden="1" customHeight="1" x14ac:dyDescent="0.25">
      <c r="A141" s="311" t="s">
        <v>243</v>
      </c>
      <c r="B141" s="311"/>
      <c r="C141" s="311"/>
      <c r="D141" s="311"/>
      <c r="E141" s="311"/>
      <c r="F141" s="311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66"/>
      <c r="AB141" s="66"/>
      <c r="AC141" s="83"/>
    </row>
    <row r="142" spans="1:68" ht="27" hidden="1" customHeight="1" x14ac:dyDescent="0.25">
      <c r="A142" s="63" t="s">
        <v>244</v>
      </c>
      <c r="B142" s="63" t="s">
        <v>245</v>
      </c>
      <c r="C142" s="36">
        <v>4301190117</v>
      </c>
      <c r="D142" s="293">
        <v>4620207491386</v>
      </c>
      <c r="E142" s="293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35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2" s="295"/>
      <c r="R142" s="295"/>
      <c r="S142" s="295"/>
      <c r="T142" s="296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247</v>
      </c>
      <c r="B143" s="63" t="s">
        <v>248</v>
      </c>
      <c r="C143" s="36">
        <v>4301190115</v>
      </c>
      <c r="D143" s="293">
        <v>4620207491362</v>
      </c>
      <c r="E143" s="293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3" s="295"/>
      <c r="R143" s="295"/>
      <c r="S143" s="295"/>
      <c r="T143" s="296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hidden="1" customHeight="1" x14ac:dyDescent="0.25">
      <c r="A144" s="63" t="s">
        <v>249</v>
      </c>
      <c r="B144" s="63" t="s">
        <v>250</v>
      </c>
      <c r="C144" s="36">
        <v>4301190116</v>
      </c>
      <c r="D144" s="293">
        <v>4620207491379</v>
      </c>
      <c r="E144" s="293"/>
      <c r="F144" s="62">
        <v>0.18</v>
      </c>
      <c r="G144" s="37">
        <v>6</v>
      </c>
      <c r="H144" s="62">
        <v>1.08</v>
      </c>
      <c r="I144" s="62">
        <v>1.3979999999999999</v>
      </c>
      <c r="J144" s="37">
        <v>140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35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4" s="295"/>
      <c r="R144" s="295"/>
      <c r="S144" s="295"/>
      <c r="T144" s="296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IFERROR(IF(X144="","",X144*0.00941),"")</f>
        <v>0</v>
      </c>
      <c r="AA144" s="68" t="s">
        <v>46</v>
      </c>
      <c r="AB144" s="69" t="s">
        <v>46</v>
      </c>
      <c r="AC144" s="199" t="s">
        <v>246</v>
      </c>
      <c r="AG144" s="81"/>
      <c r="AJ144" s="87" t="s">
        <v>89</v>
      </c>
      <c r="AK144" s="87">
        <v>1</v>
      </c>
      <c r="BB144" s="200" t="s">
        <v>117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idden="1" x14ac:dyDescent="0.2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1"/>
      <c r="P145" s="297" t="s">
        <v>40</v>
      </c>
      <c r="Q145" s="298"/>
      <c r="R145" s="298"/>
      <c r="S145" s="298"/>
      <c r="T145" s="298"/>
      <c r="U145" s="298"/>
      <c r="V145" s="299"/>
      <c r="W145" s="42" t="s">
        <v>39</v>
      </c>
      <c r="X145" s="43">
        <f>IFERROR(SUM(X142:X144),"0")</f>
        <v>0</v>
      </c>
      <c r="Y145" s="43">
        <f>IFERROR(SUM(Y142:Y144),"0")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300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1"/>
      <c r="P146" s="297" t="s">
        <v>40</v>
      </c>
      <c r="Q146" s="298"/>
      <c r="R146" s="298"/>
      <c r="S146" s="298"/>
      <c r="T146" s="298"/>
      <c r="U146" s="298"/>
      <c r="V146" s="299"/>
      <c r="W146" s="42" t="s">
        <v>0</v>
      </c>
      <c r="X146" s="43">
        <f>IFERROR(SUMPRODUCT(X142:X144*H142:H144),"0")</f>
        <v>0</v>
      </c>
      <c r="Y146" s="43">
        <f>IFERROR(SUMPRODUCT(Y142:Y144*H142:H144),"0")</f>
        <v>0</v>
      </c>
      <c r="Z146" s="42"/>
      <c r="AA146" s="67"/>
      <c r="AB146" s="67"/>
      <c r="AC146" s="67"/>
    </row>
    <row r="147" spans="1:68" ht="16.5" hidden="1" customHeight="1" x14ac:dyDescent="0.25">
      <c r="A147" s="323" t="s">
        <v>251</v>
      </c>
      <c r="B147" s="323"/>
      <c r="C147" s="323"/>
      <c r="D147" s="323"/>
      <c r="E147" s="323"/>
      <c r="F147" s="323"/>
      <c r="G147" s="323"/>
      <c r="H147" s="323"/>
      <c r="I147" s="323"/>
      <c r="J147" s="323"/>
      <c r="K147" s="323"/>
      <c r="L147" s="323"/>
      <c r="M147" s="323"/>
      <c r="N147" s="323"/>
      <c r="O147" s="323"/>
      <c r="P147" s="323"/>
      <c r="Q147" s="323"/>
      <c r="R147" s="323"/>
      <c r="S147" s="323"/>
      <c r="T147" s="323"/>
      <c r="U147" s="323"/>
      <c r="V147" s="323"/>
      <c r="W147" s="323"/>
      <c r="X147" s="323"/>
      <c r="Y147" s="323"/>
      <c r="Z147" s="323"/>
      <c r="AA147" s="65"/>
      <c r="AB147" s="65"/>
      <c r="AC147" s="82"/>
    </row>
    <row r="148" spans="1:68" ht="14.25" hidden="1" customHeight="1" x14ac:dyDescent="0.25">
      <c r="A148" s="311" t="s">
        <v>157</v>
      </c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4301135555</v>
      </c>
      <c r="D149" s="293">
        <v>4607111034014</v>
      </c>
      <c r="E149" s="293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3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9" s="295"/>
      <c r="R149" s="295"/>
      <c r="S149" s="295"/>
      <c r="T149" s="296"/>
      <c r="U149" s="39" t="s">
        <v>46</v>
      </c>
      <c r="V149" s="39" t="s">
        <v>46</v>
      </c>
      <c r="W149" s="40" t="s">
        <v>39</v>
      </c>
      <c r="X149" s="58">
        <v>126</v>
      </c>
      <c r="Y149" s="55">
        <f>IFERROR(IF(X149="","",X149),"")</f>
        <v>126</v>
      </c>
      <c r="Z149" s="41">
        <f>IFERROR(IF(X149="","",X149*0.01788),"")</f>
        <v>2.2528800000000002</v>
      </c>
      <c r="AA149" s="68" t="s">
        <v>46</v>
      </c>
      <c r="AB149" s="69" t="s">
        <v>46</v>
      </c>
      <c r="AC149" s="201" t="s">
        <v>254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466.65359999999998</v>
      </c>
      <c r="BN149" s="81">
        <f>IFERROR(Y149*I149,"0")</f>
        <v>466.65359999999998</v>
      </c>
      <c r="BO149" s="81">
        <f>IFERROR(X149/J149,"0")</f>
        <v>1.8</v>
      </c>
      <c r="BP149" s="81">
        <f>IFERROR(Y149/J149,"0")</f>
        <v>1.8</v>
      </c>
    </row>
    <row r="150" spans="1:68" ht="27" customHeight="1" x14ac:dyDescent="0.25">
      <c r="A150" s="63" t="s">
        <v>255</v>
      </c>
      <c r="B150" s="63" t="s">
        <v>256</v>
      </c>
      <c r="C150" s="36">
        <v>4301135532</v>
      </c>
      <c r="D150" s="293">
        <v>4607111033994</v>
      </c>
      <c r="E150" s="293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119</v>
      </c>
      <c r="M150" s="38" t="s">
        <v>86</v>
      </c>
      <c r="N150" s="38"/>
      <c r="O150" s="37">
        <v>180</v>
      </c>
      <c r="P150" s="3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50" s="295"/>
      <c r="R150" s="295"/>
      <c r="S150" s="295"/>
      <c r="T150" s="296"/>
      <c r="U150" s="39" t="s">
        <v>46</v>
      </c>
      <c r="V150" s="39" t="s">
        <v>46</v>
      </c>
      <c r="W150" s="40" t="s">
        <v>39</v>
      </c>
      <c r="X150" s="58">
        <v>154</v>
      </c>
      <c r="Y150" s="55">
        <f>IFERROR(IF(X150="","",X150),"")</f>
        <v>154</v>
      </c>
      <c r="Z150" s="41">
        <f>IFERROR(IF(X150="","",X150*0.01788),"")</f>
        <v>2.75352</v>
      </c>
      <c r="AA150" s="68" t="s">
        <v>46</v>
      </c>
      <c r="AB150" s="69" t="s">
        <v>46</v>
      </c>
      <c r="AC150" s="203" t="s">
        <v>175</v>
      </c>
      <c r="AG150" s="81"/>
      <c r="AJ150" s="87" t="s">
        <v>120</v>
      </c>
      <c r="AK150" s="87">
        <v>14</v>
      </c>
      <c r="BB150" s="204" t="s">
        <v>117</v>
      </c>
      <c r="BM150" s="81">
        <f>IFERROR(X150*I150,"0")</f>
        <v>570.35439999999994</v>
      </c>
      <c r="BN150" s="81">
        <f>IFERROR(Y150*I150,"0")</f>
        <v>570.35439999999994</v>
      </c>
      <c r="BO150" s="81">
        <f>IFERROR(X150/J150,"0")</f>
        <v>2.2000000000000002</v>
      </c>
      <c r="BP150" s="81">
        <f>IFERROR(Y150/J150,"0")</f>
        <v>2.2000000000000002</v>
      </c>
    </row>
    <row r="151" spans="1:68" x14ac:dyDescent="0.2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1"/>
      <c r="P151" s="297" t="s">
        <v>40</v>
      </c>
      <c r="Q151" s="298"/>
      <c r="R151" s="298"/>
      <c r="S151" s="298"/>
      <c r="T151" s="298"/>
      <c r="U151" s="298"/>
      <c r="V151" s="299"/>
      <c r="W151" s="42" t="s">
        <v>39</v>
      </c>
      <c r="X151" s="43">
        <f>IFERROR(SUM(X149:X150),"0")</f>
        <v>280</v>
      </c>
      <c r="Y151" s="43">
        <f>IFERROR(SUM(Y149:Y150),"0")</f>
        <v>280</v>
      </c>
      <c r="Z151" s="43">
        <f>IFERROR(IF(Z149="",0,Z149),"0")+IFERROR(IF(Z150="",0,Z150),"0")</f>
        <v>5.0064000000000002</v>
      </c>
      <c r="AA151" s="67"/>
      <c r="AB151" s="67"/>
      <c r="AC151" s="67"/>
    </row>
    <row r="152" spans="1:68" x14ac:dyDescent="0.2">
      <c r="A152" s="300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1"/>
      <c r="P152" s="297" t="s">
        <v>40</v>
      </c>
      <c r="Q152" s="298"/>
      <c r="R152" s="298"/>
      <c r="S152" s="298"/>
      <c r="T152" s="298"/>
      <c r="U152" s="298"/>
      <c r="V152" s="299"/>
      <c r="W152" s="42" t="s">
        <v>0</v>
      </c>
      <c r="X152" s="43">
        <f>IFERROR(SUMPRODUCT(X149:X150*H149:H150),"0")</f>
        <v>840</v>
      </c>
      <c r="Y152" s="43">
        <f>IFERROR(SUMPRODUCT(Y149:Y150*H149:H150),"0")</f>
        <v>840</v>
      </c>
      <c r="Z152" s="42"/>
      <c r="AA152" s="67"/>
      <c r="AB152" s="67"/>
      <c r="AC152" s="67"/>
    </row>
    <row r="153" spans="1:68" ht="16.5" hidden="1" customHeight="1" x14ac:dyDescent="0.25">
      <c r="A153" s="323" t="s">
        <v>257</v>
      </c>
      <c r="B153" s="323"/>
      <c r="C153" s="323"/>
      <c r="D153" s="323"/>
      <c r="E153" s="323"/>
      <c r="F153" s="323"/>
      <c r="G153" s="323"/>
      <c r="H153" s="323"/>
      <c r="I153" s="323"/>
      <c r="J153" s="323"/>
      <c r="K153" s="323"/>
      <c r="L153" s="323"/>
      <c r="M153" s="323"/>
      <c r="N153" s="323"/>
      <c r="O153" s="323"/>
      <c r="P153" s="323"/>
      <c r="Q153" s="323"/>
      <c r="R153" s="323"/>
      <c r="S153" s="323"/>
      <c r="T153" s="323"/>
      <c r="U153" s="323"/>
      <c r="V153" s="323"/>
      <c r="W153" s="323"/>
      <c r="X153" s="323"/>
      <c r="Y153" s="323"/>
      <c r="Z153" s="323"/>
      <c r="AA153" s="65"/>
      <c r="AB153" s="65"/>
      <c r="AC153" s="82"/>
    </row>
    <row r="154" spans="1:68" ht="14.25" hidden="1" customHeight="1" x14ac:dyDescent="0.25">
      <c r="A154" s="311" t="s">
        <v>157</v>
      </c>
      <c r="B154" s="311"/>
      <c r="C154" s="311"/>
      <c r="D154" s="311"/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66"/>
      <c r="AB154" s="66"/>
      <c r="AC154" s="83"/>
    </row>
    <row r="155" spans="1:68" ht="27" hidden="1" customHeight="1" x14ac:dyDescent="0.25">
      <c r="A155" s="63" t="s">
        <v>258</v>
      </c>
      <c r="B155" s="63" t="s">
        <v>259</v>
      </c>
      <c r="C155" s="36">
        <v>4301135824</v>
      </c>
      <c r="D155" s="293">
        <v>4607111039095</v>
      </c>
      <c r="E155" s="293"/>
      <c r="F155" s="62">
        <v>0.25</v>
      </c>
      <c r="G155" s="37">
        <v>12</v>
      </c>
      <c r="H155" s="62">
        <v>3</v>
      </c>
      <c r="I155" s="62">
        <v>3.7480000000000002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34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5" s="295"/>
      <c r="R155" s="295"/>
      <c r="S155" s="295"/>
      <c r="T155" s="296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16.5" customHeight="1" x14ac:dyDescent="0.25">
      <c r="A156" s="63" t="s">
        <v>261</v>
      </c>
      <c r="B156" s="63" t="s">
        <v>262</v>
      </c>
      <c r="C156" s="36">
        <v>4301135550</v>
      </c>
      <c r="D156" s="293">
        <v>4607111034199</v>
      </c>
      <c r="E156" s="293"/>
      <c r="F156" s="62">
        <v>0.25</v>
      </c>
      <c r="G156" s="37">
        <v>12</v>
      </c>
      <c r="H156" s="62">
        <v>3</v>
      </c>
      <c r="I156" s="62">
        <v>3.7035999999999998</v>
      </c>
      <c r="J156" s="37">
        <v>70</v>
      </c>
      <c r="K156" s="37" t="s">
        <v>118</v>
      </c>
      <c r="L156" s="37" t="s">
        <v>119</v>
      </c>
      <c r="M156" s="38" t="s">
        <v>86</v>
      </c>
      <c r="N156" s="38"/>
      <c r="O156" s="37">
        <v>180</v>
      </c>
      <c r="P156" s="34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6" s="295"/>
      <c r="R156" s="295"/>
      <c r="S156" s="295"/>
      <c r="T156" s="296"/>
      <c r="U156" s="39" t="s">
        <v>46</v>
      </c>
      <c r="V156" s="39" t="s">
        <v>46</v>
      </c>
      <c r="W156" s="40" t="s">
        <v>39</v>
      </c>
      <c r="X156" s="58">
        <v>70</v>
      </c>
      <c r="Y156" s="55">
        <f>IFERROR(IF(X156="","",X156),"")</f>
        <v>70</v>
      </c>
      <c r="Z156" s="41">
        <f>IFERROR(IF(X156="","",X156*0.01788),"")</f>
        <v>1.2516</v>
      </c>
      <c r="AA156" s="68" t="s">
        <v>46</v>
      </c>
      <c r="AB156" s="69" t="s">
        <v>46</v>
      </c>
      <c r="AC156" s="207" t="s">
        <v>263</v>
      </c>
      <c r="AG156" s="81"/>
      <c r="AJ156" s="87" t="s">
        <v>120</v>
      </c>
      <c r="AK156" s="87">
        <v>14</v>
      </c>
      <c r="BB156" s="208" t="s">
        <v>117</v>
      </c>
      <c r="BM156" s="81">
        <f>IFERROR(X156*I156,"0")</f>
        <v>259.25200000000001</v>
      </c>
      <c r="BN156" s="81">
        <f>IFERROR(Y156*I156,"0")</f>
        <v>259.25200000000001</v>
      </c>
      <c r="BO156" s="81">
        <f>IFERROR(X156/J156,"0")</f>
        <v>1</v>
      </c>
      <c r="BP156" s="81">
        <f>IFERROR(Y156/J156,"0")</f>
        <v>1</v>
      </c>
    </row>
    <row r="157" spans="1:68" x14ac:dyDescent="0.2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1"/>
      <c r="P157" s="297" t="s">
        <v>40</v>
      </c>
      <c r="Q157" s="298"/>
      <c r="R157" s="298"/>
      <c r="S157" s="298"/>
      <c r="T157" s="298"/>
      <c r="U157" s="298"/>
      <c r="V157" s="299"/>
      <c r="W157" s="42" t="s">
        <v>39</v>
      </c>
      <c r="X157" s="43">
        <f>IFERROR(SUM(X155:X156),"0")</f>
        <v>70</v>
      </c>
      <c r="Y157" s="43">
        <f>IFERROR(SUM(Y155:Y156),"0")</f>
        <v>70</v>
      </c>
      <c r="Z157" s="43">
        <f>IFERROR(IF(Z155="",0,Z155),"0")+IFERROR(IF(Z156="",0,Z156),"0")</f>
        <v>1.2516</v>
      </c>
      <c r="AA157" s="67"/>
      <c r="AB157" s="67"/>
      <c r="AC157" s="67"/>
    </row>
    <row r="158" spans="1:68" x14ac:dyDescent="0.2">
      <c r="A158" s="300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1"/>
      <c r="P158" s="297" t="s">
        <v>40</v>
      </c>
      <c r="Q158" s="298"/>
      <c r="R158" s="298"/>
      <c r="S158" s="298"/>
      <c r="T158" s="298"/>
      <c r="U158" s="298"/>
      <c r="V158" s="299"/>
      <c r="W158" s="42" t="s">
        <v>0</v>
      </c>
      <c r="X158" s="43">
        <f>IFERROR(SUMPRODUCT(X155:X156*H155:H156),"0")</f>
        <v>210</v>
      </c>
      <c r="Y158" s="43">
        <f>IFERROR(SUMPRODUCT(Y155:Y156*H155:H156),"0")</f>
        <v>210</v>
      </c>
      <c r="Z158" s="42"/>
      <c r="AA158" s="67"/>
      <c r="AB158" s="67"/>
      <c r="AC158" s="67"/>
    </row>
    <row r="159" spans="1:68" ht="16.5" hidden="1" customHeight="1" x14ac:dyDescent="0.25">
      <c r="A159" s="323" t="s">
        <v>264</v>
      </c>
      <c r="B159" s="323"/>
      <c r="C159" s="323"/>
      <c r="D159" s="323"/>
      <c r="E159" s="323"/>
      <c r="F159" s="323"/>
      <c r="G159" s="323"/>
      <c r="H159" s="323"/>
      <c r="I159" s="323"/>
      <c r="J159" s="323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3"/>
      <c r="AA159" s="65"/>
      <c r="AB159" s="65"/>
      <c r="AC159" s="82"/>
    </row>
    <row r="160" spans="1:68" ht="14.25" hidden="1" customHeight="1" x14ac:dyDescent="0.25">
      <c r="A160" s="311" t="s">
        <v>157</v>
      </c>
      <c r="B160" s="311"/>
      <c r="C160" s="311"/>
      <c r="D160" s="311"/>
      <c r="E160" s="311"/>
      <c r="F160" s="311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66"/>
      <c r="AB160" s="66"/>
      <c r="AC160" s="83"/>
    </row>
    <row r="161" spans="1:68" ht="27" customHeight="1" x14ac:dyDescent="0.25">
      <c r="A161" s="63" t="s">
        <v>265</v>
      </c>
      <c r="B161" s="63" t="s">
        <v>266</v>
      </c>
      <c r="C161" s="36">
        <v>4301135753</v>
      </c>
      <c r="D161" s="293">
        <v>4620207490914</v>
      </c>
      <c r="E161" s="293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88</v>
      </c>
      <c r="M161" s="38" t="s">
        <v>86</v>
      </c>
      <c r="N161" s="38"/>
      <c r="O161" s="37">
        <v>180</v>
      </c>
      <c r="P161" s="3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295"/>
      <c r="R161" s="295"/>
      <c r="S161" s="295"/>
      <c r="T161" s="296"/>
      <c r="U161" s="39" t="s">
        <v>46</v>
      </c>
      <c r="V161" s="39" t="s">
        <v>46</v>
      </c>
      <c r="W161" s="40" t="s">
        <v>39</v>
      </c>
      <c r="X161" s="58">
        <v>42</v>
      </c>
      <c r="Y161" s="55">
        <f>IFERROR(IF(X161="","",X161),"")</f>
        <v>42</v>
      </c>
      <c r="Z161" s="41">
        <f>IFERROR(IF(X161="","",X161*0.01788),"")</f>
        <v>0.75095999999999996</v>
      </c>
      <c r="AA161" s="68" t="s">
        <v>46</v>
      </c>
      <c r="AB161" s="69" t="s">
        <v>46</v>
      </c>
      <c r="AC161" s="209" t="s">
        <v>254</v>
      </c>
      <c r="AG161" s="81"/>
      <c r="AJ161" s="87" t="s">
        <v>89</v>
      </c>
      <c r="AK161" s="87">
        <v>1</v>
      </c>
      <c r="BB161" s="210" t="s">
        <v>117</v>
      </c>
      <c r="BM161" s="81">
        <f>IFERROR(X161*I161,"0")</f>
        <v>112.56</v>
      </c>
      <c r="BN161" s="81">
        <f>IFERROR(Y161*I161,"0")</f>
        <v>112.56</v>
      </c>
      <c r="BO161" s="81">
        <f>IFERROR(X161/J161,"0")</f>
        <v>0.6</v>
      </c>
      <c r="BP161" s="81">
        <f>IFERROR(Y161/J161,"0")</f>
        <v>0.6</v>
      </c>
    </row>
    <row r="162" spans="1:68" ht="27" customHeight="1" x14ac:dyDescent="0.25">
      <c r="A162" s="63" t="s">
        <v>267</v>
      </c>
      <c r="B162" s="63" t="s">
        <v>268</v>
      </c>
      <c r="C162" s="36">
        <v>4301135778</v>
      </c>
      <c r="D162" s="293">
        <v>4620207490853</v>
      </c>
      <c r="E162" s="293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119</v>
      </c>
      <c r="M162" s="38" t="s">
        <v>86</v>
      </c>
      <c r="N162" s="38"/>
      <c r="O162" s="37">
        <v>180</v>
      </c>
      <c r="P162" s="34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2" s="295"/>
      <c r="R162" s="295"/>
      <c r="S162" s="295"/>
      <c r="T162" s="296"/>
      <c r="U162" s="39" t="s">
        <v>46</v>
      </c>
      <c r="V162" s="39" t="s">
        <v>46</v>
      </c>
      <c r="W162" s="40" t="s">
        <v>39</v>
      </c>
      <c r="X162" s="58">
        <v>56</v>
      </c>
      <c r="Y162" s="55">
        <f>IFERROR(IF(X162="","",X162),"")</f>
        <v>56</v>
      </c>
      <c r="Z162" s="41">
        <f>IFERROR(IF(X162="","",X162*0.01788),"")</f>
        <v>1.0012799999999999</v>
      </c>
      <c r="AA162" s="68" t="s">
        <v>46</v>
      </c>
      <c r="AB162" s="69" t="s">
        <v>46</v>
      </c>
      <c r="AC162" s="211" t="s">
        <v>254</v>
      </c>
      <c r="AG162" s="81"/>
      <c r="AJ162" s="87" t="s">
        <v>120</v>
      </c>
      <c r="AK162" s="87">
        <v>14</v>
      </c>
      <c r="BB162" s="212" t="s">
        <v>117</v>
      </c>
      <c r="BM162" s="81">
        <f>IFERROR(X162*I162,"0")</f>
        <v>150.08000000000001</v>
      </c>
      <c r="BN162" s="81">
        <f>IFERROR(Y162*I162,"0")</f>
        <v>150.08000000000001</v>
      </c>
      <c r="BO162" s="81">
        <f>IFERROR(X162/J162,"0")</f>
        <v>0.8</v>
      </c>
      <c r="BP162" s="81">
        <f>IFERROR(Y162/J162,"0")</f>
        <v>0.8</v>
      </c>
    </row>
    <row r="163" spans="1:68" x14ac:dyDescent="0.2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1"/>
      <c r="P163" s="297" t="s">
        <v>40</v>
      </c>
      <c r="Q163" s="298"/>
      <c r="R163" s="298"/>
      <c r="S163" s="298"/>
      <c r="T163" s="298"/>
      <c r="U163" s="298"/>
      <c r="V163" s="299"/>
      <c r="W163" s="42" t="s">
        <v>39</v>
      </c>
      <c r="X163" s="43">
        <f>IFERROR(SUM(X161:X162),"0")</f>
        <v>98</v>
      </c>
      <c r="Y163" s="43">
        <f>IFERROR(SUM(Y161:Y162),"0")</f>
        <v>98</v>
      </c>
      <c r="Z163" s="43">
        <f>IFERROR(IF(Z161="",0,Z161),"0")+IFERROR(IF(Z162="",0,Z162),"0")</f>
        <v>1.75224</v>
      </c>
      <c r="AA163" s="67"/>
      <c r="AB163" s="67"/>
      <c r="AC163" s="67"/>
    </row>
    <row r="164" spans="1:68" x14ac:dyDescent="0.2">
      <c r="A164" s="300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1"/>
      <c r="P164" s="297" t="s">
        <v>40</v>
      </c>
      <c r="Q164" s="298"/>
      <c r="R164" s="298"/>
      <c r="S164" s="298"/>
      <c r="T164" s="298"/>
      <c r="U164" s="298"/>
      <c r="V164" s="299"/>
      <c r="W164" s="42" t="s">
        <v>0</v>
      </c>
      <c r="X164" s="43">
        <f>IFERROR(SUMPRODUCT(X161:X162*H161:H162),"0")</f>
        <v>235.2</v>
      </c>
      <c r="Y164" s="43">
        <f>IFERROR(SUMPRODUCT(Y161:Y162*H161:H162),"0")</f>
        <v>235.2</v>
      </c>
      <c r="Z164" s="42"/>
      <c r="AA164" s="67"/>
      <c r="AB164" s="67"/>
      <c r="AC164" s="67"/>
    </row>
    <row r="165" spans="1:68" ht="16.5" hidden="1" customHeight="1" x14ac:dyDescent="0.25">
      <c r="A165" s="323" t="s">
        <v>269</v>
      </c>
      <c r="B165" s="323"/>
      <c r="C165" s="323"/>
      <c r="D165" s="323"/>
      <c r="E165" s="323"/>
      <c r="F165" s="323"/>
      <c r="G165" s="323"/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65"/>
      <c r="AB165" s="65"/>
      <c r="AC165" s="82"/>
    </row>
    <row r="166" spans="1:68" ht="14.25" hidden="1" customHeight="1" x14ac:dyDescent="0.25">
      <c r="A166" s="311" t="s">
        <v>157</v>
      </c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66"/>
      <c r="AB166" s="66"/>
      <c r="AC166" s="83"/>
    </row>
    <row r="167" spans="1:68" ht="27" customHeight="1" x14ac:dyDescent="0.25">
      <c r="A167" s="63" t="s">
        <v>270</v>
      </c>
      <c r="B167" s="63" t="s">
        <v>271</v>
      </c>
      <c r="C167" s="36">
        <v>4301135570</v>
      </c>
      <c r="D167" s="293">
        <v>4607111035806</v>
      </c>
      <c r="E167" s="293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295"/>
      <c r="R167" s="295"/>
      <c r="S167" s="295"/>
      <c r="T167" s="296"/>
      <c r="U167" s="39" t="s">
        <v>46</v>
      </c>
      <c r="V167" s="39" t="s">
        <v>46</v>
      </c>
      <c r="W167" s="40" t="s">
        <v>39</v>
      </c>
      <c r="X167" s="58">
        <v>14</v>
      </c>
      <c r="Y167" s="55">
        <f>IFERROR(IF(X167="","",X167),"")</f>
        <v>14</v>
      </c>
      <c r="Z167" s="41">
        <f>IFERROR(IF(X167="","",X167*0.01788),"")</f>
        <v>0.25031999999999999</v>
      </c>
      <c r="AA167" s="68" t="s">
        <v>46</v>
      </c>
      <c r="AB167" s="69" t="s">
        <v>46</v>
      </c>
      <c r="AC167" s="213" t="s">
        <v>272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51.850399999999993</v>
      </c>
      <c r="BN167" s="81">
        <f>IFERROR(Y167*I167,"0")</f>
        <v>51.850399999999993</v>
      </c>
      <c r="BO167" s="81">
        <f>IFERROR(X167/J167,"0")</f>
        <v>0.2</v>
      </c>
      <c r="BP167" s="81">
        <f>IFERROR(Y167/J167,"0")</f>
        <v>0.2</v>
      </c>
    </row>
    <row r="168" spans="1:68" x14ac:dyDescent="0.2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1"/>
      <c r="P168" s="297" t="s">
        <v>40</v>
      </c>
      <c r="Q168" s="298"/>
      <c r="R168" s="298"/>
      <c r="S168" s="298"/>
      <c r="T168" s="298"/>
      <c r="U168" s="298"/>
      <c r="V168" s="299"/>
      <c r="W168" s="42" t="s">
        <v>39</v>
      </c>
      <c r="X168" s="43">
        <f>IFERROR(SUM(X167:X167),"0")</f>
        <v>14</v>
      </c>
      <c r="Y168" s="43">
        <f>IFERROR(SUM(Y167:Y167),"0")</f>
        <v>14</v>
      </c>
      <c r="Z168" s="43">
        <f>IFERROR(IF(Z167="",0,Z167),"0")</f>
        <v>0.25031999999999999</v>
      </c>
      <c r="AA168" s="67"/>
      <c r="AB168" s="67"/>
      <c r="AC168" s="67"/>
    </row>
    <row r="169" spans="1:68" x14ac:dyDescent="0.2">
      <c r="A169" s="300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1"/>
      <c r="P169" s="297" t="s">
        <v>40</v>
      </c>
      <c r="Q169" s="298"/>
      <c r="R169" s="298"/>
      <c r="S169" s="298"/>
      <c r="T169" s="298"/>
      <c r="U169" s="298"/>
      <c r="V169" s="299"/>
      <c r="W169" s="42" t="s">
        <v>0</v>
      </c>
      <c r="X169" s="43">
        <f>IFERROR(SUMPRODUCT(X167:X167*H167:H167),"0")</f>
        <v>42</v>
      </c>
      <c r="Y169" s="43">
        <f>IFERROR(SUMPRODUCT(Y167:Y167*H167:H167),"0")</f>
        <v>42</v>
      </c>
      <c r="Z169" s="42"/>
      <c r="AA169" s="67"/>
      <c r="AB169" s="67"/>
      <c r="AC169" s="67"/>
    </row>
    <row r="170" spans="1:68" ht="16.5" hidden="1" customHeight="1" x14ac:dyDescent="0.25">
      <c r="A170" s="323" t="s">
        <v>273</v>
      </c>
      <c r="B170" s="323"/>
      <c r="C170" s="323"/>
      <c r="D170" s="323"/>
      <c r="E170" s="323"/>
      <c r="F170" s="323"/>
      <c r="G170" s="323"/>
      <c r="H170" s="323"/>
      <c r="I170" s="323"/>
      <c r="J170" s="323"/>
      <c r="K170" s="323"/>
      <c r="L170" s="323"/>
      <c r="M170" s="323"/>
      <c r="N170" s="323"/>
      <c r="O170" s="323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65"/>
      <c r="AB170" s="65"/>
      <c r="AC170" s="82"/>
    </row>
    <row r="171" spans="1:68" ht="14.25" hidden="1" customHeight="1" x14ac:dyDescent="0.25">
      <c r="A171" s="311" t="s">
        <v>157</v>
      </c>
      <c r="B171" s="311"/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66"/>
      <c r="AB171" s="66"/>
      <c r="AC171" s="83"/>
    </row>
    <row r="172" spans="1:68" ht="16.5" hidden="1" customHeight="1" x14ac:dyDescent="0.25">
      <c r="A172" s="63" t="s">
        <v>274</v>
      </c>
      <c r="B172" s="63" t="s">
        <v>275</v>
      </c>
      <c r="C172" s="36">
        <v>4301135607</v>
      </c>
      <c r="D172" s="293">
        <v>4607111039613</v>
      </c>
      <c r="E172" s="293"/>
      <c r="F172" s="62">
        <v>0.09</v>
      </c>
      <c r="G172" s="37">
        <v>30</v>
      </c>
      <c r="H172" s="62">
        <v>2.7</v>
      </c>
      <c r="I172" s="62">
        <v>3.09</v>
      </c>
      <c r="J172" s="37">
        <v>126</v>
      </c>
      <c r="K172" s="37" t="s">
        <v>118</v>
      </c>
      <c r="L172" s="37" t="s">
        <v>119</v>
      </c>
      <c r="M172" s="38" t="s">
        <v>86</v>
      </c>
      <c r="N172" s="38"/>
      <c r="O172" s="37">
        <v>180</v>
      </c>
      <c r="P172" s="34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2" s="295"/>
      <c r="R172" s="295"/>
      <c r="S172" s="295"/>
      <c r="T172" s="296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IFERROR(IF(X172="","",X172*0.00936),"")</f>
        <v>0</v>
      </c>
      <c r="AA172" s="68" t="s">
        <v>46</v>
      </c>
      <c r="AB172" s="69" t="s">
        <v>46</v>
      </c>
      <c r="AC172" s="215" t="s">
        <v>260</v>
      </c>
      <c r="AG172" s="81"/>
      <c r="AJ172" s="87" t="s">
        <v>120</v>
      </c>
      <c r="AK172" s="87">
        <v>14</v>
      </c>
      <c r="BB172" s="216" t="s">
        <v>117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1"/>
      <c r="P173" s="297" t="s">
        <v>40</v>
      </c>
      <c r="Q173" s="298"/>
      <c r="R173" s="298"/>
      <c r="S173" s="298"/>
      <c r="T173" s="298"/>
      <c r="U173" s="298"/>
      <c r="V173" s="299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00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1"/>
      <c r="P174" s="297" t="s">
        <v>40</v>
      </c>
      <c r="Q174" s="298"/>
      <c r="R174" s="298"/>
      <c r="S174" s="298"/>
      <c r="T174" s="298"/>
      <c r="U174" s="298"/>
      <c r="V174" s="299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16.5" hidden="1" customHeight="1" x14ac:dyDescent="0.25">
      <c r="A175" s="323" t="s">
        <v>276</v>
      </c>
      <c r="B175" s="323"/>
      <c r="C175" s="323"/>
      <c r="D175" s="323"/>
      <c r="E175" s="323"/>
      <c r="F175" s="323"/>
      <c r="G175" s="323"/>
      <c r="H175" s="323"/>
      <c r="I175" s="323"/>
      <c r="J175" s="323"/>
      <c r="K175" s="323"/>
      <c r="L175" s="323"/>
      <c r="M175" s="323"/>
      <c r="N175" s="323"/>
      <c r="O175" s="323"/>
      <c r="P175" s="323"/>
      <c r="Q175" s="323"/>
      <c r="R175" s="323"/>
      <c r="S175" s="323"/>
      <c r="T175" s="323"/>
      <c r="U175" s="323"/>
      <c r="V175" s="323"/>
      <c r="W175" s="323"/>
      <c r="X175" s="323"/>
      <c r="Y175" s="323"/>
      <c r="Z175" s="323"/>
      <c r="AA175" s="65"/>
      <c r="AB175" s="65"/>
      <c r="AC175" s="82"/>
    </row>
    <row r="176" spans="1:68" ht="14.25" hidden="1" customHeight="1" x14ac:dyDescent="0.25">
      <c r="A176" s="311" t="s">
        <v>157</v>
      </c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66"/>
      <c r="AB176" s="66"/>
      <c r="AC176" s="83"/>
    </row>
    <row r="177" spans="1:68" ht="27" hidden="1" customHeight="1" x14ac:dyDescent="0.25">
      <c r="A177" s="63" t="s">
        <v>277</v>
      </c>
      <c r="B177" s="63" t="s">
        <v>278</v>
      </c>
      <c r="C177" s="36">
        <v>4301135591</v>
      </c>
      <c r="D177" s="293">
        <v>4607111036568</v>
      </c>
      <c r="E177" s="293"/>
      <c r="F177" s="62">
        <v>0.28000000000000003</v>
      </c>
      <c r="G177" s="37">
        <v>6</v>
      </c>
      <c r="H177" s="62">
        <v>1.68</v>
      </c>
      <c r="I177" s="62">
        <v>2.1017999999999999</v>
      </c>
      <c r="J177" s="37">
        <v>140</v>
      </c>
      <c r="K177" s="37" t="s">
        <v>118</v>
      </c>
      <c r="L177" s="37" t="s">
        <v>88</v>
      </c>
      <c r="M177" s="38" t="s">
        <v>86</v>
      </c>
      <c r="N177" s="38"/>
      <c r="O177" s="37">
        <v>180</v>
      </c>
      <c r="P177" s="34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7" s="295"/>
      <c r="R177" s="295"/>
      <c r="S177" s="295"/>
      <c r="T177" s="296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IFERROR(IF(X177="","",X177*0.00941),"")</f>
        <v>0</v>
      </c>
      <c r="AA177" s="68" t="s">
        <v>46</v>
      </c>
      <c r="AB177" s="69" t="s">
        <v>46</v>
      </c>
      <c r="AC177" s="217" t="s">
        <v>279</v>
      </c>
      <c r="AG177" s="81"/>
      <c r="AJ177" s="87" t="s">
        <v>89</v>
      </c>
      <c r="AK177" s="87">
        <v>1</v>
      </c>
      <c r="BB177" s="218" t="s">
        <v>117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idden="1" x14ac:dyDescent="0.2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1"/>
      <c r="P178" s="297" t="s">
        <v>40</v>
      </c>
      <c r="Q178" s="298"/>
      <c r="R178" s="298"/>
      <c r="S178" s="298"/>
      <c r="T178" s="298"/>
      <c r="U178" s="298"/>
      <c r="V178" s="299"/>
      <c r="W178" s="42" t="s">
        <v>39</v>
      </c>
      <c r="X178" s="43">
        <f>IFERROR(SUM(X177:X177),"0")</f>
        <v>0</v>
      </c>
      <c r="Y178" s="43">
        <f>IFERROR(SUM(Y177:Y177),"0")</f>
        <v>0</v>
      </c>
      <c r="Z178" s="43">
        <f>IFERROR(IF(Z177="",0,Z177),"0")</f>
        <v>0</v>
      </c>
      <c r="AA178" s="67"/>
      <c r="AB178" s="67"/>
      <c r="AC178" s="67"/>
    </row>
    <row r="179" spans="1:68" hidden="1" x14ac:dyDescent="0.2">
      <c r="A179" s="300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1"/>
      <c r="P179" s="297" t="s">
        <v>40</v>
      </c>
      <c r="Q179" s="298"/>
      <c r="R179" s="298"/>
      <c r="S179" s="298"/>
      <c r="T179" s="298"/>
      <c r="U179" s="298"/>
      <c r="V179" s="299"/>
      <c r="W179" s="42" t="s">
        <v>0</v>
      </c>
      <c r="X179" s="43">
        <f>IFERROR(SUMPRODUCT(X177:X177*H177:H177),"0")</f>
        <v>0</v>
      </c>
      <c r="Y179" s="43">
        <f>IFERROR(SUMPRODUCT(Y177:Y177*H177:H177),"0")</f>
        <v>0</v>
      </c>
      <c r="Z179" s="42"/>
      <c r="AA179" s="67"/>
      <c r="AB179" s="67"/>
      <c r="AC179" s="67"/>
    </row>
    <row r="180" spans="1:68" ht="27.75" hidden="1" customHeight="1" x14ac:dyDescent="0.2">
      <c r="A180" s="322" t="s">
        <v>280</v>
      </c>
      <c r="B180" s="322"/>
      <c r="C180" s="322"/>
      <c r="D180" s="322"/>
      <c r="E180" s="322"/>
      <c r="F180" s="322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54"/>
      <c r="AB180" s="54"/>
      <c r="AC180" s="54"/>
    </row>
    <row r="181" spans="1:68" ht="16.5" hidden="1" customHeight="1" x14ac:dyDescent="0.25">
      <c r="A181" s="323" t="s">
        <v>281</v>
      </c>
      <c r="B181" s="323"/>
      <c r="C181" s="323"/>
      <c r="D181" s="323"/>
      <c r="E181" s="323"/>
      <c r="F181" s="323"/>
      <c r="G181" s="323"/>
      <c r="H181" s="323"/>
      <c r="I181" s="323"/>
      <c r="J181" s="323"/>
      <c r="K181" s="323"/>
      <c r="L181" s="323"/>
      <c r="M181" s="323"/>
      <c r="N181" s="323"/>
      <c r="O181" s="323"/>
      <c r="P181" s="323"/>
      <c r="Q181" s="323"/>
      <c r="R181" s="323"/>
      <c r="S181" s="323"/>
      <c r="T181" s="323"/>
      <c r="U181" s="323"/>
      <c r="V181" s="323"/>
      <c r="W181" s="323"/>
      <c r="X181" s="323"/>
      <c r="Y181" s="323"/>
      <c r="Z181" s="323"/>
      <c r="AA181" s="65"/>
      <c r="AB181" s="65"/>
      <c r="AC181" s="82"/>
    </row>
    <row r="182" spans="1:68" ht="14.25" hidden="1" customHeight="1" x14ac:dyDescent="0.25">
      <c r="A182" s="311" t="s">
        <v>82</v>
      </c>
      <c r="B182" s="311"/>
      <c r="C182" s="311"/>
      <c r="D182" s="311"/>
      <c r="E182" s="311"/>
      <c r="F182" s="311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66"/>
      <c r="AB182" s="66"/>
      <c r="AC182" s="83"/>
    </row>
    <row r="183" spans="1:68" ht="16.5" hidden="1" customHeight="1" x14ac:dyDescent="0.25">
      <c r="A183" s="63" t="s">
        <v>282</v>
      </c>
      <c r="B183" s="63" t="s">
        <v>283</v>
      </c>
      <c r="C183" s="36">
        <v>4301071062</v>
      </c>
      <c r="D183" s="293">
        <v>4607111036384</v>
      </c>
      <c r="E183" s="293"/>
      <c r="F183" s="62">
        <v>5</v>
      </c>
      <c r="G183" s="37">
        <v>1</v>
      </c>
      <c r="H183" s="62">
        <v>5</v>
      </c>
      <c r="I183" s="62">
        <v>5.2106000000000003</v>
      </c>
      <c r="J183" s="37">
        <v>144</v>
      </c>
      <c r="K183" s="37" t="s">
        <v>87</v>
      </c>
      <c r="L183" s="37" t="s">
        <v>119</v>
      </c>
      <c r="M183" s="38" t="s">
        <v>86</v>
      </c>
      <c r="N183" s="38"/>
      <c r="O183" s="37">
        <v>180</v>
      </c>
      <c r="P183" s="34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295"/>
      <c r="R183" s="295"/>
      <c r="S183" s="295"/>
      <c r="T183" s="296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284</v>
      </c>
      <c r="AG183" s="81"/>
      <c r="AJ183" s="87" t="s">
        <v>120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285</v>
      </c>
      <c r="B184" s="63" t="s">
        <v>286</v>
      </c>
      <c r="C184" s="36">
        <v>4301071050</v>
      </c>
      <c r="D184" s="293">
        <v>4607111036216</v>
      </c>
      <c r="E184" s="293"/>
      <c r="F184" s="62">
        <v>5</v>
      </c>
      <c r="G184" s="37">
        <v>1</v>
      </c>
      <c r="H184" s="62">
        <v>5</v>
      </c>
      <c r="I184" s="62">
        <v>5.2131999999999996</v>
      </c>
      <c r="J184" s="37">
        <v>144</v>
      </c>
      <c r="K184" s="37" t="s">
        <v>87</v>
      </c>
      <c r="L184" s="37" t="s">
        <v>119</v>
      </c>
      <c r="M184" s="38" t="s">
        <v>86</v>
      </c>
      <c r="N184" s="38"/>
      <c r="O184" s="37">
        <v>180</v>
      </c>
      <c r="P184" s="3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295"/>
      <c r="R184" s="295"/>
      <c r="S184" s="295"/>
      <c r="T184" s="296"/>
      <c r="U184" s="39" t="s">
        <v>46</v>
      </c>
      <c r="V184" s="39" t="s">
        <v>46</v>
      </c>
      <c r="W184" s="40" t="s">
        <v>39</v>
      </c>
      <c r="X184" s="58">
        <v>12</v>
      </c>
      <c r="Y184" s="55">
        <f>IFERROR(IF(X184="","",X184),"")</f>
        <v>12</v>
      </c>
      <c r="Z184" s="41">
        <f>IFERROR(IF(X184="","",X184*0.00866),"")</f>
        <v>0.10391999999999998</v>
      </c>
      <c r="AA184" s="68" t="s">
        <v>46</v>
      </c>
      <c r="AB184" s="69" t="s">
        <v>46</v>
      </c>
      <c r="AC184" s="221" t="s">
        <v>287</v>
      </c>
      <c r="AG184" s="81"/>
      <c r="AJ184" s="87" t="s">
        <v>120</v>
      </c>
      <c r="AK184" s="87">
        <v>12</v>
      </c>
      <c r="BB184" s="222" t="s">
        <v>70</v>
      </c>
      <c r="BM184" s="81">
        <f>IFERROR(X184*I184,"0")</f>
        <v>62.558399999999992</v>
      </c>
      <c r="BN184" s="81">
        <f>IFERROR(Y184*I184,"0")</f>
        <v>62.558399999999992</v>
      </c>
      <c r="BO184" s="81">
        <f>IFERROR(X184/J184,"0")</f>
        <v>8.3333333333333329E-2</v>
      </c>
      <c r="BP184" s="81">
        <f>IFERROR(Y184/J184,"0")</f>
        <v>8.3333333333333329E-2</v>
      </c>
    </row>
    <row r="185" spans="1:68" x14ac:dyDescent="0.2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1"/>
      <c r="P185" s="297" t="s">
        <v>40</v>
      </c>
      <c r="Q185" s="298"/>
      <c r="R185" s="298"/>
      <c r="S185" s="298"/>
      <c r="T185" s="298"/>
      <c r="U185" s="298"/>
      <c r="V185" s="299"/>
      <c r="W185" s="42" t="s">
        <v>39</v>
      </c>
      <c r="X185" s="43">
        <f>IFERROR(SUM(X183:X184),"0")</f>
        <v>12</v>
      </c>
      <c r="Y185" s="43">
        <f>IFERROR(SUM(Y183:Y184),"0")</f>
        <v>12</v>
      </c>
      <c r="Z185" s="43">
        <f>IFERROR(IF(Z183="",0,Z183),"0")+IFERROR(IF(Z184="",0,Z184),"0")</f>
        <v>0.10391999999999998</v>
      </c>
      <c r="AA185" s="67"/>
      <c r="AB185" s="67"/>
      <c r="AC185" s="67"/>
    </row>
    <row r="186" spans="1:68" x14ac:dyDescent="0.2">
      <c r="A186" s="300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1"/>
      <c r="P186" s="297" t="s">
        <v>40</v>
      </c>
      <c r="Q186" s="298"/>
      <c r="R186" s="298"/>
      <c r="S186" s="298"/>
      <c r="T186" s="298"/>
      <c r="U186" s="298"/>
      <c r="V186" s="299"/>
      <c r="W186" s="42" t="s">
        <v>0</v>
      </c>
      <c r="X186" s="43">
        <f>IFERROR(SUMPRODUCT(X183:X184*H183:H184),"0")</f>
        <v>60</v>
      </c>
      <c r="Y186" s="43">
        <f>IFERROR(SUMPRODUCT(Y183:Y184*H183:H184),"0")</f>
        <v>60</v>
      </c>
      <c r="Z186" s="42"/>
      <c r="AA186" s="67"/>
      <c r="AB186" s="67"/>
      <c r="AC186" s="67"/>
    </row>
    <row r="187" spans="1:68" ht="16.5" hidden="1" customHeight="1" x14ac:dyDescent="0.25">
      <c r="A187" s="323" t="s">
        <v>288</v>
      </c>
      <c r="B187" s="323"/>
      <c r="C187" s="323"/>
      <c r="D187" s="323"/>
      <c r="E187" s="323"/>
      <c r="F187" s="323"/>
      <c r="G187" s="323"/>
      <c r="H187" s="323"/>
      <c r="I187" s="323"/>
      <c r="J187" s="323"/>
      <c r="K187" s="323"/>
      <c r="L187" s="323"/>
      <c r="M187" s="323"/>
      <c r="N187" s="323"/>
      <c r="O187" s="323"/>
      <c r="P187" s="323"/>
      <c r="Q187" s="323"/>
      <c r="R187" s="323"/>
      <c r="S187" s="323"/>
      <c r="T187" s="323"/>
      <c r="U187" s="323"/>
      <c r="V187" s="323"/>
      <c r="W187" s="323"/>
      <c r="X187" s="323"/>
      <c r="Y187" s="323"/>
      <c r="Z187" s="323"/>
      <c r="AA187" s="65"/>
      <c r="AB187" s="65"/>
      <c r="AC187" s="82"/>
    </row>
    <row r="188" spans="1:68" ht="14.25" hidden="1" customHeight="1" x14ac:dyDescent="0.25">
      <c r="A188" s="311" t="s">
        <v>82</v>
      </c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66"/>
      <c r="AB188" s="66"/>
      <c r="AC188" s="83"/>
    </row>
    <row r="189" spans="1:68" ht="27" customHeight="1" x14ac:dyDescent="0.25">
      <c r="A189" s="63" t="s">
        <v>289</v>
      </c>
      <c r="B189" s="63" t="s">
        <v>290</v>
      </c>
      <c r="C189" s="36">
        <v>4301071117</v>
      </c>
      <c r="D189" s="293">
        <v>4620207491737</v>
      </c>
      <c r="E189" s="293"/>
      <c r="F189" s="62">
        <v>1</v>
      </c>
      <c r="G189" s="37">
        <v>5</v>
      </c>
      <c r="H189" s="62">
        <v>5</v>
      </c>
      <c r="I189" s="62">
        <v>5.2619999999999996</v>
      </c>
      <c r="J189" s="37">
        <v>84</v>
      </c>
      <c r="K189" s="37" t="s">
        <v>87</v>
      </c>
      <c r="L189" s="37" t="s">
        <v>88</v>
      </c>
      <c r="M189" s="38" t="s">
        <v>86</v>
      </c>
      <c r="N189" s="38"/>
      <c r="O189" s="37">
        <v>180</v>
      </c>
      <c r="P189" s="3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295"/>
      <c r="R189" s="295"/>
      <c r="S189" s="295"/>
      <c r="T189" s="296"/>
      <c r="U189" s="39" t="s">
        <v>46</v>
      </c>
      <c r="V189" s="39" t="s">
        <v>46</v>
      </c>
      <c r="W189" s="40" t="s">
        <v>39</v>
      </c>
      <c r="X189" s="58">
        <v>144</v>
      </c>
      <c r="Y189" s="55">
        <f>IFERROR(IF(X189="","",X189),"")</f>
        <v>144</v>
      </c>
      <c r="Z189" s="41">
        <f>IFERROR(IF(X189="","",X189*0.0155),"")</f>
        <v>2.2320000000000002</v>
      </c>
      <c r="AA189" s="68" t="s">
        <v>46</v>
      </c>
      <c r="AB189" s="69" t="s">
        <v>46</v>
      </c>
      <c r="AC189" s="223" t="s">
        <v>287</v>
      </c>
      <c r="AG189" s="81"/>
      <c r="AJ189" s="87" t="s">
        <v>89</v>
      </c>
      <c r="AK189" s="87">
        <v>1</v>
      </c>
      <c r="BB189" s="224" t="s">
        <v>70</v>
      </c>
      <c r="BM189" s="81">
        <f>IFERROR(X189*I189,"0")</f>
        <v>757.72799999999995</v>
      </c>
      <c r="BN189" s="81">
        <f>IFERROR(Y189*I189,"0")</f>
        <v>757.72799999999995</v>
      </c>
      <c r="BO189" s="81">
        <f>IFERROR(X189/J189,"0")</f>
        <v>1.7142857142857142</v>
      </c>
      <c r="BP189" s="81">
        <f>IFERROR(Y189/J189,"0")</f>
        <v>1.7142857142857142</v>
      </c>
    </row>
    <row r="190" spans="1:68" x14ac:dyDescent="0.2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1"/>
      <c r="P190" s="297" t="s">
        <v>40</v>
      </c>
      <c r="Q190" s="298"/>
      <c r="R190" s="298"/>
      <c r="S190" s="298"/>
      <c r="T190" s="298"/>
      <c r="U190" s="298"/>
      <c r="V190" s="299"/>
      <c r="W190" s="42" t="s">
        <v>39</v>
      </c>
      <c r="X190" s="43">
        <f>IFERROR(SUM(X189:X189),"0")</f>
        <v>144</v>
      </c>
      <c r="Y190" s="43">
        <f>IFERROR(SUM(Y189:Y189),"0")</f>
        <v>144</v>
      </c>
      <c r="Z190" s="43">
        <f>IFERROR(IF(Z189="",0,Z189),"0")</f>
        <v>2.2320000000000002</v>
      </c>
      <c r="AA190" s="67"/>
      <c r="AB190" s="67"/>
      <c r="AC190" s="67"/>
    </row>
    <row r="191" spans="1:68" x14ac:dyDescent="0.2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1"/>
      <c r="P191" s="297" t="s">
        <v>40</v>
      </c>
      <c r="Q191" s="298"/>
      <c r="R191" s="298"/>
      <c r="S191" s="298"/>
      <c r="T191" s="298"/>
      <c r="U191" s="298"/>
      <c r="V191" s="299"/>
      <c r="W191" s="42" t="s">
        <v>0</v>
      </c>
      <c r="X191" s="43">
        <f>IFERROR(SUMPRODUCT(X189:X189*H189:H189),"0")</f>
        <v>720</v>
      </c>
      <c r="Y191" s="43">
        <f>IFERROR(SUMPRODUCT(Y189:Y189*H189:H189),"0")</f>
        <v>720</v>
      </c>
      <c r="Z191" s="42"/>
      <c r="AA191" s="67"/>
      <c r="AB191" s="67"/>
      <c r="AC191" s="67"/>
    </row>
    <row r="192" spans="1:68" ht="27.75" hidden="1" customHeight="1" x14ac:dyDescent="0.2">
      <c r="A192" s="322" t="s">
        <v>291</v>
      </c>
      <c r="B192" s="322"/>
      <c r="C192" s="322"/>
      <c r="D192" s="322"/>
      <c r="E192" s="322"/>
      <c r="F192" s="322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  <c r="AA192" s="54"/>
      <c r="AB192" s="54"/>
      <c r="AC192" s="54"/>
    </row>
    <row r="193" spans="1:68" ht="16.5" hidden="1" customHeight="1" x14ac:dyDescent="0.25">
      <c r="A193" s="323" t="s">
        <v>292</v>
      </c>
      <c r="B193" s="323"/>
      <c r="C193" s="323"/>
      <c r="D193" s="323"/>
      <c r="E193" s="323"/>
      <c r="F193" s="323"/>
      <c r="G193" s="323"/>
      <c r="H193" s="323"/>
      <c r="I193" s="323"/>
      <c r="J193" s="323"/>
      <c r="K193" s="323"/>
      <c r="L193" s="323"/>
      <c r="M193" s="323"/>
      <c r="N193" s="323"/>
      <c r="O193" s="323"/>
      <c r="P193" s="323"/>
      <c r="Q193" s="323"/>
      <c r="R193" s="323"/>
      <c r="S193" s="323"/>
      <c r="T193" s="323"/>
      <c r="U193" s="323"/>
      <c r="V193" s="323"/>
      <c r="W193" s="323"/>
      <c r="X193" s="323"/>
      <c r="Y193" s="323"/>
      <c r="Z193" s="323"/>
      <c r="AA193" s="65"/>
      <c r="AB193" s="65"/>
      <c r="AC193" s="82"/>
    </row>
    <row r="194" spans="1:68" ht="14.25" hidden="1" customHeight="1" x14ac:dyDescent="0.25">
      <c r="A194" s="311" t="s">
        <v>113</v>
      </c>
      <c r="B194" s="311"/>
      <c r="C194" s="311"/>
      <c r="D194" s="311"/>
      <c r="E194" s="311"/>
      <c r="F194" s="311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66"/>
      <c r="AB194" s="66"/>
      <c r="AC194" s="83"/>
    </row>
    <row r="195" spans="1:68" ht="16.5" customHeight="1" x14ac:dyDescent="0.25">
      <c r="A195" s="63" t="s">
        <v>293</v>
      </c>
      <c r="B195" s="63" t="s">
        <v>294</v>
      </c>
      <c r="C195" s="36">
        <v>4301132179</v>
      </c>
      <c r="D195" s="293">
        <v>4607111035691</v>
      </c>
      <c r="E195" s="293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365</v>
      </c>
      <c r="P195" s="33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295"/>
      <c r="R195" s="295"/>
      <c r="S195" s="295"/>
      <c r="T195" s="296"/>
      <c r="U195" s="39" t="s">
        <v>46</v>
      </c>
      <c r="V195" s="39" t="s">
        <v>46</v>
      </c>
      <c r="W195" s="40" t="s">
        <v>39</v>
      </c>
      <c r="X195" s="58">
        <v>70</v>
      </c>
      <c r="Y195" s="55">
        <f>IFERROR(IF(X195="","",X195),"")</f>
        <v>70</v>
      </c>
      <c r="Z195" s="41">
        <f>IFERROR(IF(X195="","",X195*0.01788),"")</f>
        <v>1.2516</v>
      </c>
      <c r="AA195" s="68" t="s">
        <v>46</v>
      </c>
      <c r="AB195" s="69" t="s">
        <v>46</v>
      </c>
      <c r="AC195" s="225" t="s">
        <v>295</v>
      </c>
      <c r="AG195" s="81"/>
      <c r="AJ195" s="87" t="s">
        <v>120</v>
      </c>
      <c r="AK195" s="87">
        <v>14</v>
      </c>
      <c r="BB195" s="226" t="s">
        <v>117</v>
      </c>
      <c r="BM195" s="81">
        <f>IFERROR(X195*I195,"0")</f>
        <v>237.16</v>
      </c>
      <c r="BN195" s="81">
        <f>IFERROR(Y195*I195,"0")</f>
        <v>237.16</v>
      </c>
      <c r="BO195" s="81">
        <f>IFERROR(X195/J195,"0")</f>
        <v>1</v>
      </c>
      <c r="BP195" s="81">
        <f>IFERROR(Y195/J195,"0")</f>
        <v>1</v>
      </c>
    </row>
    <row r="196" spans="1:68" ht="27" customHeight="1" x14ac:dyDescent="0.25">
      <c r="A196" s="63" t="s">
        <v>296</v>
      </c>
      <c r="B196" s="63" t="s">
        <v>297</v>
      </c>
      <c r="C196" s="36">
        <v>4301132182</v>
      </c>
      <c r="D196" s="293">
        <v>4607111035721</v>
      </c>
      <c r="E196" s="293"/>
      <c r="F196" s="62">
        <v>0.25</v>
      </c>
      <c r="G196" s="37">
        <v>12</v>
      </c>
      <c r="H196" s="62">
        <v>3</v>
      </c>
      <c r="I196" s="62">
        <v>3.3879999999999999</v>
      </c>
      <c r="J196" s="37">
        <v>70</v>
      </c>
      <c r="K196" s="37" t="s">
        <v>118</v>
      </c>
      <c r="L196" s="37" t="s">
        <v>119</v>
      </c>
      <c r="M196" s="38" t="s">
        <v>86</v>
      </c>
      <c r="N196" s="38"/>
      <c r="O196" s="37">
        <v>365</v>
      </c>
      <c r="P196" s="3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295"/>
      <c r="R196" s="295"/>
      <c r="S196" s="295"/>
      <c r="T196" s="296"/>
      <c r="U196" s="39" t="s">
        <v>46</v>
      </c>
      <c r="V196" s="39" t="s">
        <v>46</v>
      </c>
      <c r="W196" s="40" t="s">
        <v>39</v>
      </c>
      <c r="X196" s="58">
        <v>42</v>
      </c>
      <c r="Y196" s="55">
        <f>IFERROR(IF(X196="","",X196),"")</f>
        <v>42</v>
      </c>
      <c r="Z196" s="41">
        <f>IFERROR(IF(X196="","",X196*0.01788),"")</f>
        <v>0.75095999999999996</v>
      </c>
      <c r="AA196" s="68" t="s">
        <v>46</v>
      </c>
      <c r="AB196" s="69" t="s">
        <v>46</v>
      </c>
      <c r="AC196" s="227" t="s">
        <v>298</v>
      </c>
      <c r="AG196" s="81"/>
      <c r="AJ196" s="87" t="s">
        <v>120</v>
      </c>
      <c r="AK196" s="87">
        <v>14</v>
      </c>
      <c r="BB196" s="228" t="s">
        <v>117</v>
      </c>
      <c r="BM196" s="81">
        <f>IFERROR(X196*I196,"0")</f>
        <v>142.29599999999999</v>
      </c>
      <c r="BN196" s="81">
        <f>IFERROR(Y196*I196,"0")</f>
        <v>142.29599999999999</v>
      </c>
      <c r="BO196" s="81">
        <f>IFERROR(X196/J196,"0")</f>
        <v>0.6</v>
      </c>
      <c r="BP196" s="81">
        <f>IFERROR(Y196/J196,"0")</f>
        <v>0.6</v>
      </c>
    </row>
    <row r="197" spans="1:68" ht="27" customHeight="1" x14ac:dyDescent="0.25">
      <c r="A197" s="63" t="s">
        <v>299</v>
      </c>
      <c r="B197" s="63" t="s">
        <v>300</v>
      </c>
      <c r="C197" s="36">
        <v>4301132170</v>
      </c>
      <c r="D197" s="293">
        <v>4607111038487</v>
      </c>
      <c r="E197" s="293"/>
      <c r="F197" s="62">
        <v>0.25</v>
      </c>
      <c r="G197" s="37">
        <v>12</v>
      </c>
      <c r="H197" s="62">
        <v>3</v>
      </c>
      <c r="I197" s="62">
        <v>3.7360000000000002</v>
      </c>
      <c r="J197" s="37">
        <v>70</v>
      </c>
      <c r="K197" s="37" t="s">
        <v>118</v>
      </c>
      <c r="L197" s="37" t="s">
        <v>119</v>
      </c>
      <c r="M197" s="38" t="s">
        <v>86</v>
      </c>
      <c r="N197" s="38"/>
      <c r="O197" s="37">
        <v>180</v>
      </c>
      <c r="P197" s="3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295"/>
      <c r="R197" s="295"/>
      <c r="S197" s="295"/>
      <c r="T197" s="296"/>
      <c r="U197" s="39" t="s">
        <v>46</v>
      </c>
      <c r="V197" s="39" t="s">
        <v>46</v>
      </c>
      <c r="W197" s="40" t="s">
        <v>39</v>
      </c>
      <c r="X197" s="58">
        <v>84</v>
      </c>
      <c r="Y197" s="55">
        <f>IFERROR(IF(X197="","",X197),"")</f>
        <v>84</v>
      </c>
      <c r="Z197" s="41">
        <f>IFERROR(IF(X197="","",X197*0.01788),"")</f>
        <v>1.5019199999999999</v>
      </c>
      <c r="AA197" s="68" t="s">
        <v>46</v>
      </c>
      <c r="AB197" s="69" t="s">
        <v>46</v>
      </c>
      <c r="AC197" s="229" t="s">
        <v>301</v>
      </c>
      <c r="AG197" s="81"/>
      <c r="AJ197" s="87" t="s">
        <v>120</v>
      </c>
      <c r="AK197" s="87">
        <v>14</v>
      </c>
      <c r="BB197" s="230" t="s">
        <v>117</v>
      </c>
      <c r="BM197" s="81">
        <f>IFERROR(X197*I197,"0")</f>
        <v>313.82400000000001</v>
      </c>
      <c r="BN197" s="81">
        <f>IFERROR(Y197*I197,"0")</f>
        <v>313.82400000000001</v>
      </c>
      <c r="BO197" s="81">
        <f>IFERROR(X197/J197,"0")</f>
        <v>1.2</v>
      </c>
      <c r="BP197" s="81">
        <f>IFERROR(Y197/J197,"0")</f>
        <v>1.2</v>
      </c>
    </row>
    <row r="198" spans="1:68" ht="27" customHeight="1" x14ac:dyDescent="0.25">
      <c r="A198" s="63" t="s">
        <v>302</v>
      </c>
      <c r="B198" s="63" t="s">
        <v>303</v>
      </c>
      <c r="C198" s="36">
        <v>4301132243</v>
      </c>
      <c r="D198" s="293">
        <v>4620207491195</v>
      </c>
      <c r="E198" s="293"/>
      <c r="F198" s="62">
        <v>0.23</v>
      </c>
      <c r="G198" s="37">
        <v>12</v>
      </c>
      <c r="H198" s="62">
        <v>2.76</v>
      </c>
      <c r="I198" s="62">
        <v>3.1480000000000001</v>
      </c>
      <c r="J198" s="37">
        <v>70</v>
      </c>
      <c r="K198" s="37" t="s">
        <v>118</v>
      </c>
      <c r="L198" s="37" t="s">
        <v>88</v>
      </c>
      <c r="M198" s="38" t="s">
        <v>86</v>
      </c>
      <c r="N198" s="38"/>
      <c r="O198" s="37">
        <v>180</v>
      </c>
      <c r="P198" s="3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295"/>
      <c r="R198" s="295"/>
      <c r="S198" s="295"/>
      <c r="T198" s="296"/>
      <c r="U198" s="39" t="s">
        <v>46</v>
      </c>
      <c r="V198" s="39" t="s">
        <v>46</v>
      </c>
      <c r="W198" s="40" t="s">
        <v>39</v>
      </c>
      <c r="X198" s="58">
        <v>28</v>
      </c>
      <c r="Y198" s="55">
        <f>IFERROR(IF(X198="","",X198),"")</f>
        <v>28</v>
      </c>
      <c r="Z198" s="41">
        <f>IFERROR(IF(X198="","",X198*0.01788),"")</f>
        <v>0.50063999999999997</v>
      </c>
      <c r="AA198" s="68" t="s">
        <v>46</v>
      </c>
      <c r="AB198" s="69" t="s">
        <v>46</v>
      </c>
      <c r="AC198" s="231" t="s">
        <v>304</v>
      </c>
      <c r="AG198" s="81"/>
      <c r="AJ198" s="87" t="s">
        <v>89</v>
      </c>
      <c r="AK198" s="87">
        <v>1</v>
      </c>
      <c r="BB198" s="232" t="s">
        <v>117</v>
      </c>
      <c r="BM198" s="81">
        <f>IFERROR(X198*I198,"0")</f>
        <v>88.144000000000005</v>
      </c>
      <c r="BN198" s="81">
        <f>IFERROR(Y198*I198,"0")</f>
        <v>88.144000000000005</v>
      </c>
      <c r="BO198" s="81">
        <f>IFERROR(X198/J198,"0")</f>
        <v>0.4</v>
      </c>
      <c r="BP198" s="81">
        <f>IFERROR(Y198/J198,"0")</f>
        <v>0.4</v>
      </c>
    </row>
    <row r="199" spans="1:68" x14ac:dyDescent="0.2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1"/>
      <c r="P199" s="297" t="s">
        <v>40</v>
      </c>
      <c r="Q199" s="298"/>
      <c r="R199" s="298"/>
      <c r="S199" s="298"/>
      <c r="T199" s="298"/>
      <c r="U199" s="298"/>
      <c r="V199" s="299"/>
      <c r="W199" s="42" t="s">
        <v>39</v>
      </c>
      <c r="X199" s="43">
        <f>IFERROR(SUM(X195:X198),"0")</f>
        <v>224</v>
      </c>
      <c r="Y199" s="43">
        <f>IFERROR(SUM(Y195:Y198),"0")</f>
        <v>224</v>
      </c>
      <c r="Z199" s="43">
        <f>IFERROR(IF(Z195="",0,Z195),"0")+IFERROR(IF(Z196="",0,Z196),"0")+IFERROR(IF(Z197="",0,Z197),"0")+IFERROR(IF(Z198="",0,Z198),"0")</f>
        <v>4.0051199999999998</v>
      </c>
      <c r="AA199" s="67"/>
      <c r="AB199" s="67"/>
      <c r="AC199" s="67"/>
    </row>
    <row r="200" spans="1:68" x14ac:dyDescent="0.2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1"/>
      <c r="P200" s="297" t="s">
        <v>40</v>
      </c>
      <c r="Q200" s="298"/>
      <c r="R200" s="298"/>
      <c r="S200" s="298"/>
      <c r="T200" s="298"/>
      <c r="U200" s="298"/>
      <c r="V200" s="299"/>
      <c r="W200" s="42" t="s">
        <v>0</v>
      </c>
      <c r="X200" s="43">
        <f>IFERROR(SUMPRODUCT(X195:X198*H195:H198),"0")</f>
        <v>665.28</v>
      </c>
      <c r="Y200" s="43">
        <f>IFERROR(SUMPRODUCT(Y195:Y198*H195:H198),"0")</f>
        <v>665.28</v>
      </c>
      <c r="Z200" s="42"/>
      <c r="AA200" s="67"/>
      <c r="AB200" s="67"/>
      <c r="AC200" s="67"/>
    </row>
    <row r="201" spans="1:68" ht="27.75" hidden="1" customHeight="1" x14ac:dyDescent="0.2">
      <c r="A201" s="322" t="s">
        <v>305</v>
      </c>
      <c r="B201" s="322"/>
      <c r="C201" s="322"/>
      <c r="D201" s="322"/>
      <c r="E201" s="322"/>
      <c r="F201" s="322"/>
      <c r="G201" s="322"/>
      <c r="H201" s="322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  <c r="AA201" s="54"/>
      <c r="AB201" s="54"/>
      <c r="AC201" s="54"/>
    </row>
    <row r="202" spans="1:68" ht="16.5" hidden="1" customHeight="1" x14ac:dyDescent="0.25">
      <c r="A202" s="323" t="s">
        <v>306</v>
      </c>
      <c r="B202" s="323"/>
      <c r="C202" s="323"/>
      <c r="D202" s="323"/>
      <c r="E202" s="323"/>
      <c r="F202" s="323"/>
      <c r="G202" s="323"/>
      <c r="H202" s="323"/>
      <c r="I202" s="323"/>
      <c r="J202" s="323"/>
      <c r="K202" s="323"/>
      <c r="L202" s="323"/>
      <c r="M202" s="323"/>
      <c r="N202" s="323"/>
      <c r="O202" s="323"/>
      <c r="P202" s="323"/>
      <c r="Q202" s="323"/>
      <c r="R202" s="323"/>
      <c r="S202" s="323"/>
      <c r="T202" s="323"/>
      <c r="U202" s="323"/>
      <c r="V202" s="323"/>
      <c r="W202" s="323"/>
      <c r="X202" s="323"/>
      <c r="Y202" s="323"/>
      <c r="Z202" s="323"/>
      <c r="AA202" s="65"/>
      <c r="AB202" s="65"/>
      <c r="AC202" s="82"/>
    </row>
    <row r="203" spans="1:68" ht="14.25" hidden="1" customHeight="1" x14ac:dyDescent="0.25">
      <c r="A203" s="311" t="s">
        <v>113</v>
      </c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66"/>
      <c r="AB203" s="66"/>
      <c r="AC203" s="83"/>
    </row>
    <row r="204" spans="1:68" ht="27" customHeight="1" x14ac:dyDescent="0.25">
      <c r="A204" s="63" t="s">
        <v>307</v>
      </c>
      <c r="B204" s="63" t="s">
        <v>308</v>
      </c>
      <c r="C204" s="36">
        <v>4301132227</v>
      </c>
      <c r="D204" s="293">
        <v>4620207491133</v>
      </c>
      <c r="E204" s="293"/>
      <c r="F204" s="62">
        <v>0.23</v>
      </c>
      <c r="G204" s="37">
        <v>12</v>
      </c>
      <c r="H204" s="62">
        <v>2.76</v>
      </c>
      <c r="I204" s="62">
        <v>2.98</v>
      </c>
      <c r="J204" s="37">
        <v>70</v>
      </c>
      <c r="K204" s="37" t="s">
        <v>118</v>
      </c>
      <c r="L204" s="37" t="s">
        <v>119</v>
      </c>
      <c r="M204" s="38" t="s">
        <v>86</v>
      </c>
      <c r="N204" s="38"/>
      <c r="O204" s="37">
        <v>180</v>
      </c>
      <c r="P204" s="33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295"/>
      <c r="R204" s="295"/>
      <c r="S204" s="295"/>
      <c r="T204" s="296"/>
      <c r="U204" s="39" t="s">
        <v>46</v>
      </c>
      <c r="V204" s="39" t="s">
        <v>46</v>
      </c>
      <c r="W204" s="40" t="s">
        <v>39</v>
      </c>
      <c r="X204" s="58">
        <v>14</v>
      </c>
      <c r="Y204" s="55">
        <f>IFERROR(IF(X204="","",X204),"")</f>
        <v>14</v>
      </c>
      <c r="Z204" s="41">
        <f>IFERROR(IF(X204="","",X204*0.01788),"")</f>
        <v>0.25031999999999999</v>
      </c>
      <c r="AA204" s="68" t="s">
        <v>46</v>
      </c>
      <c r="AB204" s="69" t="s">
        <v>46</v>
      </c>
      <c r="AC204" s="233" t="s">
        <v>309</v>
      </c>
      <c r="AG204" s="81"/>
      <c r="AJ204" s="87" t="s">
        <v>120</v>
      </c>
      <c r="AK204" s="87">
        <v>14</v>
      </c>
      <c r="BB204" s="234" t="s">
        <v>117</v>
      </c>
      <c r="BM204" s="81">
        <f>IFERROR(X204*I204,"0")</f>
        <v>41.72</v>
      </c>
      <c r="BN204" s="81">
        <f>IFERROR(Y204*I204,"0")</f>
        <v>41.72</v>
      </c>
      <c r="BO204" s="81">
        <f>IFERROR(X204/J204,"0")</f>
        <v>0.2</v>
      </c>
      <c r="BP204" s="81">
        <f>IFERROR(Y204/J204,"0")</f>
        <v>0.2</v>
      </c>
    </row>
    <row r="205" spans="1:68" x14ac:dyDescent="0.2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1"/>
      <c r="P205" s="297" t="s">
        <v>40</v>
      </c>
      <c r="Q205" s="298"/>
      <c r="R205" s="298"/>
      <c r="S205" s="298"/>
      <c r="T205" s="298"/>
      <c r="U205" s="298"/>
      <c r="V205" s="299"/>
      <c r="W205" s="42" t="s">
        <v>39</v>
      </c>
      <c r="X205" s="43">
        <f>IFERROR(SUM(X204:X204),"0")</f>
        <v>14</v>
      </c>
      <c r="Y205" s="43">
        <f>IFERROR(SUM(Y204:Y204),"0")</f>
        <v>14</v>
      </c>
      <c r="Z205" s="43">
        <f>IFERROR(IF(Z204="",0,Z204),"0")</f>
        <v>0.25031999999999999</v>
      </c>
      <c r="AA205" s="67"/>
      <c r="AB205" s="67"/>
      <c r="AC205" s="67"/>
    </row>
    <row r="206" spans="1:68" x14ac:dyDescent="0.2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1"/>
      <c r="P206" s="297" t="s">
        <v>40</v>
      </c>
      <c r="Q206" s="298"/>
      <c r="R206" s="298"/>
      <c r="S206" s="298"/>
      <c r="T206" s="298"/>
      <c r="U206" s="298"/>
      <c r="V206" s="299"/>
      <c r="W206" s="42" t="s">
        <v>0</v>
      </c>
      <c r="X206" s="43">
        <f>IFERROR(SUMPRODUCT(X204:X204*H204:H204),"0")</f>
        <v>38.64</v>
      </c>
      <c r="Y206" s="43">
        <f>IFERROR(SUMPRODUCT(Y204:Y204*H204:H204),"0")</f>
        <v>38.64</v>
      </c>
      <c r="Z206" s="42"/>
      <c r="AA206" s="67"/>
      <c r="AB206" s="67"/>
      <c r="AC206" s="67"/>
    </row>
    <row r="207" spans="1:68" ht="14.25" hidden="1" customHeight="1" x14ac:dyDescent="0.25">
      <c r="A207" s="311" t="s">
        <v>157</v>
      </c>
      <c r="B207" s="311"/>
      <c r="C207" s="311"/>
      <c r="D207" s="311"/>
      <c r="E207" s="311"/>
      <c r="F207" s="311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66"/>
      <c r="AB207" s="66"/>
      <c r="AC207" s="83"/>
    </row>
    <row r="208" spans="1:68" ht="27" hidden="1" customHeight="1" x14ac:dyDescent="0.25">
      <c r="A208" s="63" t="s">
        <v>310</v>
      </c>
      <c r="B208" s="63" t="s">
        <v>311</v>
      </c>
      <c r="C208" s="36">
        <v>4301135834</v>
      </c>
      <c r="D208" s="293">
        <v>4620207491188</v>
      </c>
      <c r="E208" s="293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3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295"/>
      <c r="R208" s="295"/>
      <c r="S208" s="295"/>
      <c r="T208" s="296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312</v>
      </c>
      <c r="AG208" s="81"/>
      <c r="AJ208" s="87" t="s">
        <v>89</v>
      </c>
      <c r="AK208" s="87">
        <v>1</v>
      </c>
      <c r="BB208" s="236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hidden="1" customHeight="1" x14ac:dyDescent="0.25">
      <c r="A209" s="63" t="s">
        <v>313</v>
      </c>
      <c r="B209" s="63" t="s">
        <v>314</v>
      </c>
      <c r="C209" s="36">
        <v>4301135829</v>
      </c>
      <c r="D209" s="293">
        <v>4620207490235</v>
      </c>
      <c r="E209" s="293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118</v>
      </c>
      <c r="L209" s="37" t="s">
        <v>88</v>
      </c>
      <c r="M209" s="38" t="s">
        <v>86</v>
      </c>
      <c r="N209" s="38"/>
      <c r="O209" s="37">
        <v>180</v>
      </c>
      <c r="P209" s="33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9" s="295"/>
      <c r="R209" s="295"/>
      <c r="S209" s="295"/>
      <c r="T209" s="296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315</v>
      </c>
      <c r="AG209" s="81"/>
      <c r="AJ209" s="87" t="s">
        <v>89</v>
      </c>
      <c r="AK209" s="87">
        <v>1</v>
      </c>
      <c r="BB209" s="238" t="s">
        <v>117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316</v>
      </c>
      <c r="B210" s="63" t="s">
        <v>317</v>
      </c>
      <c r="C210" s="36">
        <v>4301135697</v>
      </c>
      <c r="D210" s="293">
        <v>4620207490259</v>
      </c>
      <c r="E210" s="293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118</v>
      </c>
      <c r="L210" s="37" t="s">
        <v>119</v>
      </c>
      <c r="M210" s="38" t="s">
        <v>86</v>
      </c>
      <c r="N210" s="38"/>
      <c r="O210" s="37">
        <v>180</v>
      </c>
      <c r="P210" s="3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295"/>
      <c r="R210" s="295"/>
      <c r="S210" s="295"/>
      <c r="T210" s="296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9" t="s">
        <v>318</v>
      </c>
      <c r="AG210" s="81"/>
      <c r="AJ210" s="87" t="s">
        <v>120</v>
      </c>
      <c r="AK210" s="87">
        <v>14</v>
      </c>
      <c r="BB210" s="240" t="s">
        <v>117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1"/>
      <c r="P211" s="297" t="s">
        <v>40</v>
      </c>
      <c r="Q211" s="298"/>
      <c r="R211" s="298"/>
      <c r="S211" s="298"/>
      <c r="T211" s="298"/>
      <c r="U211" s="298"/>
      <c r="V211" s="299"/>
      <c r="W211" s="42" t="s">
        <v>39</v>
      </c>
      <c r="X211" s="43">
        <f>IFERROR(SUM(X208:X210),"0")</f>
        <v>0</v>
      </c>
      <c r="Y211" s="43">
        <f>IFERROR(SUM(Y208:Y210),"0")</f>
        <v>0</v>
      </c>
      <c r="Z211" s="43">
        <f>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1"/>
      <c r="P212" s="297" t="s">
        <v>40</v>
      </c>
      <c r="Q212" s="298"/>
      <c r="R212" s="298"/>
      <c r="S212" s="298"/>
      <c r="T212" s="298"/>
      <c r="U212" s="298"/>
      <c r="V212" s="299"/>
      <c r="W212" s="42" t="s">
        <v>0</v>
      </c>
      <c r="X212" s="43">
        <f>IFERROR(SUMPRODUCT(X208:X210*H208:H210),"0")</f>
        <v>0</v>
      </c>
      <c r="Y212" s="43">
        <f>IFERROR(SUMPRODUCT(Y208:Y210*H208:H210),"0")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23" t="s">
        <v>319</v>
      </c>
      <c r="B213" s="323"/>
      <c r="C213" s="323"/>
      <c r="D213" s="323"/>
      <c r="E213" s="323"/>
      <c r="F213" s="323"/>
      <c r="G213" s="323"/>
      <c r="H213" s="323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/>
      <c r="X213" s="323"/>
      <c r="Y213" s="323"/>
      <c r="Z213" s="323"/>
      <c r="AA213" s="65"/>
      <c r="AB213" s="65"/>
      <c r="AC213" s="82"/>
    </row>
    <row r="214" spans="1:68" ht="14.25" hidden="1" customHeight="1" x14ac:dyDescent="0.25">
      <c r="A214" s="311" t="s">
        <v>157</v>
      </c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66"/>
      <c r="AB214" s="66"/>
      <c r="AC214" s="83"/>
    </row>
    <row r="215" spans="1:68" ht="27" hidden="1" customHeight="1" x14ac:dyDescent="0.25">
      <c r="A215" s="63" t="s">
        <v>320</v>
      </c>
      <c r="B215" s="63" t="s">
        <v>321</v>
      </c>
      <c r="C215" s="36">
        <v>4301135854</v>
      </c>
      <c r="D215" s="293">
        <v>4620207491706</v>
      </c>
      <c r="E215" s="293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118</v>
      </c>
      <c r="L215" s="37" t="s">
        <v>88</v>
      </c>
      <c r="M215" s="38" t="s">
        <v>86</v>
      </c>
      <c r="N215" s="38"/>
      <c r="O215" s="37">
        <v>180</v>
      </c>
      <c r="P215" s="33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295"/>
      <c r="R215" s="295"/>
      <c r="S215" s="295"/>
      <c r="T215" s="296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322</v>
      </c>
      <c r="AG215" s="81"/>
      <c r="AJ215" s="87" t="s">
        <v>89</v>
      </c>
      <c r="AK215" s="87">
        <v>1</v>
      </c>
      <c r="BB215" s="242" t="s">
        <v>117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hidden="1" customHeight="1" x14ac:dyDescent="0.25">
      <c r="A216" s="63" t="s">
        <v>323</v>
      </c>
      <c r="B216" s="63" t="s">
        <v>324</v>
      </c>
      <c r="C216" s="36">
        <v>4301135895</v>
      </c>
      <c r="D216" s="293">
        <v>4620207491522</v>
      </c>
      <c r="E216" s="293"/>
      <c r="F216" s="62">
        <v>0.28000000000000003</v>
      </c>
      <c r="G216" s="37">
        <v>12</v>
      </c>
      <c r="H216" s="62">
        <v>3.36</v>
      </c>
      <c r="I216" s="62">
        <v>4.0636000000000001</v>
      </c>
      <c r="J216" s="37">
        <v>70</v>
      </c>
      <c r="K216" s="37" t="s">
        <v>118</v>
      </c>
      <c r="L216" s="37" t="s">
        <v>88</v>
      </c>
      <c r="M216" s="38" t="s">
        <v>86</v>
      </c>
      <c r="N216" s="38"/>
      <c r="O216" s="37">
        <v>180</v>
      </c>
      <c r="P216" s="33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295"/>
      <c r="R216" s="295"/>
      <c r="S216" s="295"/>
      <c r="T216" s="296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3" t="s">
        <v>325</v>
      </c>
      <c r="AG216" s="81"/>
      <c r="AJ216" s="87" t="s">
        <v>89</v>
      </c>
      <c r="AK216" s="87">
        <v>1</v>
      </c>
      <c r="BB216" s="244" t="s">
        <v>117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1"/>
      <c r="P217" s="297" t="s">
        <v>40</v>
      </c>
      <c r="Q217" s="298"/>
      <c r="R217" s="298"/>
      <c r="S217" s="298"/>
      <c r="T217" s="298"/>
      <c r="U217" s="298"/>
      <c r="V217" s="299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hidden="1" x14ac:dyDescent="0.2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1"/>
      <c r="P218" s="297" t="s">
        <v>40</v>
      </c>
      <c r="Q218" s="298"/>
      <c r="R218" s="298"/>
      <c r="S218" s="298"/>
      <c r="T218" s="298"/>
      <c r="U218" s="298"/>
      <c r="V218" s="299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23" t="s">
        <v>326</v>
      </c>
      <c r="B219" s="323"/>
      <c r="C219" s="323"/>
      <c r="D219" s="323"/>
      <c r="E219" s="323"/>
      <c r="F219" s="323"/>
      <c r="G219" s="323"/>
      <c r="H219" s="323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/>
      <c r="X219" s="323"/>
      <c r="Y219" s="323"/>
      <c r="Z219" s="323"/>
      <c r="AA219" s="65"/>
      <c r="AB219" s="65"/>
      <c r="AC219" s="82"/>
    </row>
    <row r="220" spans="1:68" ht="14.25" hidden="1" customHeight="1" x14ac:dyDescent="0.25">
      <c r="A220" s="311" t="s">
        <v>82</v>
      </c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4301071097</v>
      </c>
      <c r="D221" s="293">
        <v>4620207491096</v>
      </c>
      <c r="E221" s="293"/>
      <c r="F221" s="62">
        <v>1</v>
      </c>
      <c r="G221" s="37">
        <v>5</v>
      </c>
      <c r="H221" s="62">
        <v>5</v>
      </c>
      <c r="I221" s="62">
        <v>5.23</v>
      </c>
      <c r="J221" s="37">
        <v>84</v>
      </c>
      <c r="K221" s="37" t="s">
        <v>87</v>
      </c>
      <c r="L221" s="37" t="s">
        <v>119</v>
      </c>
      <c r="M221" s="38" t="s">
        <v>86</v>
      </c>
      <c r="N221" s="38"/>
      <c r="O221" s="37">
        <v>180</v>
      </c>
      <c r="P221" s="32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295"/>
      <c r="R221" s="295"/>
      <c r="S221" s="295"/>
      <c r="T221" s="296"/>
      <c r="U221" s="39" t="s">
        <v>46</v>
      </c>
      <c r="V221" s="39" t="s">
        <v>46</v>
      </c>
      <c r="W221" s="40" t="s">
        <v>39</v>
      </c>
      <c r="X221" s="58">
        <v>72</v>
      </c>
      <c r="Y221" s="55">
        <f>IFERROR(IF(X221="","",X221),"")</f>
        <v>72</v>
      </c>
      <c r="Z221" s="41">
        <f>IFERROR(IF(X221="","",X221*0.0155),"")</f>
        <v>1.1160000000000001</v>
      </c>
      <c r="AA221" s="68" t="s">
        <v>46</v>
      </c>
      <c r="AB221" s="69" t="s">
        <v>46</v>
      </c>
      <c r="AC221" s="245" t="s">
        <v>329</v>
      </c>
      <c r="AG221" s="81"/>
      <c r="AJ221" s="87" t="s">
        <v>120</v>
      </c>
      <c r="AK221" s="87">
        <v>12</v>
      </c>
      <c r="BB221" s="246" t="s">
        <v>70</v>
      </c>
      <c r="BM221" s="81">
        <f>IFERROR(X221*I221,"0")</f>
        <v>376.56000000000006</v>
      </c>
      <c r="BN221" s="81">
        <f>IFERROR(Y221*I221,"0")</f>
        <v>376.56000000000006</v>
      </c>
      <c r="BO221" s="81">
        <f>IFERROR(X221/J221,"0")</f>
        <v>0.8571428571428571</v>
      </c>
      <c r="BP221" s="81">
        <f>IFERROR(Y221/J221,"0")</f>
        <v>0.8571428571428571</v>
      </c>
    </row>
    <row r="222" spans="1:68" x14ac:dyDescent="0.2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1"/>
      <c r="P222" s="297" t="s">
        <v>40</v>
      </c>
      <c r="Q222" s="298"/>
      <c r="R222" s="298"/>
      <c r="S222" s="298"/>
      <c r="T222" s="298"/>
      <c r="U222" s="298"/>
      <c r="V222" s="299"/>
      <c r="W222" s="42" t="s">
        <v>39</v>
      </c>
      <c r="X222" s="43">
        <f>IFERROR(SUM(X221:X221),"0")</f>
        <v>72</v>
      </c>
      <c r="Y222" s="43">
        <f>IFERROR(SUM(Y221:Y221),"0")</f>
        <v>72</v>
      </c>
      <c r="Z222" s="43">
        <f>IFERROR(IF(Z221="",0,Z221),"0")</f>
        <v>1.1160000000000001</v>
      </c>
      <c r="AA222" s="67"/>
      <c r="AB222" s="67"/>
      <c r="AC222" s="67"/>
    </row>
    <row r="223" spans="1:68" x14ac:dyDescent="0.2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1"/>
      <c r="P223" s="297" t="s">
        <v>40</v>
      </c>
      <c r="Q223" s="298"/>
      <c r="R223" s="298"/>
      <c r="S223" s="298"/>
      <c r="T223" s="298"/>
      <c r="U223" s="298"/>
      <c r="V223" s="299"/>
      <c r="W223" s="42" t="s">
        <v>0</v>
      </c>
      <c r="X223" s="43">
        <f>IFERROR(SUMPRODUCT(X221:X221*H221:H221),"0")</f>
        <v>360</v>
      </c>
      <c r="Y223" s="43">
        <f>IFERROR(SUMPRODUCT(Y221:Y221*H221:H221),"0")</f>
        <v>360</v>
      </c>
      <c r="Z223" s="42"/>
      <c r="AA223" s="67"/>
      <c r="AB223" s="67"/>
      <c r="AC223" s="67"/>
    </row>
    <row r="224" spans="1:68" ht="16.5" hidden="1" customHeight="1" x14ac:dyDescent="0.25">
      <c r="A224" s="323" t="s">
        <v>330</v>
      </c>
      <c r="B224" s="323"/>
      <c r="C224" s="323"/>
      <c r="D224" s="323"/>
      <c r="E224" s="323"/>
      <c r="F224" s="323"/>
      <c r="G224" s="323"/>
      <c r="H224" s="323"/>
      <c r="I224" s="323"/>
      <c r="J224" s="323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U224" s="323"/>
      <c r="V224" s="323"/>
      <c r="W224" s="323"/>
      <c r="X224" s="323"/>
      <c r="Y224" s="323"/>
      <c r="Z224" s="323"/>
      <c r="AA224" s="65"/>
      <c r="AB224" s="65"/>
      <c r="AC224" s="82"/>
    </row>
    <row r="225" spans="1:68" ht="14.25" hidden="1" customHeight="1" x14ac:dyDescent="0.25">
      <c r="A225" s="311" t="s">
        <v>157</v>
      </c>
      <c r="B225" s="311"/>
      <c r="C225" s="311"/>
      <c r="D225" s="311"/>
      <c r="E225" s="311"/>
      <c r="F225" s="311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  <c r="AA225" s="66"/>
      <c r="AB225" s="66"/>
      <c r="AC225" s="83"/>
    </row>
    <row r="226" spans="1:68" ht="27" hidden="1" customHeight="1" x14ac:dyDescent="0.25">
      <c r="A226" s="63" t="s">
        <v>331</v>
      </c>
      <c r="B226" s="63" t="s">
        <v>332</v>
      </c>
      <c r="C226" s="36">
        <v>4301135694</v>
      </c>
      <c r="D226" s="293">
        <v>4620207490501</v>
      </c>
      <c r="E226" s="293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3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6" s="295"/>
      <c r="R226" s="295"/>
      <c r="S226" s="295"/>
      <c r="T226" s="296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7" t="s">
        <v>333</v>
      </c>
      <c r="AG226" s="81"/>
      <c r="AJ226" s="87" t="s">
        <v>89</v>
      </c>
      <c r="AK226" s="87">
        <v>1</v>
      </c>
      <c r="BB226" s="248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1"/>
      <c r="P227" s="297" t="s">
        <v>40</v>
      </c>
      <c r="Q227" s="298"/>
      <c r="R227" s="298"/>
      <c r="S227" s="298"/>
      <c r="T227" s="298"/>
      <c r="U227" s="298"/>
      <c r="V227" s="29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1"/>
      <c r="P228" s="297" t="s">
        <v>40</v>
      </c>
      <c r="Q228" s="298"/>
      <c r="R228" s="298"/>
      <c r="S228" s="298"/>
      <c r="T228" s="298"/>
      <c r="U228" s="298"/>
      <c r="V228" s="29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22" t="s">
        <v>334</v>
      </c>
      <c r="B229" s="322"/>
      <c r="C229" s="322"/>
      <c r="D229" s="322"/>
      <c r="E229" s="322"/>
      <c r="F229" s="322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  <c r="AA229" s="54"/>
      <c r="AB229" s="54"/>
      <c r="AC229" s="54"/>
    </row>
    <row r="230" spans="1:68" ht="16.5" hidden="1" customHeight="1" x14ac:dyDescent="0.25">
      <c r="A230" s="323" t="s">
        <v>335</v>
      </c>
      <c r="B230" s="323"/>
      <c r="C230" s="323"/>
      <c r="D230" s="323"/>
      <c r="E230" s="323"/>
      <c r="F230" s="323"/>
      <c r="G230" s="323"/>
      <c r="H230" s="323"/>
      <c r="I230" s="323"/>
      <c r="J230" s="323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U230" s="323"/>
      <c r="V230" s="323"/>
      <c r="W230" s="323"/>
      <c r="X230" s="323"/>
      <c r="Y230" s="323"/>
      <c r="Z230" s="323"/>
      <c r="AA230" s="65"/>
      <c r="AB230" s="65"/>
      <c r="AC230" s="82"/>
    </row>
    <row r="231" spans="1:68" ht="14.25" hidden="1" customHeight="1" x14ac:dyDescent="0.25">
      <c r="A231" s="311" t="s">
        <v>82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  <c r="AA231" s="66"/>
      <c r="AB231" s="66"/>
      <c r="AC231" s="83"/>
    </row>
    <row r="232" spans="1:68" ht="27" hidden="1" customHeight="1" x14ac:dyDescent="0.25">
      <c r="A232" s="63" t="s">
        <v>336</v>
      </c>
      <c r="B232" s="63" t="s">
        <v>337</v>
      </c>
      <c r="C232" s="36">
        <v>4301071036</v>
      </c>
      <c r="D232" s="293">
        <v>4607111036162</v>
      </c>
      <c r="E232" s="293"/>
      <c r="F232" s="62">
        <v>0.8</v>
      </c>
      <c r="G232" s="37">
        <v>8</v>
      </c>
      <c r="H232" s="62">
        <v>6.4</v>
      </c>
      <c r="I232" s="62">
        <v>6.6811999999999996</v>
      </c>
      <c r="J232" s="37">
        <v>84</v>
      </c>
      <c r="K232" s="37" t="s">
        <v>87</v>
      </c>
      <c r="L232" s="37" t="s">
        <v>88</v>
      </c>
      <c r="M232" s="38" t="s">
        <v>86</v>
      </c>
      <c r="N232" s="38"/>
      <c r="O232" s="37">
        <v>90</v>
      </c>
      <c r="P232" s="3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2" s="295"/>
      <c r="R232" s="295"/>
      <c r="S232" s="295"/>
      <c r="T232" s="296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IFERROR(IF(X232="","",X232*0.0155),"")</f>
        <v>0</v>
      </c>
      <c r="AA232" s="68" t="s">
        <v>46</v>
      </c>
      <c r="AB232" s="69" t="s">
        <v>46</v>
      </c>
      <c r="AC232" s="249" t="s">
        <v>338</v>
      </c>
      <c r="AG232" s="81"/>
      <c r="AJ232" s="87" t="s">
        <v>89</v>
      </c>
      <c r="AK232" s="87">
        <v>1</v>
      </c>
      <c r="BB232" s="250" t="s">
        <v>70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1"/>
      <c r="P233" s="297" t="s">
        <v>40</v>
      </c>
      <c r="Q233" s="298"/>
      <c r="R233" s="298"/>
      <c r="S233" s="298"/>
      <c r="T233" s="298"/>
      <c r="U233" s="298"/>
      <c r="V233" s="29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1"/>
      <c r="P234" s="297" t="s">
        <v>40</v>
      </c>
      <c r="Q234" s="298"/>
      <c r="R234" s="298"/>
      <c r="S234" s="298"/>
      <c r="T234" s="298"/>
      <c r="U234" s="298"/>
      <c r="V234" s="29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27.75" hidden="1" customHeight="1" x14ac:dyDescent="0.2">
      <c r="A235" s="322" t="s">
        <v>339</v>
      </c>
      <c r="B235" s="322"/>
      <c r="C235" s="322"/>
      <c r="D235" s="322"/>
      <c r="E235" s="322"/>
      <c r="F235" s="322"/>
      <c r="G235" s="322"/>
      <c r="H235" s="322"/>
      <c r="I235" s="322"/>
      <c r="J235" s="322"/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54"/>
      <c r="AB235" s="54"/>
      <c r="AC235" s="54"/>
    </row>
    <row r="236" spans="1:68" ht="16.5" hidden="1" customHeight="1" x14ac:dyDescent="0.25">
      <c r="A236" s="323" t="s">
        <v>340</v>
      </c>
      <c r="B236" s="323"/>
      <c r="C236" s="323"/>
      <c r="D236" s="323"/>
      <c r="E236" s="323"/>
      <c r="F236" s="323"/>
      <c r="G236" s="323"/>
      <c r="H236" s="323"/>
      <c r="I236" s="323"/>
      <c r="J236" s="323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U236" s="323"/>
      <c r="V236" s="323"/>
      <c r="W236" s="323"/>
      <c r="X236" s="323"/>
      <c r="Y236" s="323"/>
      <c r="Z236" s="323"/>
      <c r="AA236" s="65"/>
      <c r="AB236" s="65"/>
      <c r="AC236" s="82"/>
    </row>
    <row r="237" spans="1:68" ht="14.25" hidden="1" customHeight="1" x14ac:dyDescent="0.25">
      <c r="A237" s="311" t="s">
        <v>341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11"/>
      <c r="Q237" s="311"/>
      <c r="R237" s="311"/>
      <c r="S237" s="311"/>
      <c r="T237" s="311"/>
      <c r="U237" s="311"/>
      <c r="V237" s="311"/>
      <c r="W237" s="311"/>
      <c r="X237" s="311"/>
      <c r="Y237" s="311"/>
      <c r="Z237" s="311"/>
      <c r="AA237" s="66"/>
      <c r="AB237" s="66"/>
      <c r="AC237" s="83"/>
    </row>
    <row r="238" spans="1:68" ht="27" hidden="1" customHeight="1" x14ac:dyDescent="0.25">
      <c r="A238" s="63" t="s">
        <v>342</v>
      </c>
      <c r="B238" s="63" t="s">
        <v>343</v>
      </c>
      <c r="C238" s="36">
        <v>4301133004</v>
      </c>
      <c r="D238" s="293">
        <v>4607111039774</v>
      </c>
      <c r="E238" s="293"/>
      <c r="F238" s="62">
        <v>0.25</v>
      </c>
      <c r="G238" s="37">
        <v>12</v>
      </c>
      <c r="H238" s="62">
        <v>3</v>
      </c>
      <c r="I238" s="62">
        <v>3.22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95"/>
      <c r="R238" s="295"/>
      <c r="S238" s="295"/>
      <c r="T238" s="296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344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1"/>
      <c r="P239" s="297" t="s">
        <v>40</v>
      </c>
      <c r="Q239" s="298"/>
      <c r="R239" s="298"/>
      <c r="S239" s="298"/>
      <c r="T239" s="298"/>
      <c r="U239" s="298"/>
      <c r="V239" s="299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1"/>
      <c r="P240" s="297" t="s">
        <v>40</v>
      </c>
      <c r="Q240" s="298"/>
      <c r="R240" s="298"/>
      <c r="S240" s="298"/>
      <c r="T240" s="298"/>
      <c r="U240" s="298"/>
      <c r="V240" s="299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14.25" hidden="1" customHeight="1" x14ac:dyDescent="0.25">
      <c r="A241" s="311" t="s">
        <v>157</v>
      </c>
      <c r="B241" s="311"/>
      <c r="C241" s="311"/>
      <c r="D241" s="311"/>
      <c r="E241" s="311"/>
      <c r="F241" s="311"/>
      <c r="G241" s="311"/>
      <c r="H241" s="311"/>
      <c r="I241" s="311"/>
      <c r="J241" s="311"/>
      <c r="K241" s="311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  <c r="AA241" s="66"/>
      <c r="AB241" s="66"/>
      <c r="AC241" s="83"/>
    </row>
    <row r="242" spans="1:68" ht="37.5" hidden="1" customHeight="1" x14ac:dyDescent="0.25">
      <c r="A242" s="63" t="s">
        <v>345</v>
      </c>
      <c r="B242" s="63" t="s">
        <v>346</v>
      </c>
      <c r="C242" s="36">
        <v>4301135400</v>
      </c>
      <c r="D242" s="293">
        <v>4607111039361</v>
      </c>
      <c r="E242" s="293"/>
      <c r="F242" s="62">
        <v>0.25</v>
      </c>
      <c r="G242" s="37">
        <v>12</v>
      </c>
      <c r="H242" s="62">
        <v>3</v>
      </c>
      <c r="I242" s="62">
        <v>3.7035999999999998</v>
      </c>
      <c r="J242" s="37">
        <v>70</v>
      </c>
      <c r="K242" s="37" t="s">
        <v>118</v>
      </c>
      <c r="L242" s="37" t="s">
        <v>88</v>
      </c>
      <c r="M242" s="38" t="s">
        <v>86</v>
      </c>
      <c r="N242" s="38"/>
      <c r="O242" s="37">
        <v>180</v>
      </c>
      <c r="P242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95"/>
      <c r="R242" s="295"/>
      <c r="S242" s="295"/>
      <c r="T242" s="296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53" t="s">
        <v>344</v>
      </c>
      <c r="AG242" s="81"/>
      <c r="AJ242" s="87" t="s">
        <v>89</v>
      </c>
      <c r="AK242" s="87">
        <v>1</v>
      </c>
      <c r="BB242" s="254" t="s">
        <v>117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1"/>
      <c r="P243" s="297" t="s">
        <v>40</v>
      </c>
      <c r="Q243" s="298"/>
      <c r="R243" s="298"/>
      <c r="S243" s="298"/>
      <c r="T243" s="298"/>
      <c r="U243" s="298"/>
      <c r="V243" s="299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1"/>
      <c r="P244" s="297" t="s">
        <v>40</v>
      </c>
      <c r="Q244" s="298"/>
      <c r="R244" s="298"/>
      <c r="S244" s="298"/>
      <c r="T244" s="298"/>
      <c r="U244" s="298"/>
      <c r="V244" s="299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hidden="1" customHeight="1" x14ac:dyDescent="0.2">
      <c r="A245" s="322" t="s">
        <v>347</v>
      </c>
      <c r="B245" s="322"/>
      <c r="C245" s="322"/>
      <c r="D245" s="322"/>
      <c r="E245" s="322"/>
      <c r="F245" s="322"/>
      <c r="G245" s="322"/>
      <c r="H245" s="322"/>
      <c r="I245" s="322"/>
      <c r="J245" s="322"/>
      <c r="K245" s="32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  <c r="AA245" s="54"/>
      <c r="AB245" s="54"/>
      <c r="AC245" s="54"/>
    </row>
    <row r="246" spans="1:68" ht="16.5" hidden="1" customHeight="1" x14ac:dyDescent="0.25">
      <c r="A246" s="323" t="s">
        <v>347</v>
      </c>
      <c r="B246" s="323"/>
      <c r="C246" s="323"/>
      <c r="D246" s="323"/>
      <c r="E246" s="323"/>
      <c r="F246" s="323"/>
      <c r="G246" s="323"/>
      <c r="H246" s="323"/>
      <c r="I246" s="323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U246" s="323"/>
      <c r="V246" s="323"/>
      <c r="W246" s="323"/>
      <c r="X246" s="323"/>
      <c r="Y246" s="323"/>
      <c r="Z246" s="323"/>
      <c r="AA246" s="65"/>
      <c r="AB246" s="65"/>
      <c r="AC246" s="82"/>
    </row>
    <row r="247" spans="1:68" ht="14.25" hidden="1" customHeight="1" x14ac:dyDescent="0.25">
      <c r="A247" s="311" t="s">
        <v>151</v>
      </c>
      <c r="B247" s="311"/>
      <c r="C247" s="311"/>
      <c r="D247" s="311"/>
      <c r="E247" s="311"/>
      <c r="F247" s="311"/>
      <c r="G247" s="311"/>
      <c r="H247" s="311"/>
      <c r="I247" s="311"/>
      <c r="J247" s="311"/>
      <c r="K247" s="311"/>
      <c r="L247" s="311"/>
      <c r="M247" s="311"/>
      <c r="N247" s="311"/>
      <c r="O247" s="311"/>
      <c r="P247" s="311"/>
      <c r="Q247" s="311"/>
      <c r="R247" s="311"/>
      <c r="S247" s="311"/>
      <c r="T247" s="311"/>
      <c r="U247" s="311"/>
      <c r="V247" s="311"/>
      <c r="W247" s="311"/>
      <c r="X247" s="311"/>
      <c r="Y247" s="311"/>
      <c r="Z247" s="311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293">
        <v>4640242181943</v>
      </c>
      <c r="E248" s="293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5"/>
      <c r="R248" s="295"/>
      <c r="S248" s="295"/>
      <c r="T248" s="296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1"/>
      <c r="P249" s="297" t="s">
        <v>40</v>
      </c>
      <c r="Q249" s="298"/>
      <c r="R249" s="298"/>
      <c r="S249" s="298"/>
      <c r="T249" s="298"/>
      <c r="U249" s="298"/>
      <c r="V249" s="299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1"/>
      <c r="P250" s="297" t="s">
        <v>40</v>
      </c>
      <c r="Q250" s="298"/>
      <c r="R250" s="298"/>
      <c r="S250" s="298"/>
      <c r="T250" s="298"/>
      <c r="U250" s="298"/>
      <c r="V250" s="299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1" t="s">
        <v>82</v>
      </c>
      <c r="B253" s="311"/>
      <c r="C253" s="311"/>
      <c r="D253" s="311"/>
      <c r="E253" s="311"/>
      <c r="F253" s="311"/>
      <c r="G253" s="311"/>
      <c r="H253" s="311"/>
      <c r="I253" s="311"/>
      <c r="J253" s="311"/>
      <c r="K253" s="311"/>
      <c r="L253" s="311"/>
      <c r="M253" s="311"/>
      <c r="N253" s="311"/>
      <c r="O253" s="311"/>
      <c r="P253" s="311"/>
      <c r="Q253" s="311"/>
      <c r="R253" s="311"/>
      <c r="S253" s="311"/>
      <c r="T253" s="311"/>
      <c r="U253" s="311"/>
      <c r="V253" s="311"/>
      <c r="W253" s="311"/>
      <c r="X253" s="311"/>
      <c r="Y253" s="311"/>
      <c r="Z253" s="311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293">
        <v>4640242181264</v>
      </c>
      <c r="E254" s="293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5"/>
      <c r="R254" s="295"/>
      <c r="S254" s="295"/>
      <c r="T254" s="296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293">
        <v>4640242181325</v>
      </c>
      <c r="E255" s="293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1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5"/>
      <c r="R255" s="295"/>
      <c r="S255" s="295"/>
      <c r="T255" s="296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idden="1" x14ac:dyDescent="0.2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1"/>
      <c r="P256" s="297" t="s">
        <v>40</v>
      </c>
      <c r="Q256" s="298"/>
      <c r="R256" s="298"/>
      <c r="S256" s="298"/>
      <c r="T256" s="298"/>
      <c r="U256" s="298"/>
      <c r="V256" s="299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1"/>
      <c r="P257" s="297" t="s">
        <v>40</v>
      </c>
      <c r="Q257" s="298"/>
      <c r="R257" s="298"/>
      <c r="S257" s="298"/>
      <c r="T257" s="298"/>
      <c r="U257" s="298"/>
      <c r="V257" s="299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hidden="1" customHeight="1" x14ac:dyDescent="0.25">
      <c r="A258" s="311" t="s">
        <v>113</v>
      </c>
      <c r="B258" s="311"/>
      <c r="C258" s="311"/>
      <c r="D258" s="311"/>
      <c r="E258" s="311"/>
      <c r="F258" s="311"/>
      <c r="G258" s="311"/>
      <c r="H258" s="311"/>
      <c r="I258" s="311"/>
      <c r="J258" s="311"/>
      <c r="K258" s="311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  <c r="AA258" s="66"/>
      <c r="AB258" s="66"/>
      <c r="AC258" s="83"/>
    </row>
    <row r="259" spans="1:68" ht="27" customHeight="1" x14ac:dyDescent="0.25">
      <c r="A259" s="63" t="s">
        <v>357</v>
      </c>
      <c r="B259" s="63" t="s">
        <v>358</v>
      </c>
      <c r="C259" s="36">
        <v>4301132080</v>
      </c>
      <c r="D259" s="293">
        <v>4640242180397</v>
      </c>
      <c r="E259" s="293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32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295"/>
      <c r="R259" s="295"/>
      <c r="S259" s="295"/>
      <c r="T259" s="296"/>
      <c r="U259" s="39" t="s">
        <v>46</v>
      </c>
      <c r="V259" s="39" t="s">
        <v>46</v>
      </c>
      <c r="W259" s="40" t="s">
        <v>39</v>
      </c>
      <c r="X259" s="58">
        <v>108</v>
      </c>
      <c r="Y259" s="55">
        <f>IFERROR(IF(X259="","",X259),"")</f>
        <v>108</v>
      </c>
      <c r="Z259" s="41">
        <f>IFERROR(IF(X259="","",X259*0.0155),"")</f>
        <v>1.6739999999999999</v>
      </c>
      <c r="AA259" s="68" t="s">
        <v>46</v>
      </c>
      <c r="AB259" s="69" t="s">
        <v>46</v>
      </c>
      <c r="AC259" s="261" t="s">
        <v>359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676.07999999999993</v>
      </c>
      <c r="BN259" s="81">
        <f>IFERROR(Y259*I259,"0")</f>
        <v>676.07999999999993</v>
      </c>
      <c r="BO259" s="81">
        <f>IFERROR(X259/J259,"0")</f>
        <v>1.2857142857142858</v>
      </c>
      <c r="BP259" s="81">
        <f>IFERROR(Y259/J259,"0")</f>
        <v>1.2857142857142858</v>
      </c>
    </row>
    <row r="260" spans="1:68" x14ac:dyDescent="0.2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1"/>
      <c r="P260" s="297" t="s">
        <v>40</v>
      </c>
      <c r="Q260" s="298"/>
      <c r="R260" s="298"/>
      <c r="S260" s="298"/>
      <c r="T260" s="298"/>
      <c r="U260" s="298"/>
      <c r="V260" s="299"/>
      <c r="W260" s="42" t="s">
        <v>39</v>
      </c>
      <c r="X260" s="43">
        <f>IFERROR(SUM(X259:X259),"0")</f>
        <v>108</v>
      </c>
      <c r="Y260" s="43">
        <f>IFERROR(SUM(Y259:Y259),"0")</f>
        <v>108</v>
      </c>
      <c r="Z260" s="43">
        <f>IFERROR(IF(Z259="",0,Z259),"0")</f>
        <v>1.6739999999999999</v>
      </c>
      <c r="AA260" s="67"/>
      <c r="AB260" s="67"/>
      <c r="AC260" s="67"/>
    </row>
    <row r="261" spans="1:68" x14ac:dyDescent="0.2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1"/>
      <c r="P261" s="297" t="s">
        <v>40</v>
      </c>
      <c r="Q261" s="298"/>
      <c r="R261" s="298"/>
      <c r="S261" s="298"/>
      <c r="T261" s="298"/>
      <c r="U261" s="298"/>
      <c r="V261" s="299"/>
      <c r="W261" s="42" t="s">
        <v>0</v>
      </c>
      <c r="X261" s="43">
        <f>IFERROR(SUMPRODUCT(X259:X259*H259:H259),"0")</f>
        <v>648</v>
      </c>
      <c r="Y261" s="43">
        <f>IFERROR(SUMPRODUCT(Y259:Y259*H259:H259),"0")</f>
        <v>648</v>
      </c>
      <c r="Z261" s="42"/>
      <c r="AA261" s="67"/>
      <c r="AB261" s="67"/>
      <c r="AC261" s="67"/>
    </row>
    <row r="262" spans="1:68" ht="14.25" hidden="1" customHeight="1" x14ac:dyDescent="0.25">
      <c r="A262" s="311" t="s">
        <v>151</v>
      </c>
      <c r="B262" s="311"/>
      <c r="C262" s="311"/>
      <c r="D262" s="311"/>
      <c r="E262" s="311"/>
      <c r="F262" s="311"/>
      <c r="G262" s="311"/>
      <c r="H262" s="311"/>
      <c r="I262" s="311"/>
      <c r="J262" s="311"/>
      <c r="K262" s="311"/>
      <c r="L262" s="311"/>
      <c r="M262" s="311"/>
      <c r="N262" s="311"/>
      <c r="O262" s="311"/>
      <c r="P262" s="311"/>
      <c r="Q262" s="311"/>
      <c r="R262" s="311"/>
      <c r="S262" s="311"/>
      <c r="T262" s="311"/>
      <c r="U262" s="311"/>
      <c r="V262" s="311"/>
      <c r="W262" s="311"/>
      <c r="X262" s="311"/>
      <c r="Y262" s="311"/>
      <c r="Z262" s="311"/>
      <c r="AA262" s="66"/>
      <c r="AB262" s="66"/>
      <c r="AC262" s="83"/>
    </row>
    <row r="263" spans="1:68" ht="27" hidden="1" customHeight="1" x14ac:dyDescent="0.25">
      <c r="A263" s="63" t="s">
        <v>360</v>
      </c>
      <c r="B263" s="63" t="s">
        <v>361</v>
      </c>
      <c r="C263" s="36">
        <v>4301136051</v>
      </c>
      <c r="D263" s="293">
        <v>4640242180304</v>
      </c>
      <c r="E263" s="293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3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295"/>
      <c r="R263" s="295"/>
      <c r="S263" s="295"/>
      <c r="T263" s="296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362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363</v>
      </c>
      <c r="B264" s="63" t="s">
        <v>364</v>
      </c>
      <c r="C264" s="36">
        <v>4301136053</v>
      </c>
      <c r="D264" s="293">
        <v>4640242180236</v>
      </c>
      <c r="E264" s="293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31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295"/>
      <c r="R264" s="295"/>
      <c r="S264" s="295"/>
      <c r="T264" s="296"/>
      <c r="U264" s="39" t="s">
        <v>46</v>
      </c>
      <c r="V264" s="39" t="s">
        <v>46</v>
      </c>
      <c r="W264" s="40" t="s">
        <v>39</v>
      </c>
      <c r="X264" s="58">
        <v>180</v>
      </c>
      <c r="Y264" s="55">
        <f>IFERROR(IF(X264="","",X264),"")</f>
        <v>180</v>
      </c>
      <c r="Z264" s="41">
        <f>IFERROR(IF(X264="","",X264*0.0155),"")</f>
        <v>2.79</v>
      </c>
      <c r="AA264" s="68" t="s">
        <v>46</v>
      </c>
      <c r="AB264" s="69" t="s">
        <v>46</v>
      </c>
      <c r="AC264" s="265" t="s">
        <v>362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942.30000000000007</v>
      </c>
      <c r="BN264" s="81">
        <f>IFERROR(Y264*I264,"0")</f>
        <v>942.30000000000007</v>
      </c>
      <c r="BO264" s="81">
        <f>IFERROR(X264/J264,"0")</f>
        <v>2.1428571428571428</v>
      </c>
      <c r="BP264" s="81">
        <f>IFERROR(Y264/J264,"0")</f>
        <v>2.1428571428571428</v>
      </c>
    </row>
    <row r="265" spans="1:68" ht="27" customHeight="1" x14ac:dyDescent="0.25">
      <c r="A265" s="63" t="s">
        <v>365</v>
      </c>
      <c r="B265" s="63" t="s">
        <v>366</v>
      </c>
      <c r="C265" s="36">
        <v>4301136052</v>
      </c>
      <c r="D265" s="293">
        <v>4640242180410</v>
      </c>
      <c r="E265" s="293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31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295"/>
      <c r="R265" s="295"/>
      <c r="S265" s="295"/>
      <c r="T265" s="296"/>
      <c r="U265" s="39" t="s">
        <v>46</v>
      </c>
      <c r="V265" s="39" t="s">
        <v>46</v>
      </c>
      <c r="W265" s="40" t="s">
        <v>39</v>
      </c>
      <c r="X265" s="58">
        <v>14</v>
      </c>
      <c r="Y265" s="55">
        <f>IFERROR(IF(X265="","",X265),"")</f>
        <v>14</v>
      </c>
      <c r="Z265" s="41">
        <f>IFERROR(IF(X265="","",X265*0.00936),"")</f>
        <v>0.13103999999999999</v>
      </c>
      <c r="AA265" s="68" t="s">
        <v>46</v>
      </c>
      <c r="AB265" s="69" t="s">
        <v>46</v>
      </c>
      <c r="AC265" s="267" t="s">
        <v>362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34.048000000000002</v>
      </c>
      <c r="BN265" s="81">
        <f>IFERROR(Y265*I265,"0")</f>
        <v>34.048000000000002</v>
      </c>
      <c r="BO265" s="81">
        <f>IFERROR(X265/J265,"0")</f>
        <v>0.1111111111111111</v>
      </c>
      <c r="BP265" s="81">
        <f>IFERROR(Y265/J265,"0")</f>
        <v>0.1111111111111111</v>
      </c>
    </row>
    <row r="266" spans="1:68" x14ac:dyDescent="0.2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1"/>
      <c r="P266" s="297" t="s">
        <v>40</v>
      </c>
      <c r="Q266" s="298"/>
      <c r="R266" s="298"/>
      <c r="S266" s="298"/>
      <c r="T266" s="298"/>
      <c r="U266" s="298"/>
      <c r="V266" s="299"/>
      <c r="W266" s="42" t="s">
        <v>39</v>
      </c>
      <c r="X266" s="43">
        <f>IFERROR(SUM(X263:X265),"0")</f>
        <v>194</v>
      </c>
      <c r="Y266" s="43">
        <f>IFERROR(SUM(Y263:Y265),"0")</f>
        <v>194</v>
      </c>
      <c r="Z266" s="43">
        <f>IFERROR(IF(Z263="",0,Z263),"0")+IFERROR(IF(Z264="",0,Z264),"0")+IFERROR(IF(Z265="",0,Z265),"0")</f>
        <v>2.9210400000000001</v>
      </c>
      <c r="AA266" s="67"/>
      <c r="AB266" s="67"/>
      <c r="AC266" s="67"/>
    </row>
    <row r="267" spans="1:68" x14ac:dyDescent="0.2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1"/>
      <c r="P267" s="297" t="s">
        <v>40</v>
      </c>
      <c r="Q267" s="298"/>
      <c r="R267" s="298"/>
      <c r="S267" s="298"/>
      <c r="T267" s="298"/>
      <c r="U267" s="298"/>
      <c r="V267" s="299"/>
      <c r="W267" s="42" t="s">
        <v>0</v>
      </c>
      <c r="X267" s="43">
        <f>IFERROR(SUMPRODUCT(X263:X265*H263:H265),"0")</f>
        <v>931.36</v>
      </c>
      <c r="Y267" s="43">
        <f>IFERROR(SUMPRODUCT(Y263:Y265*H263:H265),"0")</f>
        <v>931.36</v>
      </c>
      <c r="Z267" s="42"/>
      <c r="AA267" s="67"/>
      <c r="AB267" s="67"/>
      <c r="AC267" s="67"/>
    </row>
    <row r="268" spans="1:68" ht="14.25" hidden="1" customHeight="1" x14ac:dyDescent="0.25">
      <c r="A268" s="311" t="s">
        <v>157</v>
      </c>
      <c r="B268" s="311"/>
      <c r="C268" s="311"/>
      <c r="D268" s="311"/>
      <c r="E268" s="311"/>
      <c r="F268" s="311"/>
      <c r="G268" s="311"/>
      <c r="H268" s="311"/>
      <c r="I268" s="311"/>
      <c r="J268" s="311"/>
      <c r="K268" s="311"/>
      <c r="L268" s="311"/>
      <c r="M268" s="311"/>
      <c r="N268" s="311"/>
      <c r="O268" s="311"/>
      <c r="P268" s="311"/>
      <c r="Q268" s="311"/>
      <c r="R268" s="311"/>
      <c r="S268" s="311"/>
      <c r="T268" s="311"/>
      <c r="U268" s="311"/>
      <c r="V268" s="311"/>
      <c r="W268" s="311"/>
      <c r="X268" s="311"/>
      <c r="Y268" s="311"/>
      <c r="Z268" s="311"/>
      <c r="AA268" s="66"/>
      <c r="AB268" s="66"/>
      <c r="AC268" s="83"/>
    </row>
    <row r="269" spans="1:68" ht="37.5" customHeight="1" x14ac:dyDescent="0.25">
      <c r="A269" s="63" t="s">
        <v>367</v>
      </c>
      <c r="B269" s="63" t="s">
        <v>368</v>
      </c>
      <c r="C269" s="36">
        <v>4301135504</v>
      </c>
      <c r="D269" s="293">
        <v>4640242181554</v>
      </c>
      <c r="E269" s="293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31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295"/>
      <c r="R269" s="295"/>
      <c r="S269" s="295"/>
      <c r="T269" s="296"/>
      <c r="U269" s="39" t="s">
        <v>46</v>
      </c>
      <c r="V269" s="39" t="s">
        <v>46</v>
      </c>
      <c r="W269" s="40" t="s">
        <v>39</v>
      </c>
      <c r="X269" s="58">
        <v>28</v>
      </c>
      <c r="Y269" s="55">
        <f t="shared" ref="Y269:Y278" si="18">IFERROR(IF(X269="","",X269),"")</f>
        <v>28</v>
      </c>
      <c r="Z269" s="41">
        <f>IFERROR(IF(X269="","",X269*0.00936),"")</f>
        <v>0.26207999999999998</v>
      </c>
      <c r="AA269" s="68" t="s">
        <v>46</v>
      </c>
      <c r="AB269" s="69" t="s">
        <v>46</v>
      </c>
      <c r="AC269" s="269" t="s">
        <v>369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89.376000000000005</v>
      </c>
      <c r="BN269" s="81">
        <f t="shared" ref="BN269:BN278" si="20">IFERROR(Y269*I269,"0")</f>
        <v>89.376000000000005</v>
      </c>
      <c r="BO269" s="81">
        <f t="shared" ref="BO269:BO278" si="21">IFERROR(X269/J269,"0")</f>
        <v>0.22222222222222221</v>
      </c>
      <c r="BP269" s="81">
        <f t="shared" ref="BP269:BP278" si="22">IFERROR(Y269/J269,"0")</f>
        <v>0.22222222222222221</v>
      </c>
    </row>
    <row r="270" spans="1:68" ht="27" customHeight="1" x14ac:dyDescent="0.25">
      <c r="A270" s="63" t="s">
        <v>370</v>
      </c>
      <c r="B270" s="63" t="s">
        <v>371</v>
      </c>
      <c r="C270" s="36">
        <v>4301135518</v>
      </c>
      <c r="D270" s="293">
        <v>4640242181561</v>
      </c>
      <c r="E270" s="293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31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295"/>
      <c r="R270" s="295"/>
      <c r="S270" s="295"/>
      <c r="T270" s="296"/>
      <c r="U270" s="39" t="s">
        <v>46</v>
      </c>
      <c r="V270" s="39" t="s">
        <v>46</v>
      </c>
      <c r="W270" s="40" t="s">
        <v>39</v>
      </c>
      <c r="X270" s="58">
        <v>224</v>
      </c>
      <c r="Y270" s="55">
        <f t="shared" si="18"/>
        <v>224</v>
      </c>
      <c r="Z270" s="41">
        <f>IFERROR(IF(X270="","",X270*0.00936),"")</f>
        <v>2.0966399999999998</v>
      </c>
      <c r="AA270" s="68" t="s">
        <v>46</v>
      </c>
      <c r="AB270" s="69" t="s">
        <v>46</v>
      </c>
      <c r="AC270" s="271" t="s">
        <v>372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871.80799999999999</v>
      </c>
      <c r="BN270" s="81">
        <f t="shared" si="20"/>
        <v>871.80799999999999</v>
      </c>
      <c r="BO270" s="81">
        <f t="shared" si="21"/>
        <v>1.7777777777777777</v>
      </c>
      <c r="BP270" s="81">
        <f t="shared" si="22"/>
        <v>1.7777777777777777</v>
      </c>
    </row>
    <row r="271" spans="1:68" ht="27" customHeight="1" x14ac:dyDescent="0.25">
      <c r="A271" s="63" t="s">
        <v>373</v>
      </c>
      <c r="B271" s="63" t="s">
        <v>374</v>
      </c>
      <c r="C271" s="36">
        <v>4301135374</v>
      </c>
      <c r="D271" s="293">
        <v>4640242181424</v>
      </c>
      <c r="E271" s="293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31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295"/>
      <c r="R271" s="295"/>
      <c r="S271" s="295"/>
      <c r="T271" s="296"/>
      <c r="U271" s="39" t="s">
        <v>46</v>
      </c>
      <c r="V271" s="39" t="s">
        <v>46</v>
      </c>
      <c r="W271" s="40" t="s">
        <v>39</v>
      </c>
      <c r="X271" s="58">
        <v>24</v>
      </c>
      <c r="Y271" s="55">
        <f t="shared" si="18"/>
        <v>24</v>
      </c>
      <c r="Z271" s="41">
        <f>IFERROR(IF(X271="","",X271*0.0155),"")</f>
        <v>0.372</v>
      </c>
      <c r="AA271" s="68" t="s">
        <v>46</v>
      </c>
      <c r="AB271" s="69" t="s">
        <v>46</v>
      </c>
      <c r="AC271" s="273" t="s">
        <v>369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137.64000000000001</v>
      </c>
      <c r="BN271" s="81">
        <f t="shared" si="20"/>
        <v>137.64000000000001</v>
      </c>
      <c r="BO271" s="81">
        <f t="shared" si="21"/>
        <v>0.2857142857142857</v>
      </c>
      <c r="BP271" s="81">
        <f t="shared" si="22"/>
        <v>0.2857142857142857</v>
      </c>
    </row>
    <row r="272" spans="1:68" ht="27" customHeight="1" x14ac:dyDescent="0.25">
      <c r="A272" s="63" t="s">
        <v>375</v>
      </c>
      <c r="B272" s="63" t="s">
        <v>376</v>
      </c>
      <c r="C272" s="36">
        <v>4301135405</v>
      </c>
      <c r="D272" s="293">
        <v>4640242181523</v>
      </c>
      <c r="E272" s="293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31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295"/>
      <c r="R272" s="295"/>
      <c r="S272" s="295"/>
      <c r="T272" s="296"/>
      <c r="U272" s="39" t="s">
        <v>46</v>
      </c>
      <c r="V272" s="39" t="s">
        <v>46</v>
      </c>
      <c r="W272" s="40" t="s">
        <v>39</v>
      </c>
      <c r="X272" s="58">
        <v>210</v>
      </c>
      <c r="Y272" s="55">
        <f t="shared" si="18"/>
        <v>210</v>
      </c>
      <c r="Z272" s="41">
        <f t="shared" ref="Z272:Z277" si="23">IFERROR(IF(X272="","",X272*0.00936),"")</f>
        <v>1.9656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670.32</v>
      </c>
      <c r="BN272" s="81">
        <f t="shared" si="20"/>
        <v>670.32</v>
      </c>
      <c r="BO272" s="81">
        <f t="shared" si="21"/>
        <v>1.6666666666666667</v>
      </c>
      <c r="BP272" s="81">
        <f t="shared" si="22"/>
        <v>1.6666666666666667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4301135375</v>
      </c>
      <c r="D273" s="293">
        <v>4640242181486</v>
      </c>
      <c r="E273" s="293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0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295"/>
      <c r="R273" s="295"/>
      <c r="S273" s="295"/>
      <c r="T273" s="296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369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379</v>
      </c>
      <c r="B274" s="63" t="s">
        <v>380</v>
      </c>
      <c r="C274" s="36">
        <v>4301135402</v>
      </c>
      <c r="D274" s="293">
        <v>4640242181493</v>
      </c>
      <c r="E274" s="293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0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295"/>
      <c r="R274" s="295"/>
      <c r="S274" s="295"/>
      <c r="T274" s="296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369</v>
      </c>
      <c r="AG274" s="81"/>
      <c r="AJ274" s="87" t="s">
        <v>89</v>
      </c>
      <c r="AK274" s="87">
        <v>1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4301135403</v>
      </c>
      <c r="D275" s="293">
        <v>4640242181509</v>
      </c>
      <c r="E275" s="293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30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295"/>
      <c r="R275" s="295"/>
      <c r="S275" s="295"/>
      <c r="T275" s="296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369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4301135304</v>
      </c>
      <c r="D276" s="293">
        <v>4640242181240</v>
      </c>
      <c r="E276" s="293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295"/>
      <c r="R276" s="295"/>
      <c r="S276" s="295"/>
      <c r="T276" s="296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369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4301135610</v>
      </c>
      <c r="D277" s="293">
        <v>4640242181318</v>
      </c>
      <c r="E277" s="293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295"/>
      <c r="R277" s="295"/>
      <c r="S277" s="295"/>
      <c r="T277" s="296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4301135306</v>
      </c>
      <c r="D278" s="293">
        <v>4640242181387</v>
      </c>
      <c r="E278" s="293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169</v>
      </c>
      <c r="L278" s="37" t="s">
        <v>88</v>
      </c>
      <c r="M278" s="38" t="s">
        <v>86</v>
      </c>
      <c r="N278" s="38"/>
      <c r="O278" s="37">
        <v>180</v>
      </c>
      <c r="P278" s="29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295"/>
      <c r="R278" s="295"/>
      <c r="S278" s="295"/>
      <c r="T278" s="296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369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1"/>
      <c r="P279" s="297" t="s">
        <v>40</v>
      </c>
      <c r="Q279" s="298"/>
      <c r="R279" s="298"/>
      <c r="S279" s="298"/>
      <c r="T279" s="298"/>
      <c r="U279" s="298"/>
      <c r="V279" s="299"/>
      <c r="W279" s="42" t="s">
        <v>39</v>
      </c>
      <c r="X279" s="43">
        <f>IFERROR(SUM(X269:X278),"0")</f>
        <v>486</v>
      </c>
      <c r="Y279" s="43">
        <f>IFERROR(SUM(Y269:Y278),"0")</f>
        <v>486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4.6963200000000001</v>
      </c>
      <c r="AA279" s="67"/>
      <c r="AB279" s="67"/>
      <c r="AC279" s="67"/>
    </row>
    <row r="280" spans="1:68" x14ac:dyDescent="0.2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1"/>
      <c r="P280" s="297" t="s">
        <v>40</v>
      </c>
      <c r="Q280" s="298"/>
      <c r="R280" s="298"/>
      <c r="S280" s="298"/>
      <c r="T280" s="298"/>
      <c r="U280" s="298"/>
      <c r="V280" s="299"/>
      <c r="W280" s="42" t="s">
        <v>0</v>
      </c>
      <c r="X280" s="43">
        <f>IFERROR(SUMPRODUCT(X269:X278*H269:H278),"0")</f>
        <v>1674.8000000000002</v>
      </c>
      <c r="Y280" s="43">
        <f>IFERROR(SUMPRODUCT(Y269:Y278*H269:H278),"0")</f>
        <v>1674.8000000000002</v>
      </c>
      <c r="Z280" s="42"/>
      <c r="AA280" s="67"/>
      <c r="AB280" s="67"/>
      <c r="AC280" s="67"/>
    </row>
    <row r="281" spans="1:68" ht="15" customHeight="1" x14ac:dyDescent="0.2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5"/>
      <c r="P281" s="302" t="s">
        <v>33</v>
      </c>
      <c r="Q281" s="303"/>
      <c r="R281" s="303"/>
      <c r="S281" s="303"/>
      <c r="T281" s="303"/>
      <c r="U281" s="303"/>
      <c r="V281" s="304"/>
      <c r="W281" s="42" t="s">
        <v>0</v>
      </c>
      <c r="X281" s="43">
        <f>IFERROR(X31+X37+X44+X51+X59+X64+X68+X73+X79+X85+X90+X96+X106+X112+X124+X128+X132+X140+X146+X152+X158+X164+X169+X174+X179+X186+X191+X200+X206+X212+X218+X223+X228+X234+X240+X244+X250+X257+X261+X267+X280,"0")</f>
        <v>15280.68</v>
      </c>
      <c r="Y281" s="43">
        <f>IFERROR(Y31+Y37+Y44+Y51+Y59+Y64+Y68+Y73+Y79+Y85+Y90+Y96+Y106+Y112+Y124+Y128+Y132+Y140+Y146+Y152+Y158+Y164+Y169+Y174+Y179+Y186+Y191+Y200+Y206+Y212+Y218+Y223+Y228+Y234+Y240+Y244+Y250+Y257+Y261+Y267+Y280,"0")</f>
        <v>15280.68</v>
      </c>
      <c r="Z281" s="42"/>
      <c r="AA281" s="67"/>
      <c r="AB281" s="67"/>
      <c r="AC281" s="67"/>
    </row>
    <row r="282" spans="1:68" x14ac:dyDescent="0.2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5"/>
      <c r="P282" s="302" t="s">
        <v>34</v>
      </c>
      <c r="Q282" s="303"/>
      <c r="R282" s="303"/>
      <c r="S282" s="303"/>
      <c r="T282" s="303"/>
      <c r="U282" s="303"/>
      <c r="V282" s="304"/>
      <c r="W282" s="42" t="s">
        <v>0</v>
      </c>
      <c r="X282" s="43">
        <f>IFERROR(SUM(BM22:BM278),"0")</f>
        <v>16538.735999999997</v>
      </c>
      <c r="Y282" s="43">
        <f>IFERROR(SUM(BN22:BN278),"0")</f>
        <v>16538.735999999997</v>
      </c>
      <c r="Z282" s="42"/>
      <c r="AA282" s="67"/>
      <c r="AB282" s="67"/>
      <c r="AC282" s="67"/>
    </row>
    <row r="283" spans="1:68" x14ac:dyDescent="0.2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5"/>
      <c r="P283" s="302" t="s">
        <v>35</v>
      </c>
      <c r="Q283" s="303"/>
      <c r="R283" s="303"/>
      <c r="S283" s="303"/>
      <c r="T283" s="303"/>
      <c r="U283" s="303"/>
      <c r="V283" s="304"/>
      <c r="W283" s="42" t="s">
        <v>20</v>
      </c>
      <c r="X283" s="44">
        <f>ROUNDUP(SUM(BO22:BO278),0)</f>
        <v>39</v>
      </c>
      <c r="Y283" s="44">
        <f>ROUNDUP(SUM(BP22:BP278),0)</f>
        <v>39</v>
      </c>
      <c r="Z283" s="42"/>
      <c r="AA283" s="67"/>
      <c r="AB283" s="67"/>
      <c r="AC283" s="67"/>
    </row>
    <row r="284" spans="1:68" x14ac:dyDescent="0.2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5"/>
      <c r="P284" s="302" t="s">
        <v>36</v>
      </c>
      <c r="Q284" s="303"/>
      <c r="R284" s="303"/>
      <c r="S284" s="303"/>
      <c r="T284" s="303"/>
      <c r="U284" s="303"/>
      <c r="V284" s="304"/>
      <c r="W284" s="42" t="s">
        <v>0</v>
      </c>
      <c r="X284" s="43">
        <f>GrossWeightTotal+PalletQtyTotal*25</f>
        <v>17513.735999999997</v>
      </c>
      <c r="Y284" s="43">
        <f>GrossWeightTotalR+PalletQtyTotalR*25</f>
        <v>17513.735999999997</v>
      </c>
      <c r="Z284" s="42"/>
      <c r="AA284" s="67"/>
      <c r="AB284" s="67"/>
      <c r="AC284" s="67"/>
    </row>
    <row r="285" spans="1:68" x14ac:dyDescent="0.2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5"/>
      <c r="P285" s="302" t="s">
        <v>37</v>
      </c>
      <c r="Q285" s="303"/>
      <c r="R285" s="303"/>
      <c r="S285" s="303"/>
      <c r="T285" s="303"/>
      <c r="U285" s="303"/>
      <c r="V285" s="304"/>
      <c r="W285" s="42" t="s">
        <v>20</v>
      </c>
      <c r="X285" s="43">
        <f>IFERROR(X30+X36+X43+X50+X58+X63+X67+X72+X78+X84+X89+X95+X105+X111+X123+X127+X131+X139+X145+X151+X157+X163+X168+X173+X178+X185+X190+X199+X205+X211+X217+X222+X227+X233+X239+X243+X249+X256+X260+X266+X279,"0")</f>
        <v>3452</v>
      </c>
      <c r="Y285" s="43">
        <f>IFERROR(Y30+Y36+Y43+Y50+Y58+Y63+Y67+Y72+Y78+Y84+Y89+Y95+Y105+Y111+Y123+Y127+Y131+Y139+Y145+Y151+Y157+Y163+Y168+Y173+Y178+Y185+Y190+Y199+Y205+Y211+Y217+Y222+Y227+Y233+Y239+Y243+Y249+Y256+Y260+Y266+Y279,"0")</f>
        <v>3452</v>
      </c>
      <c r="Z285" s="42"/>
      <c r="AA285" s="67"/>
      <c r="AB285" s="67"/>
      <c r="AC285" s="67"/>
    </row>
    <row r="286" spans="1:68" ht="14.25" hidden="1" x14ac:dyDescent="0.2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5"/>
      <c r="P286" s="302" t="s">
        <v>38</v>
      </c>
      <c r="Q286" s="303"/>
      <c r="R286" s="303"/>
      <c r="S286" s="303"/>
      <c r="T286" s="303"/>
      <c r="U286" s="303"/>
      <c r="V286" s="304"/>
      <c r="W286" s="45" t="s">
        <v>52</v>
      </c>
      <c r="X286" s="42"/>
      <c r="Y286" s="42"/>
      <c r="Z286" s="42">
        <f>IFERROR(Z30+Z36+Z43+Z50+Z58+Z63+Z67+Z72+Z78+Z84+Z89+Z95+Z105+Z111+Z123+Z127+Z131+Z139+Z145+Z151+Z157+Z163+Z168+Z173+Z178+Z185+Z190+Z199+Z205+Z211+Z217+Z222+Z227+Z233+Z239+Z243+Z249+Z256+Z260+Z266+Z279,"0")</f>
        <v>49.368299999999998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289" t="s">
        <v>81</v>
      </c>
      <c r="C288" s="289" t="s">
        <v>81</v>
      </c>
      <c r="D288" s="289" t="s">
        <v>45</v>
      </c>
      <c r="E288" s="289" t="s">
        <v>45</v>
      </c>
      <c r="F288" s="289" t="s">
        <v>45</v>
      </c>
      <c r="G288" s="289" t="s">
        <v>45</v>
      </c>
      <c r="H288" s="289" t="s">
        <v>45</v>
      </c>
      <c r="I288" s="289" t="s">
        <v>45</v>
      </c>
      <c r="J288" s="289" t="s">
        <v>45</v>
      </c>
      <c r="K288" s="289" t="s">
        <v>45</v>
      </c>
      <c r="L288" s="289" t="s">
        <v>45</v>
      </c>
      <c r="M288" s="289" t="s">
        <v>45</v>
      </c>
      <c r="N288" s="290"/>
      <c r="O288" s="289" t="s">
        <v>45</v>
      </c>
      <c r="P288" s="289" t="s">
        <v>45</v>
      </c>
      <c r="Q288" s="289" t="s">
        <v>45</v>
      </c>
      <c r="R288" s="289" t="s">
        <v>45</v>
      </c>
      <c r="S288" s="289" t="s">
        <v>45</v>
      </c>
      <c r="T288" s="289" t="s">
        <v>45</v>
      </c>
      <c r="U288" s="289" t="s">
        <v>45</v>
      </c>
      <c r="V288" s="289" t="s">
        <v>280</v>
      </c>
      <c r="W288" s="289" t="s">
        <v>280</v>
      </c>
      <c r="X288" s="88" t="s">
        <v>291</v>
      </c>
      <c r="Y288" s="289" t="s">
        <v>305</v>
      </c>
      <c r="Z288" s="289" t="s">
        <v>305</v>
      </c>
      <c r="AA288" s="289" t="s">
        <v>305</v>
      </c>
      <c r="AB288" s="289" t="s">
        <v>305</v>
      </c>
      <c r="AC288" s="88" t="s">
        <v>334</v>
      </c>
      <c r="AD288" s="88" t="s">
        <v>339</v>
      </c>
      <c r="AE288" s="88" t="s">
        <v>347</v>
      </c>
      <c r="AF288" s="88" t="s">
        <v>351</v>
      </c>
    </row>
    <row r="289" spans="1:32" ht="14.25" customHeight="1" thickTop="1" x14ac:dyDescent="0.2">
      <c r="A289" s="291" t="s">
        <v>10</v>
      </c>
      <c r="B289" s="289" t="s">
        <v>81</v>
      </c>
      <c r="C289" s="289" t="s">
        <v>106</v>
      </c>
      <c r="D289" s="289" t="s">
        <v>112</v>
      </c>
      <c r="E289" s="289" t="s">
        <v>123</v>
      </c>
      <c r="F289" s="289" t="s">
        <v>133</v>
      </c>
      <c r="G289" s="289" t="s">
        <v>144</v>
      </c>
      <c r="H289" s="289" t="s">
        <v>165</v>
      </c>
      <c r="I289" s="289" t="s">
        <v>172</v>
      </c>
      <c r="J289" s="289" t="s">
        <v>176</v>
      </c>
      <c r="K289" s="289" t="s">
        <v>184</v>
      </c>
      <c r="L289" s="289" t="s">
        <v>199</v>
      </c>
      <c r="M289" s="289" t="s">
        <v>205</v>
      </c>
      <c r="N289" s="1"/>
      <c r="O289" s="289" t="s">
        <v>233</v>
      </c>
      <c r="P289" s="289" t="s">
        <v>251</v>
      </c>
      <c r="Q289" s="289" t="s">
        <v>257</v>
      </c>
      <c r="R289" s="289" t="s">
        <v>264</v>
      </c>
      <c r="S289" s="289" t="s">
        <v>269</v>
      </c>
      <c r="T289" s="289" t="s">
        <v>273</v>
      </c>
      <c r="U289" s="289" t="s">
        <v>276</v>
      </c>
      <c r="V289" s="289" t="s">
        <v>281</v>
      </c>
      <c r="W289" s="289" t="s">
        <v>288</v>
      </c>
      <c r="X289" s="289" t="s">
        <v>292</v>
      </c>
      <c r="Y289" s="289" t="s">
        <v>306</v>
      </c>
      <c r="Z289" s="289" t="s">
        <v>319</v>
      </c>
      <c r="AA289" s="289" t="s">
        <v>326</v>
      </c>
      <c r="AB289" s="289" t="s">
        <v>330</v>
      </c>
      <c r="AC289" s="289" t="s">
        <v>335</v>
      </c>
      <c r="AD289" s="289" t="s">
        <v>340</v>
      </c>
      <c r="AE289" s="289" t="s">
        <v>347</v>
      </c>
      <c r="AF289" s="289" t="s">
        <v>351</v>
      </c>
    </row>
    <row r="290" spans="1:32" ht="13.5" thickBot="1" x14ac:dyDescent="0.25">
      <c r="A290" s="292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1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249.60000000000002</v>
      </c>
      <c r="C291" s="52">
        <f>IFERROR(X34*H34,"0")+IFERROR(X35*H35,"0")</f>
        <v>153.60000000000002</v>
      </c>
      <c r="D291" s="52">
        <f>IFERROR(X41*H41,"0")+IFERROR(X42*H42,"0")</f>
        <v>168</v>
      </c>
      <c r="E291" s="52">
        <f>IFERROR(X47*H47,"0")+IFERROR(X48*H48,"0")+IFERROR(X49*H49,"0")</f>
        <v>67.199999999999989</v>
      </c>
      <c r="F291" s="52">
        <f>IFERROR(X54*H54,"0")+IFERROR(X55*H55,"0")+IFERROR(X56*H56,"0")+IFERROR(X57*H57,"0")</f>
        <v>1588.8</v>
      </c>
      <c r="G291" s="52">
        <f>IFERROR(X62*H62,"0")+IFERROR(X66*H66,"0")+IFERROR(X70*H70,"0")+IFERROR(X71*H71,"0")+IFERROR(X75*H75,"0")+IFERROR(X76*H76,"0")+IFERROR(X77*H77,"0")</f>
        <v>50.400000000000006</v>
      </c>
      <c r="H291" s="52">
        <f>IFERROR(X82*H82,"0")+IFERROR(X83*H83,"0")</f>
        <v>1200</v>
      </c>
      <c r="I291" s="52">
        <f>IFERROR(X88*H88,"0")</f>
        <v>50.4</v>
      </c>
      <c r="J291" s="52">
        <f>IFERROR(X93*H93,"0")+IFERROR(X94*H94,"0")</f>
        <v>50.4</v>
      </c>
      <c r="K291" s="52">
        <f>IFERROR(X99*H99,"0")+IFERROR(X100*H100,"0")+IFERROR(X101*H101,"0")+IFERROR(X102*H102,"0")+IFERROR(X103*H103,"0")+IFERROR(X104*H104,"0")</f>
        <v>703.92</v>
      </c>
      <c r="L291" s="52">
        <f>IFERROR(X109*H109,"0")+IFERROR(X110*H110,"0")</f>
        <v>0</v>
      </c>
      <c r="M291" s="52">
        <f>IFERROR(X115*H115,"0")+IFERROR(X116*H116,"0")+IFERROR(X117*H117,"0")+IFERROR(X118*H118,"0")+IFERROR(X119*H119,"0")+IFERROR(X120*H120,"0")+IFERROR(X121*H121,"0")+IFERROR(X122*H122,"0")+IFERROR(X126*H126,"0")+IFERROR(X130*H130,"0")</f>
        <v>4382.3999999999996</v>
      </c>
      <c r="N291" s="1"/>
      <c r="O291" s="52">
        <f>IFERROR(X135*H135,"0")+IFERROR(X136*H136,"0")+IFERROR(X137*H137,"0")+IFERROR(X138*H138,"0")+IFERROR(X142*H142,"0")+IFERROR(X143*H143,"0")+IFERROR(X144*H144,"0")</f>
        <v>190.68</v>
      </c>
      <c r="P291" s="52">
        <f>IFERROR(X149*H149,"0")+IFERROR(X150*H150,"0")</f>
        <v>840</v>
      </c>
      <c r="Q291" s="52">
        <f>IFERROR(X155*H155,"0")+IFERROR(X156*H156,"0")</f>
        <v>210</v>
      </c>
      <c r="R291" s="52">
        <f>IFERROR(X161*H161,"0")+IFERROR(X162*H162,"0")</f>
        <v>235.2</v>
      </c>
      <c r="S291" s="52">
        <f>IFERROR(X167*H167,"0")</f>
        <v>42</v>
      </c>
      <c r="T291" s="52">
        <f>IFERROR(X172*H172,"0")</f>
        <v>0</v>
      </c>
      <c r="U291" s="52">
        <f>IFERROR(X177*H177,"0")</f>
        <v>0</v>
      </c>
      <c r="V291" s="52">
        <f>IFERROR(X183*H183,"0")+IFERROR(X184*H184,"0")</f>
        <v>60</v>
      </c>
      <c r="W291" s="52">
        <f>IFERROR(X189*H189,"0")</f>
        <v>720</v>
      </c>
      <c r="X291" s="52">
        <f>IFERROR(X195*H195,"0")+IFERROR(X196*H196,"0")+IFERROR(X197*H197,"0")+IFERROR(X198*H198,"0")</f>
        <v>665.28</v>
      </c>
      <c r="Y291" s="52">
        <f>IFERROR(X204*H204,"0")+IFERROR(X208*H208,"0")+IFERROR(X209*H209,"0")+IFERROR(X210*H210,"0")</f>
        <v>38.64</v>
      </c>
      <c r="Z291" s="52">
        <f>IFERROR(X215*H215,"0")+IFERROR(X216*H216,"0")</f>
        <v>0</v>
      </c>
      <c r="AA291" s="52">
        <f>IFERROR(X221*H221,"0")</f>
        <v>360</v>
      </c>
      <c r="AB291" s="52">
        <f>IFERROR(X226*H226,"0")</f>
        <v>0</v>
      </c>
      <c r="AC291" s="52">
        <f>IFERROR(X232*H232,"0")</f>
        <v>0</v>
      </c>
      <c r="AD291" s="52">
        <f>IFERROR(X238*H238,"0")+IFERROR(X242*H242,"0")</f>
        <v>0</v>
      </c>
      <c r="AE291" s="52">
        <f>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3254.16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8709.5999999999985</v>
      </c>
      <c r="B294" s="72">
        <f>SUMPRODUCT(--(BB:BB="ПГП"),--(W:W="кор"),H:H,Y:Y)+SUMPRODUCT(--(BB:BB="ПГП"),--(W:W="кг"),Y:Y)</f>
        <v>6571.08</v>
      </c>
      <c r="C294" s="72">
        <f>SUMPRODUCT(--(BB:BB="КИЗ"),--(W:W="кор"),H:H,Y:Y)+SUMPRODUCT(--(BB:BB="КИЗ"),--(W:W="кг"),Y:Y)</f>
        <v>0</v>
      </c>
    </row>
  </sheetData>
  <sheetProtection algorithmName="SHA-512" hashValue="yBTJD9CE7oB1sfTWoZFkFnfzBHWv6PrUB3lMxceSyjlqyNuCuX4IxxL/yLOR3n6P19TNKEDYMxo9Re2bI0fCnw==" saltValue="PW16HthrRMXy+VyQrCA1CQ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88,80"/>
        <filter val="1 674,80"/>
        <filter val="108,00"/>
        <filter val="112,00"/>
        <filter val="12,00"/>
        <filter val="126,00"/>
        <filter val="14,00"/>
        <filter val="140,00"/>
        <filter val="144,00"/>
        <filter val="15 280,68"/>
        <filter val="153,60"/>
        <filter val="154,00"/>
        <filter val="16 538,74"/>
        <filter val="168,00"/>
        <filter val="17 513,74"/>
        <filter val="180,00"/>
        <filter val="190,68"/>
        <filter val="194,00"/>
        <filter val="210,00"/>
        <filter val="224,00"/>
        <filter val="228,00"/>
        <filter val="235,20"/>
        <filter val="238,00"/>
        <filter val="24,00"/>
        <filter val="240,00"/>
        <filter val="249,60"/>
        <filter val="28,00"/>
        <filter val="280,00"/>
        <filter val="3 452,00"/>
        <filter val="324,00"/>
        <filter val="36,00"/>
        <filter val="360,00"/>
        <filter val="38,64"/>
        <filter val="39"/>
        <filter val="4 310,40"/>
        <filter val="42,00"/>
        <filter val="48,00"/>
        <filter val="486,00"/>
        <filter val="50,40"/>
        <filter val="56,00"/>
        <filter val="60,00"/>
        <filter val="624,00"/>
        <filter val="648,00"/>
        <filter val="665,28"/>
        <filter val="67,20"/>
        <filter val="70,00"/>
        <filter val="703,92"/>
        <filter val="72,00"/>
        <filter val="720,00"/>
        <filter val="84,00"/>
        <filter val="840,00"/>
        <filter val="931,36"/>
        <filter val="96,00"/>
        <filter val="98,00"/>
      </filters>
    </filterColumn>
    <filterColumn colId="29" showButton="0"/>
    <filterColumn colId="30" showButton="0"/>
  </autoFilter>
  <dataConsolidate/>
  <mergeCells count="5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D177:E177"/>
    <mergeCell ref="P177:T177"/>
    <mergeCell ref="P178:V178"/>
    <mergeCell ref="A178:O179"/>
    <mergeCell ref="P179:V179"/>
    <mergeCell ref="A180:Z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P281:V281"/>
    <mergeCell ref="A281:O286"/>
    <mergeCell ref="P282:V282"/>
    <mergeCell ref="P283:V283"/>
    <mergeCell ref="P284:V284"/>
    <mergeCell ref="P285:V285"/>
    <mergeCell ref="P286:V286"/>
    <mergeCell ref="B288:C288"/>
    <mergeCell ref="D288:U288"/>
    <mergeCell ref="V288:W288"/>
    <mergeCell ref="Y288:AB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T289:T290"/>
    <mergeCell ref="U289:U290"/>
    <mergeCell ref="AE289:AE290"/>
    <mergeCell ref="AF289:AF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:X278 X269 X254:X255 X248 X242 X238 X232 X226 X215:X216 X208:X209 X198 X189 X177 X161 X155 X142:X144 X135:X138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0:X273 X263:X265 X259 X221 X210 X204 X195:X197 X183:X184 X172 X167 X162 X156 X149:X150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389</v>
      </c>
      <c r="H1" s="9"/>
    </row>
    <row r="3" spans="2:8" x14ac:dyDescent="0.2">
      <c r="B3" s="53" t="s">
        <v>390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392</v>
      </c>
      <c r="D6" s="53" t="s">
        <v>393</v>
      </c>
      <c r="E6" s="53" t="s">
        <v>46</v>
      </c>
    </row>
    <row r="8" spans="2:8" x14ac:dyDescent="0.2">
      <c r="B8" s="53" t="s">
        <v>80</v>
      </c>
      <c r="C8" s="53" t="s">
        <v>392</v>
      </c>
      <c r="D8" s="53" t="s">
        <v>46</v>
      </c>
      <c r="E8" s="53" t="s">
        <v>46</v>
      </c>
    </row>
    <row r="10" spans="2:8" x14ac:dyDescent="0.2">
      <c r="B10" s="53" t="s">
        <v>394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404</v>
      </c>
      <c r="C20" s="53" t="s">
        <v>46</v>
      </c>
      <c r="D20" s="53" t="s">
        <v>46</v>
      </c>
      <c r="E20" s="53" t="s">
        <v>46</v>
      </c>
    </row>
  </sheetData>
  <sheetProtection algorithmName="SHA-512" hashValue="llODjJZW1L7hID09Bt7GkAOF9tMkeJ47K+kgDhPGDS70IlzUOpTkcMCRjOpA6uupUIfK4sLL+UiX5BvgLOfYeg==" saltValue="0cyKqUnY5NzluShyxPBh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