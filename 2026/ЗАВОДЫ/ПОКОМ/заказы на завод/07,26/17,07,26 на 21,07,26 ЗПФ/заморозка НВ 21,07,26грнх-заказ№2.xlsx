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B7BA82-7D51-4D82-B5EC-B99138FEECE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заказа'!$B$149:$B$149</definedName>
    <definedName name="ProductId57">'Бланк заказа'!$B$154:$B$154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заказа'!$B$170:$B$170</definedName>
    <definedName name="ProductId62">'Бланк заказа'!$B$176:$B$176</definedName>
    <definedName name="ProductId63">'Бланк заказа'!$B$177:$B$177</definedName>
    <definedName name="ProductId64">'Бланк заказа'!$B$181:$B$181</definedName>
    <definedName name="ProductId65">'Бланк заказа'!$B$182:$B$182</definedName>
    <definedName name="ProductId66">'Бланк заказа'!$B$188:$B$188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заказа'!$B$32:$B$32</definedName>
    <definedName name="ProductId70">'Бланк заказа'!$B$197:$B$197</definedName>
    <definedName name="ProductId71">'Бланк заказа'!$B$201:$B$201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заказа'!$B$221:$B$221</definedName>
    <definedName name="ProductId79">'Бланк заказа'!$B$227:$B$227</definedName>
    <definedName name="ProductId8">'Бланк заказа'!$B$33:$B$33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заказа'!$B$244:$B$244</definedName>
    <definedName name="ProductId84">'Бланк заказа'!$B$248:$B$248</definedName>
    <definedName name="ProductId85">'Бланк заказа'!$B$252:$B$252</definedName>
    <definedName name="ProductId86">'Бланк заказа'!$B$253:$B$253</definedName>
    <definedName name="ProductId87">'Бланк заказа'!$B$254:$B$254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заказа'!$X$149:$X$149</definedName>
    <definedName name="SalesQty57">'Бланк заказа'!$X$154:$X$154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заказа'!$X$170:$X$170</definedName>
    <definedName name="SalesQty62">'Бланк заказа'!$X$176:$X$176</definedName>
    <definedName name="SalesQty63">'Бланк заказа'!$X$177:$X$177</definedName>
    <definedName name="SalesQty64">'Бланк заказа'!$X$181:$X$181</definedName>
    <definedName name="SalesQty65">'Бланк заказа'!$X$182:$X$182</definedName>
    <definedName name="SalesQty66">'Бланк заказа'!$X$188:$X$188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заказа'!$X$32:$X$32</definedName>
    <definedName name="SalesQty70">'Бланк заказа'!$X$197:$X$197</definedName>
    <definedName name="SalesQty71">'Бланк заказа'!$X$201:$X$201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заказа'!$X$221:$X$221</definedName>
    <definedName name="SalesQty79">'Бланк заказа'!$X$227:$X$227</definedName>
    <definedName name="SalesQty8">'Бланк заказа'!$X$33:$X$33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заказа'!$X$244:$X$244</definedName>
    <definedName name="SalesQty84">'Бланк заказа'!$X$248:$X$248</definedName>
    <definedName name="SalesQty85">'Бланк заказа'!$X$252:$X$252</definedName>
    <definedName name="SalesQty86">'Бланк заказа'!$X$253:$X$253</definedName>
    <definedName name="SalesQty87">'Бланк заказа'!$X$254:$X$254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заказа'!$Y$149:$Y$149</definedName>
    <definedName name="SalesRoundBox57">'Бланк заказа'!$Y$154:$Y$154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заказа'!$Y$170:$Y$170</definedName>
    <definedName name="SalesRoundBox62">'Бланк заказа'!$Y$176:$Y$176</definedName>
    <definedName name="SalesRoundBox63">'Бланк заказа'!$Y$177:$Y$177</definedName>
    <definedName name="SalesRoundBox64">'Бланк заказа'!$Y$181:$Y$181</definedName>
    <definedName name="SalesRoundBox65">'Бланк заказа'!$Y$182:$Y$182</definedName>
    <definedName name="SalesRoundBox66">'Бланк заказа'!$Y$188:$Y$188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заказа'!$Y$32:$Y$32</definedName>
    <definedName name="SalesRoundBox70">'Бланк заказа'!$Y$197:$Y$197</definedName>
    <definedName name="SalesRoundBox71">'Бланк заказа'!$Y$201:$Y$201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заказа'!$Y$221:$Y$221</definedName>
    <definedName name="SalesRoundBox79">'Бланк заказа'!$Y$227:$Y$227</definedName>
    <definedName name="SalesRoundBox8">'Бланк заказа'!$Y$33:$Y$33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заказа'!$Y$244:$Y$244</definedName>
    <definedName name="SalesRoundBox84">'Бланк заказа'!$Y$248:$Y$248</definedName>
    <definedName name="SalesRoundBox85">'Бланк заказа'!$Y$252:$Y$252</definedName>
    <definedName name="SalesRoundBox86">'Бланк заказа'!$Y$253:$Y$253</definedName>
    <definedName name="SalesRoundBox87">'Бланк заказа'!$Y$254:$Y$254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заказа'!$W$149:$W$149</definedName>
    <definedName name="UnitOfMeasure57">'Бланк заказа'!$W$154:$W$154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заказа'!$W$170:$W$170</definedName>
    <definedName name="UnitOfMeasure62">'Бланк заказа'!$W$176:$W$176</definedName>
    <definedName name="UnitOfMeasure63">'Бланк заказа'!$W$177:$W$177</definedName>
    <definedName name="UnitOfMeasure64">'Бланк заказа'!$W$181:$W$181</definedName>
    <definedName name="UnitOfMeasure65">'Бланк заказа'!$W$182:$W$182</definedName>
    <definedName name="UnitOfMeasure66">'Бланк заказа'!$W$188:$W$188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заказа'!$W$32:$W$32</definedName>
    <definedName name="UnitOfMeasure70">'Бланк заказа'!$W$197:$W$197</definedName>
    <definedName name="UnitOfMeasure71">'Бланк заказа'!$W$201:$W$201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заказа'!$W$221:$W$221</definedName>
    <definedName name="UnitOfMeasure79">'Бланк заказа'!$W$227:$W$227</definedName>
    <definedName name="UnitOfMeasure8">'Бланк заказа'!$W$33:$W$33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заказа'!$W$244:$W$244</definedName>
    <definedName name="UnitOfMeasure84">'Бланк заказа'!$W$248:$W$248</definedName>
    <definedName name="UnitOfMeasure85">'Бланк заказа'!$W$252:$W$252</definedName>
    <definedName name="UnitOfMeasure86">'Бланк заказа'!$W$253:$W$253</definedName>
    <definedName name="UnitOfMeasure87">'Бланк заказа'!$W$254:$W$254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N267" i="2" s="1"/>
  <c r="P267" i="2"/>
  <c r="BO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N258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P253" i="2"/>
  <c r="BO252" i="2"/>
  <c r="BM252" i="2"/>
  <c r="Z252" i="2"/>
  <c r="Y252" i="2"/>
  <c r="BN252" i="2" s="1"/>
  <c r="P252" i="2"/>
  <c r="X250" i="2"/>
  <c r="X249" i="2"/>
  <c r="BO248" i="2"/>
  <c r="BM248" i="2"/>
  <c r="Z248" i="2"/>
  <c r="Z249" i="2" s="1"/>
  <c r="Y248" i="2"/>
  <c r="BP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Z243" i="2"/>
  <c r="Y243" i="2"/>
  <c r="BP243" i="2" s="1"/>
  <c r="P243" i="2"/>
  <c r="X239" i="2"/>
  <c r="X238" i="2"/>
  <c r="BO237" i="2"/>
  <c r="BM237" i="2"/>
  <c r="Z237" i="2"/>
  <c r="Z238" i="2" s="1"/>
  <c r="Y237" i="2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P227" i="2"/>
  <c r="X223" i="2"/>
  <c r="X222" i="2"/>
  <c r="BO221" i="2"/>
  <c r="BM221" i="2"/>
  <c r="Z221" i="2"/>
  <c r="Z222" i="2" s="1"/>
  <c r="Y221" i="2"/>
  <c r="Y223" i="2" s="1"/>
  <c r="P221" i="2"/>
  <c r="X217" i="2"/>
  <c r="X216" i="2"/>
  <c r="BO215" i="2"/>
  <c r="BM215" i="2"/>
  <c r="Z215" i="2"/>
  <c r="Y215" i="2"/>
  <c r="P215" i="2"/>
  <c r="BO214" i="2"/>
  <c r="BM214" i="2"/>
  <c r="Z214" i="2"/>
  <c r="Y214" i="2"/>
  <c r="P214" i="2"/>
  <c r="X211" i="2"/>
  <c r="X210" i="2"/>
  <c r="BO209" i="2"/>
  <c r="BM209" i="2"/>
  <c r="Z209" i="2"/>
  <c r="Z210" i="2" s="1"/>
  <c r="Y209" i="2"/>
  <c r="P209" i="2"/>
  <c r="X206" i="2"/>
  <c r="X205" i="2"/>
  <c r="BO204" i="2"/>
  <c r="BM204" i="2"/>
  <c r="Z204" i="2"/>
  <c r="Y204" i="2"/>
  <c r="BN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BO201" i="2"/>
  <c r="BM201" i="2"/>
  <c r="Z201" i="2"/>
  <c r="Y201" i="2"/>
  <c r="P201" i="2"/>
  <c r="X199" i="2"/>
  <c r="X198" i="2"/>
  <c r="BO197" i="2"/>
  <c r="BM197" i="2"/>
  <c r="Z197" i="2"/>
  <c r="Z198" i="2" s="1"/>
  <c r="Y197" i="2"/>
  <c r="BP197" i="2" s="1"/>
  <c r="P197" i="2"/>
  <c r="X193" i="2"/>
  <c r="X192" i="2"/>
  <c r="BO191" i="2"/>
  <c r="BM191" i="2"/>
  <c r="Z191" i="2"/>
  <c r="Y191" i="2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BO188" i="2"/>
  <c r="BM188" i="2"/>
  <c r="Z188" i="2"/>
  <c r="Y188" i="2"/>
  <c r="P188" i="2"/>
  <c r="X184" i="2"/>
  <c r="X183" i="2"/>
  <c r="BO182" i="2"/>
  <c r="BM182" i="2"/>
  <c r="Z182" i="2"/>
  <c r="Y182" i="2"/>
  <c r="BN182" i="2" s="1"/>
  <c r="P182" i="2"/>
  <c r="BO181" i="2"/>
  <c r="BM181" i="2"/>
  <c r="Z181" i="2"/>
  <c r="Y181" i="2"/>
  <c r="BN181" i="2" s="1"/>
  <c r="P181" i="2"/>
  <c r="X179" i="2"/>
  <c r="X178" i="2"/>
  <c r="BO177" i="2"/>
  <c r="BM177" i="2"/>
  <c r="Z177" i="2"/>
  <c r="Y177" i="2"/>
  <c r="BN177" i="2" s="1"/>
  <c r="P177" i="2"/>
  <c r="BO176" i="2"/>
  <c r="BM176" i="2"/>
  <c r="Z176" i="2"/>
  <c r="Z178" i="2" s="1"/>
  <c r="Y176" i="2"/>
  <c r="BN176" i="2" s="1"/>
  <c r="P176" i="2"/>
  <c r="X172" i="2"/>
  <c r="X171" i="2"/>
  <c r="BO170" i="2"/>
  <c r="BM170" i="2"/>
  <c r="Z170" i="2"/>
  <c r="Z171" i="2" s="1"/>
  <c r="Y170" i="2"/>
  <c r="Y172" i="2" s="1"/>
  <c r="P170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N141" i="2" s="1"/>
  <c r="P141" i="2"/>
  <c r="BO140" i="2"/>
  <c r="BM140" i="2"/>
  <c r="Z140" i="2"/>
  <c r="Y140" i="2"/>
  <c r="P140" i="2"/>
  <c r="X137" i="2"/>
  <c r="X136" i="2"/>
  <c r="BO135" i="2"/>
  <c r="BM135" i="2"/>
  <c r="Z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Z133" i="2"/>
  <c r="Y133" i="2"/>
  <c r="P133" i="2"/>
  <c r="X130" i="2"/>
  <c r="X129" i="2"/>
  <c r="BO128" i="2"/>
  <c r="BM128" i="2"/>
  <c r="Z128" i="2"/>
  <c r="Z129" i="2" s="1"/>
  <c r="Y128" i="2"/>
  <c r="P128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Y120" i="2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P115" i="2"/>
  <c r="BO114" i="2"/>
  <c r="BM114" i="2"/>
  <c r="Z114" i="2"/>
  <c r="Y114" i="2"/>
  <c r="P114" i="2"/>
  <c r="X111" i="2"/>
  <c r="X110" i="2"/>
  <c r="BO109" i="2"/>
  <c r="BM109" i="2"/>
  <c r="Z109" i="2"/>
  <c r="Y109" i="2"/>
  <c r="BP109" i="2" s="1"/>
  <c r="P109" i="2"/>
  <c r="BO108" i="2"/>
  <c r="BM108" i="2"/>
  <c r="Z108" i="2"/>
  <c r="Y108" i="2"/>
  <c r="BP108" i="2" s="1"/>
  <c r="P108" i="2"/>
  <c r="X105" i="2"/>
  <c r="X104" i="2"/>
  <c r="BO103" i="2"/>
  <c r="BM103" i="2"/>
  <c r="Z103" i="2"/>
  <c r="Y103" i="2"/>
  <c r="P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Z104" i="2" s="1"/>
  <c r="Y97" i="2"/>
  <c r="P97" i="2"/>
  <c r="X94" i="2"/>
  <c r="X93" i="2"/>
  <c r="BO92" i="2"/>
  <c r="BM92" i="2"/>
  <c r="Z92" i="2"/>
  <c r="Y92" i="2"/>
  <c r="P92" i="2"/>
  <c r="BO91" i="2"/>
  <c r="BM91" i="2"/>
  <c r="Z91" i="2"/>
  <c r="Y91" i="2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Y80" i="2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N74" i="2" s="1"/>
  <c r="P74" i="2"/>
  <c r="BO73" i="2"/>
  <c r="BM73" i="2"/>
  <c r="Z73" i="2"/>
  <c r="Y73" i="2"/>
  <c r="P73" i="2"/>
  <c r="X71" i="2"/>
  <c r="X70" i="2"/>
  <c r="BO69" i="2"/>
  <c r="BM69" i="2"/>
  <c r="Z69" i="2"/>
  <c r="Y69" i="2"/>
  <c r="Y71" i="2" s="1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Y61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P47" i="2"/>
  <c r="BO46" i="2"/>
  <c r="BM46" i="2"/>
  <c r="Z46" i="2"/>
  <c r="Y46" i="2"/>
  <c r="BN46" i="2" s="1"/>
  <c r="P46" i="2"/>
  <c r="BO45" i="2"/>
  <c r="BM45" i="2"/>
  <c r="Z45" i="2"/>
  <c r="Y45" i="2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P39" i="2"/>
  <c r="X35" i="2"/>
  <c r="X34" i="2"/>
  <c r="BO33" i="2"/>
  <c r="BM33" i="2"/>
  <c r="Z33" i="2"/>
  <c r="Y33" i="2"/>
  <c r="BN33" i="2" s="1"/>
  <c r="P33" i="2"/>
  <c r="BO32" i="2"/>
  <c r="BM32" i="2"/>
  <c r="Z32" i="2"/>
  <c r="Y32" i="2"/>
  <c r="BP32" i="2" s="1"/>
  <c r="P32" i="2"/>
  <c r="X29" i="2"/>
  <c r="X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Z28" i="2" s="1"/>
  <c r="Y22" i="2"/>
  <c r="BN22" i="2" s="1"/>
  <c r="P22" i="2"/>
  <c r="H10" i="2"/>
  <c r="A9" i="2"/>
  <c r="F9" i="2" s="1"/>
  <c r="D7" i="2"/>
  <c r="Q6" i="2"/>
  <c r="P2" i="2"/>
  <c r="Z268" i="2" l="1"/>
  <c r="Z93" i="2"/>
  <c r="Y122" i="2"/>
  <c r="Y62" i="2"/>
  <c r="Y49" i="2"/>
  <c r="Y35" i="2"/>
  <c r="Z34" i="2"/>
  <c r="BP33" i="2"/>
  <c r="BP60" i="2"/>
  <c r="Z82" i="2"/>
  <c r="BP27" i="2"/>
  <c r="Y94" i="2"/>
  <c r="Z110" i="2"/>
  <c r="Z143" i="2"/>
  <c r="Y239" i="2"/>
  <c r="Y238" i="2"/>
  <c r="BP237" i="2"/>
  <c r="BN237" i="2"/>
  <c r="Y228" i="2"/>
  <c r="BN227" i="2"/>
  <c r="BN214" i="2"/>
  <c r="Y216" i="2"/>
  <c r="BP215" i="2"/>
  <c r="BN215" i="2"/>
  <c r="Z216" i="2"/>
  <c r="BN209" i="2"/>
  <c r="Y211" i="2"/>
  <c r="Y210" i="2"/>
  <c r="Z183" i="2"/>
  <c r="BP201" i="2"/>
  <c r="BN201" i="2"/>
  <c r="Y205" i="2"/>
  <c r="Y157" i="2"/>
  <c r="BP128" i="2"/>
  <c r="Y130" i="2"/>
  <c r="Y129" i="2"/>
  <c r="BN133" i="2"/>
  <c r="BP133" i="2"/>
  <c r="BP142" i="2"/>
  <c r="BN142" i="2"/>
  <c r="BP92" i="2"/>
  <c r="BN92" i="2"/>
  <c r="BP80" i="2"/>
  <c r="BN80" i="2"/>
  <c r="BP261" i="2"/>
  <c r="BN261" i="2"/>
  <c r="BP266" i="2"/>
  <c r="BN266" i="2"/>
  <c r="BP253" i="2"/>
  <c r="BN253" i="2"/>
  <c r="Y255" i="2"/>
  <c r="BP188" i="2"/>
  <c r="BN188" i="2"/>
  <c r="BP190" i="2"/>
  <c r="BN190" i="2"/>
  <c r="BP115" i="2"/>
  <c r="BN115" i="2"/>
  <c r="Z121" i="2"/>
  <c r="BN120" i="2"/>
  <c r="BP120" i="2"/>
  <c r="BP103" i="2"/>
  <c r="BN103" i="2"/>
  <c r="BN52" i="2"/>
  <c r="BP52" i="2"/>
  <c r="BN54" i="2"/>
  <c r="BP54" i="2"/>
  <c r="BN47" i="2"/>
  <c r="BP47" i="2"/>
  <c r="BP25" i="2"/>
  <c r="BP24" i="2"/>
  <c r="Y42" i="2"/>
  <c r="BN40" i="2"/>
  <c r="BP55" i="2"/>
  <c r="Z70" i="2"/>
  <c r="Y76" i="2"/>
  <c r="Y82" i="2"/>
  <c r="BP86" i="2"/>
  <c r="Y88" i="2"/>
  <c r="BP101" i="2"/>
  <c r="Y111" i="2"/>
  <c r="Y121" i="2"/>
  <c r="Z136" i="2"/>
  <c r="BP135" i="2"/>
  <c r="Y143" i="2"/>
  <c r="Y151" i="2"/>
  <c r="BP147" i="2"/>
  <c r="Z156" i="2"/>
  <c r="Y166" i="2"/>
  <c r="BP177" i="2"/>
  <c r="Z192" i="2"/>
  <c r="Y198" i="2"/>
  <c r="Z205" i="2"/>
  <c r="Y217" i="2"/>
  <c r="Y249" i="2"/>
  <c r="Y256" i="2"/>
  <c r="Z255" i="2"/>
  <c r="BP267" i="2"/>
  <c r="Y29" i="2"/>
  <c r="X272" i="2"/>
  <c r="X270" i="2"/>
  <c r="Z41" i="2"/>
  <c r="Z76" i="2"/>
  <c r="BP74" i="2"/>
  <c r="BN81" i="2"/>
  <c r="Y105" i="2"/>
  <c r="BN98" i="2"/>
  <c r="BN109" i="2"/>
  <c r="Y110" i="2"/>
  <c r="BN119" i="2"/>
  <c r="BP141" i="2"/>
  <c r="BN148" i="2"/>
  <c r="Z150" i="2"/>
  <c r="BN165" i="2"/>
  <c r="BP182" i="2"/>
  <c r="Y184" i="2"/>
  <c r="BN189" i="2"/>
  <c r="BN197" i="2"/>
  <c r="BP204" i="2"/>
  <c r="BP209" i="2"/>
  <c r="BP214" i="2"/>
  <c r="BN221" i="2"/>
  <c r="Y222" i="2"/>
  <c r="BN233" i="2"/>
  <c r="Y234" i="2"/>
  <c r="Z245" i="2"/>
  <c r="BN244" i="2"/>
  <c r="BN248" i="2"/>
  <c r="BP252" i="2"/>
  <c r="BP100" i="2"/>
  <c r="BP117" i="2"/>
  <c r="X271" i="2"/>
  <c r="X273" i="2" s="1"/>
  <c r="X274" i="2"/>
  <c r="Y34" i="2"/>
  <c r="Y41" i="2"/>
  <c r="Z48" i="2"/>
  <c r="BP46" i="2"/>
  <c r="Z56" i="2"/>
  <c r="BN60" i="2"/>
  <c r="BP68" i="2"/>
  <c r="BP75" i="2"/>
  <c r="BN118" i="2"/>
  <c r="Y193" i="2"/>
  <c r="BP203" i="2"/>
  <c r="BP221" i="2"/>
  <c r="BP233" i="2"/>
  <c r="BN243" i="2"/>
  <c r="BP260" i="2"/>
  <c r="BP265" i="2"/>
  <c r="Y269" i="2"/>
  <c r="Y206" i="2"/>
  <c r="A10" i="2"/>
  <c r="BN32" i="2"/>
  <c r="Y83" i="2"/>
  <c r="BN97" i="2"/>
  <c r="BN108" i="2"/>
  <c r="Y144" i="2"/>
  <c r="Y161" i="2"/>
  <c r="Y229" i="2"/>
  <c r="F10" i="2"/>
  <c r="BP26" i="2"/>
  <c r="BN39" i="2"/>
  <c r="BP53" i="2"/>
  <c r="BN64" i="2"/>
  <c r="BP91" i="2"/>
  <c r="BP102" i="2"/>
  <c r="BN114" i="2"/>
  <c r="BN124" i="2"/>
  <c r="BN149" i="2"/>
  <c r="BN191" i="2"/>
  <c r="Y250" i="2"/>
  <c r="BP73" i="2"/>
  <c r="Y56" i="2"/>
  <c r="Y77" i="2"/>
  <c r="BN91" i="2"/>
  <c r="BP116" i="2"/>
  <c r="BP140" i="2"/>
  <c r="BN45" i="2"/>
  <c r="Y48" i="2"/>
  <c r="Y57" i="2"/>
  <c r="BN69" i="2"/>
  <c r="BP97" i="2"/>
  <c r="BN170" i="2"/>
  <c r="Y199" i="2"/>
  <c r="BN254" i="2"/>
  <c r="BN264" i="2"/>
  <c r="BP64" i="2"/>
  <c r="BP114" i="2"/>
  <c r="BP124" i="2"/>
  <c r="Y162" i="2"/>
  <c r="BP191" i="2"/>
  <c r="BN259" i="2"/>
  <c r="BP99" i="2"/>
  <c r="BP160" i="2"/>
  <c r="BP176" i="2"/>
  <c r="BP202" i="2"/>
  <c r="BN155" i="2"/>
  <c r="BP39" i="2"/>
  <c r="BP45" i="2"/>
  <c r="BP69" i="2"/>
  <c r="BP155" i="2"/>
  <c r="BP170" i="2"/>
  <c r="Y245" i="2"/>
  <c r="BP254" i="2"/>
  <c r="H9" i="2"/>
  <c r="BP134" i="2"/>
  <c r="J9" i="2"/>
  <c r="BP181" i="2"/>
  <c r="Y65" i="2"/>
  <c r="BN86" i="2"/>
  <c r="Y125" i="2"/>
  <c r="BN147" i="2"/>
  <c r="Y150" i="2"/>
  <c r="Y192" i="2"/>
  <c r="Y156" i="2"/>
  <c r="Y171" i="2"/>
  <c r="BN262" i="2"/>
  <c r="Y246" i="2"/>
  <c r="Y178" i="2"/>
  <c r="Y183" i="2"/>
  <c r="BP258" i="2"/>
  <c r="Y70" i="2"/>
  <c r="Y268" i="2"/>
  <c r="BP23" i="2"/>
  <c r="Y136" i="2"/>
  <c r="BP22" i="2"/>
  <c r="Y28" i="2"/>
  <c r="Y93" i="2"/>
  <c r="Y104" i="2"/>
  <c r="Y137" i="2"/>
  <c r="BP165" i="2"/>
  <c r="Y179" i="2"/>
  <c r="BN128" i="2"/>
  <c r="BN154" i="2"/>
  <c r="BP227" i="2"/>
  <c r="BN263" i="2"/>
  <c r="BN202" i="2"/>
  <c r="BN73" i="2"/>
  <c r="BN140" i="2"/>
  <c r="Z275" i="2" l="1"/>
  <c r="Y270" i="2"/>
  <c r="Y271" i="2"/>
  <c r="Y272" i="2"/>
  <c r="Y274" i="2"/>
  <c r="Y273" i="2" l="1"/>
  <c r="C283" i="2"/>
  <c r="B283" i="2"/>
  <c r="A283" i="2"/>
</calcChain>
</file>

<file path=xl/sharedStrings.xml><?xml version="1.0" encoding="utf-8"?>
<sst xmlns="http://schemas.openxmlformats.org/spreadsheetml/2006/main" count="1725" uniqueCount="412">
  <si>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</si>
  <si>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</si>
  <si>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</si>
  <si>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</si>
  <si>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</si>
  <si>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</si>
  <si>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</si>
  <si>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</si>
  <si>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</si>
  <si>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</si>
  <si>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</si>
  <si>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</si>
  <si>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</si>
  <si>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</si>
  <si>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</si>
  <si>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</si>
  <si>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</si>
  <si>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</si>
  <si>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</si>
  <si>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</si>
  <si>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</si>
  <si>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</si>
  <si>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</si>
  <si>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</si>
  <si>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</si>
  <si>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</si>
  <si>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</si>
  <si>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</si>
  <si>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</si>
  <si>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</si>
  <si>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</si>
  <si>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</si>
  <si>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</si>
  <si>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</si>
  <si>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</si>
  <si>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</si>
  <si>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</si>
  <si>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</si>
  <si>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</si>
  <si>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</si>
  <si>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</si>
  <si>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</si>
  <si>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</si>
  <si>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</si>
  <si>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</si>
  <si>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</si>
  <si>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</si>
  <si>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</si>
  <si>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</si>
  <si>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</si>
  <si>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</si>
  <si>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</si>
  <si>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</si>
  <si>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</si>
  <si>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</si>
  <si>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</si>
  <si>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</si>
  <si>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</si>
  <si>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</si>
  <si>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</si>
  <si>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</si>
  <si>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</si>
  <si>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</si>
  <si>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</si>
  <si>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</si>
  <si>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</si>
  <si>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</si>
  <si>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</si>
  <si>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</si>
  <si>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</si>
  <si>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</si>
  <si>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01.04.2026</t>
  </si>
  <si>
    <t>31.03.2026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</si>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</sst>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91" sqref="AA9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78" t="s">
        <v>26</v>
      </c>
      <c r="E1" s="278"/>
      <c r="F1" s="278"/>
      <c r="G1" s="14" t="s">
        <v>70</v>
      </c>
      <c r="H1" s="278" t="s">
        <v>47</v>
      </c>
      <c r="I1" s="278"/>
      <c r="J1" s="278"/>
      <c r="K1" s="278"/>
      <c r="L1" s="278"/>
      <c r="M1" s="278"/>
      <c r="N1" s="278"/>
      <c r="O1" s="278"/>
      <c r="P1" s="278"/>
      <c r="Q1" s="278"/>
      <c r="R1" s="279" t="s">
        <v>71</v>
      </c>
      <c r="S1" s="280"/>
      <c r="T1" s="28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1"/>
      <c r="Q3" s="281"/>
      <c r="R3" s="281"/>
      <c r="S3" s="281"/>
      <c r="T3" s="281"/>
      <c r="U3" s="281"/>
      <c r="V3" s="281"/>
      <c r="W3" s="28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2" t="s">
        <v>8</v>
      </c>
      <c r="B5" s="282"/>
      <c r="C5" s="282"/>
      <c r="D5" s="283"/>
      <c r="E5" s="283"/>
      <c r="F5" s="284" t="s">
        <v>14</v>
      </c>
      <c r="G5" s="284"/>
      <c r="H5" s="283" t="s">
        <v>411</v>
      </c>
      <c r="I5" s="283"/>
      <c r="J5" s="283"/>
      <c r="K5" s="283"/>
      <c r="L5" s="283"/>
      <c r="M5" s="283"/>
      <c r="N5" s="72"/>
      <c r="P5" s="26" t="s">
        <v>4</v>
      </c>
      <c r="Q5" s="285">
        <v>46224</v>
      </c>
      <c r="R5" s="286"/>
      <c r="T5" s="287" t="s">
        <v>3</v>
      </c>
      <c r="U5" s="288"/>
      <c r="V5" s="289" t="s">
        <v>379</v>
      </c>
      <c r="W5" s="290"/>
      <c r="AB5" s="57"/>
      <c r="AC5" s="57"/>
      <c r="AD5" s="57"/>
      <c r="AE5" s="57"/>
    </row>
    <row r="6" spans="1:32" s="17" customFormat="1" ht="24" customHeight="1" x14ac:dyDescent="0.2">
      <c r="A6" s="282" t="s">
        <v>1</v>
      </c>
      <c r="B6" s="282"/>
      <c r="C6" s="282"/>
      <c r="D6" s="291" t="s">
        <v>389</v>
      </c>
      <c r="E6" s="291"/>
      <c r="F6" s="291"/>
      <c r="G6" s="291"/>
      <c r="H6" s="291"/>
      <c r="I6" s="291"/>
      <c r="J6" s="291"/>
      <c r="K6" s="291"/>
      <c r="L6" s="291"/>
      <c r="M6" s="291"/>
      <c r="N6" s="73"/>
      <c r="P6" s="26" t="s">
        <v>27</v>
      </c>
      <c r="Q6" s="292" t="str">
        <f>IF(Q5=0," ",CHOOSE(WEEKDAY(Q5,2),"Понедельник","Вторник","Среда","Четверг","Пятница","Суббота","Воскресенье"))</f>
        <v>Вторник</v>
      </c>
      <c r="R6" s="292"/>
      <c r="T6" s="293" t="s">
        <v>5</v>
      </c>
      <c r="U6" s="294"/>
      <c r="V6" s="295" t="s">
        <v>73</v>
      </c>
      <c r="W6" s="29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1" t="str">
        <f>IFERROR(VLOOKUP(DeliveryAddress,Table,3,0),1)</f>
        <v>4</v>
      </c>
      <c r="E7" s="302"/>
      <c r="F7" s="302"/>
      <c r="G7" s="302"/>
      <c r="H7" s="302"/>
      <c r="I7" s="302"/>
      <c r="J7" s="302"/>
      <c r="K7" s="302"/>
      <c r="L7" s="302"/>
      <c r="M7" s="303"/>
      <c r="N7" s="74"/>
      <c r="P7" s="26"/>
      <c r="Q7" s="46"/>
      <c r="R7" s="46"/>
      <c r="T7" s="293"/>
      <c r="U7" s="294"/>
      <c r="V7" s="297"/>
      <c r="W7" s="298"/>
      <c r="AB7" s="57"/>
      <c r="AC7" s="57"/>
      <c r="AD7" s="57"/>
      <c r="AE7" s="57"/>
    </row>
    <row r="8" spans="1:32" s="17" customFormat="1" ht="25.5" customHeight="1" x14ac:dyDescent="0.2">
      <c r="A8" s="304" t="s">
        <v>58</v>
      </c>
      <c r="B8" s="304"/>
      <c r="C8" s="304"/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75"/>
      <c r="P8" s="26" t="s">
        <v>11</v>
      </c>
      <c r="Q8" s="306">
        <v>0.41666666666666669</v>
      </c>
      <c r="R8" s="307"/>
      <c r="T8" s="293"/>
      <c r="U8" s="294"/>
      <c r="V8" s="297"/>
      <c r="W8" s="298"/>
      <c r="AB8" s="57"/>
      <c r="AC8" s="57"/>
      <c r="AD8" s="57"/>
      <c r="AE8" s="57"/>
    </row>
    <row r="9" spans="1:32" s="17" customFormat="1" ht="39.950000000000003" customHeight="1" x14ac:dyDescent="0.2">
      <c r="A9" s="30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8"/>
      <c r="C9" s="308"/>
      <c r="D9" s="309" t="s">
        <v>46</v>
      </c>
      <c r="E9" s="310"/>
      <c r="F9" s="30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8"/>
      <c r="H9" s="311" t="str">
        <f>IF(AND($A$9="Тип доверенности/получателя при получении в адресе перегруза:",$D$9="Разовая доверенность"),"Введите ФИО","")</f>
        <v/>
      </c>
      <c r="I9" s="311"/>
      <c r="J9" s="3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1"/>
      <c r="L9" s="311"/>
      <c r="M9" s="311"/>
      <c r="N9" s="70"/>
      <c r="P9" s="29" t="s">
        <v>15</v>
      </c>
      <c r="Q9" s="312">
        <v>46226</v>
      </c>
      <c r="R9" s="312"/>
      <c r="T9" s="293"/>
      <c r="U9" s="294"/>
      <c r="V9" s="299"/>
      <c r="W9" s="30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0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8"/>
      <c r="C10" s="308"/>
      <c r="D10" s="309"/>
      <c r="E10" s="310"/>
      <c r="F10" s="30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8"/>
      <c r="H10" s="313" t="str">
        <f>IFERROR(VLOOKUP($D$10,Proxy,2,FALSE),"")</f>
        <v/>
      </c>
      <c r="I10" s="313"/>
      <c r="J10" s="313"/>
      <c r="K10" s="313"/>
      <c r="L10" s="313"/>
      <c r="M10" s="313"/>
      <c r="N10" s="71"/>
      <c r="P10" s="29" t="s">
        <v>32</v>
      </c>
      <c r="Q10" s="314">
        <v>0.54166666666666663</v>
      </c>
      <c r="R10" s="314"/>
      <c r="U10" s="26" t="s">
        <v>12</v>
      </c>
      <c r="V10" s="315" t="s">
        <v>74</v>
      </c>
      <c r="W10" s="31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17"/>
      <c r="R11" s="317"/>
      <c r="U11" s="26" t="s">
        <v>28</v>
      </c>
      <c r="V11" s="318" t="s">
        <v>55</v>
      </c>
      <c r="W11" s="31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19" t="s">
        <v>75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76"/>
      <c r="P12" s="26" t="s">
        <v>30</v>
      </c>
      <c r="Q12" s="306"/>
      <c r="R12" s="306"/>
      <c r="S12" s="27"/>
      <c r="T12"/>
      <c r="U12" s="26" t="s">
        <v>46</v>
      </c>
      <c r="V12" s="320"/>
      <c r="W12" s="320"/>
      <c r="X12"/>
      <c r="AB12" s="57"/>
      <c r="AC12" s="57"/>
      <c r="AD12" s="57"/>
      <c r="AE12" s="57"/>
    </row>
    <row r="13" spans="1:32" s="17" customFormat="1" ht="23.25" customHeight="1" x14ac:dyDescent="0.2">
      <c r="A13" s="319" t="s">
        <v>76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19"/>
      <c r="N13" s="76"/>
      <c r="O13" s="29"/>
      <c r="P13" s="29" t="s">
        <v>31</v>
      </c>
      <c r="Q13" s="318"/>
      <c r="R13" s="31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19" t="s">
        <v>77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19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1" t="s">
        <v>78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1"/>
      <c r="N15" s="77"/>
      <c r="O15"/>
      <c r="P15" s="322" t="s">
        <v>61</v>
      </c>
      <c r="Q15" s="322"/>
      <c r="R15" s="322"/>
      <c r="S15" s="322"/>
      <c r="T15" s="32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3"/>
      <c r="Q16" s="323"/>
      <c r="R16" s="323"/>
      <c r="S16" s="323"/>
      <c r="T16" s="3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6" t="s">
        <v>59</v>
      </c>
      <c r="B17" s="326" t="s">
        <v>49</v>
      </c>
      <c r="C17" s="328" t="s">
        <v>48</v>
      </c>
      <c r="D17" s="330" t="s">
        <v>50</v>
      </c>
      <c r="E17" s="331"/>
      <c r="F17" s="326" t="s">
        <v>21</v>
      </c>
      <c r="G17" s="326" t="s">
        <v>24</v>
      </c>
      <c r="H17" s="326" t="s">
        <v>22</v>
      </c>
      <c r="I17" s="326" t="s">
        <v>23</v>
      </c>
      <c r="J17" s="326" t="s">
        <v>16</v>
      </c>
      <c r="K17" s="326" t="s">
        <v>69</v>
      </c>
      <c r="L17" s="326" t="s">
        <v>67</v>
      </c>
      <c r="M17" s="326" t="s">
        <v>2</v>
      </c>
      <c r="N17" s="326" t="s">
        <v>66</v>
      </c>
      <c r="O17" s="326" t="s">
        <v>25</v>
      </c>
      <c r="P17" s="330" t="s">
        <v>17</v>
      </c>
      <c r="Q17" s="334"/>
      <c r="R17" s="334"/>
      <c r="S17" s="334"/>
      <c r="T17" s="331"/>
      <c r="U17" s="324" t="s">
        <v>56</v>
      </c>
      <c r="V17" s="325"/>
      <c r="W17" s="326" t="s">
        <v>6</v>
      </c>
      <c r="X17" s="326" t="s">
        <v>41</v>
      </c>
      <c r="Y17" s="336" t="s">
        <v>54</v>
      </c>
      <c r="Z17" s="338" t="s">
        <v>18</v>
      </c>
      <c r="AA17" s="340" t="s">
        <v>60</v>
      </c>
      <c r="AB17" s="340" t="s">
        <v>19</v>
      </c>
      <c r="AC17" s="340" t="s">
        <v>68</v>
      </c>
      <c r="AD17" s="342" t="s">
        <v>57</v>
      </c>
      <c r="AE17" s="343"/>
      <c r="AF17" s="344"/>
      <c r="AG17" s="80"/>
      <c r="BD17" s="79" t="s">
        <v>64</v>
      </c>
    </row>
    <row r="18" spans="1:68" ht="14.25" customHeight="1" x14ac:dyDescent="0.2">
      <c r="A18" s="327"/>
      <c r="B18" s="327"/>
      <c r="C18" s="329"/>
      <c r="D18" s="332"/>
      <c r="E18" s="333"/>
      <c r="F18" s="327"/>
      <c r="G18" s="327"/>
      <c r="H18" s="327"/>
      <c r="I18" s="327"/>
      <c r="J18" s="327"/>
      <c r="K18" s="327"/>
      <c r="L18" s="327"/>
      <c r="M18" s="327"/>
      <c r="N18" s="327"/>
      <c r="O18" s="327"/>
      <c r="P18" s="332"/>
      <c r="Q18" s="335"/>
      <c r="R18" s="335"/>
      <c r="S18" s="335"/>
      <c r="T18" s="333"/>
      <c r="U18" s="81" t="s">
        <v>44</v>
      </c>
      <c r="V18" s="81" t="s">
        <v>43</v>
      </c>
      <c r="W18" s="327"/>
      <c r="X18" s="327"/>
      <c r="Y18" s="337"/>
      <c r="Z18" s="339"/>
      <c r="AA18" s="341"/>
      <c r="AB18" s="341"/>
      <c r="AC18" s="341"/>
      <c r="AD18" s="345"/>
      <c r="AE18" s="346"/>
      <c r="AF18" s="347"/>
      <c r="AG18" s="80"/>
      <c r="BD18" s="79"/>
    </row>
    <row r="19" spans="1:68" ht="27.75" hidden="1" customHeight="1" x14ac:dyDescent="0.2">
      <c r="A19" s="348" t="s">
        <v>79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52"/>
      <c r="AB19" s="52"/>
      <c r="AC19" s="52"/>
    </row>
    <row r="20" spans="1:68" ht="16.5" hidden="1" customHeight="1" x14ac:dyDescent="0.25">
      <c r="A20" s="349" t="s">
        <v>79</v>
      </c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49"/>
      <c r="T20" s="349"/>
      <c r="U20" s="349"/>
      <c r="V20" s="349"/>
      <c r="W20" s="349"/>
      <c r="X20" s="349"/>
      <c r="Y20" s="349"/>
      <c r="Z20" s="349"/>
      <c r="AA20" s="62"/>
      <c r="AB20" s="62"/>
      <c r="AC20" s="62"/>
    </row>
    <row r="21" spans="1:68" ht="14.25" hidden="1" customHeight="1" x14ac:dyDescent="0.25">
      <c r="A21" s="350" t="s">
        <v>80</v>
      </c>
      <c r="B21" s="350"/>
      <c r="C21" s="350"/>
      <c r="D21" s="350"/>
      <c r="E21" s="350"/>
      <c r="F21" s="350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  <c r="Z21" s="350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351">
        <v>4620207491508</v>
      </c>
      <c r="E22" s="351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5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3"/>
      <c r="R22" s="353"/>
      <c r="S22" s="353"/>
      <c r="T22" s="354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351">
        <v>4620207491256</v>
      </c>
      <c r="E23" s="351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5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3"/>
      <c r="R23" s="353"/>
      <c r="S23" s="353"/>
      <c r="T23" s="354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4301071108</v>
      </c>
      <c r="D24" s="351">
        <v>4607111035912</v>
      </c>
      <c r="E24" s="351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5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3"/>
      <c r="R24" s="353"/>
      <c r="S24" s="353"/>
      <c r="T24" s="354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4301071109</v>
      </c>
      <c r="D25" s="351">
        <v>4607111035929</v>
      </c>
      <c r="E25" s="351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5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353"/>
      <c r="R25" s="353"/>
      <c r="S25" s="353"/>
      <c r="T25" s="354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4301071106</v>
      </c>
      <c r="D26" s="351">
        <v>4607111035882</v>
      </c>
      <c r="E26" s="351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5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353"/>
      <c r="R26" s="353"/>
      <c r="S26" s="353"/>
      <c r="T26" s="354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92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97</v>
      </c>
      <c r="B27" s="60" t="s">
        <v>98</v>
      </c>
      <c r="C27" s="34">
        <v>4301071107</v>
      </c>
      <c r="D27" s="351">
        <v>4607111035905</v>
      </c>
      <c r="E27" s="351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5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3"/>
      <c r="R27" s="353"/>
      <c r="S27" s="353"/>
      <c r="T27" s="354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92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idden="1" x14ac:dyDescent="0.2">
      <c r="A28" s="363"/>
      <c r="B28" s="363"/>
      <c r="C28" s="363"/>
      <c r="D28" s="363"/>
      <c r="E28" s="363"/>
      <c r="F28" s="363"/>
      <c r="G28" s="363"/>
      <c r="H28" s="363"/>
      <c r="I28" s="363"/>
      <c r="J28" s="363"/>
      <c r="K28" s="363"/>
      <c r="L28" s="363"/>
      <c r="M28" s="363"/>
      <c r="N28" s="363"/>
      <c r="O28" s="364"/>
      <c r="P28" s="360" t="s">
        <v>40</v>
      </c>
      <c r="Q28" s="361"/>
      <c r="R28" s="361"/>
      <c r="S28" s="361"/>
      <c r="T28" s="361"/>
      <c r="U28" s="361"/>
      <c r="V28" s="362"/>
      <c r="W28" s="40" t="s">
        <v>39</v>
      </c>
      <c r="X28" s="41">
        <f>IFERROR(SUM(X22:X27),"0")</f>
        <v>0</v>
      </c>
      <c r="Y28" s="41">
        <f>IFERROR(SUM(Y22:Y27),"0")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hidden="1" x14ac:dyDescent="0.2">
      <c r="A29" s="363"/>
      <c r="B29" s="363"/>
      <c r="C29" s="363"/>
      <c r="D29" s="363"/>
      <c r="E29" s="363"/>
      <c r="F29" s="363"/>
      <c r="G29" s="363"/>
      <c r="H29" s="363"/>
      <c r="I29" s="363"/>
      <c r="J29" s="363"/>
      <c r="K29" s="363"/>
      <c r="L29" s="363"/>
      <c r="M29" s="363"/>
      <c r="N29" s="363"/>
      <c r="O29" s="364"/>
      <c r="P29" s="360" t="s">
        <v>40</v>
      </c>
      <c r="Q29" s="361"/>
      <c r="R29" s="361"/>
      <c r="S29" s="361"/>
      <c r="T29" s="361"/>
      <c r="U29" s="361"/>
      <c r="V29" s="362"/>
      <c r="W29" s="40" t="s">
        <v>0</v>
      </c>
      <c r="X29" s="41">
        <f>IFERROR(SUMPRODUCT(X22:X27*H22:H27),"0")</f>
        <v>0</v>
      </c>
      <c r="Y29" s="41">
        <f>IFERROR(SUMPRODUCT(Y22:Y27*H22:H27),"0")</f>
        <v>0</v>
      </c>
      <c r="Z29" s="40"/>
      <c r="AA29" s="64"/>
      <c r="AB29" s="64"/>
      <c r="AC29" s="64"/>
    </row>
    <row r="30" spans="1:68" ht="16.5" hidden="1" customHeight="1" x14ac:dyDescent="0.25">
      <c r="A30" s="349" t="s">
        <v>99</v>
      </c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349"/>
      <c r="P30" s="349"/>
      <c r="Q30" s="349"/>
      <c r="R30" s="349"/>
      <c r="S30" s="349"/>
      <c r="T30" s="349"/>
      <c r="U30" s="349"/>
      <c r="V30" s="349"/>
      <c r="W30" s="349"/>
      <c r="X30" s="349"/>
      <c r="Y30" s="349"/>
      <c r="Z30" s="349"/>
      <c r="AA30" s="62"/>
      <c r="AB30" s="62"/>
      <c r="AC30" s="62"/>
    </row>
    <row r="31" spans="1:68" ht="14.25" hidden="1" customHeight="1" x14ac:dyDescent="0.25">
      <c r="A31" s="350" t="s">
        <v>80</v>
      </c>
      <c r="B31" s="350"/>
      <c r="C31" s="350"/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50"/>
      <c r="W31" s="350"/>
      <c r="X31" s="350"/>
      <c r="Y31" s="350"/>
      <c r="Z31" s="350"/>
      <c r="AA31" s="63"/>
      <c r="AB31" s="63"/>
      <c r="AC31" s="63"/>
    </row>
    <row r="32" spans="1:68" ht="16.5" hidden="1" customHeight="1" x14ac:dyDescent="0.25">
      <c r="A32" s="60" t="s">
        <v>100</v>
      </c>
      <c r="B32" s="60" t="s">
        <v>101</v>
      </c>
      <c r="C32" s="34">
        <v>4301071099</v>
      </c>
      <c r="D32" s="351">
        <v>4607111039019</v>
      </c>
      <c r="E32" s="351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85</v>
      </c>
      <c r="L32" s="35" t="s">
        <v>86</v>
      </c>
      <c r="M32" s="36" t="s">
        <v>84</v>
      </c>
      <c r="N32" s="36"/>
      <c r="O32" s="35">
        <v>180</v>
      </c>
      <c r="P32" s="36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3"/>
      <c r="R32" s="353"/>
      <c r="S32" s="353"/>
      <c r="T32" s="354"/>
      <c r="U32" s="37" t="s">
        <v>46</v>
      </c>
      <c r="V32" s="37" t="s">
        <v>46</v>
      </c>
      <c r="W32" s="38" t="s">
        <v>39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 t="s">
        <v>46</v>
      </c>
      <c r="AB32" s="66" t="s">
        <v>46</v>
      </c>
      <c r="AC32" s="96" t="s">
        <v>102</v>
      </c>
      <c r="AG32" s="78"/>
      <c r="AJ32" s="82" t="s">
        <v>87</v>
      </c>
      <c r="AK32" s="82">
        <v>1</v>
      </c>
      <c r="BB32" s="97" t="s">
        <v>70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hidden="1" customHeight="1" x14ac:dyDescent="0.25">
      <c r="A33" s="60" t="s">
        <v>103</v>
      </c>
      <c r="B33" s="60" t="s">
        <v>104</v>
      </c>
      <c r="C33" s="34">
        <v>4301071100</v>
      </c>
      <c r="D33" s="351">
        <v>4607111038708</v>
      </c>
      <c r="E33" s="351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85</v>
      </c>
      <c r="L33" s="35" t="s">
        <v>86</v>
      </c>
      <c r="M33" s="36" t="s">
        <v>84</v>
      </c>
      <c r="N33" s="36"/>
      <c r="O33" s="35">
        <v>180</v>
      </c>
      <c r="P33" s="36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3"/>
      <c r="R33" s="353"/>
      <c r="S33" s="353"/>
      <c r="T33" s="354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102</v>
      </c>
      <c r="AG33" s="78"/>
      <c r="AJ33" s="82" t="s">
        <v>87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hidden="1" x14ac:dyDescent="0.2">
      <c r="A34" s="363"/>
      <c r="B34" s="363"/>
      <c r="C34" s="363"/>
      <c r="D34" s="363"/>
      <c r="E34" s="363"/>
      <c r="F34" s="363"/>
      <c r="G34" s="363"/>
      <c r="H34" s="363"/>
      <c r="I34" s="363"/>
      <c r="J34" s="363"/>
      <c r="K34" s="363"/>
      <c r="L34" s="363"/>
      <c r="M34" s="363"/>
      <c r="N34" s="363"/>
      <c r="O34" s="364"/>
      <c r="P34" s="360" t="s">
        <v>40</v>
      </c>
      <c r="Q34" s="361"/>
      <c r="R34" s="361"/>
      <c r="S34" s="361"/>
      <c r="T34" s="361"/>
      <c r="U34" s="361"/>
      <c r="V34" s="362"/>
      <c r="W34" s="40" t="s">
        <v>39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hidden="1" x14ac:dyDescent="0.2">
      <c r="A35" s="363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64"/>
      <c r="P35" s="360" t="s">
        <v>40</v>
      </c>
      <c r="Q35" s="361"/>
      <c r="R35" s="361"/>
      <c r="S35" s="361"/>
      <c r="T35" s="361"/>
      <c r="U35" s="361"/>
      <c r="V35" s="362"/>
      <c r="W35" s="40" t="s">
        <v>0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hidden="1" customHeight="1" x14ac:dyDescent="0.2">
      <c r="A36" s="348" t="s">
        <v>45</v>
      </c>
      <c r="B36" s="348"/>
      <c r="C36" s="348"/>
      <c r="D36" s="348"/>
      <c r="E36" s="348"/>
      <c r="F36" s="348"/>
      <c r="G36" s="348"/>
      <c r="H36" s="348"/>
      <c r="I36" s="348"/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  <c r="AA36" s="52"/>
      <c r="AB36" s="52"/>
      <c r="AC36" s="52"/>
    </row>
    <row r="37" spans="1:68" ht="16.5" hidden="1" customHeight="1" x14ac:dyDescent="0.25">
      <c r="A37" s="349" t="s">
        <v>105</v>
      </c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49"/>
      <c r="M37" s="349"/>
      <c r="N37" s="349"/>
      <c r="O37" s="349"/>
      <c r="P37" s="349"/>
      <c r="Q37" s="349"/>
      <c r="R37" s="349"/>
      <c r="S37" s="349"/>
      <c r="T37" s="349"/>
      <c r="U37" s="349"/>
      <c r="V37" s="349"/>
      <c r="W37" s="349"/>
      <c r="X37" s="349"/>
      <c r="Y37" s="349"/>
      <c r="Z37" s="349"/>
      <c r="AA37" s="62"/>
      <c r="AB37" s="62"/>
      <c r="AC37" s="62"/>
    </row>
    <row r="38" spans="1:68" ht="14.25" hidden="1" customHeight="1" x14ac:dyDescent="0.25">
      <c r="A38" s="350" t="s">
        <v>106</v>
      </c>
      <c r="B38" s="350"/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63"/>
      <c r="AB38" s="63"/>
      <c r="AC38" s="63"/>
    </row>
    <row r="39" spans="1:68" ht="27" hidden="1" customHeight="1" x14ac:dyDescent="0.25">
      <c r="A39" s="60" t="s">
        <v>107</v>
      </c>
      <c r="B39" s="60" t="s">
        <v>108</v>
      </c>
      <c r="C39" s="34">
        <v>4301132190</v>
      </c>
      <c r="D39" s="351">
        <v>4607111036537</v>
      </c>
      <c r="E39" s="351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111</v>
      </c>
      <c r="L39" s="35" t="s">
        <v>112</v>
      </c>
      <c r="M39" s="36" t="s">
        <v>84</v>
      </c>
      <c r="N39" s="36"/>
      <c r="O39" s="35">
        <v>365</v>
      </c>
      <c r="P39" s="36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3"/>
      <c r="R39" s="353"/>
      <c r="S39" s="353"/>
      <c r="T39" s="354"/>
      <c r="U39" s="37" t="s">
        <v>46</v>
      </c>
      <c r="V39" s="37" t="s">
        <v>46</v>
      </c>
      <c r="W39" s="38" t="s">
        <v>39</v>
      </c>
      <c r="X39" s="56">
        <v>0</v>
      </c>
      <c r="Y39" s="53">
        <f>IFERROR(IF(X39="","",X39),"")</f>
        <v>0</v>
      </c>
      <c r="Z39" s="39">
        <f>IFERROR(IF(X39="","",X39*0.00941),"")</f>
        <v>0</v>
      </c>
      <c r="AA39" s="65" t="s">
        <v>46</v>
      </c>
      <c r="AB39" s="66" t="s">
        <v>46</v>
      </c>
      <c r="AC39" s="100" t="s">
        <v>109</v>
      </c>
      <c r="AG39" s="78"/>
      <c r="AJ39" s="82" t="s">
        <v>113</v>
      </c>
      <c r="AK39" s="82">
        <v>14</v>
      </c>
      <c r="BB39" s="101" t="s">
        <v>110</v>
      </c>
      <c r="BM39" s="78">
        <f>IFERROR(X39*I39,"0")</f>
        <v>0</v>
      </c>
      <c r="BN39" s="78">
        <f>IFERROR(Y39*I39,"0")</f>
        <v>0</v>
      </c>
      <c r="BO39" s="78">
        <f>IFERROR(X39/J39,"0")</f>
        <v>0</v>
      </c>
      <c r="BP39" s="78">
        <f>IFERROR(Y39/J39,"0")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4301132188</v>
      </c>
      <c r="D40" s="351">
        <v>4607111036605</v>
      </c>
      <c r="E40" s="351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111</v>
      </c>
      <c r="L40" s="35" t="s">
        <v>112</v>
      </c>
      <c r="M40" s="36" t="s">
        <v>84</v>
      </c>
      <c r="N40" s="36"/>
      <c r="O40" s="35">
        <v>365</v>
      </c>
      <c r="P40" s="36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3"/>
      <c r="R40" s="353"/>
      <c r="S40" s="353"/>
      <c r="T40" s="354"/>
      <c r="U40" s="37" t="s">
        <v>46</v>
      </c>
      <c r="V40" s="37" t="s">
        <v>46</v>
      </c>
      <c r="W40" s="38" t="s">
        <v>39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 t="s">
        <v>46</v>
      </c>
      <c r="AB40" s="66" t="s">
        <v>46</v>
      </c>
      <c r="AC40" s="102" t="s">
        <v>109</v>
      </c>
      <c r="AG40" s="78"/>
      <c r="AJ40" s="82" t="s">
        <v>113</v>
      </c>
      <c r="AK40" s="82">
        <v>14</v>
      </c>
      <c r="BB40" s="103" t="s">
        <v>110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hidden="1" x14ac:dyDescent="0.2">
      <c r="A41" s="363"/>
      <c r="B41" s="363"/>
      <c r="C41" s="363"/>
      <c r="D41" s="363"/>
      <c r="E41" s="363"/>
      <c r="F41" s="363"/>
      <c r="G41" s="363"/>
      <c r="H41" s="363"/>
      <c r="I41" s="363"/>
      <c r="J41" s="363"/>
      <c r="K41" s="363"/>
      <c r="L41" s="363"/>
      <c r="M41" s="363"/>
      <c r="N41" s="363"/>
      <c r="O41" s="364"/>
      <c r="P41" s="360" t="s">
        <v>40</v>
      </c>
      <c r="Q41" s="361"/>
      <c r="R41" s="361"/>
      <c r="S41" s="361"/>
      <c r="T41" s="361"/>
      <c r="U41" s="361"/>
      <c r="V41" s="362"/>
      <c r="W41" s="40" t="s">
        <v>39</v>
      </c>
      <c r="X41" s="41">
        <f>IFERROR(SUM(X39:X40),"0")</f>
        <v>0</v>
      </c>
      <c r="Y41" s="41">
        <f>IFERROR(SUM(Y39:Y40),"0")</f>
        <v>0</v>
      </c>
      <c r="Z41" s="41">
        <f>IFERROR(IF(Z39="",0,Z39),"0")+IFERROR(IF(Z40="",0,Z40),"0")</f>
        <v>0</v>
      </c>
      <c r="AA41" s="64"/>
      <c r="AB41" s="64"/>
      <c r="AC41" s="64"/>
    </row>
    <row r="42" spans="1:68" hidden="1" x14ac:dyDescent="0.2">
      <c r="A42" s="363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64"/>
      <c r="P42" s="360" t="s">
        <v>40</v>
      </c>
      <c r="Q42" s="361"/>
      <c r="R42" s="361"/>
      <c r="S42" s="361"/>
      <c r="T42" s="361"/>
      <c r="U42" s="361"/>
      <c r="V42" s="362"/>
      <c r="W42" s="40" t="s">
        <v>0</v>
      </c>
      <c r="X42" s="41">
        <f>IFERROR(SUMPRODUCT(X39:X40*H39:H40),"0")</f>
        <v>0</v>
      </c>
      <c r="Y42" s="41">
        <f>IFERROR(SUMPRODUCT(Y39:Y40*H39:H40),"0")</f>
        <v>0</v>
      </c>
      <c r="Z42" s="40"/>
      <c r="AA42" s="64"/>
      <c r="AB42" s="64"/>
      <c r="AC42" s="64"/>
    </row>
    <row r="43" spans="1:68" ht="16.5" hidden="1" customHeight="1" x14ac:dyDescent="0.25">
      <c r="A43" s="349" t="s">
        <v>116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349"/>
      <c r="X43" s="349"/>
      <c r="Y43" s="349"/>
      <c r="Z43" s="349"/>
      <c r="AA43" s="62"/>
      <c r="AB43" s="62"/>
      <c r="AC43" s="62"/>
    </row>
    <row r="44" spans="1:68" ht="14.25" hidden="1" customHeight="1" x14ac:dyDescent="0.25">
      <c r="A44" s="350" t="s">
        <v>80</v>
      </c>
      <c r="B44" s="350"/>
      <c r="C44" s="350"/>
      <c r="D44" s="350"/>
      <c r="E44" s="350"/>
      <c r="F44" s="350"/>
      <c r="G44" s="350"/>
      <c r="H44" s="350"/>
      <c r="I44" s="350"/>
      <c r="J44" s="350"/>
      <c r="K44" s="350"/>
      <c r="L44" s="350"/>
      <c r="M44" s="350"/>
      <c r="N44" s="350"/>
      <c r="O44" s="350"/>
      <c r="P44" s="350"/>
      <c r="Q44" s="350"/>
      <c r="R44" s="350"/>
      <c r="S44" s="350"/>
      <c r="T44" s="350"/>
      <c r="U44" s="350"/>
      <c r="V44" s="350"/>
      <c r="W44" s="350"/>
      <c r="X44" s="350"/>
      <c r="Y44" s="350"/>
      <c r="Z44" s="350"/>
      <c r="AA44" s="63"/>
      <c r="AB44" s="63"/>
      <c r="AC44" s="63"/>
    </row>
    <row r="45" spans="1:68" ht="27" hidden="1" customHeight="1" x14ac:dyDescent="0.25">
      <c r="A45" s="60" t="s">
        <v>117</v>
      </c>
      <c r="B45" s="60" t="s">
        <v>118</v>
      </c>
      <c r="C45" s="34">
        <v>4301071090</v>
      </c>
      <c r="D45" s="351">
        <v>4620207490075</v>
      </c>
      <c r="E45" s="351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85</v>
      </c>
      <c r="L45" s="35" t="s">
        <v>112</v>
      </c>
      <c r="M45" s="36" t="s">
        <v>84</v>
      </c>
      <c r="N45" s="36"/>
      <c r="O45" s="35">
        <v>180</v>
      </c>
      <c r="P45" s="36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3"/>
      <c r="R45" s="353"/>
      <c r="S45" s="353"/>
      <c r="T45" s="354"/>
      <c r="U45" s="37" t="s">
        <v>46</v>
      </c>
      <c r="V45" s="37" t="s">
        <v>46</v>
      </c>
      <c r="W45" s="38" t="s">
        <v>39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 t="s">
        <v>46</v>
      </c>
      <c r="AB45" s="66" t="s">
        <v>46</v>
      </c>
      <c r="AC45" s="104" t="s">
        <v>119</v>
      </c>
      <c r="AG45" s="78"/>
      <c r="AJ45" s="82" t="s">
        <v>113</v>
      </c>
      <c r="AK45" s="82">
        <v>12</v>
      </c>
      <c r="BB45" s="105" t="s">
        <v>70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hidden="1" customHeight="1" x14ac:dyDescent="0.25">
      <c r="A46" s="60" t="s">
        <v>120</v>
      </c>
      <c r="B46" s="60" t="s">
        <v>121</v>
      </c>
      <c r="C46" s="34">
        <v>4301071092</v>
      </c>
      <c r="D46" s="351">
        <v>4620207490174</v>
      </c>
      <c r="E46" s="351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85</v>
      </c>
      <c r="L46" s="35" t="s">
        <v>112</v>
      </c>
      <c r="M46" s="36" t="s">
        <v>84</v>
      </c>
      <c r="N46" s="36"/>
      <c r="O46" s="35">
        <v>180</v>
      </c>
      <c r="P46" s="37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3"/>
      <c r="R46" s="353"/>
      <c r="S46" s="353"/>
      <c r="T46" s="354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122</v>
      </c>
      <c r="AG46" s="78"/>
      <c r="AJ46" s="82" t="s">
        <v>113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hidden="1" customHeight="1" x14ac:dyDescent="0.25">
      <c r="A47" s="60" t="s">
        <v>123</v>
      </c>
      <c r="B47" s="60" t="s">
        <v>124</v>
      </c>
      <c r="C47" s="34">
        <v>4301071091</v>
      </c>
      <c r="D47" s="351">
        <v>4620207490044</v>
      </c>
      <c r="E47" s="351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112</v>
      </c>
      <c r="M47" s="36" t="s">
        <v>84</v>
      </c>
      <c r="N47" s="36"/>
      <c r="O47" s="35">
        <v>180</v>
      </c>
      <c r="P47" s="37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3"/>
      <c r="R47" s="353"/>
      <c r="S47" s="353"/>
      <c r="T47" s="354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113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idden="1" x14ac:dyDescent="0.2">
      <c r="A48" s="363"/>
      <c r="B48" s="363"/>
      <c r="C48" s="363"/>
      <c r="D48" s="363"/>
      <c r="E48" s="363"/>
      <c r="F48" s="363"/>
      <c r="G48" s="363"/>
      <c r="H48" s="363"/>
      <c r="I48" s="363"/>
      <c r="J48" s="363"/>
      <c r="K48" s="363"/>
      <c r="L48" s="363"/>
      <c r="M48" s="363"/>
      <c r="N48" s="363"/>
      <c r="O48" s="364"/>
      <c r="P48" s="360" t="s">
        <v>40</v>
      </c>
      <c r="Q48" s="361"/>
      <c r="R48" s="361"/>
      <c r="S48" s="361"/>
      <c r="T48" s="361"/>
      <c r="U48" s="361"/>
      <c r="V48" s="362"/>
      <c r="W48" s="40" t="s">
        <v>39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hidden="1" x14ac:dyDescent="0.2">
      <c r="A49" s="363"/>
      <c r="B49" s="363"/>
      <c r="C49" s="363"/>
      <c r="D49" s="363"/>
      <c r="E49" s="363"/>
      <c r="F49" s="363"/>
      <c r="G49" s="363"/>
      <c r="H49" s="363"/>
      <c r="I49" s="363"/>
      <c r="J49" s="363"/>
      <c r="K49" s="363"/>
      <c r="L49" s="363"/>
      <c r="M49" s="363"/>
      <c r="N49" s="363"/>
      <c r="O49" s="364"/>
      <c r="P49" s="360" t="s">
        <v>40</v>
      </c>
      <c r="Q49" s="361"/>
      <c r="R49" s="361"/>
      <c r="S49" s="361"/>
      <c r="T49" s="361"/>
      <c r="U49" s="361"/>
      <c r="V49" s="362"/>
      <c r="W49" s="40" t="s">
        <v>0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hidden="1" customHeight="1" x14ac:dyDescent="0.25">
      <c r="A50" s="349" t="s">
        <v>126</v>
      </c>
      <c r="B50" s="349"/>
      <c r="C50" s="349"/>
      <c r="D50" s="349"/>
      <c r="E50" s="349"/>
      <c r="F50" s="349"/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49"/>
      <c r="T50" s="349"/>
      <c r="U50" s="349"/>
      <c r="V50" s="349"/>
      <c r="W50" s="349"/>
      <c r="X50" s="349"/>
      <c r="Y50" s="349"/>
      <c r="Z50" s="349"/>
      <c r="AA50" s="62"/>
      <c r="AB50" s="62"/>
      <c r="AC50" s="62"/>
    </row>
    <row r="51" spans="1:68" ht="14.25" hidden="1" customHeight="1" x14ac:dyDescent="0.25">
      <c r="A51" s="350" t="s">
        <v>80</v>
      </c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0"/>
      <c r="Z51" s="350"/>
      <c r="AA51" s="63"/>
      <c r="AB51" s="63"/>
      <c r="AC51" s="63"/>
    </row>
    <row r="52" spans="1:68" ht="27" hidden="1" customHeight="1" x14ac:dyDescent="0.25">
      <c r="A52" s="60" t="s">
        <v>127</v>
      </c>
      <c r="B52" s="60" t="s">
        <v>128</v>
      </c>
      <c r="C52" s="34">
        <v>4301071044</v>
      </c>
      <c r="D52" s="351">
        <v>4607111039385</v>
      </c>
      <c r="E52" s="351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85</v>
      </c>
      <c r="L52" s="35" t="s">
        <v>112</v>
      </c>
      <c r="M52" s="36" t="s">
        <v>84</v>
      </c>
      <c r="N52" s="36"/>
      <c r="O52" s="35">
        <v>180</v>
      </c>
      <c r="P52" s="37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3"/>
      <c r="R52" s="353"/>
      <c r="S52" s="353"/>
      <c r="T52" s="354"/>
      <c r="U52" s="37" t="s">
        <v>46</v>
      </c>
      <c r="V52" s="37" t="s">
        <v>46</v>
      </c>
      <c r="W52" s="38" t="s">
        <v>39</v>
      </c>
      <c r="X52" s="56">
        <v>0</v>
      </c>
      <c r="Y52" s="53">
        <f>IFERROR(IF(X52="","",X52),"")</f>
        <v>0</v>
      </c>
      <c r="Z52" s="39">
        <f>IFERROR(IF(X52="","",X52*0.0155),"")</f>
        <v>0</v>
      </c>
      <c r="AA52" s="65" t="s">
        <v>46</v>
      </c>
      <c r="AB52" s="66" t="s">
        <v>46</v>
      </c>
      <c r="AC52" s="110" t="s">
        <v>129</v>
      </c>
      <c r="AG52" s="78"/>
      <c r="AJ52" s="82" t="s">
        <v>113</v>
      </c>
      <c r="AK52" s="82">
        <v>12</v>
      </c>
      <c r="BB52" s="111" t="s">
        <v>70</v>
      </c>
      <c r="BM52" s="78">
        <f>IFERROR(X52*I52,"0")</f>
        <v>0</v>
      </c>
      <c r="BN52" s="78">
        <f>IFERROR(Y52*I52,"0")</f>
        <v>0</v>
      </c>
      <c r="BO52" s="78">
        <f>IFERROR(X52/J52,"0")</f>
        <v>0</v>
      </c>
      <c r="BP52" s="78">
        <f>IFERROR(Y52/J52,"0")</f>
        <v>0</v>
      </c>
    </row>
    <row r="53" spans="1:68" ht="27" hidden="1" customHeight="1" x14ac:dyDescent="0.25">
      <c r="A53" s="60" t="s">
        <v>130</v>
      </c>
      <c r="B53" s="60" t="s">
        <v>131</v>
      </c>
      <c r="C53" s="34">
        <v>4301071031</v>
      </c>
      <c r="D53" s="351">
        <v>4607111038982</v>
      </c>
      <c r="E53" s="351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85</v>
      </c>
      <c r="L53" s="35" t="s">
        <v>112</v>
      </c>
      <c r="M53" s="36" t="s">
        <v>84</v>
      </c>
      <c r="N53" s="36"/>
      <c r="O53" s="35">
        <v>180</v>
      </c>
      <c r="P53" s="37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3"/>
      <c r="R53" s="353"/>
      <c r="S53" s="353"/>
      <c r="T53" s="354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132</v>
      </c>
      <c r="AG53" s="78"/>
      <c r="AJ53" s="82" t="s">
        <v>113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133</v>
      </c>
      <c r="B54" s="60" t="s">
        <v>134</v>
      </c>
      <c r="C54" s="34">
        <v>4301071046</v>
      </c>
      <c r="D54" s="351">
        <v>4607111039354</v>
      </c>
      <c r="E54" s="351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85</v>
      </c>
      <c r="L54" s="35" t="s">
        <v>112</v>
      </c>
      <c r="M54" s="36" t="s">
        <v>84</v>
      </c>
      <c r="N54" s="36"/>
      <c r="O54" s="35">
        <v>180</v>
      </c>
      <c r="P54" s="37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3"/>
      <c r="R54" s="353"/>
      <c r="S54" s="353"/>
      <c r="T54" s="354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132</v>
      </c>
      <c r="AG54" s="78"/>
      <c r="AJ54" s="82" t="s">
        <v>113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4301071047</v>
      </c>
      <c r="D55" s="351">
        <v>4607111039330</v>
      </c>
      <c r="E55" s="351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85</v>
      </c>
      <c r="L55" s="35" t="s">
        <v>112</v>
      </c>
      <c r="M55" s="36" t="s">
        <v>84</v>
      </c>
      <c r="N55" s="36"/>
      <c r="O55" s="35">
        <v>180</v>
      </c>
      <c r="P55" s="37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3"/>
      <c r="R55" s="353"/>
      <c r="S55" s="353"/>
      <c r="T55" s="354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132</v>
      </c>
      <c r="AG55" s="78"/>
      <c r="AJ55" s="82" t="s">
        <v>113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idden="1" x14ac:dyDescent="0.2">
      <c r="A56" s="363"/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4"/>
      <c r="P56" s="360" t="s">
        <v>40</v>
      </c>
      <c r="Q56" s="361"/>
      <c r="R56" s="361"/>
      <c r="S56" s="361"/>
      <c r="T56" s="361"/>
      <c r="U56" s="361"/>
      <c r="V56" s="362"/>
      <c r="W56" s="40" t="s">
        <v>39</v>
      </c>
      <c r="X56" s="41">
        <f>IFERROR(SUM(X52:X55),"0")</f>
        <v>0</v>
      </c>
      <c r="Y56" s="41">
        <f>IFERROR(SUM(Y52:Y55),"0")</f>
        <v>0</v>
      </c>
      <c r="Z56" s="41">
        <f>IFERROR(IF(Z52="",0,Z52),"0")+IFERROR(IF(Z53="",0,Z53),"0")+IFERROR(IF(Z54="",0,Z54),"0")+IFERROR(IF(Z55="",0,Z55),"0")</f>
        <v>0</v>
      </c>
      <c r="AA56" s="64"/>
      <c r="AB56" s="64"/>
      <c r="AC56" s="64"/>
    </row>
    <row r="57" spans="1:68" hidden="1" x14ac:dyDescent="0.2">
      <c r="A57" s="363"/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4"/>
      <c r="P57" s="360" t="s">
        <v>40</v>
      </c>
      <c r="Q57" s="361"/>
      <c r="R57" s="361"/>
      <c r="S57" s="361"/>
      <c r="T57" s="361"/>
      <c r="U57" s="361"/>
      <c r="V57" s="362"/>
      <c r="W57" s="40" t="s">
        <v>0</v>
      </c>
      <c r="X57" s="41">
        <f>IFERROR(SUMPRODUCT(X52:X55*H52:H55),"0")</f>
        <v>0</v>
      </c>
      <c r="Y57" s="41">
        <f>IFERROR(SUMPRODUCT(Y52:Y55*H52:H55),"0")</f>
        <v>0</v>
      </c>
      <c r="Z57" s="40"/>
      <c r="AA57" s="64"/>
      <c r="AB57" s="64"/>
      <c r="AC57" s="64"/>
    </row>
    <row r="58" spans="1:68" ht="16.5" hidden="1" customHeight="1" x14ac:dyDescent="0.25">
      <c r="A58" s="349" t="s">
        <v>137</v>
      </c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  <c r="R58" s="349"/>
      <c r="S58" s="349"/>
      <c r="T58" s="349"/>
      <c r="U58" s="349"/>
      <c r="V58" s="349"/>
      <c r="W58" s="349"/>
      <c r="X58" s="349"/>
      <c r="Y58" s="349"/>
      <c r="Z58" s="349"/>
      <c r="AA58" s="62"/>
      <c r="AB58" s="62"/>
      <c r="AC58" s="62"/>
    </row>
    <row r="59" spans="1:68" ht="14.25" hidden="1" customHeight="1" x14ac:dyDescent="0.25">
      <c r="A59" s="350" t="s">
        <v>80</v>
      </c>
      <c r="B59" s="350"/>
      <c r="C59" s="350"/>
      <c r="D59" s="350"/>
      <c r="E59" s="350"/>
      <c r="F59" s="350"/>
      <c r="G59" s="350"/>
      <c r="H59" s="350"/>
      <c r="I59" s="350"/>
      <c r="J59" s="350"/>
      <c r="K59" s="350"/>
      <c r="L59" s="350"/>
      <c r="M59" s="350"/>
      <c r="N59" s="350"/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  <c r="Z59" s="350"/>
      <c r="AA59" s="63"/>
      <c r="AB59" s="63"/>
      <c r="AC59" s="63"/>
    </row>
    <row r="60" spans="1:68" ht="16.5" hidden="1" customHeight="1" x14ac:dyDescent="0.25">
      <c r="A60" s="60" t="s">
        <v>138</v>
      </c>
      <c r="B60" s="60" t="s">
        <v>139</v>
      </c>
      <c r="C60" s="34">
        <v>4301071073</v>
      </c>
      <c r="D60" s="351">
        <v>4620207490822</v>
      </c>
      <c r="E60" s="351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85</v>
      </c>
      <c r="L60" s="35" t="s">
        <v>86</v>
      </c>
      <c r="M60" s="36" t="s">
        <v>84</v>
      </c>
      <c r="N60" s="36"/>
      <c r="O60" s="35">
        <v>365</v>
      </c>
      <c r="P60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3"/>
      <c r="R60" s="353"/>
      <c r="S60" s="353"/>
      <c r="T60" s="354"/>
      <c r="U60" s="37" t="s">
        <v>46</v>
      </c>
      <c r="V60" s="37" t="s">
        <v>46</v>
      </c>
      <c r="W60" s="38" t="s">
        <v>39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 t="s">
        <v>46</v>
      </c>
      <c r="AB60" s="66" t="s">
        <v>46</v>
      </c>
      <c r="AC60" s="118" t="s">
        <v>140</v>
      </c>
      <c r="AG60" s="78"/>
      <c r="AJ60" s="82" t="s">
        <v>87</v>
      </c>
      <c r="AK60" s="82">
        <v>1</v>
      </c>
      <c r="BB60" s="119" t="s">
        <v>70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hidden="1" x14ac:dyDescent="0.2">
      <c r="A61" s="363"/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4"/>
      <c r="P61" s="360" t="s">
        <v>40</v>
      </c>
      <c r="Q61" s="361"/>
      <c r="R61" s="361"/>
      <c r="S61" s="361"/>
      <c r="T61" s="361"/>
      <c r="U61" s="361"/>
      <c r="V61" s="362"/>
      <c r="W61" s="40" t="s">
        <v>39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hidden="1" x14ac:dyDescent="0.2">
      <c r="A62" s="363"/>
      <c r="B62" s="363"/>
      <c r="C62" s="363"/>
      <c r="D62" s="363"/>
      <c r="E62" s="363"/>
      <c r="F62" s="363"/>
      <c r="G62" s="363"/>
      <c r="H62" s="363"/>
      <c r="I62" s="363"/>
      <c r="J62" s="363"/>
      <c r="K62" s="363"/>
      <c r="L62" s="363"/>
      <c r="M62" s="363"/>
      <c r="N62" s="363"/>
      <c r="O62" s="364"/>
      <c r="P62" s="360" t="s">
        <v>40</v>
      </c>
      <c r="Q62" s="361"/>
      <c r="R62" s="361"/>
      <c r="S62" s="361"/>
      <c r="T62" s="361"/>
      <c r="U62" s="361"/>
      <c r="V62" s="362"/>
      <c r="W62" s="40" t="s">
        <v>0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hidden="1" customHeight="1" x14ac:dyDescent="0.25">
      <c r="A63" s="350" t="s">
        <v>106</v>
      </c>
      <c r="B63" s="350"/>
      <c r="C63" s="350"/>
      <c r="D63" s="350"/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50"/>
      <c r="Q63" s="350"/>
      <c r="R63" s="350"/>
      <c r="S63" s="350"/>
      <c r="T63" s="350"/>
      <c r="U63" s="350"/>
      <c r="V63" s="350"/>
      <c r="W63" s="350"/>
      <c r="X63" s="350"/>
      <c r="Y63" s="350"/>
      <c r="Z63" s="350"/>
      <c r="AA63" s="63"/>
      <c r="AB63" s="63"/>
      <c r="AC63" s="63"/>
    </row>
    <row r="64" spans="1:68" ht="27" hidden="1" customHeight="1" x14ac:dyDescent="0.25">
      <c r="A64" s="60" t="s">
        <v>141</v>
      </c>
      <c r="B64" s="60" t="s">
        <v>142</v>
      </c>
      <c r="C64" s="34">
        <v>4301132194</v>
      </c>
      <c r="D64" s="351">
        <v>4607111039712</v>
      </c>
      <c r="E64" s="351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111</v>
      </c>
      <c r="L64" s="35" t="s">
        <v>86</v>
      </c>
      <c r="M64" s="36" t="s">
        <v>84</v>
      </c>
      <c r="N64" s="36"/>
      <c r="O64" s="35">
        <v>365</v>
      </c>
      <c r="P64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3"/>
      <c r="R64" s="353"/>
      <c r="S64" s="353"/>
      <c r="T64" s="354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20" t="s">
        <v>143</v>
      </c>
      <c r="AG64" s="78"/>
      <c r="AJ64" s="82" t="s">
        <v>87</v>
      </c>
      <c r="AK64" s="82">
        <v>1</v>
      </c>
      <c r="BB64" s="121" t="s">
        <v>110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hidden="1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64"/>
      <c r="P65" s="360" t="s">
        <v>40</v>
      </c>
      <c r="Q65" s="361"/>
      <c r="R65" s="361"/>
      <c r="S65" s="361"/>
      <c r="T65" s="361"/>
      <c r="U65" s="361"/>
      <c r="V65" s="362"/>
      <c r="W65" s="40" t="s">
        <v>39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hidden="1" x14ac:dyDescent="0.2">
      <c r="A66" s="363"/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4"/>
      <c r="P66" s="360" t="s">
        <v>40</v>
      </c>
      <c r="Q66" s="361"/>
      <c r="R66" s="361"/>
      <c r="S66" s="361"/>
      <c r="T66" s="361"/>
      <c r="U66" s="361"/>
      <c r="V66" s="362"/>
      <c r="W66" s="40" t="s">
        <v>0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hidden="1" customHeight="1" x14ac:dyDescent="0.25">
      <c r="A67" s="350" t="s">
        <v>144</v>
      </c>
      <c r="B67" s="350"/>
      <c r="C67" s="350"/>
      <c r="D67" s="350"/>
      <c r="E67" s="350"/>
      <c r="F67" s="350"/>
      <c r="G67" s="350"/>
      <c r="H67" s="350"/>
      <c r="I67" s="350"/>
      <c r="J67" s="350"/>
      <c r="K67" s="350"/>
      <c r="L67" s="350"/>
      <c r="M67" s="350"/>
      <c r="N67" s="350"/>
      <c r="O67" s="350"/>
      <c r="P67" s="350"/>
      <c r="Q67" s="350"/>
      <c r="R67" s="350"/>
      <c r="S67" s="350"/>
      <c r="T67" s="350"/>
      <c r="U67" s="350"/>
      <c r="V67" s="350"/>
      <c r="W67" s="350"/>
      <c r="X67" s="350"/>
      <c r="Y67" s="350"/>
      <c r="Z67" s="350"/>
      <c r="AA67" s="63"/>
      <c r="AB67" s="63"/>
      <c r="AC67" s="63"/>
    </row>
    <row r="68" spans="1:68" ht="16.5" hidden="1" customHeight="1" x14ac:dyDescent="0.25">
      <c r="A68" s="60" t="s">
        <v>145</v>
      </c>
      <c r="B68" s="60" t="s">
        <v>146</v>
      </c>
      <c r="C68" s="34">
        <v>4301136018</v>
      </c>
      <c r="D68" s="351">
        <v>4607111037008</v>
      </c>
      <c r="E68" s="351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111</v>
      </c>
      <c r="L68" s="35" t="s">
        <v>86</v>
      </c>
      <c r="M68" s="36" t="s">
        <v>84</v>
      </c>
      <c r="N68" s="36"/>
      <c r="O68" s="35">
        <v>365</v>
      </c>
      <c r="P68" s="37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3"/>
      <c r="R68" s="353"/>
      <c r="S68" s="353"/>
      <c r="T68" s="354"/>
      <c r="U68" s="37" t="s">
        <v>46</v>
      </c>
      <c r="V68" s="37" t="s">
        <v>46</v>
      </c>
      <c r="W68" s="38" t="s">
        <v>39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 t="s">
        <v>46</v>
      </c>
      <c r="AB68" s="66" t="s">
        <v>46</v>
      </c>
      <c r="AC68" s="122" t="s">
        <v>147</v>
      </c>
      <c r="AG68" s="78"/>
      <c r="AJ68" s="82" t="s">
        <v>87</v>
      </c>
      <c r="AK68" s="82">
        <v>1</v>
      </c>
      <c r="BB68" s="123" t="s">
        <v>110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hidden="1" customHeight="1" x14ac:dyDescent="0.25">
      <c r="A69" s="60" t="s">
        <v>148</v>
      </c>
      <c r="B69" s="60" t="s">
        <v>149</v>
      </c>
      <c r="C69" s="34">
        <v>4301136015</v>
      </c>
      <c r="D69" s="351">
        <v>4607111037398</v>
      </c>
      <c r="E69" s="351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111</v>
      </c>
      <c r="L69" s="35" t="s">
        <v>86</v>
      </c>
      <c r="M69" s="36" t="s">
        <v>84</v>
      </c>
      <c r="N69" s="36"/>
      <c r="O69" s="35">
        <v>365</v>
      </c>
      <c r="P69" s="37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3"/>
      <c r="R69" s="353"/>
      <c r="S69" s="353"/>
      <c r="T69" s="354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 t="s">
        <v>46</v>
      </c>
      <c r="AB69" s="66" t="s">
        <v>46</v>
      </c>
      <c r="AC69" s="124" t="s">
        <v>147</v>
      </c>
      <c r="AG69" s="78"/>
      <c r="AJ69" s="82" t="s">
        <v>87</v>
      </c>
      <c r="AK69" s="82">
        <v>1</v>
      </c>
      <c r="BB69" s="125" t="s">
        <v>110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idden="1" x14ac:dyDescent="0.2">
      <c r="A70" s="363"/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4"/>
      <c r="P70" s="360" t="s">
        <v>40</v>
      </c>
      <c r="Q70" s="361"/>
      <c r="R70" s="361"/>
      <c r="S70" s="361"/>
      <c r="T70" s="361"/>
      <c r="U70" s="361"/>
      <c r="V70" s="362"/>
      <c r="W70" s="40" t="s">
        <v>39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hidden="1" x14ac:dyDescent="0.2">
      <c r="A71" s="363"/>
      <c r="B71" s="363"/>
      <c r="C71" s="363"/>
      <c r="D71" s="363"/>
      <c r="E71" s="363"/>
      <c r="F71" s="363"/>
      <c r="G71" s="363"/>
      <c r="H71" s="363"/>
      <c r="I71" s="363"/>
      <c r="J71" s="363"/>
      <c r="K71" s="363"/>
      <c r="L71" s="363"/>
      <c r="M71" s="363"/>
      <c r="N71" s="363"/>
      <c r="O71" s="364"/>
      <c r="P71" s="360" t="s">
        <v>40</v>
      </c>
      <c r="Q71" s="361"/>
      <c r="R71" s="361"/>
      <c r="S71" s="361"/>
      <c r="T71" s="361"/>
      <c r="U71" s="361"/>
      <c r="V71" s="362"/>
      <c r="W71" s="40" t="s">
        <v>0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hidden="1" customHeight="1" x14ac:dyDescent="0.25">
      <c r="A72" s="350" t="s">
        <v>150</v>
      </c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0"/>
      <c r="Q72" s="350"/>
      <c r="R72" s="350"/>
      <c r="S72" s="350"/>
      <c r="T72" s="350"/>
      <c r="U72" s="350"/>
      <c r="V72" s="350"/>
      <c r="W72" s="350"/>
      <c r="X72" s="350"/>
      <c r="Y72" s="350"/>
      <c r="Z72" s="350"/>
      <c r="AA72" s="63"/>
      <c r="AB72" s="63"/>
      <c r="AC72" s="63"/>
    </row>
    <row r="73" spans="1:68" ht="27" hidden="1" customHeight="1" x14ac:dyDescent="0.25">
      <c r="A73" s="60" t="s">
        <v>151</v>
      </c>
      <c r="B73" s="60" t="s">
        <v>152</v>
      </c>
      <c r="C73" s="34">
        <v>4301135664</v>
      </c>
      <c r="D73" s="351">
        <v>4607111039705</v>
      </c>
      <c r="E73" s="351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111</v>
      </c>
      <c r="L73" s="35" t="s">
        <v>86</v>
      </c>
      <c r="M73" s="36" t="s">
        <v>84</v>
      </c>
      <c r="N73" s="36"/>
      <c r="O73" s="35">
        <v>365</v>
      </c>
      <c r="P73" s="38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3"/>
      <c r="R73" s="353"/>
      <c r="S73" s="353"/>
      <c r="T73" s="354"/>
      <c r="U73" s="37" t="s">
        <v>46</v>
      </c>
      <c r="V73" s="37" t="s">
        <v>46</v>
      </c>
      <c r="W73" s="38" t="s">
        <v>39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 t="s">
        <v>46</v>
      </c>
      <c r="AB73" s="66" t="s">
        <v>46</v>
      </c>
      <c r="AC73" s="126" t="s">
        <v>147</v>
      </c>
      <c r="AG73" s="78"/>
      <c r="AJ73" s="82" t="s">
        <v>87</v>
      </c>
      <c r="AK73" s="82">
        <v>1</v>
      </c>
      <c r="BB73" s="127" t="s">
        <v>110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hidden="1" customHeight="1" x14ac:dyDescent="0.25">
      <c r="A74" s="60" t="s">
        <v>153</v>
      </c>
      <c r="B74" s="60" t="s">
        <v>154</v>
      </c>
      <c r="C74" s="34">
        <v>4301135665</v>
      </c>
      <c r="D74" s="351">
        <v>4607111039729</v>
      </c>
      <c r="E74" s="351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111</v>
      </c>
      <c r="L74" s="35" t="s">
        <v>86</v>
      </c>
      <c r="M74" s="36" t="s">
        <v>84</v>
      </c>
      <c r="N74" s="36"/>
      <c r="O74" s="35">
        <v>365</v>
      </c>
      <c r="P74" s="38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3"/>
      <c r="R74" s="353"/>
      <c r="S74" s="353"/>
      <c r="T74" s="354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155</v>
      </c>
      <c r="AG74" s="78"/>
      <c r="AJ74" s="82" t="s">
        <v>87</v>
      </c>
      <c r="AK74" s="82">
        <v>1</v>
      </c>
      <c r="BB74" s="129" t="s">
        <v>110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hidden="1" customHeight="1" x14ac:dyDescent="0.25">
      <c r="A75" s="60" t="s">
        <v>156</v>
      </c>
      <c r="B75" s="60" t="s">
        <v>157</v>
      </c>
      <c r="C75" s="34">
        <v>4301135702</v>
      </c>
      <c r="D75" s="351">
        <v>4620207490228</v>
      </c>
      <c r="E75" s="351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111</v>
      </c>
      <c r="L75" s="35" t="s">
        <v>86</v>
      </c>
      <c r="M75" s="36" t="s">
        <v>84</v>
      </c>
      <c r="N75" s="36"/>
      <c r="O75" s="35">
        <v>365</v>
      </c>
      <c r="P75" s="38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3"/>
      <c r="R75" s="353"/>
      <c r="S75" s="353"/>
      <c r="T75" s="354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155</v>
      </c>
      <c r="AG75" s="78"/>
      <c r="AJ75" s="82" t="s">
        <v>87</v>
      </c>
      <c r="AK75" s="82">
        <v>1</v>
      </c>
      <c r="BB75" s="131" t="s">
        <v>110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idden="1" x14ac:dyDescent="0.2">
      <c r="A76" s="363"/>
      <c r="B76" s="363"/>
      <c r="C76" s="363"/>
      <c r="D76" s="363"/>
      <c r="E76" s="363"/>
      <c r="F76" s="363"/>
      <c r="G76" s="363"/>
      <c r="H76" s="363"/>
      <c r="I76" s="363"/>
      <c r="J76" s="363"/>
      <c r="K76" s="363"/>
      <c r="L76" s="363"/>
      <c r="M76" s="363"/>
      <c r="N76" s="363"/>
      <c r="O76" s="364"/>
      <c r="P76" s="360" t="s">
        <v>40</v>
      </c>
      <c r="Q76" s="361"/>
      <c r="R76" s="361"/>
      <c r="S76" s="361"/>
      <c r="T76" s="361"/>
      <c r="U76" s="361"/>
      <c r="V76" s="362"/>
      <c r="W76" s="40" t="s">
        <v>39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hidden="1" x14ac:dyDescent="0.2">
      <c r="A77" s="363"/>
      <c r="B77" s="363"/>
      <c r="C77" s="363"/>
      <c r="D77" s="363"/>
      <c r="E77" s="363"/>
      <c r="F77" s="363"/>
      <c r="G77" s="363"/>
      <c r="H77" s="363"/>
      <c r="I77" s="363"/>
      <c r="J77" s="363"/>
      <c r="K77" s="363"/>
      <c r="L77" s="363"/>
      <c r="M77" s="363"/>
      <c r="N77" s="363"/>
      <c r="O77" s="364"/>
      <c r="P77" s="360" t="s">
        <v>40</v>
      </c>
      <c r="Q77" s="361"/>
      <c r="R77" s="361"/>
      <c r="S77" s="361"/>
      <c r="T77" s="361"/>
      <c r="U77" s="361"/>
      <c r="V77" s="362"/>
      <c r="W77" s="40" t="s">
        <v>0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hidden="1" customHeight="1" x14ac:dyDescent="0.25">
      <c r="A78" s="349" t="s">
        <v>158</v>
      </c>
      <c r="B78" s="349"/>
      <c r="C78" s="349"/>
      <c r="D78" s="349"/>
      <c r="E78" s="349"/>
      <c r="F78" s="349"/>
      <c r="G78" s="349"/>
      <c r="H78" s="349"/>
      <c r="I78" s="349"/>
      <c r="J78" s="349"/>
      <c r="K78" s="349"/>
      <c r="L78" s="349"/>
      <c r="M78" s="349"/>
      <c r="N78" s="349"/>
      <c r="O78" s="349"/>
      <c r="P78" s="349"/>
      <c r="Q78" s="349"/>
      <c r="R78" s="349"/>
      <c r="S78" s="349"/>
      <c r="T78" s="349"/>
      <c r="U78" s="349"/>
      <c r="V78" s="349"/>
      <c r="W78" s="349"/>
      <c r="X78" s="349"/>
      <c r="Y78" s="349"/>
      <c r="Z78" s="349"/>
      <c r="AA78" s="62"/>
      <c r="AB78" s="62"/>
      <c r="AC78" s="62"/>
    </row>
    <row r="79" spans="1:68" ht="14.25" hidden="1" customHeight="1" x14ac:dyDescent="0.25">
      <c r="A79" s="350" t="s">
        <v>80</v>
      </c>
      <c r="B79" s="350"/>
      <c r="C79" s="350"/>
      <c r="D79" s="350"/>
      <c r="E79" s="350"/>
      <c r="F79" s="350"/>
      <c r="G79" s="350"/>
      <c r="H79" s="350"/>
      <c r="I79" s="350"/>
      <c r="J79" s="350"/>
      <c r="K79" s="350"/>
      <c r="L79" s="350"/>
      <c r="M79" s="350"/>
      <c r="N79" s="350"/>
      <c r="O79" s="350"/>
      <c r="P79" s="350"/>
      <c r="Q79" s="350"/>
      <c r="R79" s="350"/>
      <c r="S79" s="350"/>
      <c r="T79" s="350"/>
      <c r="U79" s="350"/>
      <c r="V79" s="350"/>
      <c r="W79" s="350"/>
      <c r="X79" s="350"/>
      <c r="Y79" s="350"/>
      <c r="Z79" s="350"/>
      <c r="AA79" s="63"/>
      <c r="AB79" s="63"/>
      <c r="AC79" s="63"/>
    </row>
    <row r="80" spans="1:68" ht="27" hidden="1" customHeight="1" x14ac:dyDescent="0.25">
      <c r="A80" s="60" t="s">
        <v>159</v>
      </c>
      <c r="B80" s="60" t="s">
        <v>160</v>
      </c>
      <c r="C80" s="34">
        <v>4301070977</v>
      </c>
      <c r="D80" s="351">
        <v>4607111037411</v>
      </c>
      <c r="E80" s="351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162</v>
      </c>
      <c r="L80" s="35" t="s">
        <v>86</v>
      </c>
      <c r="M80" s="36" t="s">
        <v>84</v>
      </c>
      <c r="N80" s="36"/>
      <c r="O80" s="35">
        <v>180</v>
      </c>
      <c r="P80" s="38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3"/>
      <c r="R80" s="353"/>
      <c r="S80" s="353"/>
      <c r="T80" s="354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 t="s">
        <v>46</v>
      </c>
      <c r="AB80" s="66" t="s">
        <v>46</v>
      </c>
      <c r="AC80" s="132" t="s">
        <v>161</v>
      </c>
      <c r="AG80" s="78"/>
      <c r="AJ80" s="82" t="s">
        <v>87</v>
      </c>
      <c r="AK80" s="82">
        <v>1</v>
      </c>
      <c r="BB80" s="133" t="s">
        <v>70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hidden="1" customHeight="1" x14ac:dyDescent="0.25">
      <c r="A81" s="60" t="s">
        <v>163</v>
      </c>
      <c r="B81" s="60" t="s">
        <v>164</v>
      </c>
      <c r="C81" s="34">
        <v>4301070981</v>
      </c>
      <c r="D81" s="351">
        <v>4607111036728</v>
      </c>
      <c r="E81" s="351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85</v>
      </c>
      <c r="L81" s="35" t="s">
        <v>112</v>
      </c>
      <c r="M81" s="36" t="s">
        <v>84</v>
      </c>
      <c r="N81" s="36"/>
      <c r="O81" s="35">
        <v>180</v>
      </c>
      <c r="P81" s="38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3"/>
      <c r="R81" s="353"/>
      <c r="S81" s="353"/>
      <c r="T81" s="354"/>
      <c r="U81" s="37" t="s">
        <v>46</v>
      </c>
      <c r="V81" s="37" t="s">
        <v>46</v>
      </c>
      <c r="W81" s="38" t="s">
        <v>39</v>
      </c>
      <c r="X81" s="56">
        <v>0</v>
      </c>
      <c r="Y81" s="53">
        <f>IFERROR(IF(X81="","",X81),"")</f>
        <v>0</v>
      </c>
      <c r="Z81" s="39">
        <f>IFERROR(IF(X81="","",X81*0.00866),"")</f>
        <v>0</v>
      </c>
      <c r="AA81" s="65" t="s">
        <v>46</v>
      </c>
      <c r="AB81" s="66" t="s">
        <v>46</v>
      </c>
      <c r="AC81" s="134" t="s">
        <v>161</v>
      </c>
      <c r="AG81" s="78"/>
      <c r="AJ81" s="82" t="s">
        <v>113</v>
      </c>
      <c r="AK81" s="82">
        <v>12</v>
      </c>
      <c r="BB81" s="135" t="s">
        <v>70</v>
      </c>
      <c r="BM81" s="78">
        <f>IFERROR(X81*I81,"0")</f>
        <v>0</v>
      </c>
      <c r="BN81" s="78">
        <f>IFERROR(Y81*I81,"0")</f>
        <v>0</v>
      </c>
      <c r="BO81" s="78">
        <f>IFERROR(X81/J81,"0")</f>
        <v>0</v>
      </c>
      <c r="BP81" s="78">
        <f>IFERROR(Y81/J81,"0")</f>
        <v>0</v>
      </c>
    </row>
    <row r="82" spans="1:68" hidden="1" x14ac:dyDescent="0.2">
      <c r="A82" s="363"/>
      <c r="B82" s="363"/>
      <c r="C82" s="363"/>
      <c r="D82" s="363"/>
      <c r="E82" s="363"/>
      <c r="F82" s="363"/>
      <c r="G82" s="363"/>
      <c r="H82" s="363"/>
      <c r="I82" s="363"/>
      <c r="J82" s="363"/>
      <c r="K82" s="363"/>
      <c r="L82" s="363"/>
      <c r="M82" s="363"/>
      <c r="N82" s="363"/>
      <c r="O82" s="364"/>
      <c r="P82" s="360" t="s">
        <v>40</v>
      </c>
      <c r="Q82" s="361"/>
      <c r="R82" s="361"/>
      <c r="S82" s="361"/>
      <c r="T82" s="361"/>
      <c r="U82" s="361"/>
      <c r="V82" s="362"/>
      <c r="W82" s="40" t="s">
        <v>39</v>
      </c>
      <c r="X82" s="41">
        <f>IFERROR(SUM(X80:X81),"0")</f>
        <v>0</v>
      </c>
      <c r="Y82" s="41">
        <f>IFERROR(SUM(Y80:Y81),"0")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363"/>
      <c r="B83" s="363"/>
      <c r="C83" s="363"/>
      <c r="D83" s="363"/>
      <c r="E83" s="363"/>
      <c r="F83" s="363"/>
      <c r="G83" s="363"/>
      <c r="H83" s="363"/>
      <c r="I83" s="363"/>
      <c r="J83" s="363"/>
      <c r="K83" s="363"/>
      <c r="L83" s="363"/>
      <c r="M83" s="363"/>
      <c r="N83" s="363"/>
      <c r="O83" s="364"/>
      <c r="P83" s="360" t="s">
        <v>40</v>
      </c>
      <c r="Q83" s="361"/>
      <c r="R83" s="361"/>
      <c r="S83" s="361"/>
      <c r="T83" s="361"/>
      <c r="U83" s="361"/>
      <c r="V83" s="362"/>
      <c r="W83" s="40" t="s">
        <v>0</v>
      </c>
      <c r="X83" s="41">
        <f>IFERROR(SUMPRODUCT(X80:X81*H80:H81),"0")</f>
        <v>0</v>
      </c>
      <c r="Y83" s="41">
        <f>IFERROR(SUMPRODUCT(Y80:Y81*H80:H81),"0")</f>
        <v>0</v>
      </c>
      <c r="Z83" s="40"/>
      <c r="AA83" s="64"/>
      <c r="AB83" s="64"/>
      <c r="AC83" s="64"/>
    </row>
    <row r="84" spans="1:68" ht="16.5" hidden="1" customHeight="1" x14ac:dyDescent="0.25">
      <c r="A84" s="349" t="s">
        <v>165</v>
      </c>
      <c r="B84" s="349"/>
      <c r="C84" s="349"/>
      <c r="D84" s="349"/>
      <c r="E84" s="349"/>
      <c r="F84" s="349"/>
      <c r="G84" s="349"/>
      <c r="H84" s="349"/>
      <c r="I84" s="349"/>
      <c r="J84" s="349"/>
      <c r="K84" s="349"/>
      <c r="L84" s="349"/>
      <c r="M84" s="349"/>
      <c r="N84" s="349"/>
      <c r="O84" s="349"/>
      <c r="P84" s="349"/>
      <c r="Q84" s="349"/>
      <c r="R84" s="349"/>
      <c r="S84" s="349"/>
      <c r="T84" s="349"/>
      <c r="U84" s="349"/>
      <c r="V84" s="349"/>
      <c r="W84" s="349"/>
      <c r="X84" s="349"/>
      <c r="Y84" s="349"/>
      <c r="Z84" s="349"/>
      <c r="AA84" s="62"/>
      <c r="AB84" s="62"/>
      <c r="AC84" s="62"/>
    </row>
    <row r="85" spans="1:68" ht="14.25" hidden="1" customHeight="1" x14ac:dyDescent="0.25">
      <c r="A85" s="350" t="s">
        <v>150</v>
      </c>
      <c r="B85" s="350"/>
      <c r="C85" s="350"/>
      <c r="D85" s="350"/>
      <c r="E85" s="350"/>
      <c r="F85" s="350"/>
      <c r="G85" s="350"/>
      <c r="H85" s="350"/>
      <c r="I85" s="350"/>
      <c r="J85" s="350"/>
      <c r="K85" s="350"/>
      <c r="L85" s="350"/>
      <c r="M85" s="350"/>
      <c r="N85" s="350"/>
      <c r="O85" s="350"/>
      <c r="P85" s="350"/>
      <c r="Q85" s="350"/>
      <c r="R85" s="350"/>
      <c r="S85" s="350"/>
      <c r="T85" s="350"/>
      <c r="U85" s="350"/>
      <c r="V85" s="350"/>
      <c r="W85" s="350"/>
      <c r="X85" s="350"/>
      <c r="Y85" s="350"/>
      <c r="Z85" s="350"/>
      <c r="AA85" s="63"/>
      <c r="AB85" s="63"/>
      <c r="AC85" s="63"/>
    </row>
    <row r="86" spans="1:68" ht="27" hidden="1" customHeight="1" x14ac:dyDescent="0.25">
      <c r="A86" s="60" t="s">
        <v>166</v>
      </c>
      <c r="B86" s="60" t="s">
        <v>167</v>
      </c>
      <c r="C86" s="34">
        <v>4301135574</v>
      </c>
      <c r="D86" s="351">
        <v>4607111033659</v>
      </c>
      <c r="E86" s="351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111</v>
      </c>
      <c r="L86" s="35" t="s">
        <v>112</v>
      </c>
      <c r="M86" s="36" t="s">
        <v>84</v>
      </c>
      <c r="N86" s="36"/>
      <c r="O86" s="35">
        <v>180</v>
      </c>
      <c r="P86" s="3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3"/>
      <c r="R86" s="353"/>
      <c r="S86" s="353"/>
      <c r="T86" s="354"/>
      <c r="U86" s="37" t="s">
        <v>46</v>
      </c>
      <c r="V86" s="37" t="s">
        <v>46</v>
      </c>
      <c r="W86" s="38" t="s">
        <v>39</v>
      </c>
      <c r="X86" s="56">
        <v>0</v>
      </c>
      <c r="Y86" s="53">
        <f>IFERROR(IF(X86="","",X86),"")</f>
        <v>0</v>
      </c>
      <c r="Z86" s="39">
        <f>IFERROR(IF(X86="","",X86*0.01788),"")</f>
        <v>0</v>
      </c>
      <c r="AA86" s="65" t="s">
        <v>46</v>
      </c>
      <c r="AB86" s="66" t="s">
        <v>46</v>
      </c>
      <c r="AC86" s="136" t="s">
        <v>168</v>
      </c>
      <c r="AG86" s="78"/>
      <c r="AJ86" s="82" t="s">
        <v>113</v>
      </c>
      <c r="AK86" s="82">
        <v>14</v>
      </c>
      <c r="BB86" s="137" t="s">
        <v>110</v>
      </c>
      <c r="BM86" s="78">
        <f>IFERROR(X86*I86,"0")</f>
        <v>0</v>
      </c>
      <c r="BN86" s="78">
        <f>IFERROR(Y86*I86,"0")</f>
        <v>0</v>
      </c>
      <c r="BO86" s="78">
        <f>IFERROR(X86/J86,"0")</f>
        <v>0</v>
      </c>
      <c r="BP86" s="78">
        <f>IFERROR(Y86/J86,"0")</f>
        <v>0</v>
      </c>
    </row>
    <row r="87" spans="1:68" hidden="1" x14ac:dyDescent="0.2">
      <c r="A87" s="363"/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4"/>
      <c r="P87" s="360" t="s">
        <v>40</v>
      </c>
      <c r="Q87" s="361"/>
      <c r="R87" s="361"/>
      <c r="S87" s="361"/>
      <c r="T87" s="361"/>
      <c r="U87" s="361"/>
      <c r="V87" s="362"/>
      <c r="W87" s="40" t="s">
        <v>39</v>
      </c>
      <c r="X87" s="41">
        <f>IFERROR(SUM(X86:X86),"0")</f>
        <v>0</v>
      </c>
      <c r="Y87" s="41">
        <f>IFERROR(SUM(Y86:Y86),"0")</f>
        <v>0</v>
      </c>
      <c r="Z87" s="41">
        <f>IFERROR(IF(Z86="",0,Z86),"0")</f>
        <v>0</v>
      </c>
      <c r="AA87" s="64"/>
      <c r="AB87" s="64"/>
      <c r="AC87" s="64"/>
    </row>
    <row r="88" spans="1:68" hidden="1" x14ac:dyDescent="0.2">
      <c r="A88" s="363"/>
      <c r="B88" s="363"/>
      <c r="C88" s="363"/>
      <c r="D88" s="363"/>
      <c r="E88" s="363"/>
      <c r="F88" s="363"/>
      <c r="G88" s="363"/>
      <c r="H88" s="363"/>
      <c r="I88" s="363"/>
      <c r="J88" s="363"/>
      <c r="K88" s="363"/>
      <c r="L88" s="363"/>
      <c r="M88" s="363"/>
      <c r="N88" s="363"/>
      <c r="O88" s="364"/>
      <c r="P88" s="360" t="s">
        <v>40</v>
      </c>
      <c r="Q88" s="361"/>
      <c r="R88" s="361"/>
      <c r="S88" s="361"/>
      <c r="T88" s="361"/>
      <c r="U88" s="361"/>
      <c r="V88" s="362"/>
      <c r="W88" s="40" t="s">
        <v>0</v>
      </c>
      <c r="X88" s="41">
        <f>IFERROR(SUMPRODUCT(X86:X86*H86:H86),"0")</f>
        <v>0</v>
      </c>
      <c r="Y88" s="41">
        <f>IFERROR(SUMPRODUCT(Y86:Y86*H86:H86),"0")</f>
        <v>0</v>
      </c>
      <c r="Z88" s="40"/>
      <c r="AA88" s="64"/>
      <c r="AB88" s="64"/>
      <c r="AC88" s="64"/>
    </row>
    <row r="89" spans="1:68" ht="16.5" hidden="1" customHeight="1" x14ac:dyDescent="0.25">
      <c r="A89" s="349" t="s">
        <v>169</v>
      </c>
      <c r="B89" s="349"/>
      <c r="C89" s="349"/>
      <c r="D89" s="349"/>
      <c r="E89" s="349"/>
      <c r="F89" s="349"/>
      <c r="G89" s="349"/>
      <c r="H89" s="349"/>
      <c r="I89" s="349"/>
      <c r="J89" s="349"/>
      <c r="K89" s="349"/>
      <c r="L89" s="349"/>
      <c r="M89" s="349"/>
      <c r="N89" s="349"/>
      <c r="O89" s="349"/>
      <c r="P89" s="349"/>
      <c r="Q89" s="349"/>
      <c r="R89" s="349"/>
      <c r="S89" s="349"/>
      <c r="T89" s="349"/>
      <c r="U89" s="349"/>
      <c r="V89" s="349"/>
      <c r="W89" s="349"/>
      <c r="X89" s="349"/>
      <c r="Y89" s="349"/>
      <c r="Z89" s="349"/>
      <c r="AA89" s="62"/>
      <c r="AB89" s="62"/>
      <c r="AC89" s="62"/>
    </row>
    <row r="90" spans="1:68" ht="14.25" hidden="1" customHeight="1" x14ac:dyDescent="0.25">
      <c r="A90" s="350" t="s">
        <v>170</v>
      </c>
      <c r="B90" s="350"/>
      <c r="C90" s="350"/>
      <c r="D90" s="350"/>
      <c r="E90" s="350"/>
      <c r="F90" s="350"/>
      <c r="G90" s="350"/>
      <c r="H90" s="350"/>
      <c r="I90" s="350"/>
      <c r="J90" s="350"/>
      <c r="K90" s="350"/>
      <c r="L90" s="350"/>
      <c r="M90" s="350"/>
      <c r="N90" s="350"/>
      <c r="O90" s="350"/>
      <c r="P90" s="350"/>
      <c r="Q90" s="350"/>
      <c r="R90" s="350"/>
      <c r="S90" s="350"/>
      <c r="T90" s="350"/>
      <c r="U90" s="350"/>
      <c r="V90" s="350"/>
      <c r="W90" s="350"/>
      <c r="X90" s="350"/>
      <c r="Y90" s="350"/>
      <c r="Z90" s="350"/>
      <c r="AA90" s="63"/>
      <c r="AB90" s="63"/>
      <c r="AC90" s="63"/>
    </row>
    <row r="91" spans="1:68" ht="27" customHeight="1" x14ac:dyDescent="0.25">
      <c r="A91" s="60" t="s">
        <v>171</v>
      </c>
      <c r="B91" s="60" t="s">
        <v>172</v>
      </c>
      <c r="C91" s="34">
        <v>4301131047</v>
      </c>
      <c r="D91" s="351">
        <v>4607111034120</v>
      </c>
      <c r="E91" s="351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111</v>
      </c>
      <c r="L91" s="35" t="s">
        <v>112</v>
      </c>
      <c r="M91" s="36" t="s">
        <v>84</v>
      </c>
      <c r="N91" s="36"/>
      <c r="O91" s="35">
        <v>180</v>
      </c>
      <c r="P91" s="38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3"/>
      <c r="R91" s="353"/>
      <c r="S91" s="353"/>
      <c r="T91" s="354"/>
      <c r="U91" s="37" t="s">
        <v>46</v>
      </c>
      <c r="V91" s="37" t="s">
        <v>46</v>
      </c>
      <c r="W91" s="38" t="s">
        <v>39</v>
      </c>
      <c r="X91" s="56">
        <v>14</v>
      </c>
      <c r="Y91" s="53">
        <f>IFERROR(IF(X91="","",X91),"")</f>
        <v>14</v>
      </c>
      <c r="Z91" s="39">
        <f>IFERROR(IF(X91="","",X91*0.01788),"")</f>
        <v>0.25031999999999999</v>
      </c>
      <c r="AA91" s="65" t="s">
        <v>46</v>
      </c>
      <c r="AB91" s="66" t="s">
        <v>46</v>
      </c>
      <c r="AC91" s="138" t="s">
        <v>173</v>
      </c>
      <c r="AG91" s="78"/>
      <c r="AJ91" s="82" t="s">
        <v>113</v>
      </c>
      <c r="AK91" s="82">
        <v>14</v>
      </c>
      <c r="BB91" s="139" t="s">
        <v>110</v>
      </c>
      <c r="BM91" s="78">
        <f>IFERROR(X91*I91,"0")</f>
        <v>60.250400000000006</v>
      </c>
      <c r="BN91" s="78">
        <f>IFERROR(Y91*I91,"0")</f>
        <v>60.250400000000006</v>
      </c>
      <c r="BO91" s="78">
        <f>IFERROR(X91/J91,"0")</f>
        <v>0.2</v>
      </c>
      <c r="BP91" s="78">
        <f>IFERROR(Y91/J91,"0")</f>
        <v>0.2</v>
      </c>
    </row>
    <row r="92" spans="1:68" ht="27" hidden="1" customHeight="1" x14ac:dyDescent="0.25">
      <c r="A92" s="60" t="s">
        <v>174</v>
      </c>
      <c r="B92" s="60" t="s">
        <v>175</v>
      </c>
      <c r="C92" s="34">
        <v>4301131046</v>
      </c>
      <c r="D92" s="351">
        <v>4607111034137</v>
      </c>
      <c r="E92" s="351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111</v>
      </c>
      <c r="L92" s="35" t="s">
        <v>112</v>
      </c>
      <c r="M92" s="36" t="s">
        <v>84</v>
      </c>
      <c r="N92" s="36"/>
      <c r="O92" s="35">
        <v>180</v>
      </c>
      <c r="P92" s="38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3"/>
      <c r="R92" s="353"/>
      <c r="S92" s="353"/>
      <c r="T92" s="354"/>
      <c r="U92" s="37" t="s">
        <v>46</v>
      </c>
      <c r="V92" s="37" t="s">
        <v>46</v>
      </c>
      <c r="W92" s="38" t="s">
        <v>39</v>
      </c>
      <c r="X92" s="56">
        <v>0</v>
      </c>
      <c r="Y92" s="53">
        <f>IFERROR(IF(X92="","",X92),"")</f>
        <v>0</v>
      </c>
      <c r="Z92" s="39">
        <f>IFERROR(IF(X92="","",X92*0.01788),"")</f>
        <v>0</v>
      </c>
      <c r="AA92" s="65" t="s">
        <v>46</v>
      </c>
      <c r="AB92" s="66" t="s">
        <v>46</v>
      </c>
      <c r="AC92" s="140" t="s">
        <v>176</v>
      </c>
      <c r="AG92" s="78"/>
      <c r="AJ92" s="82" t="s">
        <v>113</v>
      </c>
      <c r="AK92" s="82">
        <v>14</v>
      </c>
      <c r="BB92" s="141" t="s">
        <v>110</v>
      </c>
      <c r="BM92" s="78">
        <f>IFERROR(X92*I92,"0")</f>
        <v>0</v>
      </c>
      <c r="BN92" s="78">
        <f>IFERROR(Y92*I92,"0")</f>
        <v>0</v>
      </c>
      <c r="BO92" s="78">
        <f>IFERROR(X92/J92,"0")</f>
        <v>0</v>
      </c>
      <c r="BP92" s="78">
        <f>IFERROR(Y92/J92,"0")</f>
        <v>0</v>
      </c>
    </row>
    <row r="93" spans="1:68" x14ac:dyDescent="0.2">
      <c r="A93" s="363"/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4"/>
      <c r="P93" s="360" t="s">
        <v>40</v>
      </c>
      <c r="Q93" s="361"/>
      <c r="R93" s="361"/>
      <c r="S93" s="361"/>
      <c r="T93" s="361"/>
      <c r="U93" s="361"/>
      <c r="V93" s="362"/>
      <c r="W93" s="40" t="s">
        <v>39</v>
      </c>
      <c r="X93" s="41">
        <f>IFERROR(SUM(X91:X92),"0")</f>
        <v>14</v>
      </c>
      <c r="Y93" s="41">
        <f>IFERROR(SUM(Y91:Y92),"0")</f>
        <v>14</v>
      </c>
      <c r="Z93" s="41">
        <f>IFERROR(IF(Z91="",0,Z91),"0")+IFERROR(IF(Z92="",0,Z92),"0")</f>
        <v>0.25031999999999999</v>
      </c>
      <c r="AA93" s="64"/>
      <c r="AB93" s="64"/>
      <c r="AC93" s="64"/>
    </row>
    <row r="94" spans="1:68" x14ac:dyDescent="0.2">
      <c r="A94" s="363"/>
      <c r="B94" s="363"/>
      <c r="C94" s="363"/>
      <c r="D94" s="363"/>
      <c r="E94" s="363"/>
      <c r="F94" s="363"/>
      <c r="G94" s="363"/>
      <c r="H94" s="363"/>
      <c r="I94" s="363"/>
      <c r="J94" s="363"/>
      <c r="K94" s="363"/>
      <c r="L94" s="363"/>
      <c r="M94" s="363"/>
      <c r="N94" s="363"/>
      <c r="O94" s="364"/>
      <c r="P94" s="360" t="s">
        <v>40</v>
      </c>
      <c r="Q94" s="361"/>
      <c r="R94" s="361"/>
      <c r="S94" s="361"/>
      <c r="T94" s="361"/>
      <c r="U94" s="361"/>
      <c r="V94" s="362"/>
      <c r="W94" s="40" t="s">
        <v>0</v>
      </c>
      <c r="X94" s="41">
        <f>IFERROR(SUMPRODUCT(X91:X92*H91:H92),"0")</f>
        <v>50.4</v>
      </c>
      <c r="Y94" s="41">
        <f>IFERROR(SUMPRODUCT(Y91:Y92*H91:H92),"0")</f>
        <v>50.4</v>
      </c>
      <c r="Z94" s="40"/>
      <c r="AA94" s="64"/>
      <c r="AB94" s="64"/>
      <c r="AC94" s="64"/>
    </row>
    <row r="95" spans="1:68" ht="16.5" hidden="1" customHeight="1" x14ac:dyDescent="0.25">
      <c r="A95" s="349" t="s">
        <v>177</v>
      </c>
      <c r="B95" s="349"/>
      <c r="C95" s="349"/>
      <c r="D95" s="349"/>
      <c r="E95" s="349"/>
      <c r="F95" s="349"/>
      <c r="G95" s="349"/>
      <c r="H95" s="349"/>
      <c r="I95" s="349"/>
      <c r="J95" s="349"/>
      <c r="K95" s="349"/>
      <c r="L95" s="349"/>
      <c r="M95" s="349"/>
      <c r="N95" s="349"/>
      <c r="O95" s="349"/>
      <c r="P95" s="349"/>
      <c r="Q95" s="349"/>
      <c r="R95" s="349"/>
      <c r="S95" s="349"/>
      <c r="T95" s="349"/>
      <c r="U95" s="349"/>
      <c r="V95" s="349"/>
      <c r="W95" s="349"/>
      <c r="X95" s="349"/>
      <c r="Y95" s="349"/>
      <c r="Z95" s="349"/>
      <c r="AA95" s="62"/>
      <c r="AB95" s="62"/>
      <c r="AC95" s="62"/>
    </row>
    <row r="96" spans="1:68" ht="14.25" hidden="1" customHeight="1" x14ac:dyDescent="0.25">
      <c r="A96" s="350" t="s">
        <v>150</v>
      </c>
      <c r="B96" s="350"/>
      <c r="C96" s="350"/>
      <c r="D96" s="350"/>
      <c r="E96" s="350"/>
      <c r="F96" s="350"/>
      <c r="G96" s="350"/>
      <c r="H96" s="350"/>
      <c r="I96" s="350"/>
      <c r="J96" s="350"/>
      <c r="K96" s="350"/>
      <c r="L96" s="350"/>
      <c r="M96" s="350"/>
      <c r="N96" s="350"/>
      <c r="O96" s="350"/>
      <c r="P96" s="350"/>
      <c r="Q96" s="350"/>
      <c r="R96" s="350"/>
      <c r="S96" s="350"/>
      <c r="T96" s="350"/>
      <c r="U96" s="350"/>
      <c r="V96" s="350"/>
      <c r="W96" s="350"/>
      <c r="X96" s="350"/>
      <c r="Y96" s="350"/>
      <c r="Z96" s="350"/>
      <c r="AA96" s="63"/>
      <c r="AB96" s="63"/>
      <c r="AC96" s="63"/>
    </row>
    <row r="97" spans="1:68" ht="27" customHeight="1" x14ac:dyDescent="0.25">
      <c r="A97" s="60" t="s">
        <v>178</v>
      </c>
      <c r="B97" s="60" t="s">
        <v>179</v>
      </c>
      <c r="C97" s="34">
        <v>4301135763</v>
      </c>
      <c r="D97" s="351">
        <v>4620207491027</v>
      </c>
      <c r="E97" s="351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111</v>
      </c>
      <c r="L97" s="35" t="s">
        <v>112</v>
      </c>
      <c r="M97" s="36" t="s">
        <v>84</v>
      </c>
      <c r="N97" s="36"/>
      <c r="O97" s="35">
        <v>180</v>
      </c>
      <c r="P97" s="3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3"/>
      <c r="R97" s="353"/>
      <c r="S97" s="353"/>
      <c r="T97" s="354"/>
      <c r="U97" s="37" t="s">
        <v>46</v>
      </c>
      <c r="V97" s="37" t="s">
        <v>46</v>
      </c>
      <c r="W97" s="38" t="s">
        <v>39</v>
      </c>
      <c r="X97" s="56">
        <v>70</v>
      </c>
      <c r="Y97" s="53">
        <f t="shared" ref="Y97:Y103" si="6">IFERROR(IF(X97="","",X97),"")</f>
        <v>70</v>
      </c>
      <c r="Z97" s="39">
        <f t="shared" ref="Z97:Z102" si="7">IFERROR(IF(X97="","",X97*0.01788),"")</f>
        <v>1.2516</v>
      </c>
      <c r="AA97" s="65" t="s">
        <v>46</v>
      </c>
      <c r="AB97" s="66" t="s">
        <v>46</v>
      </c>
      <c r="AC97" s="142" t="s">
        <v>168</v>
      </c>
      <c r="AG97" s="78"/>
      <c r="AJ97" s="82" t="s">
        <v>113</v>
      </c>
      <c r="AK97" s="82">
        <v>14</v>
      </c>
      <c r="BB97" s="143" t="s">
        <v>110</v>
      </c>
      <c r="BM97" s="78">
        <f t="shared" ref="BM97:BM103" si="8">IFERROR(X97*I97,"0")</f>
        <v>250.852</v>
      </c>
      <c r="BN97" s="78">
        <f t="shared" ref="BN97:BN103" si="9">IFERROR(Y97*I97,"0")</f>
        <v>250.852</v>
      </c>
      <c r="BO97" s="78">
        <f t="shared" ref="BO97:BO103" si="10">IFERROR(X97/J97,"0")</f>
        <v>1</v>
      </c>
      <c r="BP97" s="78">
        <f t="shared" ref="BP97:BP103" si="11">IFERROR(Y97/J97,"0")</f>
        <v>1</v>
      </c>
    </row>
    <row r="98" spans="1:68" ht="27" hidden="1" customHeight="1" x14ac:dyDescent="0.25">
      <c r="A98" s="60" t="s">
        <v>180</v>
      </c>
      <c r="B98" s="60" t="s">
        <v>181</v>
      </c>
      <c r="C98" s="34">
        <v>4301135793</v>
      </c>
      <c r="D98" s="351">
        <v>4620207491003</v>
      </c>
      <c r="E98" s="351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111</v>
      </c>
      <c r="L98" s="35" t="s">
        <v>112</v>
      </c>
      <c r="M98" s="36" t="s">
        <v>84</v>
      </c>
      <c r="N98" s="36"/>
      <c r="O98" s="35">
        <v>180</v>
      </c>
      <c r="P98" s="38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3"/>
      <c r="R98" s="353"/>
      <c r="S98" s="353"/>
      <c r="T98" s="354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44" t="s">
        <v>168</v>
      </c>
      <c r="AG98" s="78"/>
      <c r="AJ98" s="82" t="s">
        <v>113</v>
      </c>
      <c r="AK98" s="82">
        <v>14</v>
      </c>
      <c r="BB98" s="145" t="s">
        <v>110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ht="27" hidden="1" customHeight="1" x14ac:dyDescent="0.25">
      <c r="A99" s="60" t="s">
        <v>182</v>
      </c>
      <c r="B99" s="60" t="s">
        <v>183</v>
      </c>
      <c r="C99" s="34">
        <v>4301135768</v>
      </c>
      <c r="D99" s="351">
        <v>4620207491034</v>
      </c>
      <c r="E99" s="351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111</v>
      </c>
      <c r="L99" s="35" t="s">
        <v>112</v>
      </c>
      <c r="M99" s="36" t="s">
        <v>84</v>
      </c>
      <c r="N99" s="36"/>
      <c r="O99" s="35">
        <v>180</v>
      </c>
      <c r="P99" s="39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3"/>
      <c r="R99" s="353"/>
      <c r="S99" s="353"/>
      <c r="T99" s="354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46" t="s">
        <v>184</v>
      </c>
      <c r="AG99" s="78"/>
      <c r="AJ99" s="82" t="s">
        <v>113</v>
      </c>
      <c r="AK99" s="82">
        <v>14</v>
      </c>
      <c r="BB99" s="147" t="s">
        <v>110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185</v>
      </c>
      <c r="B100" s="60" t="s">
        <v>186</v>
      </c>
      <c r="C100" s="34">
        <v>4301135760</v>
      </c>
      <c r="D100" s="351">
        <v>4620207491010</v>
      </c>
      <c r="E100" s="351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111</v>
      </c>
      <c r="L100" s="35" t="s">
        <v>112</v>
      </c>
      <c r="M100" s="36" t="s">
        <v>84</v>
      </c>
      <c r="N100" s="36"/>
      <c r="O100" s="35">
        <v>180</v>
      </c>
      <c r="P100" s="39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3"/>
      <c r="R100" s="353"/>
      <c r="S100" s="353"/>
      <c r="T100" s="354"/>
      <c r="U100" s="37" t="s">
        <v>46</v>
      </c>
      <c r="V100" s="37" t="s">
        <v>46</v>
      </c>
      <c r="W100" s="38" t="s">
        <v>39</v>
      </c>
      <c r="X100" s="56">
        <v>140</v>
      </c>
      <c r="Y100" s="53">
        <f t="shared" si="6"/>
        <v>140</v>
      </c>
      <c r="Z100" s="39">
        <f t="shared" si="7"/>
        <v>2.5032000000000001</v>
      </c>
      <c r="AA100" s="65" t="s">
        <v>46</v>
      </c>
      <c r="AB100" s="66" t="s">
        <v>46</v>
      </c>
      <c r="AC100" s="148" t="s">
        <v>168</v>
      </c>
      <c r="AG100" s="78"/>
      <c r="AJ100" s="82" t="s">
        <v>113</v>
      </c>
      <c r="AK100" s="82">
        <v>14</v>
      </c>
      <c r="BB100" s="149" t="s">
        <v>110</v>
      </c>
      <c r="BM100" s="78">
        <f t="shared" si="8"/>
        <v>501.70400000000001</v>
      </c>
      <c r="BN100" s="78">
        <f t="shared" si="9"/>
        <v>501.70400000000001</v>
      </c>
      <c r="BO100" s="78">
        <f t="shared" si="10"/>
        <v>2</v>
      </c>
      <c r="BP100" s="78">
        <f t="shared" si="11"/>
        <v>2</v>
      </c>
    </row>
    <row r="101" spans="1:68" ht="27" hidden="1" customHeight="1" x14ac:dyDescent="0.25">
      <c r="A101" s="60" t="s">
        <v>187</v>
      </c>
      <c r="B101" s="60" t="s">
        <v>188</v>
      </c>
      <c r="C101" s="34">
        <v>4301135571</v>
      </c>
      <c r="D101" s="351">
        <v>4607111035028</v>
      </c>
      <c r="E101" s="351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111</v>
      </c>
      <c r="L101" s="35" t="s">
        <v>112</v>
      </c>
      <c r="M101" s="36" t="s">
        <v>84</v>
      </c>
      <c r="N101" s="36"/>
      <c r="O101" s="35">
        <v>180</v>
      </c>
      <c r="P101" s="39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3"/>
      <c r="R101" s="353"/>
      <c r="S101" s="353"/>
      <c r="T101" s="354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168</v>
      </c>
      <c r="AG101" s="78"/>
      <c r="AJ101" s="82" t="s">
        <v>113</v>
      </c>
      <c r="AK101" s="82">
        <v>14</v>
      </c>
      <c r="BB101" s="151" t="s">
        <v>110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hidden="1" customHeight="1" x14ac:dyDescent="0.25">
      <c r="A102" s="60" t="s">
        <v>189</v>
      </c>
      <c r="B102" s="60" t="s">
        <v>190</v>
      </c>
      <c r="C102" s="34">
        <v>4301135285</v>
      </c>
      <c r="D102" s="351">
        <v>4607111036407</v>
      </c>
      <c r="E102" s="351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111</v>
      </c>
      <c r="L102" s="35" t="s">
        <v>86</v>
      </c>
      <c r="M102" s="36" t="s">
        <v>84</v>
      </c>
      <c r="N102" s="36"/>
      <c r="O102" s="35">
        <v>180</v>
      </c>
      <c r="P102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3"/>
      <c r="R102" s="353"/>
      <c r="S102" s="353"/>
      <c r="T102" s="354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191</v>
      </c>
      <c r="AG102" s="78"/>
      <c r="AJ102" s="82" t="s">
        <v>87</v>
      </c>
      <c r="AK102" s="82">
        <v>1</v>
      </c>
      <c r="BB102" s="153" t="s">
        <v>110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ht="27" hidden="1" customHeight="1" x14ac:dyDescent="0.25">
      <c r="A103" s="60" t="s">
        <v>192</v>
      </c>
      <c r="B103" s="60" t="s">
        <v>193</v>
      </c>
      <c r="C103" s="34">
        <v>4301190118</v>
      </c>
      <c r="D103" s="351">
        <v>4620207491461</v>
      </c>
      <c r="E103" s="351"/>
      <c r="F103" s="59">
        <v>0.22</v>
      </c>
      <c r="G103" s="35">
        <v>6</v>
      </c>
      <c r="H103" s="59">
        <v>1.32</v>
      </c>
      <c r="I103" s="59">
        <v>1.74</v>
      </c>
      <c r="J103" s="35">
        <v>140</v>
      </c>
      <c r="K103" s="35" t="s">
        <v>111</v>
      </c>
      <c r="L103" s="35" t="s">
        <v>86</v>
      </c>
      <c r="M103" s="36" t="s">
        <v>84</v>
      </c>
      <c r="N103" s="36"/>
      <c r="O103" s="35">
        <v>180</v>
      </c>
      <c r="P103" s="394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353"/>
      <c r="R103" s="353"/>
      <c r="S103" s="353"/>
      <c r="T103" s="354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>IFERROR(IF(X103="","",X103*0.00941),"")</f>
        <v>0</v>
      </c>
      <c r="AA103" s="65" t="s">
        <v>46</v>
      </c>
      <c r="AB103" s="66" t="s">
        <v>46</v>
      </c>
      <c r="AC103" s="154" t="s">
        <v>194</v>
      </c>
      <c r="AG103" s="78"/>
      <c r="AJ103" s="82" t="s">
        <v>87</v>
      </c>
      <c r="AK103" s="82">
        <v>1</v>
      </c>
      <c r="BB103" s="155" t="s">
        <v>110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x14ac:dyDescent="0.2">
      <c r="A104" s="363"/>
      <c r="B104" s="363"/>
      <c r="C104" s="363"/>
      <c r="D104" s="363"/>
      <c r="E104" s="363"/>
      <c r="F104" s="363"/>
      <c r="G104" s="363"/>
      <c r="H104" s="363"/>
      <c r="I104" s="363"/>
      <c r="J104" s="363"/>
      <c r="K104" s="363"/>
      <c r="L104" s="363"/>
      <c r="M104" s="363"/>
      <c r="N104" s="363"/>
      <c r="O104" s="364"/>
      <c r="P104" s="360" t="s">
        <v>40</v>
      </c>
      <c r="Q104" s="361"/>
      <c r="R104" s="361"/>
      <c r="S104" s="361"/>
      <c r="T104" s="361"/>
      <c r="U104" s="361"/>
      <c r="V104" s="362"/>
      <c r="W104" s="40" t="s">
        <v>39</v>
      </c>
      <c r="X104" s="41">
        <f>IFERROR(SUM(X97:X103),"0")</f>
        <v>210</v>
      </c>
      <c r="Y104" s="41">
        <f>IFERROR(SUM(Y97:Y103),"0")</f>
        <v>210</v>
      </c>
      <c r="Z104" s="41">
        <f>IFERROR(IF(Z97="",0,Z97),"0")+IFERROR(IF(Z98="",0,Z98),"0")+IFERROR(IF(Z99="",0,Z99),"0")+IFERROR(IF(Z100="",0,Z100),"0")+IFERROR(IF(Z101="",0,Z101),"0")+IFERROR(IF(Z102="",0,Z102),"0")+IFERROR(IF(Z103="",0,Z103),"0")</f>
        <v>3.7548000000000004</v>
      </c>
      <c r="AA104" s="64"/>
      <c r="AB104" s="64"/>
      <c r="AC104" s="64"/>
    </row>
    <row r="105" spans="1:68" x14ac:dyDescent="0.2">
      <c r="A105" s="363"/>
      <c r="B105" s="363"/>
      <c r="C105" s="363"/>
      <c r="D105" s="363"/>
      <c r="E105" s="363"/>
      <c r="F105" s="363"/>
      <c r="G105" s="363"/>
      <c r="H105" s="363"/>
      <c r="I105" s="363"/>
      <c r="J105" s="363"/>
      <c r="K105" s="363"/>
      <c r="L105" s="363"/>
      <c r="M105" s="363"/>
      <c r="N105" s="363"/>
      <c r="O105" s="364"/>
      <c r="P105" s="360" t="s">
        <v>40</v>
      </c>
      <c r="Q105" s="361"/>
      <c r="R105" s="361"/>
      <c r="S105" s="361"/>
      <c r="T105" s="361"/>
      <c r="U105" s="361"/>
      <c r="V105" s="362"/>
      <c r="W105" s="40" t="s">
        <v>0</v>
      </c>
      <c r="X105" s="41">
        <f>IFERROR(SUMPRODUCT(X97:X103*H97:H103),"0")</f>
        <v>604.79999999999995</v>
      </c>
      <c r="Y105" s="41">
        <f>IFERROR(SUMPRODUCT(Y97:Y103*H97:H103),"0")</f>
        <v>604.79999999999995</v>
      </c>
      <c r="Z105" s="40"/>
      <c r="AA105" s="64"/>
      <c r="AB105" s="64"/>
      <c r="AC105" s="64"/>
    </row>
    <row r="106" spans="1:68" ht="16.5" hidden="1" customHeight="1" x14ac:dyDescent="0.25">
      <c r="A106" s="349" t="s">
        <v>195</v>
      </c>
      <c r="B106" s="349"/>
      <c r="C106" s="349"/>
      <c r="D106" s="349"/>
      <c r="E106" s="349"/>
      <c r="F106" s="349"/>
      <c r="G106" s="349"/>
      <c r="H106" s="349"/>
      <c r="I106" s="349"/>
      <c r="J106" s="349"/>
      <c r="K106" s="349"/>
      <c r="L106" s="349"/>
      <c r="M106" s="349"/>
      <c r="N106" s="349"/>
      <c r="O106" s="349"/>
      <c r="P106" s="349"/>
      <c r="Q106" s="349"/>
      <c r="R106" s="349"/>
      <c r="S106" s="349"/>
      <c r="T106" s="349"/>
      <c r="U106" s="349"/>
      <c r="V106" s="349"/>
      <c r="W106" s="349"/>
      <c r="X106" s="349"/>
      <c r="Y106" s="349"/>
      <c r="Z106" s="349"/>
      <c r="AA106" s="62"/>
      <c r="AB106" s="62"/>
      <c r="AC106" s="62"/>
    </row>
    <row r="107" spans="1:68" ht="14.25" hidden="1" customHeight="1" x14ac:dyDescent="0.25">
      <c r="A107" s="350" t="s">
        <v>144</v>
      </c>
      <c r="B107" s="350"/>
      <c r="C107" s="350"/>
      <c r="D107" s="350"/>
      <c r="E107" s="350"/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50"/>
      <c r="Q107" s="350"/>
      <c r="R107" s="350"/>
      <c r="S107" s="350"/>
      <c r="T107" s="350"/>
      <c r="U107" s="350"/>
      <c r="V107" s="350"/>
      <c r="W107" s="350"/>
      <c r="X107" s="350"/>
      <c r="Y107" s="350"/>
      <c r="Z107" s="350"/>
      <c r="AA107" s="63"/>
      <c r="AB107" s="63"/>
      <c r="AC107" s="63"/>
    </row>
    <row r="108" spans="1:68" ht="27" hidden="1" customHeight="1" x14ac:dyDescent="0.25">
      <c r="A108" s="60" t="s">
        <v>196</v>
      </c>
      <c r="B108" s="60" t="s">
        <v>197</v>
      </c>
      <c r="C108" s="34">
        <v>4301136070</v>
      </c>
      <c r="D108" s="351">
        <v>4607025784012</v>
      </c>
      <c r="E108" s="351"/>
      <c r="F108" s="59">
        <v>0.09</v>
      </c>
      <c r="G108" s="35">
        <v>24</v>
      </c>
      <c r="H108" s="59">
        <v>2.16</v>
      </c>
      <c r="I108" s="59">
        <v>2.4912000000000001</v>
      </c>
      <c r="J108" s="35">
        <v>126</v>
      </c>
      <c r="K108" s="35" t="s">
        <v>111</v>
      </c>
      <c r="L108" s="35" t="s">
        <v>112</v>
      </c>
      <c r="M108" s="36" t="s">
        <v>84</v>
      </c>
      <c r="N108" s="36"/>
      <c r="O108" s="35">
        <v>180</v>
      </c>
      <c r="P108" s="39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353"/>
      <c r="R108" s="353"/>
      <c r="S108" s="353"/>
      <c r="T108" s="354"/>
      <c r="U108" s="37" t="s">
        <v>46</v>
      </c>
      <c r="V108" s="37" t="s">
        <v>46</v>
      </c>
      <c r="W108" s="38" t="s">
        <v>39</v>
      </c>
      <c r="X108" s="56">
        <v>0</v>
      </c>
      <c r="Y108" s="53">
        <f>IFERROR(IF(X108="","",X108),"")</f>
        <v>0</v>
      </c>
      <c r="Z108" s="39">
        <f>IFERROR(IF(X108="","",X108*0.00936),"")</f>
        <v>0</v>
      </c>
      <c r="AA108" s="65" t="s">
        <v>46</v>
      </c>
      <c r="AB108" s="66" t="s">
        <v>46</v>
      </c>
      <c r="AC108" s="156" t="s">
        <v>198</v>
      </c>
      <c r="AG108" s="78"/>
      <c r="AJ108" s="82" t="s">
        <v>113</v>
      </c>
      <c r="AK108" s="82">
        <v>14</v>
      </c>
      <c r="BB108" s="157" t="s">
        <v>110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ht="27" hidden="1" customHeight="1" x14ac:dyDescent="0.25">
      <c r="A109" s="60" t="s">
        <v>199</v>
      </c>
      <c r="B109" s="60" t="s">
        <v>200</v>
      </c>
      <c r="C109" s="34">
        <v>4301136079</v>
      </c>
      <c r="D109" s="351">
        <v>4607025784319</v>
      </c>
      <c r="E109" s="351"/>
      <c r="F109" s="59">
        <v>0.36</v>
      </c>
      <c r="G109" s="35">
        <v>10</v>
      </c>
      <c r="H109" s="59">
        <v>3.6</v>
      </c>
      <c r="I109" s="59">
        <v>4.2439999999999998</v>
      </c>
      <c r="J109" s="35">
        <v>70</v>
      </c>
      <c r="K109" s="35" t="s">
        <v>111</v>
      </c>
      <c r="L109" s="35" t="s">
        <v>112</v>
      </c>
      <c r="M109" s="36" t="s">
        <v>84</v>
      </c>
      <c r="N109" s="36"/>
      <c r="O109" s="35">
        <v>180</v>
      </c>
      <c r="P109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353"/>
      <c r="R109" s="353"/>
      <c r="S109" s="353"/>
      <c r="T109" s="354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IFERROR(IF(X109="","",X109*0.01788),"")</f>
        <v>0</v>
      </c>
      <c r="AA109" s="65" t="s">
        <v>46</v>
      </c>
      <c r="AB109" s="66" t="s">
        <v>46</v>
      </c>
      <c r="AC109" s="158" t="s">
        <v>168</v>
      </c>
      <c r="AG109" s="78"/>
      <c r="AJ109" s="82" t="s">
        <v>113</v>
      </c>
      <c r="AK109" s="82">
        <v>14</v>
      </c>
      <c r="BB109" s="159" t="s">
        <v>110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idden="1" x14ac:dyDescent="0.2">
      <c r="A110" s="363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64"/>
      <c r="P110" s="360" t="s">
        <v>40</v>
      </c>
      <c r="Q110" s="361"/>
      <c r="R110" s="361"/>
      <c r="S110" s="361"/>
      <c r="T110" s="361"/>
      <c r="U110" s="361"/>
      <c r="V110" s="362"/>
      <c r="W110" s="40" t="s">
        <v>39</v>
      </c>
      <c r="X110" s="41">
        <f>IFERROR(SUM(X108:X109),"0")</f>
        <v>0</v>
      </c>
      <c r="Y110" s="41">
        <f>IFERROR(SUM(Y108:Y109),"0")</f>
        <v>0</v>
      </c>
      <c r="Z110" s="41">
        <f>IFERROR(IF(Z108="",0,Z108),"0")+IFERROR(IF(Z109="",0,Z109),"0")</f>
        <v>0</v>
      </c>
      <c r="AA110" s="64"/>
      <c r="AB110" s="64"/>
      <c r="AC110" s="64"/>
    </row>
    <row r="111" spans="1:68" hidden="1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64"/>
      <c r="P111" s="360" t="s">
        <v>40</v>
      </c>
      <c r="Q111" s="361"/>
      <c r="R111" s="361"/>
      <c r="S111" s="361"/>
      <c r="T111" s="361"/>
      <c r="U111" s="361"/>
      <c r="V111" s="362"/>
      <c r="W111" s="40" t="s">
        <v>0</v>
      </c>
      <c r="X111" s="41">
        <f>IFERROR(SUMPRODUCT(X108:X109*H108:H109),"0")</f>
        <v>0</v>
      </c>
      <c r="Y111" s="41">
        <f>IFERROR(SUMPRODUCT(Y108:Y109*H108:H109),"0")</f>
        <v>0</v>
      </c>
      <c r="Z111" s="40"/>
      <c r="AA111" s="64"/>
      <c r="AB111" s="64"/>
      <c r="AC111" s="64"/>
    </row>
    <row r="112" spans="1:68" ht="16.5" hidden="1" customHeight="1" x14ac:dyDescent="0.25">
      <c r="A112" s="349" t="s">
        <v>201</v>
      </c>
      <c r="B112" s="349"/>
      <c r="C112" s="349"/>
      <c r="D112" s="349"/>
      <c r="E112" s="349"/>
      <c r="F112" s="349"/>
      <c r="G112" s="349"/>
      <c r="H112" s="349"/>
      <c r="I112" s="349"/>
      <c r="J112" s="349"/>
      <c r="K112" s="349"/>
      <c r="L112" s="349"/>
      <c r="M112" s="349"/>
      <c r="N112" s="349"/>
      <c r="O112" s="349"/>
      <c r="P112" s="349"/>
      <c r="Q112" s="349"/>
      <c r="R112" s="349"/>
      <c r="S112" s="349"/>
      <c r="T112" s="349"/>
      <c r="U112" s="349"/>
      <c r="V112" s="349"/>
      <c r="W112" s="349"/>
      <c r="X112" s="349"/>
      <c r="Y112" s="349"/>
      <c r="Z112" s="349"/>
      <c r="AA112" s="62"/>
      <c r="AB112" s="62"/>
      <c r="AC112" s="62"/>
    </row>
    <row r="113" spans="1:68" ht="14.25" hidden="1" customHeight="1" x14ac:dyDescent="0.25">
      <c r="A113" s="350" t="s">
        <v>80</v>
      </c>
      <c r="B113" s="350"/>
      <c r="C113" s="350"/>
      <c r="D113" s="350"/>
      <c r="E113" s="350"/>
      <c r="F113" s="350"/>
      <c r="G113" s="350"/>
      <c r="H113" s="350"/>
      <c r="I113" s="350"/>
      <c r="J113" s="350"/>
      <c r="K113" s="350"/>
      <c r="L113" s="350"/>
      <c r="M113" s="350"/>
      <c r="N113" s="350"/>
      <c r="O113" s="350"/>
      <c r="P113" s="350"/>
      <c r="Q113" s="350"/>
      <c r="R113" s="350"/>
      <c r="S113" s="350"/>
      <c r="T113" s="350"/>
      <c r="U113" s="350"/>
      <c r="V113" s="350"/>
      <c r="W113" s="350"/>
      <c r="X113" s="350"/>
      <c r="Y113" s="350"/>
      <c r="Z113" s="350"/>
      <c r="AA113" s="63"/>
      <c r="AB113" s="63"/>
      <c r="AC113" s="63"/>
    </row>
    <row r="114" spans="1:68" ht="27" hidden="1" customHeight="1" x14ac:dyDescent="0.25">
      <c r="A114" s="60" t="s">
        <v>202</v>
      </c>
      <c r="B114" s="60" t="s">
        <v>203</v>
      </c>
      <c r="C114" s="34">
        <v>4301071074</v>
      </c>
      <c r="D114" s="351">
        <v>4620207491157</v>
      </c>
      <c r="E114" s="351"/>
      <c r="F114" s="59">
        <v>0.7</v>
      </c>
      <c r="G114" s="35">
        <v>10</v>
      </c>
      <c r="H114" s="59">
        <v>7</v>
      </c>
      <c r="I114" s="59">
        <v>7.28</v>
      </c>
      <c r="J114" s="35">
        <v>84</v>
      </c>
      <c r="K114" s="35" t="s">
        <v>85</v>
      </c>
      <c r="L114" s="35" t="s">
        <v>112</v>
      </c>
      <c r="M114" s="36" t="s">
        <v>84</v>
      </c>
      <c r="N114" s="36"/>
      <c r="O114" s="35">
        <v>180</v>
      </c>
      <c r="P114" s="39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3"/>
      <c r="R114" s="353"/>
      <c r="S114" s="353"/>
      <c r="T114" s="354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ref="Y114:Y120" si="12">IFERROR(IF(X114="","",X114),"")</f>
        <v>0</v>
      </c>
      <c r="Z114" s="39">
        <f t="shared" ref="Z114:Z120" si="13">IFERROR(IF(X114="","",X114*0.0155),"")</f>
        <v>0</v>
      </c>
      <c r="AA114" s="65" t="s">
        <v>46</v>
      </c>
      <c r="AB114" s="66" t="s">
        <v>46</v>
      </c>
      <c r="AC114" s="160" t="s">
        <v>204</v>
      </c>
      <c r="AG114" s="78"/>
      <c r="AJ114" s="82" t="s">
        <v>113</v>
      </c>
      <c r="AK114" s="82">
        <v>12</v>
      </c>
      <c r="BB114" s="161" t="s">
        <v>70</v>
      </c>
      <c r="BM114" s="78">
        <f t="shared" ref="BM114:BM120" si="14">IFERROR(X114*I114,"0")</f>
        <v>0</v>
      </c>
      <c r="BN114" s="78">
        <f t="shared" ref="BN114:BN120" si="15">IFERROR(Y114*I114,"0")</f>
        <v>0</v>
      </c>
      <c r="BO114" s="78">
        <f t="shared" ref="BO114:BO120" si="16">IFERROR(X114/J114,"0")</f>
        <v>0</v>
      </c>
      <c r="BP114" s="78">
        <f t="shared" ref="BP114:BP120" si="17">IFERROR(Y114/J114,"0")</f>
        <v>0</v>
      </c>
    </row>
    <row r="115" spans="1:68" ht="27" hidden="1" customHeight="1" x14ac:dyDescent="0.25">
      <c r="A115" s="60" t="s">
        <v>205</v>
      </c>
      <c r="B115" s="60" t="s">
        <v>206</v>
      </c>
      <c r="C115" s="34">
        <v>4301071121</v>
      </c>
      <c r="D115" s="351">
        <v>4620207491393</v>
      </c>
      <c r="E115" s="351"/>
      <c r="F115" s="59">
        <v>0.4</v>
      </c>
      <c r="G115" s="35">
        <v>16</v>
      </c>
      <c r="H115" s="59">
        <v>6.4</v>
      </c>
      <c r="I115" s="59">
        <v>6.71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39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353"/>
      <c r="R115" s="353"/>
      <c r="S115" s="353"/>
      <c r="T115" s="354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87</v>
      </c>
      <c r="AK115" s="82">
        <v>1</v>
      </c>
      <c r="BB115" s="163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hidden="1" customHeight="1" x14ac:dyDescent="0.25">
      <c r="A116" s="60" t="s">
        <v>208</v>
      </c>
      <c r="B116" s="60" t="s">
        <v>209</v>
      </c>
      <c r="C116" s="34">
        <v>4301071051</v>
      </c>
      <c r="D116" s="351">
        <v>4607111039262</v>
      </c>
      <c r="E116" s="351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112</v>
      </c>
      <c r="M116" s="36" t="s">
        <v>84</v>
      </c>
      <c r="N116" s="36"/>
      <c r="O116" s="35">
        <v>180</v>
      </c>
      <c r="P116" s="39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353"/>
      <c r="R116" s="353"/>
      <c r="S116" s="353"/>
      <c r="T116" s="354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161</v>
      </c>
      <c r="AG116" s="78"/>
      <c r="AJ116" s="82" t="s">
        <v>113</v>
      </c>
      <c r="AK116" s="82">
        <v>12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210</v>
      </c>
      <c r="B117" s="60" t="s">
        <v>211</v>
      </c>
      <c r="C117" s="34">
        <v>4301071038</v>
      </c>
      <c r="D117" s="351">
        <v>4607111039248</v>
      </c>
      <c r="E117" s="351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112</v>
      </c>
      <c r="M117" s="36" t="s">
        <v>84</v>
      </c>
      <c r="N117" s="36"/>
      <c r="O117" s="35">
        <v>180</v>
      </c>
      <c r="P117" s="40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353"/>
      <c r="R117" s="353"/>
      <c r="S117" s="353"/>
      <c r="T117" s="354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161</v>
      </c>
      <c r="AG117" s="78"/>
      <c r="AJ117" s="82" t="s">
        <v>113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hidden="1" customHeight="1" x14ac:dyDescent="0.25">
      <c r="A118" s="60" t="s">
        <v>212</v>
      </c>
      <c r="B118" s="60" t="s">
        <v>213</v>
      </c>
      <c r="C118" s="34">
        <v>4301070979</v>
      </c>
      <c r="D118" s="351">
        <v>4607111037145</v>
      </c>
      <c r="E118" s="351"/>
      <c r="F118" s="59">
        <v>0.8</v>
      </c>
      <c r="G118" s="35">
        <v>8</v>
      </c>
      <c r="H118" s="59">
        <v>6.4</v>
      </c>
      <c r="I118" s="59">
        <v>6.6748000000000003</v>
      </c>
      <c r="J118" s="35">
        <v>84</v>
      </c>
      <c r="K118" s="35" t="s">
        <v>85</v>
      </c>
      <c r="L118" s="35" t="s">
        <v>86</v>
      </c>
      <c r="M118" s="36" t="s">
        <v>84</v>
      </c>
      <c r="N118" s="36"/>
      <c r="O118" s="35">
        <v>180</v>
      </c>
      <c r="P118" s="40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353"/>
      <c r="R118" s="353"/>
      <c r="S118" s="353"/>
      <c r="T118" s="354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214</v>
      </c>
      <c r="AG118" s="78"/>
      <c r="AJ118" s="82" t="s">
        <v>87</v>
      </c>
      <c r="AK118" s="82">
        <v>1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hidden="1" customHeight="1" x14ac:dyDescent="0.25">
      <c r="A119" s="60" t="s">
        <v>215</v>
      </c>
      <c r="B119" s="60" t="s">
        <v>216</v>
      </c>
      <c r="C119" s="34">
        <v>4301071049</v>
      </c>
      <c r="D119" s="351">
        <v>4607111039293</v>
      </c>
      <c r="E119" s="351"/>
      <c r="F119" s="59">
        <v>0.4</v>
      </c>
      <c r="G119" s="35">
        <v>16</v>
      </c>
      <c r="H119" s="59">
        <v>6.4</v>
      </c>
      <c r="I119" s="59">
        <v>6.7195999999999998</v>
      </c>
      <c r="J119" s="35">
        <v>84</v>
      </c>
      <c r="K119" s="35" t="s">
        <v>85</v>
      </c>
      <c r="L119" s="35" t="s">
        <v>112</v>
      </c>
      <c r="M119" s="36" t="s">
        <v>84</v>
      </c>
      <c r="N119" s="36"/>
      <c r="O119" s="35">
        <v>180</v>
      </c>
      <c r="P119" s="40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353"/>
      <c r="R119" s="353"/>
      <c r="S119" s="353"/>
      <c r="T119" s="354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161</v>
      </c>
      <c r="AG119" s="78"/>
      <c r="AJ119" s="82" t="s">
        <v>113</v>
      </c>
      <c r="AK119" s="82">
        <v>12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hidden="1" customHeight="1" x14ac:dyDescent="0.25">
      <c r="A120" s="60" t="s">
        <v>217</v>
      </c>
      <c r="B120" s="60" t="s">
        <v>218</v>
      </c>
      <c r="C120" s="34">
        <v>4301071039</v>
      </c>
      <c r="D120" s="351">
        <v>4607111039279</v>
      </c>
      <c r="E120" s="351"/>
      <c r="F120" s="59">
        <v>0.7</v>
      </c>
      <c r="G120" s="35">
        <v>10</v>
      </c>
      <c r="H120" s="59">
        <v>7</v>
      </c>
      <c r="I120" s="59">
        <v>7.3</v>
      </c>
      <c r="J120" s="35">
        <v>84</v>
      </c>
      <c r="K120" s="35" t="s">
        <v>85</v>
      </c>
      <c r="L120" s="35" t="s">
        <v>112</v>
      </c>
      <c r="M120" s="36" t="s">
        <v>84</v>
      </c>
      <c r="N120" s="36"/>
      <c r="O120" s="35">
        <v>180</v>
      </c>
      <c r="P120" s="40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353"/>
      <c r="R120" s="353"/>
      <c r="S120" s="353"/>
      <c r="T120" s="354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161</v>
      </c>
      <c r="AG120" s="78"/>
      <c r="AJ120" s="82" t="s">
        <v>113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hidden="1" x14ac:dyDescent="0.2">
      <c r="A121" s="363"/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4"/>
      <c r="P121" s="360" t="s">
        <v>40</v>
      </c>
      <c r="Q121" s="361"/>
      <c r="R121" s="361"/>
      <c r="S121" s="361"/>
      <c r="T121" s="361"/>
      <c r="U121" s="361"/>
      <c r="V121" s="362"/>
      <c r="W121" s="40" t="s">
        <v>39</v>
      </c>
      <c r="X121" s="41">
        <f>IFERROR(SUM(X114:X120),"0")</f>
        <v>0</v>
      </c>
      <c r="Y121" s="41">
        <f>IFERROR(SUM(Y114:Y120),"0")</f>
        <v>0</v>
      </c>
      <c r="Z121" s="41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363"/>
      <c r="B122" s="363"/>
      <c r="C122" s="363"/>
      <c r="D122" s="363"/>
      <c r="E122" s="363"/>
      <c r="F122" s="363"/>
      <c r="G122" s="363"/>
      <c r="H122" s="363"/>
      <c r="I122" s="363"/>
      <c r="J122" s="363"/>
      <c r="K122" s="363"/>
      <c r="L122" s="363"/>
      <c r="M122" s="363"/>
      <c r="N122" s="363"/>
      <c r="O122" s="364"/>
      <c r="P122" s="360" t="s">
        <v>40</v>
      </c>
      <c r="Q122" s="361"/>
      <c r="R122" s="361"/>
      <c r="S122" s="361"/>
      <c r="T122" s="361"/>
      <c r="U122" s="361"/>
      <c r="V122" s="362"/>
      <c r="W122" s="40" t="s">
        <v>0</v>
      </c>
      <c r="X122" s="41">
        <f>IFERROR(SUMPRODUCT(X114:X120*H114:H120),"0")</f>
        <v>0</v>
      </c>
      <c r="Y122" s="41">
        <f>IFERROR(SUMPRODUCT(Y114:Y120*H114:H120),"0")</f>
        <v>0</v>
      </c>
      <c r="Z122" s="40"/>
      <c r="AA122" s="64"/>
      <c r="AB122" s="64"/>
      <c r="AC122" s="64"/>
    </row>
    <row r="123" spans="1:68" ht="14.25" hidden="1" customHeight="1" x14ac:dyDescent="0.25">
      <c r="A123" s="350" t="s">
        <v>150</v>
      </c>
      <c r="B123" s="350"/>
      <c r="C123" s="350"/>
      <c r="D123" s="350"/>
      <c r="E123" s="350"/>
      <c r="F123" s="350"/>
      <c r="G123" s="350"/>
      <c r="H123" s="350"/>
      <c r="I123" s="350"/>
      <c r="J123" s="350"/>
      <c r="K123" s="350"/>
      <c r="L123" s="350"/>
      <c r="M123" s="350"/>
      <c r="N123" s="350"/>
      <c r="O123" s="350"/>
      <c r="P123" s="350"/>
      <c r="Q123" s="350"/>
      <c r="R123" s="350"/>
      <c r="S123" s="350"/>
      <c r="T123" s="350"/>
      <c r="U123" s="350"/>
      <c r="V123" s="350"/>
      <c r="W123" s="350"/>
      <c r="X123" s="350"/>
      <c r="Y123" s="350"/>
      <c r="Z123" s="350"/>
      <c r="AA123" s="63"/>
      <c r="AB123" s="63"/>
      <c r="AC123" s="63"/>
    </row>
    <row r="124" spans="1:68" ht="27" hidden="1" customHeight="1" x14ac:dyDescent="0.25">
      <c r="A124" s="60" t="s">
        <v>219</v>
      </c>
      <c r="B124" s="60" t="s">
        <v>220</v>
      </c>
      <c r="C124" s="34">
        <v>4301135826</v>
      </c>
      <c r="D124" s="351">
        <v>4620207490983</v>
      </c>
      <c r="E124" s="351"/>
      <c r="F124" s="59">
        <v>0.22</v>
      </c>
      <c r="G124" s="35">
        <v>12</v>
      </c>
      <c r="H124" s="59">
        <v>2.64</v>
      </c>
      <c r="I124" s="59">
        <v>3.3435999999999999</v>
      </c>
      <c r="J124" s="35">
        <v>70</v>
      </c>
      <c r="K124" s="35" t="s">
        <v>111</v>
      </c>
      <c r="L124" s="35" t="s">
        <v>86</v>
      </c>
      <c r="M124" s="36" t="s">
        <v>84</v>
      </c>
      <c r="N124" s="36"/>
      <c r="O124" s="35">
        <v>180</v>
      </c>
      <c r="P124" s="40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3"/>
      <c r="R124" s="353"/>
      <c r="S124" s="353"/>
      <c r="T124" s="354"/>
      <c r="U124" s="37" t="s">
        <v>46</v>
      </c>
      <c r="V124" s="37" t="s">
        <v>46</v>
      </c>
      <c r="W124" s="38" t="s">
        <v>39</v>
      </c>
      <c r="X124" s="56">
        <v>0</v>
      </c>
      <c r="Y124" s="53">
        <f>IFERROR(IF(X124="","",X124),"")</f>
        <v>0</v>
      </c>
      <c r="Z124" s="39">
        <f>IFERROR(IF(X124="","",X124*0.01788),"")</f>
        <v>0</v>
      </c>
      <c r="AA124" s="65" t="s">
        <v>46</v>
      </c>
      <c r="AB124" s="66" t="s">
        <v>46</v>
      </c>
      <c r="AC124" s="174" t="s">
        <v>221</v>
      </c>
      <c r="AG124" s="78"/>
      <c r="AJ124" s="82" t="s">
        <v>87</v>
      </c>
      <c r="AK124" s="82">
        <v>1</v>
      </c>
      <c r="BB124" s="175" t="s">
        <v>110</v>
      </c>
      <c r="BM124" s="78">
        <f>IFERROR(X124*I124,"0")</f>
        <v>0</v>
      </c>
      <c r="BN124" s="78">
        <f>IFERROR(Y124*I124,"0")</f>
        <v>0</v>
      </c>
      <c r="BO124" s="78">
        <f>IFERROR(X124/J124,"0")</f>
        <v>0</v>
      </c>
      <c r="BP124" s="78">
        <f>IFERROR(Y124/J124,"0")</f>
        <v>0</v>
      </c>
    </row>
    <row r="125" spans="1:68" hidden="1" x14ac:dyDescent="0.2">
      <c r="A125" s="363"/>
      <c r="B125" s="363"/>
      <c r="C125" s="363"/>
      <c r="D125" s="363"/>
      <c r="E125" s="363"/>
      <c r="F125" s="363"/>
      <c r="G125" s="363"/>
      <c r="H125" s="363"/>
      <c r="I125" s="363"/>
      <c r="J125" s="363"/>
      <c r="K125" s="363"/>
      <c r="L125" s="363"/>
      <c r="M125" s="363"/>
      <c r="N125" s="363"/>
      <c r="O125" s="364"/>
      <c r="P125" s="360" t="s">
        <v>40</v>
      </c>
      <c r="Q125" s="361"/>
      <c r="R125" s="361"/>
      <c r="S125" s="361"/>
      <c r="T125" s="361"/>
      <c r="U125" s="361"/>
      <c r="V125" s="362"/>
      <c r="W125" s="40" t="s">
        <v>39</v>
      </c>
      <c r="X125" s="41">
        <f>IFERROR(SUM(X124:X124),"0")</f>
        <v>0</v>
      </c>
      <c r="Y125" s="41">
        <f>IFERROR(SUM(Y124:Y124),"0")</f>
        <v>0</v>
      </c>
      <c r="Z125" s="41">
        <f>IFERROR(IF(Z124="",0,Z124),"0")</f>
        <v>0</v>
      </c>
      <c r="AA125" s="64"/>
      <c r="AB125" s="64"/>
      <c r="AC125" s="64"/>
    </row>
    <row r="126" spans="1:68" hidden="1" x14ac:dyDescent="0.2">
      <c r="A126" s="363"/>
      <c r="B126" s="363"/>
      <c r="C126" s="363"/>
      <c r="D126" s="363"/>
      <c r="E126" s="363"/>
      <c r="F126" s="363"/>
      <c r="G126" s="363"/>
      <c r="H126" s="363"/>
      <c r="I126" s="363"/>
      <c r="J126" s="363"/>
      <c r="K126" s="363"/>
      <c r="L126" s="363"/>
      <c r="M126" s="363"/>
      <c r="N126" s="363"/>
      <c r="O126" s="364"/>
      <c r="P126" s="360" t="s">
        <v>40</v>
      </c>
      <c r="Q126" s="361"/>
      <c r="R126" s="361"/>
      <c r="S126" s="361"/>
      <c r="T126" s="361"/>
      <c r="U126" s="361"/>
      <c r="V126" s="362"/>
      <c r="W126" s="40" t="s">
        <v>0</v>
      </c>
      <c r="X126" s="41">
        <f>IFERROR(SUMPRODUCT(X124:X124*H124:H124),"0")</f>
        <v>0</v>
      </c>
      <c r="Y126" s="41">
        <f>IFERROR(SUMPRODUCT(Y124:Y124*H124:H124),"0")</f>
        <v>0</v>
      </c>
      <c r="Z126" s="40"/>
      <c r="AA126" s="64"/>
      <c r="AB126" s="64"/>
      <c r="AC126" s="64"/>
    </row>
    <row r="127" spans="1:68" ht="14.25" hidden="1" customHeight="1" x14ac:dyDescent="0.25">
      <c r="A127" s="350" t="s">
        <v>222</v>
      </c>
      <c r="B127" s="350"/>
      <c r="C127" s="350"/>
      <c r="D127" s="350"/>
      <c r="E127" s="350"/>
      <c r="F127" s="350"/>
      <c r="G127" s="350"/>
      <c r="H127" s="350"/>
      <c r="I127" s="350"/>
      <c r="J127" s="350"/>
      <c r="K127" s="350"/>
      <c r="L127" s="350"/>
      <c r="M127" s="350"/>
      <c r="N127" s="350"/>
      <c r="O127" s="350"/>
      <c r="P127" s="350"/>
      <c r="Q127" s="350"/>
      <c r="R127" s="350"/>
      <c r="S127" s="350"/>
      <c r="T127" s="350"/>
      <c r="U127" s="350"/>
      <c r="V127" s="350"/>
      <c r="W127" s="350"/>
      <c r="X127" s="350"/>
      <c r="Y127" s="350"/>
      <c r="Z127" s="350"/>
      <c r="AA127" s="63"/>
      <c r="AB127" s="63"/>
      <c r="AC127" s="63"/>
    </row>
    <row r="128" spans="1:68" ht="27" hidden="1" customHeight="1" x14ac:dyDescent="0.25">
      <c r="A128" s="60" t="s">
        <v>223</v>
      </c>
      <c r="B128" s="60" t="s">
        <v>224</v>
      </c>
      <c r="C128" s="34">
        <v>4301071094</v>
      </c>
      <c r="D128" s="351">
        <v>4620207491140</v>
      </c>
      <c r="E128" s="351"/>
      <c r="F128" s="59">
        <v>0.6</v>
      </c>
      <c r="G128" s="35">
        <v>10</v>
      </c>
      <c r="H128" s="59">
        <v>6</v>
      </c>
      <c r="I128" s="59">
        <v>6.28</v>
      </c>
      <c r="J128" s="35">
        <v>84</v>
      </c>
      <c r="K128" s="35" t="s">
        <v>85</v>
      </c>
      <c r="L128" s="35" t="s">
        <v>86</v>
      </c>
      <c r="M128" s="36" t="s">
        <v>84</v>
      </c>
      <c r="N128" s="36"/>
      <c r="O128" s="35">
        <v>180</v>
      </c>
      <c r="P128" s="40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53"/>
      <c r="R128" s="353"/>
      <c r="S128" s="353"/>
      <c r="T128" s="354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IFERROR(IF(X128="","",X128*0.0155),"")</f>
        <v>0</v>
      </c>
      <c r="AA128" s="65" t="s">
        <v>46</v>
      </c>
      <c r="AB128" s="66" t="s">
        <v>46</v>
      </c>
      <c r="AC128" s="176" t="s">
        <v>225</v>
      </c>
      <c r="AG128" s="78"/>
      <c r="AJ128" s="82" t="s">
        <v>87</v>
      </c>
      <c r="AK128" s="82">
        <v>1</v>
      </c>
      <c r="BB128" s="177" t="s">
        <v>110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hidden="1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64"/>
      <c r="P129" s="360" t="s">
        <v>40</v>
      </c>
      <c r="Q129" s="361"/>
      <c r="R129" s="361"/>
      <c r="S129" s="361"/>
      <c r="T129" s="361"/>
      <c r="U129" s="361"/>
      <c r="V129" s="362"/>
      <c r="W129" s="40" t="s">
        <v>39</v>
      </c>
      <c r="X129" s="41">
        <f>IFERROR(SUM(X128:X128),"0")</f>
        <v>0</v>
      </c>
      <c r="Y129" s="41">
        <f>IFERROR(SUM(Y128:Y128),"0")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363"/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4"/>
      <c r="P130" s="360" t="s">
        <v>40</v>
      </c>
      <c r="Q130" s="361"/>
      <c r="R130" s="361"/>
      <c r="S130" s="361"/>
      <c r="T130" s="361"/>
      <c r="U130" s="361"/>
      <c r="V130" s="362"/>
      <c r="W130" s="40" t="s">
        <v>0</v>
      </c>
      <c r="X130" s="41">
        <f>IFERROR(SUMPRODUCT(X128:X128*H128:H128),"0")</f>
        <v>0</v>
      </c>
      <c r="Y130" s="41">
        <f>IFERROR(SUMPRODUCT(Y128:Y128*H128:H128),"0")</f>
        <v>0</v>
      </c>
      <c r="Z130" s="40"/>
      <c r="AA130" s="64"/>
      <c r="AB130" s="64"/>
      <c r="AC130" s="64"/>
    </row>
    <row r="131" spans="1:68" ht="16.5" hidden="1" customHeight="1" x14ac:dyDescent="0.25">
      <c r="A131" s="349" t="s">
        <v>226</v>
      </c>
      <c r="B131" s="349"/>
      <c r="C131" s="349"/>
      <c r="D131" s="349"/>
      <c r="E131" s="349"/>
      <c r="F131" s="349"/>
      <c r="G131" s="349"/>
      <c r="H131" s="349"/>
      <c r="I131" s="349"/>
      <c r="J131" s="349"/>
      <c r="K131" s="349"/>
      <c r="L131" s="349"/>
      <c r="M131" s="349"/>
      <c r="N131" s="349"/>
      <c r="O131" s="349"/>
      <c r="P131" s="349"/>
      <c r="Q131" s="349"/>
      <c r="R131" s="349"/>
      <c r="S131" s="349"/>
      <c r="T131" s="349"/>
      <c r="U131" s="349"/>
      <c r="V131" s="349"/>
      <c r="W131" s="349"/>
      <c r="X131" s="349"/>
      <c r="Y131" s="349"/>
      <c r="Z131" s="349"/>
      <c r="AA131" s="62"/>
      <c r="AB131" s="62"/>
      <c r="AC131" s="62"/>
    </row>
    <row r="132" spans="1:68" ht="14.25" hidden="1" customHeight="1" x14ac:dyDescent="0.25">
      <c r="A132" s="350" t="s">
        <v>227</v>
      </c>
      <c r="B132" s="350"/>
      <c r="C132" s="350"/>
      <c r="D132" s="350"/>
      <c r="E132" s="350"/>
      <c r="F132" s="350"/>
      <c r="G132" s="350"/>
      <c r="H132" s="350"/>
      <c r="I132" s="350"/>
      <c r="J132" s="350"/>
      <c r="K132" s="350"/>
      <c r="L132" s="350"/>
      <c r="M132" s="350"/>
      <c r="N132" s="350"/>
      <c r="O132" s="350"/>
      <c r="P132" s="350"/>
      <c r="Q132" s="350"/>
      <c r="R132" s="350"/>
      <c r="S132" s="350"/>
      <c r="T132" s="350"/>
      <c r="U132" s="350"/>
      <c r="V132" s="350"/>
      <c r="W132" s="350"/>
      <c r="X132" s="350"/>
      <c r="Y132" s="350"/>
      <c r="Z132" s="350"/>
      <c r="AA132" s="63"/>
      <c r="AB132" s="63"/>
      <c r="AC132" s="63"/>
    </row>
    <row r="133" spans="1:68" ht="27" hidden="1" customHeight="1" x14ac:dyDescent="0.25">
      <c r="A133" s="60" t="s">
        <v>228</v>
      </c>
      <c r="B133" s="60" t="s">
        <v>229</v>
      </c>
      <c r="C133" s="34">
        <v>4301190117</v>
      </c>
      <c r="D133" s="351">
        <v>4620207491386</v>
      </c>
      <c r="E133" s="351"/>
      <c r="F133" s="59">
        <v>0.18</v>
      </c>
      <c r="G133" s="35">
        <v>6</v>
      </c>
      <c r="H133" s="59">
        <v>1.08</v>
      </c>
      <c r="I133" s="59">
        <v>1.3979999999999999</v>
      </c>
      <c r="J133" s="35">
        <v>140</v>
      </c>
      <c r="K133" s="35" t="s">
        <v>111</v>
      </c>
      <c r="L133" s="35" t="s">
        <v>86</v>
      </c>
      <c r="M133" s="36" t="s">
        <v>84</v>
      </c>
      <c r="N133" s="36"/>
      <c r="O133" s="35">
        <v>180</v>
      </c>
      <c r="P133" s="406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353"/>
      <c r="R133" s="353"/>
      <c r="S133" s="353"/>
      <c r="T133" s="354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78" t="s">
        <v>230</v>
      </c>
      <c r="AG133" s="78"/>
      <c r="AJ133" s="82" t="s">
        <v>87</v>
      </c>
      <c r="AK133" s="82">
        <v>1</v>
      </c>
      <c r="BB133" s="179" t="s">
        <v>110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hidden="1" customHeight="1" x14ac:dyDescent="0.25">
      <c r="A134" s="60" t="s">
        <v>231</v>
      </c>
      <c r="B134" s="60" t="s">
        <v>232</v>
      </c>
      <c r="C134" s="34">
        <v>4301190115</v>
      </c>
      <c r="D134" s="351">
        <v>4620207491362</v>
      </c>
      <c r="E134" s="351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111</v>
      </c>
      <c r="L134" s="35" t="s">
        <v>86</v>
      </c>
      <c r="M134" s="36" t="s">
        <v>84</v>
      </c>
      <c r="N134" s="36"/>
      <c r="O134" s="35">
        <v>180</v>
      </c>
      <c r="P134" s="407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353"/>
      <c r="R134" s="353"/>
      <c r="S134" s="353"/>
      <c r="T134" s="354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230</v>
      </c>
      <c r="AG134" s="78"/>
      <c r="AJ134" s="82" t="s">
        <v>87</v>
      </c>
      <c r="AK134" s="82">
        <v>1</v>
      </c>
      <c r="BB134" s="181" t="s">
        <v>110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27" hidden="1" customHeight="1" x14ac:dyDescent="0.25">
      <c r="A135" s="60" t="s">
        <v>233</v>
      </c>
      <c r="B135" s="60" t="s">
        <v>234</v>
      </c>
      <c r="C135" s="34">
        <v>4301190116</v>
      </c>
      <c r="D135" s="351">
        <v>4620207491379</v>
      </c>
      <c r="E135" s="351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111</v>
      </c>
      <c r="L135" s="35" t="s">
        <v>86</v>
      </c>
      <c r="M135" s="36" t="s">
        <v>84</v>
      </c>
      <c r="N135" s="36"/>
      <c r="O135" s="35">
        <v>180</v>
      </c>
      <c r="P135" s="408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353"/>
      <c r="R135" s="353"/>
      <c r="S135" s="353"/>
      <c r="T135" s="354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230</v>
      </c>
      <c r="AG135" s="78"/>
      <c r="AJ135" s="82" t="s">
        <v>87</v>
      </c>
      <c r="AK135" s="82">
        <v>1</v>
      </c>
      <c r="BB135" s="183" t="s">
        <v>110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idden="1" x14ac:dyDescent="0.2">
      <c r="A136" s="363"/>
      <c r="B136" s="363"/>
      <c r="C136" s="363"/>
      <c r="D136" s="363"/>
      <c r="E136" s="363"/>
      <c r="F136" s="363"/>
      <c r="G136" s="363"/>
      <c r="H136" s="363"/>
      <c r="I136" s="363"/>
      <c r="J136" s="363"/>
      <c r="K136" s="363"/>
      <c r="L136" s="363"/>
      <c r="M136" s="363"/>
      <c r="N136" s="363"/>
      <c r="O136" s="364"/>
      <c r="P136" s="360" t="s">
        <v>40</v>
      </c>
      <c r="Q136" s="361"/>
      <c r="R136" s="361"/>
      <c r="S136" s="361"/>
      <c r="T136" s="361"/>
      <c r="U136" s="361"/>
      <c r="V136" s="362"/>
      <c r="W136" s="40" t="s">
        <v>39</v>
      </c>
      <c r="X136" s="41">
        <f>IFERROR(SUM(X133:X135),"0")</f>
        <v>0</v>
      </c>
      <c r="Y136" s="41">
        <f>IFERROR(SUM(Y133:Y135),"0")</f>
        <v>0</v>
      </c>
      <c r="Z136" s="41">
        <f>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363"/>
      <c r="B137" s="363"/>
      <c r="C137" s="363"/>
      <c r="D137" s="363"/>
      <c r="E137" s="363"/>
      <c r="F137" s="363"/>
      <c r="G137" s="363"/>
      <c r="H137" s="363"/>
      <c r="I137" s="363"/>
      <c r="J137" s="363"/>
      <c r="K137" s="363"/>
      <c r="L137" s="363"/>
      <c r="M137" s="363"/>
      <c r="N137" s="363"/>
      <c r="O137" s="364"/>
      <c r="P137" s="360" t="s">
        <v>40</v>
      </c>
      <c r="Q137" s="361"/>
      <c r="R137" s="361"/>
      <c r="S137" s="361"/>
      <c r="T137" s="361"/>
      <c r="U137" s="361"/>
      <c r="V137" s="362"/>
      <c r="W137" s="40" t="s">
        <v>0</v>
      </c>
      <c r="X137" s="41">
        <f>IFERROR(SUMPRODUCT(X133:X135*H133:H135),"0")</f>
        <v>0</v>
      </c>
      <c r="Y137" s="41">
        <f>IFERROR(SUMPRODUCT(Y133:Y135*H133:H135),"0")</f>
        <v>0</v>
      </c>
      <c r="Z137" s="40"/>
      <c r="AA137" s="64"/>
      <c r="AB137" s="64"/>
      <c r="AC137" s="64"/>
    </row>
    <row r="138" spans="1:68" ht="16.5" hidden="1" customHeight="1" x14ac:dyDescent="0.25">
      <c r="A138" s="349" t="s">
        <v>235</v>
      </c>
      <c r="B138" s="349"/>
      <c r="C138" s="349"/>
      <c r="D138" s="349"/>
      <c r="E138" s="349"/>
      <c r="F138" s="349"/>
      <c r="G138" s="349"/>
      <c r="H138" s="349"/>
      <c r="I138" s="349"/>
      <c r="J138" s="349"/>
      <c r="K138" s="349"/>
      <c r="L138" s="349"/>
      <c r="M138" s="349"/>
      <c r="N138" s="349"/>
      <c r="O138" s="349"/>
      <c r="P138" s="349"/>
      <c r="Q138" s="349"/>
      <c r="R138" s="349"/>
      <c r="S138" s="349"/>
      <c r="T138" s="349"/>
      <c r="U138" s="349"/>
      <c r="V138" s="349"/>
      <c r="W138" s="349"/>
      <c r="X138" s="349"/>
      <c r="Y138" s="349"/>
      <c r="Z138" s="349"/>
      <c r="AA138" s="62"/>
      <c r="AB138" s="62"/>
      <c r="AC138" s="62"/>
    </row>
    <row r="139" spans="1:68" ht="14.25" hidden="1" customHeight="1" x14ac:dyDescent="0.25">
      <c r="A139" s="350" t="s">
        <v>150</v>
      </c>
      <c r="B139" s="350"/>
      <c r="C139" s="350"/>
      <c r="D139" s="350"/>
      <c r="E139" s="350"/>
      <c r="F139" s="350"/>
      <c r="G139" s="350"/>
      <c r="H139" s="350"/>
      <c r="I139" s="350"/>
      <c r="J139" s="350"/>
      <c r="K139" s="350"/>
      <c r="L139" s="350"/>
      <c r="M139" s="350"/>
      <c r="N139" s="350"/>
      <c r="O139" s="350"/>
      <c r="P139" s="350"/>
      <c r="Q139" s="350"/>
      <c r="R139" s="350"/>
      <c r="S139" s="350"/>
      <c r="T139" s="350"/>
      <c r="U139" s="350"/>
      <c r="V139" s="350"/>
      <c r="W139" s="350"/>
      <c r="X139" s="350"/>
      <c r="Y139" s="350"/>
      <c r="Z139" s="350"/>
      <c r="AA139" s="63"/>
      <c r="AB139" s="63"/>
      <c r="AC139" s="63"/>
    </row>
    <row r="140" spans="1:68" ht="27" hidden="1" customHeight="1" x14ac:dyDescent="0.25">
      <c r="A140" s="60" t="s">
        <v>236</v>
      </c>
      <c r="B140" s="60" t="s">
        <v>237</v>
      </c>
      <c r="C140" s="34">
        <v>4301135865</v>
      </c>
      <c r="D140" s="351">
        <v>4620207491485</v>
      </c>
      <c r="E140" s="351"/>
      <c r="F140" s="59">
        <v>0.23</v>
      </c>
      <c r="G140" s="35">
        <v>6</v>
      </c>
      <c r="H140" s="59">
        <v>1.38</v>
      </c>
      <c r="I140" s="59">
        <v>1.8</v>
      </c>
      <c r="J140" s="35">
        <v>140</v>
      </c>
      <c r="K140" s="35" t="s">
        <v>111</v>
      </c>
      <c r="L140" s="35" t="s">
        <v>86</v>
      </c>
      <c r="M140" s="36" t="s">
        <v>84</v>
      </c>
      <c r="N140" s="36"/>
      <c r="O140" s="35">
        <v>180</v>
      </c>
      <c r="P140" s="409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0" s="353"/>
      <c r="R140" s="353"/>
      <c r="S140" s="353"/>
      <c r="T140" s="354"/>
      <c r="U140" s="37" t="s">
        <v>46</v>
      </c>
      <c r="V140" s="37" t="s">
        <v>46</v>
      </c>
      <c r="W140" s="38" t="s">
        <v>39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 t="s">
        <v>46</v>
      </c>
      <c r="AB140" s="66" t="s">
        <v>46</v>
      </c>
      <c r="AC140" s="184" t="s">
        <v>194</v>
      </c>
      <c r="AG140" s="78"/>
      <c r="AJ140" s="82" t="s">
        <v>87</v>
      </c>
      <c r="AK140" s="82">
        <v>1</v>
      </c>
      <c r="BB140" s="185" t="s">
        <v>110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ht="27" customHeight="1" x14ac:dyDescent="0.25">
      <c r="A141" s="60" t="s">
        <v>238</v>
      </c>
      <c r="B141" s="60" t="s">
        <v>239</v>
      </c>
      <c r="C141" s="34">
        <v>4301135555</v>
      </c>
      <c r="D141" s="351">
        <v>4607111034014</v>
      </c>
      <c r="E141" s="351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111</v>
      </c>
      <c r="L141" s="35" t="s">
        <v>112</v>
      </c>
      <c r="M141" s="36" t="s">
        <v>84</v>
      </c>
      <c r="N141" s="36"/>
      <c r="O141" s="35">
        <v>180</v>
      </c>
      <c r="P141" s="41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1" s="353"/>
      <c r="R141" s="353"/>
      <c r="S141" s="353"/>
      <c r="T141" s="354"/>
      <c r="U141" s="37" t="s">
        <v>46</v>
      </c>
      <c r="V141" s="37" t="s">
        <v>46</v>
      </c>
      <c r="W141" s="38" t="s">
        <v>39</v>
      </c>
      <c r="X141" s="56">
        <v>70</v>
      </c>
      <c r="Y141" s="53">
        <f>IFERROR(IF(X141="","",X141),"")</f>
        <v>70</v>
      </c>
      <c r="Z141" s="39">
        <f>IFERROR(IF(X141="","",X141*0.01788),"")</f>
        <v>1.2516</v>
      </c>
      <c r="AA141" s="65" t="s">
        <v>46</v>
      </c>
      <c r="AB141" s="66" t="s">
        <v>46</v>
      </c>
      <c r="AC141" s="186" t="s">
        <v>240</v>
      </c>
      <c r="AG141" s="78"/>
      <c r="AJ141" s="82" t="s">
        <v>113</v>
      </c>
      <c r="AK141" s="82">
        <v>14</v>
      </c>
      <c r="BB141" s="187" t="s">
        <v>110</v>
      </c>
      <c r="BM141" s="78">
        <f>IFERROR(X141*I141,"0")</f>
        <v>259.25200000000001</v>
      </c>
      <c r="BN141" s="78">
        <f>IFERROR(Y141*I141,"0")</f>
        <v>259.25200000000001</v>
      </c>
      <c r="BO141" s="78">
        <f>IFERROR(X141/J141,"0")</f>
        <v>1</v>
      </c>
      <c r="BP141" s="78">
        <f>IFERROR(Y141/J141,"0")</f>
        <v>1</v>
      </c>
    </row>
    <row r="142" spans="1:68" ht="27" customHeight="1" x14ac:dyDescent="0.25">
      <c r="A142" s="60" t="s">
        <v>241</v>
      </c>
      <c r="B142" s="60" t="s">
        <v>242</v>
      </c>
      <c r="C142" s="34">
        <v>4301135532</v>
      </c>
      <c r="D142" s="351">
        <v>4607111033994</v>
      </c>
      <c r="E142" s="351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111</v>
      </c>
      <c r="L142" s="35" t="s">
        <v>112</v>
      </c>
      <c r="M142" s="36" t="s">
        <v>84</v>
      </c>
      <c r="N142" s="36"/>
      <c r="O142" s="35">
        <v>180</v>
      </c>
      <c r="P142" s="41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2" s="353"/>
      <c r="R142" s="353"/>
      <c r="S142" s="353"/>
      <c r="T142" s="354"/>
      <c r="U142" s="37" t="s">
        <v>46</v>
      </c>
      <c r="V142" s="37" t="s">
        <v>46</v>
      </c>
      <c r="W142" s="38" t="s">
        <v>39</v>
      </c>
      <c r="X142" s="56">
        <v>140</v>
      </c>
      <c r="Y142" s="53">
        <f>IFERROR(IF(X142="","",X142),"")</f>
        <v>140</v>
      </c>
      <c r="Z142" s="39">
        <f>IFERROR(IF(X142="","",X142*0.01788),"")</f>
        <v>2.5032000000000001</v>
      </c>
      <c r="AA142" s="65" t="s">
        <v>46</v>
      </c>
      <c r="AB142" s="66" t="s">
        <v>46</v>
      </c>
      <c r="AC142" s="188" t="s">
        <v>168</v>
      </c>
      <c r="AG142" s="78"/>
      <c r="AJ142" s="82" t="s">
        <v>113</v>
      </c>
      <c r="AK142" s="82">
        <v>14</v>
      </c>
      <c r="BB142" s="189" t="s">
        <v>110</v>
      </c>
      <c r="BM142" s="78">
        <f>IFERROR(X142*I142,"0")</f>
        <v>518.50400000000002</v>
      </c>
      <c r="BN142" s="78">
        <f>IFERROR(Y142*I142,"0")</f>
        <v>518.50400000000002</v>
      </c>
      <c r="BO142" s="78">
        <f>IFERROR(X142/J142,"0")</f>
        <v>2</v>
      </c>
      <c r="BP142" s="78">
        <f>IFERROR(Y142/J142,"0")</f>
        <v>2</v>
      </c>
    </row>
    <row r="143" spans="1:68" x14ac:dyDescent="0.2">
      <c r="A143" s="363"/>
      <c r="B143" s="363"/>
      <c r="C143" s="363"/>
      <c r="D143" s="363"/>
      <c r="E143" s="363"/>
      <c r="F143" s="363"/>
      <c r="G143" s="363"/>
      <c r="H143" s="363"/>
      <c r="I143" s="363"/>
      <c r="J143" s="363"/>
      <c r="K143" s="363"/>
      <c r="L143" s="363"/>
      <c r="M143" s="363"/>
      <c r="N143" s="363"/>
      <c r="O143" s="364"/>
      <c r="P143" s="360" t="s">
        <v>40</v>
      </c>
      <c r="Q143" s="361"/>
      <c r="R143" s="361"/>
      <c r="S143" s="361"/>
      <c r="T143" s="361"/>
      <c r="U143" s="361"/>
      <c r="V143" s="362"/>
      <c r="W143" s="40" t="s">
        <v>39</v>
      </c>
      <c r="X143" s="41">
        <f>IFERROR(SUM(X140:X142),"0")</f>
        <v>210</v>
      </c>
      <c r="Y143" s="41">
        <f>IFERROR(SUM(Y140:Y142),"0")</f>
        <v>210</v>
      </c>
      <c r="Z143" s="41">
        <f>IFERROR(IF(Z140="",0,Z140),"0")+IFERROR(IF(Z141="",0,Z141),"0")+IFERROR(IF(Z142="",0,Z142),"0")</f>
        <v>3.7548000000000004</v>
      </c>
      <c r="AA143" s="64"/>
      <c r="AB143" s="64"/>
      <c r="AC143" s="64"/>
    </row>
    <row r="144" spans="1:68" x14ac:dyDescent="0.2">
      <c r="A144" s="363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64"/>
      <c r="P144" s="360" t="s">
        <v>40</v>
      </c>
      <c r="Q144" s="361"/>
      <c r="R144" s="361"/>
      <c r="S144" s="361"/>
      <c r="T144" s="361"/>
      <c r="U144" s="361"/>
      <c r="V144" s="362"/>
      <c r="W144" s="40" t="s">
        <v>0</v>
      </c>
      <c r="X144" s="41">
        <f>IFERROR(SUMPRODUCT(X140:X142*H140:H142),"0")</f>
        <v>630</v>
      </c>
      <c r="Y144" s="41">
        <f>IFERROR(SUMPRODUCT(Y140:Y142*H140:H142),"0")</f>
        <v>630</v>
      </c>
      <c r="Z144" s="40"/>
      <c r="AA144" s="64"/>
      <c r="AB144" s="64"/>
      <c r="AC144" s="64"/>
    </row>
    <row r="145" spans="1:68" ht="16.5" hidden="1" customHeight="1" x14ac:dyDescent="0.25">
      <c r="A145" s="349" t="s">
        <v>243</v>
      </c>
      <c r="B145" s="349"/>
      <c r="C145" s="349"/>
      <c r="D145" s="349"/>
      <c r="E145" s="349"/>
      <c r="F145" s="349"/>
      <c r="G145" s="349"/>
      <c r="H145" s="349"/>
      <c r="I145" s="349"/>
      <c r="J145" s="349"/>
      <c r="K145" s="349"/>
      <c r="L145" s="349"/>
      <c r="M145" s="349"/>
      <c r="N145" s="349"/>
      <c r="O145" s="349"/>
      <c r="P145" s="349"/>
      <c r="Q145" s="349"/>
      <c r="R145" s="349"/>
      <c r="S145" s="349"/>
      <c r="T145" s="349"/>
      <c r="U145" s="349"/>
      <c r="V145" s="349"/>
      <c r="W145" s="349"/>
      <c r="X145" s="349"/>
      <c r="Y145" s="349"/>
      <c r="Z145" s="349"/>
      <c r="AA145" s="62"/>
      <c r="AB145" s="62"/>
      <c r="AC145" s="62"/>
    </row>
    <row r="146" spans="1:68" ht="14.25" hidden="1" customHeight="1" x14ac:dyDescent="0.25">
      <c r="A146" s="350" t="s">
        <v>150</v>
      </c>
      <c r="B146" s="350"/>
      <c r="C146" s="350"/>
      <c r="D146" s="350"/>
      <c r="E146" s="350"/>
      <c r="F146" s="350"/>
      <c r="G146" s="350"/>
      <c r="H146" s="350"/>
      <c r="I146" s="350"/>
      <c r="J146" s="350"/>
      <c r="K146" s="350"/>
      <c r="L146" s="350"/>
      <c r="M146" s="350"/>
      <c r="N146" s="350"/>
      <c r="O146" s="350"/>
      <c r="P146" s="350"/>
      <c r="Q146" s="350"/>
      <c r="R146" s="350"/>
      <c r="S146" s="350"/>
      <c r="T146" s="350"/>
      <c r="U146" s="350"/>
      <c r="V146" s="350"/>
      <c r="W146" s="350"/>
      <c r="X146" s="350"/>
      <c r="Y146" s="350"/>
      <c r="Z146" s="350"/>
      <c r="AA146" s="63"/>
      <c r="AB146" s="63"/>
      <c r="AC146" s="63"/>
    </row>
    <row r="147" spans="1:68" ht="27" hidden="1" customHeight="1" x14ac:dyDescent="0.25">
      <c r="A147" s="60" t="s">
        <v>244</v>
      </c>
      <c r="B147" s="60" t="s">
        <v>245</v>
      </c>
      <c r="C147" s="34">
        <v>4301135850</v>
      </c>
      <c r="D147" s="351">
        <v>4620207491492</v>
      </c>
      <c r="E147" s="351"/>
      <c r="F147" s="59">
        <v>0.23</v>
      </c>
      <c r="G147" s="35">
        <v>6</v>
      </c>
      <c r="H147" s="59">
        <v>1.38</v>
      </c>
      <c r="I147" s="59">
        <v>1.8</v>
      </c>
      <c r="J147" s="35">
        <v>140</v>
      </c>
      <c r="K147" s="35" t="s">
        <v>111</v>
      </c>
      <c r="L147" s="35" t="s">
        <v>86</v>
      </c>
      <c r="M147" s="36" t="s">
        <v>84</v>
      </c>
      <c r="N147" s="36"/>
      <c r="O147" s="35">
        <v>180</v>
      </c>
      <c r="P147" s="412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7" s="353"/>
      <c r="R147" s="353"/>
      <c r="S147" s="353"/>
      <c r="T147" s="354"/>
      <c r="U147" s="37" t="s">
        <v>46</v>
      </c>
      <c r="V147" s="37" t="s">
        <v>46</v>
      </c>
      <c r="W147" s="38" t="s">
        <v>39</v>
      </c>
      <c r="X147" s="56">
        <v>0</v>
      </c>
      <c r="Y147" s="53">
        <f>IFERROR(IF(X147="","",X147),"")</f>
        <v>0</v>
      </c>
      <c r="Z147" s="39">
        <f>IFERROR(IF(X147="","",X147*0.00941),"")</f>
        <v>0</v>
      </c>
      <c r="AA147" s="65" t="s">
        <v>46</v>
      </c>
      <c r="AB147" s="66" t="s">
        <v>46</v>
      </c>
      <c r="AC147" s="190" t="s">
        <v>194</v>
      </c>
      <c r="AG147" s="78"/>
      <c r="AJ147" s="82" t="s">
        <v>87</v>
      </c>
      <c r="AK147" s="82">
        <v>1</v>
      </c>
      <c r="BB147" s="191" t="s">
        <v>110</v>
      </c>
      <c r="BM147" s="78">
        <f>IFERROR(X147*I147,"0")</f>
        <v>0</v>
      </c>
      <c r="BN147" s="78">
        <f>IFERROR(Y147*I147,"0")</f>
        <v>0</v>
      </c>
      <c r="BO147" s="78">
        <f>IFERROR(X147/J147,"0")</f>
        <v>0</v>
      </c>
      <c r="BP147" s="78">
        <f>IFERROR(Y147/J147,"0")</f>
        <v>0</v>
      </c>
    </row>
    <row r="148" spans="1:68" ht="27" hidden="1" customHeight="1" x14ac:dyDescent="0.25">
      <c r="A148" s="60" t="s">
        <v>246</v>
      </c>
      <c r="B148" s="60" t="s">
        <v>247</v>
      </c>
      <c r="C148" s="34">
        <v>4301135824</v>
      </c>
      <c r="D148" s="351">
        <v>4607111039095</v>
      </c>
      <c r="E148" s="351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111</v>
      </c>
      <c r="L148" s="35" t="s">
        <v>86</v>
      </c>
      <c r="M148" s="36" t="s">
        <v>84</v>
      </c>
      <c r="N148" s="36"/>
      <c r="O148" s="35">
        <v>180</v>
      </c>
      <c r="P148" s="41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353"/>
      <c r="R148" s="353"/>
      <c r="S148" s="353"/>
      <c r="T148" s="354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248</v>
      </c>
      <c r="AG148" s="78"/>
      <c r="AJ148" s="82" t="s">
        <v>87</v>
      </c>
      <c r="AK148" s="82">
        <v>1</v>
      </c>
      <c r="BB148" s="193" t="s">
        <v>110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16.5" customHeight="1" x14ac:dyDescent="0.25">
      <c r="A149" s="60" t="s">
        <v>249</v>
      </c>
      <c r="B149" s="60" t="s">
        <v>250</v>
      </c>
      <c r="C149" s="34">
        <v>4301135550</v>
      </c>
      <c r="D149" s="351">
        <v>4607111034199</v>
      </c>
      <c r="E149" s="351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111</v>
      </c>
      <c r="L149" s="35" t="s">
        <v>112</v>
      </c>
      <c r="M149" s="36" t="s">
        <v>84</v>
      </c>
      <c r="N149" s="36"/>
      <c r="O149" s="35">
        <v>180</v>
      </c>
      <c r="P149" s="41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9" s="353"/>
      <c r="R149" s="353"/>
      <c r="S149" s="353"/>
      <c r="T149" s="354"/>
      <c r="U149" s="37" t="s">
        <v>46</v>
      </c>
      <c r="V149" s="37" t="s">
        <v>46</v>
      </c>
      <c r="W149" s="38" t="s">
        <v>39</v>
      </c>
      <c r="X149" s="56">
        <v>70</v>
      </c>
      <c r="Y149" s="53">
        <f>IFERROR(IF(X149="","",X149),"")</f>
        <v>70</v>
      </c>
      <c r="Z149" s="39">
        <f>IFERROR(IF(X149="","",X149*0.01788),"")</f>
        <v>1.2516</v>
      </c>
      <c r="AA149" s="65" t="s">
        <v>46</v>
      </c>
      <c r="AB149" s="66" t="s">
        <v>46</v>
      </c>
      <c r="AC149" s="194" t="s">
        <v>251</v>
      </c>
      <c r="AG149" s="78"/>
      <c r="AJ149" s="82" t="s">
        <v>113</v>
      </c>
      <c r="AK149" s="82">
        <v>14</v>
      </c>
      <c r="BB149" s="195" t="s">
        <v>110</v>
      </c>
      <c r="BM149" s="78">
        <f>IFERROR(X149*I149,"0")</f>
        <v>259.25200000000001</v>
      </c>
      <c r="BN149" s="78">
        <f>IFERROR(Y149*I149,"0")</f>
        <v>259.25200000000001</v>
      </c>
      <c r="BO149" s="78">
        <f>IFERROR(X149/J149,"0")</f>
        <v>1</v>
      </c>
      <c r="BP149" s="78">
        <f>IFERROR(Y149/J149,"0")</f>
        <v>1</v>
      </c>
    </row>
    <row r="150" spans="1:68" x14ac:dyDescent="0.2">
      <c r="A150" s="363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64"/>
      <c r="P150" s="360" t="s">
        <v>40</v>
      </c>
      <c r="Q150" s="361"/>
      <c r="R150" s="361"/>
      <c r="S150" s="361"/>
      <c r="T150" s="361"/>
      <c r="U150" s="361"/>
      <c r="V150" s="362"/>
      <c r="W150" s="40" t="s">
        <v>39</v>
      </c>
      <c r="X150" s="41">
        <f>IFERROR(SUM(X147:X149),"0")</f>
        <v>70</v>
      </c>
      <c r="Y150" s="41">
        <f>IFERROR(SUM(Y147:Y149),"0")</f>
        <v>70</v>
      </c>
      <c r="Z150" s="41">
        <f>IFERROR(IF(Z147="",0,Z147),"0")+IFERROR(IF(Z148="",0,Z148),"0")+IFERROR(IF(Z149="",0,Z149),"0")</f>
        <v>1.2516</v>
      </c>
      <c r="AA150" s="64"/>
      <c r="AB150" s="64"/>
      <c r="AC150" s="64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64"/>
      <c r="P151" s="360" t="s">
        <v>40</v>
      </c>
      <c r="Q151" s="361"/>
      <c r="R151" s="361"/>
      <c r="S151" s="361"/>
      <c r="T151" s="361"/>
      <c r="U151" s="361"/>
      <c r="V151" s="362"/>
      <c r="W151" s="40" t="s">
        <v>0</v>
      </c>
      <c r="X151" s="41">
        <f>IFERROR(SUMPRODUCT(X147:X149*H147:H149),"0")</f>
        <v>210</v>
      </c>
      <c r="Y151" s="41">
        <f>IFERROR(SUMPRODUCT(Y147:Y149*H147:H149),"0")</f>
        <v>210</v>
      </c>
      <c r="Z151" s="40"/>
      <c r="AA151" s="64"/>
      <c r="AB151" s="64"/>
      <c r="AC151" s="64"/>
    </row>
    <row r="152" spans="1:68" ht="16.5" hidden="1" customHeight="1" x14ac:dyDescent="0.25">
      <c r="A152" s="349" t="s">
        <v>252</v>
      </c>
      <c r="B152" s="349"/>
      <c r="C152" s="349"/>
      <c r="D152" s="349"/>
      <c r="E152" s="349"/>
      <c r="F152" s="349"/>
      <c r="G152" s="349"/>
      <c r="H152" s="349"/>
      <c r="I152" s="349"/>
      <c r="J152" s="349"/>
      <c r="K152" s="349"/>
      <c r="L152" s="349"/>
      <c r="M152" s="349"/>
      <c r="N152" s="349"/>
      <c r="O152" s="349"/>
      <c r="P152" s="349"/>
      <c r="Q152" s="349"/>
      <c r="R152" s="349"/>
      <c r="S152" s="349"/>
      <c r="T152" s="349"/>
      <c r="U152" s="349"/>
      <c r="V152" s="349"/>
      <c r="W152" s="349"/>
      <c r="X152" s="349"/>
      <c r="Y152" s="349"/>
      <c r="Z152" s="349"/>
      <c r="AA152" s="62"/>
      <c r="AB152" s="62"/>
      <c r="AC152" s="62"/>
    </row>
    <row r="153" spans="1:68" ht="14.25" hidden="1" customHeight="1" x14ac:dyDescent="0.25">
      <c r="A153" s="350" t="s">
        <v>150</v>
      </c>
      <c r="B153" s="350"/>
      <c r="C153" s="350"/>
      <c r="D153" s="350"/>
      <c r="E153" s="350"/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0"/>
      <c r="Q153" s="350"/>
      <c r="R153" s="350"/>
      <c r="S153" s="350"/>
      <c r="T153" s="350"/>
      <c r="U153" s="350"/>
      <c r="V153" s="350"/>
      <c r="W153" s="350"/>
      <c r="X153" s="350"/>
      <c r="Y153" s="350"/>
      <c r="Z153" s="350"/>
      <c r="AA153" s="63"/>
      <c r="AB153" s="63"/>
      <c r="AC153" s="63"/>
    </row>
    <row r="154" spans="1:68" ht="27" hidden="1" customHeight="1" x14ac:dyDescent="0.25">
      <c r="A154" s="60" t="s">
        <v>253</v>
      </c>
      <c r="B154" s="60" t="s">
        <v>254</v>
      </c>
      <c r="C154" s="34">
        <v>4301135753</v>
      </c>
      <c r="D154" s="351">
        <v>4620207490914</v>
      </c>
      <c r="E154" s="351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111</v>
      </c>
      <c r="L154" s="35" t="s">
        <v>86</v>
      </c>
      <c r="M154" s="36" t="s">
        <v>84</v>
      </c>
      <c r="N154" s="36"/>
      <c r="O154" s="35">
        <v>180</v>
      </c>
      <c r="P154" s="41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4" s="353"/>
      <c r="R154" s="353"/>
      <c r="S154" s="353"/>
      <c r="T154" s="354"/>
      <c r="U154" s="37" t="s">
        <v>46</v>
      </c>
      <c r="V154" s="37" t="s">
        <v>46</v>
      </c>
      <c r="W154" s="38" t="s">
        <v>39</v>
      </c>
      <c r="X154" s="56">
        <v>0</v>
      </c>
      <c r="Y154" s="53">
        <f>IFERROR(IF(X154="","",X154),"")</f>
        <v>0</v>
      </c>
      <c r="Z154" s="39">
        <f>IFERROR(IF(X154="","",X154*0.01788),"")</f>
        <v>0</v>
      </c>
      <c r="AA154" s="65" t="s">
        <v>46</v>
      </c>
      <c r="AB154" s="66" t="s">
        <v>46</v>
      </c>
      <c r="AC154" s="196" t="s">
        <v>240</v>
      </c>
      <c r="AG154" s="78"/>
      <c r="AJ154" s="82" t="s">
        <v>87</v>
      </c>
      <c r="AK154" s="82">
        <v>1</v>
      </c>
      <c r="BB154" s="197" t="s">
        <v>110</v>
      </c>
      <c r="BM154" s="78">
        <f>IFERROR(X154*I154,"0")</f>
        <v>0</v>
      </c>
      <c r="BN154" s="78">
        <f>IFERROR(Y154*I154,"0")</f>
        <v>0</v>
      </c>
      <c r="BO154" s="78">
        <f>IFERROR(X154/J154,"0")</f>
        <v>0</v>
      </c>
      <c r="BP154" s="78">
        <f>IFERROR(Y154/J154,"0")</f>
        <v>0</v>
      </c>
    </row>
    <row r="155" spans="1:68" ht="27" hidden="1" customHeight="1" x14ac:dyDescent="0.25">
      <c r="A155" s="60" t="s">
        <v>255</v>
      </c>
      <c r="B155" s="60" t="s">
        <v>256</v>
      </c>
      <c r="C155" s="34">
        <v>4301135778</v>
      </c>
      <c r="D155" s="351">
        <v>4620207490853</v>
      </c>
      <c r="E155" s="351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111</v>
      </c>
      <c r="L155" s="35" t="s">
        <v>112</v>
      </c>
      <c r="M155" s="36" t="s">
        <v>84</v>
      </c>
      <c r="N155" s="36"/>
      <c r="O155" s="35">
        <v>180</v>
      </c>
      <c r="P155" s="41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5" s="353"/>
      <c r="R155" s="353"/>
      <c r="S155" s="353"/>
      <c r="T155" s="354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240</v>
      </c>
      <c r="AG155" s="78"/>
      <c r="AJ155" s="82" t="s">
        <v>113</v>
      </c>
      <c r="AK155" s="82">
        <v>14</v>
      </c>
      <c r="BB155" s="199" t="s">
        <v>110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idden="1" x14ac:dyDescent="0.2">
      <c r="A156" s="363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64"/>
      <c r="P156" s="360" t="s">
        <v>40</v>
      </c>
      <c r="Q156" s="361"/>
      <c r="R156" s="361"/>
      <c r="S156" s="361"/>
      <c r="T156" s="361"/>
      <c r="U156" s="361"/>
      <c r="V156" s="362"/>
      <c r="W156" s="40" t="s">
        <v>39</v>
      </c>
      <c r="X156" s="41">
        <f>IFERROR(SUM(X154:X155),"0")</f>
        <v>0</v>
      </c>
      <c r="Y156" s="41">
        <f>IFERROR(SUM(Y154:Y155),"0")</f>
        <v>0</v>
      </c>
      <c r="Z156" s="41">
        <f>IFERROR(IF(Z154="",0,Z154),"0")+IFERROR(IF(Z155="",0,Z155),"0")</f>
        <v>0</v>
      </c>
      <c r="AA156" s="64"/>
      <c r="AB156" s="64"/>
      <c r="AC156" s="64"/>
    </row>
    <row r="157" spans="1:68" hidden="1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64"/>
      <c r="P157" s="360" t="s">
        <v>40</v>
      </c>
      <c r="Q157" s="361"/>
      <c r="R157" s="361"/>
      <c r="S157" s="361"/>
      <c r="T157" s="361"/>
      <c r="U157" s="361"/>
      <c r="V157" s="362"/>
      <c r="W157" s="40" t="s">
        <v>0</v>
      </c>
      <c r="X157" s="41">
        <f>IFERROR(SUMPRODUCT(X154:X155*H154:H155),"0")</f>
        <v>0</v>
      </c>
      <c r="Y157" s="41">
        <f>IFERROR(SUMPRODUCT(Y154:Y155*H154:H155),"0")</f>
        <v>0</v>
      </c>
      <c r="Z157" s="40"/>
      <c r="AA157" s="64"/>
      <c r="AB157" s="64"/>
      <c r="AC157" s="64"/>
    </row>
    <row r="158" spans="1:68" ht="16.5" hidden="1" customHeight="1" x14ac:dyDescent="0.25">
      <c r="A158" s="349" t="s">
        <v>257</v>
      </c>
      <c r="B158" s="349"/>
      <c r="C158" s="349"/>
      <c r="D158" s="349"/>
      <c r="E158" s="349"/>
      <c r="F158" s="349"/>
      <c r="G158" s="349"/>
      <c r="H158" s="349"/>
      <c r="I158" s="349"/>
      <c r="J158" s="349"/>
      <c r="K158" s="349"/>
      <c r="L158" s="349"/>
      <c r="M158" s="349"/>
      <c r="N158" s="349"/>
      <c r="O158" s="349"/>
      <c r="P158" s="349"/>
      <c r="Q158" s="349"/>
      <c r="R158" s="349"/>
      <c r="S158" s="349"/>
      <c r="T158" s="349"/>
      <c r="U158" s="349"/>
      <c r="V158" s="349"/>
      <c r="W158" s="349"/>
      <c r="X158" s="349"/>
      <c r="Y158" s="349"/>
      <c r="Z158" s="349"/>
      <c r="AA158" s="62"/>
      <c r="AB158" s="62"/>
      <c r="AC158" s="62"/>
    </row>
    <row r="159" spans="1:68" ht="14.25" hidden="1" customHeight="1" x14ac:dyDescent="0.25">
      <c r="A159" s="350" t="s">
        <v>150</v>
      </c>
      <c r="B159" s="350"/>
      <c r="C159" s="350"/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0"/>
      <c r="Q159" s="350"/>
      <c r="R159" s="350"/>
      <c r="S159" s="350"/>
      <c r="T159" s="350"/>
      <c r="U159" s="350"/>
      <c r="V159" s="350"/>
      <c r="W159" s="350"/>
      <c r="X159" s="350"/>
      <c r="Y159" s="350"/>
      <c r="Z159" s="350"/>
      <c r="AA159" s="63"/>
      <c r="AB159" s="63"/>
      <c r="AC159" s="63"/>
    </row>
    <row r="160" spans="1:68" ht="27" hidden="1" customHeight="1" x14ac:dyDescent="0.25">
      <c r="A160" s="60" t="s">
        <v>258</v>
      </c>
      <c r="B160" s="60" t="s">
        <v>259</v>
      </c>
      <c r="C160" s="34">
        <v>4301135570</v>
      </c>
      <c r="D160" s="351">
        <v>4607111035806</v>
      </c>
      <c r="E160" s="351"/>
      <c r="F160" s="59">
        <v>0.25</v>
      </c>
      <c r="G160" s="35">
        <v>12</v>
      </c>
      <c r="H160" s="59">
        <v>3</v>
      </c>
      <c r="I160" s="59">
        <v>3.7035999999999998</v>
      </c>
      <c r="J160" s="35">
        <v>70</v>
      </c>
      <c r="K160" s="35" t="s">
        <v>111</v>
      </c>
      <c r="L160" s="35" t="s">
        <v>112</v>
      </c>
      <c r="M160" s="36" t="s">
        <v>84</v>
      </c>
      <c r="N160" s="36"/>
      <c r="O160" s="35">
        <v>180</v>
      </c>
      <c r="P160" s="41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0" s="353"/>
      <c r="R160" s="353"/>
      <c r="S160" s="353"/>
      <c r="T160" s="354"/>
      <c r="U160" s="37" t="s">
        <v>46</v>
      </c>
      <c r="V160" s="37" t="s">
        <v>46</v>
      </c>
      <c r="W160" s="38" t="s">
        <v>39</v>
      </c>
      <c r="X160" s="56">
        <v>0</v>
      </c>
      <c r="Y160" s="53">
        <f>IFERROR(IF(X160="","",X160),"")</f>
        <v>0</v>
      </c>
      <c r="Z160" s="39">
        <f>IFERROR(IF(X160="","",X160*0.01788),"")</f>
        <v>0</v>
      </c>
      <c r="AA160" s="65" t="s">
        <v>46</v>
      </c>
      <c r="AB160" s="66" t="s">
        <v>46</v>
      </c>
      <c r="AC160" s="200" t="s">
        <v>260</v>
      </c>
      <c r="AG160" s="78"/>
      <c r="AJ160" s="82" t="s">
        <v>113</v>
      </c>
      <c r="AK160" s="82">
        <v>14</v>
      </c>
      <c r="BB160" s="201" t="s">
        <v>110</v>
      </c>
      <c r="BM160" s="78">
        <f>IFERROR(X160*I160,"0")</f>
        <v>0</v>
      </c>
      <c r="BN160" s="78">
        <f>IFERROR(Y160*I160,"0")</f>
        <v>0</v>
      </c>
      <c r="BO160" s="78">
        <f>IFERROR(X160/J160,"0")</f>
        <v>0</v>
      </c>
      <c r="BP160" s="78">
        <f>IFERROR(Y160/J160,"0")</f>
        <v>0</v>
      </c>
    </row>
    <row r="161" spans="1:68" hidden="1" x14ac:dyDescent="0.2">
      <c r="A161" s="363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64"/>
      <c r="P161" s="360" t="s">
        <v>40</v>
      </c>
      <c r="Q161" s="361"/>
      <c r="R161" s="361"/>
      <c r="S161" s="361"/>
      <c r="T161" s="361"/>
      <c r="U161" s="361"/>
      <c r="V161" s="362"/>
      <c r="W161" s="40" t="s">
        <v>39</v>
      </c>
      <c r="X161" s="41">
        <f>IFERROR(SUM(X160:X160),"0")</f>
        <v>0</v>
      </c>
      <c r="Y161" s="41">
        <f>IFERROR(SUM(Y160:Y160),"0")</f>
        <v>0</v>
      </c>
      <c r="Z161" s="41">
        <f>IFERROR(IF(Z160="",0,Z160),"0")</f>
        <v>0</v>
      </c>
      <c r="AA161" s="64"/>
      <c r="AB161" s="64"/>
      <c r="AC161" s="64"/>
    </row>
    <row r="162" spans="1:68" hidden="1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64"/>
      <c r="P162" s="360" t="s">
        <v>40</v>
      </c>
      <c r="Q162" s="361"/>
      <c r="R162" s="361"/>
      <c r="S162" s="361"/>
      <c r="T162" s="361"/>
      <c r="U162" s="361"/>
      <c r="V162" s="362"/>
      <c r="W162" s="40" t="s">
        <v>0</v>
      </c>
      <c r="X162" s="41">
        <f>IFERROR(SUMPRODUCT(X160:X160*H160:H160),"0")</f>
        <v>0</v>
      </c>
      <c r="Y162" s="41">
        <f>IFERROR(SUMPRODUCT(Y160:Y160*H160:H160),"0")</f>
        <v>0</v>
      </c>
      <c r="Z162" s="40"/>
      <c r="AA162" s="64"/>
      <c r="AB162" s="64"/>
      <c r="AC162" s="64"/>
    </row>
    <row r="163" spans="1:68" ht="16.5" hidden="1" customHeight="1" x14ac:dyDescent="0.25">
      <c r="A163" s="349" t="s">
        <v>261</v>
      </c>
      <c r="B163" s="349"/>
      <c r="C163" s="349"/>
      <c r="D163" s="349"/>
      <c r="E163" s="349"/>
      <c r="F163" s="349"/>
      <c r="G163" s="349"/>
      <c r="H163" s="349"/>
      <c r="I163" s="349"/>
      <c r="J163" s="349"/>
      <c r="K163" s="349"/>
      <c r="L163" s="349"/>
      <c r="M163" s="349"/>
      <c r="N163" s="349"/>
      <c r="O163" s="349"/>
      <c r="P163" s="349"/>
      <c r="Q163" s="349"/>
      <c r="R163" s="349"/>
      <c r="S163" s="349"/>
      <c r="T163" s="349"/>
      <c r="U163" s="349"/>
      <c r="V163" s="349"/>
      <c r="W163" s="349"/>
      <c r="X163" s="349"/>
      <c r="Y163" s="349"/>
      <c r="Z163" s="349"/>
      <c r="AA163" s="62"/>
      <c r="AB163" s="62"/>
      <c r="AC163" s="62"/>
    </row>
    <row r="164" spans="1:68" ht="14.25" hidden="1" customHeight="1" x14ac:dyDescent="0.25">
      <c r="A164" s="350" t="s">
        <v>150</v>
      </c>
      <c r="B164" s="350"/>
      <c r="C164" s="350"/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0"/>
      <c r="Q164" s="350"/>
      <c r="R164" s="350"/>
      <c r="S164" s="350"/>
      <c r="T164" s="350"/>
      <c r="U164" s="350"/>
      <c r="V164" s="350"/>
      <c r="W164" s="350"/>
      <c r="X164" s="350"/>
      <c r="Y164" s="350"/>
      <c r="Z164" s="350"/>
      <c r="AA164" s="63"/>
      <c r="AB164" s="63"/>
      <c r="AC164" s="63"/>
    </row>
    <row r="165" spans="1:68" ht="16.5" hidden="1" customHeight="1" x14ac:dyDescent="0.25">
      <c r="A165" s="60" t="s">
        <v>262</v>
      </c>
      <c r="B165" s="60" t="s">
        <v>263</v>
      </c>
      <c r="C165" s="34">
        <v>4301135607</v>
      </c>
      <c r="D165" s="351">
        <v>4607111039613</v>
      </c>
      <c r="E165" s="351"/>
      <c r="F165" s="59">
        <v>0.09</v>
      </c>
      <c r="G165" s="35">
        <v>30</v>
      </c>
      <c r="H165" s="59">
        <v>2.7</v>
      </c>
      <c r="I165" s="59">
        <v>3.09</v>
      </c>
      <c r="J165" s="35">
        <v>126</v>
      </c>
      <c r="K165" s="35" t="s">
        <v>111</v>
      </c>
      <c r="L165" s="35" t="s">
        <v>112</v>
      </c>
      <c r="M165" s="36" t="s">
        <v>84</v>
      </c>
      <c r="N165" s="36"/>
      <c r="O165" s="35">
        <v>180</v>
      </c>
      <c r="P165" s="41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5" s="353"/>
      <c r="R165" s="353"/>
      <c r="S165" s="353"/>
      <c r="T165" s="354"/>
      <c r="U165" s="37" t="s">
        <v>46</v>
      </c>
      <c r="V165" s="37" t="s">
        <v>46</v>
      </c>
      <c r="W165" s="38" t="s">
        <v>39</v>
      </c>
      <c r="X165" s="56">
        <v>0</v>
      </c>
      <c r="Y165" s="53">
        <f>IFERROR(IF(X165="","",X165),"")</f>
        <v>0</v>
      </c>
      <c r="Z165" s="39">
        <f>IFERROR(IF(X165="","",X165*0.00936),"")</f>
        <v>0</v>
      </c>
      <c r="AA165" s="65" t="s">
        <v>46</v>
      </c>
      <c r="AB165" s="66" t="s">
        <v>46</v>
      </c>
      <c r="AC165" s="202" t="s">
        <v>248</v>
      </c>
      <c r="AG165" s="78"/>
      <c r="AJ165" s="82" t="s">
        <v>113</v>
      </c>
      <c r="AK165" s="82">
        <v>14</v>
      </c>
      <c r="BB165" s="203" t="s">
        <v>110</v>
      </c>
      <c r="BM165" s="78">
        <f>IFERROR(X165*I165,"0")</f>
        <v>0</v>
      </c>
      <c r="BN165" s="78">
        <f>IFERROR(Y165*I165,"0")</f>
        <v>0</v>
      </c>
      <c r="BO165" s="78">
        <f>IFERROR(X165/J165,"0")</f>
        <v>0</v>
      </c>
      <c r="BP165" s="78">
        <f>IFERROR(Y165/J165,"0")</f>
        <v>0</v>
      </c>
    </row>
    <row r="166" spans="1:68" hidden="1" x14ac:dyDescent="0.2">
      <c r="A166" s="363"/>
      <c r="B166" s="363"/>
      <c r="C166" s="363"/>
      <c r="D166" s="363"/>
      <c r="E166" s="363"/>
      <c r="F166" s="363"/>
      <c r="G166" s="363"/>
      <c r="H166" s="363"/>
      <c r="I166" s="363"/>
      <c r="J166" s="363"/>
      <c r="K166" s="363"/>
      <c r="L166" s="363"/>
      <c r="M166" s="363"/>
      <c r="N166" s="363"/>
      <c r="O166" s="364"/>
      <c r="P166" s="360" t="s">
        <v>40</v>
      </c>
      <c r="Q166" s="361"/>
      <c r="R166" s="361"/>
      <c r="S166" s="361"/>
      <c r="T166" s="361"/>
      <c r="U166" s="361"/>
      <c r="V166" s="362"/>
      <c r="W166" s="40" t="s">
        <v>39</v>
      </c>
      <c r="X166" s="41">
        <f>IFERROR(SUM(X165:X165),"0")</f>
        <v>0</v>
      </c>
      <c r="Y166" s="41">
        <f>IFERROR(SUM(Y165:Y165),"0")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363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64"/>
      <c r="P167" s="360" t="s">
        <v>40</v>
      </c>
      <c r="Q167" s="361"/>
      <c r="R167" s="361"/>
      <c r="S167" s="361"/>
      <c r="T167" s="361"/>
      <c r="U167" s="361"/>
      <c r="V167" s="362"/>
      <c r="W167" s="40" t="s">
        <v>0</v>
      </c>
      <c r="X167" s="41">
        <f>IFERROR(SUMPRODUCT(X165:X165*H165:H165),"0")</f>
        <v>0</v>
      </c>
      <c r="Y167" s="41">
        <f>IFERROR(SUMPRODUCT(Y165:Y165*H165:H165),"0")</f>
        <v>0</v>
      </c>
      <c r="Z167" s="40"/>
      <c r="AA167" s="64"/>
      <c r="AB167" s="64"/>
      <c r="AC167" s="64"/>
    </row>
    <row r="168" spans="1:68" ht="16.5" hidden="1" customHeight="1" x14ac:dyDescent="0.25">
      <c r="A168" s="349" t="s">
        <v>264</v>
      </c>
      <c r="B168" s="349"/>
      <c r="C168" s="349"/>
      <c r="D168" s="349"/>
      <c r="E168" s="349"/>
      <c r="F168" s="349"/>
      <c r="G168" s="349"/>
      <c r="H168" s="349"/>
      <c r="I168" s="349"/>
      <c r="J168" s="349"/>
      <c r="K168" s="349"/>
      <c r="L168" s="349"/>
      <c r="M168" s="349"/>
      <c r="N168" s="349"/>
      <c r="O168" s="349"/>
      <c r="P168" s="349"/>
      <c r="Q168" s="349"/>
      <c r="R168" s="349"/>
      <c r="S168" s="349"/>
      <c r="T168" s="349"/>
      <c r="U168" s="349"/>
      <c r="V168" s="349"/>
      <c r="W168" s="349"/>
      <c r="X168" s="349"/>
      <c r="Y168" s="349"/>
      <c r="Z168" s="349"/>
      <c r="AA168" s="62"/>
      <c r="AB168" s="62"/>
      <c r="AC168" s="62"/>
    </row>
    <row r="169" spans="1:68" ht="14.25" hidden="1" customHeight="1" x14ac:dyDescent="0.25">
      <c r="A169" s="350" t="s">
        <v>150</v>
      </c>
      <c r="B169" s="350"/>
      <c r="C169" s="350"/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0"/>
      <c r="Q169" s="350"/>
      <c r="R169" s="350"/>
      <c r="S169" s="350"/>
      <c r="T169" s="350"/>
      <c r="U169" s="350"/>
      <c r="V169" s="350"/>
      <c r="W169" s="350"/>
      <c r="X169" s="350"/>
      <c r="Y169" s="350"/>
      <c r="Z169" s="350"/>
      <c r="AA169" s="63"/>
      <c r="AB169" s="63"/>
      <c r="AC169" s="63"/>
    </row>
    <row r="170" spans="1:68" ht="27" hidden="1" customHeight="1" x14ac:dyDescent="0.25">
      <c r="A170" s="60" t="s">
        <v>265</v>
      </c>
      <c r="B170" s="60" t="s">
        <v>266</v>
      </c>
      <c r="C170" s="34">
        <v>4301135591</v>
      </c>
      <c r="D170" s="351">
        <v>4607111036568</v>
      </c>
      <c r="E170" s="351"/>
      <c r="F170" s="59">
        <v>0.28000000000000003</v>
      </c>
      <c r="G170" s="35">
        <v>6</v>
      </c>
      <c r="H170" s="59">
        <v>1.68</v>
      </c>
      <c r="I170" s="59">
        <v>2.1017999999999999</v>
      </c>
      <c r="J170" s="35">
        <v>140</v>
      </c>
      <c r="K170" s="35" t="s">
        <v>111</v>
      </c>
      <c r="L170" s="35" t="s">
        <v>112</v>
      </c>
      <c r="M170" s="36" t="s">
        <v>84</v>
      </c>
      <c r="N170" s="36"/>
      <c r="O170" s="35">
        <v>180</v>
      </c>
      <c r="P170" s="41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0" s="353"/>
      <c r="R170" s="353"/>
      <c r="S170" s="353"/>
      <c r="T170" s="354"/>
      <c r="U170" s="37" t="s">
        <v>46</v>
      </c>
      <c r="V170" s="37" t="s">
        <v>46</v>
      </c>
      <c r="W170" s="38" t="s">
        <v>39</v>
      </c>
      <c r="X170" s="56">
        <v>0</v>
      </c>
      <c r="Y170" s="53">
        <f>IFERROR(IF(X170="","",X170),"")</f>
        <v>0</v>
      </c>
      <c r="Z170" s="39">
        <f>IFERROR(IF(X170="","",X170*0.00941),"")</f>
        <v>0</v>
      </c>
      <c r="AA170" s="65" t="s">
        <v>46</v>
      </c>
      <c r="AB170" s="66" t="s">
        <v>46</v>
      </c>
      <c r="AC170" s="204" t="s">
        <v>267</v>
      </c>
      <c r="AG170" s="78"/>
      <c r="AJ170" s="82" t="s">
        <v>113</v>
      </c>
      <c r="AK170" s="82">
        <v>14</v>
      </c>
      <c r="BB170" s="205" t="s">
        <v>110</v>
      </c>
      <c r="BM170" s="78">
        <f>IFERROR(X170*I170,"0")</f>
        <v>0</v>
      </c>
      <c r="BN170" s="78">
        <f>IFERROR(Y170*I170,"0")</f>
        <v>0</v>
      </c>
      <c r="BO170" s="78">
        <f>IFERROR(X170/J170,"0")</f>
        <v>0</v>
      </c>
      <c r="BP170" s="78">
        <f>IFERROR(Y170/J170,"0")</f>
        <v>0</v>
      </c>
    </row>
    <row r="171" spans="1:68" hidden="1" x14ac:dyDescent="0.2">
      <c r="A171" s="363"/>
      <c r="B171" s="363"/>
      <c r="C171" s="363"/>
      <c r="D171" s="363"/>
      <c r="E171" s="363"/>
      <c r="F171" s="363"/>
      <c r="G171" s="363"/>
      <c r="H171" s="363"/>
      <c r="I171" s="363"/>
      <c r="J171" s="363"/>
      <c r="K171" s="363"/>
      <c r="L171" s="363"/>
      <c r="M171" s="363"/>
      <c r="N171" s="363"/>
      <c r="O171" s="364"/>
      <c r="P171" s="360" t="s">
        <v>40</v>
      </c>
      <c r="Q171" s="361"/>
      <c r="R171" s="361"/>
      <c r="S171" s="361"/>
      <c r="T171" s="361"/>
      <c r="U171" s="361"/>
      <c r="V171" s="362"/>
      <c r="W171" s="40" t="s">
        <v>39</v>
      </c>
      <c r="X171" s="41">
        <f>IFERROR(SUM(X170:X170),"0")</f>
        <v>0</v>
      </c>
      <c r="Y171" s="41">
        <f>IFERROR(SUM(Y170:Y170),"0")</f>
        <v>0</v>
      </c>
      <c r="Z171" s="41">
        <f>IFERROR(IF(Z170="",0,Z170),"0")</f>
        <v>0</v>
      </c>
      <c r="AA171" s="64"/>
      <c r="AB171" s="64"/>
      <c r="AC171" s="64"/>
    </row>
    <row r="172" spans="1:68" hidden="1" x14ac:dyDescent="0.2">
      <c r="A172" s="363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64"/>
      <c r="P172" s="360" t="s">
        <v>40</v>
      </c>
      <c r="Q172" s="361"/>
      <c r="R172" s="361"/>
      <c r="S172" s="361"/>
      <c r="T172" s="361"/>
      <c r="U172" s="361"/>
      <c r="V172" s="362"/>
      <c r="W172" s="40" t="s">
        <v>0</v>
      </c>
      <c r="X172" s="41">
        <f>IFERROR(SUMPRODUCT(X170:X170*H170:H170),"0")</f>
        <v>0</v>
      </c>
      <c r="Y172" s="41">
        <f>IFERROR(SUMPRODUCT(Y170:Y170*H170:H170),"0")</f>
        <v>0</v>
      </c>
      <c r="Z172" s="40"/>
      <c r="AA172" s="64"/>
      <c r="AB172" s="64"/>
      <c r="AC172" s="64"/>
    </row>
    <row r="173" spans="1:68" ht="27.75" hidden="1" customHeight="1" x14ac:dyDescent="0.2">
      <c r="A173" s="348" t="s">
        <v>268</v>
      </c>
      <c r="B173" s="348"/>
      <c r="C173" s="348"/>
      <c r="D173" s="348"/>
      <c r="E173" s="348"/>
      <c r="F173" s="348"/>
      <c r="G173" s="348"/>
      <c r="H173" s="348"/>
      <c r="I173" s="348"/>
      <c r="J173" s="348"/>
      <c r="K173" s="348"/>
      <c r="L173" s="348"/>
      <c r="M173" s="348"/>
      <c r="N173" s="348"/>
      <c r="O173" s="348"/>
      <c r="P173" s="348"/>
      <c r="Q173" s="348"/>
      <c r="R173" s="348"/>
      <c r="S173" s="348"/>
      <c r="T173" s="348"/>
      <c r="U173" s="348"/>
      <c r="V173" s="348"/>
      <c r="W173" s="348"/>
      <c r="X173" s="348"/>
      <c r="Y173" s="348"/>
      <c r="Z173" s="348"/>
      <c r="AA173" s="52"/>
      <c r="AB173" s="52"/>
      <c r="AC173" s="52"/>
    </row>
    <row r="174" spans="1:68" ht="16.5" hidden="1" customHeight="1" x14ac:dyDescent="0.25">
      <c r="A174" s="349" t="s">
        <v>269</v>
      </c>
      <c r="B174" s="349"/>
      <c r="C174" s="349"/>
      <c r="D174" s="349"/>
      <c r="E174" s="349"/>
      <c r="F174" s="349"/>
      <c r="G174" s="349"/>
      <c r="H174" s="349"/>
      <c r="I174" s="349"/>
      <c r="J174" s="349"/>
      <c r="K174" s="349"/>
      <c r="L174" s="349"/>
      <c r="M174" s="349"/>
      <c r="N174" s="349"/>
      <c r="O174" s="349"/>
      <c r="P174" s="349"/>
      <c r="Q174" s="349"/>
      <c r="R174" s="349"/>
      <c r="S174" s="349"/>
      <c r="T174" s="349"/>
      <c r="U174" s="349"/>
      <c r="V174" s="349"/>
      <c r="W174" s="349"/>
      <c r="X174" s="349"/>
      <c r="Y174" s="349"/>
      <c r="Z174" s="349"/>
      <c r="AA174" s="62"/>
      <c r="AB174" s="62"/>
      <c r="AC174" s="62"/>
    </row>
    <row r="175" spans="1:68" ht="14.25" hidden="1" customHeight="1" x14ac:dyDescent="0.25">
      <c r="A175" s="350" t="s">
        <v>80</v>
      </c>
      <c r="B175" s="350"/>
      <c r="C175" s="350"/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0"/>
      <c r="Q175" s="350"/>
      <c r="R175" s="350"/>
      <c r="S175" s="350"/>
      <c r="T175" s="350"/>
      <c r="U175" s="350"/>
      <c r="V175" s="350"/>
      <c r="W175" s="350"/>
      <c r="X175" s="350"/>
      <c r="Y175" s="350"/>
      <c r="Z175" s="350"/>
      <c r="AA175" s="63"/>
      <c r="AB175" s="63"/>
      <c r="AC175" s="63"/>
    </row>
    <row r="176" spans="1:68" ht="16.5" hidden="1" customHeight="1" x14ac:dyDescent="0.25">
      <c r="A176" s="60" t="s">
        <v>270</v>
      </c>
      <c r="B176" s="60" t="s">
        <v>271</v>
      </c>
      <c r="C176" s="34">
        <v>4301071062</v>
      </c>
      <c r="D176" s="351">
        <v>4607111036384</v>
      </c>
      <c r="E176" s="351"/>
      <c r="F176" s="59">
        <v>5</v>
      </c>
      <c r="G176" s="35">
        <v>1</v>
      </c>
      <c r="H176" s="59">
        <v>5</v>
      </c>
      <c r="I176" s="59">
        <v>5.2106000000000003</v>
      </c>
      <c r="J176" s="35">
        <v>144</v>
      </c>
      <c r="K176" s="35" t="s">
        <v>85</v>
      </c>
      <c r="L176" s="35" t="s">
        <v>86</v>
      </c>
      <c r="M176" s="36" t="s">
        <v>84</v>
      </c>
      <c r="N176" s="36"/>
      <c r="O176" s="35">
        <v>180</v>
      </c>
      <c r="P176" s="42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6" s="353"/>
      <c r="R176" s="353"/>
      <c r="S176" s="353"/>
      <c r="T176" s="354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IFERROR(IF(X176="","",X176*0.00866),"")</f>
        <v>0</v>
      </c>
      <c r="AA176" s="65" t="s">
        <v>46</v>
      </c>
      <c r="AB176" s="66" t="s">
        <v>46</v>
      </c>
      <c r="AC176" s="206" t="s">
        <v>272</v>
      </c>
      <c r="AG176" s="78"/>
      <c r="AJ176" s="82" t="s">
        <v>87</v>
      </c>
      <c r="AK176" s="82">
        <v>1</v>
      </c>
      <c r="BB176" s="207" t="s">
        <v>70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t="27" hidden="1" customHeight="1" x14ac:dyDescent="0.25">
      <c r="A177" s="60" t="s">
        <v>273</v>
      </c>
      <c r="B177" s="60" t="s">
        <v>274</v>
      </c>
      <c r="C177" s="34">
        <v>4301071050</v>
      </c>
      <c r="D177" s="351">
        <v>4607111036216</v>
      </c>
      <c r="E177" s="351"/>
      <c r="F177" s="59">
        <v>5</v>
      </c>
      <c r="G177" s="35">
        <v>1</v>
      </c>
      <c r="H177" s="59">
        <v>5</v>
      </c>
      <c r="I177" s="59">
        <v>5.2131999999999996</v>
      </c>
      <c r="J177" s="35">
        <v>144</v>
      </c>
      <c r="K177" s="35" t="s">
        <v>85</v>
      </c>
      <c r="L177" s="35" t="s">
        <v>112</v>
      </c>
      <c r="M177" s="36" t="s">
        <v>84</v>
      </c>
      <c r="N177" s="36"/>
      <c r="O177" s="35">
        <v>180</v>
      </c>
      <c r="P177" s="42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7" s="353"/>
      <c r="R177" s="353"/>
      <c r="S177" s="353"/>
      <c r="T177" s="354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275</v>
      </c>
      <c r="AG177" s="78"/>
      <c r="AJ177" s="82" t="s">
        <v>113</v>
      </c>
      <c r="AK177" s="82">
        <v>12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idden="1" x14ac:dyDescent="0.2">
      <c r="A178" s="363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64"/>
      <c r="P178" s="360" t="s">
        <v>40</v>
      </c>
      <c r="Q178" s="361"/>
      <c r="R178" s="361"/>
      <c r="S178" s="361"/>
      <c r="T178" s="361"/>
      <c r="U178" s="361"/>
      <c r="V178" s="362"/>
      <c r="W178" s="40" t="s">
        <v>39</v>
      </c>
      <c r="X178" s="41">
        <f>IFERROR(SUM(X176:X177),"0")</f>
        <v>0</v>
      </c>
      <c r="Y178" s="41">
        <f>IFERROR(SUM(Y176:Y177),"0")</f>
        <v>0</v>
      </c>
      <c r="Z178" s="41">
        <f>IFERROR(IF(Z176="",0,Z176),"0")+IFERROR(IF(Z177="",0,Z177),"0")</f>
        <v>0</v>
      </c>
      <c r="AA178" s="64"/>
      <c r="AB178" s="64"/>
      <c r="AC178" s="64"/>
    </row>
    <row r="179" spans="1:68" hidden="1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64"/>
      <c r="P179" s="360" t="s">
        <v>40</v>
      </c>
      <c r="Q179" s="361"/>
      <c r="R179" s="361"/>
      <c r="S179" s="361"/>
      <c r="T179" s="361"/>
      <c r="U179" s="361"/>
      <c r="V179" s="362"/>
      <c r="W179" s="40" t="s">
        <v>0</v>
      </c>
      <c r="X179" s="41">
        <f>IFERROR(SUMPRODUCT(X176:X177*H176:H177),"0")</f>
        <v>0</v>
      </c>
      <c r="Y179" s="41">
        <f>IFERROR(SUMPRODUCT(Y176:Y177*H176:H177),"0")</f>
        <v>0</v>
      </c>
      <c r="Z179" s="40"/>
      <c r="AA179" s="64"/>
      <c r="AB179" s="64"/>
      <c r="AC179" s="64"/>
    </row>
    <row r="180" spans="1:68" ht="14.25" hidden="1" customHeight="1" x14ac:dyDescent="0.25">
      <c r="A180" s="350" t="s">
        <v>276</v>
      </c>
      <c r="B180" s="350"/>
      <c r="C180" s="350"/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0"/>
      <c r="Q180" s="350"/>
      <c r="R180" s="350"/>
      <c r="S180" s="350"/>
      <c r="T180" s="350"/>
      <c r="U180" s="350"/>
      <c r="V180" s="350"/>
      <c r="W180" s="350"/>
      <c r="X180" s="350"/>
      <c r="Y180" s="350"/>
      <c r="Z180" s="350"/>
      <c r="AA180" s="63"/>
      <c r="AB180" s="63"/>
      <c r="AC180" s="63"/>
    </row>
    <row r="181" spans="1:68" ht="27" hidden="1" customHeight="1" x14ac:dyDescent="0.25">
      <c r="A181" s="60" t="s">
        <v>277</v>
      </c>
      <c r="B181" s="60" t="s">
        <v>278</v>
      </c>
      <c r="C181" s="34">
        <v>4301080153</v>
      </c>
      <c r="D181" s="351">
        <v>4607111036827</v>
      </c>
      <c r="E181" s="351"/>
      <c r="F181" s="59">
        <v>1</v>
      </c>
      <c r="G181" s="35">
        <v>5</v>
      </c>
      <c r="H181" s="59">
        <v>5</v>
      </c>
      <c r="I181" s="59">
        <v>5.2</v>
      </c>
      <c r="J181" s="35">
        <v>144</v>
      </c>
      <c r="K181" s="35" t="s">
        <v>85</v>
      </c>
      <c r="L181" s="35" t="s">
        <v>86</v>
      </c>
      <c r="M181" s="36" t="s">
        <v>84</v>
      </c>
      <c r="N181" s="36"/>
      <c r="O181" s="35">
        <v>90</v>
      </c>
      <c r="P181" s="42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1" s="353"/>
      <c r="R181" s="353"/>
      <c r="S181" s="353"/>
      <c r="T181" s="354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10" t="s">
        <v>279</v>
      </c>
      <c r="AG181" s="78"/>
      <c r="AJ181" s="82" t="s">
        <v>87</v>
      </c>
      <c r="AK181" s="82">
        <v>1</v>
      </c>
      <c r="BB181" s="211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27" hidden="1" customHeight="1" x14ac:dyDescent="0.25">
      <c r="A182" s="60" t="s">
        <v>280</v>
      </c>
      <c r="B182" s="60" t="s">
        <v>281</v>
      </c>
      <c r="C182" s="34">
        <v>4301080154</v>
      </c>
      <c r="D182" s="351">
        <v>4607111036834</v>
      </c>
      <c r="E182" s="351"/>
      <c r="F182" s="59">
        <v>1</v>
      </c>
      <c r="G182" s="35">
        <v>5</v>
      </c>
      <c r="H182" s="59">
        <v>5</v>
      </c>
      <c r="I182" s="59">
        <v>5.2530000000000001</v>
      </c>
      <c r="J182" s="35">
        <v>144</v>
      </c>
      <c r="K182" s="35" t="s">
        <v>85</v>
      </c>
      <c r="L182" s="35" t="s">
        <v>86</v>
      </c>
      <c r="M182" s="36" t="s">
        <v>84</v>
      </c>
      <c r="N182" s="36"/>
      <c r="O182" s="35">
        <v>90</v>
      </c>
      <c r="P182" s="423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2" s="353"/>
      <c r="R182" s="353"/>
      <c r="S182" s="353"/>
      <c r="T182" s="354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279</v>
      </c>
      <c r="AG182" s="78"/>
      <c r="AJ182" s="82" t="s">
        <v>87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hidden="1" x14ac:dyDescent="0.2">
      <c r="A183" s="363"/>
      <c r="B183" s="363"/>
      <c r="C183" s="363"/>
      <c r="D183" s="363"/>
      <c r="E183" s="363"/>
      <c r="F183" s="363"/>
      <c r="G183" s="363"/>
      <c r="H183" s="363"/>
      <c r="I183" s="363"/>
      <c r="J183" s="363"/>
      <c r="K183" s="363"/>
      <c r="L183" s="363"/>
      <c r="M183" s="363"/>
      <c r="N183" s="363"/>
      <c r="O183" s="364"/>
      <c r="P183" s="360" t="s">
        <v>40</v>
      </c>
      <c r="Q183" s="361"/>
      <c r="R183" s="361"/>
      <c r="S183" s="361"/>
      <c r="T183" s="361"/>
      <c r="U183" s="361"/>
      <c r="V183" s="362"/>
      <c r="W183" s="40" t="s">
        <v>39</v>
      </c>
      <c r="X183" s="41">
        <f>IFERROR(SUM(X181:X182),"0")</f>
        <v>0</v>
      </c>
      <c r="Y183" s="41">
        <f>IFERROR(SUM(Y181:Y182),"0")</f>
        <v>0</v>
      </c>
      <c r="Z183" s="41">
        <f>IFERROR(IF(Z181="",0,Z181),"0")+IFERROR(IF(Z182="",0,Z182),"0")</f>
        <v>0</v>
      </c>
      <c r="AA183" s="64"/>
      <c r="AB183" s="64"/>
      <c r="AC183" s="64"/>
    </row>
    <row r="184" spans="1:68" hidden="1" x14ac:dyDescent="0.2">
      <c r="A184" s="363"/>
      <c r="B184" s="363"/>
      <c r="C184" s="363"/>
      <c r="D184" s="363"/>
      <c r="E184" s="363"/>
      <c r="F184" s="363"/>
      <c r="G184" s="363"/>
      <c r="H184" s="363"/>
      <c r="I184" s="363"/>
      <c r="J184" s="363"/>
      <c r="K184" s="363"/>
      <c r="L184" s="363"/>
      <c r="M184" s="363"/>
      <c r="N184" s="363"/>
      <c r="O184" s="364"/>
      <c r="P184" s="360" t="s">
        <v>40</v>
      </c>
      <c r="Q184" s="361"/>
      <c r="R184" s="361"/>
      <c r="S184" s="361"/>
      <c r="T184" s="361"/>
      <c r="U184" s="361"/>
      <c r="V184" s="362"/>
      <c r="W184" s="40" t="s">
        <v>0</v>
      </c>
      <c r="X184" s="41">
        <f>IFERROR(SUMPRODUCT(X181:X182*H181:H182),"0")</f>
        <v>0</v>
      </c>
      <c r="Y184" s="41">
        <f>IFERROR(SUMPRODUCT(Y181:Y182*H181:H182),"0")</f>
        <v>0</v>
      </c>
      <c r="Z184" s="40"/>
      <c r="AA184" s="64"/>
      <c r="AB184" s="64"/>
      <c r="AC184" s="64"/>
    </row>
    <row r="185" spans="1:68" ht="27.75" hidden="1" customHeight="1" x14ac:dyDescent="0.2">
      <c r="A185" s="348" t="s">
        <v>282</v>
      </c>
      <c r="B185" s="348"/>
      <c r="C185" s="348"/>
      <c r="D185" s="348"/>
      <c r="E185" s="348"/>
      <c r="F185" s="348"/>
      <c r="G185" s="348"/>
      <c r="H185" s="348"/>
      <c r="I185" s="348"/>
      <c r="J185" s="348"/>
      <c r="K185" s="348"/>
      <c r="L185" s="348"/>
      <c r="M185" s="348"/>
      <c r="N185" s="348"/>
      <c r="O185" s="348"/>
      <c r="P185" s="348"/>
      <c r="Q185" s="348"/>
      <c r="R185" s="348"/>
      <c r="S185" s="348"/>
      <c r="T185" s="348"/>
      <c r="U185" s="348"/>
      <c r="V185" s="348"/>
      <c r="W185" s="348"/>
      <c r="X185" s="348"/>
      <c r="Y185" s="348"/>
      <c r="Z185" s="348"/>
      <c r="AA185" s="52"/>
      <c r="AB185" s="52"/>
      <c r="AC185" s="52"/>
    </row>
    <row r="186" spans="1:68" ht="16.5" hidden="1" customHeight="1" x14ac:dyDescent="0.25">
      <c r="A186" s="349" t="s">
        <v>283</v>
      </c>
      <c r="B186" s="349"/>
      <c r="C186" s="349"/>
      <c r="D186" s="349"/>
      <c r="E186" s="349"/>
      <c r="F186" s="349"/>
      <c r="G186" s="349"/>
      <c r="H186" s="349"/>
      <c r="I186" s="349"/>
      <c r="J186" s="349"/>
      <c r="K186" s="349"/>
      <c r="L186" s="349"/>
      <c r="M186" s="349"/>
      <c r="N186" s="349"/>
      <c r="O186" s="349"/>
      <c r="P186" s="349"/>
      <c r="Q186" s="349"/>
      <c r="R186" s="349"/>
      <c r="S186" s="349"/>
      <c r="T186" s="349"/>
      <c r="U186" s="349"/>
      <c r="V186" s="349"/>
      <c r="W186" s="349"/>
      <c r="X186" s="349"/>
      <c r="Y186" s="349"/>
      <c r="Z186" s="349"/>
      <c r="AA186" s="62"/>
      <c r="AB186" s="62"/>
      <c r="AC186" s="62"/>
    </row>
    <row r="187" spans="1:68" ht="14.25" hidden="1" customHeight="1" x14ac:dyDescent="0.25">
      <c r="A187" s="350" t="s">
        <v>106</v>
      </c>
      <c r="B187" s="350"/>
      <c r="C187" s="350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0"/>
      <c r="Q187" s="350"/>
      <c r="R187" s="350"/>
      <c r="S187" s="350"/>
      <c r="T187" s="350"/>
      <c r="U187" s="350"/>
      <c r="V187" s="350"/>
      <c r="W187" s="350"/>
      <c r="X187" s="350"/>
      <c r="Y187" s="350"/>
      <c r="Z187" s="350"/>
      <c r="AA187" s="63"/>
      <c r="AB187" s="63"/>
      <c r="AC187" s="63"/>
    </row>
    <row r="188" spans="1:68" ht="16.5" customHeight="1" x14ac:dyDescent="0.25">
      <c r="A188" s="60" t="s">
        <v>284</v>
      </c>
      <c r="B188" s="60" t="s">
        <v>285</v>
      </c>
      <c r="C188" s="34">
        <v>4301132179</v>
      </c>
      <c r="D188" s="351">
        <v>4607111035691</v>
      </c>
      <c r="E188" s="351"/>
      <c r="F188" s="59">
        <v>0.25</v>
      </c>
      <c r="G188" s="35">
        <v>12</v>
      </c>
      <c r="H188" s="59">
        <v>3</v>
      </c>
      <c r="I188" s="59">
        <v>3.3879999999999999</v>
      </c>
      <c r="J188" s="35">
        <v>70</v>
      </c>
      <c r="K188" s="35" t="s">
        <v>111</v>
      </c>
      <c r="L188" s="35" t="s">
        <v>112</v>
      </c>
      <c r="M188" s="36" t="s">
        <v>84</v>
      </c>
      <c r="N188" s="36"/>
      <c r="O188" s="35">
        <v>365</v>
      </c>
      <c r="P188" s="42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8" s="353"/>
      <c r="R188" s="353"/>
      <c r="S188" s="353"/>
      <c r="T188" s="354"/>
      <c r="U188" s="37" t="s">
        <v>46</v>
      </c>
      <c r="V188" s="37" t="s">
        <v>46</v>
      </c>
      <c r="W188" s="38" t="s">
        <v>39</v>
      </c>
      <c r="X188" s="56">
        <v>42</v>
      </c>
      <c r="Y188" s="53">
        <f>IFERROR(IF(X188="","",X188),"")</f>
        <v>42</v>
      </c>
      <c r="Z188" s="39">
        <f>IFERROR(IF(X188="","",X188*0.01788),"")</f>
        <v>0.75095999999999996</v>
      </c>
      <c r="AA188" s="65" t="s">
        <v>46</v>
      </c>
      <c r="AB188" s="66" t="s">
        <v>46</v>
      </c>
      <c r="AC188" s="214" t="s">
        <v>286</v>
      </c>
      <c r="AG188" s="78"/>
      <c r="AJ188" s="82" t="s">
        <v>113</v>
      </c>
      <c r="AK188" s="82">
        <v>14</v>
      </c>
      <c r="BB188" s="215" t="s">
        <v>110</v>
      </c>
      <c r="BM188" s="78">
        <f>IFERROR(X188*I188,"0")</f>
        <v>142.29599999999999</v>
      </c>
      <c r="BN188" s="78">
        <f>IFERROR(Y188*I188,"0")</f>
        <v>142.29599999999999</v>
      </c>
      <c r="BO188" s="78">
        <f>IFERROR(X188/J188,"0")</f>
        <v>0.6</v>
      </c>
      <c r="BP188" s="78">
        <f>IFERROR(Y188/J188,"0")</f>
        <v>0.6</v>
      </c>
    </row>
    <row r="189" spans="1:68" ht="27" hidden="1" customHeight="1" x14ac:dyDescent="0.25">
      <c r="A189" s="60" t="s">
        <v>287</v>
      </c>
      <c r="B189" s="60" t="s">
        <v>288</v>
      </c>
      <c r="C189" s="34">
        <v>4301132182</v>
      </c>
      <c r="D189" s="351">
        <v>4607111035721</v>
      </c>
      <c r="E189" s="351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111</v>
      </c>
      <c r="L189" s="35" t="s">
        <v>112</v>
      </c>
      <c r="M189" s="36" t="s">
        <v>84</v>
      </c>
      <c r="N189" s="36"/>
      <c r="O189" s="35">
        <v>365</v>
      </c>
      <c r="P189" s="42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9" s="353"/>
      <c r="R189" s="353"/>
      <c r="S189" s="353"/>
      <c r="T189" s="354"/>
      <c r="U189" s="37" t="s">
        <v>46</v>
      </c>
      <c r="V189" s="37" t="s">
        <v>46</v>
      </c>
      <c r="W189" s="38" t="s">
        <v>39</v>
      </c>
      <c r="X189" s="56">
        <v>0</v>
      </c>
      <c r="Y189" s="53">
        <f>IFERROR(IF(X189="","",X189),"")</f>
        <v>0</v>
      </c>
      <c r="Z189" s="39">
        <f>IFERROR(IF(X189="","",X189*0.01788),"")</f>
        <v>0</v>
      </c>
      <c r="AA189" s="65" t="s">
        <v>46</v>
      </c>
      <c r="AB189" s="66" t="s">
        <v>46</v>
      </c>
      <c r="AC189" s="216" t="s">
        <v>289</v>
      </c>
      <c r="AG189" s="78"/>
      <c r="AJ189" s="82" t="s">
        <v>113</v>
      </c>
      <c r="AK189" s="82">
        <v>14</v>
      </c>
      <c r="BB189" s="217" t="s">
        <v>110</v>
      </c>
      <c r="BM189" s="78">
        <f>IFERROR(X189*I189,"0")</f>
        <v>0</v>
      </c>
      <c r="BN189" s="78">
        <f>IFERROR(Y189*I189,"0")</f>
        <v>0</v>
      </c>
      <c r="BO189" s="78">
        <f>IFERROR(X189/J189,"0")</f>
        <v>0</v>
      </c>
      <c r="BP189" s="78">
        <f>IFERROR(Y189/J189,"0")</f>
        <v>0</v>
      </c>
    </row>
    <row r="190" spans="1:68" ht="27" customHeight="1" x14ac:dyDescent="0.25">
      <c r="A190" s="60" t="s">
        <v>290</v>
      </c>
      <c r="B190" s="60" t="s">
        <v>291</v>
      </c>
      <c r="C190" s="34">
        <v>4301132170</v>
      </c>
      <c r="D190" s="351">
        <v>4607111038487</v>
      </c>
      <c r="E190" s="351"/>
      <c r="F190" s="59">
        <v>0.25</v>
      </c>
      <c r="G190" s="35">
        <v>12</v>
      </c>
      <c r="H190" s="59">
        <v>3</v>
      </c>
      <c r="I190" s="59">
        <v>3.7360000000000002</v>
      </c>
      <c r="J190" s="35">
        <v>70</v>
      </c>
      <c r="K190" s="35" t="s">
        <v>111</v>
      </c>
      <c r="L190" s="35" t="s">
        <v>112</v>
      </c>
      <c r="M190" s="36" t="s">
        <v>84</v>
      </c>
      <c r="N190" s="36"/>
      <c r="O190" s="35">
        <v>180</v>
      </c>
      <c r="P190" s="42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0" s="353"/>
      <c r="R190" s="353"/>
      <c r="S190" s="353"/>
      <c r="T190" s="354"/>
      <c r="U190" s="37" t="s">
        <v>46</v>
      </c>
      <c r="V190" s="37" t="s">
        <v>46</v>
      </c>
      <c r="W190" s="38" t="s">
        <v>39</v>
      </c>
      <c r="X190" s="56">
        <v>14</v>
      </c>
      <c r="Y190" s="53">
        <f>IFERROR(IF(X190="","",X190),"")</f>
        <v>14</v>
      </c>
      <c r="Z190" s="39">
        <f>IFERROR(IF(X190="","",X190*0.01788),"")</f>
        <v>0.25031999999999999</v>
      </c>
      <c r="AA190" s="65" t="s">
        <v>46</v>
      </c>
      <c r="AB190" s="66" t="s">
        <v>46</v>
      </c>
      <c r="AC190" s="218" t="s">
        <v>292</v>
      </c>
      <c r="AG190" s="78"/>
      <c r="AJ190" s="82" t="s">
        <v>113</v>
      </c>
      <c r="AK190" s="82">
        <v>14</v>
      </c>
      <c r="BB190" s="219" t="s">
        <v>110</v>
      </c>
      <c r="BM190" s="78">
        <f>IFERROR(X190*I190,"0")</f>
        <v>52.304000000000002</v>
      </c>
      <c r="BN190" s="78">
        <f>IFERROR(Y190*I190,"0")</f>
        <v>52.304000000000002</v>
      </c>
      <c r="BO190" s="78">
        <f>IFERROR(X190/J190,"0")</f>
        <v>0.2</v>
      </c>
      <c r="BP190" s="78">
        <f>IFERROR(Y190/J190,"0")</f>
        <v>0.2</v>
      </c>
    </row>
    <row r="191" spans="1:68" ht="27" hidden="1" customHeight="1" x14ac:dyDescent="0.25">
      <c r="A191" s="60" t="s">
        <v>293</v>
      </c>
      <c r="B191" s="60" t="s">
        <v>294</v>
      </c>
      <c r="C191" s="34">
        <v>4301132243</v>
      </c>
      <c r="D191" s="351">
        <v>4620207491195</v>
      </c>
      <c r="E191" s="351"/>
      <c r="F191" s="59">
        <v>0.23</v>
      </c>
      <c r="G191" s="35">
        <v>12</v>
      </c>
      <c r="H191" s="59">
        <v>2.76</v>
      </c>
      <c r="I191" s="59">
        <v>3.1480000000000001</v>
      </c>
      <c r="J191" s="35">
        <v>70</v>
      </c>
      <c r="K191" s="35" t="s">
        <v>111</v>
      </c>
      <c r="L191" s="35" t="s">
        <v>86</v>
      </c>
      <c r="M191" s="36" t="s">
        <v>84</v>
      </c>
      <c r="N191" s="36"/>
      <c r="O191" s="35">
        <v>180</v>
      </c>
      <c r="P191" s="4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1" s="353"/>
      <c r="R191" s="353"/>
      <c r="S191" s="353"/>
      <c r="T191" s="354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20" t="s">
        <v>295</v>
      </c>
      <c r="AG191" s="78"/>
      <c r="AJ191" s="82" t="s">
        <v>87</v>
      </c>
      <c r="AK191" s="82">
        <v>1</v>
      </c>
      <c r="BB191" s="221" t="s">
        <v>110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64"/>
      <c r="P192" s="360" t="s">
        <v>40</v>
      </c>
      <c r="Q192" s="361"/>
      <c r="R192" s="361"/>
      <c r="S192" s="361"/>
      <c r="T192" s="361"/>
      <c r="U192" s="361"/>
      <c r="V192" s="362"/>
      <c r="W192" s="40" t="s">
        <v>39</v>
      </c>
      <c r="X192" s="41">
        <f>IFERROR(SUM(X188:X191),"0")</f>
        <v>56</v>
      </c>
      <c r="Y192" s="41">
        <f>IFERROR(SUM(Y188:Y191),"0")</f>
        <v>56</v>
      </c>
      <c r="Z192" s="41">
        <f>IFERROR(IF(Z188="",0,Z188),"0")+IFERROR(IF(Z189="",0,Z189),"0")+IFERROR(IF(Z190="",0,Z190),"0")+IFERROR(IF(Z191="",0,Z191),"0")</f>
        <v>1.0012799999999999</v>
      </c>
      <c r="AA192" s="64"/>
      <c r="AB192" s="64"/>
      <c r="AC192" s="64"/>
    </row>
    <row r="193" spans="1:68" x14ac:dyDescent="0.2">
      <c r="A193" s="363"/>
      <c r="B193" s="363"/>
      <c r="C193" s="363"/>
      <c r="D193" s="363"/>
      <c r="E193" s="363"/>
      <c r="F193" s="363"/>
      <c r="G193" s="363"/>
      <c r="H193" s="363"/>
      <c r="I193" s="363"/>
      <c r="J193" s="363"/>
      <c r="K193" s="363"/>
      <c r="L193" s="363"/>
      <c r="M193" s="363"/>
      <c r="N193" s="363"/>
      <c r="O193" s="364"/>
      <c r="P193" s="360" t="s">
        <v>40</v>
      </c>
      <c r="Q193" s="361"/>
      <c r="R193" s="361"/>
      <c r="S193" s="361"/>
      <c r="T193" s="361"/>
      <c r="U193" s="361"/>
      <c r="V193" s="362"/>
      <c r="W193" s="40" t="s">
        <v>0</v>
      </c>
      <c r="X193" s="41">
        <f>IFERROR(SUMPRODUCT(X188:X191*H188:H191),"0")</f>
        <v>168</v>
      </c>
      <c r="Y193" s="41">
        <f>IFERROR(SUMPRODUCT(Y188:Y191*H188:H191),"0")</f>
        <v>168</v>
      </c>
      <c r="Z193" s="40"/>
      <c r="AA193" s="64"/>
      <c r="AB193" s="64"/>
      <c r="AC193" s="64"/>
    </row>
    <row r="194" spans="1:68" ht="27.75" hidden="1" customHeight="1" x14ac:dyDescent="0.2">
      <c r="A194" s="348" t="s">
        <v>296</v>
      </c>
      <c r="B194" s="348"/>
      <c r="C194" s="348"/>
      <c r="D194" s="348"/>
      <c r="E194" s="348"/>
      <c r="F194" s="348"/>
      <c r="G194" s="348"/>
      <c r="H194" s="348"/>
      <c r="I194" s="348"/>
      <c r="J194" s="348"/>
      <c r="K194" s="348"/>
      <c r="L194" s="348"/>
      <c r="M194" s="348"/>
      <c r="N194" s="348"/>
      <c r="O194" s="348"/>
      <c r="P194" s="348"/>
      <c r="Q194" s="348"/>
      <c r="R194" s="348"/>
      <c r="S194" s="348"/>
      <c r="T194" s="348"/>
      <c r="U194" s="348"/>
      <c r="V194" s="348"/>
      <c r="W194" s="348"/>
      <c r="X194" s="348"/>
      <c r="Y194" s="348"/>
      <c r="Z194" s="348"/>
      <c r="AA194" s="52"/>
      <c r="AB194" s="52"/>
      <c r="AC194" s="52"/>
    </row>
    <row r="195" spans="1:68" ht="16.5" hidden="1" customHeight="1" x14ac:dyDescent="0.25">
      <c r="A195" s="349" t="s">
        <v>297</v>
      </c>
      <c r="B195" s="349"/>
      <c r="C195" s="349"/>
      <c r="D195" s="349"/>
      <c r="E195" s="349"/>
      <c r="F195" s="349"/>
      <c r="G195" s="349"/>
      <c r="H195" s="349"/>
      <c r="I195" s="349"/>
      <c r="J195" s="349"/>
      <c r="K195" s="349"/>
      <c r="L195" s="349"/>
      <c r="M195" s="349"/>
      <c r="N195" s="349"/>
      <c r="O195" s="349"/>
      <c r="P195" s="349"/>
      <c r="Q195" s="349"/>
      <c r="R195" s="349"/>
      <c r="S195" s="349"/>
      <c r="T195" s="349"/>
      <c r="U195" s="349"/>
      <c r="V195" s="349"/>
      <c r="W195" s="349"/>
      <c r="X195" s="349"/>
      <c r="Y195" s="349"/>
      <c r="Z195" s="349"/>
      <c r="AA195" s="62"/>
      <c r="AB195" s="62"/>
      <c r="AC195" s="62"/>
    </row>
    <row r="196" spans="1:68" ht="14.25" hidden="1" customHeight="1" x14ac:dyDescent="0.25">
      <c r="A196" s="350" t="s">
        <v>106</v>
      </c>
      <c r="B196" s="350"/>
      <c r="C196" s="350"/>
      <c r="D196" s="350"/>
      <c r="E196" s="350"/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50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  <c r="AA196" s="63"/>
      <c r="AB196" s="63"/>
      <c r="AC196" s="63"/>
    </row>
    <row r="197" spans="1:68" ht="27" hidden="1" customHeight="1" x14ac:dyDescent="0.25">
      <c r="A197" s="60" t="s">
        <v>298</v>
      </c>
      <c r="B197" s="60" t="s">
        <v>299</v>
      </c>
      <c r="C197" s="34">
        <v>4301132227</v>
      </c>
      <c r="D197" s="351">
        <v>4620207491133</v>
      </c>
      <c r="E197" s="351"/>
      <c r="F197" s="59">
        <v>0.23</v>
      </c>
      <c r="G197" s="35">
        <v>12</v>
      </c>
      <c r="H197" s="59">
        <v>2.76</v>
      </c>
      <c r="I197" s="59">
        <v>2.98</v>
      </c>
      <c r="J197" s="35">
        <v>70</v>
      </c>
      <c r="K197" s="35" t="s">
        <v>111</v>
      </c>
      <c r="L197" s="35" t="s">
        <v>112</v>
      </c>
      <c r="M197" s="36" t="s">
        <v>84</v>
      </c>
      <c r="N197" s="36"/>
      <c r="O197" s="35">
        <v>180</v>
      </c>
      <c r="P197" s="4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353"/>
      <c r="R197" s="353"/>
      <c r="S197" s="353"/>
      <c r="T197" s="354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22" t="s">
        <v>300</v>
      </c>
      <c r="AG197" s="78"/>
      <c r="AJ197" s="82" t="s">
        <v>113</v>
      </c>
      <c r="AK197" s="82">
        <v>14</v>
      </c>
      <c r="BB197" s="223" t="s">
        <v>110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hidden="1" x14ac:dyDescent="0.2">
      <c r="A198" s="363"/>
      <c r="B198" s="363"/>
      <c r="C198" s="363"/>
      <c r="D198" s="363"/>
      <c r="E198" s="363"/>
      <c r="F198" s="363"/>
      <c r="G198" s="363"/>
      <c r="H198" s="363"/>
      <c r="I198" s="363"/>
      <c r="J198" s="363"/>
      <c r="K198" s="363"/>
      <c r="L198" s="363"/>
      <c r="M198" s="363"/>
      <c r="N198" s="363"/>
      <c r="O198" s="364"/>
      <c r="P198" s="360" t="s">
        <v>40</v>
      </c>
      <c r="Q198" s="361"/>
      <c r="R198" s="361"/>
      <c r="S198" s="361"/>
      <c r="T198" s="361"/>
      <c r="U198" s="361"/>
      <c r="V198" s="362"/>
      <c r="W198" s="40" t="s">
        <v>39</v>
      </c>
      <c r="X198" s="41">
        <f>IFERROR(SUM(X197:X197),"0")</f>
        <v>0</v>
      </c>
      <c r="Y198" s="41">
        <f>IFERROR(SUM(Y197:Y197),"0")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363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64"/>
      <c r="P199" s="360" t="s">
        <v>40</v>
      </c>
      <c r="Q199" s="361"/>
      <c r="R199" s="361"/>
      <c r="S199" s="361"/>
      <c r="T199" s="361"/>
      <c r="U199" s="361"/>
      <c r="V199" s="362"/>
      <c r="W199" s="40" t="s">
        <v>0</v>
      </c>
      <c r="X199" s="41">
        <f>IFERROR(SUMPRODUCT(X197:X197*H197:H197),"0")</f>
        <v>0</v>
      </c>
      <c r="Y199" s="41">
        <f>IFERROR(SUMPRODUCT(Y197:Y197*H197:H197),"0")</f>
        <v>0</v>
      </c>
      <c r="Z199" s="40"/>
      <c r="AA199" s="64"/>
      <c r="AB199" s="64"/>
      <c r="AC199" s="64"/>
    </row>
    <row r="200" spans="1:68" ht="14.25" hidden="1" customHeight="1" x14ac:dyDescent="0.25">
      <c r="A200" s="350" t="s">
        <v>150</v>
      </c>
      <c r="B200" s="350"/>
      <c r="C200" s="350"/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50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  <c r="AA200" s="63"/>
      <c r="AB200" s="63"/>
      <c r="AC200" s="63"/>
    </row>
    <row r="201" spans="1:68" ht="27" hidden="1" customHeight="1" x14ac:dyDescent="0.25">
      <c r="A201" s="60" t="s">
        <v>301</v>
      </c>
      <c r="B201" s="60" t="s">
        <v>302</v>
      </c>
      <c r="C201" s="34">
        <v>4301135834</v>
      </c>
      <c r="D201" s="351">
        <v>4620207491188</v>
      </c>
      <c r="E201" s="351"/>
      <c r="F201" s="59">
        <v>0.2</v>
      </c>
      <c r="G201" s="35">
        <v>12</v>
      </c>
      <c r="H201" s="59">
        <v>2.4</v>
      </c>
      <c r="I201" s="59">
        <v>3.1036000000000001</v>
      </c>
      <c r="J201" s="35">
        <v>70</v>
      </c>
      <c r="K201" s="35" t="s">
        <v>111</v>
      </c>
      <c r="L201" s="35" t="s">
        <v>86</v>
      </c>
      <c r="M201" s="36" t="s">
        <v>84</v>
      </c>
      <c r="N201" s="36"/>
      <c r="O201" s="35">
        <v>180</v>
      </c>
      <c r="P201" s="42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353"/>
      <c r="R201" s="353"/>
      <c r="S201" s="353"/>
      <c r="T201" s="354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4" t="s">
        <v>303</v>
      </c>
      <c r="AG201" s="78"/>
      <c r="AJ201" s="82" t="s">
        <v>87</v>
      </c>
      <c r="AK201" s="82">
        <v>1</v>
      </c>
      <c r="BB201" s="225" t="s">
        <v>110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27" hidden="1" customHeight="1" x14ac:dyDescent="0.25">
      <c r="A202" s="60" t="s">
        <v>304</v>
      </c>
      <c r="B202" s="60" t="s">
        <v>305</v>
      </c>
      <c r="C202" s="34">
        <v>4301135707</v>
      </c>
      <c r="D202" s="351">
        <v>4620207490198</v>
      </c>
      <c r="E202" s="351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111</v>
      </c>
      <c r="L202" s="35" t="s">
        <v>112</v>
      </c>
      <c r="M202" s="36" t="s">
        <v>84</v>
      </c>
      <c r="N202" s="36"/>
      <c r="O202" s="35">
        <v>180</v>
      </c>
      <c r="P202" s="43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353"/>
      <c r="R202" s="353"/>
      <c r="S202" s="353"/>
      <c r="T202" s="354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6" t="s">
        <v>306</v>
      </c>
      <c r="AG202" s="78"/>
      <c r="AJ202" s="82" t="s">
        <v>113</v>
      </c>
      <c r="AK202" s="82">
        <v>14</v>
      </c>
      <c r="BB202" s="227" t="s">
        <v>110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hidden="1" customHeight="1" x14ac:dyDescent="0.25">
      <c r="A203" s="60" t="s">
        <v>307</v>
      </c>
      <c r="B203" s="60" t="s">
        <v>308</v>
      </c>
      <c r="C203" s="34">
        <v>4301135829</v>
      </c>
      <c r="D203" s="351">
        <v>4620207490235</v>
      </c>
      <c r="E203" s="351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111</v>
      </c>
      <c r="L203" s="35" t="s">
        <v>86</v>
      </c>
      <c r="M203" s="36" t="s">
        <v>84</v>
      </c>
      <c r="N203" s="36"/>
      <c r="O203" s="35">
        <v>180</v>
      </c>
      <c r="P203" s="43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353"/>
      <c r="R203" s="353"/>
      <c r="S203" s="353"/>
      <c r="T203" s="354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309</v>
      </c>
      <c r="AG203" s="78"/>
      <c r="AJ203" s="82" t="s">
        <v>87</v>
      </c>
      <c r="AK203" s="82">
        <v>1</v>
      </c>
      <c r="BB203" s="229" t="s">
        <v>110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310</v>
      </c>
      <c r="B204" s="60" t="s">
        <v>311</v>
      </c>
      <c r="C204" s="34">
        <v>4301135697</v>
      </c>
      <c r="D204" s="351">
        <v>4620207490259</v>
      </c>
      <c r="E204" s="351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111</v>
      </c>
      <c r="L204" s="35" t="s">
        <v>112</v>
      </c>
      <c r="M204" s="36" t="s">
        <v>84</v>
      </c>
      <c r="N204" s="36"/>
      <c r="O204" s="35">
        <v>180</v>
      </c>
      <c r="P204" s="4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3"/>
      <c r="R204" s="353"/>
      <c r="S204" s="353"/>
      <c r="T204" s="354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30" t="s">
        <v>306</v>
      </c>
      <c r="AG204" s="78"/>
      <c r="AJ204" s="82" t="s">
        <v>113</v>
      </c>
      <c r="AK204" s="82">
        <v>14</v>
      </c>
      <c r="BB204" s="231" t="s">
        <v>110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idden="1" x14ac:dyDescent="0.2">
      <c r="A205" s="363"/>
      <c r="B205" s="363"/>
      <c r="C205" s="363"/>
      <c r="D205" s="363"/>
      <c r="E205" s="363"/>
      <c r="F205" s="363"/>
      <c r="G205" s="363"/>
      <c r="H205" s="363"/>
      <c r="I205" s="363"/>
      <c r="J205" s="363"/>
      <c r="K205" s="363"/>
      <c r="L205" s="363"/>
      <c r="M205" s="363"/>
      <c r="N205" s="363"/>
      <c r="O205" s="364"/>
      <c r="P205" s="360" t="s">
        <v>40</v>
      </c>
      <c r="Q205" s="361"/>
      <c r="R205" s="361"/>
      <c r="S205" s="361"/>
      <c r="T205" s="361"/>
      <c r="U205" s="361"/>
      <c r="V205" s="362"/>
      <c r="W205" s="40" t="s">
        <v>39</v>
      </c>
      <c r="X205" s="41">
        <f>IFERROR(SUM(X201:X204),"0")</f>
        <v>0</v>
      </c>
      <c r="Y205" s="41">
        <f>IFERROR(SUM(Y201:Y204),"0")</f>
        <v>0</v>
      </c>
      <c r="Z205" s="41">
        <f>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363"/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4"/>
      <c r="P206" s="360" t="s">
        <v>40</v>
      </c>
      <c r="Q206" s="361"/>
      <c r="R206" s="361"/>
      <c r="S206" s="361"/>
      <c r="T206" s="361"/>
      <c r="U206" s="361"/>
      <c r="V206" s="362"/>
      <c r="W206" s="40" t="s">
        <v>0</v>
      </c>
      <c r="X206" s="41">
        <f>IFERROR(SUMPRODUCT(X201:X204*H201:H204),"0")</f>
        <v>0</v>
      </c>
      <c r="Y206" s="41">
        <f>IFERROR(SUMPRODUCT(Y201:Y204*H201:H204),"0")</f>
        <v>0</v>
      </c>
      <c r="Z206" s="40"/>
      <c r="AA206" s="64"/>
      <c r="AB206" s="64"/>
      <c r="AC206" s="64"/>
    </row>
    <row r="207" spans="1:68" ht="16.5" hidden="1" customHeight="1" x14ac:dyDescent="0.25">
      <c r="A207" s="349" t="s">
        <v>312</v>
      </c>
      <c r="B207" s="349"/>
      <c r="C207" s="349"/>
      <c r="D207" s="349"/>
      <c r="E207" s="349"/>
      <c r="F207" s="349"/>
      <c r="G207" s="349"/>
      <c r="H207" s="349"/>
      <c r="I207" s="349"/>
      <c r="J207" s="349"/>
      <c r="K207" s="349"/>
      <c r="L207" s="349"/>
      <c r="M207" s="349"/>
      <c r="N207" s="349"/>
      <c r="O207" s="349"/>
      <c r="P207" s="349"/>
      <c r="Q207" s="349"/>
      <c r="R207" s="349"/>
      <c r="S207" s="349"/>
      <c r="T207" s="349"/>
      <c r="U207" s="349"/>
      <c r="V207" s="349"/>
      <c r="W207" s="349"/>
      <c r="X207" s="349"/>
      <c r="Y207" s="349"/>
      <c r="Z207" s="349"/>
      <c r="AA207" s="62"/>
      <c r="AB207" s="62"/>
      <c r="AC207" s="62"/>
    </row>
    <row r="208" spans="1:68" ht="14.25" hidden="1" customHeight="1" x14ac:dyDescent="0.25">
      <c r="A208" s="350" t="s">
        <v>80</v>
      </c>
      <c r="B208" s="350"/>
      <c r="C208" s="350"/>
      <c r="D208" s="350"/>
      <c r="E208" s="350"/>
      <c r="F208" s="350"/>
      <c r="G208" s="350"/>
      <c r="H208" s="350"/>
      <c r="I208" s="350"/>
      <c r="J208" s="350"/>
      <c r="K208" s="350"/>
      <c r="L208" s="350"/>
      <c r="M208" s="350"/>
      <c r="N208" s="350"/>
      <c r="O208" s="350"/>
      <c r="P208" s="350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  <c r="AA208" s="63"/>
      <c r="AB208" s="63"/>
      <c r="AC208" s="63"/>
    </row>
    <row r="209" spans="1:68" ht="27" hidden="1" customHeight="1" x14ac:dyDescent="0.25">
      <c r="A209" s="60" t="s">
        <v>313</v>
      </c>
      <c r="B209" s="60" t="s">
        <v>314</v>
      </c>
      <c r="C209" s="34">
        <v>4301071097</v>
      </c>
      <c r="D209" s="351">
        <v>4620207491096</v>
      </c>
      <c r="E209" s="351"/>
      <c r="F209" s="59">
        <v>1</v>
      </c>
      <c r="G209" s="35">
        <v>5</v>
      </c>
      <c r="H209" s="59">
        <v>5</v>
      </c>
      <c r="I209" s="59">
        <v>5.23</v>
      </c>
      <c r="J209" s="35">
        <v>84</v>
      </c>
      <c r="K209" s="35" t="s">
        <v>85</v>
      </c>
      <c r="L209" s="35" t="s">
        <v>112</v>
      </c>
      <c r="M209" s="36" t="s">
        <v>84</v>
      </c>
      <c r="N209" s="36"/>
      <c r="O209" s="35">
        <v>180</v>
      </c>
      <c r="P209" s="43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353"/>
      <c r="R209" s="353"/>
      <c r="S209" s="353"/>
      <c r="T209" s="354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IFERROR(IF(X209="","",X209*0.0155),"")</f>
        <v>0</v>
      </c>
      <c r="AA209" s="65" t="s">
        <v>46</v>
      </c>
      <c r="AB209" s="66" t="s">
        <v>46</v>
      </c>
      <c r="AC209" s="232" t="s">
        <v>315</v>
      </c>
      <c r="AG209" s="78"/>
      <c r="AJ209" s="82" t="s">
        <v>113</v>
      </c>
      <c r="AK209" s="82">
        <v>12</v>
      </c>
      <c r="BB209" s="233" t="s">
        <v>70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idden="1" x14ac:dyDescent="0.2">
      <c r="A210" s="363"/>
      <c r="B210" s="363"/>
      <c r="C210" s="363"/>
      <c r="D210" s="363"/>
      <c r="E210" s="363"/>
      <c r="F210" s="363"/>
      <c r="G210" s="363"/>
      <c r="H210" s="363"/>
      <c r="I210" s="363"/>
      <c r="J210" s="363"/>
      <c r="K210" s="363"/>
      <c r="L210" s="363"/>
      <c r="M210" s="363"/>
      <c r="N210" s="363"/>
      <c r="O210" s="364"/>
      <c r="P210" s="360" t="s">
        <v>40</v>
      </c>
      <c r="Q210" s="361"/>
      <c r="R210" s="361"/>
      <c r="S210" s="361"/>
      <c r="T210" s="361"/>
      <c r="U210" s="361"/>
      <c r="V210" s="362"/>
      <c r="W210" s="40" t="s">
        <v>39</v>
      </c>
      <c r="X210" s="41">
        <f>IFERROR(SUM(X209:X209),"0")</f>
        <v>0</v>
      </c>
      <c r="Y210" s="41">
        <f>IFERROR(SUM(Y209:Y209),"0")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363"/>
      <c r="B211" s="363"/>
      <c r="C211" s="363"/>
      <c r="D211" s="363"/>
      <c r="E211" s="363"/>
      <c r="F211" s="363"/>
      <c r="G211" s="363"/>
      <c r="H211" s="363"/>
      <c r="I211" s="363"/>
      <c r="J211" s="363"/>
      <c r="K211" s="363"/>
      <c r="L211" s="363"/>
      <c r="M211" s="363"/>
      <c r="N211" s="363"/>
      <c r="O211" s="364"/>
      <c r="P211" s="360" t="s">
        <v>40</v>
      </c>
      <c r="Q211" s="361"/>
      <c r="R211" s="361"/>
      <c r="S211" s="361"/>
      <c r="T211" s="361"/>
      <c r="U211" s="361"/>
      <c r="V211" s="362"/>
      <c r="W211" s="40" t="s">
        <v>0</v>
      </c>
      <c r="X211" s="41">
        <f>IFERROR(SUMPRODUCT(X209:X209*H209:H209),"0")</f>
        <v>0</v>
      </c>
      <c r="Y211" s="41">
        <f>IFERROR(SUMPRODUCT(Y209:Y209*H209:H209),"0")</f>
        <v>0</v>
      </c>
      <c r="Z211" s="40"/>
      <c r="AA211" s="64"/>
      <c r="AB211" s="64"/>
      <c r="AC211" s="64"/>
    </row>
    <row r="212" spans="1:68" ht="16.5" hidden="1" customHeight="1" x14ac:dyDescent="0.25">
      <c r="A212" s="349" t="s">
        <v>316</v>
      </c>
      <c r="B212" s="349"/>
      <c r="C212" s="349"/>
      <c r="D212" s="349"/>
      <c r="E212" s="349"/>
      <c r="F212" s="349"/>
      <c r="G212" s="349"/>
      <c r="H212" s="349"/>
      <c r="I212" s="349"/>
      <c r="J212" s="349"/>
      <c r="K212" s="349"/>
      <c r="L212" s="349"/>
      <c r="M212" s="349"/>
      <c r="N212" s="349"/>
      <c r="O212" s="349"/>
      <c r="P212" s="349"/>
      <c r="Q212" s="349"/>
      <c r="R212" s="349"/>
      <c r="S212" s="349"/>
      <c r="T212" s="349"/>
      <c r="U212" s="349"/>
      <c r="V212" s="349"/>
      <c r="W212" s="349"/>
      <c r="X212" s="349"/>
      <c r="Y212" s="349"/>
      <c r="Z212" s="349"/>
      <c r="AA212" s="62"/>
      <c r="AB212" s="62"/>
      <c r="AC212" s="62"/>
    </row>
    <row r="213" spans="1:68" ht="14.25" hidden="1" customHeight="1" x14ac:dyDescent="0.25">
      <c r="A213" s="350" t="s">
        <v>150</v>
      </c>
      <c r="B213" s="350"/>
      <c r="C213" s="350"/>
      <c r="D213" s="350"/>
      <c r="E213" s="350"/>
      <c r="F213" s="350"/>
      <c r="G213" s="350"/>
      <c r="H213" s="350"/>
      <c r="I213" s="350"/>
      <c r="J213" s="350"/>
      <c r="K213" s="350"/>
      <c r="L213" s="350"/>
      <c r="M213" s="350"/>
      <c r="N213" s="350"/>
      <c r="O213" s="350"/>
      <c r="P213" s="350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  <c r="AA213" s="63"/>
      <c r="AB213" s="63"/>
      <c r="AC213" s="63"/>
    </row>
    <row r="214" spans="1:68" ht="27" hidden="1" customHeight="1" x14ac:dyDescent="0.25">
      <c r="A214" s="60" t="s">
        <v>317</v>
      </c>
      <c r="B214" s="60" t="s">
        <v>318</v>
      </c>
      <c r="C214" s="34">
        <v>4301135691</v>
      </c>
      <c r="D214" s="351">
        <v>4620207490549</v>
      </c>
      <c r="E214" s="351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111</v>
      </c>
      <c r="L214" s="35" t="s">
        <v>86</v>
      </c>
      <c r="M214" s="36" t="s">
        <v>84</v>
      </c>
      <c r="N214" s="36"/>
      <c r="O214" s="35">
        <v>180</v>
      </c>
      <c r="P214" s="43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353"/>
      <c r="R214" s="353"/>
      <c r="S214" s="353"/>
      <c r="T214" s="354"/>
      <c r="U214" s="37" t="s">
        <v>46</v>
      </c>
      <c r="V214" s="37" t="s">
        <v>46</v>
      </c>
      <c r="W214" s="38" t="s">
        <v>39</v>
      </c>
      <c r="X214" s="56">
        <v>0</v>
      </c>
      <c r="Y214" s="53">
        <f>IFERROR(IF(X214="","",X214),"")</f>
        <v>0</v>
      </c>
      <c r="Z214" s="39">
        <f>IFERROR(IF(X214="","",X214*0.01788),"")</f>
        <v>0</v>
      </c>
      <c r="AA214" s="65" t="s">
        <v>46</v>
      </c>
      <c r="AB214" s="66" t="s">
        <v>46</v>
      </c>
      <c r="AC214" s="234" t="s">
        <v>319</v>
      </c>
      <c r="AG214" s="78"/>
      <c r="AJ214" s="82" t="s">
        <v>87</v>
      </c>
      <c r="AK214" s="82">
        <v>1</v>
      </c>
      <c r="BB214" s="235" t="s">
        <v>110</v>
      </c>
      <c r="BM214" s="78">
        <f>IFERROR(X214*I214,"0")</f>
        <v>0</v>
      </c>
      <c r="BN214" s="78">
        <f>IFERROR(Y214*I214,"0")</f>
        <v>0</v>
      </c>
      <c r="BO214" s="78">
        <f>IFERROR(X214/J214,"0")</f>
        <v>0</v>
      </c>
      <c r="BP214" s="78">
        <f>IFERROR(Y214/J214,"0")</f>
        <v>0</v>
      </c>
    </row>
    <row r="215" spans="1:68" ht="27" hidden="1" customHeight="1" x14ac:dyDescent="0.25">
      <c r="A215" s="60" t="s">
        <v>320</v>
      </c>
      <c r="B215" s="60" t="s">
        <v>321</v>
      </c>
      <c r="C215" s="34">
        <v>4301135694</v>
      </c>
      <c r="D215" s="351">
        <v>4620207490501</v>
      </c>
      <c r="E215" s="351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111</v>
      </c>
      <c r="L215" s="35" t="s">
        <v>86</v>
      </c>
      <c r="M215" s="36" t="s">
        <v>84</v>
      </c>
      <c r="N215" s="36"/>
      <c r="O215" s="35">
        <v>180</v>
      </c>
      <c r="P215" s="43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353"/>
      <c r="R215" s="353"/>
      <c r="S215" s="353"/>
      <c r="T215" s="354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319</v>
      </c>
      <c r="AG215" s="78"/>
      <c r="AJ215" s="82" t="s">
        <v>87</v>
      </c>
      <c r="AK215" s="82">
        <v>1</v>
      </c>
      <c r="BB215" s="237" t="s">
        <v>110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idden="1" x14ac:dyDescent="0.2">
      <c r="A216" s="363"/>
      <c r="B216" s="363"/>
      <c r="C216" s="363"/>
      <c r="D216" s="363"/>
      <c r="E216" s="363"/>
      <c r="F216" s="363"/>
      <c r="G216" s="363"/>
      <c r="H216" s="363"/>
      <c r="I216" s="363"/>
      <c r="J216" s="363"/>
      <c r="K216" s="363"/>
      <c r="L216" s="363"/>
      <c r="M216" s="363"/>
      <c r="N216" s="363"/>
      <c r="O216" s="364"/>
      <c r="P216" s="360" t="s">
        <v>40</v>
      </c>
      <c r="Q216" s="361"/>
      <c r="R216" s="361"/>
      <c r="S216" s="361"/>
      <c r="T216" s="361"/>
      <c r="U216" s="361"/>
      <c r="V216" s="362"/>
      <c r="W216" s="40" t="s">
        <v>39</v>
      </c>
      <c r="X216" s="41">
        <f>IFERROR(SUM(X214:X215),"0")</f>
        <v>0</v>
      </c>
      <c r="Y216" s="41">
        <f>IFERROR(SUM(Y214:Y215),"0")</f>
        <v>0</v>
      </c>
      <c r="Z216" s="41">
        <f>IFERROR(IF(Z214="",0,Z214),"0")+IFERROR(IF(Z215="",0,Z215),"0")</f>
        <v>0</v>
      </c>
      <c r="AA216" s="64"/>
      <c r="AB216" s="64"/>
      <c r="AC216" s="64"/>
    </row>
    <row r="217" spans="1:68" hidden="1" x14ac:dyDescent="0.2">
      <c r="A217" s="363"/>
      <c r="B217" s="363"/>
      <c r="C217" s="363"/>
      <c r="D217" s="363"/>
      <c r="E217" s="363"/>
      <c r="F217" s="363"/>
      <c r="G217" s="363"/>
      <c r="H217" s="363"/>
      <c r="I217" s="363"/>
      <c r="J217" s="363"/>
      <c r="K217" s="363"/>
      <c r="L217" s="363"/>
      <c r="M217" s="363"/>
      <c r="N217" s="363"/>
      <c r="O217" s="364"/>
      <c r="P217" s="360" t="s">
        <v>40</v>
      </c>
      <c r="Q217" s="361"/>
      <c r="R217" s="361"/>
      <c r="S217" s="361"/>
      <c r="T217" s="361"/>
      <c r="U217" s="361"/>
      <c r="V217" s="362"/>
      <c r="W217" s="40" t="s">
        <v>0</v>
      </c>
      <c r="X217" s="41">
        <f>IFERROR(SUMPRODUCT(X214:X215*H214:H215),"0")</f>
        <v>0</v>
      </c>
      <c r="Y217" s="41">
        <f>IFERROR(SUMPRODUCT(Y214:Y215*H214:H215),"0")</f>
        <v>0</v>
      </c>
      <c r="Z217" s="40"/>
      <c r="AA217" s="64"/>
      <c r="AB217" s="64"/>
      <c r="AC217" s="64"/>
    </row>
    <row r="218" spans="1:68" ht="27.75" hidden="1" customHeight="1" x14ac:dyDescent="0.2">
      <c r="A218" s="348" t="s">
        <v>322</v>
      </c>
      <c r="B218" s="348"/>
      <c r="C218" s="348"/>
      <c r="D218" s="348"/>
      <c r="E218" s="348"/>
      <c r="F218" s="348"/>
      <c r="G218" s="348"/>
      <c r="H218" s="348"/>
      <c r="I218" s="348"/>
      <c r="J218" s="348"/>
      <c r="K218" s="348"/>
      <c r="L218" s="348"/>
      <c r="M218" s="348"/>
      <c r="N218" s="348"/>
      <c r="O218" s="348"/>
      <c r="P218" s="348"/>
      <c r="Q218" s="348"/>
      <c r="R218" s="348"/>
      <c r="S218" s="348"/>
      <c r="T218" s="348"/>
      <c r="U218" s="348"/>
      <c r="V218" s="348"/>
      <c r="W218" s="348"/>
      <c r="X218" s="348"/>
      <c r="Y218" s="348"/>
      <c r="Z218" s="348"/>
      <c r="AA218" s="52"/>
      <c r="AB218" s="52"/>
      <c r="AC218" s="52"/>
    </row>
    <row r="219" spans="1:68" ht="16.5" hidden="1" customHeight="1" x14ac:dyDescent="0.25">
      <c r="A219" s="349" t="s">
        <v>323</v>
      </c>
      <c r="B219" s="349"/>
      <c r="C219" s="349"/>
      <c r="D219" s="349"/>
      <c r="E219" s="349"/>
      <c r="F219" s="349"/>
      <c r="G219" s="349"/>
      <c r="H219" s="349"/>
      <c r="I219" s="349"/>
      <c r="J219" s="349"/>
      <c r="K219" s="349"/>
      <c r="L219" s="349"/>
      <c r="M219" s="349"/>
      <c r="N219" s="349"/>
      <c r="O219" s="349"/>
      <c r="P219" s="349"/>
      <c r="Q219" s="349"/>
      <c r="R219" s="349"/>
      <c r="S219" s="349"/>
      <c r="T219" s="349"/>
      <c r="U219" s="349"/>
      <c r="V219" s="349"/>
      <c r="W219" s="349"/>
      <c r="X219" s="349"/>
      <c r="Y219" s="349"/>
      <c r="Z219" s="349"/>
      <c r="AA219" s="62"/>
      <c r="AB219" s="62"/>
      <c r="AC219" s="62"/>
    </row>
    <row r="220" spans="1:68" ht="14.25" hidden="1" customHeight="1" x14ac:dyDescent="0.25">
      <c r="A220" s="350" t="s">
        <v>80</v>
      </c>
      <c r="B220" s="350"/>
      <c r="C220" s="350"/>
      <c r="D220" s="350"/>
      <c r="E220" s="350"/>
      <c r="F220" s="350"/>
      <c r="G220" s="350"/>
      <c r="H220" s="350"/>
      <c r="I220" s="350"/>
      <c r="J220" s="350"/>
      <c r="K220" s="350"/>
      <c r="L220" s="350"/>
      <c r="M220" s="350"/>
      <c r="N220" s="350"/>
      <c r="O220" s="350"/>
      <c r="P220" s="350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  <c r="AA220" s="63"/>
      <c r="AB220" s="63"/>
      <c r="AC220" s="63"/>
    </row>
    <row r="221" spans="1:68" ht="27" hidden="1" customHeight="1" x14ac:dyDescent="0.25">
      <c r="A221" s="60" t="s">
        <v>324</v>
      </c>
      <c r="B221" s="60" t="s">
        <v>325</v>
      </c>
      <c r="C221" s="34">
        <v>4301071036</v>
      </c>
      <c r="D221" s="351">
        <v>4607111036162</v>
      </c>
      <c r="E221" s="351"/>
      <c r="F221" s="59">
        <v>0.8</v>
      </c>
      <c r="G221" s="35">
        <v>8</v>
      </c>
      <c r="H221" s="59">
        <v>6.4</v>
      </c>
      <c r="I221" s="59">
        <v>6.6811999999999996</v>
      </c>
      <c r="J221" s="35">
        <v>84</v>
      </c>
      <c r="K221" s="35" t="s">
        <v>85</v>
      </c>
      <c r="L221" s="35" t="s">
        <v>86</v>
      </c>
      <c r="M221" s="36" t="s">
        <v>84</v>
      </c>
      <c r="N221" s="36"/>
      <c r="O221" s="35">
        <v>90</v>
      </c>
      <c r="P221" s="43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353"/>
      <c r="R221" s="353"/>
      <c r="S221" s="353"/>
      <c r="T221" s="354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IFERROR(IF(X221="","",X221*0.0155),"")</f>
        <v>0</v>
      </c>
      <c r="AA221" s="65" t="s">
        <v>46</v>
      </c>
      <c r="AB221" s="66" t="s">
        <v>46</v>
      </c>
      <c r="AC221" s="238" t="s">
        <v>326</v>
      </c>
      <c r="AG221" s="78"/>
      <c r="AJ221" s="82" t="s">
        <v>87</v>
      </c>
      <c r="AK221" s="82">
        <v>1</v>
      </c>
      <c r="BB221" s="239" t="s">
        <v>70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hidden="1" x14ac:dyDescent="0.2">
      <c r="A222" s="363"/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4"/>
      <c r="P222" s="360" t="s">
        <v>40</v>
      </c>
      <c r="Q222" s="361"/>
      <c r="R222" s="361"/>
      <c r="S222" s="361"/>
      <c r="T222" s="361"/>
      <c r="U222" s="361"/>
      <c r="V222" s="362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hidden="1" x14ac:dyDescent="0.2">
      <c r="A223" s="363"/>
      <c r="B223" s="363"/>
      <c r="C223" s="363"/>
      <c r="D223" s="363"/>
      <c r="E223" s="363"/>
      <c r="F223" s="363"/>
      <c r="G223" s="363"/>
      <c r="H223" s="363"/>
      <c r="I223" s="363"/>
      <c r="J223" s="363"/>
      <c r="K223" s="363"/>
      <c r="L223" s="363"/>
      <c r="M223" s="363"/>
      <c r="N223" s="363"/>
      <c r="O223" s="364"/>
      <c r="P223" s="360" t="s">
        <v>40</v>
      </c>
      <c r="Q223" s="361"/>
      <c r="R223" s="361"/>
      <c r="S223" s="361"/>
      <c r="T223" s="361"/>
      <c r="U223" s="361"/>
      <c r="V223" s="362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hidden="1" customHeight="1" x14ac:dyDescent="0.2">
      <c r="A224" s="348" t="s">
        <v>327</v>
      </c>
      <c r="B224" s="348"/>
      <c r="C224" s="348"/>
      <c r="D224" s="348"/>
      <c r="E224" s="348"/>
      <c r="F224" s="348"/>
      <c r="G224" s="348"/>
      <c r="H224" s="348"/>
      <c r="I224" s="348"/>
      <c r="J224" s="348"/>
      <c r="K224" s="348"/>
      <c r="L224" s="348"/>
      <c r="M224" s="348"/>
      <c r="N224" s="348"/>
      <c r="O224" s="348"/>
      <c r="P224" s="348"/>
      <c r="Q224" s="348"/>
      <c r="R224" s="348"/>
      <c r="S224" s="348"/>
      <c r="T224" s="348"/>
      <c r="U224" s="348"/>
      <c r="V224" s="348"/>
      <c r="W224" s="348"/>
      <c r="X224" s="348"/>
      <c r="Y224" s="348"/>
      <c r="Z224" s="348"/>
      <c r="AA224" s="52"/>
      <c r="AB224" s="52"/>
      <c r="AC224" s="52"/>
    </row>
    <row r="225" spans="1:68" ht="16.5" hidden="1" customHeight="1" x14ac:dyDescent="0.25">
      <c r="A225" s="349" t="s">
        <v>328</v>
      </c>
      <c r="B225" s="349"/>
      <c r="C225" s="349"/>
      <c r="D225" s="349"/>
      <c r="E225" s="349"/>
      <c r="F225" s="349"/>
      <c r="G225" s="349"/>
      <c r="H225" s="349"/>
      <c r="I225" s="349"/>
      <c r="J225" s="349"/>
      <c r="K225" s="349"/>
      <c r="L225" s="349"/>
      <c r="M225" s="349"/>
      <c r="N225" s="349"/>
      <c r="O225" s="349"/>
      <c r="P225" s="349"/>
      <c r="Q225" s="349"/>
      <c r="R225" s="349"/>
      <c r="S225" s="349"/>
      <c r="T225" s="349"/>
      <c r="U225" s="349"/>
      <c r="V225" s="349"/>
      <c r="W225" s="349"/>
      <c r="X225" s="349"/>
      <c r="Y225" s="349"/>
      <c r="Z225" s="349"/>
      <c r="AA225" s="62"/>
      <c r="AB225" s="62"/>
      <c r="AC225" s="62"/>
    </row>
    <row r="226" spans="1:68" ht="14.25" hidden="1" customHeight="1" x14ac:dyDescent="0.25">
      <c r="A226" s="350" t="s">
        <v>80</v>
      </c>
      <c r="B226" s="350"/>
      <c r="C226" s="350"/>
      <c r="D226" s="350"/>
      <c r="E226" s="350"/>
      <c r="F226" s="350"/>
      <c r="G226" s="350"/>
      <c r="H226" s="350"/>
      <c r="I226" s="350"/>
      <c r="J226" s="350"/>
      <c r="K226" s="350"/>
      <c r="L226" s="350"/>
      <c r="M226" s="350"/>
      <c r="N226" s="350"/>
      <c r="O226" s="350"/>
      <c r="P226" s="350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  <c r="AA226" s="63"/>
      <c r="AB226" s="63"/>
      <c r="AC226" s="63"/>
    </row>
    <row r="227" spans="1:68" ht="27" hidden="1" customHeight="1" x14ac:dyDescent="0.25">
      <c r="A227" s="60" t="s">
        <v>329</v>
      </c>
      <c r="B227" s="60" t="s">
        <v>330</v>
      </c>
      <c r="C227" s="34">
        <v>4301071029</v>
      </c>
      <c r="D227" s="351">
        <v>4607111035899</v>
      </c>
      <c r="E227" s="351"/>
      <c r="F227" s="59">
        <v>1</v>
      </c>
      <c r="G227" s="35">
        <v>5</v>
      </c>
      <c r="H227" s="59">
        <v>5</v>
      </c>
      <c r="I227" s="59">
        <v>5.2619999999999996</v>
      </c>
      <c r="J227" s="35">
        <v>84</v>
      </c>
      <c r="K227" s="35" t="s">
        <v>85</v>
      </c>
      <c r="L227" s="35" t="s">
        <v>112</v>
      </c>
      <c r="M227" s="36" t="s">
        <v>84</v>
      </c>
      <c r="N227" s="36"/>
      <c r="O227" s="35">
        <v>180</v>
      </c>
      <c r="P227" s="43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353"/>
      <c r="R227" s="353"/>
      <c r="S227" s="353"/>
      <c r="T227" s="354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275</v>
      </c>
      <c r="AG227" s="78"/>
      <c r="AJ227" s="82" t="s">
        <v>113</v>
      </c>
      <c r="AK227" s="82">
        <v>12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hidden="1" x14ac:dyDescent="0.2">
      <c r="A228" s="363"/>
      <c r="B228" s="363"/>
      <c r="C228" s="363"/>
      <c r="D228" s="363"/>
      <c r="E228" s="363"/>
      <c r="F228" s="363"/>
      <c r="G228" s="363"/>
      <c r="H228" s="363"/>
      <c r="I228" s="363"/>
      <c r="J228" s="363"/>
      <c r="K228" s="363"/>
      <c r="L228" s="363"/>
      <c r="M228" s="363"/>
      <c r="N228" s="363"/>
      <c r="O228" s="364"/>
      <c r="P228" s="360" t="s">
        <v>40</v>
      </c>
      <c r="Q228" s="361"/>
      <c r="R228" s="361"/>
      <c r="S228" s="361"/>
      <c r="T228" s="361"/>
      <c r="U228" s="361"/>
      <c r="V228" s="362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hidden="1" x14ac:dyDescent="0.2">
      <c r="A229" s="363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64"/>
      <c r="P229" s="360" t="s">
        <v>40</v>
      </c>
      <c r="Q229" s="361"/>
      <c r="R229" s="361"/>
      <c r="S229" s="361"/>
      <c r="T229" s="361"/>
      <c r="U229" s="361"/>
      <c r="V229" s="362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hidden="1" customHeight="1" x14ac:dyDescent="0.2">
      <c r="A230" s="348" t="s">
        <v>331</v>
      </c>
      <c r="B230" s="348"/>
      <c r="C230" s="348"/>
      <c r="D230" s="348"/>
      <c r="E230" s="348"/>
      <c r="F230" s="348"/>
      <c r="G230" s="348"/>
      <c r="H230" s="348"/>
      <c r="I230" s="348"/>
      <c r="J230" s="348"/>
      <c r="K230" s="348"/>
      <c r="L230" s="348"/>
      <c r="M230" s="348"/>
      <c r="N230" s="348"/>
      <c r="O230" s="348"/>
      <c r="P230" s="348"/>
      <c r="Q230" s="348"/>
      <c r="R230" s="348"/>
      <c r="S230" s="348"/>
      <c r="T230" s="348"/>
      <c r="U230" s="348"/>
      <c r="V230" s="348"/>
      <c r="W230" s="348"/>
      <c r="X230" s="348"/>
      <c r="Y230" s="348"/>
      <c r="Z230" s="348"/>
      <c r="AA230" s="52"/>
      <c r="AB230" s="52"/>
      <c r="AC230" s="52"/>
    </row>
    <row r="231" spans="1:68" ht="16.5" hidden="1" customHeight="1" x14ac:dyDescent="0.25">
      <c r="A231" s="349" t="s">
        <v>332</v>
      </c>
      <c r="B231" s="349"/>
      <c r="C231" s="349"/>
      <c r="D231" s="349"/>
      <c r="E231" s="349"/>
      <c r="F231" s="349"/>
      <c r="G231" s="349"/>
      <c r="H231" s="349"/>
      <c r="I231" s="349"/>
      <c r="J231" s="349"/>
      <c r="K231" s="349"/>
      <c r="L231" s="349"/>
      <c r="M231" s="349"/>
      <c r="N231" s="349"/>
      <c r="O231" s="349"/>
      <c r="P231" s="349"/>
      <c r="Q231" s="349"/>
      <c r="R231" s="349"/>
      <c r="S231" s="349"/>
      <c r="T231" s="349"/>
      <c r="U231" s="349"/>
      <c r="V231" s="349"/>
      <c r="W231" s="349"/>
      <c r="X231" s="349"/>
      <c r="Y231" s="349"/>
      <c r="Z231" s="349"/>
      <c r="AA231" s="62"/>
      <c r="AB231" s="62"/>
      <c r="AC231" s="62"/>
    </row>
    <row r="232" spans="1:68" ht="14.25" hidden="1" customHeight="1" x14ac:dyDescent="0.25">
      <c r="A232" s="350" t="s">
        <v>333</v>
      </c>
      <c r="B232" s="350"/>
      <c r="C232" s="350"/>
      <c r="D232" s="350"/>
      <c r="E232" s="350"/>
      <c r="F232" s="350"/>
      <c r="G232" s="350"/>
      <c r="H232" s="350"/>
      <c r="I232" s="350"/>
      <c r="J232" s="350"/>
      <c r="K232" s="350"/>
      <c r="L232" s="350"/>
      <c r="M232" s="350"/>
      <c r="N232" s="350"/>
      <c r="O232" s="350"/>
      <c r="P232" s="350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  <c r="AA232" s="63"/>
      <c r="AB232" s="63"/>
      <c r="AC232" s="63"/>
    </row>
    <row r="233" spans="1:68" ht="27" hidden="1" customHeight="1" x14ac:dyDescent="0.25">
      <c r="A233" s="60" t="s">
        <v>334</v>
      </c>
      <c r="B233" s="60" t="s">
        <v>335</v>
      </c>
      <c r="C233" s="34">
        <v>4301133004</v>
      </c>
      <c r="D233" s="351">
        <v>4607111039774</v>
      </c>
      <c r="E233" s="351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111</v>
      </c>
      <c r="L233" s="35" t="s">
        <v>86</v>
      </c>
      <c r="M233" s="36" t="s">
        <v>84</v>
      </c>
      <c r="N233" s="36"/>
      <c r="O233" s="35">
        <v>180</v>
      </c>
      <c r="P233" s="43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3"/>
      <c r="R233" s="353"/>
      <c r="S233" s="353"/>
      <c r="T233" s="354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336</v>
      </c>
      <c r="AG233" s="78"/>
      <c r="AJ233" s="82" t="s">
        <v>87</v>
      </c>
      <c r="AK233" s="82">
        <v>1</v>
      </c>
      <c r="BB233" s="243" t="s">
        <v>110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hidden="1" x14ac:dyDescent="0.2">
      <c r="A234" s="363"/>
      <c r="B234" s="363"/>
      <c r="C234" s="363"/>
      <c r="D234" s="363"/>
      <c r="E234" s="363"/>
      <c r="F234" s="363"/>
      <c r="G234" s="363"/>
      <c r="H234" s="363"/>
      <c r="I234" s="363"/>
      <c r="J234" s="363"/>
      <c r="K234" s="363"/>
      <c r="L234" s="363"/>
      <c r="M234" s="363"/>
      <c r="N234" s="363"/>
      <c r="O234" s="364"/>
      <c r="P234" s="360" t="s">
        <v>40</v>
      </c>
      <c r="Q234" s="361"/>
      <c r="R234" s="361"/>
      <c r="S234" s="361"/>
      <c r="T234" s="361"/>
      <c r="U234" s="361"/>
      <c r="V234" s="362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hidden="1" x14ac:dyDescent="0.2">
      <c r="A235" s="363"/>
      <c r="B235" s="363"/>
      <c r="C235" s="363"/>
      <c r="D235" s="363"/>
      <c r="E235" s="363"/>
      <c r="F235" s="363"/>
      <c r="G235" s="363"/>
      <c r="H235" s="363"/>
      <c r="I235" s="363"/>
      <c r="J235" s="363"/>
      <c r="K235" s="363"/>
      <c r="L235" s="363"/>
      <c r="M235" s="363"/>
      <c r="N235" s="363"/>
      <c r="O235" s="364"/>
      <c r="P235" s="360" t="s">
        <v>40</v>
      </c>
      <c r="Q235" s="361"/>
      <c r="R235" s="361"/>
      <c r="S235" s="361"/>
      <c r="T235" s="361"/>
      <c r="U235" s="361"/>
      <c r="V235" s="362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hidden="1" customHeight="1" x14ac:dyDescent="0.25">
      <c r="A236" s="350" t="s">
        <v>150</v>
      </c>
      <c r="B236" s="350"/>
      <c r="C236" s="350"/>
      <c r="D236" s="350"/>
      <c r="E236" s="350"/>
      <c r="F236" s="350"/>
      <c r="G236" s="350"/>
      <c r="H236" s="350"/>
      <c r="I236" s="350"/>
      <c r="J236" s="350"/>
      <c r="K236" s="350"/>
      <c r="L236" s="350"/>
      <c r="M236" s="350"/>
      <c r="N236" s="350"/>
      <c r="O236" s="350"/>
      <c r="P236" s="350"/>
      <c r="Q236" s="350"/>
      <c r="R236" s="350"/>
      <c r="S236" s="350"/>
      <c r="T236" s="350"/>
      <c r="U236" s="350"/>
      <c r="V236" s="350"/>
      <c r="W236" s="350"/>
      <c r="X236" s="350"/>
      <c r="Y236" s="350"/>
      <c r="Z236" s="350"/>
      <c r="AA236" s="63"/>
      <c r="AB236" s="63"/>
      <c r="AC236" s="63"/>
    </row>
    <row r="237" spans="1:68" ht="37.5" hidden="1" customHeight="1" x14ac:dyDescent="0.25">
      <c r="A237" s="60" t="s">
        <v>337</v>
      </c>
      <c r="B237" s="60" t="s">
        <v>338</v>
      </c>
      <c r="C237" s="34">
        <v>4301135400</v>
      </c>
      <c r="D237" s="351">
        <v>4607111039361</v>
      </c>
      <c r="E237" s="351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111</v>
      </c>
      <c r="L237" s="35" t="s">
        <v>86</v>
      </c>
      <c r="M237" s="36" t="s">
        <v>84</v>
      </c>
      <c r="N237" s="36"/>
      <c r="O237" s="35">
        <v>180</v>
      </c>
      <c r="P237" s="43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3"/>
      <c r="R237" s="353"/>
      <c r="S237" s="353"/>
      <c r="T237" s="354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336</v>
      </c>
      <c r="AG237" s="78"/>
      <c r="AJ237" s="82" t="s">
        <v>87</v>
      </c>
      <c r="AK237" s="82">
        <v>1</v>
      </c>
      <c r="BB237" s="245" t="s">
        <v>110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idden="1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64"/>
      <c r="P238" s="360" t="s">
        <v>40</v>
      </c>
      <c r="Q238" s="361"/>
      <c r="R238" s="361"/>
      <c r="S238" s="361"/>
      <c r="T238" s="361"/>
      <c r="U238" s="361"/>
      <c r="V238" s="362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idden="1" x14ac:dyDescent="0.2">
      <c r="A239" s="363"/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4"/>
      <c r="P239" s="360" t="s">
        <v>40</v>
      </c>
      <c r="Q239" s="361"/>
      <c r="R239" s="361"/>
      <c r="S239" s="361"/>
      <c r="T239" s="361"/>
      <c r="U239" s="361"/>
      <c r="V239" s="362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hidden="1" customHeight="1" x14ac:dyDescent="0.2">
      <c r="A240" s="348" t="s">
        <v>339</v>
      </c>
      <c r="B240" s="348"/>
      <c r="C240" s="348"/>
      <c r="D240" s="348"/>
      <c r="E240" s="348"/>
      <c r="F240" s="348"/>
      <c r="G240" s="348"/>
      <c r="H240" s="348"/>
      <c r="I240" s="348"/>
      <c r="J240" s="348"/>
      <c r="K240" s="348"/>
      <c r="L240" s="348"/>
      <c r="M240" s="348"/>
      <c r="N240" s="348"/>
      <c r="O240" s="348"/>
      <c r="P240" s="348"/>
      <c r="Q240" s="348"/>
      <c r="R240" s="348"/>
      <c r="S240" s="348"/>
      <c r="T240" s="348"/>
      <c r="U240" s="348"/>
      <c r="V240" s="348"/>
      <c r="W240" s="348"/>
      <c r="X240" s="348"/>
      <c r="Y240" s="348"/>
      <c r="Z240" s="348"/>
      <c r="AA240" s="52"/>
      <c r="AB240" s="52"/>
      <c r="AC240" s="52"/>
    </row>
    <row r="241" spans="1:68" ht="16.5" hidden="1" customHeight="1" x14ac:dyDescent="0.25">
      <c r="A241" s="349" t="s">
        <v>339</v>
      </c>
      <c r="B241" s="349"/>
      <c r="C241" s="349"/>
      <c r="D241" s="349"/>
      <c r="E241" s="349"/>
      <c r="F241" s="349"/>
      <c r="G241" s="349"/>
      <c r="H241" s="349"/>
      <c r="I241" s="349"/>
      <c r="J241" s="349"/>
      <c r="K241" s="349"/>
      <c r="L241" s="349"/>
      <c r="M241" s="349"/>
      <c r="N241" s="349"/>
      <c r="O241" s="349"/>
      <c r="P241" s="349"/>
      <c r="Q241" s="349"/>
      <c r="R241" s="349"/>
      <c r="S241" s="349"/>
      <c r="T241" s="349"/>
      <c r="U241" s="349"/>
      <c r="V241" s="349"/>
      <c r="W241" s="349"/>
      <c r="X241" s="349"/>
      <c r="Y241" s="349"/>
      <c r="Z241" s="349"/>
      <c r="AA241" s="62"/>
      <c r="AB241" s="62"/>
      <c r="AC241" s="62"/>
    </row>
    <row r="242" spans="1:68" ht="14.25" hidden="1" customHeight="1" x14ac:dyDescent="0.25">
      <c r="A242" s="350" t="s">
        <v>80</v>
      </c>
      <c r="B242" s="350"/>
      <c r="C242" s="350"/>
      <c r="D242" s="350"/>
      <c r="E242" s="350"/>
      <c r="F242" s="350"/>
      <c r="G242" s="350"/>
      <c r="H242" s="350"/>
      <c r="I242" s="350"/>
      <c r="J242" s="350"/>
      <c r="K242" s="350"/>
      <c r="L242" s="350"/>
      <c r="M242" s="350"/>
      <c r="N242" s="350"/>
      <c r="O242" s="350"/>
      <c r="P242" s="350"/>
      <c r="Q242" s="350"/>
      <c r="R242" s="350"/>
      <c r="S242" s="350"/>
      <c r="T242" s="350"/>
      <c r="U242" s="350"/>
      <c r="V242" s="350"/>
      <c r="W242" s="350"/>
      <c r="X242" s="350"/>
      <c r="Y242" s="350"/>
      <c r="Z242" s="350"/>
      <c r="AA242" s="63"/>
      <c r="AB242" s="63"/>
      <c r="AC242" s="63"/>
    </row>
    <row r="243" spans="1:68" ht="27" hidden="1" customHeight="1" x14ac:dyDescent="0.25">
      <c r="A243" s="60" t="s">
        <v>340</v>
      </c>
      <c r="B243" s="60" t="s">
        <v>341</v>
      </c>
      <c r="C243" s="34">
        <v>4301071014</v>
      </c>
      <c r="D243" s="351">
        <v>4640242181264</v>
      </c>
      <c r="E243" s="351"/>
      <c r="F243" s="59">
        <v>0.7</v>
      </c>
      <c r="G243" s="35">
        <v>10</v>
      </c>
      <c r="H243" s="59">
        <v>7</v>
      </c>
      <c r="I243" s="59">
        <v>7.28</v>
      </c>
      <c r="J243" s="35">
        <v>84</v>
      </c>
      <c r="K243" s="35" t="s">
        <v>85</v>
      </c>
      <c r="L243" s="35" t="s">
        <v>86</v>
      </c>
      <c r="M243" s="36" t="s">
        <v>84</v>
      </c>
      <c r="N243" s="36"/>
      <c r="O243" s="35">
        <v>180</v>
      </c>
      <c r="P243" s="44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353"/>
      <c r="R243" s="353"/>
      <c r="S243" s="353"/>
      <c r="T243" s="354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IFERROR(IF(X243="","",X243*0.0155),"")</f>
        <v>0</v>
      </c>
      <c r="AA243" s="65" t="s">
        <v>46</v>
      </c>
      <c r="AB243" s="66" t="s">
        <v>46</v>
      </c>
      <c r="AC243" s="246" t="s">
        <v>342</v>
      </c>
      <c r="AG243" s="78"/>
      <c r="AJ243" s="82" t="s">
        <v>87</v>
      </c>
      <c r="AK243" s="82">
        <v>1</v>
      </c>
      <c r="BB243" s="247" t="s">
        <v>70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t="27" hidden="1" customHeight="1" x14ac:dyDescent="0.25">
      <c r="A244" s="60" t="s">
        <v>343</v>
      </c>
      <c r="B244" s="60" t="s">
        <v>344</v>
      </c>
      <c r="C244" s="34">
        <v>4301071021</v>
      </c>
      <c r="D244" s="351">
        <v>4640242181325</v>
      </c>
      <c r="E244" s="351"/>
      <c r="F244" s="59">
        <v>0.7</v>
      </c>
      <c r="G244" s="35">
        <v>10</v>
      </c>
      <c r="H244" s="59">
        <v>7</v>
      </c>
      <c r="I244" s="59">
        <v>7.28</v>
      </c>
      <c r="J244" s="35">
        <v>84</v>
      </c>
      <c r="K244" s="35" t="s">
        <v>85</v>
      </c>
      <c r="L244" s="35" t="s">
        <v>112</v>
      </c>
      <c r="M244" s="36" t="s">
        <v>84</v>
      </c>
      <c r="N244" s="36"/>
      <c r="O244" s="35">
        <v>180</v>
      </c>
      <c r="P244" s="44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353"/>
      <c r="R244" s="353"/>
      <c r="S244" s="353"/>
      <c r="T244" s="354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IFERROR(IF(X244="","",X244*0.0155),"")</f>
        <v>0</v>
      </c>
      <c r="AA244" s="65" t="s">
        <v>46</v>
      </c>
      <c r="AB244" s="66" t="s">
        <v>46</v>
      </c>
      <c r="AC244" s="248" t="s">
        <v>342</v>
      </c>
      <c r="AG244" s="78"/>
      <c r="AJ244" s="82" t="s">
        <v>113</v>
      </c>
      <c r="AK244" s="82">
        <v>12</v>
      </c>
      <c r="BB244" s="249" t="s">
        <v>70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hidden="1" x14ac:dyDescent="0.2">
      <c r="A245" s="363"/>
      <c r="B245" s="363"/>
      <c r="C245" s="363"/>
      <c r="D245" s="363"/>
      <c r="E245" s="363"/>
      <c r="F245" s="363"/>
      <c r="G245" s="363"/>
      <c r="H245" s="363"/>
      <c r="I245" s="363"/>
      <c r="J245" s="363"/>
      <c r="K245" s="363"/>
      <c r="L245" s="363"/>
      <c r="M245" s="363"/>
      <c r="N245" s="363"/>
      <c r="O245" s="364"/>
      <c r="P245" s="360" t="s">
        <v>40</v>
      </c>
      <c r="Q245" s="361"/>
      <c r="R245" s="361"/>
      <c r="S245" s="361"/>
      <c r="T245" s="361"/>
      <c r="U245" s="361"/>
      <c r="V245" s="362"/>
      <c r="W245" s="40" t="s">
        <v>39</v>
      </c>
      <c r="X245" s="41">
        <f>IFERROR(SUM(X243:X244),"0")</f>
        <v>0</v>
      </c>
      <c r="Y245" s="41">
        <f>IFERROR(SUM(Y243:Y244),"0")</f>
        <v>0</v>
      </c>
      <c r="Z245" s="41">
        <f>IFERROR(IF(Z243="",0,Z243),"0")+IFERROR(IF(Z244="",0,Z244),"0")</f>
        <v>0</v>
      </c>
      <c r="AA245" s="64"/>
      <c r="AB245" s="64"/>
      <c r="AC245" s="64"/>
    </row>
    <row r="246" spans="1:68" hidden="1" x14ac:dyDescent="0.2">
      <c r="A246" s="363"/>
      <c r="B246" s="363"/>
      <c r="C246" s="363"/>
      <c r="D246" s="363"/>
      <c r="E246" s="363"/>
      <c r="F246" s="363"/>
      <c r="G246" s="363"/>
      <c r="H246" s="363"/>
      <c r="I246" s="363"/>
      <c r="J246" s="363"/>
      <c r="K246" s="363"/>
      <c r="L246" s="363"/>
      <c r="M246" s="363"/>
      <c r="N246" s="363"/>
      <c r="O246" s="364"/>
      <c r="P246" s="360" t="s">
        <v>40</v>
      </c>
      <c r="Q246" s="361"/>
      <c r="R246" s="361"/>
      <c r="S246" s="361"/>
      <c r="T246" s="361"/>
      <c r="U246" s="361"/>
      <c r="V246" s="362"/>
      <c r="W246" s="40" t="s">
        <v>0</v>
      </c>
      <c r="X246" s="41">
        <f>IFERROR(SUMPRODUCT(X243:X244*H243:H244),"0")</f>
        <v>0</v>
      </c>
      <c r="Y246" s="41">
        <f>IFERROR(SUMPRODUCT(Y243:Y244*H243:H244),"0")</f>
        <v>0</v>
      </c>
      <c r="Z246" s="40"/>
      <c r="AA246" s="64"/>
      <c r="AB246" s="64"/>
      <c r="AC246" s="64"/>
    </row>
    <row r="247" spans="1:68" ht="14.25" hidden="1" customHeight="1" x14ac:dyDescent="0.25">
      <c r="A247" s="350" t="s">
        <v>106</v>
      </c>
      <c r="B247" s="350"/>
      <c r="C247" s="350"/>
      <c r="D247" s="350"/>
      <c r="E247" s="350"/>
      <c r="F247" s="350"/>
      <c r="G247" s="350"/>
      <c r="H247" s="350"/>
      <c r="I247" s="350"/>
      <c r="J247" s="350"/>
      <c r="K247" s="350"/>
      <c r="L247" s="350"/>
      <c r="M247" s="350"/>
      <c r="N247" s="350"/>
      <c r="O247" s="350"/>
      <c r="P247" s="350"/>
      <c r="Q247" s="350"/>
      <c r="R247" s="350"/>
      <c r="S247" s="350"/>
      <c r="T247" s="350"/>
      <c r="U247" s="350"/>
      <c r="V247" s="350"/>
      <c r="W247" s="350"/>
      <c r="X247" s="350"/>
      <c r="Y247" s="350"/>
      <c r="Z247" s="350"/>
      <c r="AA247" s="63"/>
      <c r="AB247" s="63"/>
      <c r="AC247" s="63"/>
    </row>
    <row r="248" spans="1:68" ht="27" customHeight="1" x14ac:dyDescent="0.25">
      <c r="A248" s="60" t="s">
        <v>345</v>
      </c>
      <c r="B248" s="60" t="s">
        <v>346</v>
      </c>
      <c r="C248" s="34">
        <v>4301132080</v>
      </c>
      <c r="D248" s="351">
        <v>4640242180397</v>
      </c>
      <c r="E248" s="351"/>
      <c r="F248" s="59">
        <v>1</v>
      </c>
      <c r="G248" s="35">
        <v>6</v>
      </c>
      <c r="H248" s="59">
        <v>6</v>
      </c>
      <c r="I248" s="59">
        <v>6.26</v>
      </c>
      <c r="J248" s="35">
        <v>84</v>
      </c>
      <c r="K248" s="35" t="s">
        <v>85</v>
      </c>
      <c r="L248" s="35" t="s">
        <v>112</v>
      </c>
      <c r="M248" s="36" t="s">
        <v>84</v>
      </c>
      <c r="N248" s="36"/>
      <c r="O248" s="35">
        <v>180</v>
      </c>
      <c r="P248" s="44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353"/>
      <c r="R248" s="353"/>
      <c r="S248" s="353"/>
      <c r="T248" s="354"/>
      <c r="U248" s="37" t="s">
        <v>46</v>
      </c>
      <c r="V248" s="37" t="s">
        <v>46</v>
      </c>
      <c r="W248" s="38" t="s">
        <v>39</v>
      </c>
      <c r="X248" s="56">
        <v>84</v>
      </c>
      <c r="Y248" s="53">
        <f>IFERROR(IF(X248="","",X248),"")</f>
        <v>84</v>
      </c>
      <c r="Z248" s="39">
        <f>IFERROR(IF(X248="","",X248*0.0155),"")</f>
        <v>1.302</v>
      </c>
      <c r="AA248" s="65" t="s">
        <v>46</v>
      </c>
      <c r="AB248" s="66" t="s">
        <v>46</v>
      </c>
      <c r="AC248" s="250" t="s">
        <v>347</v>
      </c>
      <c r="AG248" s="78"/>
      <c r="AJ248" s="82" t="s">
        <v>113</v>
      </c>
      <c r="AK248" s="82">
        <v>12</v>
      </c>
      <c r="BB248" s="251" t="s">
        <v>110</v>
      </c>
      <c r="BM248" s="78">
        <f>IFERROR(X248*I248,"0")</f>
        <v>525.84</v>
      </c>
      <c r="BN248" s="78">
        <f>IFERROR(Y248*I248,"0")</f>
        <v>525.84</v>
      </c>
      <c r="BO248" s="78">
        <f>IFERROR(X248/J248,"0")</f>
        <v>1</v>
      </c>
      <c r="BP248" s="78">
        <f>IFERROR(Y248/J248,"0")</f>
        <v>1</v>
      </c>
    </row>
    <row r="249" spans="1:68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64"/>
      <c r="P249" s="360" t="s">
        <v>40</v>
      </c>
      <c r="Q249" s="361"/>
      <c r="R249" s="361"/>
      <c r="S249" s="361"/>
      <c r="T249" s="361"/>
      <c r="U249" s="361"/>
      <c r="V249" s="362"/>
      <c r="W249" s="40" t="s">
        <v>39</v>
      </c>
      <c r="X249" s="41">
        <f>IFERROR(SUM(X248:X248),"0")</f>
        <v>84</v>
      </c>
      <c r="Y249" s="41">
        <f>IFERROR(SUM(Y248:Y248),"0")</f>
        <v>84</v>
      </c>
      <c r="Z249" s="41">
        <f>IFERROR(IF(Z248="",0,Z248),"0")</f>
        <v>1.302</v>
      </c>
      <c r="AA249" s="64"/>
      <c r="AB249" s="64"/>
      <c r="AC249" s="64"/>
    </row>
    <row r="250" spans="1:68" x14ac:dyDescent="0.2">
      <c r="A250" s="363"/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4"/>
      <c r="P250" s="360" t="s">
        <v>40</v>
      </c>
      <c r="Q250" s="361"/>
      <c r="R250" s="361"/>
      <c r="S250" s="361"/>
      <c r="T250" s="361"/>
      <c r="U250" s="361"/>
      <c r="V250" s="362"/>
      <c r="W250" s="40" t="s">
        <v>0</v>
      </c>
      <c r="X250" s="41">
        <f>IFERROR(SUMPRODUCT(X248:X248*H248:H248),"0")</f>
        <v>504</v>
      </c>
      <c r="Y250" s="41">
        <f>IFERROR(SUMPRODUCT(Y248:Y248*H248:H248),"0")</f>
        <v>504</v>
      </c>
      <c r="Z250" s="40"/>
      <c r="AA250" s="64"/>
      <c r="AB250" s="64"/>
      <c r="AC250" s="64"/>
    </row>
    <row r="251" spans="1:68" ht="14.25" hidden="1" customHeight="1" x14ac:dyDescent="0.25">
      <c r="A251" s="350" t="s">
        <v>144</v>
      </c>
      <c r="B251" s="350"/>
      <c r="C251" s="350"/>
      <c r="D251" s="350"/>
      <c r="E251" s="350"/>
      <c r="F251" s="350"/>
      <c r="G251" s="350"/>
      <c r="H251" s="350"/>
      <c r="I251" s="350"/>
      <c r="J251" s="350"/>
      <c r="K251" s="350"/>
      <c r="L251" s="350"/>
      <c r="M251" s="350"/>
      <c r="N251" s="350"/>
      <c r="O251" s="350"/>
      <c r="P251" s="350"/>
      <c r="Q251" s="350"/>
      <c r="R251" s="350"/>
      <c r="S251" s="350"/>
      <c r="T251" s="350"/>
      <c r="U251" s="350"/>
      <c r="V251" s="350"/>
      <c r="W251" s="350"/>
      <c r="X251" s="350"/>
      <c r="Y251" s="350"/>
      <c r="Z251" s="350"/>
      <c r="AA251" s="63"/>
      <c r="AB251" s="63"/>
      <c r="AC251" s="63"/>
    </row>
    <row r="252" spans="1:68" ht="27" hidden="1" customHeight="1" x14ac:dyDescent="0.25">
      <c r="A252" s="60" t="s">
        <v>348</v>
      </c>
      <c r="B252" s="60" t="s">
        <v>349</v>
      </c>
      <c r="C252" s="34">
        <v>4301136051</v>
      </c>
      <c r="D252" s="351">
        <v>4640242180304</v>
      </c>
      <c r="E252" s="351"/>
      <c r="F252" s="59">
        <v>2.7</v>
      </c>
      <c r="G252" s="35">
        <v>1</v>
      </c>
      <c r="H252" s="59">
        <v>2.7</v>
      </c>
      <c r="I252" s="59">
        <v>2.8906000000000001</v>
      </c>
      <c r="J252" s="35">
        <v>126</v>
      </c>
      <c r="K252" s="35" t="s">
        <v>111</v>
      </c>
      <c r="L252" s="35" t="s">
        <v>112</v>
      </c>
      <c r="M252" s="36" t="s">
        <v>84</v>
      </c>
      <c r="N252" s="36"/>
      <c r="O252" s="35">
        <v>180</v>
      </c>
      <c r="P252" s="44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353"/>
      <c r="R252" s="353"/>
      <c r="S252" s="353"/>
      <c r="T252" s="354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IFERROR(IF(X252="","",X252*0.00936),"")</f>
        <v>0</v>
      </c>
      <c r="AA252" s="65" t="s">
        <v>46</v>
      </c>
      <c r="AB252" s="66" t="s">
        <v>46</v>
      </c>
      <c r="AC252" s="252" t="s">
        <v>350</v>
      </c>
      <c r="AG252" s="78"/>
      <c r="AJ252" s="82" t="s">
        <v>113</v>
      </c>
      <c r="AK252" s="82">
        <v>14</v>
      </c>
      <c r="BB252" s="253" t="s">
        <v>110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customHeight="1" x14ac:dyDescent="0.25">
      <c r="A253" s="60" t="s">
        <v>351</v>
      </c>
      <c r="B253" s="60" t="s">
        <v>352</v>
      </c>
      <c r="C253" s="34">
        <v>4301136053</v>
      </c>
      <c r="D253" s="351">
        <v>4640242180236</v>
      </c>
      <c r="E253" s="351"/>
      <c r="F253" s="59">
        <v>5</v>
      </c>
      <c r="G253" s="35">
        <v>1</v>
      </c>
      <c r="H253" s="59">
        <v>5</v>
      </c>
      <c r="I253" s="59">
        <v>5.2350000000000003</v>
      </c>
      <c r="J253" s="35">
        <v>84</v>
      </c>
      <c r="K253" s="35" t="s">
        <v>85</v>
      </c>
      <c r="L253" s="35" t="s">
        <v>112</v>
      </c>
      <c r="M253" s="36" t="s">
        <v>84</v>
      </c>
      <c r="N253" s="36"/>
      <c r="O253" s="35">
        <v>180</v>
      </c>
      <c r="P253" s="44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353"/>
      <c r="R253" s="353"/>
      <c r="S253" s="353"/>
      <c r="T253" s="354"/>
      <c r="U253" s="37" t="s">
        <v>46</v>
      </c>
      <c r="V253" s="37" t="s">
        <v>46</v>
      </c>
      <c r="W253" s="38" t="s">
        <v>39</v>
      </c>
      <c r="X253" s="56">
        <v>420</v>
      </c>
      <c r="Y253" s="53">
        <f>IFERROR(IF(X253="","",X253),"")</f>
        <v>420</v>
      </c>
      <c r="Z253" s="39">
        <f>IFERROR(IF(X253="","",X253*0.0155),"")</f>
        <v>6.51</v>
      </c>
      <c r="AA253" s="65" t="s">
        <v>46</v>
      </c>
      <c r="AB253" s="66" t="s">
        <v>46</v>
      </c>
      <c r="AC253" s="254" t="s">
        <v>350</v>
      </c>
      <c r="AG253" s="78"/>
      <c r="AJ253" s="82" t="s">
        <v>113</v>
      </c>
      <c r="AK253" s="82">
        <v>12</v>
      </c>
      <c r="BB253" s="255" t="s">
        <v>110</v>
      </c>
      <c r="BM253" s="78">
        <f>IFERROR(X253*I253,"0")</f>
        <v>2198.7000000000003</v>
      </c>
      <c r="BN253" s="78">
        <f>IFERROR(Y253*I253,"0")</f>
        <v>2198.7000000000003</v>
      </c>
      <c r="BO253" s="78">
        <f>IFERROR(X253/J253,"0")</f>
        <v>5</v>
      </c>
      <c r="BP253" s="78">
        <f>IFERROR(Y253/J253,"0")</f>
        <v>5</v>
      </c>
    </row>
    <row r="254" spans="1:68" ht="27" hidden="1" customHeight="1" x14ac:dyDescent="0.25">
      <c r="A254" s="60" t="s">
        <v>353</v>
      </c>
      <c r="B254" s="60" t="s">
        <v>354</v>
      </c>
      <c r="C254" s="34">
        <v>4301136052</v>
      </c>
      <c r="D254" s="351">
        <v>4640242180410</v>
      </c>
      <c r="E254" s="351"/>
      <c r="F254" s="59">
        <v>2.2400000000000002</v>
      </c>
      <c r="G254" s="35">
        <v>1</v>
      </c>
      <c r="H254" s="59">
        <v>2.2400000000000002</v>
      </c>
      <c r="I254" s="59">
        <v>2.4319999999999999</v>
      </c>
      <c r="J254" s="35">
        <v>126</v>
      </c>
      <c r="K254" s="35" t="s">
        <v>111</v>
      </c>
      <c r="L254" s="35" t="s">
        <v>86</v>
      </c>
      <c r="M254" s="36" t="s">
        <v>84</v>
      </c>
      <c r="N254" s="36"/>
      <c r="O254" s="35">
        <v>180</v>
      </c>
      <c r="P254" s="44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353"/>
      <c r="R254" s="353"/>
      <c r="S254" s="353"/>
      <c r="T254" s="354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IFERROR(IF(X254="","",X254*0.00936),"")</f>
        <v>0</v>
      </c>
      <c r="AA254" s="65" t="s">
        <v>46</v>
      </c>
      <c r="AB254" s="66" t="s">
        <v>46</v>
      </c>
      <c r="AC254" s="256" t="s">
        <v>350</v>
      </c>
      <c r="AG254" s="78"/>
      <c r="AJ254" s="82" t="s">
        <v>87</v>
      </c>
      <c r="AK254" s="82">
        <v>1</v>
      </c>
      <c r="BB254" s="257" t="s">
        <v>110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x14ac:dyDescent="0.2">
      <c r="A255" s="363"/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4"/>
      <c r="P255" s="360" t="s">
        <v>40</v>
      </c>
      <c r="Q255" s="361"/>
      <c r="R255" s="361"/>
      <c r="S255" s="361"/>
      <c r="T255" s="361"/>
      <c r="U255" s="361"/>
      <c r="V255" s="362"/>
      <c r="W255" s="40" t="s">
        <v>39</v>
      </c>
      <c r="X255" s="41">
        <f>IFERROR(SUM(X252:X254),"0")</f>
        <v>420</v>
      </c>
      <c r="Y255" s="41">
        <f>IFERROR(SUM(Y252:Y254),"0")</f>
        <v>420</v>
      </c>
      <c r="Z255" s="41">
        <f>IFERROR(IF(Z252="",0,Z252),"0")+IFERROR(IF(Z253="",0,Z253),"0")+IFERROR(IF(Z254="",0,Z254),"0")</f>
        <v>6.51</v>
      </c>
      <c r="AA255" s="64"/>
      <c r="AB255" s="64"/>
      <c r="AC255" s="64"/>
    </row>
    <row r="256" spans="1:68" x14ac:dyDescent="0.2">
      <c r="A256" s="363"/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4"/>
      <c r="P256" s="360" t="s">
        <v>40</v>
      </c>
      <c r="Q256" s="361"/>
      <c r="R256" s="361"/>
      <c r="S256" s="361"/>
      <c r="T256" s="361"/>
      <c r="U256" s="361"/>
      <c r="V256" s="362"/>
      <c r="W256" s="40" t="s">
        <v>0</v>
      </c>
      <c r="X256" s="41">
        <f>IFERROR(SUMPRODUCT(X252:X254*H252:H254),"0")</f>
        <v>2100</v>
      </c>
      <c r="Y256" s="41">
        <f>IFERROR(SUMPRODUCT(Y252:Y254*H252:H254),"0")</f>
        <v>2100</v>
      </c>
      <c r="Z256" s="40"/>
      <c r="AA256" s="64"/>
      <c r="AB256" s="64"/>
      <c r="AC256" s="64"/>
    </row>
    <row r="257" spans="1:68" ht="14.25" hidden="1" customHeight="1" x14ac:dyDescent="0.25">
      <c r="A257" s="350" t="s">
        <v>150</v>
      </c>
      <c r="B257" s="350"/>
      <c r="C257" s="350"/>
      <c r="D257" s="350"/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350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  <c r="AA257" s="63"/>
      <c r="AB257" s="63"/>
      <c r="AC257" s="63"/>
    </row>
    <row r="258" spans="1:68" ht="37.5" hidden="1" customHeight="1" x14ac:dyDescent="0.25">
      <c r="A258" s="60" t="s">
        <v>355</v>
      </c>
      <c r="B258" s="60" t="s">
        <v>356</v>
      </c>
      <c r="C258" s="34">
        <v>4301135504</v>
      </c>
      <c r="D258" s="351">
        <v>4640242181554</v>
      </c>
      <c r="E258" s="351"/>
      <c r="F258" s="59">
        <v>3</v>
      </c>
      <c r="G258" s="35">
        <v>1</v>
      </c>
      <c r="H258" s="59">
        <v>3</v>
      </c>
      <c r="I258" s="59">
        <v>3.1920000000000002</v>
      </c>
      <c r="J258" s="35">
        <v>126</v>
      </c>
      <c r="K258" s="35" t="s">
        <v>111</v>
      </c>
      <c r="L258" s="35" t="s">
        <v>112</v>
      </c>
      <c r="M258" s="36" t="s">
        <v>84</v>
      </c>
      <c r="N258" s="36"/>
      <c r="O258" s="35">
        <v>180</v>
      </c>
      <c r="P258" s="44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353"/>
      <c r="R258" s="353"/>
      <c r="S258" s="353"/>
      <c r="T258" s="354"/>
      <c r="U258" s="37" t="s">
        <v>46</v>
      </c>
      <c r="V258" s="37" t="s">
        <v>46</v>
      </c>
      <c r="W258" s="38" t="s">
        <v>39</v>
      </c>
      <c r="X258" s="56">
        <v>0</v>
      </c>
      <c r="Y258" s="53">
        <f t="shared" ref="Y258:Y267" si="18"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8" t="s">
        <v>357</v>
      </c>
      <c r="AG258" s="78"/>
      <c r="AJ258" s="82" t="s">
        <v>113</v>
      </c>
      <c r="AK258" s="82">
        <v>14</v>
      </c>
      <c r="BB258" s="259" t="s">
        <v>110</v>
      </c>
      <c r="BM258" s="78">
        <f t="shared" ref="BM258:BM267" si="19">IFERROR(X258*I258,"0")</f>
        <v>0</v>
      </c>
      <c r="BN258" s="78">
        <f t="shared" ref="BN258:BN267" si="20">IFERROR(Y258*I258,"0")</f>
        <v>0</v>
      </c>
      <c r="BO258" s="78">
        <f t="shared" ref="BO258:BO267" si="21">IFERROR(X258/J258,"0")</f>
        <v>0</v>
      </c>
      <c r="BP258" s="78">
        <f t="shared" ref="BP258:BP267" si="22">IFERROR(Y258/J258,"0")</f>
        <v>0</v>
      </c>
    </row>
    <row r="259" spans="1:68" ht="27" customHeight="1" x14ac:dyDescent="0.25">
      <c r="A259" s="60" t="s">
        <v>358</v>
      </c>
      <c r="B259" s="60" t="s">
        <v>359</v>
      </c>
      <c r="C259" s="34">
        <v>4301135873</v>
      </c>
      <c r="D259" s="351">
        <v>4640242182087</v>
      </c>
      <c r="E259" s="351"/>
      <c r="F259" s="59">
        <v>5</v>
      </c>
      <c r="G259" s="35">
        <v>1</v>
      </c>
      <c r="H259" s="59">
        <v>5</v>
      </c>
      <c r="I259" s="59">
        <v>5.23</v>
      </c>
      <c r="J259" s="35">
        <v>84</v>
      </c>
      <c r="K259" s="35" t="s">
        <v>85</v>
      </c>
      <c r="L259" s="35" t="s">
        <v>86</v>
      </c>
      <c r="M259" s="36" t="s">
        <v>84</v>
      </c>
      <c r="N259" s="36"/>
      <c r="O259" s="35">
        <v>180</v>
      </c>
      <c r="P259" s="447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59" s="353"/>
      <c r="R259" s="353"/>
      <c r="S259" s="353"/>
      <c r="T259" s="354"/>
      <c r="U259" s="37" t="s">
        <v>46</v>
      </c>
      <c r="V259" s="37" t="s">
        <v>46</v>
      </c>
      <c r="W259" s="38" t="s">
        <v>39</v>
      </c>
      <c r="X259" s="56">
        <v>252</v>
      </c>
      <c r="Y259" s="53">
        <f t="shared" si="18"/>
        <v>252</v>
      </c>
      <c r="Z259" s="39">
        <f>IFERROR(IF(X259="","",X259*0.0155),"")</f>
        <v>3.9060000000000001</v>
      </c>
      <c r="AA259" s="65" t="s">
        <v>46</v>
      </c>
      <c r="AB259" s="66" t="s">
        <v>46</v>
      </c>
      <c r="AC259" s="260" t="s">
        <v>360</v>
      </c>
      <c r="AG259" s="78"/>
      <c r="AJ259" s="82" t="s">
        <v>87</v>
      </c>
      <c r="AK259" s="82">
        <v>1</v>
      </c>
      <c r="BB259" s="261" t="s">
        <v>110</v>
      </c>
      <c r="BM259" s="78">
        <f t="shared" si="19"/>
        <v>1317.96</v>
      </c>
      <c r="BN259" s="78">
        <f t="shared" si="20"/>
        <v>1317.96</v>
      </c>
      <c r="BO259" s="78">
        <f t="shared" si="21"/>
        <v>3</v>
      </c>
      <c r="BP259" s="78">
        <f t="shared" si="22"/>
        <v>3</v>
      </c>
    </row>
    <row r="260" spans="1:68" ht="27" customHeight="1" x14ac:dyDescent="0.25">
      <c r="A260" s="60" t="s">
        <v>361</v>
      </c>
      <c r="B260" s="60" t="s">
        <v>362</v>
      </c>
      <c r="C260" s="34">
        <v>4301135374</v>
      </c>
      <c r="D260" s="351">
        <v>4640242181424</v>
      </c>
      <c r="E260" s="351"/>
      <c r="F260" s="59">
        <v>5.5</v>
      </c>
      <c r="G260" s="35">
        <v>1</v>
      </c>
      <c r="H260" s="59">
        <v>5.5</v>
      </c>
      <c r="I260" s="59">
        <v>5.7350000000000003</v>
      </c>
      <c r="J260" s="35">
        <v>84</v>
      </c>
      <c r="K260" s="35" t="s">
        <v>85</v>
      </c>
      <c r="L260" s="35" t="s">
        <v>112</v>
      </c>
      <c r="M260" s="36" t="s">
        <v>84</v>
      </c>
      <c r="N260" s="36"/>
      <c r="O260" s="35">
        <v>180</v>
      </c>
      <c r="P260" s="44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353"/>
      <c r="R260" s="353"/>
      <c r="S260" s="353"/>
      <c r="T260" s="354"/>
      <c r="U260" s="37" t="s">
        <v>46</v>
      </c>
      <c r="V260" s="37" t="s">
        <v>46</v>
      </c>
      <c r="W260" s="38" t="s">
        <v>39</v>
      </c>
      <c r="X260" s="56">
        <v>84</v>
      </c>
      <c r="Y260" s="53">
        <f t="shared" si="18"/>
        <v>84</v>
      </c>
      <c r="Z260" s="39">
        <f>IFERROR(IF(X260="","",X260*0.0155),"")</f>
        <v>1.302</v>
      </c>
      <c r="AA260" s="65" t="s">
        <v>46</v>
      </c>
      <c r="AB260" s="66" t="s">
        <v>46</v>
      </c>
      <c r="AC260" s="262" t="s">
        <v>357</v>
      </c>
      <c r="AG260" s="78"/>
      <c r="AJ260" s="82" t="s">
        <v>113</v>
      </c>
      <c r="AK260" s="82">
        <v>12</v>
      </c>
      <c r="BB260" s="263" t="s">
        <v>110</v>
      </c>
      <c r="BM260" s="78">
        <f t="shared" si="19"/>
        <v>481.74</v>
      </c>
      <c r="BN260" s="78">
        <f t="shared" si="20"/>
        <v>481.74</v>
      </c>
      <c r="BO260" s="78">
        <f t="shared" si="21"/>
        <v>1</v>
      </c>
      <c r="BP260" s="78">
        <f t="shared" si="22"/>
        <v>1</v>
      </c>
    </row>
    <row r="261" spans="1:68" ht="27" hidden="1" customHeight="1" x14ac:dyDescent="0.25">
      <c r="A261" s="60" t="s">
        <v>363</v>
      </c>
      <c r="B261" s="60" t="s">
        <v>364</v>
      </c>
      <c r="C261" s="34">
        <v>4301135405</v>
      </c>
      <c r="D261" s="351">
        <v>4640242181523</v>
      </c>
      <c r="E261" s="351"/>
      <c r="F261" s="59">
        <v>3</v>
      </c>
      <c r="G261" s="35">
        <v>1</v>
      </c>
      <c r="H261" s="59">
        <v>3</v>
      </c>
      <c r="I261" s="59">
        <v>3.1920000000000002</v>
      </c>
      <c r="J261" s="35">
        <v>126</v>
      </c>
      <c r="K261" s="35" t="s">
        <v>111</v>
      </c>
      <c r="L261" s="35" t="s">
        <v>112</v>
      </c>
      <c r="M261" s="36" t="s">
        <v>84</v>
      </c>
      <c r="N261" s="36"/>
      <c r="O261" s="35">
        <v>180</v>
      </c>
      <c r="P261" s="44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353"/>
      <c r="R261" s="353"/>
      <c r="S261" s="353"/>
      <c r="T261" s="354"/>
      <c r="U261" s="37" t="s">
        <v>46</v>
      </c>
      <c r="V261" s="37" t="s">
        <v>46</v>
      </c>
      <c r="W261" s="38" t="s">
        <v>39</v>
      </c>
      <c r="X261" s="56">
        <v>0</v>
      </c>
      <c r="Y261" s="53">
        <f t="shared" si="18"/>
        <v>0</v>
      </c>
      <c r="Z261" s="39">
        <f t="shared" ref="Z261:Z266" si="23">IFERROR(IF(X261="","",X261*0.00936),"")</f>
        <v>0</v>
      </c>
      <c r="AA261" s="65" t="s">
        <v>46</v>
      </c>
      <c r="AB261" s="66" t="s">
        <v>46</v>
      </c>
      <c r="AC261" s="264" t="s">
        <v>360</v>
      </c>
      <c r="AG261" s="78"/>
      <c r="AJ261" s="82" t="s">
        <v>113</v>
      </c>
      <c r="AK261" s="82">
        <v>14</v>
      </c>
      <c r="BB261" s="265" t="s">
        <v>110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customHeight="1" x14ac:dyDescent="0.25">
      <c r="A262" s="60" t="s">
        <v>365</v>
      </c>
      <c r="B262" s="60" t="s">
        <v>366</v>
      </c>
      <c r="C262" s="34">
        <v>4301135375</v>
      </c>
      <c r="D262" s="351">
        <v>4640242181486</v>
      </c>
      <c r="E262" s="351"/>
      <c r="F262" s="59">
        <v>3.7</v>
      </c>
      <c r="G262" s="35">
        <v>1</v>
      </c>
      <c r="H262" s="59">
        <v>3.7</v>
      </c>
      <c r="I262" s="59">
        <v>3.8919999999999999</v>
      </c>
      <c r="J262" s="35">
        <v>126</v>
      </c>
      <c r="K262" s="35" t="s">
        <v>111</v>
      </c>
      <c r="L262" s="35" t="s">
        <v>112</v>
      </c>
      <c r="M262" s="36" t="s">
        <v>84</v>
      </c>
      <c r="N262" s="36"/>
      <c r="O262" s="35">
        <v>180</v>
      </c>
      <c r="P262" s="45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353"/>
      <c r="R262" s="353"/>
      <c r="S262" s="353"/>
      <c r="T262" s="354"/>
      <c r="U262" s="37" t="s">
        <v>46</v>
      </c>
      <c r="V262" s="37" t="s">
        <v>46</v>
      </c>
      <c r="W262" s="38" t="s">
        <v>39</v>
      </c>
      <c r="X262" s="56">
        <v>252</v>
      </c>
      <c r="Y262" s="53">
        <f t="shared" si="18"/>
        <v>252</v>
      </c>
      <c r="Z262" s="39">
        <f t="shared" si="23"/>
        <v>2.3587199999999999</v>
      </c>
      <c r="AA262" s="65" t="s">
        <v>46</v>
      </c>
      <c r="AB262" s="66" t="s">
        <v>46</v>
      </c>
      <c r="AC262" s="266" t="s">
        <v>357</v>
      </c>
      <c r="AG262" s="78"/>
      <c r="AJ262" s="82" t="s">
        <v>113</v>
      </c>
      <c r="AK262" s="82">
        <v>14</v>
      </c>
      <c r="BB262" s="267" t="s">
        <v>110</v>
      </c>
      <c r="BM262" s="78">
        <f t="shared" si="19"/>
        <v>980.78399999999999</v>
      </c>
      <c r="BN262" s="78">
        <f t="shared" si="20"/>
        <v>980.78399999999999</v>
      </c>
      <c r="BO262" s="78">
        <f t="shared" si="21"/>
        <v>2</v>
      </c>
      <c r="BP262" s="78">
        <f t="shared" si="22"/>
        <v>2</v>
      </c>
    </row>
    <row r="263" spans="1:68" ht="37.5" hidden="1" customHeight="1" x14ac:dyDescent="0.25">
      <c r="A263" s="60" t="s">
        <v>367</v>
      </c>
      <c r="B263" s="60" t="s">
        <v>368</v>
      </c>
      <c r="C263" s="34">
        <v>4301135402</v>
      </c>
      <c r="D263" s="351">
        <v>4640242181493</v>
      </c>
      <c r="E263" s="351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111</v>
      </c>
      <c r="L263" s="35" t="s">
        <v>112</v>
      </c>
      <c r="M263" s="36" t="s">
        <v>84</v>
      </c>
      <c r="N263" s="36"/>
      <c r="O263" s="35">
        <v>180</v>
      </c>
      <c r="P263" s="45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353"/>
      <c r="R263" s="353"/>
      <c r="S263" s="353"/>
      <c r="T263" s="354"/>
      <c r="U263" s="37" t="s">
        <v>46</v>
      </c>
      <c r="V263" s="37" t="s">
        <v>46</v>
      </c>
      <c r="W263" s="38" t="s">
        <v>39</v>
      </c>
      <c r="X263" s="56">
        <v>0</v>
      </c>
      <c r="Y263" s="53">
        <f t="shared" si="18"/>
        <v>0</v>
      </c>
      <c r="Z263" s="39">
        <f t="shared" si="23"/>
        <v>0</v>
      </c>
      <c r="AA263" s="65" t="s">
        <v>46</v>
      </c>
      <c r="AB263" s="66" t="s">
        <v>46</v>
      </c>
      <c r="AC263" s="268" t="s">
        <v>357</v>
      </c>
      <c r="AG263" s="78"/>
      <c r="AJ263" s="82" t="s">
        <v>113</v>
      </c>
      <c r="AK263" s="82">
        <v>14</v>
      </c>
      <c r="BB263" s="269" t="s">
        <v>110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ht="37.5" hidden="1" customHeight="1" x14ac:dyDescent="0.25">
      <c r="A264" s="60" t="s">
        <v>369</v>
      </c>
      <c r="B264" s="60" t="s">
        <v>370</v>
      </c>
      <c r="C264" s="34">
        <v>4301135403</v>
      </c>
      <c r="D264" s="351">
        <v>4640242181509</v>
      </c>
      <c r="E264" s="351"/>
      <c r="F264" s="59">
        <v>3.7</v>
      </c>
      <c r="G264" s="35">
        <v>1</v>
      </c>
      <c r="H264" s="59">
        <v>3.7</v>
      </c>
      <c r="I264" s="59">
        <v>3.8919999999999999</v>
      </c>
      <c r="J264" s="35">
        <v>126</v>
      </c>
      <c r="K264" s="35" t="s">
        <v>111</v>
      </c>
      <c r="L264" s="35" t="s">
        <v>86</v>
      </c>
      <c r="M264" s="36" t="s">
        <v>84</v>
      </c>
      <c r="N264" s="36"/>
      <c r="O264" s="35">
        <v>180</v>
      </c>
      <c r="P264" s="45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353"/>
      <c r="R264" s="353"/>
      <c r="S264" s="353"/>
      <c r="T264" s="354"/>
      <c r="U264" s="37" t="s">
        <v>46</v>
      </c>
      <c r="V264" s="37" t="s">
        <v>46</v>
      </c>
      <c r="W264" s="38" t="s">
        <v>39</v>
      </c>
      <c r="X264" s="56">
        <v>0</v>
      </c>
      <c r="Y264" s="53">
        <f t="shared" si="18"/>
        <v>0</v>
      </c>
      <c r="Z264" s="39">
        <f t="shared" si="23"/>
        <v>0</v>
      </c>
      <c r="AA264" s="65" t="s">
        <v>46</v>
      </c>
      <c r="AB264" s="66" t="s">
        <v>46</v>
      </c>
      <c r="AC264" s="270" t="s">
        <v>357</v>
      </c>
      <c r="AG264" s="78"/>
      <c r="AJ264" s="82" t="s">
        <v>87</v>
      </c>
      <c r="AK264" s="82">
        <v>1</v>
      </c>
      <c r="BB264" s="271" t="s">
        <v>110</v>
      </c>
      <c r="BM264" s="78">
        <f t="shared" si="19"/>
        <v>0</v>
      </c>
      <c r="BN264" s="78">
        <f t="shared" si="20"/>
        <v>0</v>
      </c>
      <c r="BO264" s="78">
        <f t="shared" si="21"/>
        <v>0</v>
      </c>
      <c r="BP264" s="78">
        <f t="shared" si="22"/>
        <v>0</v>
      </c>
    </row>
    <row r="265" spans="1:68" ht="27" hidden="1" customHeight="1" x14ac:dyDescent="0.25">
      <c r="A265" s="60" t="s">
        <v>371</v>
      </c>
      <c r="B265" s="60" t="s">
        <v>372</v>
      </c>
      <c r="C265" s="34">
        <v>4301135304</v>
      </c>
      <c r="D265" s="351">
        <v>4640242181240</v>
      </c>
      <c r="E265" s="351"/>
      <c r="F265" s="59">
        <v>0.3</v>
      </c>
      <c r="G265" s="35">
        <v>9</v>
      </c>
      <c r="H265" s="59">
        <v>2.7</v>
      </c>
      <c r="I265" s="59">
        <v>2.88</v>
      </c>
      <c r="J265" s="35">
        <v>126</v>
      </c>
      <c r="K265" s="35" t="s">
        <v>111</v>
      </c>
      <c r="L265" s="35" t="s">
        <v>112</v>
      </c>
      <c r="M265" s="36" t="s">
        <v>84</v>
      </c>
      <c r="N265" s="36"/>
      <c r="O265" s="35">
        <v>180</v>
      </c>
      <c r="P265" s="45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353"/>
      <c r="R265" s="353"/>
      <c r="S265" s="353"/>
      <c r="T265" s="354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 t="shared" si="23"/>
        <v>0</v>
      </c>
      <c r="AA265" s="65" t="s">
        <v>46</v>
      </c>
      <c r="AB265" s="66" t="s">
        <v>46</v>
      </c>
      <c r="AC265" s="272" t="s">
        <v>357</v>
      </c>
      <c r="AG265" s="78"/>
      <c r="AJ265" s="82" t="s">
        <v>113</v>
      </c>
      <c r="AK265" s="82">
        <v>14</v>
      </c>
      <c r="BB265" s="273" t="s">
        <v>110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hidden="1" customHeight="1" x14ac:dyDescent="0.25">
      <c r="A266" s="60" t="s">
        <v>373</v>
      </c>
      <c r="B266" s="60" t="s">
        <v>374</v>
      </c>
      <c r="C266" s="34">
        <v>4301135610</v>
      </c>
      <c r="D266" s="351">
        <v>4640242181318</v>
      </c>
      <c r="E266" s="351"/>
      <c r="F266" s="59">
        <v>0.3</v>
      </c>
      <c r="G266" s="35">
        <v>9</v>
      </c>
      <c r="H266" s="59">
        <v>2.7</v>
      </c>
      <c r="I266" s="59">
        <v>2.988</v>
      </c>
      <c r="J266" s="35">
        <v>126</v>
      </c>
      <c r="K266" s="35" t="s">
        <v>111</v>
      </c>
      <c r="L266" s="35" t="s">
        <v>112</v>
      </c>
      <c r="M266" s="36" t="s">
        <v>84</v>
      </c>
      <c r="N266" s="36"/>
      <c r="O266" s="35">
        <v>180</v>
      </c>
      <c r="P266" s="45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353"/>
      <c r="R266" s="353"/>
      <c r="S266" s="353"/>
      <c r="T266" s="354"/>
      <c r="U266" s="37" t="s">
        <v>46</v>
      </c>
      <c r="V266" s="37" t="s">
        <v>46</v>
      </c>
      <c r="W266" s="38" t="s">
        <v>39</v>
      </c>
      <c r="X266" s="56">
        <v>0</v>
      </c>
      <c r="Y266" s="53">
        <f t="shared" si="18"/>
        <v>0</v>
      </c>
      <c r="Z266" s="39">
        <f t="shared" si="23"/>
        <v>0</v>
      </c>
      <c r="AA266" s="65" t="s">
        <v>46</v>
      </c>
      <c r="AB266" s="66" t="s">
        <v>46</v>
      </c>
      <c r="AC266" s="274" t="s">
        <v>360</v>
      </c>
      <c r="AG266" s="78"/>
      <c r="AJ266" s="82" t="s">
        <v>113</v>
      </c>
      <c r="AK266" s="82">
        <v>14</v>
      </c>
      <c r="BB266" s="275" t="s">
        <v>110</v>
      </c>
      <c r="BM266" s="78">
        <f t="shared" si="19"/>
        <v>0</v>
      </c>
      <c r="BN266" s="78">
        <f t="shared" si="20"/>
        <v>0</v>
      </c>
      <c r="BO266" s="78">
        <f t="shared" si="21"/>
        <v>0</v>
      </c>
      <c r="BP266" s="78">
        <f t="shared" si="22"/>
        <v>0</v>
      </c>
    </row>
    <row r="267" spans="1:68" ht="27" hidden="1" customHeight="1" x14ac:dyDescent="0.25">
      <c r="A267" s="60" t="s">
        <v>375</v>
      </c>
      <c r="B267" s="60" t="s">
        <v>376</v>
      </c>
      <c r="C267" s="34">
        <v>4301135306</v>
      </c>
      <c r="D267" s="351">
        <v>4640242181387</v>
      </c>
      <c r="E267" s="351"/>
      <c r="F267" s="59">
        <v>0.3</v>
      </c>
      <c r="G267" s="35">
        <v>9</v>
      </c>
      <c r="H267" s="59">
        <v>2.7</v>
      </c>
      <c r="I267" s="59">
        <v>2.8450000000000002</v>
      </c>
      <c r="J267" s="35">
        <v>234</v>
      </c>
      <c r="K267" s="35" t="s">
        <v>162</v>
      </c>
      <c r="L267" s="35" t="s">
        <v>112</v>
      </c>
      <c r="M267" s="36" t="s">
        <v>84</v>
      </c>
      <c r="N267" s="36"/>
      <c r="O267" s="35">
        <v>180</v>
      </c>
      <c r="P267" s="45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353"/>
      <c r="R267" s="353"/>
      <c r="S267" s="353"/>
      <c r="T267" s="354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>IFERROR(IF(X267="","",X267*0.00502),"")</f>
        <v>0</v>
      </c>
      <c r="AA267" s="65" t="s">
        <v>46</v>
      </c>
      <c r="AB267" s="66" t="s">
        <v>46</v>
      </c>
      <c r="AC267" s="276" t="s">
        <v>357</v>
      </c>
      <c r="AG267" s="78"/>
      <c r="AJ267" s="82" t="s">
        <v>113</v>
      </c>
      <c r="AK267" s="82">
        <v>18</v>
      </c>
      <c r="BB267" s="277" t="s">
        <v>110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x14ac:dyDescent="0.2">
      <c r="A268" s="363"/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4"/>
      <c r="P268" s="360" t="s">
        <v>40</v>
      </c>
      <c r="Q268" s="361"/>
      <c r="R268" s="361"/>
      <c r="S268" s="361"/>
      <c r="T268" s="361"/>
      <c r="U268" s="361"/>
      <c r="V268" s="362"/>
      <c r="W268" s="40" t="s">
        <v>39</v>
      </c>
      <c r="X268" s="41">
        <f>IFERROR(SUM(X258:X267),"0")</f>
        <v>588</v>
      </c>
      <c r="Y268" s="41">
        <f>IFERROR(SUM(Y258:Y267),"0")</f>
        <v>588</v>
      </c>
      <c r="Z268" s="41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7.5667200000000001</v>
      </c>
      <c r="AA268" s="64"/>
      <c r="AB268" s="64"/>
      <c r="AC268" s="64"/>
    </row>
    <row r="269" spans="1:68" x14ac:dyDescent="0.2">
      <c r="A269" s="363"/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4"/>
      <c r="P269" s="360" t="s">
        <v>40</v>
      </c>
      <c r="Q269" s="361"/>
      <c r="R269" s="361"/>
      <c r="S269" s="361"/>
      <c r="T269" s="361"/>
      <c r="U269" s="361"/>
      <c r="V269" s="362"/>
      <c r="W269" s="40" t="s">
        <v>0</v>
      </c>
      <c r="X269" s="41">
        <f>IFERROR(SUMPRODUCT(X258:X267*H258:H267),"0")</f>
        <v>2654.4</v>
      </c>
      <c r="Y269" s="41">
        <f>IFERROR(SUMPRODUCT(Y258:Y267*H258:H267),"0")</f>
        <v>2654.4</v>
      </c>
      <c r="Z269" s="40"/>
      <c r="AA269" s="64"/>
      <c r="AB269" s="64"/>
      <c r="AC269" s="64"/>
    </row>
    <row r="270" spans="1:68" ht="15" customHeight="1" x14ac:dyDescent="0.2">
      <c r="A270" s="363"/>
      <c r="B270" s="363"/>
      <c r="C270" s="363"/>
      <c r="D270" s="363"/>
      <c r="E270" s="363"/>
      <c r="F270" s="363"/>
      <c r="G270" s="363"/>
      <c r="H270" s="363"/>
      <c r="I270" s="363"/>
      <c r="J270" s="363"/>
      <c r="K270" s="363"/>
      <c r="L270" s="363"/>
      <c r="M270" s="363"/>
      <c r="N270" s="363"/>
      <c r="O270" s="459"/>
      <c r="P270" s="456" t="s">
        <v>33</v>
      </c>
      <c r="Q270" s="457"/>
      <c r="R270" s="457"/>
      <c r="S270" s="457"/>
      <c r="T270" s="457"/>
      <c r="U270" s="457"/>
      <c r="V270" s="458"/>
      <c r="W270" s="40" t="s">
        <v>0</v>
      </c>
      <c r="X270" s="41">
        <f>IFERROR(X29+X35+X42+X49+X57+X62+X66+X71+X77+X83+X88+X94+X105+X111+X122+X126+X130+X137+X144+X151+X157+X162+X167+X172+X179+X184+X193+X199+X206+X211+X217+X223+X229+X235+X239+X246+X250+X256+X269,"0")</f>
        <v>6921.6</v>
      </c>
      <c r="Y270" s="41">
        <f>IFERROR(Y29+Y35+Y42+Y49+Y57+Y62+Y66+Y71+Y77+Y83+Y88+Y94+Y105+Y111+Y122+Y126+Y130+Y137+Y144+Y151+Y157+Y162+Y167+Y172+Y179+Y184+Y193+Y199+Y206+Y211+Y217+Y223+Y229+Y235+Y239+Y246+Y250+Y256+Y269,"0")</f>
        <v>6921.6</v>
      </c>
      <c r="Z270" s="40"/>
      <c r="AA270" s="64"/>
      <c r="AB270" s="64"/>
      <c r="AC270" s="64"/>
    </row>
    <row r="271" spans="1:68" x14ac:dyDescent="0.2">
      <c r="A271" s="363"/>
      <c r="B271" s="363"/>
      <c r="C271" s="363"/>
      <c r="D271" s="363"/>
      <c r="E271" s="363"/>
      <c r="F271" s="363"/>
      <c r="G271" s="363"/>
      <c r="H271" s="363"/>
      <c r="I271" s="363"/>
      <c r="J271" s="363"/>
      <c r="K271" s="363"/>
      <c r="L271" s="363"/>
      <c r="M271" s="363"/>
      <c r="N271" s="363"/>
      <c r="O271" s="459"/>
      <c r="P271" s="456" t="s">
        <v>34</v>
      </c>
      <c r="Q271" s="457"/>
      <c r="R271" s="457"/>
      <c r="S271" s="457"/>
      <c r="T271" s="457"/>
      <c r="U271" s="457"/>
      <c r="V271" s="458"/>
      <c r="W271" s="40" t="s">
        <v>0</v>
      </c>
      <c r="X271" s="41">
        <f>IFERROR(SUM(BM22:BM267),"0")</f>
        <v>7549.4384</v>
      </c>
      <c r="Y271" s="41">
        <f>IFERROR(SUM(BN22:BN267),"0")</f>
        <v>7549.4384</v>
      </c>
      <c r="Z271" s="40"/>
      <c r="AA271" s="64"/>
      <c r="AB271" s="64"/>
      <c r="AC271" s="64"/>
    </row>
    <row r="272" spans="1:68" x14ac:dyDescent="0.2">
      <c r="A272" s="363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459"/>
      <c r="P272" s="456" t="s">
        <v>35</v>
      </c>
      <c r="Q272" s="457"/>
      <c r="R272" s="457"/>
      <c r="S272" s="457"/>
      <c r="T272" s="457"/>
      <c r="U272" s="457"/>
      <c r="V272" s="458"/>
      <c r="W272" s="40" t="s">
        <v>20</v>
      </c>
      <c r="X272" s="42">
        <f>ROUNDUP(SUM(BO22:BO267),0)</f>
        <v>20</v>
      </c>
      <c r="Y272" s="42">
        <f>ROUNDUP(SUM(BP22:BP267),0)</f>
        <v>20</v>
      </c>
      <c r="Z272" s="40"/>
      <c r="AA272" s="64"/>
      <c r="AB272" s="64"/>
      <c r="AC272" s="64"/>
    </row>
    <row r="273" spans="1:32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459"/>
      <c r="P273" s="456" t="s">
        <v>36</v>
      </c>
      <c r="Q273" s="457"/>
      <c r="R273" s="457"/>
      <c r="S273" s="457"/>
      <c r="T273" s="457"/>
      <c r="U273" s="457"/>
      <c r="V273" s="458"/>
      <c r="W273" s="40" t="s">
        <v>0</v>
      </c>
      <c r="X273" s="41">
        <f>GrossWeightTotal+PalletQtyTotal*25</f>
        <v>8049.4384</v>
      </c>
      <c r="Y273" s="41">
        <f>GrossWeightTotalR+PalletQtyTotalR*25</f>
        <v>8049.4384</v>
      </c>
      <c r="Z273" s="40"/>
      <c r="AA273" s="64"/>
      <c r="AB273" s="64"/>
      <c r="AC273" s="64"/>
    </row>
    <row r="274" spans="1:32" x14ac:dyDescent="0.2">
      <c r="A274" s="363"/>
      <c r="B274" s="363"/>
      <c r="C274" s="363"/>
      <c r="D274" s="363"/>
      <c r="E274" s="363"/>
      <c r="F274" s="363"/>
      <c r="G274" s="363"/>
      <c r="H274" s="363"/>
      <c r="I274" s="363"/>
      <c r="J274" s="363"/>
      <c r="K274" s="363"/>
      <c r="L274" s="363"/>
      <c r="M274" s="363"/>
      <c r="N274" s="363"/>
      <c r="O274" s="459"/>
      <c r="P274" s="456" t="s">
        <v>37</v>
      </c>
      <c r="Q274" s="457"/>
      <c r="R274" s="457"/>
      <c r="S274" s="457"/>
      <c r="T274" s="457"/>
      <c r="U274" s="457"/>
      <c r="V274" s="458"/>
      <c r="W274" s="40" t="s">
        <v>20</v>
      </c>
      <c r="X274" s="41">
        <f>IFERROR(X28+X34+X41+X48+X56+X61+X65+X70+X76+X82+X87+X93+X104+X110+X121+X125+X129+X136+X143+X150+X156+X161+X166+X171+X178+X183+X192+X198+X205+X210+X216+X222+X228+X234+X238+X245+X249+X255+X268,"0")</f>
        <v>1652</v>
      </c>
      <c r="Y274" s="41">
        <f>IFERROR(Y28+Y34+Y41+Y48+Y56+Y61+Y65+Y70+Y76+Y82+Y87+Y93+Y104+Y110+Y121+Y125+Y129+Y136+Y143+Y150+Y156+Y161+Y166+Y171+Y178+Y183+Y192+Y198+Y205+Y210+Y216+Y222+Y228+Y234+Y238+Y245+Y249+Y255+Y268,"0")</f>
        <v>1652</v>
      </c>
      <c r="Z274" s="40"/>
      <c r="AA274" s="64"/>
      <c r="AB274" s="64"/>
      <c r="AC274" s="64"/>
    </row>
    <row r="275" spans="1:32" ht="14.25" hidden="1" x14ac:dyDescent="0.2">
      <c r="A275" s="363"/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459"/>
      <c r="P275" s="456" t="s">
        <v>38</v>
      </c>
      <c r="Q275" s="457"/>
      <c r="R275" s="457"/>
      <c r="S275" s="457"/>
      <c r="T275" s="457"/>
      <c r="U275" s="457"/>
      <c r="V275" s="458"/>
      <c r="W275" s="43" t="s">
        <v>52</v>
      </c>
      <c r="X275" s="40"/>
      <c r="Y275" s="40"/>
      <c r="Z275" s="40">
        <f>IFERROR(Z28+Z34+Z41+Z48+Z56+Z61+Z65+Z70+Z76+Z82+Z87+Z93+Z104+Z110+Z121+Z125+Z129+Z136+Z143+Z150+Z156+Z161+Z166+Z171+Z178+Z183+Z192+Z198+Z205+Z210+Z216+Z222+Z228+Z234+Z238+Z245+Z249+Z255+Z268,"0")</f>
        <v>25.39152</v>
      </c>
      <c r="AA275" s="64"/>
      <c r="AB275" s="64"/>
      <c r="AC275" s="64"/>
    </row>
    <row r="276" spans="1:32" ht="13.5" thickBot="1" x14ac:dyDescent="0.25"/>
    <row r="277" spans="1:32" ht="27" thickTop="1" thickBot="1" x14ac:dyDescent="0.25">
      <c r="A277" s="44" t="s">
        <v>9</v>
      </c>
      <c r="B277" s="462" t="s">
        <v>79</v>
      </c>
      <c r="C277" s="462" t="s">
        <v>79</v>
      </c>
      <c r="D277" s="462" t="s">
        <v>45</v>
      </c>
      <c r="E277" s="462" t="s">
        <v>45</v>
      </c>
      <c r="F277" s="462" t="s">
        <v>45</v>
      </c>
      <c r="G277" s="462" t="s">
        <v>45</v>
      </c>
      <c r="H277" s="462" t="s">
        <v>45</v>
      </c>
      <c r="I277" s="462" t="s">
        <v>45</v>
      </c>
      <c r="J277" s="462" t="s">
        <v>45</v>
      </c>
      <c r="K277" s="462" t="s">
        <v>45</v>
      </c>
      <c r="L277" s="462" t="s">
        <v>45</v>
      </c>
      <c r="M277" s="462" t="s">
        <v>45</v>
      </c>
      <c r="N277" s="463"/>
      <c r="O277" s="462" t="s">
        <v>45</v>
      </c>
      <c r="P277" s="462" t="s">
        <v>45</v>
      </c>
      <c r="Q277" s="462" t="s">
        <v>45</v>
      </c>
      <c r="R277" s="462" t="s">
        <v>45</v>
      </c>
      <c r="S277" s="462" t="s">
        <v>45</v>
      </c>
      <c r="T277" s="462" t="s">
        <v>45</v>
      </c>
      <c r="U277" s="462" t="s">
        <v>45</v>
      </c>
      <c r="V277" s="83" t="s">
        <v>268</v>
      </c>
      <c r="W277" s="83" t="s">
        <v>282</v>
      </c>
      <c r="X277" s="462" t="s">
        <v>296</v>
      </c>
      <c r="Y277" s="462" t="s">
        <v>296</v>
      </c>
      <c r="Z277" s="462" t="s">
        <v>296</v>
      </c>
      <c r="AA277" s="83" t="s">
        <v>322</v>
      </c>
      <c r="AB277" s="83" t="s">
        <v>327</v>
      </c>
      <c r="AC277" s="83" t="s">
        <v>331</v>
      </c>
      <c r="AD277" s="83" t="s">
        <v>339</v>
      </c>
      <c r="AF277" s="1"/>
    </row>
    <row r="278" spans="1:32" ht="14.25" customHeight="1" thickTop="1" x14ac:dyDescent="0.2">
      <c r="A278" s="460" t="s">
        <v>10</v>
      </c>
      <c r="B278" s="462" t="s">
        <v>79</v>
      </c>
      <c r="C278" s="462" t="s">
        <v>99</v>
      </c>
      <c r="D278" s="462" t="s">
        <v>105</v>
      </c>
      <c r="E278" s="462" t="s">
        <v>116</v>
      </c>
      <c r="F278" s="462" t="s">
        <v>126</v>
      </c>
      <c r="G278" s="462" t="s">
        <v>137</v>
      </c>
      <c r="H278" s="462" t="s">
        <v>158</v>
      </c>
      <c r="I278" s="462" t="s">
        <v>165</v>
      </c>
      <c r="J278" s="462" t="s">
        <v>169</v>
      </c>
      <c r="K278" s="462" t="s">
        <v>177</v>
      </c>
      <c r="L278" s="462" t="s">
        <v>195</v>
      </c>
      <c r="M278" s="462" t="s">
        <v>201</v>
      </c>
      <c r="N278" s="1"/>
      <c r="O278" s="462" t="s">
        <v>226</v>
      </c>
      <c r="P278" s="462" t="s">
        <v>235</v>
      </c>
      <c r="Q278" s="462" t="s">
        <v>243</v>
      </c>
      <c r="R278" s="462" t="s">
        <v>252</v>
      </c>
      <c r="S278" s="462" t="s">
        <v>257</v>
      </c>
      <c r="T278" s="462" t="s">
        <v>261</v>
      </c>
      <c r="U278" s="462" t="s">
        <v>264</v>
      </c>
      <c r="V278" s="462" t="s">
        <v>269</v>
      </c>
      <c r="W278" s="462" t="s">
        <v>283</v>
      </c>
      <c r="X278" s="462" t="s">
        <v>297</v>
      </c>
      <c r="Y278" s="462" t="s">
        <v>312</v>
      </c>
      <c r="Z278" s="462" t="s">
        <v>316</v>
      </c>
      <c r="AA278" s="462" t="s">
        <v>323</v>
      </c>
      <c r="AB278" s="462" t="s">
        <v>328</v>
      </c>
      <c r="AC278" s="462" t="s">
        <v>332</v>
      </c>
      <c r="AD278" s="462" t="s">
        <v>339</v>
      </c>
      <c r="AF278" s="1"/>
    </row>
    <row r="279" spans="1:32" ht="13.5" thickBot="1" x14ac:dyDescent="0.25">
      <c r="A279" s="461"/>
      <c r="B279" s="462"/>
      <c r="C279" s="462"/>
      <c r="D279" s="462"/>
      <c r="E279" s="462"/>
      <c r="F279" s="462"/>
      <c r="G279" s="462"/>
      <c r="H279" s="462"/>
      <c r="I279" s="462"/>
      <c r="J279" s="462"/>
      <c r="K279" s="462"/>
      <c r="L279" s="462"/>
      <c r="M279" s="462"/>
      <c r="N279" s="1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  <c r="AA279" s="462"/>
      <c r="AB279" s="462"/>
      <c r="AC279" s="462"/>
      <c r="AD279" s="462"/>
      <c r="AF279" s="1"/>
    </row>
    <row r="280" spans="1:32" ht="18" thickTop="1" thickBot="1" x14ac:dyDescent="0.25">
      <c r="A280" s="44" t="s">
        <v>13</v>
      </c>
      <c r="B280" s="50">
        <f>IFERROR(X22*H22,"0")+IFERROR(X23*H23,"0")+IFERROR(X24*H24,"0")+IFERROR(X25*H25,"0")+IFERROR(X26*H26,"0")+IFERROR(X27*H27,"0")</f>
        <v>0</v>
      </c>
      <c r="C280" s="50">
        <f>IFERROR(X32*H32,"0")+IFERROR(X33*H33,"0")</f>
        <v>0</v>
      </c>
      <c r="D280" s="50">
        <f>IFERROR(X39*H39,"0")+IFERROR(X40*H40,"0")</f>
        <v>0</v>
      </c>
      <c r="E280" s="50">
        <f>IFERROR(X45*H45,"0")+IFERROR(X46*H46,"0")+IFERROR(X47*H47,"0")</f>
        <v>0</v>
      </c>
      <c r="F280" s="50">
        <f>IFERROR(X52*H52,"0")+IFERROR(X53*H53,"0")+IFERROR(X54*H54,"0")+IFERROR(X55*H55,"0")</f>
        <v>0</v>
      </c>
      <c r="G280" s="50">
        <f>IFERROR(X60*H60,"0")+IFERROR(X64*H64,"0")+IFERROR(X68*H68,"0")+IFERROR(X69*H69,"0")+IFERROR(X73*H73,"0")+IFERROR(X74*H74,"0")+IFERROR(X75*H75,"0")</f>
        <v>0</v>
      </c>
      <c r="H280" s="50">
        <f>IFERROR(X80*H80,"0")+IFERROR(X81*H81,"0")</f>
        <v>0</v>
      </c>
      <c r="I280" s="50">
        <f>IFERROR(X86*H86,"0")</f>
        <v>0</v>
      </c>
      <c r="J280" s="50">
        <f>IFERROR(X91*H91,"0")+IFERROR(X92*H92,"0")</f>
        <v>50.4</v>
      </c>
      <c r="K280" s="50">
        <f>IFERROR(X97*H97,"0")+IFERROR(X98*H98,"0")+IFERROR(X99*H99,"0")+IFERROR(X100*H100,"0")+IFERROR(X101*H101,"0")+IFERROR(X102*H102,"0")+IFERROR(X103*H103,"0")</f>
        <v>604.79999999999995</v>
      </c>
      <c r="L280" s="50">
        <f>IFERROR(X108*H108,"0")+IFERROR(X109*H109,"0")</f>
        <v>0</v>
      </c>
      <c r="M280" s="50">
        <f>IFERROR(X114*H114,"0")+IFERROR(X115*H115,"0")+IFERROR(X116*H116,"0")+IFERROR(X117*H117,"0")+IFERROR(X118*H118,"0")+IFERROR(X119*H119,"0")+IFERROR(X120*H120,"0")+IFERROR(X124*H124,"0")+IFERROR(X128*H128,"0")</f>
        <v>0</v>
      </c>
      <c r="N280" s="1"/>
      <c r="O280" s="50">
        <f>IFERROR(X133*H133,"0")+IFERROR(X134*H134,"0")+IFERROR(X135*H135,"0")</f>
        <v>0</v>
      </c>
      <c r="P280" s="50">
        <f>IFERROR(X140*H140,"0")+IFERROR(X141*H141,"0")+IFERROR(X142*H142,"0")</f>
        <v>630</v>
      </c>
      <c r="Q280" s="50">
        <f>IFERROR(X147*H147,"0")+IFERROR(X148*H148,"0")+IFERROR(X149*H149,"0")</f>
        <v>210</v>
      </c>
      <c r="R280" s="50">
        <f>IFERROR(X154*H154,"0")+IFERROR(X155*H155,"0")</f>
        <v>0</v>
      </c>
      <c r="S280" s="50">
        <f>IFERROR(X160*H160,"0")</f>
        <v>0</v>
      </c>
      <c r="T280" s="50">
        <f>IFERROR(X165*H165,"0")</f>
        <v>0</v>
      </c>
      <c r="U280" s="50">
        <f>IFERROR(X170*H170,"0")</f>
        <v>0</v>
      </c>
      <c r="V280" s="50">
        <f>IFERROR(X176*H176,"0")+IFERROR(X177*H177,"0")+IFERROR(X181*H181,"0")+IFERROR(X182*H182,"0")</f>
        <v>0</v>
      </c>
      <c r="W280" s="50">
        <f>IFERROR(X188*H188,"0")+IFERROR(X189*H189,"0")+IFERROR(X190*H190,"0")+IFERROR(X191*H191,"0")</f>
        <v>168</v>
      </c>
      <c r="X280" s="50">
        <f>IFERROR(X197*H197,"0")+IFERROR(X201*H201,"0")+IFERROR(X202*H202,"0")+IFERROR(X203*H203,"0")+IFERROR(X204*H204,"0")</f>
        <v>0</v>
      </c>
      <c r="Y280" s="50">
        <f>IFERROR(X209*H209,"0")</f>
        <v>0</v>
      </c>
      <c r="Z280" s="50">
        <f>IFERROR(X214*H214,"0")+IFERROR(X215*H215,"0")</f>
        <v>0</v>
      </c>
      <c r="AA280" s="50">
        <f>IFERROR(X221*H221,"0")</f>
        <v>0</v>
      </c>
      <c r="AB280" s="50">
        <f>IFERROR(X227*H227,"0")</f>
        <v>0</v>
      </c>
      <c r="AC280" s="50">
        <f>IFERROR(X233*H233,"0")+IFERROR(X237*H237,"0")</f>
        <v>0</v>
      </c>
      <c r="AD280" s="50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5258.4</v>
      </c>
      <c r="AF280" s="1"/>
    </row>
    <row r="281" spans="1:32" ht="13.5" thickTop="1" x14ac:dyDescent="0.2">
      <c r="C281" s="1"/>
    </row>
    <row r="282" spans="1:32" ht="19.5" customHeight="1" x14ac:dyDescent="0.2">
      <c r="A282" s="67" t="s">
        <v>62</v>
      </c>
      <c r="B282" s="67" t="s">
        <v>63</v>
      </c>
      <c r="C282" s="67" t="s">
        <v>65</v>
      </c>
    </row>
    <row r="283" spans="1:32" x14ac:dyDescent="0.2">
      <c r="A283" s="68">
        <f>SUMPRODUCT(--(BB:BB="ЗПФ"),--(W:W="кор"),H:H,Y:Y)+SUMPRODUCT(--(BB:BB="ЗПФ"),--(W:W="кг"),Y:Y)</f>
        <v>0</v>
      </c>
      <c r="B283" s="69">
        <f>SUMPRODUCT(--(BB:BB="ПГП"),--(W:W="кор"),H:H,Y:Y)+SUMPRODUCT(--(BB:BB="ПГП"),--(W:W="кг"),Y:Y)</f>
        <v>6921.6</v>
      </c>
      <c r="C283" s="69">
        <f>SUMPRODUCT(--(BB:BB="КИЗ"),--(W:W="кор"),H:H,Y:Y)+SUMPRODUCT(--(BB:BB="КИЗ"),--(W:W="кг"),Y:Y)</f>
        <v>0</v>
      </c>
    </row>
  </sheetData>
  <sheetProtection algorithmName="SHA-512" hashValue="tpHA+Lgsk60rRgRKluL3dy/S7ol4gltJDMTt4XFaXYoAavTBUy1uGZZ43aJmTtjuolFc20Nel0sbV/DhjsFyzg==" saltValue="bCxogGSYDvCWcOJznkokL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52,00"/>
        <filter val="14,00"/>
        <filter val="140,00"/>
        <filter val="168,00"/>
        <filter val="2 100,00"/>
        <filter val="2 654,40"/>
        <filter val="20"/>
        <filter val="210,00"/>
        <filter val="252,00"/>
        <filter val="42,00"/>
        <filter val="420,00"/>
        <filter val="50,40"/>
        <filter val="504,00"/>
        <filter val="56,00"/>
        <filter val="588,00"/>
        <filter val="6 921,60"/>
        <filter val="604,80"/>
        <filter val="630,00"/>
        <filter val="7 549,44"/>
        <filter val="70,00"/>
        <filter val="8 049,44"/>
        <filter val="84,00"/>
      </filters>
    </filterColumn>
    <filterColumn colId="29" showButton="0"/>
    <filterColumn colId="30" showButton="0"/>
  </autoFilter>
  <dataConsolidate/>
  <mergeCells count="492"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P216:V216"/>
    <mergeCell ref="A216:O217"/>
    <mergeCell ref="P217:V217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A186:Z186"/>
    <mergeCell ref="A187:Z187"/>
    <mergeCell ref="D188:E188"/>
    <mergeCell ref="P188:T188"/>
    <mergeCell ref="D189:E189"/>
    <mergeCell ref="P189:T189"/>
    <mergeCell ref="D190:E190"/>
    <mergeCell ref="P190:T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P171:V171"/>
    <mergeCell ref="A171:O172"/>
    <mergeCell ref="P172:V172"/>
    <mergeCell ref="A173:Z173"/>
    <mergeCell ref="A174:Z174"/>
    <mergeCell ref="A175:Z175"/>
    <mergeCell ref="D176:E176"/>
    <mergeCell ref="P176:T176"/>
    <mergeCell ref="D177:E177"/>
    <mergeCell ref="P177:T177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4" priority="4" stopIfTrue="1">
      <formula>IF($V$5="самовывоз",1,0)</formula>
    </cfRule>
  </conditionalFormatting>
  <conditionalFormatting sqref="P5 P6:R6 P8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 X259 X254 X243 X237 X233 X221 X214:X215 X203 X201 X191 X181:X182 X176 X154 X147:X148 X140 X133:X135 X128 X124 X118 X115 X102:X103 X80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5:X267 X260:X263 X258 X252:X253 X248 X244 X227 X209 X204 X202 X197 X188:X190 X177 X170 X165 X160 X155 X149 X141:X142 X119:X120 X116:X117 X114 X108:X109 X97:X101 X91:X92 X86 X81 X52:X55 X45:X47 X39:X40" xr:uid="{00000000-0002-0000-0000-000019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1" t="s">
        <v>378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380</v>
      </c>
      <c r="C6" s="51" t="s">
        <v>381</v>
      </c>
      <c r="D6" s="51" t="s">
        <v>382</v>
      </c>
      <c r="E6" s="51" t="s">
        <v>46</v>
      </c>
    </row>
    <row r="7" spans="2:8" x14ac:dyDescent="0.2">
      <c r="B7" s="51" t="s">
        <v>383</v>
      </c>
      <c r="C7" s="51" t="s">
        <v>384</v>
      </c>
      <c r="D7" s="51" t="s">
        <v>385</v>
      </c>
      <c r="E7" s="51" t="s">
        <v>46</v>
      </c>
    </row>
    <row r="8" spans="2:8" x14ac:dyDescent="0.2">
      <c r="B8" s="51" t="s">
        <v>386</v>
      </c>
      <c r="C8" s="51" t="s">
        <v>387</v>
      </c>
      <c r="D8" s="51" t="s">
        <v>388</v>
      </c>
      <c r="E8" s="51" t="s">
        <v>46</v>
      </c>
    </row>
    <row r="9" spans="2:8" x14ac:dyDescent="0.2">
      <c r="B9" s="51" t="s">
        <v>389</v>
      </c>
      <c r="C9" s="51" t="s">
        <v>390</v>
      </c>
      <c r="D9" s="51" t="s">
        <v>391</v>
      </c>
      <c r="E9" s="51" t="s">
        <v>46</v>
      </c>
    </row>
    <row r="10" spans="2:8" x14ac:dyDescent="0.2">
      <c r="B10" s="51" t="s">
        <v>392</v>
      </c>
      <c r="C10" s="51" t="s">
        <v>393</v>
      </c>
      <c r="D10" s="51" t="s">
        <v>394</v>
      </c>
      <c r="E10" s="51" t="s">
        <v>46</v>
      </c>
    </row>
    <row r="12" spans="2:8" x14ac:dyDescent="0.2">
      <c r="B12" s="51" t="s">
        <v>395</v>
      </c>
      <c r="C12" s="51" t="s">
        <v>381</v>
      </c>
      <c r="D12" s="51" t="s">
        <v>46</v>
      </c>
      <c r="E12" s="51" t="s">
        <v>46</v>
      </c>
    </row>
    <row r="14" spans="2:8" x14ac:dyDescent="0.2">
      <c r="B14" s="51" t="s">
        <v>396</v>
      </c>
      <c r="C14" s="51" t="s">
        <v>384</v>
      </c>
      <c r="D14" s="51" t="s">
        <v>46</v>
      </c>
      <c r="E14" s="51" t="s">
        <v>46</v>
      </c>
    </row>
    <row r="16" spans="2:8" x14ac:dyDescent="0.2">
      <c r="B16" s="51" t="s">
        <v>397</v>
      </c>
      <c r="C16" s="51" t="s">
        <v>387</v>
      </c>
      <c r="D16" s="51" t="s">
        <v>46</v>
      </c>
      <c r="E16" s="51" t="s">
        <v>46</v>
      </c>
    </row>
    <row r="18" spans="2:5" x14ac:dyDescent="0.2">
      <c r="B18" s="51" t="s">
        <v>398</v>
      </c>
      <c r="C18" s="51" t="s">
        <v>390</v>
      </c>
      <c r="D18" s="51" t="s">
        <v>46</v>
      </c>
      <c r="E18" s="51" t="s">
        <v>46</v>
      </c>
    </row>
    <row r="20" spans="2:5" x14ac:dyDescent="0.2">
      <c r="B20" s="51" t="s">
        <v>399</v>
      </c>
      <c r="C20" s="51" t="s">
        <v>393</v>
      </c>
      <c r="D20" s="51" t="s">
        <v>46</v>
      </c>
      <c r="E20" s="51" t="s">
        <v>46</v>
      </c>
    </row>
    <row r="22" spans="2:5" x14ac:dyDescent="0.2">
      <c r="B22" s="51" t="s">
        <v>400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401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402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403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404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405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410</v>
      </c>
      <c r="C32" s="51" t="s">
        <v>46</v>
      </c>
      <c r="D32" s="51" t="s">
        <v>46</v>
      </c>
      <c r="E32" s="51" t="s">
        <v>46</v>
      </c>
    </row>
  </sheetData>
  <sheetProtection algorithmName="SHA-512" hashValue="ryKOa6Tfj7eAYVWxGrRtWJbB8XoM+Ndi8ZUu4JKAuPp4Mh1jKif2q1Fqky12lzQ2K5WimfjAa9Jfi6dA/UllCw==" saltValue="O5AtLwVErsbUODir91Nv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2026-07-17T16:02:58Z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