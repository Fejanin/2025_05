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632A1F4-DDC1-4AA4-8E0E-0B399240B0E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BP492" i="2" s="1"/>
  <c r="P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Z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BP461" i="2" s="1"/>
  <c r="P461" i="2"/>
  <c r="BO460" i="2"/>
  <c r="BM460" i="2"/>
  <c r="Y460" i="2"/>
  <c r="Z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Z455" i="2" s="1"/>
  <c r="P455" i="2"/>
  <c r="BO454" i="2"/>
  <c r="BM454" i="2"/>
  <c r="Y454" i="2"/>
  <c r="Z454" i="2" s="1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Y441" i="2" s="1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BP429" i="2" s="1"/>
  <c r="P429" i="2"/>
  <c r="X427" i="2"/>
  <c r="X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BN401" i="2" s="1"/>
  <c r="P401" i="2"/>
  <c r="BO400" i="2"/>
  <c r="BM400" i="2"/>
  <c r="Y400" i="2"/>
  <c r="BN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Z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Y383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BO362" i="2"/>
  <c r="BM362" i="2"/>
  <c r="Y362" i="2"/>
  <c r="P362" i="2"/>
  <c r="X360" i="2"/>
  <c r="X359" i="2"/>
  <c r="BO358" i="2"/>
  <c r="BM358" i="2"/>
  <c r="Y358" i="2"/>
  <c r="BN358" i="2" s="1"/>
  <c r="P358" i="2"/>
  <c r="BO357" i="2"/>
  <c r="BM357" i="2"/>
  <c r="Y357" i="2"/>
  <c r="BN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X343" i="2"/>
  <c r="X342" i="2"/>
  <c r="BO341" i="2"/>
  <c r="BM341" i="2"/>
  <c r="Y341" i="2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P327" i="2"/>
  <c r="BO326" i="2"/>
  <c r="BM326" i="2"/>
  <c r="Y326" i="2"/>
  <c r="Z326" i="2" s="1"/>
  <c r="P326" i="2"/>
  <c r="BO325" i="2"/>
  <c r="BM325" i="2"/>
  <c r="Y325" i="2"/>
  <c r="Z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P316" i="2"/>
  <c r="X313" i="2"/>
  <c r="X312" i="2"/>
  <c r="BO311" i="2"/>
  <c r="BM311" i="2"/>
  <c r="Y311" i="2"/>
  <c r="BN311" i="2" s="1"/>
  <c r="P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Z301" i="2" s="1"/>
  <c r="Z302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BN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Z214" i="2" s="1"/>
  <c r="P214" i="2"/>
  <c r="BO213" i="2"/>
  <c r="BM213" i="2"/>
  <c r="Y213" i="2"/>
  <c r="P213" i="2"/>
  <c r="X211" i="2"/>
  <c r="X210" i="2"/>
  <c r="BO209" i="2"/>
  <c r="BM209" i="2"/>
  <c r="Y209" i="2"/>
  <c r="BP209" i="2" s="1"/>
  <c r="P209" i="2"/>
  <c r="X206" i="2"/>
  <c r="X205" i="2"/>
  <c r="BO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BO198" i="2"/>
  <c r="BM198" i="2"/>
  <c r="Y198" i="2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P188" i="2"/>
  <c r="BO187" i="2"/>
  <c r="BM187" i="2"/>
  <c r="Y187" i="2"/>
  <c r="BP187" i="2" s="1"/>
  <c r="P187" i="2"/>
  <c r="X185" i="2"/>
  <c r="X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61" i="2"/>
  <c r="X160" i="2"/>
  <c r="BO159" i="2"/>
  <c r="BM159" i="2"/>
  <c r="Y159" i="2"/>
  <c r="BN159" i="2" s="1"/>
  <c r="P159" i="2"/>
  <c r="BO158" i="2"/>
  <c r="BM158" i="2"/>
  <c r="Y158" i="2"/>
  <c r="Z158" i="2" s="1"/>
  <c r="P158" i="2"/>
  <c r="X155" i="2"/>
  <c r="X154" i="2"/>
  <c r="BO153" i="2"/>
  <c r="BM153" i="2"/>
  <c r="Y153" i="2"/>
  <c r="P153" i="2"/>
  <c r="BO152" i="2"/>
  <c r="BM152" i="2"/>
  <c r="Y152" i="2"/>
  <c r="P152" i="2"/>
  <c r="BO151" i="2"/>
  <c r="BM151" i="2"/>
  <c r="Y151" i="2"/>
  <c r="BN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Y100" i="2" s="1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Z78" i="2" s="1"/>
  <c r="P78" i="2"/>
  <c r="BO77" i="2"/>
  <c r="BM77" i="2"/>
  <c r="Y77" i="2"/>
  <c r="Y79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N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Y32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21" i="2" l="1"/>
  <c r="Z98" i="2"/>
  <c r="Z401" i="2"/>
  <c r="Z280" i="2"/>
  <c r="BN280" i="2"/>
  <c r="Z187" i="2"/>
  <c r="BN187" i="2"/>
  <c r="Y190" i="2"/>
  <c r="Z225" i="2"/>
  <c r="BN225" i="2"/>
  <c r="Z231" i="2"/>
  <c r="Z367" i="2"/>
  <c r="Z419" i="2"/>
  <c r="Y130" i="2"/>
  <c r="Y210" i="2"/>
  <c r="Y302" i="2"/>
  <c r="Y343" i="2"/>
  <c r="X536" i="2"/>
  <c r="Y161" i="2"/>
  <c r="Z176" i="2"/>
  <c r="Z224" i="2"/>
  <c r="Z278" i="2"/>
  <c r="Y306" i="2"/>
  <c r="Z355" i="2"/>
  <c r="Z410" i="2"/>
  <c r="Z497" i="2"/>
  <c r="BN497" i="2"/>
  <c r="BP516" i="2"/>
  <c r="BN52" i="2"/>
  <c r="Y80" i="2"/>
  <c r="BN107" i="2"/>
  <c r="Z29" i="2"/>
  <c r="BN29" i="2"/>
  <c r="BN31" i="2"/>
  <c r="Z44" i="2"/>
  <c r="BN44" i="2"/>
  <c r="BN45" i="2"/>
  <c r="E544" i="2"/>
  <c r="BN61" i="2"/>
  <c r="Y74" i="2"/>
  <c r="BN90" i="2"/>
  <c r="Z103" i="2"/>
  <c r="BN112" i="2"/>
  <c r="BN117" i="2"/>
  <c r="BN125" i="2"/>
  <c r="BN129" i="2"/>
  <c r="Y155" i="2"/>
  <c r="Z159" i="2"/>
  <c r="Z160" i="2" s="1"/>
  <c r="Y189" i="2"/>
  <c r="Z203" i="2"/>
  <c r="BN209" i="2"/>
  <c r="BN214" i="2"/>
  <c r="Z223" i="2"/>
  <c r="BP224" i="2"/>
  <c r="BP244" i="2"/>
  <c r="Y251" i="2"/>
  <c r="BN262" i="2"/>
  <c r="Z264" i="2"/>
  <c r="BN272" i="2"/>
  <c r="BP278" i="2"/>
  <c r="BN293" i="2"/>
  <c r="Z295" i="2"/>
  <c r="BN301" i="2"/>
  <c r="BN305" i="2"/>
  <c r="Z311" i="2"/>
  <c r="BN325" i="2"/>
  <c r="Z334" i="2"/>
  <c r="BN334" i="2"/>
  <c r="BN340" i="2"/>
  <c r="Z341" i="2"/>
  <c r="Z342" i="2" s="1"/>
  <c r="Z358" i="2"/>
  <c r="Z365" i="2"/>
  <c r="BP367" i="2"/>
  <c r="BN368" i="2"/>
  <c r="BN387" i="2"/>
  <c r="BP401" i="2"/>
  <c r="Z412" i="2"/>
  <c r="Z413" i="2"/>
  <c r="BN413" i="2"/>
  <c r="Z434" i="2"/>
  <c r="Y436" i="2"/>
  <c r="Z443" i="2"/>
  <c r="Y446" i="2"/>
  <c r="Y447" i="2"/>
  <c r="BN452" i="2"/>
  <c r="Y474" i="2"/>
  <c r="BN482" i="2"/>
  <c r="BN485" i="2"/>
  <c r="Z490" i="2"/>
  <c r="Y493" i="2"/>
  <c r="Y494" i="2"/>
  <c r="BN499" i="2"/>
  <c r="BP502" i="2"/>
  <c r="BN73" i="2"/>
  <c r="BN78" i="2"/>
  <c r="BN96" i="2"/>
  <c r="BN122" i="2"/>
  <c r="Y126" i="2"/>
  <c r="BP159" i="2"/>
  <c r="BN170" i="2"/>
  <c r="BN174" i="2"/>
  <c r="BN182" i="2"/>
  <c r="BP203" i="2"/>
  <c r="BN204" i="2"/>
  <c r="BN217" i="2"/>
  <c r="BN250" i="2"/>
  <c r="BP311" i="2"/>
  <c r="BN320" i="2"/>
  <c r="BP358" i="2"/>
  <c r="BN372" i="2"/>
  <c r="BP412" i="2"/>
  <c r="BP434" i="2"/>
  <c r="BN435" i="2"/>
  <c r="BN454" i="2"/>
  <c r="BN470" i="2"/>
  <c r="BN479" i="2"/>
  <c r="J9" i="2"/>
  <c r="A10" i="2"/>
  <c r="BP54" i="2"/>
  <c r="Y93" i="2"/>
  <c r="Y178" i="2"/>
  <c r="BP167" i="2"/>
  <c r="Z167" i="2"/>
  <c r="BP192" i="2"/>
  <c r="BP233" i="2"/>
  <c r="Z233" i="2"/>
  <c r="Z270" i="2"/>
  <c r="BN270" i="2"/>
  <c r="Y350" i="2"/>
  <c r="BP347" i="2"/>
  <c r="Z347" i="2"/>
  <c r="Z380" i="2"/>
  <c r="BN380" i="2"/>
  <c r="BP480" i="2"/>
  <c r="Z480" i="2"/>
  <c r="X538" i="2"/>
  <c r="BP28" i="2"/>
  <c r="Y33" i="2"/>
  <c r="BP42" i="2"/>
  <c r="BP65" i="2"/>
  <c r="BP71" i="2"/>
  <c r="Z83" i="2"/>
  <c r="BP83" i="2"/>
  <c r="Y85" i="2"/>
  <c r="Z91" i="2"/>
  <c r="BP91" i="2"/>
  <c r="BP105" i="2"/>
  <c r="Z115" i="2"/>
  <c r="BN115" i="2"/>
  <c r="Z135" i="2"/>
  <c r="BP140" i="2"/>
  <c r="BN140" i="2"/>
  <c r="Y141" i="2"/>
  <c r="Z169" i="2"/>
  <c r="BN169" i="2"/>
  <c r="Z202" i="2"/>
  <c r="BP234" i="2"/>
  <c r="BP239" i="2"/>
  <c r="BN239" i="2"/>
  <c r="Y268" i="2"/>
  <c r="Z260" i="2"/>
  <c r="BN260" i="2"/>
  <c r="Z266" i="2"/>
  <c r="Z277" i="2"/>
  <c r="BP286" i="2"/>
  <c r="Z291" i="2"/>
  <c r="BN291" i="2"/>
  <c r="Z310" i="2"/>
  <c r="BP357" i="2"/>
  <c r="Z366" i="2"/>
  <c r="Z374" i="2"/>
  <c r="BN375" i="2"/>
  <c r="Z375" i="2"/>
  <c r="BP388" i="2"/>
  <c r="Z388" i="2"/>
  <c r="Y396" i="2"/>
  <c r="BN393" i="2"/>
  <c r="Z394" i="2"/>
  <c r="BN394" i="2"/>
  <c r="BP400" i="2"/>
  <c r="Z411" i="2"/>
  <c r="Z429" i="2"/>
  <c r="Z430" i="2" s="1"/>
  <c r="Y430" i="2"/>
  <c r="BN429" i="2"/>
  <c r="Y503" i="2"/>
  <c r="BN498" i="2"/>
  <c r="BP521" i="2"/>
  <c r="BN521" i="2"/>
  <c r="Z525" i="2"/>
  <c r="BP113" i="2"/>
  <c r="BN113" i="2"/>
  <c r="BP135" i="2"/>
  <c r="Y146" i="2"/>
  <c r="Y147" i="2"/>
  <c r="BP198" i="2"/>
  <c r="BN198" i="2"/>
  <c r="BP215" i="2"/>
  <c r="Z215" i="2"/>
  <c r="BP266" i="2"/>
  <c r="BP277" i="2"/>
  <c r="BP332" i="2"/>
  <c r="Y337" i="2"/>
  <c r="BP366" i="2"/>
  <c r="X535" i="2"/>
  <c r="X534" i="2"/>
  <c r="BP31" i="2"/>
  <c r="Z42" i="2"/>
  <c r="BP61" i="2"/>
  <c r="BN63" i="2"/>
  <c r="Z65" i="2"/>
  <c r="Z90" i="2"/>
  <c r="BP112" i="2"/>
  <c r="BP123" i="2"/>
  <c r="BN123" i="2"/>
  <c r="BN167" i="2"/>
  <c r="BN215" i="2"/>
  <c r="BP219" i="2"/>
  <c r="BN219" i="2"/>
  <c r="BN233" i="2"/>
  <c r="Z234" i="2"/>
  <c r="Z286" i="2"/>
  <c r="BP316" i="2"/>
  <c r="BN316" i="2"/>
  <c r="BP318" i="2"/>
  <c r="Z318" i="2"/>
  <c r="BP327" i="2"/>
  <c r="BN327" i="2"/>
  <c r="BN347" i="2"/>
  <c r="Z357" i="2"/>
  <c r="Z400" i="2"/>
  <c r="BP420" i="2"/>
  <c r="BP424" i="2"/>
  <c r="Y426" i="2"/>
  <c r="Z425" i="2"/>
  <c r="BN425" i="2"/>
  <c r="Z445" i="2"/>
  <c r="BN445" i="2"/>
  <c r="Y473" i="2"/>
  <c r="Z471" i="2"/>
  <c r="BN480" i="2"/>
  <c r="BP483" i="2"/>
  <c r="Z483" i="2"/>
  <c r="BP500" i="2"/>
  <c r="BN500" i="2"/>
  <c r="AA544" i="2"/>
  <c r="Z521" i="2"/>
  <c r="Z522" i="2" s="1"/>
  <c r="Z145" i="2"/>
  <c r="BN145" i="2"/>
  <c r="Z153" i="2"/>
  <c r="BN153" i="2"/>
  <c r="Y194" i="2"/>
  <c r="BN192" i="2"/>
  <c r="BP202" i="2"/>
  <c r="BP297" i="2"/>
  <c r="Z297" i="2"/>
  <c r="BP310" i="2"/>
  <c r="Z333" i="2"/>
  <c r="BN333" i="2"/>
  <c r="BP356" i="2"/>
  <c r="Z356" i="2"/>
  <c r="BP392" i="2"/>
  <c r="Z392" i="2"/>
  <c r="U544" i="2"/>
  <c r="BP399" i="2"/>
  <c r="Z399" i="2"/>
  <c r="BP411" i="2"/>
  <c r="BP455" i="2"/>
  <c r="BN455" i="2"/>
  <c r="Z22" i="2"/>
  <c r="Z54" i="2"/>
  <c r="Z59" i="2"/>
  <c r="BN22" i="2"/>
  <c r="Y25" i="2"/>
  <c r="BN28" i="2"/>
  <c r="Z45" i="2"/>
  <c r="Y56" i="2"/>
  <c r="BN59" i="2"/>
  <c r="BN71" i="2"/>
  <c r="BP78" i="2"/>
  <c r="Y84" i="2"/>
  <c r="F544" i="2"/>
  <c r="BP88" i="2"/>
  <c r="BP98" i="2"/>
  <c r="G544" i="2"/>
  <c r="BN105" i="2"/>
  <c r="Z123" i="2"/>
  <c r="H544" i="2"/>
  <c r="Y136" i="2"/>
  <c r="Y137" i="2"/>
  <c r="BP134" i="2"/>
  <c r="Z134" i="2"/>
  <c r="BP145" i="2"/>
  <c r="I544" i="2"/>
  <c r="BP151" i="2"/>
  <c r="Z151" i="2"/>
  <c r="BP153" i="2"/>
  <c r="J544" i="2"/>
  <c r="BN158" i="2"/>
  <c r="Y160" i="2"/>
  <c r="BP158" i="2"/>
  <c r="Z172" i="2"/>
  <c r="BN172" i="2"/>
  <c r="BP223" i="2"/>
  <c r="Z244" i="2"/>
  <c r="Z245" i="2" s="1"/>
  <c r="Y245" i="2"/>
  <c r="BN244" i="2"/>
  <c r="BP254" i="2"/>
  <c r="Z254" i="2"/>
  <c r="BP270" i="2"/>
  <c r="Z274" i="2"/>
  <c r="BP276" i="2"/>
  <c r="Z276" i="2"/>
  <c r="BP281" i="2"/>
  <c r="BN281" i="2"/>
  <c r="Y313" i="2"/>
  <c r="BP309" i="2"/>
  <c r="Z309" i="2"/>
  <c r="BP333" i="2"/>
  <c r="Z336" i="2"/>
  <c r="BN336" i="2"/>
  <c r="BP341" i="2"/>
  <c r="BN341" i="2"/>
  <c r="BP362" i="2"/>
  <c r="BN362" i="2"/>
  <c r="BP364" i="2"/>
  <c r="Z364" i="2"/>
  <c r="BP380" i="2"/>
  <c r="BP385" i="2"/>
  <c r="Z385" i="2"/>
  <c r="BN388" i="2"/>
  <c r="Y416" i="2"/>
  <c r="BN407" i="2"/>
  <c r="BP409" i="2"/>
  <c r="Z409" i="2"/>
  <c r="Z420" i="2"/>
  <c r="Z421" i="2" s="1"/>
  <c r="Y431" i="2"/>
  <c r="Y458" i="2"/>
  <c r="BN453" i="2"/>
  <c r="Y463" i="2"/>
  <c r="BN460" i="2"/>
  <c r="BP460" i="2"/>
  <c r="Z492" i="2"/>
  <c r="BN492" i="2"/>
  <c r="Z500" i="2"/>
  <c r="BP122" i="2"/>
  <c r="BP125" i="2"/>
  <c r="BP200" i="2"/>
  <c r="BP221" i="2"/>
  <c r="BP301" i="2"/>
  <c r="Y328" i="2"/>
  <c r="BP340" i="2"/>
  <c r="Y342" i="2"/>
  <c r="S544" i="2"/>
  <c r="BP365" i="2"/>
  <c r="BP410" i="2"/>
  <c r="BN443" i="2"/>
  <c r="X544" i="2"/>
  <c r="BP454" i="2"/>
  <c r="Z544" i="2"/>
  <c r="BN490" i="2"/>
  <c r="BP499" i="2"/>
  <c r="Y519" i="2"/>
  <c r="BP129" i="2"/>
  <c r="Y131" i="2"/>
  <c r="Z170" i="2"/>
  <c r="BP176" i="2"/>
  <c r="BP182" i="2"/>
  <c r="Z200" i="2"/>
  <c r="Z204" i="2"/>
  <c r="Y228" i="2"/>
  <c r="BP214" i="2"/>
  <c r="BP217" i="2"/>
  <c r="BP231" i="2"/>
  <c r="Z250" i="2"/>
  <c r="Y252" i="2"/>
  <c r="BP305" i="2"/>
  <c r="Y307" i="2"/>
  <c r="Y312" i="2"/>
  <c r="Z320" i="2"/>
  <c r="BP325" i="2"/>
  <c r="Z346" i="2"/>
  <c r="BP346" i="2"/>
  <c r="Z354" i="2"/>
  <c r="BP355" i="2"/>
  <c r="Z368" i="2"/>
  <c r="Y390" i="2"/>
  <c r="BP387" i="2"/>
  <c r="Y402" i="2"/>
  <c r="W544" i="2"/>
  <c r="Z435" i="2"/>
  <c r="Y437" i="2"/>
  <c r="Z452" i="2"/>
  <c r="BP470" i="2"/>
  <c r="BP479" i="2"/>
  <c r="BP482" i="2"/>
  <c r="BP485" i="2"/>
  <c r="Y47" i="2"/>
  <c r="Z517" i="2"/>
  <c r="Y522" i="2"/>
  <c r="Y236" i="2"/>
  <c r="Z27" i="2"/>
  <c r="BN41" i="2"/>
  <c r="BN53" i="2"/>
  <c r="BN64" i="2"/>
  <c r="Y67" i="2"/>
  <c r="Y75" i="2"/>
  <c r="BN97" i="2"/>
  <c r="BN108" i="2"/>
  <c r="BN118" i="2"/>
  <c r="Y142" i="2"/>
  <c r="Z152" i="2"/>
  <c r="BN175" i="2"/>
  <c r="BN199" i="2"/>
  <c r="Y211" i="2"/>
  <c r="BN220" i="2"/>
  <c r="BN230" i="2"/>
  <c r="BN240" i="2"/>
  <c r="Y256" i="2"/>
  <c r="BN263" i="2"/>
  <c r="BN273" i="2"/>
  <c r="Z281" i="2"/>
  <c r="BN294" i="2"/>
  <c r="BN317" i="2"/>
  <c r="Y329" i="2"/>
  <c r="BN353" i="2"/>
  <c r="BN363" i="2"/>
  <c r="BN373" i="2"/>
  <c r="Y376" i="2"/>
  <c r="Z393" i="2"/>
  <c r="BN408" i="2"/>
  <c r="BN418" i="2"/>
  <c r="Y421" i="2"/>
  <c r="Z453" i="2"/>
  <c r="BN466" i="2"/>
  <c r="Z478" i="2"/>
  <c r="Z498" i="2"/>
  <c r="BN512" i="2"/>
  <c r="Y527" i="2"/>
  <c r="K544" i="2"/>
  <c r="Y504" i="2"/>
  <c r="BN517" i="2"/>
  <c r="L544" i="2"/>
  <c r="BP512" i="2"/>
  <c r="Y523" i="2"/>
  <c r="M544" i="2"/>
  <c r="Z139" i="2"/>
  <c r="BP220" i="2"/>
  <c r="Z77" i="2"/>
  <c r="Z79" i="2" s="1"/>
  <c r="Z168" i="2"/>
  <c r="Z188" i="2"/>
  <c r="Y193" i="2"/>
  <c r="Y205" i="2"/>
  <c r="Y257" i="2"/>
  <c r="Z332" i="2"/>
  <c r="Y359" i="2"/>
  <c r="Y369" i="2"/>
  <c r="Y377" i="2"/>
  <c r="Z386" i="2"/>
  <c r="Y422" i="2"/>
  <c r="Z444" i="2"/>
  <c r="Z456" i="2"/>
  <c r="BP471" i="2"/>
  <c r="Z481" i="2"/>
  <c r="Z491" i="2"/>
  <c r="Z501" i="2"/>
  <c r="BP517" i="2"/>
  <c r="Y528" i="2"/>
  <c r="O544" i="2"/>
  <c r="Z51" i="2"/>
  <c r="BP108" i="2"/>
  <c r="Z163" i="2"/>
  <c r="Z164" i="2" s="1"/>
  <c r="BP273" i="2"/>
  <c r="BP408" i="2"/>
  <c r="BP466" i="2"/>
  <c r="BP22" i="2"/>
  <c r="Z30" i="2"/>
  <c r="BP59" i="2"/>
  <c r="Y68" i="2"/>
  <c r="BP103" i="2"/>
  <c r="Z144" i="2"/>
  <c r="Y179" i="2"/>
  <c r="Z213" i="2"/>
  <c r="BP27" i="2"/>
  <c r="Z35" i="2"/>
  <c r="Z36" i="2" s="1"/>
  <c r="BN51" i="2"/>
  <c r="BN62" i="2"/>
  <c r="BN72" i="2"/>
  <c r="Z82" i="2"/>
  <c r="BN95" i="2"/>
  <c r="BN106" i="2"/>
  <c r="Y109" i="2"/>
  <c r="BN116" i="2"/>
  <c r="Y119" i="2"/>
  <c r="Y127" i="2"/>
  <c r="BN139" i="2"/>
  <c r="Z150" i="2"/>
  <c r="BP152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Y303" i="2"/>
  <c r="BN326" i="2"/>
  <c r="Y338" i="2"/>
  <c r="Z348" i="2"/>
  <c r="BN381" i="2"/>
  <c r="BP393" i="2"/>
  <c r="Z414" i="2"/>
  <c r="Y427" i="2"/>
  <c r="BN439" i="2"/>
  <c r="Z451" i="2"/>
  <c r="BP453" i="2"/>
  <c r="Z461" i="2"/>
  <c r="Z462" i="2" s="1"/>
  <c r="Y467" i="2"/>
  <c r="BP478" i="2"/>
  <c r="BN486" i="2"/>
  <c r="Z496" i="2"/>
  <c r="BP498" i="2"/>
  <c r="Z508" i="2"/>
  <c r="Z509" i="2" s="1"/>
  <c r="Y513" i="2"/>
  <c r="P544" i="2"/>
  <c r="Z62" i="2"/>
  <c r="Z106" i="2"/>
  <c r="Z218" i="2"/>
  <c r="Z271" i="2"/>
  <c r="BP418" i="2"/>
  <c r="Z439" i="2"/>
  <c r="Z440" i="2" s="1"/>
  <c r="BN144" i="2"/>
  <c r="BN332" i="2"/>
  <c r="BN386" i="2"/>
  <c r="Y389" i="2"/>
  <c r="BN444" i="2"/>
  <c r="BN456" i="2"/>
  <c r="BN481" i="2"/>
  <c r="BN491" i="2"/>
  <c r="BN501" i="2"/>
  <c r="Y518" i="2"/>
  <c r="Q544" i="2"/>
  <c r="BN27" i="2"/>
  <c r="BP53" i="2"/>
  <c r="BP64" i="2"/>
  <c r="BP118" i="2"/>
  <c r="BN152" i="2"/>
  <c r="Z23" i="2"/>
  <c r="BN35" i="2"/>
  <c r="BP51" i="2"/>
  <c r="Z60" i="2"/>
  <c r="Z70" i="2"/>
  <c r="BP72" i="2"/>
  <c r="BN82" i="2"/>
  <c r="BP95" i="2"/>
  <c r="Z104" i="2"/>
  <c r="Z114" i="2"/>
  <c r="BP116" i="2"/>
  <c r="Z124" i="2"/>
  <c r="Z126" i="2" s="1"/>
  <c r="BN150" i="2"/>
  <c r="BP163" i="2"/>
  <c r="Z171" i="2"/>
  <c r="BP173" i="2"/>
  <c r="Z181" i="2"/>
  <c r="Z184" i="2" s="1"/>
  <c r="BP183" i="2"/>
  <c r="Y206" i="2"/>
  <c r="Z216" i="2"/>
  <c r="BN226" i="2"/>
  <c r="BP238" i="2"/>
  <c r="BN249" i="2"/>
  <c r="Z259" i="2"/>
  <c r="BP261" i="2"/>
  <c r="BN279" i="2"/>
  <c r="Y282" i="2"/>
  <c r="BP292" i="2"/>
  <c r="BP326" i="2"/>
  <c r="Z335" i="2"/>
  <c r="BN348" i="2"/>
  <c r="Y360" i="2"/>
  <c r="Y370" i="2"/>
  <c r="Z379" i="2"/>
  <c r="BP381" i="2"/>
  <c r="Y403" i="2"/>
  <c r="BN414" i="2"/>
  <c r="Z424" i="2"/>
  <c r="BP439" i="2"/>
  <c r="BN451" i="2"/>
  <c r="BN461" i="2"/>
  <c r="Z472" i="2"/>
  <c r="Z484" i="2"/>
  <c r="BP486" i="2"/>
  <c r="BN496" i="2"/>
  <c r="BN508" i="2"/>
  <c r="Z531" i="2"/>
  <c r="Z532" i="2" s="1"/>
  <c r="R544" i="2"/>
  <c r="BP175" i="2"/>
  <c r="BP30" i="2"/>
  <c r="BP77" i="2"/>
  <c r="BN88" i="2"/>
  <c r="Y110" i="2"/>
  <c r="Y120" i="2"/>
  <c r="BP144" i="2"/>
  <c r="BP168" i="2"/>
  <c r="BP188" i="2"/>
  <c r="BP213" i="2"/>
  <c r="Y242" i="2"/>
  <c r="BN254" i="2"/>
  <c r="BN264" i="2"/>
  <c r="Y267" i="2"/>
  <c r="BN274" i="2"/>
  <c r="Y287" i="2"/>
  <c r="BN295" i="2"/>
  <c r="Y298" i="2"/>
  <c r="BN318" i="2"/>
  <c r="Y321" i="2"/>
  <c r="BN354" i="2"/>
  <c r="BN364" i="2"/>
  <c r="BN374" i="2"/>
  <c r="BP386" i="2"/>
  <c r="BN409" i="2"/>
  <c r="BN419" i="2"/>
  <c r="BP444" i="2"/>
  <c r="Y468" i="2"/>
  <c r="BP491" i="2"/>
  <c r="Y514" i="2"/>
  <c r="BN525" i="2"/>
  <c r="BP363" i="2"/>
  <c r="BN77" i="2"/>
  <c r="BN188" i="2"/>
  <c r="BN213" i="2"/>
  <c r="BN60" i="2"/>
  <c r="BN104" i="2"/>
  <c r="BN114" i="2"/>
  <c r="BN124" i="2"/>
  <c r="BP150" i="2"/>
  <c r="Y164" i="2"/>
  <c r="BN171" i="2"/>
  <c r="BN181" i="2"/>
  <c r="Y184" i="2"/>
  <c r="BN216" i="2"/>
  <c r="BN259" i="2"/>
  <c r="BN335" i="2"/>
  <c r="BN379" i="2"/>
  <c r="Y382" i="2"/>
  <c r="BN424" i="2"/>
  <c r="Y440" i="2"/>
  <c r="BP451" i="2"/>
  <c r="BN472" i="2"/>
  <c r="BN484" i="2"/>
  <c r="Y487" i="2"/>
  <c r="BP508" i="2"/>
  <c r="BN531" i="2"/>
  <c r="T544" i="2"/>
  <c r="BN23" i="2"/>
  <c r="F9" i="2"/>
  <c r="Z52" i="2"/>
  <c r="Z63" i="2"/>
  <c r="Z73" i="2"/>
  <c r="Z96" i="2"/>
  <c r="Z107" i="2"/>
  <c r="Z117" i="2"/>
  <c r="Z140" i="2"/>
  <c r="Z174" i="2"/>
  <c r="Z198" i="2"/>
  <c r="Z209" i="2"/>
  <c r="Z210" i="2" s="1"/>
  <c r="Z219" i="2"/>
  <c r="Z239" i="2"/>
  <c r="Z241" i="2" s="1"/>
  <c r="Z262" i="2"/>
  <c r="Z272" i="2"/>
  <c r="Y283" i="2"/>
  <c r="Z293" i="2"/>
  <c r="Z316" i="2"/>
  <c r="Z327" i="2"/>
  <c r="Z328" i="2" s="1"/>
  <c r="Z362" i="2"/>
  <c r="Z372" i="2"/>
  <c r="Z407" i="2"/>
  <c r="Y457" i="2"/>
  <c r="B544" i="2"/>
  <c r="BP97" i="2"/>
  <c r="BP294" i="2"/>
  <c r="BP317" i="2"/>
  <c r="BP353" i="2"/>
  <c r="BP35" i="2"/>
  <c r="BN70" i="2"/>
  <c r="H9" i="2"/>
  <c r="Y36" i="2"/>
  <c r="Y227" i="2"/>
  <c r="BP259" i="2"/>
  <c r="Y288" i="2"/>
  <c r="Y299" i="2"/>
  <c r="Y322" i="2"/>
  <c r="Y349" i="2"/>
  <c r="BP379" i="2"/>
  <c r="Y415" i="2"/>
  <c r="Y462" i="2"/>
  <c r="Z502" i="2"/>
  <c r="Y509" i="2"/>
  <c r="Z516" i="2"/>
  <c r="Z518" i="2" s="1"/>
  <c r="BP531" i="2"/>
  <c r="C544" i="2"/>
  <c r="V544" i="2"/>
  <c r="BP199" i="2"/>
  <c r="BP240" i="2"/>
  <c r="BP373" i="2"/>
  <c r="Y55" i="2"/>
  <c r="Y99" i="2"/>
  <c r="Y185" i="2"/>
  <c r="Y488" i="2"/>
  <c r="D544" i="2"/>
  <c r="BP41" i="2"/>
  <c r="Z95" i="2"/>
  <c r="Z43" i="2"/>
  <c r="Z66" i="2"/>
  <c r="Z89" i="2"/>
  <c r="Z201" i="2"/>
  <c r="Z222" i="2"/>
  <c r="Z232" i="2"/>
  <c r="Z255" i="2"/>
  <c r="Z265" i="2"/>
  <c r="Z275" i="2"/>
  <c r="Z285" i="2"/>
  <c r="Z296" i="2"/>
  <c r="Z319" i="2"/>
  <c r="Z526" i="2"/>
  <c r="Y532" i="2"/>
  <c r="BP263" i="2"/>
  <c r="Z177" i="2"/>
  <c r="Y154" i="2"/>
  <c r="Y395" i="2"/>
  <c r="BP407" i="2"/>
  <c r="Y510" i="2"/>
  <c r="Y544" i="2"/>
  <c r="BP230" i="2"/>
  <c r="BN43" i="2"/>
  <c r="Y46" i="2"/>
  <c r="BN66" i="2"/>
  <c r="BN89" i="2"/>
  <c r="Y92" i="2"/>
  <c r="BN177" i="2"/>
  <c r="BN201" i="2"/>
  <c r="BN222" i="2"/>
  <c r="BN232" i="2"/>
  <c r="Y235" i="2"/>
  <c r="BN255" i="2"/>
  <c r="BN265" i="2"/>
  <c r="BN275" i="2"/>
  <c r="BN285" i="2"/>
  <c r="BN296" i="2"/>
  <c r="BN319" i="2"/>
  <c r="BN526" i="2"/>
  <c r="Y533" i="2"/>
  <c r="Z84" i="2" l="1"/>
  <c r="Z189" i="2"/>
  <c r="X537" i="2"/>
  <c r="Z436" i="2"/>
  <c r="Z382" i="2"/>
  <c r="Z312" i="2"/>
  <c r="Z376" i="2"/>
  <c r="Z473" i="2"/>
  <c r="Z457" i="2"/>
  <c r="Z527" i="2"/>
  <c r="Z46" i="2"/>
  <c r="Z24" i="2"/>
  <c r="Z146" i="2"/>
  <c r="Z359" i="2"/>
  <c r="Z395" i="2"/>
  <c r="Z119" i="2"/>
  <c r="Z415" i="2"/>
  <c r="Z321" i="2"/>
  <c r="Z205" i="2"/>
  <c r="Z74" i="2"/>
  <c r="Z493" i="2"/>
  <c r="Z446" i="2"/>
  <c r="Z402" i="2"/>
  <c r="Y535" i="2"/>
  <c r="Z298" i="2"/>
  <c r="Z109" i="2"/>
  <c r="Z92" i="2"/>
  <c r="Z369" i="2"/>
  <c r="Y534" i="2"/>
  <c r="Z389" i="2"/>
  <c r="Z141" i="2"/>
  <c r="Z136" i="2"/>
  <c r="Z256" i="2"/>
  <c r="Y538" i="2"/>
  <c r="Z287" i="2"/>
  <c r="Z235" i="2"/>
  <c r="Z426" i="2"/>
  <c r="Z282" i="2"/>
  <c r="Z349" i="2"/>
  <c r="Z251" i="2"/>
  <c r="Z227" i="2"/>
  <c r="Z154" i="2"/>
  <c r="Y536" i="2"/>
  <c r="Z99" i="2"/>
  <c r="Z32" i="2"/>
  <c r="Z337" i="2"/>
  <c r="Z67" i="2"/>
  <c r="Z503" i="2"/>
  <c r="Z487" i="2"/>
  <c r="Z55" i="2"/>
  <c r="Z267" i="2"/>
  <c r="Z178" i="2"/>
  <c r="Y537" i="2" l="1"/>
  <c r="Z539" i="2"/>
</calcChain>
</file>

<file path=xl/sharedStrings.xml><?xml version="1.0" encoding="utf-8"?>
<sst xmlns="http://schemas.openxmlformats.org/spreadsheetml/2006/main" count="4048" uniqueCount="861">
  <si>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</si>
  <si>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</si>
  <si>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</si>
  <si>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</si>
  <si>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</si>
  <si>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</si>
  <si>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</si>
  <si>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</si>
  <si>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</si>
  <si>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</si>
  <si>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</si>
  <si>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</si>
  <si>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</si>
  <si>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</si>
  <si>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</si>
  <si>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</si>
  <si>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</si>
  <si>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</si>
  <si>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</si>
  <si>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</si>
  <si>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</si>
  <si>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</si>
  <si>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</si>
  <si>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</si>
  <si>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</si>
  <si>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</si>
  <si>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</si>
  <si>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</si>
  <si>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</si>
  <si>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</si>
  <si>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</si>
  <si>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</si>
  <si>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</si>
  <si>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</si>
  <si>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</si>
  <si>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</si>
  <si>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</si>
  <si>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</si>
  <si>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</si>
  <si>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</si>
  <si>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</si>
  <si>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</si>
  <si>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</si>
  <si>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</si>
  <si>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</si>
  <si>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</si>
  <si>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</si>
  <si>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</si>
  <si>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</si>
  <si>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</si>
  <si>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</si>
  <si>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</si>
  <si>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</si>
  <si>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</si>
  <si>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</si>
  <si>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</si>
  <si>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</si>
  <si>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</si>
  <si>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</si>
  <si>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</si>
  <si>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</si>
  <si>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</si>
  <si>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</si>
  <si>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</si>
  <si>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</si>
  <si>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</si>
  <si>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</si>
  <si>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</si>
  <si>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</si>
  <si>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</si>
  <si>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</si>
  <si>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</si>
  <si>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</si>
  <si>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</si>
  <si>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</si>
  <si>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</si>
  <si>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</si>
  <si>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</si>
  <si>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</si>
  <si>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</si>
  <si>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</si>
  <si>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</si>
  <si>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</si>
  <si>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</si>
  <si>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</si>
  <si>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</si>
  <si>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</si>
  <si>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</si>
  <si>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</si>
  <si>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</si>
  <si>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</si>
  <si>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</si>
  <si>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</si>
  <si>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</si>
  <si>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</si>
  <si>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</si>
  <si>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</si>
  <si>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</si>
  <si>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</si>
  <si>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</si>
  <si>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</si>
  <si>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</si>
  <si>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</si>
  <si>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</si>
  <si>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</si>
  <si>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</si>
  <si>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</si>
  <si>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</si>
  <si>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</si>
  <si>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</si>
  <si>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</si>
  <si>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</si>
  <si>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</si>
  <si>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</si>
  <si>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</si>
  <si>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</si>
  <si>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</si>
  <si>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</si>
  <si>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</si>
  <si>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</si>
  <si>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</si>
  <si>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</si>
  <si>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</si>
  <si>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</si>
  <si>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</si>
  <si>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</si>
  <si>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</si>
  <si>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</si>
  <si>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</si>
  <si>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</si>
  <si>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</si>
  <si>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</si>
  <si>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</si>
  <si>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</si>
  <si>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</si>
  <si>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</si>
  <si>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</si>
  <si>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</si>
  <si>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</si>
  <si>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</si>
  <si>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</si>
  <si>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</si>
  <si>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</si>
  <si>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</si>
  <si>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</si>
  <si>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</si>
  <si>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</si>
  <si>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</si>
  <si>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</si>
  <si>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</si>
  <si>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</si>
  <si>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</si>
  <si>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</si>
  <si>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</si>
  <si>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</si>
  <si>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</si>
  <si>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</si>
  <si>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</si>
  <si>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</si>
  <si>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</si>
  <si>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</si>
  <si>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</si>
  <si>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</si>
  <si>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</si>
  <si>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</si>
  <si>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</si>
  <si>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</si>
  <si>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</si>
  <si>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</si>
  <si>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</si>
  <si>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</si>
  <si>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</si>
  <si>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</si>
  <si>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</si>
  <si>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</si>
  <si>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</si>
  <si>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</si>
  <si>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</si>
  <si>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</si>
  <si>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</si>
  <si>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</si>
  <si>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</si>
  <si>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</si>
  <si>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</si>
  <si>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</si>
  <si>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</si>
  <si>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</si>
  <si>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</si>
  <si>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</si>
  <si>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</si>
  <si>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</si>
  <si>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</si>
  <si>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</si>
  <si>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</si>
  <si>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</si>
  <si>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</si>
  <si>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</si>
  <si>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</si>
  <si>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</si>
  <si>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</si>
  <si>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</si>
  <si>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</si>
  <si>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</si>
  <si>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</si>
  <si>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</si>
  <si>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</si>
  <si>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</si>
  <si>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</si>
  <si>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</si>
  <si>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</si>
  <si>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</si>
  <si>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</si>
  <si>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</si>
  <si>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</si>
  <si>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</si>
  <si>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</si>
  <si>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</si>
  <si>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</si>
  <si>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</si>
  <si>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</si>
  <si>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</si>
  <si>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</si>
  <si>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</si>
  <si>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</si>
  <si>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</si>
  <si>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</si>
  <si>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</si>
  <si>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</si>
  <si>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</si>
  <si>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</si>
  <si>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</si>
  <si>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</si>
  <si>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</si>
  <si>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</si>
  <si>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</si>
  <si>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</si>
  <si>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</si>
  <si>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</si>
  <si>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</si>
  <si>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</si>
  <si>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</si>
  <si>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</si>
  <si>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</si>
  <si>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</si>
  <si>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</si>
  <si>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</si>
  <si>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</si>
  <si>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</si>
  <si>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</si>
  <si>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</si>
  <si>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</si>
  <si>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</si>
  <si>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</si>
  <si>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</si>
  <si>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</si>
  <si>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</si>
  <si>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</si>
  <si>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</si>
  <si>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</si>
  <si>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</si>
  <si>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</si>
  <si>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</si>
  <si>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</si>
  <si>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</si>
  <si>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</si>
  <si>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</si>
  <si>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</si>
  <si>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</si>
  <si>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</si>
  <si>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</si>
  <si>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</si>
  <si>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</si>
  <si>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</si>
  <si>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</si>
  <si>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</si>
  <si>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</si>
  <si>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</si>
  <si>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</si>
  <si>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</si>
  <si>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</si>
  <si>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</si>
  <si>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</si>
  <si>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</si>
  <si>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</si>
  <si>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</si>
  <si>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</si>
  <si>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</si>
  <si>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</si>
  <si>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</si>
  <si>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</si>
  <si>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</si>
  <si>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</si>
  <si>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</si>
  <si>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</si>
  <si>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</si>
  <si>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</si>
  <si>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</si>
  <si>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</si>
  <si>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</si>
  <si>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</si>
  <si>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</si>
  <si>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</si>
  <si>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</si>
  <si>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</si>
  <si>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</si>
  <si>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</si>
  <si>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</si>
  <si>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</si>
  <si>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</si>
  <si>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</si>
  <si>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</si>
  <si>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</si>
  <si>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</si>
  <si>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</si>
  <si>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</si>
  <si>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</si>
  <si>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</si>
  <si>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</si>
  <si>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</si>
  <si>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</si>
  <si>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</si>
  <si>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</si>
  <si>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</si>
  <si>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</si>
  <si>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</si>
  <si>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</si>
  <si>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</si>
  <si>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</si>
  <si>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</si>
  <si>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</si>
  <si>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</si>
  <si>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</si>
  <si>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</si>
  <si>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</si>
  <si>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</si>
  <si>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</si>
  <si>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</si>
  <si>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</si>
  <si>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</si>
  <si>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</si>
  <si>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</si>
  <si>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</si>
  <si>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</si>
  <si>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</si>
  <si>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</si>
  <si>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</si>
  <si>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</si>
  <si>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</si>
  <si>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</si>
  <si>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</si>
  <si>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</si>
  <si>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</si>
  <si>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</si>
  <si>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</si>
  <si>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</si>
  <si>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</si>
  <si>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</si>
  <si>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</si>
  <si>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</si>
  <si>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</si>
  <si>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</si>
  <si>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</si>
  <si>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</si>
  <si>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</si>
  <si>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</si>
  <si>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</si>
  <si>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</si>
  <si>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</si>
  <si>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</si>
  <si>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</si>
  <si>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</si>
  <si>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</si>
  <si>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</si>
  <si>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</si>
  <si>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</si>
  <si>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</si>
  <si>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</si>
  <si>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</si>
  <si>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</si>
  <si>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</si>
  <si>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</si>
  <si>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</si>
  <si>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</si>
  <si>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</si>
  <si>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</si>
  <si>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</si>
  <si>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</si>
  <si>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</si>
  <si>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</si>
  <si>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</si>
  <si>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</si>
  <si>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</si>
  <si>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</si>
  <si>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</si>
  <si>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</si>
  <si>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</si>
  <si>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</si>
  <si>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</si>
  <si>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</si>
  <si>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</si>
  <si>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</si>
  <si>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</si>
  <si>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</si>
  <si>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</si>
  <si>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</si>
  <si>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</si>
  <si>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</si>
  <si>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</si>
  <si>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</si>
  <si>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</si>
  <si>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</si>
  <si>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</si>
  <si>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</si>
  <si>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</si>
  <si>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</si>
  <si>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</si>
  <si>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</si>
  <si>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</si>
  <si>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</si>
  <si>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</si>
  <si>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</si>
  <si>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</si>
  <si>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</si>
  <si>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</si>
  <si>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</si>
  <si>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</si>
  <si>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</si>
  <si>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</si>
  <si>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</si>
  <si>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</si>
  <si>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</si>
  <si>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</si>
  <si>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</si>
  <si>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</si>
  <si>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</si>
  <si>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</si>
  <si>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</si>
  <si>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</si>
  <si>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</si>
  <si>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</si>
  <si>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</si>
  <si>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</si>
  <si>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</si>
  <si>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</si>
  <si>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</si>
  <si>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</si>
  <si>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</si>
  <si>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</si>
  <si>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</si>
  <si>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</si>
  <si>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</si>
  <si>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</si>
  <si>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</si>
  <si>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</si>
  <si>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</si>
  <si>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</si>
  <si>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</si>
  <si>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</si>
  <si>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</si>
  <si>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</si>
  <si>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</si>
  <si>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</si>
  <si>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</si>
  <si>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</si>
  <si>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</si>
  <si>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</si>
  <si>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</si>
  <si>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</si>
  <si>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</si>
  <si>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</si>
  <si>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</si>
  <si>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</si>
  <si>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</si>
  <si>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</si>
  <si>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</si>
  <si>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</si>
  <si>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</si>
  <si>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</si>
  <si>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</si>
  <si>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</si>
  <si>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</si>
  <si>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</si>
  <si>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</si>
  <si>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</si>
  <si>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</si>
  <si>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</si>
  <si>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</si>
  <si>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</si>
  <si>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</si>
  <si>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</si>
  <si>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</si>
  <si>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</si>
  <si>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</si>
  <si>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</si>
  <si>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</si>
  <si>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</si>
  <si>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</si>
  <si>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</si>
  <si>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</si>
  <si>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</si>
  <si>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</si>
  <si>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</si>
  <si>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</si>
  <si>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</si>
  <si>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</si>
  <si>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</si>
  <si>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</si>
  <si>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</si>
  <si>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</si>
  <si>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</si>
  <si>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</si>
  <si>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</si>
  <si>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</si>
  <si>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</si>
  <si>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</si>
  <si>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</si>
  <si>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</si>
  <si>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</si>
  <si>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</si>
  <si>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</si>
  <si>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</si>
  <si>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</si>
  <si>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</si>
  <si>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</si>
  <si>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</si>
  <si>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</si>
  <si>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</si>
  <si>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</si>
  <si>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</si>
  <si>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</si>
  <si>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</si>
  <si>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</si>
  <si>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</si>
  <si>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</si>
  <si>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</si>
  <si>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</si>
  <si>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</si>
  <si>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</si>
  <si>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</si>
  <si>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</si>
  <si>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</si>
  <si>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</si>
  <si>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</si>
  <si>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</si>
  <si>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</si>
  <si>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</si>
  <si>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</si>
  <si>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</si>
  <si>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</si>
  <si>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</si>
  <si>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</si>
  <si>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</si>
  <si>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</si>
  <si>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</si>
  <si>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</si>
  <si>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</si>
  <si>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</si>
  <si>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</si>
  <si>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</si>
  <si>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</si>
  <si>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</si>
  <si>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</si>
  <si>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</si>
  <si>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</si>
  <si>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</si>
  <si>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</si>
  <si>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</si>
  <si>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</si>
  <si>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</si>
  <si>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</si>
  <si>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</si>
  <si>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</si>
  <si>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</si>
  <si>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</si>
  <si>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</si>
  <si>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</si>
  <si>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</si>
  <si>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</si>
  <si>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</si>
  <si>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</si>
  <si>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</si>
  <si>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</si>
  <si>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</si>
  <si>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</si>
  <si>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</si>
  <si>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</si>
  <si>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</si>
  <si>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</si>
  <si>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</si>
  <si>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</si>
  <si>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</si>
  <si>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</si>
  <si>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</si>
  <si>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</si>
  <si>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</si>
  <si>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</si>
  <si>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</si>
  <si>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</si>
  <si>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</si>
  <si>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</si>
  <si>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</si>
  <si>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</si>
  <si>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</si>
  <si>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</si>
  <si>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</si>
  <si>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</si>
  <si>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</si>
  <si>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</si>
  <si>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</si>
  <si>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</si>
  <si>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</si>
  <si>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</si>
  <si>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</si>
  <si>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</si>
  <si>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</si>
  <si>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</si>
  <si>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</si>
  <si>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</si>
  <si>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</si>
  <si>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</si>
  <si>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</si>
  <si>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</si>
  <si>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</si>
  <si>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</si>
  <si>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</si>
  <si>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</si>
  <si>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</si>
  <si>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</si>
  <si>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</si>
  <si>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</si>
  <si>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</si>
  <si>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</si>
  <si>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</si>
  <si>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</si>
  <si>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</si>
  <si>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</si>
  <si>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</si>
  <si>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</si>
  <si>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</si>
  <si>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</si>
  <si>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</si>
  <si>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</si>
  <si>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</si>
  <si>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</si>
  <si>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</si>
  <si>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</si>
  <si>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</si>
  <si>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</si>
  <si>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</si>
  <si>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</si>
  <si>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</si>
  <si>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</si>
  <si>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</si>
  <si>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</si>
  <si>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</si>
  <si>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</si>
  <si>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</si>
  <si>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</si>
  <si>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</si>
  <si>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</si>
  <si>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</si>
  <si>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</si>
  <si>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</si>
  <si>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</si>
  <si>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</si>
  <si>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</si>
  <si>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</si>
  <si>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</si>
  <si>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</si>
  <si>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</si>
  <si>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</si>
  <si>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</si>
  <si>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</si>
  <si>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</si>
  <si>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</si>
  <si>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</si>
  <si>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</si>
  <si>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</si>
  <si>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</si>
  <si>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</si>
  <si>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</si>
  <si>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</si>
  <si>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</si>
  <si>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</si>
  <si>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</si>
  <si>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</si>
  <si>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</si>
  <si>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</si>
  <si>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</si>
  <si>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</si>
  <si>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</si>
  <si>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</si>
  <si>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</si>
  <si>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</si>
  <si>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</si>
  <si>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</si>
  <si>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</si>
  <si>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</si>
  <si>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</si>
  <si>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</si>
  <si>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</si>
  <si>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</si>
  <si>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</si>
  <si>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</si>
  <si>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</si>
  <si>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</si>
  <si>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</si>
  <si>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</si>
  <si>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</si>
  <si>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</si>
  <si>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</si>
  <si>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</si>
  <si>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</si>
  <si>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</si>
  <si>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</si>
  <si>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</si>
  <si>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</si>
  <si>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</si>
  <si>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</si>
  <si>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</si>
  <si>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</si>
  <si>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</si>
  <si>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</si>
  <si>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</si>
  <si>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</si>
  <si>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</si>
  <si>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</si>
  <si>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</si>
  <si>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</si>
  <si>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</si>
  <si>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</si>
  <si>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</si>
  <si>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</si>
  <si>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</si>
  <si>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</si>
  <si>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</si>
  <si>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</si>
  <si>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</si>
  <si>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</si>
  <si>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</si>
  <si>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</si>
  <si>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</si>
  <si>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</si>
  <si>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</si>
  <si>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</si>
  <si>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</si>
  <si>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</si>
  <si>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</si>
  <si>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</si>
  <si>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</si>
  <si>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</si>
  <si>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</si>
  <si>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</si>
  <si>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</si>
  <si>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</si>
  <si>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</si>
  <si>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</si>
  <si>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</si>
  <si>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</si>
  <si>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</si>
  <si>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</si>
  <si>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</si>
  <si>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</si>
  <si>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</si>
  <si>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</si>
  <si>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</si>
  <si>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</si>
  <si>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</si>
  <si>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</si>
  <si>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</si>
  <si>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</si>
  <si>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</si>
  <si>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</si>
  <si>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</si>
  <si>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</si>
  <si>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</si>
  <si>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</si>
  <si>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</si>
  <si>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</si>
  <si>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</si>
  <si>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</si>
  <si>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</si>
  <si>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</si>
  <si>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</si>
  <si>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</si>
  <si>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</si>
  <si>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</si>
  <si>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</si>
  <si>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</si>
  <si>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</si>
  <si>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</si>
  <si>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</si>
  <si>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</si>
  <si>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</si>
  <si>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</si>
  <si>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</si>
  <si>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</si>
  <si>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</si>
  <si>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</si>
  <si>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</si>
  <si>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</si>
  <si>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</si>
  <si>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</si>
  <si>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</si>
  <si>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</si>
  <si>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</si>
  <si>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</si>
  <si>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</si>
  <si>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</si>
  <si>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</si>
  <si>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</si>
  <si>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</si>
  <si>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</si>
  <si>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</si>
  <si>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</si>
  <si>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</si>
  <si>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</si>
  <si>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</si>
  <si>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</si>
  <si>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</si>
  <si>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</si>
  <si>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</si>
  <si>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</si>
  <si>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</si>
  <si>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</si>
  <si>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</si>
  <si>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</si>
  <si>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</si>
  <si>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</si>
  <si>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</si>
  <si>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</si>
  <si>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</si>
  <si>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</si>
  <si>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</si>
  <si>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</si>
  <si>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</si>
  <si>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</si>
  <si>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</si>
  <si>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</si>
  <si>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</si>
  <si>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</si>
  <si>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</si>
  <si>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</si>
  <si>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</si>
  <si>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</si>
  <si>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</si>
  <si>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</si>
  <si>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</si>
  <si>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</si>
  <si>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</si>
  <si>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</si>
  <si>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</si>
  <si>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</si>
  <si>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</si>
  <si>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</si>
  <si>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</si>
  <si>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</si>
  <si>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</si>
  <si>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</si>
  <si>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</si>
  <si>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6272872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</si>
</sst>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Z540" sqref="Z5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8" t="s">
        <v>26</v>
      </c>
      <c r="E1" s="958"/>
      <c r="F1" s="958"/>
      <c r="G1" s="14" t="s">
        <v>66</v>
      </c>
      <c r="H1" s="958" t="s">
        <v>47</v>
      </c>
      <c r="I1" s="958"/>
      <c r="J1" s="958"/>
      <c r="K1" s="958"/>
      <c r="L1" s="958"/>
      <c r="M1" s="958"/>
      <c r="N1" s="958"/>
      <c r="O1" s="958"/>
      <c r="P1" s="958"/>
      <c r="Q1" s="958"/>
      <c r="R1" s="959" t="s">
        <v>67</v>
      </c>
      <c r="S1" s="960"/>
      <c r="T1" s="96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1"/>
      <c r="R2" s="961"/>
      <c r="S2" s="961"/>
      <c r="T2" s="961"/>
      <c r="U2" s="961"/>
      <c r="V2" s="961"/>
      <c r="W2" s="96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1"/>
      <c r="Q3" s="961"/>
      <c r="R3" s="961"/>
      <c r="S3" s="961"/>
      <c r="T3" s="961"/>
      <c r="U3" s="961"/>
      <c r="V3" s="961"/>
      <c r="W3" s="96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2"/>
      <c r="E5" s="962"/>
      <c r="F5" s="963" t="s">
        <v>14</v>
      </c>
      <c r="G5" s="963"/>
      <c r="H5" s="962" t="s">
        <v>860</v>
      </c>
      <c r="I5" s="962"/>
      <c r="J5" s="962"/>
      <c r="K5" s="962"/>
      <c r="L5" s="962"/>
      <c r="M5" s="962"/>
      <c r="N5" s="72"/>
      <c r="P5" s="27" t="s">
        <v>4</v>
      </c>
      <c r="Q5" s="964">
        <v>46219</v>
      </c>
      <c r="R5" s="964"/>
      <c r="T5" s="965" t="s">
        <v>3</v>
      </c>
      <c r="U5" s="966"/>
      <c r="V5" s="967" t="s">
        <v>835</v>
      </c>
      <c r="W5" s="968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842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Четверг</v>
      </c>
      <c r="R6" s="941"/>
      <c r="T6" s="942" t="s">
        <v>5</v>
      </c>
      <c r="U6" s="943"/>
      <c r="V6" s="944" t="s">
        <v>69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3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57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0.54166666666666663</v>
      </c>
      <c r="R8" s="955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6" t="str">
        <f>IF(AND($A$9="Тип доверенности/получателя при получении в адресе перегруза:",$D$9="Разовая доверенность"),"Введите ФИО","")</f>
        <v/>
      </c>
      <c r="I9" s="956"/>
      <c r="J9" s="95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6"/>
      <c r="L9" s="956"/>
      <c r="M9" s="956"/>
      <c r="N9" s="70"/>
      <c r="P9" s="31" t="s">
        <v>15</v>
      </c>
      <c r="Q9" s="957"/>
      <c r="R9" s="957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70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859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71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72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73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74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60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58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65</v>
      </c>
      <c r="L17" s="900" t="s">
        <v>63</v>
      </c>
      <c r="M17" s="900" t="s">
        <v>2</v>
      </c>
      <c r="N17" s="900" t="s">
        <v>62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55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59</v>
      </c>
      <c r="AB17" s="906" t="s">
        <v>19</v>
      </c>
      <c r="AC17" s="906" t="s">
        <v>64</v>
      </c>
      <c r="AD17" s="908" t="s">
        <v>56</v>
      </c>
      <c r="AE17" s="909"/>
      <c r="AF17" s="910"/>
      <c r="AG17" s="82"/>
      <c r="BD17" s="81" t="s">
        <v>61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hidden="1" customHeight="1" x14ac:dyDescent="0.2">
      <c r="A19" s="641" t="s">
        <v>75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hidden="1" customHeight="1" x14ac:dyDescent="0.25">
      <c r="A20" s="636" t="s">
        <v>75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hidden="1" customHeight="1" x14ac:dyDescent="0.25">
      <c r="A21" s="620" t="s">
        <v>76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20" t="s">
        <v>85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21">
        <v>4680115887619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20" t="s">
        <v>103</v>
      </c>
      <c r="B34" s="620"/>
      <c r="C34" s="620"/>
      <c r="D34" s="620"/>
      <c r="E34" s="620"/>
      <c r="F34" s="620"/>
      <c r="G34" s="620"/>
      <c r="H34" s="620"/>
      <c r="I34" s="620"/>
      <c r="J34" s="620"/>
      <c r="K34" s="620"/>
      <c r="L34" s="620"/>
      <c r="M34" s="620"/>
      <c r="N34" s="620"/>
      <c r="O34" s="620"/>
      <c r="P34" s="620"/>
      <c r="Q34" s="620"/>
      <c r="R34" s="620"/>
      <c r="S34" s="620"/>
      <c r="T34" s="620"/>
      <c r="U34" s="620"/>
      <c r="V34" s="620"/>
      <c r="W34" s="620"/>
      <c r="X34" s="620"/>
      <c r="Y34" s="620"/>
      <c r="Z34" s="620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621">
        <v>4607091388503</v>
      </c>
      <c r="E35" s="62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3"/>
      <c r="R35" s="623"/>
      <c r="S35" s="623"/>
      <c r="T35" s="62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41" t="s">
        <v>45</v>
      </c>
      <c r="B38" s="641"/>
      <c r="C38" s="641"/>
      <c r="D38" s="641"/>
      <c r="E38" s="641"/>
      <c r="F38" s="641"/>
      <c r="G38" s="641"/>
      <c r="H38" s="641"/>
      <c r="I38" s="641"/>
      <c r="J38" s="641"/>
      <c r="K38" s="641"/>
      <c r="L38" s="641"/>
      <c r="M38" s="641"/>
      <c r="N38" s="641"/>
      <c r="O38" s="641"/>
      <c r="P38" s="641"/>
      <c r="Q38" s="641"/>
      <c r="R38" s="641"/>
      <c r="S38" s="641"/>
      <c r="T38" s="641"/>
      <c r="U38" s="641"/>
      <c r="V38" s="641"/>
      <c r="W38" s="641"/>
      <c r="X38" s="641"/>
      <c r="Y38" s="641"/>
      <c r="Z38" s="641"/>
      <c r="AA38" s="54"/>
      <c r="AB38" s="54"/>
      <c r="AC38" s="54"/>
    </row>
    <row r="39" spans="1:68" ht="16.5" hidden="1" customHeight="1" x14ac:dyDescent="0.25">
      <c r="A39" s="636" t="s">
        <v>109</v>
      </c>
      <c r="B39" s="636"/>
      <c r="C39" s="636"/>
      <c r="D39" s="636"/>
      <c r="E39" s="636"/>
      <c r="F39" s="636"/>
      <c r="G39" s="636"/>
      <c r="H39" s="636"/>
      <c r="I39" s="636"/>
      <c r="J39" s="636"/>
      <c r="K39" s="636"/>
      <c r="L39" s="636"/>
      <c r="M39" s="636"/>
      <c r="N39" s="636"/>
      <c r="O39" s="636"/>
      <c r="P39" s="636"/>
      <c r="Q39" s="636"/>
      <c r="R39" s="636"/>
      <c r="S39" s="636"/>
      <c r="T39" s="636"/>
      <c r="U39" s="636"/>
      <c r="V39" s="636"/>
      <c r="W39" s="636"/>
      <c r="X39" s="636"/>
      <c r="Y39" s="636"/>
      <c r="Z39" s="636"/>
      <c r="AA39" s="65"/>
      <c r="AB39" s="65"/>
      <c r="AC39" s="79"/>
    </row>
    <row r="40" spans="1:68" ht="14.25" hidden="1" customHeight="1" x14ac:dyDescent="0.25">
      <c r="A40" s="620" t="s">
        <v>85</v>
      </c>
      <c r="B40" s="620"/>
      <c r="C40" s="620"/>
      <c r="D40" s="620"/>
      <c r="E40" s="620"/>
      <c r="F40" s="620"/>
      <c r="G40" s="620"/>
      <c r="H40" s="620"/>
      <c r="I40" s="620"/>
      <c r="J40" s="620"/>
      <c r="K40" s="620"/>
      <c r="L40" s="620"/>
      <c r="M40" s="620"/>
      <c r="N40" s="620"/>
      <c r="O40" s="620"/>
      <c r="P40" s="620"/>
      <c r="Q40" s="620"/>
      <c r="R40" s="620"/>
      <c r="S40" s="620"/>
      <c r="T40" s="620"/>
      <c r="U40" s="620"/>
      <c r="V40" s="620"/>
      <c r="W40" s="620"/>
      <c r="X40" s="620"/>
      <c r="Y40" s="620"/>
      <c r="Z40" s="620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621">
        <v>4680115889354</v>
      </c>
      <c r="E41" s="6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3"/>
      <c r="R41" s="623"/>
      <c r="S41" s="623"/>
      <c r="T41" s="6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113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21">
        <v>4680115888463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21">
        <v>4680115888494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89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621">
        <v>4680115888272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21">
        <v>4680115888364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41" t="s">
        <v>126</v>
      </c>
      <c r="B48" s="641"/>
      <c r="C48" s="641"/>
      <c r="D48" s="641"/>
      <c r="E48" s="641"/>
      <c r="F48" s="641"/>
      <c r="G48" s="641"/>
      <c r="H48" s="641"/>
      <c r="I48" s="641"/>
      <c r="J48" s="641"/>
      <c r="K48" s="641"/>
      <c r="L48" s="641"/>
      <c r="M48" s="641"/>
      <c r="N48" s="641"/>
      <c r="O48" s="641"/>
      <c r="P48" s="641"/>
      <c r="Q48" s="641"/>
      <c r="R48" s="641"/>
      <c r="S48" s="641"/>
      <c r="T48" s="641"/>
      <c r="U48" s="641"/>
      <c r="V48" s="641"/>
      <c r="W48" s="641"/>
      <c r="X48" s="641"/>
      <c r="Y48" s="641"/>
      <c r="Z48" s="641"/>
      <c r="AA48" s="54"/>
      <c r="AB48" s="54"/>
      <c r="AC48" s="54"/>
    </row>
    <row r="49" spans="1:68" ht="16.5" hidden="1" customHeight="1" x14ac:dyDescent="0.25">
      <c r="A49" s="636" t="s">
        <v>127</v>
      </c>
      <c r="B49" s="636"/>
      <c r="C49" s="636"/>
      <c r="D49" s="636"/>
      <c r="E49" s="636"/>
      <c r="F49" s="636"/>
      <c r="G49" s="636"/>
      <c r="H49" s="636"/>
      <c r="I49" s="636"/>
      <c r="J49" s="636"/>
      <c r="K49" s="636"/>
      <c r="L49" s="636"/>
      <c r="M49" s="636"/>
      <c r="N49" s="636"/>
      <c r="O49" s="636"/>
      <c r="P49" s="636"/>
      <c r="Q49" s="636"/>
      <c r="R49" s="636"/>
      <c r="S49" s="636"/>
      <c r="T49" s="636"/>
      <c r="U49" s="636"/>
      <c r="V49" s="636"/>
      <c r="W49" s="636"/>
      <c r="X49" s="636"/>
      <c r="Y49" s="636"/>
      <c r="Z49" s="636"/>
      <c r="AA49" s="65"/>
      <c r="AB49" s="65"/>
      <c r="AC49" s="79"/>
    </row>
    <row r="50" spans="1:68" ht="14.25" hidden="1" customHeight="1" x14ac:dyDescent="0.25">
      <c r="A50" s="620" t="s">
        <v>128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621">
        <v>4607091385670</v>
      </c>
      <c r="E51" s="62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3"/>
      <c r="R51" s="623"/>
      <c r="S51" s="623"/>
      <c r="T51" s="62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21">
        <v>4680115887725</v>
      </c>
      <c r="E52" s="62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80</v>
      </c>
      <c r="N52" s="38"/>
      <c r="O52" s="37">
        <v>30</v>
      </c>
      <c r="P52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621">
        <v>4607091385687</v>
      </c>
      <c r="E53" s="62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89</v>
      </c>
      <c r="N53" s="38"/>
      <c r="O53" s="37">
        <v>50</v>
      </c>
      <c r="P53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21">
        <v>4680115882539</v>
      </c>
      <c r="E54" s="62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89</v>
      </c>
      <c r="N54" s="38"/>
      <c r="O54" s="37">
        <v>50</v>
      </c>
      <c r="P54" s="88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28"/>
      <c r="B55" s="628"/>
      <c r="C55" s="628"/>
      <c r="D55" s="628"/>
      <c r="E55" s="628"/>
      <c r="F55" s="628"/>
      <c r="G55" s="628"/>
      <c r="H55" s="628"/>
      <c r="I55" s="628"/>
      <c r="J55" s="628"/>
      <c r="K55" s="628"/>
      <c r="L55" s="628"/>
      <c r="M55" s="628"/>
      <c r="N55" s="628"/>
      <c r="O55" s="629"/>
      <c r="P55" s="625" t="s">
        <v>40</v>
      </c>
      <c r="Q55" s="626"/>
      <c r="R55" s="626"/>
      <c r="S55" s="626"/>
      <c r="T55" s="626"/>
      <c r="U55" s="626"/>
      <c r="V55" s="627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36" t="s">
        <v>143</v>
      </c>
      <c r="B57" s="636"/>
      <c r="C57" s="636"/>
      <c r="D57" s="636"/>
      <c r="E57" s="636"/>
      <c r="F57" s="636"/>
      <c r="G57" s="636"/>
      <c r="H57" s="636"/>
      <c r="I57" s="636"/>
      <c r="J57" s="636"/>
      <c r="K57" s="636"/>
      <c r="L57" s="636"/>
      <c r="M57" s="636"/>
      <c r="N57" s="636"/>
      <c r="O57" s="636"/>
      <c r="P57" s="636"/>
      <c r="Q57" s="636"/>
      <c r="R57" s="636"/>
      <c r="S57" s="636"/>
      <c r="T57" s="636"/>
      <c r="U57" s="636"/>
      <c r="V57" s="636"/>
      <c r="W57" s="636"/>
      <c r="X57" s="636"/>
      <c r="Y57" s="636"/>
      <c r="Z57" s="636"/>
      <c r="AA57" s="65"/>
      <c r="AB57" s="65"/>
      <c r="AC57" s="79"/>
    </row>
    <row r="58" spans="1:68" ht="14.25" hidden="1" customHeight="1" x14ac:dyDescent="0.25">
      <c r="A58" s="620" t="s">
        <v>128</v>
      </c>
      <c r="B58" s="620"/>
      <c r="C58" s="620"/>
      <c r="D58" s="620"/>
      <c r="E58" s="620"/>
      <c r="F58" s="620"/>
      <c r="G58" s="620"/>
      <c r="H58" s="620"/>
      <c r="I58" s="620"/>
      <c r="J58" s="620"/>
      <c r="K58" s="620"/>
      <c r="L58" s="620"/>
      <c r="M58" s="620"/>
      <c r="N58" s="620"/>
      <c r="O58" s="620"/>
      <c r="P58" s="620"/>
      <c r="Q58" s="620"/>
      <c r="R58" s="620"/>
      <c r="S58" s="620"/>
      <c r="T58" s="620"/>
      <c r="U58" s="620"/>
      <c r="V58" s="620"/>
      <c r="W58" s="620"/>
      <c r="X58" s="620"/>
      <c r="Y58" s="620"/>
      <c r="Z58" s="620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21">
        <v>4680115885882</v>
      </c>
      <c r="E59" s="62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89</v>
      </c>
      <c r="N59" s="38"/>
      <c r="O59" s="37">
        <v>50</v>
      </c>
      <c r="P59" s="8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3"/>
      <c r="R59" s="623"/>
      <c r="S59" s="623"/>
      <c r="T59" s="6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8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621">
        <v>4680115881426</v>
      </c>
      <c r="E61" s="62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8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21">
        <v>4680115880283</v>
      </c>
      <c r="E62" s="62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8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156</v>
      </c>
      <c r="C63" s="36">
        <v>4301012259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87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3"/>
      <c r="R63" s="623"/>
      <c r="S63" s="623"/>
      <c r="T63" s="624"/>
      <c r="U63" s="39" t="s">
        <v>155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158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159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160</v>
      </c>
      <c r="B65" s="63" t="s">
        <v>161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132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162</v>
      </c>
      <c r="B66" s="63" t="s">
        <v>163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164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20" t="s">
        <v>165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hidden="1" customHeight="1" x14ac:dyDescent="0.25">
      <c r="A70" s="63" t="s">
        <v>166</v>
      </c>
      <c r="B70" s="63" t="s">
        <v>167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171</v>
      </c>
      <c r="B72" s="63" t="s">
        <v>172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80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173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174</v>
      </c>
      <c r="B73" s="63" t="s">
        <v>175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132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20" t="s">
        <v>85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hidden="1" customHeight="1" x14ac:dyDescent="0.25">
      <c r="A77" s="63" t="s">
        <v>176</v>
      </c>
      <c r="B77" s="63" t="s">
        <v>177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178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179</v>
      </c>
      <c r="B78" s="63" t="s">
        <v>180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181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20" t="s">
        <v>182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hidden="1" customHeight="1" x14ac:dyDescent="0.25">
      <c r="A82" s="63" t="s">
        <v>183</v>
      </c>
      <c r="B82" s="63" t="s">
        <v>184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96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185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186</v>
      </c>
      <c r="B83" s="63" t="s">
        <v>187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89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188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36" t="s">
        <v>189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hidden="1" customHeight="1" x14ac:dyDescent="0.25">
      <c r="A87" s="620" t="s">
        <v>128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hidden="1" customHeight="1" x14ac:dyDescent="0.25">
      <c r="A88" s="63" t="s">
        <v>190</v>
      </c>
      <c r="B88" s="63" t="s">
        <v>191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96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192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80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195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196</v>
      </c>
      <c r="B90" s="63" t="s">
        <v>197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89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192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198</v>
      </c>
      <c r="B91" s="63" t="s">
        <v>199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96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192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20" t="s">
        <v>85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hidden="1" customHeight="1" x14ac:dyDescent="0.25">
      <c r="A95" s="63" t="s">
        <v>200</v>
      </c>
      <c r="B95" s="63" t="s">
        <v>201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96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202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203</v>
      </c>
      <c r="B96" s="63" t="s">
        <v>204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202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202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207</v>
      </c>
      <c r="B98" s="63" t="s">
        <v>208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209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36" t="s">
        <v>210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hidden="1" customHeight="1" x14ac:dyDescent="0.25">
      <c r="A102" s="620" t="s">
        <v>128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hidden="1" customHeight="1" x14ac:dyDescent="0.25">
      <c r="A103" s="63" t="s">
        <v>211</v>
      </c>
      <c r="B103" s="63" t="s">
        <v>212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213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214</v>
      </c>
      <c r="B104" s="63" t="s">
        <v>215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80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216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214</v>
      </c>
      <c r="B105" s="63" t="s">
        <v>217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80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216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218</v>
      </c>
      <c r="B106" s="63" t="s">
        <v>219</v>
      </c>
      <c r="C106" s="36">
        <v>4301011417</v>
      </c>
      <c r="D106" s="621">
        <v>4680115880269</v>
      </c>
      <c r="E106" s="62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89</v>
      </c>
      <c r="N106" s="38"/>
      <c r="O106" s="37">
        <v>50</v>
      </c>
      <c r="P106" s="85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213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220</v>
      </c>
      <c r="B107" s="63" t="s">
        <v>221</v>
      </c>
      <c r="C107" s="36">
        <v>4301011415</v>
      </c>
      <c r="D107" s="621">
        <v>4680115880429</v>
      </c>
      <c r="E107" s="62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89</v>
      </c>
      <c r="N107" s="38"/>
      <c r="O107" s="37">
        <v>50</v>
      </c>
      <c r="P107" s="8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213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222</v>
      </c>
      <c r="B108" s="63" t="s">
        <v>223</v>
      </c>
      <c r="C108" s="36">
        <v>4301011462</v>
      </c>
      <c r="D108" s="621">
        <v>4680115881457</v>
      </c>
      <c r="E108" s="62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89</v>
      </c>
      <c r="N108" s="38"/>
      <c r="O108" s="37">
        <v>50</v>
      </c>
      <c r="P108" s="8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213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20" t="s">
        <v>165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16.5" hidden="1" customHeight="1" x14ac:dyDescent="0.25">
      <c r="A112" s="63" t="s">
        <v>224</v>
      </c>
      <c r="B112" s="63" t="s">
        <v>225</v>
      </c>
      <c r="C112" s="36">
        <v>4301020345</v>
      </c>
      <c r="D112" s="621">
        <v>4680115881488</v>
      </c>
      <c r="E112" s="62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5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23"/>
      <c r="R112" s="623"/>
      <c r="S112" s="623"/>
      <c r="T112" s="624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226</v>
      </c>
      <c r="AG112" s="78"/>
      <c r="AJ112" s="84" t="s">
        <v>46</v>
      </c>
      <c r="AK112" s="84">
        <v>0</v>
      </c>
      <c r="BB112" s="181" t="s">
        <v>66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hidden="1" customHeight="1" x14ac:dyDescent="0.25">
      <c r="A113" s="63" t="s">
        <v>224</v>
      </c>
      <c r="B113" s="63" t="s">
        <v>227</v>
      </c>
      <c r="C113" s="36">
        <v>4301020391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133</v>
      </c>
      <c r="L113" s="37" t="s">
        <v>46</v>
      </c>
      <c r="M113" s="38" t="s">
        <v>132</v>
      </c>
      <c r="N113" s="38"/>
      <c r="O113" s="37">
        <v>55</v>
      </c>
      <c r="P113" s="8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66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hidden="1" customHeight="1" x14ac:dyDescent="0.25">
      <c r="A114" s="63" t="s">
        <v>229</v>
      </c>
      <c r="B114" s="63" t="s">
        <v>230</v>
      </c>
      <c r="C114" s="36">
        <v>4301020186</v>
      </c>
      <c r="D114" s="621">
        <v>4680115887664</v>
      </c>
      <c r="E114" s="621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232</v>
      </c>
      <c r="L114" s="37" t="s">
        <v>46</v>
      </c>
      <c r="M114" s="38" t="s">
        <v>80</v>
      </c>
      <c r="N114" s="38"/>
      <c r="O114" s="37">
        <v>30</v>
      </c>
      <c r="P114" s="84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231</v>
      </c>
      <c r="AG114" s="78"/>
      <c r="AJ114" s="84" t="s">
        <v>46</v>
      </c>
      <c r="AK114" s="84">
        <v>0</v>
      </c>
      <c r="BB114" s="185" t="s">
        <v>66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hidden="1" customHeight="1" x14ac:dyDescent="0.25">
      <c r="A115" s="63" t="s">
        <v>229</v>
      </c>
      <c r="B115" s="63" t="s">
        <v>233</v>
      </c>
      <c r="C115" s="36">
        <v>4301020430</v>
      </c>
      <c r="D115" s="621">
        <v>4680115887664</v>
      </c>
      <c r="E115" s="621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84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231</v>
      </c>
      <c r="AG115" s="78"/>
      <c r="AJ115" s="84" t="s">
        <v>46</v>
      </c>
      <c r="AK115" s="84">
        <v>0</v>
      </c>
      <c r="BB115" s="187" t="s">
        <v>66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hidden="1" customHeight="1" x14ac:dyDescent="0.25">
      <c r="A116" s="63" t="s">
        <v>234</v>
      </c>
      <c r="B116" s="63" t="s">
        <v>235</v>
      </c>
      <c r="C116" s="36">
        <v>4301020393</v>
      </c>
      <c r="D116" s="621">
        <v>4680115882775</v>
      </c>
      <c r="E116" s="621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81</v>
      </c>
      <c r="L116" s="37" t="s">
        <v>46</v>
      </c>
      <c r="M116" s="38" t="s">
        <v>132</v>
      </c>
      <c r="N116" s="38"/>
      <c r="O116" s="37">
        <v>55</v>
      </c>
      <c r="P116" s="85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228</v>
      </c>
      <c r="AG116" s="78"/>
      <c r="AJ116" s="84" t="s">
        <v>46</v>
      </c>
      <c r="AK116" s="84">
        <v>0</v>
      </c>
      <c r="BB116" s="189" t="s">
        <v>66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hidden="1" customHeight="1" x14ac:dyDescent="0.25">
      <c r="A117" s="63" t="s">
        <v>236</v>
      </c>
      <c r="B117" s="63" t="s">
        <v>237</v>
      </c>
      <c r="C117" s="36">
        <v>4301020344</v>
      </c>
      <c r="D117" s="621">
        <v>4680115880658</v>
      </c>
      <c r="E117" s="621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90</v>
      </c>
      <c r="L117" s="37" t="s">
        <v>46</v>
      </c>
      <c r="M117" s="38" t="s">
        <v>132</v>
      </c>
      <c r="N117" s="38"/>
      <c r="O117" s="37">
        <v>55</v>
      </c>
      <c r="P117" s="85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226</v>
      </c>
      <c r="AG117" s="78"/>
      <c r="AJ117" s="84" t="s">
        <v>46</v>
      </c>
      <c r="AK117" s="84">
        <v>0</v>
      </c>
      <c r="BB117" s="191" t="s">
        <v>66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hidden="1" customHeight="1" x14ac:dyDescent="0.25">
      <c r="A118" s="63" t="s">
        <v>236</v>
      </c>
      <c r="B118" s="63" t="s">
        <v>238</v>
      </c>
      <c r="C118" s="36">
        <v>4301020392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132</v>
      </c>
      <c r="N118" s="38"/>
      <c r="O118" s="37">
        <v>55</v>
      </c>
      <c r="P118" s="84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228</v>
      </c>
      <c r="AG118" s="78"/>
      <c r="AJ118" s="84" t="s">
        <v>46</v>
      </c>
      <c r="AK118" s="84">
        <v>0</v>
      </c>
      <c r="BB118" s="193" t="s">
        <v>66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hidden="1" x14ac:dyDescent="0.2">
      <c r="A119" s="628"/>
      <c r="B119" s="628"/>
      <c r="C119" s="628"/>
      <c r="D119" s="628"/>
      <c r="E119" s="628"/>
      <c r="F119" s="628"/>
      <c r="G119" s="628"/>
      <c r="H119" s="628"/>
      <c r="I119" s="628"/>
      <c r="J119" s="628"/>
      <c r="K119" s="628"/>
      <c r="L119" s="628"/>
      <c r="M119" s="628"/>
      <c r="N119" s="628"/>
      <c r="O119" s="629"/>
      <c r="P119" s="625" t="s">
        <v>40</v>
      </c>
      <c r="Q119" s="626"/>
      <c r="R119" s="626"/>
      <c r="S119" s="626"/>
      <c r="T119" s="626"/>
      <c r="U119" s="626"/>
      <c r="V119" s="627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20" t="s">
        <v>85</v>
      </c>
      <c r="B121" s="620"/>
      <c r="C121" s="620"/>
      <c r="D121" s="620"/>
      <c r="E121" s="620"/>
      <c r="F121" s="620"/>
      <c r="G121" s="620"/>
      <c r="H121" s="620"/>
      <c r="I121" s="620"/>
      <c r="J121" s="620"/>
      <c r="K121" s="620"/>
      <c r="L121" s="620"/>
      <c r="M121" s="620"/>
      <c r="N121" s="620"/>
      <c r="O121" s="620"/>
      <c r="P121" s="620"/>
      <c r="Q121" s="620"/>
      <c r="R121" s="620"/>
      <c r="S121" s="620"/>
      <c r="T121" s="620"/>
      <c r="U121" s="620"/>
      <c r="V121" s="620"/>
      <c r="W121" s="620"/>
      <c r="X121" s="620"/>
      <c r="Y121" s="620"/>
      <c r="Z121" s="620"/>
      <c r="AA121" s="66"/>
      <c r="AB121" s="66"/>
      <c r="AC121" s="80"/>
    </row>
    <row r="122" spans="1:68" ht="27" hidden="1" customHeight="1" x14ac:dyDescent="0.25">
      <c r="A122" s="63" t="s">
        <v>239</v>
      </c>
      <c r="B122" s="63" t="s">
        <v>240</v>
      </c>
      <c r="C122" s="36">
        <v>4301051724</v>
      </c>
      <c r="D122" s="621">
        <v>4607091385168</v>
      </c>
      <c r="E122" s="621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133</v>
      </c>
      <c r="L122" s="37" t="s">
        <v>46</v>
      </c>
      <c r="M122" s="38" t="s">
        <v>96</v>
      </c>
      <c r="N122" s="38"/>
      <c r="O122" s="37">
        <v>45</v>
      </c>
      <c r="P122" s="84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23"/>
      <c r="R122" s="623"/>
      <c r="S122" s="623"/>
      <c r="T122" s="62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241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242</v>
      </c>
      <c r="B123" s="63" t="s">
        <v>243</v>
      </c>
      <c r="C123" s="36">
        <v>4301051730</v>
      </c>
      <c r="D123" s="621">
        <v>4607091383256</v>
      </c>
      <c r="E123" s="621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90</v>
      </c>
      <c r="L123" s="37" t="s">
        <v>46</v>
      </c>
      <c r="M123" s="38" t="s">
        <v>96</v>
      </c>
      <c r="N123" s="38"/>
      <c r="O123" s="37">
        <v>45</v>
      </c>
      <c r="P123" s="8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241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4301051721</v>
      </c>
      <c r="D124" s="621">
        <v>4607091385748</v>
      </c>
      <c r="E124" s="621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84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241</v>
      </c>
      <c r="AG124" s="78"/>
      <c r="AJ124" s="84" t="s">
        <v>46</v>
      </c>
      <c r="AK124" s="84">
        <v>0</v>
      </c>
      <c r="BB124" s="199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246</v>
      </c>
      <c r="B125" s="63" t="s">
        <v>247</v>
      </c>
      <c r="C125" s="36">
        <v>4301051740</v>
      </c>
      <c r="D125" s="621">
        <v>4680115884533</v>
      </c>
      <c r="E125" s="621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90</v>
      </c>
      <c r="L125" s="37" t="s">
        <v>46</v>
      </c>
      <c r="M125" s="38" t="s">
        <v>89</v>
      </c>
      <c r="N125" s="38"/>
      <c r="O125" s="37">
        <v>45</v>
      </c>
      <c r="P125" s="8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hidden="1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hidden="1" customHeight="1" x14ac:dyDescent="0.25">
      <c r="A128" s="620" t="s">
        <v>182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16.5" hidden="1" customHeight="1" x14ac:dyDescent="0.25">
      <c r="A129" s="63" t="s">
        <v>249</v>
      </c>
      <c r="B129" s="63" t="s">
        <v>250</v>
      </c>
      <c r="C129" s="36">
        <v>4301060317</v>
      </c>
      <c r="D129" s="621">
        <v>4680115880238</v>
      </c>
      <c r="E129" s="621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90</v>
      </c>
      <c r="L129" s="37" t="s">
        <v>46</v>
      </c>
      <c r="M129" s="38" t="s">
        <v>89</v>
      </c>
      <c r="N129" s="38"/>
      <c r="O129" s="37">
        <v>40</v>
      </c>
      <c r="P129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23"/>
      <c r="R129" s="623"/>
      <c r="S129" s="623"/>
      <c r="T129" s="62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251</v>
      </c>
      <c r="AG129" s="78"/>
      <c r="AJ129" s="84" t="s">
        <v>46</v>
      </c>
      <c r="AK129" s="84">
        <v>0</v>
      </c>
      <c r="BB129" s="20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36" t="s">
        <v>252</v>
      </c>
      <c r="B132" s="636"/>
      <c r="C132" s="636"/>
      <c r="D132" s="636"/>
      <c r="E132" s="636"/>
      <c r="F132" s="636"/>
      <c r="G132" s="636"/>
      <c r="H132" s="636"/>
      <c r="I132" s="636"/>
      <c r="J132" s="636"/>
      <c r="K132" s="636"/>
      <c r="L132" s="636"/>
      <c r="M132" s="636"/>
      <c r="N132" s="636"/>
      <c r="O132" s="636"/>
      <c r="P132" s="636"/>
      <c r="Q132" s="636"/>
      <c r="R132" s="636"/>
      <c r="S132" s="636"/>
      <c r="T132" s="636"/>
      <c r="U132" s="636"/>
      <c r="V132" s="636"/>
      <c r="W132" s="636"/>
      <c r="X132" s="636"/>
      <c r="Y132" s="636"/>
      <c r="Z132" s="636"/>
      <c r="AA132" s="65"/>
      <c r="AB132" s="65"/>
      <c r="AC132" s="79"/>
    </row>
    <row r="133" spans="1:68" ht="14.25" hidden="1" customHeight="1" x14ac:dyDescent="0.25">
      <c r="A133" s="620" t="s">
        <v>128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27" hidden="1" customHeight="1" x14ac:dyDescent="0.25">
      <c r="A134" s="63" t="s">
        <v>253</v>
      </c>
      <c r="B134" s="63" t="s">
        <v>254</v>
      </c>
      <c r="C134" s="36">
        <v>4301011562</v>
      </c>
      <c r="D134" s="621">
        <v>4680115882577</v>
      </c>
      <c r="E134" s="62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83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23"/>
      <c r="R134" s="623"/>
      <c r="S134" s="623"/>
      <c r="T134" s="62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255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253</v>
      </c>
      <c r="B135" s="63" t="s">
        <v>256</v>
      </c>
      <c r="C135" s="36">
        <v>4301011564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84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20" t="s">
        <v>76</v>
      </c>
      <c r="B138" s="620"/>
      <c r="C138" s="620"/>
      <c r="D138" s="620"/>
      <c r="E138" s="620"/>
      <c r="F138" s="620"/>
      <c r="G138" s="620"/>
      <c r="H138" s="620"/>
      <c r="I138" s="620"/>
      <c r="J138" s="620"/>
      <c r="K138" s="620"/>
      <c r="L138" s="620"/>
      <c r="M138" s="620"/>
      <c r="N138" s="620"/>
      <c r="O138" s="620"/>
      <c r="P138" s="620"/>
      <c r="Q138" s="620"/>
      <c r="R138" s="620"/>
      <c r="S138" s="620"/>
      <c r="T138" s="620"/>
      <c r="U138" s="620"/>
      <c r="V138" s="620"/>
      <c r="W138" s="620"/>
      <c r="X138" s="620"/>
      <c r="Y138" s="620"/>
      <c r="Z138" s="620"/>
      <c r="AA138" s="66"/>
      <c r="AB138" s="66"/>
      <c r="AC138" s="80"/>
    </row>
    <row r="139" spans="1:68" ht="27" hidden="1" customHeight="1" x14ac:dyDescent="0.25">
      <c r="A139" s="63" t="s">
        <v>257</v>
      </c>
      <c r="B139" s="63" t="s">
        <v>258</v>
      </c>
      <c r="C139" s="36">
        <v>4301031234</v>
      </c>
      <c r="D139" s="621">
        <v>4680115883444</v>
      </c>
      <c r="E139" s="621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90</v>
      </c>
      <c r="L139" s="37" t="s">
        <v>46</v>
      </c>
      <c r="M139" s="38" t="s">
        <v>108</v>
      </c>
      <c r="N139" s="38"/>
      <c r="O139" s="37">
        <v>90</v>
      </c>
      <c r="P139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23"/>
      <c r="R139" s="623"/>
      <c r="S139" s="623"/>
      <c r="T139" s="62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259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257</v>
      </c>
      <c r="B140" s="63" t="s">
        <v>260</v>
      </c>
      <c r="C140" s="36">
        <v>4301031235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90</v>
      </c>
      <c r="L140" s="37" t="s">
        <v>46</v>
      </c>
      <c r="M140" s="38" t="s">
        <v>108</v>
      </c>
      <c r="N140" s="38"/>
      <c r="O140" s="37">
        <v>90</v>
      </c>
      <c r="P140" s="8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259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20" t="s">
        <v>85</v>
      </c>
      <c r="B143" s="620"/>
      <c r="C143" s="620"/>
      <c r="D143" s="620"/>
      <c r="E143" s="620"/>
      <c r="F143" s="620"/>
      <c r="G143" s="620"/>
      <c r="H143" s="620"/>
      <c r="I143" s="620"/>
      <c r="J143" s="620"/>
      <c r="K143" s="620"/>
      <c r="L143" s="620"/>
      <c r="M143" s="620"/>
      <c r="N143" s="620"/>
      <c r="O143" s="620"/>
      <c r="P143" s="620"/>
      <c r="Q143" s="620"/>
      <c r="R143" s="620"/>
      <c r="S143" s="620"/>
      <c r="T143" s="620"/>
      <c r="U143" s="620"/>
      <c r="V143" s="620"/>
      <c r="W143" s="620"/>
      <c r="X143" s="620"/>
      <c r="Y143" s="620"/>
      <c r="Z143" s="620"/>
      <c r="AA143" s="66"/>
      <c r="AB143" s="66"/>
      <c r="AC143" s="80"/>
    </row>
    <row r="144" spans="1:68" ht="16.5" hidden="1" customHeight="1" x14ac:dyDescent="0.25">
      <c r="A144" s="63" t="s">
        <v>261</v>
      </c>
      <c r="B144" s="63" t="s">
        <v>262</v>
      </c>
      <c r="C144" s="36">
        <v>4301051476</v>
      </c>
      <c r="D144" s="621">
        <v>4680115882584</v>
      </c>
      <c r="E144" s="621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90</v>
      </c>
      <c r="L144" s="37" t="s">
        <v>46</v>
      </c>
      <c r="M144" s="38" t="s">
        <v>108</v>
      </c>
      <c r="N144" s="38"/>
      <c r="O144" s="37">
        <v>60</v>
      </c>
      <c r="P144" s="83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23"/>
      <c r="R144" s="623"/>
      <c r="S144" s="623"/>
      <c r="T144" s="624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255</v>
      </c>
      <c r="AG144" s="78"/>
      <c r="AJ144" s="84" t="s">
        <v>46</v>
      </c>
      <c r="AK144" s="84">
        <v>0</v>
      </c>
      <c r="BB144" s="21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261</v>
      </c>
      <c r="B145" s="63" t="s">
        <v>263</v>
      </c>
      <c r="C145" s="36">
        <v>4301051477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90</v>
      </c>
      <c r="L145" s="37" t="s">
        <v>46</v>
      </c>
      <c r="M145" s="38" t="s">
        <v>108</v>
      </c>
      <c r="N145" s="38"/>
      <c r="O145" s="37">
        <v>60</v>
      </c>
      <c r="P145" s="83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255</v>
      </c>
      <c r="AG145" s="78"/>
      <c r="AJ145" s="84" t="s">
        <v>46</v>
      </c>
      <c r="AK145" s="84">
        <v>0</v>
      </c>
      <c r="BB145" s="21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36" t="s">
        <v>264</v>
      </c>
      <c r="B148" s="636"/>
      <c r="C148" s="636"/>
      <c r="D148" s="636"/>
      <c r="E148" s="636"/>
      <c r="F148" s="636"/>
      <c r="G148" s="636"/>
      <c r="H148" s="636"/>
      <c r="I148" s="636"/>
      <c r="J148" s="636"/>
      <c r="K148" s="636"/>
      <c r="L148" s="636"/>
      <c r="M148" s="636"/>
      <c r="N148" s="636"/>
      <c r="O148" s="636"/>
      <c r="P148" s="636"/>
      <c r="Q148" s="636"/>
      <c r="R148" s="636"/>
      <c r="S148" s="636"/>
      <c r="T148" s="636"/>
      <c r="U148" s="636"/>
      <c r="V148" s="636"/>
      <c r="W148" s="636"/>
      <c r="X148" s="636"/>
      <c r="Y148" s="636"/>
      <c r="Z148" s="636"/>
      <c r="AA148" s="65"/>
      <c r="AB148" s="65"/>
      <c r="AC148" s="79"/>
    </row>
    <row r="149" spans="1:68" ht="14.25" hidden="1" customHeight="1" x14ac:dyDescent="0.25">
      <c r="A149" s="620" t="s">
        <v>85</v>
      </c>
      <c r="B149" s="620"/>
      <c r="C149" s="620"/>
      <c r="D149" s="620"/>
      <c r="E149" s="620"/>
      <c r="F149" s="620"/>
      <c r="G149" s="620"/>
      <c r="H149" s="620"/>
      <c r="I149" s="620"/>
      <c r="J149" s="620"/>
      <c r="K149" s="620"/>
      <c r="L149" s="620"/>
      <c r="M149" s="620"/>
      <c r="N149" s="620"/>
      <c r="O149" s="620"/>
      <c r="P149" s="620"/>
      <c r="Q149" s="620"/>
      <c r="R149" s="620"/>
      <c r="S149" s="620"/>
      <c r="T149" s="620"/>
      <c r="U149" s="620"/>
      <c r="V149" s="620"/>
      <c r="W149" s="620"/>
      <c r="X149" s="620"/>
      <c r="Y149" s="620"/>
      <c r="Z149" s="620"/>
      <c r="AA149" s="66"/>
      <c r="AB149" s="66"/>
      <c r="AC149" s="80"/>
    </row>
    <row r="150" spans="1:68" ht="27" hidden="1" customHeight="1" x14ac:dyDescent="0.25">
      <c r="A150" s="63" t="s">
        <v>265</v>
      </c>
      <c r="B150" s="63" t="s">
        <v>266</v>
      </c>
      <c r="C150" s="36">
        <v>4301052174</v>
      </c>
      <c r="D150" s="621">
        <v>4680115888203</v>
      </c>
      <c r="E150" s="62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3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23"/>
      <c r="R150" s="623"/>
      <c r="S150" s="623"/>
      <c r="T150" s="62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267</v>
      </c>
      <c r="AG150" s="78"/>
      <c r="AJ150" s="84" t="s">
        <v>46</v>
      </c>
      <c r="AK150" s="84">
        <v>0</v>
      </c>
      <c r="BB150" s="217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268</v>
      </c>
      <c r="B151" s="63" t="s">
        <v>269</v>
      </c>
      <c r="C151" s="36">
        <v>4301052172</v>
      </c>
      <c r="D151" s="621">
        <v>4680115888180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3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270</v>
      </c>
      <c r="AG151" s="78"/>
      <c r="AJ151" s="84" t="s">
        <v>46</v>
      </c>
      <c r="AK151" s="84">
        <v>0</v>
      </c>
      <c r="BB151" s="219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271</v>
      </c>
      <c r="B152" s="63" t="s">
        <v>272</v>
      </c>
      <c r="C152" s="36">
        <v>4301052173</v>
      </c>
      <c r="D152" s="621">
        <v>4680115888197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3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273</v>
      </c>
      <c r="AG152" s="78"/>
      <c r="AJ152" s="84" t="s">
        <v>46</v>
      </c>
      <c r="AK152" s="84">
        <v>0</v>
      </c>
      <c r="BB152" s="221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274</v>
      </c>
      <c r="B153" s="63" t="s">
        <v>275</v>
      </c>
      <c r="C153" s="36">
        <v>4301052175</v>
      </c>
      <c r="D153" s="621">
        <v>4680115888210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276</v>
      </c>
      <c r="AG153" s="78"/>
      <c r="AJ153" s="84" t="s">
        <v>46</v>
      </c>
      <c r="AK153" s="84">
        <v>0</v>
      </c>
      <c r="BB153" s="223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36" t="s">
        <v>126</v>
      </c>
      <c r="B156" s="636"/>
      <c r="C156" s="636"/>
      <c r="D156" s="636"/>
      <c r="E156" s="636"/>
      <c r="F156" s="636"/>
      <c r="G156" s="636"/>
      <c r="H156" s="636"/>
      <c r="I156" s="636"/>
      <c r="J156" s="636"/>
      <c r="K156" s="636"/>
      <c r="L156" s="636"/>
      <c r="M156" s="636"/>
      <c r="N156" s="636"/>
      <c r="O156" s="636"/>
      <c r="P156" s="636"/>
      <c r="Q156" s="636"/>
      <c r="R156" s="636"/>
      <c r="S156" s="636"/>
      <c r="T156" s="636"/>
      <c r="U156" s="636"/>
      <c r="V156" s="636"/>
      <c r="W156" s="636"/>
      <c r="X156" s="636"/>
      <c r="Y156" s="636"/>
      <c r="Z156" s="636"/>
      <c r="AA156" s="65"/>
      <c r="AB156" s="65"/>
      <c r="AC156" s="79"/>
    </row>
    <row r="157" spans="1:68" ht="14.25" hidden="1" customHeight="1" x14ac:dyDescent="0.25">
      <c r="A157" s="620" t="s">
        <v>128</v>
      </c>
      <c r="B157" s="620"/>
      <c r="C157" s="620"/>
      <c r="D157" s="620"/>
      <c r="E157" s="620"/>
      <c r="F157" s="620"/>
      <c r="G157" s="620"/>
      <c r="H157" s="620"/>
      <c r="I157" s="620"/>
      <c r="J157" s="620"/>
      <c r="K157" s="620"/>
      <c r="L157" s="620"/>
      <c r="M157" s="620"/>
      <c r="N157" s="620"/>
      <c r="O157" s="620"/>
      <c r="P157" s="620"/>
      <c r="Q157" s="620"/>
      <c r="R157" s="620"/>
      <c r="S157" s="620"/>
      <c r="T157" s="620"/>
      <c r="U157" s="620"/>
      <c r="V157" s="620"/>
      <c r="W157" s="620"/>
      <c r="X157" s="620"/>
      <c r="Y157" s="620"/>
      <c r="Z157" s="620"/>
      <c r="AA157" s="66"/>
      <c r="AB157" s="66"/>
      <c r="AC157" s="80"/>
    </row>
    <row r="158" spans="1:68" ht="27" hidden="1" customHeight="1" x14ac:dyDescent="0.25">
      <c r="A158" s="63" t="s">
        <v>277</v>
      </c>
      <c r="B158" s="63" t="s">
        <v>278</v>
      </c>
      <c r="C158" s="36">
        <v>4301012244</v>
      </c>
      <c r="D158" s="621">
        <v>4680115887374</v>
      </c>
      <c r="E158" s="621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133</v>
      </c>
      <c r="L158" s="37" t="s">
        <v>46</v>
      </c>
      <c r="M158" s="38" t="s">
        <v>132</v>
      </c>
      <c r="N158" s="38"/>
      <c r="O158" s="37">
        <v>55</v>
      </c>
      <c r="P158" s="82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23"/>
      <c r="R158" s="623"/>
      <c r="S158" s="623"/>
      <c r="T158" s="62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279</v>
      </c>
      <c r="AG158" s="78"/>
      <c r="AJ158" s="84" t="s">
        <v>46</v>
      </c>
      <c r="AK158" s="84">
        <v>0</v>
      </c>
      <c r="BB158" s="225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280</v>
      </c>
      <c r="B159" s="63" t="s">
        <v>281</v>
      </c>
      <c r="C159" s="36">
        <v>4301011705</v>
      </c>
      <c r="D159" s="621">
        <v>4607091384604</v>
      </c>
      <c r="E159" s="621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140</v>
      </c>
      <c r="L159" s="37" t="s">
        <v>46</v>
      </c>
      <c r="M159" s="38" t="s">
        <v>132</v>
      </c>
      <c r="N159" s="38"/>
      <c r="O159" s="37">
        <v>50</v>
      </c>
      <c r="P159" s="83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282</v>
      </c>
      <c r="AG159" s="78"/>
      <c r="AJ159" s="84" t="s">
        <v>46</v>
      </c>
      <c r="AK159" s="84">
        <v>0</v>
      </c>
      <c r="BB159" s="227" t="s">
        <v>66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28"/>
      <c r="B160" s="628"/>
      <c r="C160" s="628"/>
      <c r="D160" s="628"/>
      <c r="E160" s="628"/>
      <c r="F160" s="628"/>
      <c r="G160" s="628"/>
      <c r="H160" s="628"/>
      <c r="I160" s="628"/>
      <c r="J160" s="628"/>
      <c r="K160" s="628"/>
      <c r="L160" s="628"/>
      <c r="M160" s="628"/>
      <c r="N160" s="628"/>
      <c r="O160" s="629"/>
      <c r="P160" s="625" t="s">
        <v>40</v>
      </c>
      <c r="Q160" s="626"/>
      <c r="R160" s="626"/>
      <c r="S160" s="626"/>
      <c r="T160" s="626"/>
      <c r="U160" s="626"/>
      <c r="V160" s="627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20" t="s">
        <v>165</v>
      </c>
      <c r="B162" s="620"/>
      <c r="C162" s="620"/>
      <c r="D162" s="620"/>
      <c r="E162" s="620"/>
      <c r="F162" s="620"/>
      <c r="G162" s="620"/>
      <c r="H162" s="620"/>
      <c r="I162" s="620"/>
      <c r="J162" s="620"/>
      <c r="K162" s="620"/>
      <c r="L162" s="620"/>
      <c r="M162" s="620"/>
      <c r="N162" s="620"/>
      <c r="O162" s="620"/>
      <c r="P162" s="620"/>
      <c r="Q162" s="620"/>
      <c r="R162" s="620"/>
      <c r="S162" s="620"/>
      <c r="T162" s="620"/>
      <c r="U162" s="620"/>
      <c r="V162" s="620"/>
      <c r="W162" s="620"/>
      <c r="X162" s="620"/>
      <c r="Y162" s="620"/>
      <c r="Z162" s="620"/>
      <c r="AA162" s="66"/>
      <c r="AB162" s="66"/>
      <c r="AC162" s="80"/>
    </row>
    <row r="163" spans="1:68" ht="16.5" hidden="1" customHeight="1" x14ac:dyDescent="0.25">
      <c r="A163" s="63" t="s">
        <v>283</v>
      </c>
      <c r="B163" s="63" t="s">
        <v>284</v>
      </c>
      <c r="C163" s="36">
        <v>4301020410</v>
      </c>
      <c r="D163" s="621">
        <v>4680115887695</v>
      </c>
      <c r="E163" s="621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81</v>
      </c>
      <c r="L163" s="37" t="s">
        <v>46</v>
      </c>
      <c r="M163" s="38" t="s">
        <v>80</v>
      </c>
      <c r="N163" s="38"/>
      <c r="O163" s="37">
        <v>30</v>
      </c>
      <c r="P163" s="82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23"/>
      <c r="R163" s="623"/>
      <c r="S163" s="623"/>
      <c r="T163" s="62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285</v>
      </c>
      <c r="AG163" s="78"/>
      <c r="AJ163" s="84" t="s">
        <v>46</v>
      </c>
      <c r="AK163" s="84">
        <v>0</v>
      </c>
      <c r="BB163" s="22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20" t="s">
        <v>76</v>
      </c>
      <c r="B166" s="620"/>
      <c r="C166" s="620"/>
      <c r="D166" s="620"/>
      <c r="E166" s="620"/>
      <c r="F166" s="620"/>
      <c r="G166" s="620"/>
      <c r="H166" s="620"/>
      <c r="I166" s="620"/>
      <c r="J166" s="620"/>
      <c r="K166" s="620"/>
      <c r="L166" s="620"/>
      <c r="M166" s="620"/>
      <c r="N166" s="620"/>
      <c r="O166" s="620"/>
      <c r="P166" s="620"/>
      <c r="Q166" s="620"/>
      <c r="R166" s="620"/>
      <c r="S166" s="620"/>
      <c r="T166" s="620"/>
      <c r="U166" s="620"/>
      <c r="V166" s="620"/>
      <c r="W166" s="620"/>
      <c r="X166" s="620"/>
      <c r="Y166" s="620"/>
      <c r="Z166" s="620"/>
      <c r="AA166" s="66"/>
      <c r="AB166" s="66"/>
      <c r="AC166" s="80"/>
    </row>
    <row r="167" spans="1:68" ht="27" hidden="1" customHeight="1" x14ac:dyDescent="0.25">
      <c r="A167" s="63" t="s">
        <v>286</v>
      </c>
      <c r="B167" s="63" t="s">
        <v>287</v>
      </c>
      <c r="C167" s="36">
        <v>4301031496</v>
      </c>
      <c r="D167" s="621">
        <v>4680115887428</v>
      </c>
      <c r="E167" s="621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140</v>
      </c>
      <c r="L167" s="37" t="s">
        <v>46</v>
      </c>
      <c r="M167" s="38" t="s">
        <v>80</v>
      </c>
      <c r="N167" s="38"/>
      <c r="O167" s="37">
        <v>40</v>
      </c>
      <c r="P167" s="82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23"/>
      <c r="R167" s="623"/>
      <c r="S167" s="623"/>
      <c r="T167" s="624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15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288</v>
      </c>
      <c r="AG167" s="78"/>
      <c r="AJ167" s="84" t="s">
        <v>46</v>
      </c>
      <c r="AK167" s="84">
        <v>0</v>
      </c>
      <c r="BB167" s="231" t="s">
        <v>66</v>
      </c>
      <c r="BM167" s="78">
        <f t="shared" ref="BM167:BM177" si="16">IFERROR(X167*I167/H167,"0")</f>
        <v>0</v>
      </c>
      <c r="BN167" s="78">
        <f t="shared" ref="BN167:BN177" si="17">IFERROR(Y167*I167/H167,"0")</f>
        <v>0</v>
      </c>
      <c r="BO167" s="78">
        <f t="shared" ref="BO167:BO177" si="18">IFERROR(1/J167*(X167/H167),"0")</f>
        <v>0</v>
      </c>
      <c r="BP167" s="78">
        <f t="shared" ref="BP167:BP177" si="19">IFERROR(1/J167*(Y167/H167),"0")</f>
        <v>0</v>
      </c>
    </row>
    <row r="168" spans="1:68" ht="27" hidden="1" customHeight="1" x14ac:dyDescent="0.25">
      <c r="A168" s="63" t="s">
        <v>289</v>
      </c>
      <c r="B168" s="63" t="s">
        <v>290</v>
      </c>
      <c r="C168" s="36">
        <v>4301030963</v>
      </c>
      <c r="D168" s="621">
        <v>4607091382426</v>
      </c>
      <c r="E168" s="621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133</v>
      </c>
      <c r="L168" s="37" t="s">
        <v>46</v>
      </c>
      <c r="M168" s="38" t="s">
        <v>80</v>
      </c>
      <c r="N168" s="38"/>
      <c r="O168" s="37">
        <v>40</v>
      </c>
      <c r="P168" s="82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291</v>
      </c>
      <c r="AG168" s="78"/>
      <c r="AJ168" s="84" t="s">
        <v>46</v>
      </c>
      <c r="AK168" s="84">
        <v>0</v>
      </c>
      <c r="BB168" s="233" t="s">
        <v>66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hidden="1" customHeight="1" x14ac:dyDescent="0.25">
      <c r="A169" s="63" t="s">
        <v>292</v>
      </c>
      <c r="B169" s="63" t="s">
        <v>293</v>
      </c>
      <c r="C169" s="36">
        <v>4301031498</v>
      </c>
      <c r="D169" s="621">
        <v>4680115887398</v>
      </c>
      <c r="E169" s="62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80</v>
      </c>
      <c r="N169" s="38"/>
      <c r="O169" s="37">
        <v>40</v>
      </c>
      <c r="P169" s="8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294</v>
      </c>
      <c r="AG169" s="78"/>
      <c r="AJ169" s="84" t="s">
        <v>46</v>
      </c>
      <c r="AK169" s="84">
        <v>0</v>
      </c>
      <c r="BB169" s="235" t="s">
        <v>66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hidden="1" customHeight="1" x14ac:dyDescent="0.25">
      <c r="A170" s="63" t="s">
        <v>295</v>
      </c>
      <c r="B170" s="63" t="s">
        <v>296</v>
      </c>
      <c r="C170" s="36">
        <v>4301031497</v>
      </c>
      <c r="D170" s="621">
        <v>4680115887336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80</v>
      </c>
      <c r="N170" s="38"/>
      <c r="O170" s="37">
        <v>40</v>
      </c>
      <c r="P170" s="82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5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297</v>
      </c>
      <c r="AG170" s="78"/>
      <c r="AJ170" s="84" t="s">
        <v>46</v>
      </c>
      <c r="AK170" s="84">
        <v>0</v>
      </c>
      <c r="BB170" s="237" t="s">
        <v>66</v>
      </c>
      <c r="BM170" s="78">
        <f t="shared" si="16"/>
        <v>0</v>
      </c>
      <c r="BN170" s="78">
        <f t="shared" si="17"/>
        <v>0</v>
      </c>
      <c r="BO170" s="78">
        <f t="shared" si="18"/>
        <v>0</v>
      </c>
      <c r="BP170" s="78">
        <f t="shared" si="19"/>
        <v>0</v>
      </c>
    </row>
    <row r="171" spans="1:68" ht="16.5" hidden="1" customHeight="1" x14ac:dyDescent="0.25">
      <c r="A171" s="63" t="s">
        <v>298</v>
      </c>
      <c r="B171" s="63" t="s">
        <v>299</v>
      </c>
      <c r="C171" s="36">
        <v>4301032049</v>
      </c>
      <c r="D171" s="621">
        <v>4680115887787</v>
      </c>
      <c r="E171" s="62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80</v>
      </c>
      <c r="N171" s="38"/>
      <c r="O171" s="37">
        <v>45</v>
      </c>
      <c r="P171" s="81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66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hidden="1" customHeight="1" x14ac:dyDescent="0.25">
      <c r="A172" s="63" t="s">
        <v>301</v>
      </c>
      <c r="B172" s="63" t="s">
        <v>302</v>
      </c>
      <c r="C172" s="36">
        <v>4301031448</v>
      </c>
      <c r="D172" s="621">
        <v>4680115887503</v>
      </c>
      <c r="E172" s="62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81</v>
      </c>
      <c r="L172" s="37" t="s">
        <v>46</v>
      </c>
      <c r="M172" s="38" t="s">
        <v>80</v>
      </c>
      <c r="N172" s="38"/>
      <c r="O172" s="37">
        <v>40</v>
      </c>
      <c r="P172" s="82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66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303</v>
      </c>
      <c r="B173" s="63" t="s">
        <v>304</v>
      </c>
      <c r="C173" s="36">
        <v>4301031389</v>
      </c>
      <c r="D173" s="621">
        <v>4680115887763</v>
      </c>
      <c r="E173" s="62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80</v>
      </c>
      <c r="N173" s="38"/>
      <c r="O173" s="37">
        <v>45</v>
      </c>
      <c r="P173" s="82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66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303</v>
      </c>
      <c r="B174" s="63" t="s">
        <v>306</v>
      </c>
      <c r="C174" s="36">
        <v>4301031510</v>
      </c>
      <c r="D174" s="621">
        <v>4680115887763</v>
      </c>
      <c r="E174" s="62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80</v>
      </c>
      <c r="N174" s="38"/>
      <c r="O174" s="37">
        <v>45</v>
      </c>
      <c r="P174" s="82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66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hidden="1" customHeight="1" x14ac:dyDescent="0.25">
      <c r="A175" s="63" t="s">
        <v>307</v>
      </c>
      <c r="B175" s="63" t="s">
        <v>308</v>
      </c>
      <c r="C175" s="36">
        <v>4301031454</v>
      </c>
      <c r="D175" s="621">
        <v>4680115887480</v>
      </c>
      <c r="E175" s="62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81</v>
      </c>
      <c r="L175" s="37" t="s">
        <v>46</v>
      </c>
      <c r="M175" s="38" t="s">
        <v>80</v>
      </c>
      <c r="N175" s="38"/>
      <c r="O175" s="37">
        <v>40</v>
      </c>
      <c r="P175" s="82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294</v>
      </c>
      <c r="AG175" s="78"/>
      <c r="AJ175" s="84" t="s">
        <v>46</v>
      </c>
      <c r="AK175" s="84">
        <v>0</v>
      </c>
      <c r="BB175" s="247" t="s">
        <v>66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4301031434</v>
      </c>
      <c r="D176" s="621">
        <v>4680115888067</v>
      </c>
      <c r="E176" s="62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80</v>
      </c>
      <c r="N176" s="38"/>
      <c r="O176" s="37">
        <v>45</v>
      </c>
      <c r="P176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66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4301031451</v>
      </c>
      <c r="D177" s="621">
        <v>4680115887435</v>
      </c>
      <c r="E177" s="62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81</v>
      </c>
      <c r="L177" s="37" t="s">
        <v>46</v>
      </c>
      <c r="M177" s="38" t="s">
        <v>80</v>
      </c>
      <c r="N177" s="38"/>
      <c r="O177" s="37">
        <v>40</v>
      </c>
      <c r="P177" s="81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297</v>
      </c>
      <c r="AG177" s="78"/>
      <c r="AJ177" s="84" t="s">
        <v>46</v>
      </c>
      <c r="AK177" s="84">
        <v>0</v>
      </c>
      <c r="BB177" s="251" t="s">
        <v>66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idden="1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hidden="1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0</v>
      </c>
      <c r="X179" s="43">
        <f>IFERROR(SUM(X167:X177),"0")</f>
        <v>0</v>
      </c>
      <c r="Y179" s="43">
        <f>IFERROR(SUM(Y167:Y177),"0")</f>
        <v>0</v>
      </c>
      <c r="Z179" s="42"/>
      <c r="AA179" s="67"/>
      <c r="AB179" s="67"/>
      <c r="AC179" s="67"/>
    </row>
    <row r="180" spans="1:68" ht="14.25" hidden="1" customHeight="1" x14ac:dyDescent="0.25">
      <c r="A180" s="620" t="s">
        <v>85</v>
      </c>
      <c r="B180" s="620"/>
      <c r="C180" s="620"/>
      <c r="D180" s="620"/>
      <c r="E180" s="620"/>
      <c r="F180" s="620"/>
      <c r="G180" s="620"/>
      <c r="H180" s="620"/>
      <c r="I180" s="620"/>
      <c r="J180" s="620"/>
      <c r="K180" s="620"/>
      <c r="L180" s="620"/>
      <c r="M180" s="620"/>
      <c r="N180" s="620"/>
      <c r="O180" s="620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6"/>
      <c r="AB180" s="66"/>
      <c r="AC180" s="80"/>
    </row>
    <row r="181" spans="1:68" ht="16.5" hidden="1" customHeight="1" x14ac:dyDescent="0.25">
      <c r="A181" s="63" t="s">
        <v>314</v>
      </c>
      <c r="B181" s="63" t="s">
        <v>315</v>
      </c>
      <c r="C181" s="36">
        <v>4301052193</v>
      </c>
      <c r="D181" s="621">
        <v>4680115888395</v>
      </c>
      <c r="E181" s="62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90</v>
      </c>
      <c r="L181" s="37" t="s">
        <v>46</v>
      </c>
      <c r="M181" s="38" t="s">
        <v>96</v>
      </c>
      <c r="N181" s="38"/>
      <c r="O181" s="37">
        <v>40</v>
      </c>
      <c r="P181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3"/>
      <c r="R181" s="623"/>
      <c r="S181" s="623"/>
      <c r="T181" s="62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316</v>
      </c>
      <c r="AG181" s="78"/>
      <c r="AJ181" s="84" t="s">
        <v>46</v>
      </c>
      <c r="AK181" s="84">
        <v>0</v>
      </c>
      <c r="BB181" s="25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317</v>
      </c>
      <c r="B182" s="63" t="s">
        <v>318</v>
      </c>
      <c r="C182" s="36">
        <v>4301052191</v>
      </c>
      <c r="D182" s="621">
        <v>4680115888371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90</v>
      </c>
      <c r="L182" s="37" t="s">
        <v>46</v>
      </c>
      <c r="M182" s="38" t="s">
        <v>96</v>
      </c>
      <c r="N182" s="38"/>
      <c r="O182" s="37">
        <v>40</v>
      </c>
      <c r="P182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319</v>
      </c>
      <c r="AG182" s="78"/>
      <c r="AJ182" s="84" t="s">
        <v>46</v>
      </c>
      <c r="AK182" s="84">
        <v>0</v>
      </c>
      <c r="BB182" s="25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4301052064</v>
      </c>
      <c r="D183" s="621">
        <v>4680115887459</v>
      </c>
      <c r="E183" s="62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90</v>
      </c>
      <c r="L183" s="37" t="s">
        <v>46</v>
      </c>
      <c r="M183" s="38" t="s">
        <v>89</v>
      </c>
      <c r="N183" s="38"/>
      <c r="O183" s="37">
        <v>45</v>
      </c>
      <c r="P183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322</v>
      </c>
      <c r="AG183" s="78"/>
      <c r="AJ183" s="84" t="s">
        <v>46</v>
      </c>
      <c r="AK183" s="84">
        <v>0</v>
      </c>
      <c r="BB183" s="25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28"/>
      <c r="B184" s="628"/>
      <c r="C184" s="628"/>
      <c r="D184" s="628"/>
      <c r="E184" s="628"/>
      <c r="F184" s="628"/>
      <c r="G184" s="628"/>
      <c r="H184" s="628"/>
      <c r="I184" s="628"/>
      <c r="J184" s="628"/>
      <c r="K184" s="628"/>
      <c r="L184" s="628"/>
      <c r="M184" s="628"/>
      <c r="N184" s="628"/>
      <c r="O184" s="629"/>
      <c r="P184" s="625" t="s">
        <v>40</v>
      </c>
      <c r="Q184" s="626"/>
      <c r="R184" s="626"/>
      <c r="S184" s="626"/>
      <c r="T184" s="626"/>
      <c r="U184" s="626"/>
      <c r="V184" s="62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20" t="s">
        <v>103</v>
      </c>
      <c r="B186" s="620"/>
      <c r="C186" s="620"/>
      <c r="D186" s="620"/>
      <c r="E186" s="620"/>
      <c r="F186" s="620"/>
      <c r="G186" s="620"/>
      <c r="H186" s="620"/>
      <c r="I186" s="620"/>
      <c r="J186" s="620"/>
      <c r="K186" s="620"/>
      <c r="L186" s="620"/>
      <c r="M186" s="620"/>
      <c r="N186" s="620"/>
      <c r="O186" s="620"/>
      <c r="P186" s="620"/>
      <c r="Q186" s="620"/>
      <c r="R186" s="620"/>
      <c r="S186" s="620"/>
      <c r="T186" s="620"/>
      <c r="U186" s="620"/>
      <c r="V186" s="620"/>
      <c r="W186" s="620"/>
      <c r="X186" s="620"/>
      <c r="Y186" s="620"/>
      <c r="Z186" s="620"/>
      <c r="AA186" s="66"/>
      <c r="AB186" s="66"/>
      <c r="AC186" s="80"/>
    </row>
    <row r="187" spans="1:68" ht="16.5" hidden="1" customHeight="1" x14ac:dyDescent="0.25">
      <c r="A187" s="63" t="s">
        <v>323</v>
      </c>
      <c r="B187" s="63" t="s">
        <v>324</v>
      </c>
      <c r="C187" s="36">
        <v>4301032058</v>
      </c>
      <c r="D187" s="621">
        <v>4680115889026</v>
      </c>
      <c r="E187" s="62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327</v>
      </c>
      <c r="L187" s="37" t="s">
        <v>46</v>
      </c>
      <c r="M187" s="38" t="s">
        <v>326</v>
      </c>
      <c r="N187" s="38"/>
      <c r="O187" s="37">
        <v>60</v>
      </c>
      <c r="P187" s="81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3"/>
      <c r="R187" s="623"/>
      <c r="S187" s="623"/>
      <c r="T187" s="6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325</v>
      </c>
      <c r="AG187" s="78"/>
      <c r="AJ187" s="84" t="s">
        <v>46</v>
      </c>
      <c r="AK187" s="84">
        <v>0</v>
      </c>
      <c r="BB187" s="259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328</v>
      </c>
      <c r="B188" s="63" t="s">
        <v>329</v>
      </c>
      <c r="C188" s="36">
        <v>4301032057</v>
      </c>
      <c r="D188" s="621">
        <v>4680115889088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327</v>
      </c>
      <c r="L188" s="37" t="s">
        <v>46</v>
      </c>
      <c r="M188" s="38" t="s">
        <v>326</v>
      </c>
      <c r="N188" s="38"/>
      <c r="O188" s="37">
        <v>45</v>
      </c>
      <c r="P18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330</v>
      </c>
      <c r="AG188" s="78"/>
      <c r="AJ188" s="84" t="s">
        <v>46</v>
      </c>
      <c r="AK188" s="84">
        <v>0</v>
      </c>
      <c r="BB188" s="26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20" t="s">
        <v>331</v>
      </c>
      <c r="B191" s="620"/>
      <c r="C191" s="620"/>
      <c r="D191" s="620"/>
      <c r="E191" s="620"/>
      <c r="F191" s="620"/>
      <c r="G191" s="620"/>
      <c r="H191" s="620"/>
      <c r="I191" s="620"/>
      <c r="J191" s="620"/>
      <c r="K191" s="620"/>
      <c r="L191" s="620"/>
      <c r="M191" s="620"/>
      <c r="N191" s="620"/>
      <c r="O191" s="620"/>
      <c r="P191" s="620"/>
      <c r="Q191" s="620"/>
      <c r="R191" s="620"/>
      <c r="S191" s="620"/>
      <c r="T191" s="620"/>
      <c r="U191" s="620"/>
      <c r="V191" s="620"/>
      <c r="W191" s="620"/>
      <c r="X191" s="620"/>
      <c r="Y191" s="620"/>
      <c r="Z191" s="620"/>
      <c r="AA191" s="66"/>
      <c r="AB191" s="66"/>
      <c r="AC191" s="80"/>
    </row>
    <row r="192" spans="1:68" ht="27" hidden="1" customHeight="1" x14ac:dyDescent="0.25">
      <c r="A192" s="63" t="s">
        <v>332</v>
      </c>
      <c r="B192" s="63" t="s">
        <v>333</v>
      </c>
      <c r="C192" s="36">
        <v>4301041009</v>
      </c>
      <c r="D192" s="621">
        <v>4680115889033</v>
      </c>
      <c r="E192" s="62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327</v>
      </c>
      <c r="L192" s="37" t="s">
        <v>46</v>
      </c>
      <c r="M192" s="38" t="s">
        <v>326</v>
      </c>
      <c r="N192" s="38"/>
      <c r="O192" s="37">
        <v>60</v>
      </c>
      <c r="P19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3"/>
      <c r="R192" s="623"/>
      <c r="S192" s="623"/>
      <c r="T192" s="62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334</v>
      </c>
      <c r="AG192" s="78"/>
      <c r="AJ192" s="84" t="s">
        <v>46</v>
      </c>
      <c r="AK192" s="84">
        <v>0</v>
      </c>
      <c r="BB192" s="263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41" t="s">
        <v>335</v>
      </c>
      <c r="B195" s="641"/>
      <c r="C195" s="641"/>
      <c r="D195" s="641"/>
      <c r="E195" s="641"/>
      <c r="F195" s="641"/>
      <c r="G195" s="641"/>
      <c r="H195" s="641"/>
      <c r="I195" s="641"/>
      <c r="J195" s="641"/>
      <c r="K195" s="641"/>
      <c r="L195" s="641"/>
      <c r="M195" s="641"/>
      <c r="N195" s="641"/>
      <c r="O195" s="641"/>
      <c r="P195" s="641"/>
      <c r="Q195" s="641"/>
      <c r="R195" s="641"/>
      <c r="S195" s="641"/>
      <c r="T195" s="641"/>
      <c r="U195" s="641"/>
      <c r="V195" s="641"/>
      <c r="W195" s="641"/>
      <c r="X195" s="641"/>
      <c r="Y195" s="641"/>
      <c r="Z195" s="641"/>
      <c r="AA195" s="54"/>
      <c r="AB195" s="54"/>
      <c r="AC195" s="54"/>
    </row>
    <row r="196" spans="1:68" ht="16.5" hidden="1" customHeight="1" x14ac:dyDescent="0.25">
      <c r="A196" s="636" t="s">
        <v>336</v>
      </c>
      <c r="B196" s="636"/>
      <c r="C196" s="636"/>
      <c r="D196" s="636"/>
      <c r="E196" s="636"/>
      <c r="F196" s="636"/>
      <c r="G196" s="636"/>
      <c r="H196" s="636"/>
      <c r="I196" s="636"/>
      <c r="J196" s="636"/>
      <c r="K196" s="636"/>
      <c r="L196" s="636"/>
      <c r="M196" s="636"/>
      <c r="N196" s="636"/>
      <c r="O196" s="636"/>
      <c r="P196" s="636"/>
      <c r="Q196" s="636"/>
      <c r="R196" s="636"/>
      <c r="S196" s="636"/>
      <c r="T196" s="636"/>
      <c r="U196" s="636"/>
      <c r="V196" s="636"/>
      <c r="W196" s="636"/>
      <c r="X196" s="636"/>
      <c r="Y196" s="636"/>
      <c r="Z196" s="636"/>
      <c r="AA196" s="65"/>
      <c r="AB196" s="65"/>
      <c r="AC196" s="79"/>
    </row>
    <row r="197" spans="1:68" ht="14.25" hidden="1" customHeight="1" x14ac:dyDescent="0.25">
      <c r="A197" s="620" t="s">
        <v>128</v>
      </c>
      <c r="B197" s="620"/>
      <c r="C197" s="620"/>
      <c r="D197" s="620"/>
      <c r="E197" s="620"/>
      <c r="F197" s="620"/>
      <c r="G197" s="620"/>
      <c r="H197" s="620"/>
      <c r="I197" s="620"/>
      <c r="J197" s="620"/>
      <c r="K197" s="620"/>
      <c r="L197" s="620"/>
      <c r="M197" s="620"/>
      <c r="N197" s="620"/>
      <c r="O197" s="620"/>
      <c r="P197" s="620"/>
      <c r="Q197" s="620"/>
      <c r="R197" s="620"/>
      <c r="S197" s="620"/>
      <c r="T197" s="620"/>
      <c r="U197" s="620"/>
      <c r="V197" s="620"/>
      <c r="W197" s="620"/>
      <c r="X197" s="620"/>
      <c r="Y197" s="620"/>
      <c r="Z197" s="620"/>
      <c r="AA197" s="66"/>
      <c r="AB197" s="66"/>
      <c r="AC197" s="80"/>
    </row>
    <row r="198" spans="1:68" ht="27" hidden="1" customHeight="1" x14ac:dyDescent="0.25">
      <c r="A198" s="63" t="s">
        <v>337</v>
      </c>
      <c r="B198" s="63" t="s">
        <v>338</v>
      </c>
      <c r="C198" s="36">
        <v>4301012340</v>
      </c>
      <c r="D198" s="621">
        <v>4680115888760</v>
      </c>
      <c r="E198" s="621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133</v>
      </c>
      <c r="L198" s="37" t="s">
        <v>46</v>
      </c>
      <c r="M198" s="38" t="s">
        <v>89</v>
      </c>
      <c r="N198" s="38"/>
      <c r="O198" s="37">
        <v>35</v>
      </c>
      <c r="P198" s="80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23"/>
      <c r="R198" s="623"/>
      <c r="S198" s="623"/>
      <c r="T198" s="62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113</v>
      </c>
      <c r="AC198" s="264" t="s">
        <v>339</v>
      </c>
      <c r="AG198" s="78"/>
      <c r="AJ198" s="84" t="s">
        <v>46</v>
      </c>
      <c r="AK198" s="84">
        <v>0</v>
      </c>
      <c r="BB198" s="265" t="s">
        <v>66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hidden="1" customHeight="1" x14ac:dyDescent="0.25">
      <c r="A199" s="63" t="s">
        <v>340</v>
      </c>
      <c r="B199" s="63" t="s">
        <v>341</v>
      </c>
      <c r="C199" s="36">
        <v>4301012341</v>
      </c>
      <c r="D199" s="621">
        <v>4680115888807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89</v>
      </c>
      <c r="N199" s="38"/>
      <c r="O199" s="37">
        <v>35</v>
      </c>
      <c r="P199" s="80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113</v>
      </c>
      <c r="AC199" s="266" t="s">
        <v>342</v>
      </c>
      <c r="AG199" s="78"/>
      <c r="AJ199" s="84" t="s">
        <v>46</v>
      </c>
      <c r="AK199" s="84">
        <v>0</v>
      </c>
      <c r="BB199" s="267" t="s">
        <v>66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hidden="1" customHeight="1" x14ac:dyDescent="0.25">
      <c r="A200" s="63" t="s">
        <v>343</v>
      </c>
      <c r="B200" s="63" t="s">
        <v>344</v>
      </c>
      <c r="C200" s="36">
        <v>4301012342</v>
      </c>
      <c r="D200" s="621">
        <v>4680115888852</v>
      </c>
      <c r="E200" s="621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133</v>
      </c>
      <c r="L200" s="37" t="s">
        <v>46</v>
      </c>
      <c r="M200" s="38" t="s">
        <v>89</v>
      </c>
      <c r="N200" s="38"/>
      <c r="O200" s="37">
        <v>35</v>
      </c>
      <c r="P200" s="81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113</v>
      </c>
      <c r="AC200" s="268" t="s">
        <v>345</v>
      </c>
      <c r="AG200" s="78"/>
      <c r="AJ200" s="84" t="s">
        <v>46</v>
      </c>
      <c r="AK200" s="84">
        <v>0</v>
      </c>
      <c r="BB200" s="269" t="s">
        <v>66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346</v>
      </c>
      <c r="B201" s="63" t="s">
        <v>347</v>
      </c>
      <c r="C201" s="36">
        <v>4301011223</v>
      </c>
      <c r="D201" s="621">
        <v>4607091383423</v>
      </c>
      <c r="E201" s="621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133</v>
      </c>
      <c r="L201" s="37" t="s">
        <v>46</v>
      </c>
      <c r="M201" s="38" t="s">
        <v>89</v>
      </c>
      <c r="N201" s="38"/>
      <c r="O201" s="37">
        <v>35</v>
      </c>
      <c r="P201" s="80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131</v>
      </c>
      <c r="AG201" s="78"/>
      <c r="AJ201" s="84" t="s">
        <v>46</v>
      </c>
      <c r="AK201" s="84">
        <v>0</v>
      </c>
      <c r="BB201" s="271" t="s">
        <v>66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hidden="1" customHeight="1" x14ac:dyDescent="0.25">
      <c r="A202" s="63" t="s">
        <v>348</v>
      </c>
      <c r="B202" s="63" t="s">
        <v>349</v>
      </c>
      <c r="C202" s="36">
        <v>4301012370</v>
      </c>
      <c r="D202" s="621">
        <v>4680115886957</v>
      </c>
      <c r="E202" s="62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89</v>
      </c>
      <c r="N202" s="38"/>
      <c r="O202" s="37">
        <v>35</v>
      </c>
      <c r="P202" s="80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350</v>
      </c>
      <c r="AG202" s="78"/>
      <c r="AJ202" s="84" t="s">
        <v>46</v>
      </c>
      <c r="AK202" s="84">
        <v>0</v>
      </c>
      <c r="BB202" s="273" t="s">
        <v>66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hidden="1" customHeight="1" x14ac:dyDescent="0.25">
      <c r="A203" s="63" t="s">
        <v>351</v>
      </c>
      <c r="B203" s="63" t="s">
        <v>352</v>
      </c>
      <c r="C203" s="36">
        <v>4301012098</v>
      </c>
      <c r="D203" s="621">
        <v>4680115885660</v>
      </c>
      <c r="E203" s="62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89</v>
      </c>
      <c r="N203" s="38"/>
      <c r="O203" s="37">
        <v>35</v>
      </c>
      <c r="P203" s="80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353</v>
      </c>
      <c r="AG203" s="78"/>
      <c r="AJ203" s="84" t="s">
        <v>46</v>
      </c>
      <c r="AK203" s="84">
        <v>0</v>
      </c>
      <c r="BB203" s="275" t="s">
        <v>66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354</v>
      </c>
      <c r="B204" s="63" t="s">
        <v>355</v>
      </c>
      <c r="C204" s="36">
        <v>4301012369</v>
      </c>
      <c r="D204" s="621">
        <v>4680115886773</v>
      </c>
      <c r="E204" s="62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89</v>
      </c>
      <c r="N204" s="38"/>
      <c r="O204" s="37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356</v>
      </c>
      <c r="AG204" s="78"/>
      <c r="AJ204" s="84" t="s">
        <v>46</v>
      </c>
      <c r="AK204" s="84">
        <v>0</v>
      </c>
      <c r="BB204" s="277" t="s">
        <v>66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idden="1" x14ac:dyDescent="0.2">
      <c r="A205" s="628"/>
      <c r="B205" s="628"/>
      <c r="C205" s="628"/>
      <c r="D205" s="628"/>
      <c r="E205" s="628"/>
      <c r="F205" s="628"/>
      <c r="G205" s="628"/>
      <c r="H205" s="628"/>
      <c r="I205" s="628"/>
      <c r="J205" s="628"/>
      <c r="K205" s="628"/>
      <c r="L205" s="628"/>
      <c r="M205" s="628"/>
      <c r="N205" s="628"/>
      <c r="O205" s="629"/>
      <c r="P205" s="625" t="s">
        <v>40</v>
      </c>
      <c r="Q205" s="626"/>
      <c r="R205" s="626"/>
      <c r="S205" s="626"/>
      <c r="T205" s="626"/>
      <c r="U205" s="626"/>
      <c r="V205" s="62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36" t="s">
        <v>357</v>
      </c>
      <c r="B207" s="636"/>
      <c r="C207" s="636"/>
      <c r="D207" s="636"/>
      <c r="E207" s="636"/>
      <c r="F207" s="636"/>
      <c r="G207" s="636"/>
      <c r="H207" s="636"/>
      <c r="I207" s="636"/>
      <c r="J207" s="636"/>
      <c r="K207" s="636"/>
      <c r="L207" s="636"/>
      <c r="M207" s="636"/>
      <c r="N207" s="636"/>
      <c r="O207" s="636"/>
      <c r="P207" s="636"/>
      <c r="Q207" s="636"/>
      <c r="R207" s="636"/>
      <c r="S207" s="636"/>
      <c r="T207" s="636"/>
      <c r="U207" s="636"/>
      <c r="V207" s="636"/>
      <c r="W207" s="636"/>
      <c r="X207" s="636"/>
      <c r="Y207" s="636"/>
      <c r="Z207" s="636"/>
      <c r="AA207" s="65"/>
      <c r="AB207" s="65"/>
      <c r="AC207" s="79"/>
    </row>
    <row r="208" spans="1:68" ht="14.25" hidden="1" customHeight="1" x14ac:dyDescent="0.25">
      <c r="A208" s="620" t="s">
        <v>165</v>
      </c>
      <c r="B208" s="620"/>
      <c r="C208" s="620"/>
      <c r="D208" s="620"/>
      <c r="E208" s="620"/>
      <c r="F208" s="620"/>
      <c r="G208" s="620"/>
      <c r="H208" s="620"/>
      <c r="I208" s="620"/>
      <c r="J208" s="620"/>
      <c r="K208" s="620"/>
      <c r="L208" s="620"/>
      <c r="M208" s="620"/>
      <c r="N208" s="620"/>
      <c r="O208" s="620"/>
      <c r="P208" s="620"/>
      <c r="Q208" s="620"/>
      <c r="R208" s="620"/>
      <c r="S208" s="620"/>
      <c r="T208" s="620"/>
      <c r="U208" s="620"/>
      <c r="V208" s="620"/>
      <c r="W208" s="620"/>
      <c r="X208" s="620"/>
      <c r="Y208" s="620"/>
      <c r="Z208" s="620"/>
      <c r="AA208" s="66"/>
      <c r="AB208" s="66"/>
      <c r="AC208" s="80"/>
    </row>
    <row r="209" spans="1:68" ht="27" hidden="1" customHeight="1" x14ac:dyDescent="0.25">
      <c r="A209" s="63" t="s">
        <v>358</v>
      </c>
      <c r="B209" s="63" t="s">
        <v>359</v>
      </c>
      <c r="C209" s="36">
        <v>4301020323</v>
      </c>
      <c r="D209" s="621">
        <v>4680115886223</v>
      </c>
      <c r="E209" s="62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81</v>
      </c>
      <c r="L209" s="37" t="s">
        <v>46</v>
      </c>
      <c r="M209" s="38" t="s">
        <v>80</v>
      </c>
      <c r="N209" s="38"/>
      <c r="O209" s="37">
        <v>40</v>
      </c>
      <c r="P209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3"/>
      <c r="R209" s="623"/>
      <c r="S209" s="623"/>
      <c r="T209" s="62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360</v>
      </c>
      <c r="AG209" s="78"/>
      <c r="AJ209" s="84" t="s">
        <v>46</v>
      </c>
      <c r="AK209" s="84">
        <v>0</v>
      </c>
      <c r="BB209" s="279" t="s">
        <v>66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28"/>
      <c r="B210" s="628"/>
      <c r="C210" s="628"/>
      <c r="D210" s="628"/>
      <c r="E210" s="628"/>
      <c r="F210" s="628"/>
      <c r="G210" s="628"/>
      <c r="H210" s="628"/>
      <c r="I210" s="628"/>
      <c r="J210" s="628"/>
      <c r="K210" s="628"/>
      <c r="L210" s="628"/>
      <c r="M210" s="628"/>
      <c r="N210" s="628"/>
      <c r="O210" s="629"/>
      <c r="P210" s="625" t="s">
        <v>40</v>
      </c>
      <c r="Q210" s="626"/>
      <c r="R210" s="626"/>
      <c r="S210" s="626"/>
      <c r="T210" s="626"/>
      <c r="U210" s="626"/>
      <c r="V210" s="62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20" t="s">
        <v>76</v>
      </c>
      <c r="B212" s="620"/>
      <c r="C212" s="620"/>
      <c r="D212" s="620"/>
      <c r="E212" s="620"/>
      <c r="F212" s="620"/>
      <c r="G212" s="620"/>
      <c r="H212" s="620"/>
      <c r="I212" s="620"/>
      <c r="J212" s="620"/>
      <c r="K212" s="620"/>
      <c r="L212" s="620"/>
      <c r="M212" s="620"/>
      <c r="N212" s="620"/>
      <c r="O212" s="620"/>
      <c r="P212" s="620"/>
      <c r="Q212" s="620"/>
      <c r="R212" s="620"/>
      <c r="S212" s="620"/>
      <c r="T212" s="620"/>
      <c r="U212" s="620"/>
      <c r="V212" s="620"/>
      <c r="W212" s="620"/>
      <c r="X212" s="620"/>
      <c r="Y212" s="620"/>
      <c r="Z212" s="620"/>
      <c r="AA212" s="66"/>
      <c r="AB212" s="66"/>
      <c r="AC212" s="80"/>
    </row>
    <row r="213" spans="1:68" ht="27" hidden="1" customHeight="1" x14ac:dyDescent="0.25">
      <c r="A213" s="63" t="s">
        <v>361</v>
      </c>
      <c r="B213" s="63" t="s">
        <v>362</v>
      </c>
      <c r="C213" s="36">
        <v>4301031191</v>
      </c>
      <c r="D213" s="621">
        <v>4680115880993</v>
      </c>
      <c r="E213" s="62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80</v>
      </c>
      <c r="N213" s="38"/>
      <c r="O213" s="37">
        <v>40</v>
      </c>
      <c r="P213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3"/>
      <c r="R213" s="623"/>
      <c r="S213" s="623"/>
      <c r="T213" s="62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363</v>
      </c>
      <c r="AG213" s="78"/>
      <c r="AJ213" s="84" t="s">
        <v>46</v>
      </c>
      <c r="AK213" s="84">
        <v>0</v>
      </c>
      <c r="BB213" s="281" t="s">
        <v>66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hidden="1" customHeight="1" x14ac:dyDescent="0.25">
      <c r="A214" s="63" t="s">
        <v>364</v>
      </c>
      <c r="B214" s="63" t="s">
        <v>365</v>
      </c>
      <c r="C214" s="36">
        <v>4301031204</v>
      </c>
      <c r="D214" s="621">
        <v>4680115881761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80</v>
      </c>
      <c r="N214" s="38"/>
      <c r="O214" s="37">
        <v>40</v>
      </c>
      <c r="P214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366</v>
      </c>
      <c r="AG214" s="78"/>
      <c r="AJ214" s="84" t="s">
        <v>46</v>
      </c>
      <c r="AK214" s="84">
        <v>0</v>
      </c>
      <c r="BB214" s="283" t="s">
        <v>66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hidden="1" customHeight="1" x14ac:dyDescent="0.25">
      <c r="A215" s="63" t="s">
        <v>367</v>
      </c>
      <c r="B215" s="63" t="s">
        <v>368</v>
      </c>
      <c r="C215" s="36">
        <v>4301031201</v>
      </c>
      <c r="D215" s="621">
        <v>4680115881563</v>
      </c>
      <c r="E215" s="62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80</v>
      </c>
      <c r="N215" s="38"/>
      <c r="O215" s="37">
        <v>40</v>
      </c>
      <c r="P215" s="7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369</v>
      </c>
      <c r="AG215" s="78"/>
      <c r="AJ215" s="84" t="s">
        <v>46</v>
      </c>
      <c r="AK215" s="84">
        <v>0</v>
      </c>
      <c r="BB215" s="285" t="s">
        <v>66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hidden="1" customHeight="1" x14ac:dyDescent="0.25">
      <c r="A216" s="63" t="s">
        <v>370</v>
      </c>
      <c r="B216" s="63" t="s">
        <v>371</v>
      </c>
      <c r="C216" s="36">
        <v>4301031447</v>
      </c>
      <c r="D216" s="621">
        <v>4680115887565</v>
      </c>
      <c r="E216" s="62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81</v>
      </c>
      <c r="L216" s="37" t="s">
        <v>46</v>
      </c>
      <c r="M216" s="38" t="s">
        <v>80</v>
      </c>
      <c r="N216" s="38"/>
      <c r="O216" s="37">
        <v>45</v>
      </c>
      <c r="P216" s="79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66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hidden="1" customHeight="1" x14ac:dyDescent="0.25">
      <c r="A217" s="63" t="s">
        <v>373</v>
      </c>
      <c r="B217" s="63" t="s">
        <v>374</v>
      </c>
      <c r="C217" s="36">
        <v>4301031199</v>
      </c>
      <c r="D217" s="621">
        <v>4680115880986</v>
      </c>
      <c r="E217" s="62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81</v>
      </c>
      <c r="L217" s="37" t="s">
        <v>46</v>
      </c>
      <c r="M217" s="38" t="s">
        <v>80</v>
      </c>
      <c r="N217" s="38"/>
      <c r="O217" s="37">
        <v>40</v>
      </c>
      <c r="P217" s="8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363</v>
      </c>
      <c r="AG217" s="78"/>
      <c r="AJ217" s="84" t="s">
        <v>46</v>
      </c>
      <c r="AK217" s="84">
        <v>0</v>
      </c>
      <c r="BB217" s="289" t="s">
        <v>66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375</v>
      </c>
      <c r="B218" s="63" t="s">
        <v>376</v>
      </c>
      <c r="C218" s="36">
        <v>4301031443</v>
      </c>
      <c r="D218" s="621">
        <v>4680115887213</v>
      </c>
      <c r="E218" s="62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81</v>
      </c>
      <c r="L218" s="37" t="s">
        <v>46</v>
      </c>
      <c r="M218" s="38" t="s">
        <v>80</v>
      </c>
      <c r="N218" s="38"/>
      <c r="O218" s="37">
        <v>45</v>
      </c>
      <c r="P218" s="80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377</v>
      </c>
      <c r="AG218" s="78"/>
      <c r="AJ218" s="84" t="s">
        <v>46</v>
      </c>
      <c r="AK218" s="84">
        <v>0</v>
      </c>
      <c r="BB218" s="291" t="s">
        <v>66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378</v>
      </c>
      <c r="B219" s="63" t="s">
        <v>379</v>
      </c>
      <c r="C219" s="36">
        <v>4301031205</v>
      </c>
      <c r="D219" s="621">
        <v>4680115881785</v>
      </c>
      <c r="E219" s="62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7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366</v>
      </c>
      <c r="AG219" s="78"/>
      <c r="AJ219" s="84" t="s">
        <v>46</v>
      </c>
      <c r="AK219" s="84">
        <v>0</v>
      </c>
      <c r="BB219" s="293" t="s">
        <v>66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380</v>
      </c>
      <c r="B220" s="63" t="s">
        <v>381</v>
      </c>
      <c r="C220" s="36">
        <v>4301031499</v>
      </c>
      <c r="D220" s="621">
        <v>4680115888432</v>
      </c>
      <c r="E220" s="62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81</v>
      </c>
      <c r="L220" s="37" t="s">
        <v>46</v>
      </c>
      <c r="M220" s="38" t="s">
        <v>80</v>
      </c>
      <c r="N220" s="38"/>
      <c r="O220" s="37">
        <v>45</v>
      </c>
      <c r="P220" s="79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382</v>
      </c>
      <c r="AG220" s="78"/>
      <c r="AJ220" s="84" t="s">
        <v>46</v>
      </c>
      <c r="AK220" s="84">
        <v>0</v>
      </c>
      <c r="BB220" s="295" t="s">
        <v>66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4301031427</v>
      </c>
      <c r="D221" s="621">
        <v>4680115888104</v>
      </c>
      <c r="E221" s="62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81</v>
      </c>
      <c r="L221" s="37" t="s">
        <v>46</v>
      </c>
      <c r="M221" s="38" t="s">
        <v>80</v>
      </c>
      <c r="N221" s="38"/>
      <c r="O221" s="37">
        <v>45</v>
      </c>
      <c r="P221" s="79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66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386</v>
      </c>
      <c r="B222" s="63" t="s">
        <v>387</v>
      </c>
      <c r="C222" s="36">
        <v>4301031399</v>
      </c>
      <c r="D222" s="621">
        <v>4680115886537</v>
      </c>
      <c r="E222" s="62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79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66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389</v>
      </c>
      <c r="B223" s="63" t="s">
        <v>390</v>
      </c>
      <c r="C223" s="36">
        <v>4301031279</v>
      </c>
      <c r="D223" s="621">
        <v>4680115887596</v>
      </c>
      <c r="E223" s="62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80</v>
      </c>
      <c r="N223" s="38"/>
      <c r="O223" s="37">
        <v>45</v>
      </c>
      <c r="P223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391</v>
      </c>
      <c r="AG223" s="78"/>
      <c r="AJ223" s="84" t="s">
        <v>46</v>
      </c>
      <c r="AK223" s="84">
        <v>0</v>
      </c>
      <c r="BB223" s="301" t="s">
        <v>66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392</v>
      </c>
      <c r="B224" s="63" t="s">
        <v>393</v>
      </c>
      <c r="C224" s="36">
        <v>4301031202</v>
      </c>
      <c r="D224" s="621">
        <v>4680115881679</v>
      </c>
      <c r="E224" s="62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40</v>
      </c>
      <c r="P224" s="7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369</v>
      </c>
      <c r="AG224" s="78"/>
      <c r="AJ224" s="84" t="s">
        <v>46</v>
      </c>
      <c r="AK224" s="84">
        <v>0</v>
      </c>
      <c r="BB224" s="303" t="s">
        <v>66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4301031158</v>
      </c>
      <c r="D225" s="621">
        <v>4680115880191</v>
      </c>
      <c r="E225" s="62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90</v>
      </c>
      <c r="L225" s="37" t="s">
        <v>46</v>
      </c>
      <c r="M225" s="38" t="s">
        <v>80</v>
      </c>
      <c r="N225" s="38"/>
      <c r="O225" s="37">
        <v>40</v>
      </c>
      <c r="P225" s="7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369</v>
      </c>
      <c r="AG225" s="78"/>
      <c r="AJ225" s="84" t="s">
        <v>46</v>
      </c>
      <c r="AK225" s="84">
        <v>0</v>
      </c>
      <c r="BB225" s="305" t="s">
        <v>66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4301031245</v>
      </c>
      <c r="D226" s="621">
        <v>4680115883963</v>
      </c>
      <c r="E226" s="62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7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66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idden="1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20" t="s">
        <v>85</v>
      </c>
      <c r="B229" s="620"/>
      <c r="C229" s="620"/>
      <c r="D229" s="620"/>
      <c r="E229" s="620"/>
      <c r="F229" s="620"/>
      <c r="G229" s="620"/>
      <c r="H229" s="620"/>
      <c r="I229" s="620"/>
      <c r="J229" s="620"/>
      <c r="K229" s="620"/>
      <c r="L229" s="620"/>
      <c r="M229" s="620"/>
      <c r="N229" s="620"/>
      <c r="O229" s="620"/>
      <c r="P229" s="620"/>
      <c r="Q229" s="620"/>
      <c r="R229" s="620"/>
      <c r="S229" s="620"/>
      <c r="T229" s="620"/>
      <c r="U229" s="620"/>
      <c r="V229" s="620"/>
      <c r="W229" s="620"/>
      <c r="X229" s="620"/>
      <c r="Y229" s="620"/>
      <c r="Z229" s="620"/>
      <c r="AA229" s="66"/>
      <c r="AB229" s="66"/>
      <c r="AC229" s="80"/>
    </row>
    <row r="230" spans="1:68" ht="27" hidden="1" customHeight="1" x14ac:dyDescent="0.25">
      <c r="A230" s="63" t="s">
        <v>399</v>
      </c>
      <c r="B230" s="63" t="s">
        <v>400</v>
      </c>
      <c r="C230" s="36">
        <v>4301052178</v>
      </c>
      <c r="D230" s="621">
        <v>4680115888975</v>
      </c>
      <c r="E230" s="62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96</v>
      </c>
      <c r="N230" s="38"/>
      <c r="O230" s="37">
        <v>35</v>
      </c>
      <c r="P230" s="78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3"/>
      <c r="R230" s="623"/>
      <c r="S230" s="623"/>
      <c r="T230" s="62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113</v>
      </c>
      <c r="AC230" s="308" t="s">
        <v>401</v>
      </c>
      <c r="AG230" s="78"/>
      <c r="AJ230" s="84" t="s">
        <v>46</v>
      </c>
      <c r="AK230" s="84">
        <v>0</v>
      </c>
      <c r="BB230" s="309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402</v>
      </c>
      <c r="B231" s="63" t="s">
        <v>403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96</v>
      </c>
      <c r="N231" s="38"/>
      <c r="O231" s="37">
        <v>35</v>
      </c>
      <c r="P231" s="78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66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96</v>
      </c>
      <c r="N232" s="38"/>
      <c r="O232" s="37">
        <v>35</v>
      </c>
      <c r="P232" s="78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407</v>
      </c>
      <c r="AG232" s="78"/>
      <c r="AJ232" s="84" t="s">
        <v>46</v>
      </c>
      <c r="AK232" s="84">
        <v>0</v>
      </c>
      <c r="BB232" s="313" t="s">
        <v>66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408</v>
      </c>
      <c r="B233" s="63" t="s">
        <v>409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96</v>
      </c>
      <c r="N233" s="38"/>
      <c r="O233" s="37">
        <v>35</v>
      </c>
      <c r="P233" s="78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410</v>
      </c>
      <c r="AG233" s="78"/>
      <c r="AJ233" s="84" t="s">
        <v>46</v>
      </c>
      <c r="AK233" s="84">
        <v>0</v>
      </c>
      <c r="BB233" s="315" t="s">
        <v>66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411</v>
      </c>
      <c r="B234" s="63" t="s">
        <v>412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96</v>
      </c>
      <c r="N234" s="38"/>
      <c r="O234" s="37">
        <v>35</v>
      </c>
      <c r="P234" s="78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407</v>
      </c>
      <c r="AG234" s="78"/>
      <c r="AJ234" s="84" t="s">
        <v>46</v>
      </c>
      <c r="AK234" s="84">
        <v>0</v>
      </c>
      <c r="BB234" s="317" t="s">
        <v>66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20" t="s">
        <v>103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hidden="1" customHeight="1" x14ac:dyDescent="0.25">
      <c r="A238" s="63" t="s">
        <v>413</v>
      </c>
      <c r="B238" s="63" t="s">
        <v>414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327</v>
      </c>
      <c r="L238" s="37" t="s">
        <v>46</v>
      </c>
      <c r="M238" s="38" t="s">
        <v>326</v>
      </c>
      <c r="N238" s="38"/>
      <c r="O238" s="37">
        <v>60</v>
      </c>
      <c r="P238" s="7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327</v>
      </c>
      <c r="L239" s="37" t="s">
        <v>46</v>
      </c>
      <c r="M239" s="38" t="s">
        <v>326</v>
      </c>
      <c r="N239" s="38"/>
      <c r="O239" s="37">
        <v>90</v>
      </c>
      <c r="P239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418</v>
      </c>
      <c r="AG239" s="78"/>
      <c r="AJ239" s="84" t="s">
        <v>46</v>
      </c>
      <c r="AK239" s="84">
        <v>0</v>
      </c>
      <c r="BB239" s="321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327</v>
      </c>
      <c r="L240" s="37" t="s">
        <v>46</v>
      </c>
      <c r="M240" s="38" t="s">
        <v>326</v>
      </c>
      <c r="N240" s="38"/>
      <c r="O240" s="37">
        <v>90</v>
      </c>
      <c r="P240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418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20" t="s">
        <v>421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hidden="1" customHeight="1" x14ac:dyDescent="0.25">
      <c r="A244" s="63" t="s">
        <v>422</v>
      </c>
      <c r="B244" s="63" t="s">
        <v>423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327</v>
      </c>
      <c r="L244" s="37" t="s">
        <v>46</v>
      </c>
      <c r="M244" s="38" t="s">
        <v>326</v>
      </c>
      <c r="N244" s="38"/>
      <c r="O244" s="37">
        <v>90</v>
      </c>
      <c r="P244" s="7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418</v>
      </c>
      <c r="AG244" s="78"/>
      <c r="AJ244" s="84" t="s">
        <v>46</v>
      </c>
      <c r="AK244" s="84">
        <v>0</v>
      </c>
      <c r="BB244" s="325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36" t="s">
        <v>424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hidden="1" customHeight="1" x14ac:dyDescent="0.25">
      <c r="A248" s="620" t="s">
        <v>128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hidden="1" customHeight="1" x14ac:dyDescent="0.25">
      <c r="A249" s="63" t="s">
        <v>425</v>
      </c>
      <c r="B249" s="63" t="s">
        <v>426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7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427</v>
      </c>
      <c r="AG249" s="78"/>
      <c r="AJ249" s="84" t="s">
        <v>46</v>
      </c>
      <c r="AK249" s="84">
        <v>0</v>
      </c>
      <c r="BB249" s="327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428</v>
      </c>
      <c r="B250" s="63" t="s">
        <v>429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90</v>
      </c>
      <c r="L250" s="37" t="s">
        <v>46</v>
      </c>
      <c r="M250" s="38" t="s">
        <v>132</v>
      </c>
      <c r="N250" s="38"/>
      <c r="O250" s="37">
        <v>55</v>
      </c>
      <c r="P250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427</v>
      </c>
      <c r="AG250" s="78"/>
      <c r="AJ250" s="84" t="s">
        <v>46</v>
      </c>
      <c r="AK250" s="84">
        <v>0</v>
      </c>
      <c r="BB250" s="329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20" t="s">
        <v>165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hidden="1" customHeight="1" x14ac:dyDescent="0.25">
      <c r="A254" s="63" t="s">
        <v>430</v>
      </c>
      <c r="B254" s="63" t="s">
        <v>431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77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433</v>
      </c>
      <c r="B255" s="63" t="s">
        <v>434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90</v>
      </c>
      <c r="L255" s="37" t="s">
        <v>46</v>
      </c>
      <c r="M255" s="38" t="s">
        <v>132</v>
      </c>
      <c r="N255" s="38"/>
      <c r="O255" s="37">
        <v>50</v>
      </c>
      <c r="P255" s="77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20" t="s">
        <v>76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hidden="1" customHeight="1" x14ac:dyDescent="0.25">
      <c r="A259" s="63" t="s">
        <v>435</v>
      </c>
      <c r="B259" s="63" t="s">
        <v>436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80</v>
      </c>
      <c r="N259" s="38"/>
      <c r="O259" s="37">
        <v>40</v>
      </c>
      <c r="P259" s="7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2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66</v>
      </c>
      <c r="BM259" s="78">
        <f t="shared" ref="BM259:BM266" si="33">IFERROR(X259*I259/H259,"0")</f>
        <v>0</v>
      </c>
      <c r="BN259" s="78">
        <f t="shared" ref="BN259:BN266" si="34">IFERROR(Y259*I259/H259,"0")</f>
        <v>0</v>
      </c>
      <c r="BO259" s="78">
        <f t="shared" ref="BO259:BO266" si="35">IFERROR(1/J259*(X259/H259),"0")</f>
        <v>0</v>
      </c>
      <c r="BP259" s="78">
        <f t="shared" ref="BP259:BP266" si="36">IFERROR(1/J259*(Y259/H259),"0")</f>
        <v>0</v>
      </c>
    </row>
    <row r="260" spans="1:68" ht="27" hidden="1" customHeight="1" x14ac:dyDescent="0.25">
      <c r="A260" s="63" t="s">
        <v>438</v>
      </c>
      <c r="B260" s="63" t="s">
        <v>439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80</v>
      </c>
      <c r="N260" s="38"/>
      <c r="O260" s="37">
        <v>40</v>
      </c>
      <c r="P260" s="77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440</v>
      </c>
      <c r="AG260" s="78"/>
      <c r="AJ260" s="84" t="s">
        <v>46</v>
      </c>
      <c r="AK260" s="84">
        <v>0</v>
      </c>
      <c r="BB260" s="337" t="s">
        <v>66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hidden="1" customHeight="1" x14ac:dyDescent="0.25">
      <c r="A261" s="63" t="s">
        <v>441</v>
      </c>
      <c r="B261" s="63" t="s">
        <v>442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80</v>
      </c>
      <c r="N261" s="38"/>
      <c r="O261" s="37">
        <v>40</v>
      </c>
      <c r="P261" s="7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443</v>
      </c>
      <c r="AG261" s="78"/>
      <c r="AJ261" s="84" t="s">
        <v>46</v>
      </c>
      <c r="AK261" s="84">
        <v>0</v>
      </c>
      <c r="BB261" s="339" t="s">
        <v>66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hidden="1" customHeight="1" x14ac:dyDescent="0.25">
      <c r="A262" s="63" t="s">
        <v>444</v>
      </c>
      <c r="B262" s="63" t="s">
        <v>445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80</v>
      </c>
      <c r="N262" s="38"/>
      <c r="O262" s="37">
        <v>40</v>
      </c>
      <c r="P262" s="77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446</v>
      </c>
      <c r="AG262" s="78"/>
      <c r="AJ262" s="84" t="s">
        <v>46</v>
      </c>
      <c r="AK262" s="84">
        <v>0</v>
      </c>
      <c r="BB262" s="341" t="s">
        <v>66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t="27" hidden="1" customHeight="1" x14ac:dyDescent="0.25">
      <c r="A263" s="63" t="s">
        <v>447</v>
      </c>
      <c r="B263" s="63" t="s">
        <v>448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81</v>
      </c>
      <c r="L263" s="37" t="s">
        <v>46</v>
      </c>
      <c r="M263" s="38" t="s">
        <v>80</v>
      </c>
      <c r="N263" s="38"/>
      <c r="O263" s="37">
        <v>40</v>
      </c>
      <c r="P263" s="77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437</v>
      </c>
      <c r="AG263" s="78"/>
      <c r="AJ263" s="84" t="s">
        <v>46</v>
      </c>
      <c r="AK263" s="84">
        <v>0</v>
      </c>
      <c r="BB263" s="343" t="s">
        <v>66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hidden="1" customHeight="1" x14ac:dyDescent="0.25">
      <c r="A264" s="63" t="s">
        <v>449</v>
      </c>
      <c r="B264" s="63" t="s">
        <v>450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81</v>
      </c>
      <c r="L264" s="37" t="s">
        <v>46</v>
      </c>
      <c r="M264" s="38" t="s">
        <v>80</v>
      </c>
      <c r="N264" s="38"/>
      <c r="O264" s="37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440</v>
      </c>
      <c r="AG264" s="78"/>
      <c r="AJ264" s="84" t="s">
        <v>46</v>
      </c>
      <c r="AK264" s="84">
        <v>0</v>
      </c>
      <c r="BB264" s="345" t="s">
        <v>66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hidden="1" customHeight="1" x14ac:dyDescent="0.25">
      <c r="A265" s="63" t="s">
        <v>451</v>
      </c>
      <c r="B265" s="63" t="s">
        <v>452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81</v>
      </c>
      <c r="L265" s="37" t="s">
        <v>46</v>
      </c>
      <c r="M265" s="38" t="s">
        <v>80</v>
      </c>
      <c r="N265" s="38"/>
      <c r="O265" s="37">
        <v>40</v>
      </c>
      <c r="P265" s="7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443</v>
      </c>
      <c r="AG265" s="78"/>
      <c r="AJ265" s="84" t="s">
        <v>46</v>
      </c>
      <c r="AK265" s="84">
        <v>0</v>
      </c>
      <c r="BB265" s="347" t="s">
        <v>66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hidden="1" customHeight="1" x14ac:dyDescent="0.25">
      <c r="A266" s="63" t="s">
        <v>453</v>
      </c>
      <c r="B266" s="63" t="s">
        <v>454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81</v>
      </c>
      <c r="L266" s="37" t="s">
        <v>46</v>
      </c>
      <c r="M266" s="38" t="s">
        <v>80</v>
      </c>
      <c r="N266" s="38"/>
      <c r="O266" s="37">
        <v>40</v>
      </c>
      <c r="P266" s="7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446</v>
      </c>
      <c r="AG266" s="78"/>
      <c r="AJ266" s="84" t="s">
        <v>46</v>
      </c>
      <c r="AK266" s="84">
        <v>0</v>
      </c>
      <c r="BB266" s="349" t="s">
        <v>66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hidden="1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20" t="s">
        <v>85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hidden="1" customHeight="1" x14ac:dyDescent="0.25">
      <c r="A270" s="63" t="s">
        <v>455</v>
      </c>
      <c r="B270" s="63" t="s">
        <v>456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89</v>
      </c>
      <c r="N270" s="38"/>
      <c r="O270" s="37">
        <v>40</v>
      </c>
      <c r="P270" s="7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457</v>
      </c>
      <c r="AG270" s="78"/>
      <c r="AJ270" s="84" t="s">
        <v>46</v>
      </c>
      <c r="AK270" s="84">
        <v>0</v>
      </c>
      <c r="BB270" s="351" t="s">
        <v>66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89</v>
      </c>
      <c r="N271" s="38"/>
      <c r="O271" s="37">
        <v>40</v>
      </c>
      <c r="P271" s="7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460</v>
      </c>
      <c r="AG271" s="78"/>
      <c r="AJ271" s="84" t="s">
        <v>46</v>
      </c>
      <c r="AK271" s="84">
        <v>0</v>
      </c>
      <c r="BB271" s="353" t="s">
        <v>66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hidden="1" customHeight="1" x14ac:dyDescent="0.25">
      <c r="A272" s="63" t="s">
        <v>461</v>
      </c>
      <c r="B272" s="63" t="s">
        <v>462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89</v>
      </c>
      <c r="N272" s="38"/>
      <c r="O272" s="37">
        <v>45</v>
      </c>
      <c r="P272" s="7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463</v>
      </c>
      <c r="AG272" s="78"/>
      <c r="AJ272" s="84" t="s">
        <v>46</v>
      </c>
      <c r="AK272" s="84">
        <v>0</v>
      </c>
      <c r="BB272" s="355" t="s">
        <v>66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hidden="1" customHeight="1" x14ac:dyDescent="0.25">
      <c r="A273" s="63" t="s">
        <v>464</v>
      </c>
      <c r="B273" s="63" t="s">
        <v>465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90</v>
      </c>
      <c r="L273" s="37" t="s">
        <v>46</v>
      </c>
      <c r="M273" s="38" t="s">
        <v>89</v>
      </c>
      <c r="N273" s="38"/>
      <c r="O273" s="37">
        <v>40</v>
      </c>
      <c r="P273" s="7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457</v>
      </c>
      <c r="AG273" s="78"/>
      <c r="AJ273" s="84" t="s">
        <v>46</v>
      </c>
      <c r="AK273" s="84">
        <v>0</v>
      </c>
      <c r="BB273" s="357" t="s">
        <v>66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90</v>
      </c>
      <c r="L274" s="37" t="s">
        <v>46</v>
      </c>
      <c r="M274" s="38" t="s">
        <v>96</v>
      </c>
      <c r="N274" s="38"/>
      <c r="O274" s="37">
        <v>45</v>
      </c>
      <c r="P274" s="7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66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89</v>
      </c>
      <c r="N275" s="38"/>
      <c r="O275" s="37">
        <v>45</v>
      </c>
      <c r="P275" s="7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470</v>
      </c>
      <c r="AG275" s="78"/>
      <c r="AJ275" s="84" t="s">
        <v>46</v>
      </c>
      <c r="AK275" s="84">
        <v>0</v>
      </c>
      <c r="BB275" s="361" t="s">
        <v>66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90</v>
      </c>
      <c r="L276" s="37" t="s">
        <v>46</v>
      </c>
      <c r="M276" s="38" t="s">
        <v>89</v>
      </c>
      <c r="N276" s="38"/>
      <c r="O276" s="37">
        <v>45</v>
      </c>
      <c r="P276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463</v>
      </c>
      <c r="AG276" s="78"/>
      <c r="AJ276" s="84" t="s">
        <v>46</v>
      </c>
      <c r="AK276" s="84">
        <v>0</v>
      </c>
      <c r="BB276" s="363" t="s">
        <v>66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89</v>
      </c>
      <c r="N277" s="38"/>
      <c r="O277" s="37">
        <v>45</v>
      </c>
      <c r="P277" s="7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470</v>
      </c>
      <c r="AG277" s="78"/>
      <c r="AJ277" s="84" t="s">
        <v>46</v>
      </c>
      <c r="AK277" s="84">
        <v>0</v>
      </c>
      <c r="BB277" s="365" t="s">
        <v>66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90</v>
      </c>
      <c r="L278" s="37" t="s">
        <v>46</v>
      </c>
      <c r="M278" s="38" t="s">
        <v>89</v>
      </c>
      <c r="N278" s="38"/>
      <c r="O278" s="37">
        <v>45</v>
      </c>
      <c r="P278" s="7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463</v>
      </c>
      <c r="AG278" s="78"/>
      <c r="AJ278" s="84" t="s">
        <v>46</v>
      </c>
      <c r="AK278" s="84">
        <v>0</v>
      </c>
      <c r="BB278" s="367" t="s">
        <v>66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90</v>
      </c>
      <c r="L279" s="37" t="s">
        <v>46</v>
      </c>
      <c r="M279" s="38" t="s">
        <v>96</v>
      </c>
      <c r="N279" s="38"/>
      <c r="O279" s="37">
        <v>40</v>
      </c>
      <c r="P279" s="75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7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479</v>
      </c>
      <c r="AG279" s="78"/>
      <c r="AJ279" s="84" t="s">
        <v>46</v>
      </c>
      <c r="AK279" s="84">
        <v>0</v>
      </c>
      <c r="BB279" s="369" t="s">
        <v>66</v>
      </c>
      <c r="BM279" s="78">
        <f t="shared" si="38"/>
        <v>0</v>
      </c>
      <c r="BN279" s="78">
        <f t="shared" si="39"/>
        <v>0</v>
      </c>
      <c r="BO279" s="78">
        <f t="shared" si="40"/>
        <v>0</v>
      </c>
      <c r="BP279" s="78">
        <f t="shared" si="41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90</v>
      </c>
      <c r="L280" s="37" t="s">
        <v>46</v>
      </c>
      <c r="M280" s="38" t="s">
        <v>89</v>
      </c>
      <c r="N280" s="38"/>
      <c r="O280" s="37">
        <v>40</v>
      </c>
      <c r="P280" s="75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7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482</v>
      </c>
      <c r="AG280" s="78"/>
      <c r="AJ280" s="84" t="s">
        <v>46</v>
      </c>
      <c r="AK280" s="84">
        <v>0</v>
      </c>
      <c r="BB280" s="371" t="s">
        <v>66</v>
      </c>
      <c r="BM280" s="78">
        <f t="shared" si="38"/>
        <v>0</v>
      </c>
      <c r="BN280" s="78">
        <f t="shared" si="39"/>
        <v>0</v>
      </c>
      <c r="BO280" s="78">
        <f t="shared" si="40"/>
        <v>0</v>
      </c>
      <c r="BP280" s="78">
        <f t="shared" si="41"/>
        <v>0</v>
      </c>
    </row>
    <row r="281" spans="1:68" ht="27" hidden="1" customHeight="1" x14ac:dyDescent="0.25">
      <c r="A281" s="63" t="s">
        <v>483</v>
      </c>
      <c r="B281" s="63" t="s">
        <v>484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90</v>
      </c>
      <c r="L281" s="37" t="s">
        <v>46</v>
      </c>
      <c r="M281" s="38" t="s">
        <v>89</v>
      </c>
      <c r="N281" s="38"/>
      <c r="O281" s="37">
        <v>45</v>
      </c>
      <c r="P281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485</v>
      </c>
      <c r="AG281" s="78"/>
      <c r="AJ281" s="84" t="s">
        <v>46</v>
      </c>
      <c r="AK281" s="84">
        <v>0</v>
      </c>
      <c r="BB281" s="373" t="s">
        <v>66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hidden="1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hidden="1" customHeight="1" x14ac:dyDescent="0.25">
      <c r="A284" s="620" t="s">
        <v>182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hidden="1" customHeight="1" x14ac:dyDescent="0.25">
      <c r="A285" s="63" t="s">
        <v>486</v>
      </c>
      <c r="B285" s="63" t="s">
        <v>487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491</v>
      </c>
      <c r="AG286" s="78"/>
      <c r="AJ286" s="84" t="s">
        <v>46</v>
      </c>
      <c r="AK286" s="84">
        <v>0</v>
      </c>
      <c r="BB286" s="37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36" t="s">
        <v>492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hidden="1" customHeight="1" x14ac:dyDescent="0.25">
      <c r="A290" s="620" t="s">
        <v>128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hidden="1" customHeight="1" x14ac:dyDescent="0.25">
      <c r="A291" s="63" t="s">
        <v>493</v>
      </c>
      <c r="B291" s="63" t="s">
        <v>494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495</v>
      </c>
      <c r="AG291" s="78"/>
      <c r="AJ291" s="84" t="s">
        <v>46</v>
      </c>
      <c r="AK291" s="84">
        <v>0</v>
      </c>
      <c r="BB291" s="379" t="s">
        <v>66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hidden="1" customHeight="1" x14ac:dyDescent="0.25">
      <c r="A292" s="63" t="s">
        <v>496</v>
      </c>
      <c r="B292" s="63" t="s">
        <v>497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498</v>
      </c>
      <c r="AG292" s="78"/>
      <c r="AJ292" s="84" t="s">
        <v>46</v>
      </c>
      <c r="AK292" s="84">
        <v>0</v>
      </c>
      <c r="BB292" s="381" t="s">
        <v>66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hidden="1" customHeight="1" x14ac:dyDescent="0.25">
      <c r="A293" s="63" t="s">
        <v>499</v>
      </c>
      <c r="B293" s="63" t="s">
        <v>500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353</v>
      </c>
      <c r="AG293" s="78"/>
      <c r="AJ293" s="84" t="s">
        <v>46</v>
      </c>
      <c r="AK293" s="84">
        <v>0</v>
      </c>
      <c r="BB293" s="383" t="s">
        <v>66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495</v>
      </c>
      <c r="AG294" s="78"/>
      <c r="AJ294" s="84" t="s">
        <v>46</v>
      </c>
      <c r="AK294" s="84">
        <v>0</v>
      </c>
      <c r="BB294" s="385" t="s">
        <v>66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hidden="1" customHeight="1" x14ac:dyDescent="0.25">
      <c r="A295" s="63" t="s">
        <v>503</v>
      </c>
      <c r="B295" s="63" t="s">
        <v>504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505</v>
      </c>
      <c r="AG295" s="78"/>
      <c r="AJ295" s="84" t="s">
        <v>46</v>
      </c>
      <c r="AK295" s="84">
        <v>0</v>
      </c>
      <c r="BB295" s="387" t="s">
        <v>66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hidden="1" customHeight="1" x14ac:dyDescent="0.25">
      <c r="A296" s="63" t="s">
        <v>506</v>
      </c>
      <c r="B296" s="63" t="s">
        <v>507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90</v>
      </c>
      <c r="L296" s="37" t="s">
        <v>46</v>
      </c>
      <c r="M296" s="38" t="s">
        <v>132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508</v>
      </c>
      <c r="AG296" s="78"/>
      <c r="AJ296" s="84" t="s">
        <v>46</v>
      </c>
      <c r="AK296" s="84">
        <v>0</v>
      </c>
      <c r="BB296" s="389" t="s">
        <v>66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hidden="1" customHeight="1" x14ac:dyDescent="0.25">
      <c r="A297" s="63" t="s">
        <v>509</v>
      </c>
      <c r="B297" s="63" t="s">
        <v>510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353</v>
      </c>
      <c r="AG297" s="78"/>
      <c r="AJ297" s="84" t="s">
        <v>46</v>
      </c>
      <c r="AK297" s="84">
        <v>0</v>
      </c>
      <c r="BB297" s="391" t="s">
        <v>66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hidden="1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20" t="s">
        <v>165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hidden="1" customHeight="1" x14ac:dyDescent="0.25">
      <c r="A301" s="63" t="s">
        <v>511</v>
      </c>
      <c r="B301" s="63" t="s">
        <v>512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81</v>
      </c>
      <c r="L301" s="37" t="s">
        <v>46</v>
      </c>
      <c r="M301" s="38" t="s">
        <v>89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513</v>
      </c>
      <c r="AG301" s="78"/>
      <c r="AJ301" s="84" t="s">
        <v>46</v>
      </c>
      <c r="AK301" s="84">
        <v>0</v>
      </c>
      <c r="BB301" s="39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20" t="s">
        <v>514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hidden="1" customHeight="1" x14ac:dyDescent="0.25">
      <c r="A305" s="63" t="s">
        <v>515</v>
      </c>
      <c r="B305" s="63" t="s">
        <v>516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327</v>
      </c>
      <c r="L305" s="37" t="s">
        <v>46</v>
      </c>
      <c r="M305" s="38" t="s">
        <v>326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517</v>
      </c>
      <c r="AG305" s="78"/>
      <c r="AJ305" s="84" t="s">
        <v>46</v>
      </c>
      <c r="AK305" s="84">
        <v>0</v>
      </c>
      <c r="BB305" s="395" t="s">
        <v>66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20" t="s">
        <v>331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hidden="1" customHeight="1" x14ac:dyDescent="0.25">
      <c r="A309" s="63" t="s">
        <v>518</v>
      </c>
      <c r="B309" s="63" t="s">
        <v>519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327</v>
      </c>
      <c r="L309" s="37" t="s">
        <v>46</v>
      </c>
      <c r="M309" s="38" t="s">
        <v>326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521</v>
      </c>
      <c r="B310" s="63" t="s">
        <v>522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327</v>
      </c>
      <c r="L310" s="37" t="s">
        <v>46</v>
      </c>
      <c r="M310" s="38" t="s">
        <v>326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520</v>
      </c>
      <c r="AG310" s="78"/>
      <c r="AJ310" s="84" t="s">
        <v>46</v>
      </c>
      <c r="AK310" s="84">
        <v>0</v>
      </c>
      <c r="BB310" s="39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523</v>
      </c>
      <c r="B311" s="63" t="s">
        <v>524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327</v>
      </c>
      <c r="L311" s="37" t="s">
        <v>46</v>
      </c>
      <c r="M311" s="38" t="s">
        <v>326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520</v>
      </c>
      <c r="AG311" s="78"/>
      <c r="AJ311" s="84" t="s">
        <v>46</v>
      </c>
      <c r="AK311" s="84">
        <v>0</v>
      </c>
      <c r="BB311" s="40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36" t="s">
        <v>525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hidden="1" customHeight="1" x14ac:dyDescent="0.25">
      <c r="A315" s="620" t="s">
        <v>128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hidden="1" customHeight="1" x14ac:dyDescent="0.25">
      <c r="A316" s="63" t="s">
        <v>526</v>
      </c>
      <c r="B316" s="63" t="s">
        <v>527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528</v>
      </c>
      <c r="AG316" s="78"/>
      <c r="AJ316" s="84" t="s">
        <v>46</v>
      </c>
      <c r="AK316" s="84">
        <v>0</v>
      </c>
      <c r="BB316" s="403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529</v>
      </c>
      <c r="B317" s="63" t="s">
        <v>530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531</v>
      </c>
      <c r="AG317" s="78"/>
      <c r="AJ317" s="84" t="s">
        <v>46</v>
      </c>
      <c r="AK317" s="84">
        <v>0</v>
      </c>
      <c r="BB317" s="405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532</v>
      </c>
      <c r="B318" s="63" t="s">
        <v>533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538</v>
      </c>
      <c r="B320" s="63" t="s">
        <v>539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36" t="s">
        <v>541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hidden="1" customHeight="1" x14ac:dyDescent="0.25">
      <c r="A324" s="620" t="s">
        <v>85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hidden="1" customHeight="1" x14ac:dyDescent="0.25">
      <c r="A325" s="63" t="s">
        <v>542</v>
      </c>
      <c r="B325" s="63" t="s">
        <v>543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90</v>
      </c>
      <c r="L325" s="37" t="s">
        <v>46</v>
      </c>
      <c r="M325" s="38" t="s">
        <v>89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544</v>
      </c>
      <c r="AG325" s="78"/>
      <c r="AJ325" s="84" t="s">
        <v>46</v>
      </c>
      <c r="AK325" s="84">
        <v>0</v>
      </c>
      <c r="BB325" s="413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545</v>
      </c>
      <c r="B326" s="63" t="s">
        <v>546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90</v>
      </c>
      <c r="L326" s="37" t="s">
        <v>46</v>
      </c>
      <c r="M326" s="38" t="s">
        <v>96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547</v>
      </c>
      <c r="AG326" s="78"/>
      <c r="AJ326" s="84" t="s">
        <v>46</v>
      </c>
      <c r="AK326" s="84">
        <v>0</v>
      </c>
      <c r="BB326" s="415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548</v>
      </c>
      <c r="B327" s="63" t="s">
        <v>549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90</v>
      </c>
      <c r="L327" s="37" t="s">
        <v>46</v>
      </c>
      <c r="M327" s="38" t="s">
        <v>89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544</v>
      </c>
      <c r="AG327" s="78"/>
      <c r="AJ327" s="84" t="s">
        <v>46</v>
      </c>
      <c r="AK327" s="84">
        <v>0</v>
      </c>
      <c r="BB327" s="417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36" t="s">
        <v>550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hidden="1" customHeight="1" x14ac:dyDescent="0.25">
      <c r="A331" s="620" t="s">
        <v>76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hidden="1" customHeight="1" x14ac:dyDescent="0.25">
      <c r="A332" s="63" t="s">
        <v>551</v>
      </c>
      <c r="B332" s="63" t="s">
        <v>552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81</v>
      </c>
      <c r="L332" s="37" t="s">
        <v>46</v>
      </c>
      <c r="M332" s="38" t="s">
        <v>80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385</v>
      </c>
      <c r="AG332" s="78"/>
      <c r="AJ332" s="84" t="s">
        <v>46</v>
      </c>
      <c r="AK332" s="84">
        <v>0</v>
      </c>
      <c r="BB332" s="419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553</v>
      </c>
      <c r="B333" s="63" t="s">
        <v>554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81</v>
      </c>
      <c r="L333" s="37" t="s">
        <v>46</v>
      </c>
      <c r="M333" s="38" t="s">
        <v>80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555</v>
      </c>
      <c r="AG333" s="78"/>
      <c r="AJ333" s="84" t="s">
        <v>46</v>
      </c>
      <c r="AK333" s="84">
        <v>0</v>
      </c>
      <c r="BB333" s="421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556</v>
      </c>
      <c r="B334" s="63" t="s">
        <v>557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81</v>
      </c>
      <c r="L334" s="37" t="s">
        <v>46</v>
      </c>
      <c r="M334" s="38" t="s">
        <v>80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558</v>
      </c>
      <c r="AG334" s="78"/>
      <c r="AJ334" s="84" t="s">
        <v>46</v>
      </c>
      <c r="AK334" s="84">
        <v>0</v>
      </c>
      <c r="BB334" s="423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559</v>
      </c>
      <c r="B335" s="63" t="s">
        <v>560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90</v>
      </c>
      <c r="L335" s="37" t="s">
        <v>46</v>
      </c>
      <c r="M335" s="38" t="s">
        <v>80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561</v>
      </c>
      <c r="AG335" s="78"/>
      <c r="AJ335" s="84" t="s">
        <v>46</v>
      </c>
      <c r="AK335" s="84">
        <v>0</v>
      </c>
      <c r="BB335" s="425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562</v>
      </c>
      <c r="B336" s="63" t="s">
        <v>563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81</v>
      </c>
      <c r="L336" s="37" t="s">
        <v>46</v>
      </c>
      <c r="M336" s="38" t="s">
        <v>80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564</v>
      </c>
      <c r="AG336" s="78"/>
      <c r="AJ336" s="84" t="s">
        <v>46</v>
      </c>
      <c r="AK336" s="84">
        <v>0</v>
      </c>
      <c r="BB336" s="427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20" t="s">
        <v>85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hidden="1" customHeight="1" x14ac:dyDescent="0.25">
      <c r="A340" s="63" t="s">
        <v>565</v>
      </c>
      <c r="B340" s="63" t="s">
        <v>566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89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89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36" t="s">
        <v>571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hidden="1" customHeight="1" x14ac:dyDescent="0.25">
      <c r="A345" s="620" t="s">
        <v>128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hidden="1" customHeight="1" x14ac:dyDescent="0.25">
      <c r="A346" s="63" t="s">
        <v>572</v>
      </c>
      <c r="B346" s="63" t="s">
        <v>573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89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342</v>
      </c>
      <c r="AG346" s="78"/>
      <c r="AJ346" s="84" t="s">
        <v>46</v>
      </c>
      <c r="AK346" s="84">
        <v>0</v>
      </c>
      <c r="BB346" s="433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574</v>
      </c>
      <c r="B347" s="63" t="s">
        <v>575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89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576</v>
      </c>
      <c r="AG347" s="78"/>
      <c r="AJ347" s="84" t="s">
        <v>46</v>
      </c>
      <c r="AK347" s="84">
        <v>0</v>
      </c>
      <c r="BB347" s="435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577</v>
      </c>
      <c r="B348" s="63" t="s">
        <v>578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89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579</v>
      </c>
      <c r="AG348" s="78"/>
      <c r="AJ348" s="84" t="s">
        <v>46</v>
      </c>
      <c r="AK348" s="84">
        <v>0</v>
      </c>
      <c r="BB348" s="437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36" t="s">
        <v>580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hidden="1" customHeight="1" x14ac:dyDescent="0.25">
      <c r="A352" s="620" t="s">
        <v>128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hidden="1" customHeight="1" x14ac:dyDescent="0.25">
      <c r="A353" s="63" t="s">
        <v>581</v>
      </c>
      <c r="B353" s="63" t="s">
        <v>582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7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583</v>
      </c>
      <c r="AG353" s="78"/>
      <c r="AJ353" s="84" t="s">
        <v>46</v>
      </c>
      <c r="AK353" s="84">
        <v>0</v>
      </c>
      <c r="BB353" s="439" t="s">
        <v>66</v>
      </c>
      <c r="BM353" s="78">
        <f t="shared" ref="BM353:BM358" si="48">IFERROR(X353*I353/H353,"0")</f>
        <v>0</v>
      </c>
      <c r="BN353" s="78">
        <f t="shared" ref="BN353:BN358" si="49">IFERROR(Y353*I353/H353,"0")</f>
        <v>0</v>
      </c>
      <c r="BO353" s="78">
        <f t="shared" ref="BO353:BO358" si="50">IFERROR(1/J353*(X353/H353),"0")</f>
        <v>0</v>
      </c>
      <c r="BP353" s="78">
        <f t="shared" ref="BP353:BP358" si="51">IFERROR(1/J353*(Y353/H353),"0")</f>
        <v>0</v>
      </c>
    </row>
    <row r="354" spans="1:68" ht="27" hidden="1" customHeight="1" x14ac:dyDescent="0.25">
      <c r="A354" s="63" t="s">
        <v>584</v>
      </c>
      <c r="B354" s="63" t="s">
        <v>585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586</v>
      </c>
      <c r="AG354" s="78"/>
      <c r="AJ354" s="84" t="s">
        <v>46</v>
      </c>
      <c r="AK354" s="84">
        <v>0</v>
      </c>
      <c r="BB354" s="441" t="s">
        <v>66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hidden="1" customHeight="1" x14ac:dyDescent="0.25">
      <c r="A355" s="63" t="s">
        <v>587</v>
      </c>
      <c r="B355" s="63" t="s">
        <v>588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589</v>
      </c>
      <c r="AG355" s="78"/>
      <c r="AJ355" s="84" t="s">
        <v>46</v>
      </c>
      <c r="AK355" s="84">
        <v>0</v>
      </c>
      <c r="BB355" s="443" t="s">
        <v>66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hidden="1" customHeight="1" x14ac:dyDescent="0.25">
      <c r="A356" s="63" t="s">
        <v>590</v>
      </c>
      <c r="B356" s="63" t="s">
        <v>591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89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592</v>
      </c>
      <c r="AG356" s="78"/>
      <c r="AJ356" s="84" t="s">
        <v>46</v>
      </c>
      <c r="AK356" s="84">
        <v>0</v>
      </c>
      <c r="BB356" s="445" t="s">
        <v>66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hidden="1" customHeight="1" x14ac:dyDescent="0.25">
      <c r="A357" s="63" t="s">
        <v>593</v>
      </c>
      <c r="B357" s="63" t="s">
        <v>594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586</v>
      </c>
      <c r="AG357" s="78"/>
      <c r="AJ357" s="84" t="s">
        <v>46</v>
      </c>
      <c r="AK357" s="84">
        <v>0</v>
      </c>
      <c r="BB357" s="447" t="s">
        <v>66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hidden="1" customHeight="1" x14ac:dyDescent="0.25">
      <c r="A358" s="63" t="s">
        <v>595</v>
      </c>
      <c r="B358" s="63" t="s">
        <v>596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597</v>
      </c>
      <c r="AG358" s="78"/>
      <c r="AJ358" s="84" t="s">
        <v>46</v>
      </c>
      <c r="AK358" s="84">
        <v>0</v>
      </c>
      <c r="BB358" s="449" t="s">
        <v>66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hidden="1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hidden="1" customHeight="1" x14ac:dyDescent="0.25">
      <c r="A361" s="620" t="s">
        <v>76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hidden="1" customHeight="1" x14ac:dyDescent="0.25">
      <c r="A362" s="63" t="s">
        <v>598</v>
      </c>
      <c r="B362" s="63" t="s">
        <v>599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80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600</v>
      </c>
      <c r="AG362" s="78"/>
      <c r="AJ362" s="84" t="s">
        <v>46</v>
      </c>
      <c r="AK362" s="84">
        <v>0</v>
      </c>
      <c r="BB362" s="451" t="s">
        <v>66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hidden="1" customHeight="1" x14ac:dyDescent="0.25">
      <c r="A363" s="63" t="s">
        <v>601</v>
      </c>
      <c r="B363" s="63" t="s">
        <v>602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80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603</v>
      </c>
      <c r="AG363" s="78"/>
      <c r="AJ363" s="84" t="s">
        <v>46</v>
      </c>
      <c r="AK363" s="84">
        <v>0</v>
      </c>
      <c r="BB363" s="453" t="s">
        <v>66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hidden="1" customHeight="1" x14ac:dyDescent="0.25">
      <c r="A364" s="63" t="s">
        <v>604</v>
      </c>
      <c r="B364" s="63" t="s">
        <v>605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80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606</v>
      </c>
      <c r="AG364" s="78"/>
      <c r="AJ364" s="84" t="s">
        <v>46</v>
      </c>
      <c r="AK364" s="84">
        <v>0</v>
      </c>
      <c r="BB364" s="455" t="s">
        <v>66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hidden="1" customHeight="1" x14ac:dyDescent="0.25">
      <c r="A365" s="63" t="s">
        <v>607</v>
      </c>
      <c r="B365" s="63" t="s">
        <v>608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81</v>
      </c>
      <c r="L365" s="37" t="s">
        <v>46</v>
      </c>
      <c r="M365" s="38" t="s">
        <v>80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603</v>
      </c>
      <c r="AG365" s="78"/>
      <c r="AJ365" s="84" t="s">
        <v>46</v>
      </c>
      <c r="AK365" s="84">
        <v>0</v>
      </c>
      <c r="BB365" s="457" t="s">
        <v>66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hidden="1" customHeight="1" x14ac:dyDescent="0.25">
      <c r="A366" s="63" t="s">
        <v>609</v>
      </c>
      <c r="B366" s="63" t="s">
        <v>610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81</v>
      </c>
      <c r="L366" s="37" t="s">
        <v>46</v>
      </c>
      <c r="M366" s="38" t="s">
        <v>80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2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611</v>
      </c>
      <c r="AG366" s="78"/>
      <c r="AJ366" s="84" t="s">
        <v>46</v>
      </c>
      <c r="AK366" s="84">
        <v>0</v>
      </c>
      <c r="BB366" s="459" t="s">
        <v>66</v>
      </c>
      <c r="BM366" s="78">
        <f t="shared" si="53"/>
        <v>0</v>
      </c>
      <c r="BN366" s="78">
        <f t="shared" si="54"/>
        <v>0</v>
      </c>
      <c r="BO366" s="78">
        <f t="shared" si="55"/>
        <v>0</v>
      </c>
      <c r="BP366" s="78">
        <f t="shared" si="56"/>
        <v>0</v>
      </c>
    </row>
    <row r="367" spans="1:68" ht="27" hidden="1" customHeight="1" x14ac:dyDescent="0.25">
      <c r="A367" s="63" t="s">
        <v>612</v>
      </c>
      <c r="B367" s="63" t="s">
        <v>613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80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606</v>
      </c>
      <c r="AG367" s="78"/>
      <c r="AJ367" s="84" t="s">
        <v>46</v>
      </c>
      <c r="AK367" s="84">
        <v>0</v>
      </c>
      <c r="BB367" s="461" t="s">
        <v>66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hidden="1" customHeight="1" x14ac:dyDescent="0.25">
      <c r="A368" s="63" t="s">
        <v>614</v>
      </c>
      <c r="B368" s="63" t="s">
        <v>615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90</v>
      </c>
      <c r="L368" s="37" t="s">
        <v>46</v>
      </c>
      <c r="M368" s="38" t="s">
        <v>80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616</v>
      </c>
      <c r="AG368" s="78"/>
      <c r="AJ368" s="84" t="s">
        <v>46</v>
      </c>
      <c r="AK368" s="84">
        <v>0</v>
      </c>
      <c r="BB368" s="463" t="s">
        <v>66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hidden="1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20" t="s">
        <v>85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hidden="1" customHeight="1" x14ac:dyDescent="0.25">
      <c r="A372" s="63" t="s">
        <v>617</v>
      </c>
      <c r="B372" s="63" t="s">
        <v>618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89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619</v>
      </c>
      <c r="AG372" s="78"/>
      <c r="AJ372" s="84" t="s">
        <v>46</v>
      </c>
      <c r="AK372" s="84">
        <v>0</v>
      </c>
      <c r="BB372" s="46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620</v>
      </c>
      <c r="B373" s="63" t="s">
        <v>621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89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622</v>
      </c>
      <c r="AG373" s="78"/>
      <c r="AJ373" s="84" t="s">
        <v>46</v>
      </c>
      <c r="AK373" s="84">
        <v>0</v>
      </c>
      <c r="BB373" s="46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623</v>
      </c>
      <c r="B374" s="63" t="s">
        <v>624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89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625</v>
      </c>
      <c r="AG374" s="78"/>
      <c r="AJ374" s="84" t="s">
        <v>46</v>
      </c>
      <c r="AK374" s="84">
        <v>0</v>
      </c>
      <c r="BB374" s="46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626</v>
      </c>
      <c r="B375" s="63" t="s">
        <v>627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90</v>
      </c>
      <c r="L375" s="37" t="s">
        <v>46</v>
      </c>
      <c r="M375" s="38" t="s">
        <v>89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619</v>
      </c>
      <c r="AG375" s="78"/>
      <c r="AJ375" s="84" t="s">
        <v>46</v>
      </c>
      <c r="AK375" s="84">
        <v>0</v>
      </c>
      <c r="BB375" s="471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20" t="s">
        <v>182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hidden="1" customHeight="1" x14ac:dyDescent="0.25">
      <c r="A379" s="63" t="s">
        <v>628</v>
      </c>
      <c r="B379" s="63" t="s">
        <v>629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89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630</v>
      </c>
      <c r="AG379" s="78"/>
      <c r="AJ379" s="84" t="s">
        <v>46</v>
      </c>
      <c r="AK379" s="84">
        <v>0</v>
      </c>
      <c r="BB379" s="47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631</v>
      </c>
      <c r="B380" s="63" t="s">
        <v>632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89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633</v>
      </c>
      <c r="AG380" s="78"/>
      <c r="AJ380" s="84" t="s">
        <v>46</v>
      </c>
      <c r="AK380" s="84">
        <v>0</v>
      </c>
      <c r="BB380" s="475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hidden="1" customHeight="1" x14ac:dyDescent="0.25">
      <c r="A381" s="63" t="s">
        <v>634</v>
      </c>
      <c r="B381" s="63" t="s">
        <v>635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96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636</v>
      </c>
      <c r="AG381" s="78"/>
      <c r="AJ381" s="84" t="s">
        <v>46</v>
      </c>
      <c r="AK381" s="84">
        <v>0</v>
      </c>
      <c r="BB381" s="477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20" t="s">
        <v>103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hidden="1" customHeight="1" x14ac:dyDescent="0.25">
      <c r="A385" s="63" t="s">
        <v>637</v>
      </c>
      <c r="B385" s="63" t="s">
        <v>638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108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639</v>
      </c>
      <c r="AG385" s="78"/>
      <c r="AJ385" s="84" t="s">
        <v>46</v>
      </c>
      <c r="AK385" s="84">
        <v>0</v>
      </c>
      <c r="BB385" s="479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108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639</v>
      </c>
      <c r="AG386" s="78"/>
      <c r="AJ386" s="84" t="s">
        <v>46</v>
      </c>
      <c r="AK386" s="84">
        <v>0</v>
      </c>
      <c r="BB386" s="481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642</v>
      </c>
      <c r="B387" s="63" t="s">
        <v>643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90</v>
      </c>
      <c r="L387" s="37" t="s">
        <v>46</v>
      </c>
      <c r="M387" s="38" t="s">
        <v>108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639</v>
      </c>
      <c r="AG387" s="78"/>
      <c r="AJ387" s="84" t="s">
        <v>46</v>
      </c>
      <c r="AK387" s="84">
        <v>0</v>
      </c>
      <c r="BB387" s="483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644</v>
      </c>
      <c r="B388" s="63" t="s">
        <v>645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90</v>
      </c>
      <c r="L388" s="37" t="s">
        <v>46</v>
      </c>
      <c r="M388" s="38" t="s">
        <v>108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639</v>
      </c>
      <c r="AG388" s="78"/>
      <c r="AJ388" s="84" t="s">
        <v>46</v>
      </c>
      <c r="AK388" s="84">
        <v>0</v>
      </c>
      <c r="BB388" s="485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20" t="s">
        <v>646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hidden="1" customHeight="1" x14ac:dyDescent="0.25">
      <c r="A392" s="63" t="s">
        <v>647</v>
      </c>
      <c r="B392" s="63" t="s">
        <v>648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90</v>
      </c>
      <c r="L392" s="37" t="s">
        <v>46</v>
      </c>
      <c r="M392" s="38" t="s">
        <v>650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649</v>
      </c>
      <c r="AG392" s="78"/>
      <c r="AJ392" s="84" t="s">
        <v>46</v>
      </c>
      <c r="AK392" s="84">
        <v>0</v>
      </c>
      <c r="BB392" s="487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90</v>
      </c>
      <c r="L393" s="37" t="s">
        <v>46</v>
      </c>
      <c r="M393" s="38" t="s">
        <v>650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649</v>
      </c>
      <c r="AG393" s="78"/>
      <c r="AJ393" s="84" t="s">
        <v>46</v>
      </c>
      <c r="AK393" s="84">
        <v>0</v>
      </c>
      <c r="BB393" s="489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653</v>
      </c>
      <c r="B394" s="63" t="s">
        <v>654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90</v>
      </c>
      <c r="L394" s="37" t="s">
        <v>46</v>
      </c>
      <c r="M394" s="38" t="s">
        <v>650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649</v>
      </c>
      <c r="AG394" s="78"/>
      <c r="AJ394" s="84" t="s">
        <v>46</v>
      </c>
      <c r="AK394" s="84">
        <v>0</v>
      </c>
      <c r="BB394" s="491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36" t="s">
        <v>655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hidden="1" customHeight="1" x14ac:dyDescent="0.25">
      <c r="A398" s="620" t="s">
        <v>85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hidden="1" customHeight="1" x14ac:dyDescent="0.25">
      <c r="A399" s="63" t="s">
        <v>656</v>
      </c>
      <c r="B399" s="63" t="s">
        <v>657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133</v>
      </c>
      <c r="L399" s="37" t="s">
        <v>46</v>
      </c>
      <c r="M399" s="38" t="s">
        <v>96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658</v>
      </c>
      <c r="AG399" s="78"/>
      <c r="AJ399" s="84" t="s">
        <v>46</v>
      </c>
      <c r="AK399" s="84">
        <v>0</v>
      </c>
      <c r="BB399" s="493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659</v>
      </c>
      <c r="B400" s="63" t="s">
        <v>660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90</v>
      </c>
      <c r="L400" s="37" t="s">
        <v>46</v>
      </c>
      <c r="M400" s="38" t="s">
        <v>89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494" t="s">
        <v>661</v>
      </c>
      <c r="AG400" s="78"/>
      <c r="AJ400" s="84" t="s">
        <v>46</v>
      </c>
      <c r="AK400" s="84">
        <v>0</v>
      </c>
      <c r="BB400" s="495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662</v>
      </c>
      <c r="B401" s="63" t="s">
        <v>663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90</v>
      </c>
      <c r="L401" s="37" t="s">
        <v>46</v>
      </c>
      <c r="M401" s="38" t="s">
        <v>96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96" t="s">
        <v>664</v>
      </c>
      <c r="AG401" s="78"/>
      <c r="AJ401" s="84" t="s">
        <v>46</v>
      </c>
      <c r="AK401" s="84">
        <v>0</v>
      </c>
      <c r="BB401" s="497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27.75" hidden="1" customHeight="1" x14ac:dyDescent="0.2">
      <c r="A404" s="641" t="s">
        <v>665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hidden="1" customHeight="1" x14ac:dyDescent="0.25">
      <c r="A405" s="636" t="s">
        <v>666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hidden="1" customHeight="1" x14ac:dyDescent="0.25">
      <c r="A406" s="620" t="s">
        <v>128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hidden="1" customHeight="1" x14ac:dyDescent="0.25">
      <c r="A407" s="63" t="s">
        <v>667</v>
      </c>
      <c r="B407" s="63" t="s">
        <v>668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133</v>
      </c>
      <c r="L407" s="37" t="s">
        <v>46</v>
      </c>
      <c r="M407" s="38" t="s">
        <v>96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669</v>
      </c>
      <c r="AG407" s="78"/>
      <c r="AJ407" s="84" t="s">
        <v>46</v>
      </c>
      <c r="AK407" s="84">
        <v>0</v>
      </c>
      <c r="BB407" s="499" t="s">
        <v>66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hidden="1" customHeight="1" x14ac:dyDescent="0.25">
      <c r="A408" s="63" t="s">
        <v>670</v>
      </c>
      <c r="B408" s="63" t="s">
        <v>671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133</v>
      </c>
      <c r="L408" s="37" t="s">
        <v>46</v>
      </c>
      <c r="M408" s="38" t="s">
        <v>80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7"/>
        <v>0</v>
      </c>
      <c r="Z408" s="41" t="str">
        <f>IFERROR(IF(Y408=0,"",ROUNDUP(Y408/H408,0)*0.02175),"")</f>
        <v/>
      </c>
      <c r="AA408" s="68" t="s">
        <v>46</v>
      </c>
      <c r="AB408" s="69" t="s">
        <v>46</v>
      </c>
      <c r="AC408" s="500" t="s">
        <v>672</v>
      </c>
      <c r="AG408" s="78"/>
      <c r="AJ408" s="84" t="s">
        <v>46</v>
      </c>
      <c r="AK408" s="84">
        <v>0</v>
      </c>
      <c r="BB408" s="501" t="s">
        <v>66</v>
      </c>
      <c r="BM408" s="78">
        <f t="shared" si="58"/>
        <v>0</v>
      </c>
      <c r="BN408" s="78">
        <f t="shared" si="59"/>
        <v>0</v>
      </c>
      <c r="BO408" s="78">
        <f t="shared" si="60"/>
        <v>0</v>
      </c>
      <c r="BP408" s="78">
        <f t="shared" si="61"/>
        <v>0</v>
      </c>
    </row>
    <row r="409" spans="1:68" ht="27" hidden="1" customHeight="1" x14ac:dyDescent="0.25">
      <c r="A409" s="63" t="s">
        <v>673</v>
      </c>
      <c r="B409" s="63" t="s">
        <v>674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133</v>
      </c>
      <c r="L409" s="37" t="s">
        <v>46</v>
      </c>
      <c r="M409" s="38" t="s">
        <v>132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7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675</v>
      </c>
      <c r="AG409" s="78"/>
      <c r="AJ409" s="84" t="s">
        <v>46</v>
      </c>
      <c r="AK409" s="84">
        <v>0</v>
      </c>
      <c r="BB409" s="503" t="s">
        <v>66</v>
      </c>
      <c r="BM409" s="78">
        <f t="shared" si="58"/>
        <v>0</v>
      </c>
      <c r="BN409" s="78">
        <f t="shared" si="59"/>
        <v>0</v>
      </c>
      <c r="BO409" s="78">
        <f t="shared" si="60"/>
        <v>0</v>
      </c>
      <c r="BP409" s="78">
        <f t="shared" si="61"/>
        <v>0</v>
      </c>
    </row>
    <row r="410" spans="1:68" ht="27" hidden="1" customHeight="1" x14ac:dyDescent="0.25">
      <c r="A410" s="63" t="s">
        <v>676</v>
      </c>
      <c r="B410" s="63" t="s">
        <v>677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133</v>
      </c>
      <c r="L410" s="37" t="s">
        <v>46</v>
      </c>
      <c r="M410" s="38" t="s">
        <v>80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678</v>
      </c>
      <c r="AG410" s="78"/>
      <c r="AJ410" s="84" t="s">
        <v>46</v>
      </c>
      <c r="AK410" s="84">
        <v>0</v>
      </c>
      <c r="BB410" s="505" t="s">
        <v>66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customHeight="1" x14ac:dyDescent="0.25">
      <c r="A411" s="63" t="s">
        <v>679</v>
      </c>
      <c r="B411" s="63" t="s">
        <v>680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133</v>
      </c>
      <c r="L411" s="37" t="s">
        <v>46</v>
      </c>
      <c r="M411" s="38" t="s">
        <v>96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2100</v>
      </c>
      <c r="Y411" s="55">
        <f t="shared" si="57"/>
        <v>2100</v>
      </c>
      <c r="Z411" s="41">
        <f>IFERROR(IF(Y411=0,"",ROUNDUP(Y411/H411,0)*0.02175),"")</f>
        <v>3.0449999999999999</v>
      </c>
      <c r="AA411" s="68" t="s">
        <v>46</v>
      </c>
      <c r="AB411" s="69" t="s">
        <v>46</v>
      </c>
      <c r="AC411" s="506" t="s">
        <v>681</v>
      </c>
      <c r="AG411" s="78"/>
      <c r="AJ411" s="84" t="s">
        <v>46</v>
      </c>
      <c r="AK411" s="84">
        <v>0</v>
      </c>
      <c r="BB411" s="507" t="s">
        <v>66</v>
      </c>
      <c r="BM411" s="78">
        <f t="shared" si="58"/>
        <v>2165.8000000000002</v>
      </c>
      <c r="BN411" s="78">
        <f t="shared" si="59"/>
        <v>2165.8000000000002</v>
      </c>
      <c r="BO411" s="78">
        <f t="shared" si="60"/>
        <v>2.9166666666666665</v>
      </c>
      <c r="BP411" s="78">
        <f t="shared" si="61"/>
        <v>2.9166666666666665</v>
      </c>
    </row>
    <row r="412" spans="1:68" ht="27" hidden="1" customHeight="1" x14ac:dyDescent="0.25">
      <c r="A412" s="63" t="s">
        <v>682</v>
      </c>
      <c r="B412" s="63" t="s">
        <v>683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140</v>
      </c>
      <c r="L412" s="37" t="s">
        <v>46</v>
      </c>
      <c r="M412" s="38" t="s">
        <v>132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684</v>
      </c>
      <c r="AG412" s="78"/>
      <c r="AJ412" s="84" t="s">
        <v>46</v>
      </c>
      <c r="AK412" s="84">
        <v>0</v>
      </c>
      <c r="BB412" s="509" t="s">
        <v>66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hidden="1" customHeight="1" x14ac:dyDescent="0.25">
      <c r="A413" s="63" t="s">
        <v>685</v>
      </c>
      <c r="B413" s="63" t="s">
        <v>686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140</v>
      </c>
      <c r="L413" s="37" t="s">
        <v>46</v>
      </c>
      <c r="M413" s="38" t="s">
        <v>80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687</v>
      </c>
      <c r="AG413" s="78"/>
      <c r="AJ413" s="84" t="s">
        <v>46</v>
      </c>
      <c r="AK413" s="84">
        <v>0</v>
      </c>
      <c r="BB413" s="511" t="s">
        <v>66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hidden="1" customHeight="1" x14ac:dyDescent="0.25">
      <c r="A414" s="63" t="s">
        <v>688</v>
      </c>
      <c r="B414" s="63" t="s">
        <v>689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140</v>
      </c>
      <c r="L414" s="37" t="s">
        <v>46</v>
      </c>
      <c r="M414" s="38" t="s">
        <v>80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690</v>
      </c>
      <c r="AG414" s="78"/>
      <c r="AJ414" s="84" t="s">
        <v>46</v>
      </c>
      <c r="AK414" s="84">
        <v>0</v>
      </c>
      <c r="BB414" s="513" t="s">
        <v>66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140</v>
      </c>
      <c r="Y415" s="43">
        <f>IFERROR(Y407/H407,"0")+IFERROR(Y408/H408,"0")+IFERROR(Y409/H409,"0")+IFERROR(Y410/H410,"0")+IFERROR(Y411/H411,"0")+IFERROR(Y412/H412,"0")+IFERROR(Y413/H413,"0")+IFERROR(Y414/H414,"0")</f>
        <v>140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3.0449999999999999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2100</v>
      </c>
      <c r="Y416" s="43">
        <f>IFERROR(SUM(Y407:Y414),"0")</f>
        <v>2100</v>
      </c>
      <c r="Z416" s="42"/>
      <c r="AA416" s="67"/>
      <c r="AB416" s="67"/>
      <c r="AC416" s="67"/>
    </row>
    <row r="417" spans="1:68" ht="14.25" hidden="1" customHeight="1" x14ac:dyDescent="0.25">
      <c r="A417" s="620" t="s">
        <v>165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hidden="1" customHeight="1" x14ac:dyDescent="0.25">
      <c r="A418" s="63" t="s">
        <v>691</v>
      </c>
      <c r="B418" s="63" t="s">
        <v>692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133</v>
      </c>
      <c r="L418" s="37" t="s">
        <v>46</v>
      </c>
      <c r="M418" s="38" t="s">
        <v>132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IFERROR(IF(Y418=0,"",ROUNDUP(Y418/H418,0)*0.02175),"")</f>
        <v/>
      </c>
      <c r="AA418" s="68" t="s">
        <v>46</v>
      </c>
      <c r="AB418" s="69" t="s">
        <v>46</v>
      </c>
      <c r="AC418" s="514" t="s">
        <v>693</v>
      </c>
      <c r="AG418" s="78"/>
      <c r="AJ418" s="84" t="s">
        <v>46</v>
      </c>
      <c r="AK418" s="84">
        <v>0</v>
      </c>
      <c r="BB418" s="51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694</v>
      </c>
      <c r="B419" s="63" t="s">
        <v>695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133</v>
      </c>
      <c r="L419" s="37" t="s">
        <v>46</v>
      </c>
      <c r="M419" s="38" t="s">
        <v>132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696</v>
      </c>
      <c r="AG419" s="78"/>
      <c r="AJ419" s="84" t="s">
        <v>46</v>
      </c>
      <c r="AK419" s="84">
        <v>0</v>
      </c>
      <c r="BB419" s="51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697</v>
      </c>
      <c r="B420" s="63" t="s">
        <v>698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140</v>
      </c>
      <c r="L420" s="37" t="s">
        <v>46</v>
      </c>
      <c r="M420" s="38" t="s">
        <v>132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699</v>
      </c>
      <c r="AG420" s="78"/>
      <c r="AJ420" s="84" t="s">
        <v>46</v>
      </c>
      <c r="AK420" s="84">
        <v>0</v>
      </c>
      <c r="BB420" s="519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14.25" hidden="1" customHeight="1" x14ac:dyDescent="0.25">
      <c r="A423" s="620" t="s">
        <v>85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hidden="1" customHeight="1" x14ac:dyDescent="0.25">
      <c r="A424" s="63" t="s">
        <v>700</v>
      </c>
      <c r="B424" s="63" t="s">
        <v>701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133</v>
      </c>
      <c r="L424" s="37" t="s">
        <v>46</v>
      </c>
      <c r="M424" s="38" t="s">
        <v>89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702</v>
      </c>
      <c r="AG424" s="78"/>
      <c r="AJ424" s="84" t="s">
        <v>46</v>
      </c>
      <c r="AK424" s="84">
        <v>0</v>
      </c>
      <c r="BB424" s="521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703</v>
      </c>
      <c r="B425" s="63" t="s">
        <v>704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133</v>
      </c>
      <c r="L425" s="37" t="s">
        <v>46</v>
      </c>
      <c r="M425" s="38" t="s">
        <v>89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705</v>
      </c>
      <c r="AG425" s="78"/>
      <c r="AJ425" s="84" t="s">
        <v>46</v>
      </c>
      <c r="AK425" s="84">
        <v>0</v>
      </c>
      <c r="BB425" s="523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hidden="1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hidden="1" customHeight="1" x14ac:dyDescent="0.25">
      <c r="A428" s="620" t="s">
        <v>182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hidden="1" customHeight="1" x14ac:dyDescent="0.25">
      <c r="A429" s="63" t="s">
        <v>706</v>
      </c>
      <c r="B429" s="63" t="s">
        <v>707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133</v>
      </c>
      <c r="L429" s="37" t="s">
        <v>46</v>
      </c>
      <c r="M429" s="38" t="s">
        <v>89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708</v>
      </c>
      <c r="AG429" s="78"/>
      <c r="AJ429" s="84" t="s">
        <v>46</v>
      </c>
      <c r="AK429" s="84">
        <v>0</v>
      </c>
      <c r="BB429" s="525" t="s">
        <v>66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hidden="1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hidden="1" customHeight="1" x14ac:dyDescent="0.25">
      <c r="A432" s="636" t="s">
        <v>709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hidden="1" customHeight="1" x14ac:dyDescent="0.25">
      <c r="A433" s="620" t="s">
        <v>128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hidden="1" customHeight="1" x14ac:dyDescent="0.25">
      <c r="A434" s="63" t="s">
        <v>710</v>
      </c>
      <c r="B434" s="63" t="s">
        <v>711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133</v>
      </c>
      <c r="L434" s="37" t="s">
        <v>46</v>
      </c>
      <c r="M434" s="38" t="s">
        <v>80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712</v>
      </c>
      <c r="AG434" s="78"/>
      <c r="AJ434" s="84" t="s">
        <v>46</v>
      </c>
      <c r="AK434" s="84">
        <v>0</v>
      </c>
      <c r="BB434" s="527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713</v>
      </c>
      <c r="B435" s="63" t="s">
        <v>714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140</v>
      </c>
      <c r="L435" s="37" t="s">
        <v>46</v>
      </c>
      <c r="M435" s="38" t="s">
        <v>80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712</v>
      </c>
      <c r="AG435" s="78"/>
      <c r="AJ435" s="84" t="s">
        <v>46</v>
      </c>
      <c r="AK435" s="84">
        <v>0</v>
      </c>
      <c r="BB435" s="529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20" t="s">
        <v>76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hidden="1" customHeight="1" x14ac:dyDescent="0.25">
      <c r="A439" s="63" t="s">
        <v>715</v>
      </c>
      <c r="B439" s="63" t="s">
        <v>716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140</v>
      </c>
      <c r="L439" s="37" t="s">
        <v>46</v>
      </c>
      <c r="M439" s="38" t="s">
        <v>80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717</v>
      </c>
      <c r="AG439" s="78"/>
      <c r="AJ439" s="84" t="s">
        <v>46</v>
      </c>
      <c r="AK439" s="84">
        <v>0</v>
      </c>
      <c r="BB439" s="531" t="s">
        <v>66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20" t="s">
        <v>85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hidden="1" customHeight="1" x14ac:dyDescent="0.25">
      <c r="A443" s="63" t="s">
        <v>718</v>
      </c>
      <c r="B443" s="63" t="s">
        <v>719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133</v>
      </c>
      <c r="L443" s="37" t="s">
        <v>46</v>
      </c>
      <c r="M443" s="38" t="s">
        <v>89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720</v>
      </c>
      <c r="AG443" s="78"/>
      <c r="AJ443" s="84" t="s">
        <v>46</v>
      </c>
      <c r="AK443" s="84">
        <v>0</v>
      </c>
      <c r="BB443" s="533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721</v>
      </c>
      <c r="B444" s="63" t="s">
        <v>722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90</v>
      </c>
      <c r="L444" s="37" t="s">
        <v>46</v>
      </c>
      <c r="M444" s="38" t="s">
        <v>89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720</v>
      </c>
      <c r="AG444" s="78"/>
      <c r="AJ444" s="84" t="s">
        <v>46</v>
      </c>
      <c r="AK444" s="84">
        <v>0</v>
      </c>
      <c r="BB444" s="535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721</v>
      </c>
      <c r="B445" s="63" t="s">
        <v>723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90</v>
      </c>
      <c r="L445" s="37" t="s">
        <v>46</v>
      </c>
      <c r="M445" s="38" t="s">
        <v>89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724</v>
      </c>
      <c r="AG445" s="78"/>
      <c r="AJ445" s="84" t="s">
        <v>46</v>
      </c>
      <c r="AK445" s="84">
        <v>0</v>
      </c>
      <c r="BB445" s="537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hidden="1" customHeight="1" x14ac:dyDescent="0.2">
      <c r="A448" s="641" t="s">
        <v>725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hidden="1" customHeight="1" x14ac:dyDescent="0.25">
      <c r="A449" s="636" t="s">
        <v>726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hidden="1" customHeight="1" x14ac:dyDescent="0.25">
      <c r="A450" s="620" t="s">
        <v>76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hidden="1" customHeight="1" x14ac:dyDescent="0.25">
      <c r="A451" s="63" t="s">
        <v>727</v>
      </c>
      <c r="B451" s="63" t="s">
        <v>728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140</v>
      </c>
      <c r="L451" s="37" t="s">
        <v>46</v>
      </c>
      <c r="M451" s="38" t="s">
        <v>80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729</v>
      </c>
      <c r="AG451" s="78"/>
      <c r="AJ451" s="84" t="s">
        <v>46</v>
      </c>
      <c r="AK451" s="84">
        <v>0</v>
      </c>
      <c r="BB451" s="539" t="s">
        <v>66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hidden="1" customHeight="1" x14ac:dyDescent="0.25">
      <c r="A452" s="63" t="s">
        <v>730</v>
      </c>
      <c r="B452" s="63" t="s">
        <v>731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140</v>
      </c>
      <c r="L452" s="37" t="s">
        <v>46</v>
      </c>
      <c r="M452" s="38" t="s">
        <v>80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732</v>
      </c>
      <c r="AG452" s="78"/>
      <c r="AJ452" s="84" t="s">
        <v>46</v>
      </c>
      <c r="AK452" s="84">
        <v>0</v>
      </c>
      <c r="BB452" s="541" t="s">
        <v>66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hidden="1" customHeight="1" x14ac:dyDescent="0.25">
      <c r="A453" s="63" t="s">
        <v>733</v>
      </c>
      <c r="B453" s="63" t="s">
        <v>734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81</v>
      </c>
      <c r="L453" s="37" t="s">
        <v>46</v>
      </c>
      <c r="M453" s="38" t="s">
        <v>80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729</v>
      </c>
      <c r="AG453" s="78"/>
      <c r="AJ453" s="84" t="s">
        <v>46</v>
      </c>
      <c r="AK453" s="84">
        <v>0</v>
      </c>
      <c r="BB453" s="543" t="s">
        <v>66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hidden="1" customHeight="1" x14ac:dyDescent="0.25">
      <c r="A454" s="63" t="s">
        <v>735</v>
      </c>
      <c r="B454" s="63" t="s">
        <v>736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81</v>
      </c>
      <c r="L454" s="37" t="s">
        <v>46</v>
      </c>
      <c r="M454" s="38" t="s">
        <v>80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737</v>
      </c>
      <c r="AG454" s="78"/>
      <c r="AJ454" s="84" t="s">
        <v>46</v>
      </c>
      <c r="AK454" s="84">
        <v>0</v>
      </c>
      <c r="BB454" s="545" t="s">
        <v>66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hidden="1" customHeight="1" x14ac:dyDescent="0.25">
      <c r="A455" s="63" t="s">
        <v>738</v>
      </c>
      <c r="B455" s="63" t="s">
        <v>739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81</v>
      </c>
      <c r="L455" s="37" t="s">
        <v>46</v>
      </c>
      <c r="M455" s="38" t="s">
        <v>80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740</v>
      </c>
      <c r="AG455" s="78"/>
      <c r="AJ455" s="84" t="s">
        <v>46</v>
      </c>
      <c r="AK455" s="84">
        <v>0</v>
      </c>
      <c r="BB455" s="547" t="s">
        <v>66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hidden="1" customHeight="1" x14ac:dyDescent="0.25">
      <c r="A456" s="63" t="s">
        <v>741</v>
      </c>
      <c r="B456" s="63" t="s">
        <v>742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81</v>
      </c>
      <c r="L456" s="37" t="s">
        <v>46</v>
      </c>
      <c r="M456" s="38" t="s">
        <v>80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737</v>
      </c>
      <c r="AG456" s="78"/>
      <c r="AJ456" s="84" t="s">
        <v>46</v>
      </c>
      <c r="AK456" s="84">
        <v>0</v>
      </c>
      <c r="BB456" s="549" t="s">
        <v>66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hidden="1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hidden="1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20" t="s">
        <v>85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hidden="1" customHeight="1" x14ac:dyDescent="0.25">
      <c r="A460" s="63" t="s">
        <v>743</v>
      </c>
      <c r="B460" s="63" t="s">
        <v>744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140</v>
      </c>
      <c r="L460" s="37" t="s">
        <v>46</v>
      </c>
      <c r="M460" s="38" t="s">
        <v>89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745</v>
      </c>
      <c r="AG460" s="78"/>
      <c r="AJ460" s="84" t="s">
        <v>46</v>
      </c>
      <c r="AK460" s="84">
        <v>0</v>
      </c>
      <c r="BB460" s="551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746</v>
      </c>
      <c r="B461" s="63" t="s">
        <v>747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90</v>
      </c>
      <c r="L461" s="37" t="s">
        <v>46</v>
      </c>
      <c r="M461" s="38" t="s">
        <v>89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748</v>
      </c>
      <c r="AG461" s="78"/>
      <c r="AJ461" s="84" t="s">
        <v>46</v>
      </c>
      <c r="AK461" s="84">
        <v>0</v>
      </c>
      <c r="BB461" s="553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36" t="s">
        <v>749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hidden="1" customHeight="1" x14ac:dyDescent="0.25">
      <c r="A465" s="620" t="s">
        <v>165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hidden="1" customHeight="1" x14ac:dyDescent="0.25">
      <c r="A466" s="63" t="s">
        <v>750</v>
      </c>
      <c r="B466" s="63" t="s">
        <v>751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90</v>
      </c>
      <c r="L466" s="37" t="s">
        <v>46</v>
      </c>
      <c r="M466" s="38" t="s">
        <v>80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752</v>
      </c>
      <c r="AG466" s="78"/>
      <c r="AJ466" s="84" t="s">
        <v>46</v>
      </c>
      <c r="AK466" s="84">
        <v>0</v>
      </c>
      <c r="BB466" s="55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20" t="s">
        <v>76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hidden="1" customHeight="1" x14ac:dyDescent="0.25">
      <c r="A470" s="63" t="s">
        <v>753</v>
      </c>
      <c r="B470" s="63" t="s">
        <v>754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80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755</v>
      </c>
      <c r="AG470" s="78"/>
      <c r="AJ470" s="84" t="s">
        <v>46</v>
      </c>
      <c r="AK470" s="84">
        <v>0</v>
      </c>
      <c r="BB470" s="557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756</v>
      </c>
      <c r="B471" s="63" t="s">
        <v>757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758</v>
      </c>
      <c r="AG471" s="78"/>
      <c r="AJ471" s="84" t="s">
        <v>46</v>
      </c>
      <c r="AK471" s="84">
        <v>0</v>
      </c>
      <c r="BB471" s="55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759</v>
      </c>
      <c r="B472" s="63" t="s">
        <v>760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758</v>
      </c>
      <c r="AG472" s="78"/>
      <c r="AJ472" s="84" t="s">
        <v>46</v>
      </c>
      <c r="AK472" s="84">
        <v>0</v>
      </c>
      <c r="BB472" s="56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41" t="s">
        <v>761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hidden="1" customHeight="1" x14ac:dyDescent="0.25">
      <c r="A476" s="636" t="s">
        <v>761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hidden="1" customHeight="1" x14ac:dyDescent="0.25">
      <c r="A477" s="620" t="s">
        <v>128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hidden="1" customHeight="1" x14ac:dyDescent="0.25">
      <c r="A478" s="63" t="s">
        <v>762</v>
      </c>
      <c r="B478" s="63" t="s">
        <v>763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133</v>
      </c>
      <c r="L478" s="37" t="s">
        <v>46</v>
      </c>
      <c r="M478" s="38" t="s">
        <v>89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67">IFERROR(IF(X478="",0,CEILING((X478/$H478),1)*$H478),"")</f>
        <v>0</v>
      </c>
      <c r="Z478" s="41" t="str">
        <f t="shared" ref="Z478:Z483" si="68">IFERROR(IF(Y478=0,"",ROUNDUP(Y478/H478,0)*0.01196),"")</f>
        <v/>
      </c>
      <c r="AA478" s="68" t="s">
        <v>46</v>
      </c>
      <c r="AB478" s="69" t="s">
        <v>46</v>
      </c>
      <c r="AC478" s="562" t="s">
        <v>131</v>
      </c>
      <c r="AG478" s="78"/>
      <c r="AJ478" s="84" t="s">
        <v>46</v>
      </c>
      <c r="AK478" s="84">
        <v>0</v>
      </c>
      <c r="BB478" s="563" t="s">
        <v>66</v>
      </c>
      <c r="BM478" s="78">
        <f t="shared" ref="BM478:BM486" si="69">IFERROR(X478*I478/H478,"0")</f>
        <v>0</v>
      </c>
      <c r="BN478" s="78">
        <f t="shared" ref="BN478:BN486" si="70">IFERROR(Y478*I478/H478,"0")</f>
        <v>0</v>
      </c>
      <c r="BO478" s="78">
        <f t="shared" ref="BO478:BO486" si="71">IFERROR(1/J478*(X478/H478),"0")</f>
        <v>0</v>
      </c>
      <c r="BP478" s="78">
        <f t="shared" ref="BP478:BP486" si="72">IFERROR(1/J478*(Y478/H478),"0")</f>
        <v>0</v>
      </c>
    </row>
    <row r="479" spans="1:68" ht="16.5" hidden="1" customHeight="1" x14ac:dyDescent="0.25">
      <c r="A479" s="63" t="s">
        <v>764</v>
      </c>
      <c r="B479" s="63" t="s">
        <v>765</v>
      </c>
      <c r="C479" s="36">
        <v>4301012380</v>
      </c>
      <c r="D479" s="621">
        <v>4680115889576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133</v>
      </c>
      <c r="L479" s="37" t="s">
        <v>46</v>
      </c>
      <c r="M479" s="38" t="s">
        <v>132</v>
      </c>
      <c r="N479" s="38"/>
      <c r="O479" s="37">
        <v>60</v>
      </c>
      <c r="P479" s="6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766</v>
      </c>
      <c r="AG479" s="78"/>
      <c r="AJ479" s="84" t="s">
        <v>46</v>
      </c>
      <c r="AK479" s="84">
        <v>0</v>
      </c>
      <c r="BB479" s="565" t="s">
        <v>66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767</v>
      </c>
      <c r="B480" s="63" t="s">
        <v>768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133</v>
      </c>
      <c r="L480" s="37" t="s">
        <v>46</v>
      </c>
      <c r="M480" s="38" t="s">
        <v>132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769</v>
      </c>
      <c r="AG480" s="78"/>
      <c r="AJ480" s="84" t="s">
        <v>46</v>
      </c>
      <c r="AK480" s="84">
        <v>0</v>
      </c>
      <c r="BB480" s="567" t="s">
        <v>66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770</v>
      </c>
      <c r="B481" s="63" t="s">
        <v>771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133</v>
      </c>
      <c r="L481" s="37" t="s">
        <v>46</v>
      </c>
      <c r="M481" s="38" t="s">
        <v>132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 t="shared" si="68"/>
        <v/>
      </c>
      <c r="AA481" s="68" t="s">
        <v>46</v>
      </c>
      <c r="AB481" s="69" t="s">
        <v>46</v>
      </c>
      <c r="AC481" s="568" t="s">
        <v>772</v>
      </c>
      <c r="AG481" s="78"/>
      <c r="AJ481" s="84" t="s">
        <v>46</v>
      </c>
      <c r="AK481" s="84">
        <v>0</v>
      </c>
      <c r="BB481" s="569" t="s">
        <v>66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16.5" hidden="1" customHeight="1" x14ac:dyDescent="0.25">
      <c r="A482" s="63" t="s">
        <v>773</v>
      </c>
      <c r="B482" s="63" t="s">
        <v>774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133</v>
      </c>
      <c r="L482" s="37" t="s">
        <v>46</v>
      </c>
      <c r="M482" s="38" t="s">
        <v>89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775</v>
      </c>
      <c r="AG482" s="78"/>
      <c r="AJ482" s="84" t="s">
        <v>46</v>
      </c>
      <c r="AK482" s="84">
        <v>0</v>
      </c>
      <c r="BB482" s="571" t="s">
        <v>66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hidden="1" customHeight="1" x14ac:dyDescent="0.25">
      <c r="A483" s="63" t="s">
        <v>776</v>
      </c>
      <c r="B483" s="63" t="s">
        <v>777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133</v>
      </c>
      <c r="L483" s="37" t="s">
        <v>46</v>
      </c>
      <c r="M483" s="38" t="s">
        <v>132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 t="shared" si="68"/>
        <v/>
      </c>
      <c r="AA483" s="68" t="s">
        <v>46</v>
      </c>
      <c r="AB483" s="69" t="s">
        <v>46</v>
      </c>
      <c r="AC483" s="572" t="s">
        <v>778</v>
      </c>
      <c r="AG483" s="78"/>
      <c r="AJ483" s="84" t="s">
        <v>46</v>
      </c>
      <c r="AK483" s="84">
        <v>0</v>
      </c>
      <c r="BB483" s="573" t="s">
        <v>66</v>
      </c>
      <c r="BM483" s="78">
        <f t="shared" si="69"/>
        <v>0</v>
      </c>
      <c r="BN483" s="78">
        <f t="shared" si="70"/>
        <v>0</v>
      </c>
      <c r="BO483" s="78">
        <f t="shared" si="71"/>
        <v>0</v>
      </c>
      <c r="BP483" s="78">
        <f t="shared" si="72"/>
        <v>0</v>
      </c>
    </row>
    <row r="484" spans="1:68" ht="27" hidden="1" customHeight="1" x14ac:dyDescent="0.25">
      <c r="A484" s="63" t="s">
        <v>779</v>
      </c>
      <c r="B484" s="63" t="s">
        <v>780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90</v>
      </c>
      <c r="L484" s="37" t="s">
        <v>46</v>
      </c>
      <c r="M484" s="38" t="s">
        <v>89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131</v>
      </c>
      <c r="AG484" s="78"/>
      <c r="AJ484" s="84" t="s">
        <v>46</v>
      </c>
      <c r="AK484" s="84">
        <v>0</v>
      </c>
      <c r="BB484" s="575" t="s">
        <v>66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hidden="1" customHeight="1" x14ac:dyDescent="0.25">
      <c r="A485" s="63" t="s">
        <v>781</v>
      </c>
      <c r="B485" s="63" t="s">
        <v>782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140</v>
      </c>
      <c r="L485" s="37" t="s">
        <v>46</v>
      </c>
      <c r="M485" s="38" t="s">
        <v>89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131</v>
      </c>
      <c r="AG485" s="78"/>
      <c r="AJ485" s="84" t="s">
        <v>46</v>
      </c>
      <c r="AK485" s="84">
        <v>0</v>
      </c>
      <c r="BB485" s="577" t="s">
        <v>66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hidden="1" customHeight="1" x14ac:dyDescent="0.25">
      <c r="A486" s="63" t="s">
        <v>783</v>
      </c>
      <c r="B486" s="63" t="s">
        <v>784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140</v>
      </c>
      <c r="L486" s="37" t="s">
        <v>46</v>
      </c>
      <c r="M486" s="38" t="s">
        <v>132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778</v>
      </c>
      <c r="AG486" s="78"/>
      <c r="AJ486" s="84" t="s">
        <v>46</v>
      </c>
      <c r="AK486" s="84">
        <v>0</v>
      </c>
      <c r="BB486" s="579" t="s">
        <v>66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 hidden="1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0</v>
      </c>
      <c r="Y487" s="43">
        <f>IFERROR(Y478/H478,"0")+IFERROR(Y479/H479,"0")+IFERROR(Y480/H480,"0")+IFERROR(Y481/H481,"0")+IFERROR(Y482/H482,"0")+IFERROR(Y483/H483,"0")+IFERROR(Y484/H484,"0")+IFERROR(Y485/H485,"0")+IFERROR(Y486/H486,"0")</f>
        <v>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0</v>
      </c>
      <c r="Y488" s="43">
        <f>IFERROR(SUM(Y478:Y486),"0")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20" t="s">
        <v>165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hidden="1" customHeight="1" x14ac:dyDescent="0.25">
      <c r="A490" s="63" t="s">
        <v>785</v>
      </c>
      <c r="B490" s="63" t="s">
        <v>786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89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787</v>
      </c>
      <c r="AG490" s="78"/>
      <c r="AJ490" s="84" t="s">
        <v>46</v>
      </c>
      <c r="AK490" s="84">
        <v>0</v>
      </c>
      <c r="BB490" s="581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hidden="1" customHeight="1" x14ac:dyDescent="0.25">
      <c r="A491" s="63" t="s">
        <v>788</v>
      </c>
      <c r="B491" s="63" t="s">
        <v>789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90</v>
      </c>
      <c r="L491" s="37" t="s">
        <v>46</v>
      </c>
      <c r="M491" s="38" t="s">
        <v>132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787</v>
      </c>
      <c r="AG491" s="78"/>
      <c r="AJ491" s="84" t="s">
        <v>46</v>
      </c>
      <c r="AK491" s="84">
        <v>0</v>
      </c>
      <c r="BB491" s="583" t="s">
        <v>66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hidden="1" customHeight="1" x14ac:dyDescent="0.25">
      <c r="A492" s="63" t="s">
        <v>790</v>
      </c>
      <c r="B492" s="63" t="s">
        <v>791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140</v>
      </c>
      <c r="L492" s="37" t="s">
        <v>46</v>
      </c>
      <c r="M492" s="38" t="s">
        <v>132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787</v>
      </c>
      <c r="AG492" s="78"/>
      <c r="AJ492" s="84" t="s">
        <v>46</v>
      </c>
      <c r="AK492" s="84">
        <v>0</v>
      </c>
      <c r="BB492" s="585" t="s">
        <v>66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20" t="s">
        <v>76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hidden="1" customHeight="1" x14ac:dyDescent="0.25">
      <c r="A496" s="63" t="s">
        <v>792</v>
      </c>
      <c r="B496" s="63" t="s">
        <v>793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132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3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794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2" si="74">IFERROR(X496*I496/H496,"0")</f>
        <v>0</v>
      </c>
      <c r="BN496" s="78">
        <f t="shared" ref="BN496:BN502" si="75">IFERROR(Y496*I496/H496,"0")</f>
        <v>0</v>
      </c>
      <c r="BO496" s="78">
        <f t="shared" ref="BO496:BO502" si="76">IFERROR(1/J496*(X496/H496),"0")</f>
        <v>0</v>
      </c>
      <c r="BP496" s="78">
        <f t="shared" ref="BP496:BP502" si="77">IFERROR(1/J496*(Y496/H496),"0")</f>
        <v>0</v>
      </c>
    </row>
    <row r="497" spans="1:68" ht="27" hidden="1" customHeight="1" x14ac:dyDescent="0.25">
      <c r="A497" s="63" t="s">
        <v>795</v>
      </c>
      <c r="B497" s="63" t="s">
        <v>796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80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797</v>
      </c>
      <c r="AG497" s="78"/>
      <c r="AJ497" s="84" t="s">
        <v>46</v>
      </c>
      <c r="AK497" s="84">
        <v>0</v>
      </c>
      <c r="BB497" s="589" t="s">
        <v>66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hidden="1" customHeight="1" x14ac:dyDescent="0.25">
      <c r="A498" s="63" t="s">
        <v>798</v>
      </c>
      <c r="B498" s="63" t="s">
        <v>799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80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3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800</v>
      </c>
      <c r="AG498" s="78"/>
      <c r="AJ498" s="84" t="s">
        <v>46</v>
      </c>
      <c r="AK498" s="84">
        <v>0</v>
      </c>
      <c r="BB498" s="591" t="s">
        <v>66</v>
      </c>
      <c r="BM498" s="78">
        <f t="shared" si="74"/>
        <v>0</v>
      </c>
      <c r="BN498" s="78">
        <f t="shared" si="75"/>
        <v>0</v>
      </c>
      <c r="BO498" s="78">
        <f t="shared" si="76"/>
        <v>0</v>
      </c>
      <c r="BP498" s="78">
        <f t="shared" si="77"/>
        <v>0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140</v>
      </c>
      <c r="L499" s="37" t="s">
        <v>46</v>
      </c>
      <c r="M499" s="38" t="s">
        <v>132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794</v>
      </c>
      <c r="AG499" s="78"/>
      <c r="AJ499" s="84" t="s">
        <v>46</v>
      </c>
      <c r="AK499" s="84">
        <v>0</v>
      </c>
      <c r="BB499" s="593" t="s">
        <v>66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140</v>
      </c>
      <c r="L500" s="37" t="s">
        <v>46</v>
      </c>
      <c r="M500" s="38" t="s">
        <v>80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797</v>
      </c>
      <c r="AG500" s="78"/>
      <c r="AJ500" s="84" t="s">
        <v>46</v>
      </c>
      <c r="AK500" s="84">
        <v>0</v>
      </c>
      <c r="BB500" s="595" t="s">
        <v>66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hidden="1" customHeight="1" x14ac:dyDescent="0.25">
      <c r="A501" s="63" t="s">
        <v>803</v>
      </c>
      <c r="B501" s="63" t="s">
        <v>805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140</v>
      </c>
      <c r="L501" s="37" t="s">
        <v>46</v>
      </c>
      <c r="M501" s="38" t="s">
        <v>80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797</v>
      </c>
      <c r="AG501" s="78"/>
      <c r="AJ501" s="84" t="s">
        <v>46</v>
      </c>
      <c r="AK501" s="84">
        <v>0</v>
      </c>
      <c r="BB501" s="597" t="s">
        <v>66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hidden="1" customHeight="1" x14ac:dyDescent="0.25">
      <c r="A502" s="63" t="s">
        <v>806</v>
      </c>
      <c r="B502" s="63" t="s">
        <v>807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140</v>
      </c>
      <c r="L502" s="37" t="s">
        <v>46</v>
      </c>
      <c r="M502" s="38" t="s">
        <v>80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800</v>
      </c>
      <c r="AG502" s="78"/>
      <c r="AJ502" s="84" t="s">
        <v>46</v>
      </c>
      <c r="AK502" s="84">
        <v>0</v>
      </c>
      <c r="BB502" s="599" t="s">
        <v>66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 hidden="1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0</v>
      </c>
      <c r="Y503" s="43">
        <f>IFERROR(Y496/H496,"0")+IFERROR(Y497/H497,"0")+IFERROR(Y498/H498,"0")+IFERROR(Y499/H499,"0")+IFERROR(Y500/H500,"0")+IFERROR(Y501/H501,"0")+IFERROR(Y502/H502,"0")</f>
        <v>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0</v>
      </c>
      <c r="Y504" s="43">
        <f>IFERROR(SUM(Y496:Y502),"0")</f>
        <v>0</v>
      </c>
      <c r="Z504" s="42"/>
      <c r="AA504" s="67"/>
      <c r="AB504" s="67"/>
      <c r="AC504" s="67"/>
    </row>
    <row r="505" spans="1:68" ht="27.75" hidden="1" customHeight="1" x14ac:dyDescent="0.2">
      <c r="A505" s="641" t="s">
        <v>808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hidden="1" customHeight="1" x14ac:dyDescent="0.25">
      <c r="A506" s="636" t="s">
        <v>808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hidden="1" customHeight="1" x14ac:dyDescent="0.25">
      <c r="A507" s="620" t="s">
        <v>128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hidden="1" customHeight="1" x14ac:dyDescent="0.25">
      <c r="A508" s="63" t="s">
        <v>809</v>
      </c>
      <c r="B508" s="63" t="s">
        <v>810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133</v>
      </c>
      <c r="L508" s="37" t="s">
        <v>46</v>
      </c>
      <c r="M508" s="38" t="s">
        <v>132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811</v>
      </c>
      <c r="AG508" s="78"/>
      <c r="AJ508" s="84" t="s">
        <v>46</v>
      </c>
      <c r="AK508" s="84">
        <v>0</v>
      </c>
      <c r="BB508" s="601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20" t="s">
        <v>165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hidden="1" customHeight="1" x14ac:dyDescent="0.25">
      <c r="A512" s="63" t="s">
        <v>812</v>
      </c>
      <c r="B512" s="63" t="s">
        <v>813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133</v>
      </c>
      <c r="L512" s="37" t="s">
        <v>46</v>
      </c>
      <c r="M512" s="38" t="s">
        <v>132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814</v>
      </c>
      <c r="AG512" s="78"/>
      <c r="AJ512" s="84" t="s">
        <v>46</v>
      </c>
      <c r="AK512" s="84">
        <v>0</v>
      </c>
      <c r="BB512" s="603" t="s">
        <v>66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20" t="s">
        <v>76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hidden="1" customHeight="1" x14ac:dyDescent="0.25">
      <c r="A516" s="63" t="s">
        <v>815</v>
      </c>
      <c r="B516" s="63" t="s">
        <v>816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140</v>
      </c>
      <c r="L516" s="37" t="s">
        <v>46</v>
      </c>
      <c r="M516" s="38" t="s">
        <v>80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817</v>
      </c>
      <c r="AG516" s="78"/>
      <c r="AJ516" s="84" t="s">
        <v>46</v>
      </c>
      <c r="AK516" s="84">
        <v>0</v>
      </c>
      <c r="BB516" s="605" t="s">
        <v>66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815</v>
      </c>
      <c r="B517" s="63" t="s">
        <v>818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140</v>
      </c>
      <c r="L517" s="37" t="s">
        <v>46</v>
      </c>
      <c r="M517" s="38" t="s">
        <v>80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819</v>
      </c>
      <c r="AG517" s="78"/>
      <c r="AJ517" s="84" t="s">
        <v>46</v>
      </c>
      <c r="AK517" s="84">
        <v>0</v>
      </c>
      <c r="BB517" s="607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20" t="s">
        <v>85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hidden="1" customHeight="1" x14ac:dyDescent="0.25">
      <c r="A521" s="63" t="s">
        <v>820</v>
      </c>
      <c r="B521" s="63" t="s">
        <v>821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133</v>
      </c>
      <c r="L521" s="37" t="s">
        <v>46</v>
      </c>
      <c r="M521" s="38" t="s">
        <v>89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822</v>
      </c>
      <c r="AG521" s="78"/>
      <c r="AJ521" s="84" t="s">
        <v>46</v>
      </c>
      <c r="AK521" s="84">
        <v>0</v>
      </c>
      <c r="BB521" s="609" t="s">
        <v>66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hidden="1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20" t="s">
        <v>182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hidden="1" customHeight="1" x14ac:dyDescent="0.25">
      <c r="A525" s="63" t="s">
        <v>823</v>
      </c>
      <c r="B525" s="63" t="s">
        <v>824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133</v>
      </c>
      <c r="L525" s="37" t="s">
        <v>46</v>
      </c>
      <c r="M525" s="38" t="s">
        <v>89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825</v>
      </c>
      <c r="AG525" s="78"/>
      <c r="AJ525" s="84" t="s">
        <v>46</v>
      </c>
      <c r="AK525" s="84">
        <v>0</v>
      </c>
      <c r="BB525" s="611" t="s">
        <v>66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826</v>
      </c>
      <c r="B526" s="63" t="s">
        <v>827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133</v>
      </c>
      <c r="L526" s="37" t="s">
        <v>46</v>
      </c>
      <c r="M526" s="38" t="s">
        <v>89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828</v>
      </c>
      <c r="AG526" s="78"/>
      <c r="AJ526" s="84" t="s">
        <v>46</v>
      </c>
      <c r="AK526" s="84">
        <v>0</v>
      </c>
      <c r="BB526" s="613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36" t="s">
        <v>829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hidden="1" customHeight="1" x14ac:dyDescent="0.25">
      <c r="A530" s="620" t="s">
        <v>165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hidden="1" customHeight="1" x14ac:dyDescent="0.25">
      <c r="A531" s="63" t="s">
        <v>830</v>
      </c>
      <c r="B531" s="63" t="s">
        <v>831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133</v>
      </c>
      <c r="L531" s="37" t="s">
        <v>46</v>
      </c>
      <c r="M531" s="38" t="s">
        <v>132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832</v>
      </c>
      <c r="AG531" s="78"/>
      <c r="AJ531" s="84" t="s">
        <v>46</v>
      </c>
      <c r="AK531" s="84">
        <v>0</v>
      </c>
      <c r="BB531" s="615" t="s">
        <v>66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2100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2100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2165.8000000000002</v>
      </c>
      <c r="Y535" s="43">
        <f>IFERROR(SUM(BN22:BN531),"0")</f>
        <v>2165.8000000000002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3</v>
      </c>
      <c r="Y536" s="44">
        <f>ROUNDUP(SUM(BP22:BP531),0)</f>
        <v>3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2240.8000000000002</v>
      </c>
      <c r="Y537" s="43">
        <f>GrossWeightTotalR+PalletQtyTotalR*25</f>
        <v>2240.8000000000002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140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140</v>
      </c>
      <c r="Z538" s="42"/>
      <c r="AA538" s="67"/>
      <c r="AB538" s="67"/>
      <c r="AC538" s="67"/>
    </row>
    <row r="539" spans="1:68" ht="14.25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3.0449999999999999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75</v>
      </c>
      <c r="C541" s="85" t="s">
        <v>45</v>
      </c>
      <c r="D541" s="616" t="s">
        <v>126</v>
      </c>
      <c r="E541" s="616" t="s">
        <v>126</v>
      </c>
      <c r="F541" s="616" t="s">
        <v>126</v>
      </c>
      <c r="G541" s="616" t="s">
        <v>126</v>
      </c>
      <c r="H541" s="616" t="s">
        <v>126</v>
      </c>
      <c r="I541" s="616" t="s">
        <v>126</v>
      </c>
      <c r="J541" s="616" t="s">
        <v>126</v>
      </c>
      <c r="K541" s="616" t="s">
        <v>335</v>
      </c>
      <c r="L541" s="616" t="s">
        <v>335</v>
      </c>
      <c r="M541" s="616" t="s">
        <v>335</v>
      </c>
      <c r="N541" s="617"/>
      <c r="O541" s="616" t="s">
        <v>335</v>
      </c>
      <c r="P541" s="616" t="s">
        <v>335</v>
      </c>
      <c r="Q541" s="616" t="s">
        <v>335</v>
      </c>
      <c r="R541" s="616" t="s">
        <v>335</v>
      </c>
      <c r="S541" s="616" t="s">
        <v>335</v>
      </c>
      <c r="T541" s="616" t="s">
        <v>335</v>
      </c>
      <c r="U541" s="616" t="s">
        <v>335</v>
      </c>
      <c r="V541" s="616" t="s">
        <v>665</v>
      </c>
      <c r="W541" s="616" t="s">
        <v>665</v>
      </c>
      <c r="X541" s="616" t="s">
        <v>725</v>
      </c>
      <c r="Y541" s="616" t="s">
        <v>725</v>
      </c>
      <c r="Z541" s="85" t="s">
        <v>761</v>
      </c>
      <c r="AA541" s="616" t="s">
        <v>808</v>
      </c>
      <c r="AB541" s="616" t="s">
        <v>808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75</v>
      </c>
      <c r="C542" s="616" t="s">
        <v>109</v>
      </c>
      <c r="D542" s="616" t="s">
        <v>127</v>
      </c>
      <c r="E542" s="616" t="s">
        <v>143</v>
      </c>
      <c r="F542" s="616" t="s">
        <v>189</v>
      </c>
      <c r="G542" s="616" t="s">
        <v>210</v>
      </c>
      <c r="H542" s="616" t="s">
        <v>252</v>
      </c>
      <c r="I542" s="616" t="s">
        <v>264</v>
      </c>
      <c r="J542" s="616" t="s">
        <v>126</v>
      </c>
      <c r="K542" s="616" t="s">
        <v>336</v>
      </c>
      <c r="L542" s="616" t="s">
        <v>357</v>
      </c>
      <c r="M542" s="616" t="s">
        <v>424</v>
      </c>
      <c r="N542" s="1"/>
      <c r="O542" s="616" t="s">
        <v>492</v>
      </c>
      <c r="P542" s="616" t="s">
        <v>525</v>
      </c>
      <c r="Q542" s="616" t="s">
        <v>541</v>
      </c>
      <c r="R542" s="616" t="s">
        <v>550</v>
      </c>
      <c r="S542" s="616" t="s">
        <v>571</v>
      </c>
      <c r="T542" s="616" t="s">
        <v>580</v>
      </c>
      <c r="U542" s="616" t="s">
        <v>655</v>
      </c>
      <c r="V542" s="616" t="s">
        <v>666</v>
      </c>
      <c r="W542" s="616" t="s">
        <v>709</v>
      </c>
      <c r="X542" s="616" t="s">
        <v>726</v>
      </c>
      <c r="Y542" s="616" t="s">
        <v>749</v>
      </c>
      <c r="Z542" s="616" t="s">
        <v>761</v>
      </c>
      <c r="AA542" s="616" t="s">
        <v>808</v>
      </c>
      <c r="AB542" s="616" t="s">
        <v>829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0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44" s="52">
        <f>IFERROR(Y88*1,"0")+IFERROR(Y89*1,"0")+IFERROR(Y90*1,"0")+IFERROR(Y91*1,"0")+IFERROR(Y95*1,"0")+IFERROR(Y96*1,"0")+IFERROR(Y97*1,"0")+IFERROR(Y98*1,"0")</f>
        <v>0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0</v>
      </c>
      <c r="U544" s="52">
        <f>IFERROR(Y399*1,"0")+IFERROR(Y400*1,"0")+IFERROR(Y401*1,"0")</f>
        <v>0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2100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0</v>
      </c>
      <c r="AA544" s="52">
        <f>IFERROR(Y508*1,"0")+IFERROR(Y512*1,"0")+IFERROR(Y516*1,"0")+IFERROR(Y517*1,"0")+IFERROR(Y521*1,"0")+IFERROR(Y525*1,"0")+IFERROR(Y526*1,"0")</f>
        <v>0</v>
      </c>
      <c r="AB544" s="52">
        <f>IFERROR(Y531*1,"0")</f>
        <v>0</v>
      </c>
      <c r="AC544" s="60"/>
      <c r="AF544" s="1"/>
    </row>
  </sheetData>
  <sheetProtection algorithmName="SHA-512" hashValue="XhmVrVIPEPEKNpKuRzOBzG4V8wYYkZ8mKo+Dw/pmehIx7py/WDbIph1Kyf8BytjdcomT4uPs47hH4wz5814STA==" saltValue="Kg11nQsL4QXRFt63PhqMKA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40,00"/>
        <filter val="2 100,00"/>
        <filter val="2 165,80"/>
        <filter val="2 240,80"/>
        <filter val="3"/>
      </filters>
    </filterColumn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833</v>
      </c>
      <c r="H1" s="9"/>
    </row>
    <row r="3" spans="2:8" x14ac:dyDescent="0.2">
      <c r="B3" s="53" t="s">
        <v>834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836</v>
      </c>
      <c r="C6" s="53" t="s">
        <v>837</v>
      </c>
      <c r="D6" s="53" t="s">
        <v>838</v>
      </c>
      <c r="E6" s="53" t="s">
        <v>46</v>
      </c>
    </row>
    <row r="7" spans="2:8" x14ac:dyDescent="0.2">
      <c r="B7" s="53" t="s">
        <v>839</v>
      </c>
      <c r="C7" s="53" t="s">
        <v>840</v>
      </c>
      <c r="D7" s="53" t="s">
        <v>841</v>
      </c>
      <c r="E7" s="53" t="s">
        <v>46</v>
      </c>
    </row>
    <row r="8" spans="2:8" x14ac:dyDescent="0.2">
      <c r="B8" s="53" t="s">
        <v>842</v>
      </c>
      <c r="C8" s="53" t="s">
        <v>843</v>
      </c>
      <c r="D8" s="53" t="s">
        <v>844</v>
      </c>
      <c r="E8" s="53" t="s">
        <v>46</v>
      </c>
    </row>
    <row r="10" spans="2:8" x14ac:dyDescent="0.2">
      <c r="B10" s="53" t="s">
        <v>845</v>
      </c>
      <c r="C10" s="53" t="s">
        <v>837</v>
      </c>
      <c r="D10" s="53" t="s">
        <v>46</v>
      </c>
      <c r="E10" s="53" t="s">
        <v>46</v>
      </c>
    </row>
    <row r="12" spans="2:8" x14ac:dyDescent="0.2">
      <c r="B12" s="53" t="s">
        <v>846</v>
      </c>
      <c r="C12" s="53" t="s">
        <v>840</v>
      </c>
      <c r="D12" s="53" t="s">
        <v>46</v>
      </c>
      <c r="E12" s="53" t="s">
        <v>46</v>
      </c>
    </row>
    <row r="14" spans="2:8" x14ac:dyDescent="0.2">
      <c r="B14" s="53" t="s">
        <v>847</v>
      </c>
      <c r="C14" s="53" t="s">
        <v>843</v>
      </c>
      <c r="D14" s="53" t="s">
        <v>46</v>
      </c>
      <c r="E14" s="53" t="s">
        <v>46</v>
      </c>
    </row>
    <row r="16" spans="2:8" x14ac:dyDescent="0.2">
      <c r="B16" s="53" t="s">
        <v>848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858</v>
      </c>
      <c r="C26" s="53" t="s">
        <v>46</v>
      </c>
      <c r="D26" s="53" t="s">
        <v>46</v>
      </c>
      <c r="E26" s="53" t="s">
        <v>46</v>
      </c>
    </row>
  </sheetData>
  <sheetProtection algorithmName="SHA-512" hashValue="bdKgv3ty+TKQsISliOtThS9ZGpDe3R02/aExyIQiSFV/Apw1WDLcQGBWSa3rWA2Umlw2J2ozkyi5dajrfvorwA==" saltValue="5xQ1Y9gSRSsw/RJjoOKb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2026-07-16T09:35:36Z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