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451D8D1-7FD3-45C5-8AA4-FB47A93B050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P502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P445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Z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P401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P375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Z341" i="2"/>
  <c r="Y341" i="2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Z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P244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Z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Y210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Y189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P169" i="2"/>
  <c r="BO169" i="2"/>
  <c r="BM169" i="2"/>
  <c r="Y169" i="2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Z158" i="2"/>
  <c r="Y158" i="2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P115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Y100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P44" i="2"/>
  <c r="BO44" i="2"/>
  <c r="BN44" i="2"/>
  <c r="BM44" i="2"/>
  <c r="Z44" i="2"/>
  <c r="Y44" i="2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N29" i="2" l="1"/>
  <c r="Y155" i="2"/>
  <c r="Y161" i="2"/>
  <c r="Z159" i="2"/>
  <c r="Z160" i="2" s="1"/>
  <c r="Z187" i="2"/>
  <c r="Z203" i="2"/>
  <c r="BN209" i="2"/>
  <c r="BN214" i="2"/>
  <c r="Z223" i="2"/>
  <c r="Z311" i="2"/>
  <c r="BN320" i="2"/>
  <c r="Y343" i="2"/>
  <c r="Z412" i="2"/>
  <c r="Z434" i="2"/>
  <c r="BN485" i="2"/>
  <c r="BN78" i="2"/>
  <c r="Y80" i="2"/>
  <c r="BN107" i="2"/>
  <c r="BP187" i="2"/>
  <c r="BN225" i="2"/>
  <c r="BN280" i="2"/>
  <c r="BN368" i="2"/>
  <c r="BN482" i="2"/>
  <c r="BP278" i="2"/>
  <c r="BP358" i="2"/>
  <c r="Y130" i="2"/>
  <c r="Z334" i="2"/>
  <c r="BP367" i="2"/>
  <c r="Y436" i="2"/>
  <c r="Y32" i="2"/>
  <c r="BN52" i="2"/>
  <c r="BN96" i="2"/>
  <c r="Z98" i="2"/>
  <c r="BN129" i="2"/>
  <c r="BN174" i="2"/>
  <c r="Z176" i="2"/>
  <c r="BN182" i="2"/>
  <c r="BN187" i="2"/>
  <c r="Y190" i="2"/>
  <c r="BP203" i="2"/>
  <c r="BN204" i="2"/>
  <c r="BN217" i="2"/>
  <c r="Z221" i="2"/>
  <c r="Z225" i="2"/>
  <c r="Z231" i="2"/>
  <c r="Z278" i="2"/>
  <c r="Y302" i="2"/>
  <c r="Y306" i="2"/>
  <c r="BP311" i="2"/>
  <c r="Z358" i="2"/>
  <c r="Z367" i="2"/>
  <c r="BN387" i="2"/>
  <c r="Z410" i="2"/>
  <c r="BP412" i="2"/>
  <c r="BN413" i="2"/>
  <c r="BP434" i="2"/>
  <c r="BN435" i="2"/>
  <c r="Z103" i="2"/>
  <c r="Z29" i="2"/>
  <c r="BN31" i="2"/>
  <c r="BN45" i="2"/>
  <c r="BN90" i="2"/>
  <c r="BN112" i="2"/>
  <c r="BN125" i="2"/>
  <c r="BP159" i="2"/>
  <c r="BP224" i="2"/>
  <c r="BN293" i="2"/>
  <c r="BN301" i="2"/>
  <c r="BN305" i="2"/>
  <c r="BN325" i="2"/>
  <c r="BN334" i="2"/>
  <c r="BN340" i="2"/>
  <c r="BN454" i="2"/>
  <c r="BN479" i="2"/>
  <c r="BN499" i="2"/>
  <c r="Z355" i="2"/>
  <c r="BN372" i="2"/>
  <c r="Z365" i="2"/>
  <c r="Y494" i="2"/>
  <c r="BN497" i="2"/>
  <c r="Z497" i="2"/>
  <c r="BN73" i="2"/>
  <c r="Y74" i="2"/>
  <c r="Z413" i="2"/>
  <c r="BN117" i="2"/>
  <c r="BN61" i="2"/>
  <c r="Z280" i="2"/>
  <c r="BN262" i="2"/>
  <c r="BN122" i="2"/>
  <c r="BN170" i="2"/>
  <c r="BN452" i="2"/>
  <c r="BN272" i="2"/>
  <c r="Y126" i="2"/>
  <c r="Z443" i="2"/>
  <c r="Y446" i="2"/>
  <c r="Y447" i="2"/>
  <c r="BP516" i="2"/>
  <c r="E544" i="2"/>
  <c r="Y383" i="2"/>
  <c r="Z490" i="2"/>
  <c r="Y493" i="2"/>
  <c r="Y474" i="2"/>
  <c r="BN470" i="2"/>
  <c r="Z401" i="2"/>
  <c r="X536" i="2"/>
  <c r="BN250" i="2"/>
  <c r="Y251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Z359" i="2" s="1"/>
  <c r="BP355" i="2"/>
  <c r="Z368" i="2"/>
  <c r="Y390" i="2"/>
  <c r="BP387" i="2"/>
  <c r="Y402" i="2"/>
  <c r="Z421" i="2"/>
  <c r="W544" i="2"/>
  <c r="Z435" i="2"/>
  <c r="Z436" i="2" s="1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Z189" i="2" s="1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Z146" i="2" s="1"/>
  <c r="Y179" i="2"/>
  <c r="Z213" i="2"/>
  <c r="BP27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Z24" i="2" s="1"/>
  <c r="BN35" i="2"/>
  <c r="BP51" i="2"/>
  <c r="Z60" i="2"/>
  <c r="Z70" i="2"/>
  <c r="BP72" i="2"/>
  <c r="BN82" i="2"/>
  <c r="BP95" i="2"/>
  <c r="Z104" i="2"/>
  <c r="Z114" i="2"/>
  <c r="BP116" i="2"/>
  <c r="Z124" i="2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BP381" i="2"/>
  <c r="Y403" i="2"/>
  <c r="BN414" i="2"/>
  <c r="Z424" i="2"/>
  <c r="BP439" i="2"/>
  <c r="BN451" i="2"/>
  <c r="BN461" i="2"/>
  <c r="Z472" i="2"/>
  <c r="Z473" i="2" s="1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376" i="2" s="1"/>
  <c r="Z407" i="2"/>
  <c r="Z415" i="2" s="1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46" i="2" s="1"/>
  <c r="Z66" i="2"/>
  <c r="Z89" i="2"/>
  <c r="Z201" i="2"/>
  <c r="Z222" i="2"/>
  <c r="Z232" i="2"/>
  <c r="Z255" i="2"/>
  <c r="Z265" i="2"/>
  <c r="Z275" i="2"/>
  <c r="Z285" i="2"/>
  <c r="Z296" i="2"/>
  <c r="Z319" i="2"/>
  <c r="Z526" i="2"/>
  <c r="Z527" i="2" s="1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126" i="2" l="1"/>
  <c r="Z395" i="2"/>
  <c r="Z312" i="2"/>
  <c r="Z321" i="2"/>
  <c r="Z205" i="2"/>
  <c r="Z493" i="2"/>
  <c r="Z402" i="2"/>
  <c r="Z74" i="2"/>
  <c r="Z119" i="2"/>
  <c r="Z457" i="2"/>
  <c r="Z446" i="2"/>
  <c r="Z382" i="2"/>
  <c r="X537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<sst xmlns="http://schemas.openxmlformats.org/spreadsheetml/2006/main" count="4048" uniqueCount="861">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</sst>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860</v>
      </c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hidden="1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hidden="1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hidden="1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hidden="1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hidden="1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hidden="1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hidden="1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90</v>
      </c>
      <c r="Y51" s="55">
        <f>IFERROR(IF(X51="",0,CEILING((X51/$H51),1)*$H51),"")</f>
        <v>97.2</v>
      </c>
      <c r="Z51" s="41">
        <f>IFERROR(IF(Y51=0,"",ROUNDUP(Y51/H51,0)*0.01898),"")</f>
        <v>0.17082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93.416666666666671</v>
      </c>
      <c r="BN51" s="78">
        <f>IFERROR(Y51*I51/H51,"0")</f>
        <v>100.89</v>
      </c>
      <c r="BO51" s="78">
        <f>IFERROR(1/J51*(X51/H51),"0")</f>
        <v>0.13020833333333331</v>
      </c>
      <c r="BP51" s="78">
        <f>IFERROR(1/J51*(Y51/H51),"0")</f>
        <v>0.140625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52</v>
      </c>
      <c r="Y53" s="55">
        <f>IFERROR(IF(X53="",0,CEILING((X53/$H53),1)*$H53),"")</f>
        <v>52</v>
      </c>
      <c r="Z53" s="41">
        <f>IFERROR(IF(Y53=0,"",ROUNDUP(Y53/H53,0)*0.00902),"")</f>
        <v>0.11726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54.470000000000006</v>
      </c>
      <c r="BN53" s="78">
        <f>IFERROR(Y53*I53/H53,"0")</f>
        <v>54.470000000000006</v>
      </c>
      <c r="BO53" s="78">
        <f>IFERROR(1/J53*(X53/H53),"0")</f>
        <v>9.8484848484848481E-2</v>
      </c>
      <c r="BP53" s="78">
        <f>IFERROR(1/J53*(Y53/H53),"0")</f>
        <v>9.8484848484848481E-2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21.333333333333332</v>
      </c>
      <c r="Y55" s="43">
        <f>IFERROR(Y51/H51,"0")+IFERROR(Y52/H52,"0")+IFERROR(Y53/H53,"0")+IFERROR(Y54/H54,"0")</f>
        <v>22</v>
      </c>
      <c r="Z55" s="43">
        <f>IFERROR(IF(Z51="",0,Z51),"0")+IFERROR(IF(Z52="",0,Z52),"0")+IFERROR(IF(Z53="",0,Z53),"0")+IFERROR(IF(Z54="",0,Z54),"0")</f>
        <v>0.28808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142</v>
      </c>
      <c r="Y56" s="43">
        <f>IFERROR(SUM(Y51:Y54),"0")</f>
        <v>149.19999999999999</v>
      </c>
      <c r="Z56" s="42"/>
      <c r="AA56" s="67"/>
      <c r="AB56" s="67"/>
      <c r="AC56" s="67"/>
    </row>
    <row r="57" spans="1:68" ht="16.5" hidden="1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hidden="1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10</v>
      </c>
      <c r="Y59" s="55">
        <f t="shared" ref="Y59:Y66" si="0">IFERROR(IF(X59="",0,CEILING((X59/$H59),1)*$H59),"")</f>
        <v>11.2</v>
      </c>
      <c r="Z59" s="41">
        <f>IFERROR(IF(Y59=0,"",ROUNDUP(Y59/H59,0)*0.01898),"")</f>
        <v>1.898E-2</v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10.366071428571429</v>
      </c>
      <c r="BN59" s="78">
        <f t="shared" ref="BN59:BN66" si="2">IFERROR(Y59*I59/H59,"0")</f>
        <v>11.61</v>
      </c>
      <c r="BO59" s="78">
        <f t="shared" ref="BO59:BO66" si="3">IFERROR(1/J59*(X59/H59),"0")</f>
        <v>1.3950892857142858E-2</v>
      </c>
      <c r="BP59" s="78">
        <f t="shared" ref="BP59:BP66" si="4">IFERROR(1/J59*(Y59/H59),"0")</f>
        <v>1.5625E-2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200</v>
      </c>
      <c r="Y61" s="55">
        <f t="shared" si="0"/>
        <v>205.20000000000002</v>
      </c>
      <c r="Z61" s="41">
        <f>IFERROR(IF(Y61=0,"",ROUNDUP(Y61/H61,0)*0.01898),"")</f>
        <v>0.36062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207.59259259259258</v>
      </c>
      <c r="BN61" s="78">
        <f t="shared" si="2"/>
        <v>212.99</v>
      </c>
      <c r="BO61" s="78">
        <f t="shared" si="3"/>
        <v>0.28935185185185186</v>
      </c>
      <c r="BP61" s="78">
        <f t="shared" si="4"/>
        <v>0.296875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6</v>
      </c>
      <c r="Y65" s="55">
        <f t="shared" si="0"/>
        <v>6.3000000000000007</v>
      </c>
      <c r="Z65" s="41">
        <f>IFERROR(IF(Y65=0,"",ROUNDUP(Y65/H65,0)*0.00651),"")</f>
        <v>1.9529999999999999E-2</v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6.5142857142857142</v>
      </c>
      <c r="BN65" s="78">
        <f t="shared" si="2"/>
        <v>6.84</v>
      </c>
      <c r="BO65" s="78">
        <f t="shared" si="3"/>
        <v>1.5698587127158558E-2</v>
      </c>
      <c r="BP65" s="78">
        <f t="shared" si="4"/>
        <v>1.6483516483516484E-2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80</v>
      </c>
      <c r="Y66" s="55">
        <f t="shared" si="0"/>
        <v>81</v>
      </c>
      <c r="Z66" s="41">
        <f>IFERROR(IF(Y66=0,"",ROUNDUP(Y66/H66,0)*0.00902),"")</f>
        <v>0.16236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83.377777777777794</v>
      </c>
      <c r="BN66" s="78">
        <f t="shared" si="2"/>
        <v>84.420000000000016</v>
      </c>
      <c r="BO66" s="78">
        <f t="shared" si="3"/>
        <v>0.13468013468013468</v>
      </c>
      <c r="BP66" s="78">
        <f t="shared" si="4"/>
        <v>0.13636363636363635</v>
      </c>
    </row>
    <row r="67" spans="1:68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40.046296296296298</v>
      </c>
      <c r="Y67" s="43">
        <f>IFERROR(Y59/H59,"0")+IFERROR(Y60/H60,"0")+IFERROR(Y61/H61,"0")+IFERROR(Y62/H62,"0")+IFERROR(Y63/H63,"0")+IFERROR(Y64/H64,"0")+IFERROR(Y65/H65,"0")+IFERROR(Y66/H66,"0")</f>
        <v>41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0.56149000000000004</v>
      </c>
      <c r="AA67" s="67"/>
      <c r="AB67" s="67"/>
      <c r="AC67" s="67"/>
    </row>
    <row r="68" spans="1:68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296</v>
      </c>
      <c r="Y68" s="43">
        <f>IFERROR(SUM(Y59:Y66),"0")</f>
        <v>303.70000000000005</v>
      </c>
      <c r="Z68" s="42"/>
      <c r="AA68" s="67"/>
      <c r="AB68" s="67"/>
      <c r="AC68" s="67"/>
    </row>
    <row r="69" spans="1:68" ht="14.25" hidden="1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820</v>
      </c>
      <c r="Y70" s="55">
        <f>IFERROR(IF(X70="",0,CEILING((X70/$H70),1)*$H70),"")</f>
        <v>820.80000000000007</v>
      </c>
      <c r="Z70" s="41">
        <f>IFERROR(IF(Y70=0,"",ROUNDUP(Y70/H70,0)*0.01898),"")</f>
        <v>1.44248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851.12962962962968</v>
      </c>
      <c r="BN70" s="78">
        <f>IFERROR(Y70*I70/H70,"0")</f>
        <v>851.96</v>
      </c>
      <c r="BO70" s="78">
        <f>IFERROR(1/J70*(X70/H70),"0")</f>
        <v>1.1863425925925926</v>
      </c>
      <c r="BP70" s="78">
        <f>IFERROR(1/J70*(Y70/H70),"0")</f>
        <v>1.1875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80</v>
      </c>
      <c r="Y73" s="55">
        <f>IFERROR(IF(X73="",0,CEILING((X73/$H73),1)*$H73),"")</f>
        <v>81</v>
      </c>
      <c r="Z73" s="41">
        <f>IFERROR(IF(Y73=0,"",ROUNDUP(Y73/H73,0)*0.00651),"")</f>
        <v>0.1953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85.333333333333314</v>
      </c>
      <c r="BN73" s="78">
        <f>IFERROR(Y73*I73/H73,"0")</f>
        <v>86.399999999999991</v>
      </c>
      <c r="BO73" s="78">
        <f>IFERROR(1/J73*(X73/H73),"0")</f>
        <v>0.1628001628001628</v>
      </c>
      <c r="BP73" s="78">
        <f>IFERROR(1/J73*(Y73/H73),"0")</f>
        <v>0.16483516483516483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105.55555555555554</v>
      </c>
      <c r="Y74" s="43">
        <f>IFERROR(Y70/H70,"0")+IFERROR(Y71/H71,"0")+IFERROR(Y72/H72,"0")+IFERROR(Y73/H73,"0")</f>
        <v>106</v>
      </c>
      <c r="Z74" s="43">
        <f>IFERROR(IF(Z70="",0,Z70),"0")+IFERROR(IF(Z71="",0,Z71),"0")+IFERROR(IF(Z72="",0,Z72),"0")+IFERROR(IF(Z73="",0,Z73),"0")</f>
        <v>1.63778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900</v>
      </c>
      <c r="Y75" s="43">
        <f>IFERROR(SUM(Y70:Y73),"0")</f>
        <v>901.80000000000007</v>
      </c>
      <c r="Z75" s="42"/>
      <c r="AA75" s="67"/>
      <c r="AB75" s="67"/>
      <c r="AC75" s="67"/>
    </row>
    <row r="76" spans="1:68" ht="14.25" hidden="1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56</v>
      </c>
      <c r="Y82" s="55">
        <f>IFERROR(IF(X82="",0,CEILING((X82/$H82),1)*$H82),"")</f>
        <v>62.4</v>
      </c>
      <c r="Z82" s="41">
        <f>IFERROR(IF(Y82=0,"",ROUNDUP(Y82/H82,0)*0.01898),"")</f>
        <v>0.15184</v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58.943589743589754</v>
      </c>
      <c r="BN82" s="78">
        <f>IFERROR(Y82*I82/H82,"0")</f>
        <v>65.680000000000007</v>
      </c>
      <c r="BO82" s="78">
        <f>IFERROR(1/J82*(X82/H82),"0")</f>
        <v>0.11217948717948718</v>
      </c>
      <c r="BP82" s="78">
        <f>IFERROR(1/J82*(Y82/H82),"0")</f>
        <v>0.125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7.1794871794871797</v>
      </c>
      <c r="Y84" s="43">
        <f>IFERROR(Y82/H82,"0")+IFERROR(Y83/H83,"0")</f>
        <v>8</v>
      </c>
      <c r="Z84" s="43">
        <f>IFERROR(IF(Z82="",0,Z82),"0")+IFERROR(IF(Z83="",0,Z83),"0")</f>
        <v>0.15184</v>
      </c>
      <c r="AA84" s="67"/>
      <c r="AB84" s="67"/>
      <c r="AC84" s="67"/>
    </row>
    <row r="85" spans="1:68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56</v>
      </c>
      <c r="Y85" s="43">
        <f>IFERROR(SUM(Y82:Y83),"0")</f>
        <v>62.4</v>
      </c>
      <c r="Z85" s="42"/>
      <c r="AA85" s="67"/>
      <c r="AB85" s="67"/>
      <c r="AC85" s="67"/>
    </row>
    <row r="86" spans="1:68" ht="16.5" hidden="1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hidden="1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340</v>
      </c>
      <c r="Y88" s="55">
        <f>IFERROR(IF(X88="",0,CEILING((X88/$H88),1)*$H88),"")</f>
        <v>345.6</v>
      </c>
      <c r="Z88" s="41">
        <f>IFERROR(IF(Y88=0,"",ROUNDUP(Y88/H88,0)*0.01898),"")</f>
        <v>0.60736000000000001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352.90740740740739</v>
      </c>
      <c r="BN88" s="78">
        <f>IFERROR(Y88*I88/H88,"0")</f>
        <v>358.72</v>
      </c>
      <c r="BO88" s="78">
        <f>IFERROR(1/J88*(X88/H88),"0")</f>
        <v>0.49189814814814814</v>
      </c>
      <c r="BP88" s="78">
        <f>IFERROR(1/J88*(Y88/H88),"0")</f>
        <v>0.5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12</v>
      </c>
      <c r="Y91" s="55">
        <f>IFERROR(IF(X91="",0,CEILING((X91/$H91),1)*$H91),"")</f>
        <v>13.5</v>
      </c>
      <c r="Z91" s="41">
        <f>IFERROR(IF(Y91=0,"",ROUNDUP(Y91/H91,0)*0.00902),"")</f>
        <v>2.7060000000000001E-2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12.506666666666668</v>
      </c>
      <c r="BN91" s="78">
        <f>IFERROR(Y91*I91/H91,"0")</f>
        <v>14.07</v>
      </c>
      <c r="BO91" s="78">
        <f>IFERROR(1/J91*(X91/H91),"0")</f>
        <v>2.02020202020202E-2</v>
      </c>
      <c r="BP91" s="78">
        <f>IFERROR(1/J91*(Y91/H91),"0")</f>
        <v>2.2727272727272728E-2</v>
      </c>
    </row>
    <row r="92" spans="1:68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34.148148148148145</v>
      </c>
      <c r="Y92" s="43">
        <f>IFERROR(Y88/H88,"0")+IFERROR(Y89/H89,"0")+IFERROR(Y90/H90,"0")+IFERROR(Y91/H91,"0")</f>
        <v>35</v>
      </c>
      <c r="Z92" s="43">
        <f>IFERROR(IF(Z88="",0,Z88),"0")+IFERROR(IF(Z89="",0,Z89),"0")+IFERROR(IF(Z90="",0,Z90),"0")+IFERROR(IF(Z91="",0,Z91),"0")</f>
        <v>0.63441999999999998</v>
      </c>
      <c r="AA92" s="67"/>
      <c r="AB92" s="67"/>
      <c r="AC92" s="67"/>
    </row>
    <row r="93" spans="1:68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352</v>
      </c>
      <c r="Y93" s="43">
        <f>IFERROR(SUM(Y88:Y91),"0")</f>
        <v>359.1</v>
      </c>
      <c r="Z93" s="42"/>
      <c r="AA93" s="67"/>
      <c r="AB93" s="67"/>
      <c r="AC93" s="67"/>
    </row>
    <row r="94" spans="1:68" ht="14.25" hidden="1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120</v>
      </c>
      <c r="Y95" s="55">
        <f>IFERROR(IF(X95="",0,CEILING((X95/$H95),1)*$H95),"")</f>
        <v>121.5</v>
      </c>
      <c r="Z95" s="41">
        <f>IFERROR(IF(Y95=0,"",ROUNDUP(Y95/H95,0)*0.01898),"")</f>
        <v>0.28470000000000001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127.31851851851852</v>
      </c>
      <c r="BN95" s="78">
        <f>IFERROR(Y95*I95/H95,"0")</f>
        <v>128.91</v>
      </c>
      <c r="BO95" s="78">
        <f>IFERROR(1/J95*(X95/H95),"0")</f>
        <v>0.23148148148148148</v>
      </c>
      <c r="BP95" s="78">
        <f>IFERROR(1/J95*(Y95/H95),"0")</f>
        <v>0.234375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14.814814814814815</v>
      </c>
      <c r="Y99" s="43">
        <f>IFERROR(Y95/H95,"0")+IFERROR(Y96/H96,"0")+IFERROR(Y97/H97,"0")+IFERROR(Y98/H98,"0")</f>
        <v>15</v>
      </c>
      <c r="Z99" s="43">
        <f>IFERROR(IF(Z95="",0,Z95),"0")+IFERROR(IF(Z96="",0,Z96),"0")+IFERROR(IF(Z97="",0,Z97),"0")+IFERROR(IF(Z98="",0,Z98),"0")</f>
        <v>0.28470000000000001</v>
      </c>
      <c r="AA99" s="67"/>
      <c r="AB99" s="67"/>
      <c r="AC99" s="67"/>
    </row>
    <row r="100" spans="1:68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120</v>
      </c>
      <c r="Y100" s="43">
        <f>IFERROR(SUM(Y95:Y98),"0")</f>
        <v>121.5</v>
      </c>
      <c r="Z100" s="42"/>
      <c r="AA100" s="67"/>
      <c r="AB100" s="67"/>
      <c r="AC100" s="67"/>
    </row>
    <row r="101" spans="1:68" ht="16.5" hidden="1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hidden="1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40</v>
      </c>
      <c r="Y117" s="55">
        <f t="shared" si="10"/>
        <v>40.799999999999997</v>
      </c>
      <c r="Z117" s="41">
        <f>IFERROR(IF(Y117=0,"",ROUNDUP(Y117/H117,0)*0.00651),"")</f>
        <v>0.11067</v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43</v>
      </c>
      <c r="BN117" s="78">
        <f t="shared" si="12"/>
        <v>43.86</v>
      </c>
      <c r="BO117" s="78">
        <f t="shared" si="13"/>
        <v>9.1575091575091583E-2</v>
      </c>
      <c r="BP117" s="78">
        <f t="shared" si="14"/>
        <v>9.3406593406593408E-2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16.666666666666668</v>
      </c>
      <c r="Y119" s="43">
        <f>IFERROR(Y112/H112,"0")+IFERROR(Y113/H113,"0")+IFERROR(Y114/H114,"0")+IFERROR(Y115/H115,"0")+IFERROR(Y116/H116,"0")+IFERROR(Y117/H117,"0")+IFERROR(Y118/H118,"0")</f>
        <v>17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0.11067</v>
      </c>
      <c r="AA119" s="67"/>
      <c r="AB119" s="67"/>
      <c r="AC119" s="67"/>
    </row>
    <row r="120" spans="1:68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40</v>
      </c>
      <c r="Y120" s="43">
        <f>IFERROR(SUM(Y112:Y118),"0")</f>
        <v>40.799999999999997</v>
      </c>
      <c r="Z120" s="42"/>
      <c r="AA120" s="67"/>
      <c r="AB120" s="67"/>
      <c r="AC120" s="67"/>
    </row>
    <row r="121" spans="1:68" ht="14.25" hidden="1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530</v>
      </c>
      <c r="Y122" s="55">
        <f>IFERROR(IF(X122="",0,CEILING((X122/$H122),1)*$H122),"")</f>
        <v>534.6</v>
      </c>
      <c r="Z122" s="41">
        <f>IFERROR(IF(Y122=0,"",ROUNDUP(Y122/H122,0)*0.01898),"")</f>
        <v>1.25268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561.93086419753081</v>
      </c>
      <c r="BN122" s="78">
        <f>IFERROR(Y122*I122/H122,"0")</f>
        <v>566.80799999999999</v>
      </c>
      <c r="BO122" s="78">
        <f>IFERROR(1/J122*(X122/H122),"0")</f>
        <v>1.0223765432098766</v>
      </c>
      <c r="BP122" s="78">
        <f>IFERROR(1/J122*(Y122/H122),"0")</f>
        <v>1.03125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47</v>
      </c>
      <c r="Y124" s="55">
        <f>IFERROR(IF(X124="",0,CEILING((X124/$H124),1)*$H124),"")</f>
        <v>48.6</v>
      </c>
      <c r="Z124" s="41">
        <f>IFERROR(IF(Y124=0,"",ROUNDUP(Y124/H124,0)*0.00651),"")</f>
        <v>0.11718000000000001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51.386666666666663</v>
      </c>
      <c r="BN124" s="78">
        <f>IFERROR(Y124*I124/H124,"0")</f>
        <v>53.135999999999996</v>
      </c>
      <c r="BO124" s="78">
        <f>IFERROR(1/J124*(X124/H124),"0")</f>
        <v>9.5645095645095643E-2</v>
      </c>
      <c r="BP124" s="78">
        <f>IFERROR(1/J124*(Y124/H124),"0")</f>
        <v>9.8901098901098911E-2</v>
      </c>
    </row>
    <row r="125" spans="1:68" ht="16.5" hidden="1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82.839506172839506</v>
      </c>
      <c r="Y126" s="43">
        <f>IFERROR(Y122/H122,"0")+IFERROR(Y123/H123,"0")+IFERROR(Y124/H124,"0")+IFERROR(Y125/H125,"0")</f>
        <v>84</v>
      </c>
      <c r="Z126" s="43">
        <f>IFERROR(IF(Z122="",0,Z122),"0")+IFERROR(IF(Z123="",0,Z123),"0")+IFERROR(IF(Z124="",0,Z124),"0")+IFERROR(IF(Z125="",0,Z125),"0")</f>
        <v>1.3698600000000001</v>
      </c>
      <c r="AA126" s="67"/>
      <c r="AB126" s="67"/>
      <c r="AC126" s="67"/>
    </row>
    <row r="127" spans="1:68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577</v>
      </c>
      <c r="Y127" s="43">
        <f>IFERROR(SUM(Y122:Y125),"0")</f>
        <v>583.20000000000005</v>
      </c>
      <c r="Z127" s="42"/>
      <c r="AA127" s="67"/>
      <c r="AB127" s="67"/>
      <c r="AC127" s="67"/>
    </row>
    <row r="128" spans="1:68" ht="14.25" hidden="1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hidden="1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32</v>
      </c>
      <c r="Y134" s="55">
        <f>IFERROR(IF(X134="",0,CEILING((X134/$H134),1)*$H134),"")</f>
        <v>32</v>
      </c>
      <c r="Z134" s="41">
        <f>IFERROR(IF(Y134=0,"",ROUNDUP(Y134/H134,0)*0.00651),"")</f>
        <v>6.5100000000000005E-2</v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33.799999999999997</v>
      </c>
      <c r="BN134" s="78">
        <f>IFERROR(Y134*I134/H134,"0")</f>
        <v>33.799999999999997</v>
      </c>
      <c r="BO134" s="78">
        <f>IFERROR(1/J134*(X134/H134),"0")</f>
        <v>5.4945054945054951E-2</v>
      </c>
      <c r="BP134" s="78">
        <f>IFERROR(1/J134*(Y134/H134),"0")</f>
        <v>5.4945054945054951E-2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10</v>
      </c>
      <c r="Y136" s="43">
        <f>IFERROR(Y134/H134,"0")+IFERROR(Y135/H135,"0")</f>
        <v>10</v>
      </c>
      <c r="Z136" s="43">
        <f>IFERROR(IF(Z134="",0,Z134),"0")+IFERROR(IF(Z135="",0,Z135),"0")</f>
        <v>6.5100000000000005E-2</v>
      </c>
      <c r="AA136" s="67"/>
      <c r="AB136" s="67"/>
      <c r="AC136" s="67"/>
    </row>
    <row r="137" spans="1:68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32</v>
      </c>
      <c r="Y137" s="43">
        <f>IFERROR(SUM(Y134:Y135),"0")</f>
        <v>32</v>
      </c>
      <c r="Z137" s="42"/>
      <c r="AA137" s="67"/>
      <c r="AB137" s="67"/>
      <c r="AC137" s="67"/>
    </row>
    <row r="138" spans="1:68" ht="14.25" hidden="1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78</v>
      </c>
      <c r="Y139" s="55">
        <f>IFERROR(IF(X139="",0,CEILING((X139/$H139),1)*$H139),"")</f>
        <v>78.399999999999991</v>
      </c>
      <c r="Z139" s="41">
        <f>IFERROR(IF(Y139=0,"",ROUNDUP(Y139/H139,0)*0.00651),"")</f>
        <v>0.18228</v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85.465714285714299</v>
      </c>
      <c r="BN139" s="78">
        <f>IFERROR(Y139*I139/H139,"0")</f>
        <v>85.903999999999996</v>
      </c>
      <c r="BO139" s="78">
        <f>IFERROR(1/J139*(X139/H139),"0")</f>
        <v>0.15306122448979592</v>
      </c>
      <c r="BP139" s="78">
        <f>IFERROR(1/J139*(Y139/H139),"0")</f>
        <v>0.15384615384615385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27.857142857142858</v>
      </c>
      <c r="Y141" s="43">
        <f>IFERROR(Y139/H139,"0")+IFERROR(Y140/H140,"0")</f>
        <v>28</v>
      </c>
      <c r="Z141" s="43">
        <f>IFERROR(IF(Z139="",0,Z139),"0")+IFERROR(IF(Z140="",0,Z140),"0")</f>
        <v>0.18228</v>
      </c>
      <c r="AA141" s="67"/>
      <c r="AB141" s="67"/>
      <c r="AC141" s="67"/>
    </row>
    <row r="142" spans="1:68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78</v>
      </c>
      <c r="Y142" s="43">
        <f>IFERROR(SUM(Y139:Y140),"0")</f>
        <v>78.399999999999991</v>
      </c>
      <c r="Z142" s="42"/>
      <c r="AA142" s="67"/>
      <c r="AB142" s="67"/>
      <c r="AC142" s="67"/>
    </row>
    <row r="143" spans="1:68" ht="14.25" hidden="1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13</v>
      </c>
      <c r="Y144" s="55">
        <f>IFERROR(IF(X144="",0,CEILING((X144/$H144),1)*$H144),"")</f>
        <v>13.200000000000001</v>
      </c>
      <c r="Z144" s="41">
        <f>IFERROR(IF(Y144=0,"",ROUNDUP(Y144/H144,0)*0.00651),"")</f>
        <v>3.2550000000000003E-2</v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14.31969696969697</v>
      </c>
      <c r="BN144" s="78">
        <f>IFERROR(Y144*I144/H144,"0")</f>
        <v>14.540000000000001</v>
      </c>
      <c r="BO144" s="78">
        <f>IFERROR(1/J144*(X144/H144),"0")</f>
        <v>2.7056277056277056E-2</v>
      </c>
      <c r="BP144" s="78">
        <f>IFERROR(1/J144*(Y144/H144),"0")</f>
        <v>2.7472527472527476E-2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4.9242424242424239</v>
      </c>
      <c r="Y146" s="43">
        <f>IFERROR(Y144/H144,"0")+IFERROR(Y145/H145,"0")</f>
        <v>5</v>
      </c>
      <c r="Z146" s="43">
        <f>IFERROR(IF(Z144="",0,Z144),"0")+IFERROR(IF(Z145="",0,Z145),"0")</f>
        <v>3.2550000000000003E-2</v>
      </c>
      <c r="AA146" s="67"/>
      <c r="AB146" s="67"/>
      <c r="AC146" s="67"/>
    </row>
    <row r="147" spans="1:68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13</v>
      </c>
      <c r="Y147" s="43">
        <f>IFERROR(SUM(Y144:Y145),"0")</f>
        <v>13.200000000000001</v>
      </c>
      <c r="Z147" s="42"/>
      <c r="AA147" s="67"/>
      <c r="AB147" s="67"/>
      <c r="AC147" s="67"/>
    </row>
    <row r="148" spans="1:68" ht="16.5" hidden="1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hidden="1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hidden="1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80</v>
      </c>
      <c r="Y167" s="55">
        <f t="shared" ref="Y167:Y177" si="15">IFERROR(IF(X167="",0,CEILING((X167/$H167),1)*$H167),"")</f>
        <v>80.5</v>
      </c>
      <c r="Z167" s="41">
        <f>IFERROR(IF(Y167=0,"",ROUNDUP(Y167/H167,0)*0.00902),"")</f>
        <v>0.20746000000000001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84.342857142857142</v>
      </c>
      <c r="BN167" s="78">
        <f t="shared" ref="BN167:BN177" si="17">IFERROR(Y167*I167/H167,"0")</f>
        <v>84.87</v>
      </c>
      <c r="BO167" s="78">
        <f t="shared" ref="BO167:BO177" si="18">IFERROR(1/J167*(X167/H167),"0")</f>
        <v>0.17316017316017318</v>
      </c>
      <c r="BP167" s="78">
        <f t="shared" ref="BP167:BP177" si="19">IFERROR(1/J167*(Y167/H167),"0")</f>
        <v>0.17424242424242425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100</v>
      </c>
      <c r="Y168" s="55">
        <f t="shared" si="15"/>
        <v>108</v>
      </c>
      <c r="Z168" s="41">
        <f>IFERROR(IF(Y168=0,"",ROUNDUP(Y168/H168,0)*0.01898),"")</f>
        <v>0.22776000000000002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106.22222222222223</v>
      </c>
      <c r="BN168" s="78">
        <f t="shared" si="17"/>
        <v>114.72</v>
      </c>
      <c r="BO168" s="78">
        <f t="shared" si="18"/>
        <v>0.1736111111111111</v>
      </c>
      <c r="BP168" s="78">
        <f t="shared" si="19"/>
        <v>0.1875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10</v>
      </c>
      <c r="Y169" s="55">
        <f t="shared" si="15"/>
        <v>10.5</v>
      </c>
      <c r="Z169" s="41">
        <f>IFERROR(IF(Y169=0,"",ROUNDUP(Y169/H169,0)*0.00902),"")</f>
        <v>2.7060000000000001E-2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10.542857142857143</v>
      </c>
      <c r="BN169" s="78">
        <f t="shared" si="17"/>
        <v>11.069999999999999</v>
      </c>
      <c r="BO169" s="78">
        <f t="shared" si="18"/>
        <v>2.1645021645021648E-2</v>
      </c>
      <c r="BP169" s="78">
        <f t="shared" si="19"/>
        <v>2.2727272727272728E-2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30</v>
      </c>
      <c r="Y170" s="55">
        <f t="shared" si="15"/>
        <v>31.5</v>
      </c>
      <c r="Z170" s="41">
        <f>IFERROR(IF(Y170=0,"",ROUNDUP(Y170/H170,0)*0.00902),"")</f>
        <v>8.1180000000000002E-2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31.62857142857143</v>
      </c>
      <c r="BN170" s="78">
        <f t="shared" si="17"/>
        <v>33.21</v>
      </c>
      <c r="BO170" s="78">
        <f t="shared" si="18"/>
        <v>6.4935064935064929E-2</v>
      </c>
      <c r="BP170" s="78">
        <f t="shared" si="19"/>
        <v>6.8181818181818177E-2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45.396825396825392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47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0.54346000000000005</v>
      </c>
      <c r="AA178" s="67"/>
      <c r="AB178" s="67"/>
      <c r="AC178" s="67"/>
    </row>
    <row r="179" spans="1:68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220</v>
      </c>
      <c r="Y179" s="43">
        <f>IFERROR(SUM(Y167:Y177),"0")</f>
        <v>230.5</v>
      </c>
      <c r="Z179" s="42"/>
      <c r="AA179" s="67"/>
      <c r="AB179" s="67"/>
      <c r="AC179" s="67"/>
    </row>
    <row r="180" spans="1:68" ht="14.25" hidden="1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hidden="1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hidden="1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hidden="1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12</v>
      </c>
      <c r="Y214" s="55">
        <f t="shared" si="26"/>
        <v>12.600000000000001</v>
      </c>
      <c r="Z214" s="41">
        <f>IFERROR(IF(Y214=0,"",ROUNDUP(Y214/H214,0)*0.00902),"")</f>
        <v>2.7060000000000001E-2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12.714285714285715</v>
      </c>
      <c r="BN214" s="78">
        <f t="shared" si="28"/>
        <v>13.350000000000001</v>
      </c>
      <c r="BO214" s="78">
        <f t="shared" si="29"/>
        <v>2.1645021645021648E-2</v>
      </c>
      <c r="BP214" s="78">
        <f t="shared" si="30"/>
        <v>2.2727272727272728E-2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90</v>
      </c>
      <c r="Y215" s="55">
        <f t="shared" si="26"/>
        <v>92.4</v>
      </c>
      <c r="Z215" s="41">
        <f>IFERROR(IF(Y215=0,"",ROUNDUP(Y215/H215,0)*0.00902),"")</f>
        <v>0.19844000000000001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94.071428571428555</v>
      </c>
      <c r="BN215" s="78">
        <f t="shared" si="28"/>
        <v>96.579999999999984</v>
      </c>
      <c r="BO215" s="78">
        <f t="shared" si="29"/>
        <v>0.16233766233766234</v>
      </c>
      <c r="BP215" s="78">
        <f t="shared" si="30"/>
        <v>0.16666666666666669</v>
      </c>
    </row>
    <row r="216" spans="1:68" ht="37.5" hidden="1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24.285714285714285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25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0.22550000000000001</v>
      </c>
      <c r="AA227" s="67"/>
      <c r="AB227" s="67"/>
      <c r="AC227" s="67"/>
    </row>
    <row r="228" spans="1:68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102</v>
      </c>
      <c r="Y228" s="43">
        <f>IFERROR(SUM(Y213:Y226),"0")</f>
        <v>105</v>
      </c>
      <c r="Z228" s="42"/>
      <c r="AA228" s="67"/>
      <c r="AB228" s="67"/>
      <c r="AC228" s="67"/>
    </row>
    <row r="229" spans="1:68" ht="14.25" hidden="1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hidden="1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40</v>
      </c>
      <c r="Y250" s="55">
        <f>IFERROR(IF(X250="",0,CEILING((X250/$H250),1)*$H250),"")</f>
        <v>40.5</v>
      </c>
      <c r="Z250" s="41">
        <f>IFERROR(IF(Y250=0,"",ROUNDUP(Y250/H250,0)*0.00651),"")</f>
        <v>9.7650000000000001E-2</v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42.666666666666657</v>
      </c>
      <c r="BN250" s="78">
        <f>IFERROR(Y250*I250/H250,"0")</f>
        <v>43.199999999999996</v>
      </c>
      <c r="BO250" s="78">
        <f>IFERROR(1/J250*(X250/H250),"0")</f>
        <v>8.1400081400081398E-2</v>
      </c>
      <c r="BP250" s="78">
        <f>IFERROR(1/J250*(Y250/H250),"0")</f>
        <v>8.2417582417582416E-2</v>
      </c>
    </row>
    <row r="251" spans="1:68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14.814814814814813</v>
      </c>
      <c r="Y251" s="43">
        <f>IFERROR(Y249/H249,"0")+IFERROR(Y250/H250,"0")</f>
        <v>14.999999999999998</v>
      </c>
      <c r="Z251" s="43">
        <f>IFERROR(IF(Z249="",0,Z249),"0")+IFERROR(IF(Z250="",0,Z250),"0")</f>
        <v>9.7650000000000001E-2</v>
      </c>
      <c r="AA251" s="67"/>
      <c r="AB251" s="67"/>
      <c r="AC251" s="67"/>
    </row>
    <row r="252" spans="1:68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40</v>
      </c>
      <c r="Y252" s="43">
        <f>IFERROR(SUM(Y249:Y250),"0")</f>
        <v>40.5</v>
      </c>
      <c r="Z252" s="42"/>
      <c r="AA252" s="67"/>
      <c r="AB252" s="67"/>
      <c r="AC252" s="67"/>
    </row>
    <row r="253" spans="1:68" ht="14.25" hidden="1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220</v>
      </c>
      <c r="Y259" s="55">
        <f t="shared" ref="Y259:Y266" si="32">IFERROR(IF(X259="",0,CEILING((X259/$H259),1)*$H259),"")</f>
        <v>221.4</v>
      </c>
      <c r="Z259" s="41">
        <f>IFERROR(IF(Y259=0,"",ROUNDUP(Y259/H259,0)*0.00902),"")</f>
        <v>0.36982000000000004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227.7407407407407</v>
      </c>
      <c r="BN259" s="78">
        <f t="shared" ref="BN259:BN266" si="34">IFERROR(Y259*I259/H259,"0")</f>
        <v>229.18999999999997</v>
      </c>
      <c r="BO259" s="78">
        <f t="shared" ref="BO259:BO266" si="35">IFERROR(1/J259*(X259/H259),"0")</f>
        <v>0.30864197530864196</v>
      </c>
      <c r="BP259" s="78">
        <f t="shared" ref="BP259:BP266" si="36">IFERROR(1/J259*(Y259/H259),"0")</f>
        <v>0.31060606060606061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140</v>
      </c>
      <c r="Y260" s="55">
        <f t="shared" si="32"/>
        <v>140.4</v>
      </c>
      <c r="Z260" s="41">
        <f>IFERROR(IF(Y260=0,"",ROUNDUP(Y260/H260,0)*0.00902),"")</f>
        <v>0.23452000000000001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144.92592592592592</v>
      </c>
      <c r="BN260" s="78">
        <f t="shared" si="34"/>
        <v>145.34</v>
      </c>
      <c r="BO260" s="78">
        <f t="shared" si="35"/>
        <v>0.19640852974186307</v>
      </c>
      <c r="BP260" s="78">
        <f t="shared" si="36"/>
        <v>0.19696969696969696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350</v>
      </c>
      <c r="Y261" s="55">
        <f t="shared" si="32"/>
        <v>351</v>
      </c>
      <c r="Z261" s="41">
        <f>IFERROR(IF(Y261=0,"",ROUNDUP(Y261/H261,0)*0.00902),"")</f>
        <v>0.58630000000000004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362.31481481481478</v>
      </c>
      <c r="BN261" s="78">
        <f t="shared" si="34"/>
        <v>363.34999999999997</v>
      </c>
      <c r="BO261" s="78">
        <f t="shared" si="35"/>
        <v>0.49102132435465767</v>
      </c>
      <c r="BP261" s="78">
        <f t="shared" si="36"/>
        <v>0.49242424242424243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405</v>
      </c>
      <c r="Y262" s="55">
        <f t="shared" si="32"/>
        <v>405</v>
      </c>
      <c r="Z262" s="41">
        <f>IFERROR(IF(Y262=0,"",ROUNDUP(Y262/H262,0)*0.00902),"")</f>
        <v>0.67649999999999999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419.24999999999994</v>
      </c>
      <c r="BN262" s="78">
        <f t="shared" si="34"/>
        <v>419.24999999999994</v>
      </c>
      <c r="BO262" s="78">
        <f t="shared" si="35"/>
        <v>0.56818181818181823</v>
      </c>
      <c r="BP262" s="78">
        <f t="shared" si="36"/>
        <v>0.56818181818181823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206.48148148148147</v>
      </c>
      <c r="Y267" s="43">
        <f>IFERROR(Y259/H259,"0")+IFERROR(Y260/H260,"0")+IFERROR(Y261/H261,"0")+IFERROR(Y262/H262,"0")+IFERROR(Y263/H263,"0")+IFERROR(Y264/H264,"0")+IFERROR(Y265/H265,"0")+IFERROR(Y266/H266,"0")</f>
        <v>207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1.86714</v>
      </c>
      <c r="AA267" s="67"/>
      <c r="AB267" s="67"/>
      <c r="AC267" s="67"/>
    </row>
    <row r="268" spans="1:68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1115</v>
      </c>
      <c r="Y268" s="43">
        <f>IFERROR(SUM(Y259:Y266),"0")</f>
        <v>1117.8</v>
      </c>
      <c r="Z268" s="42"/>
      <c r="AA268" s="67"/>
      <c r="AB268" s="67"/>
      <c r="AC268" s="67"/>
    </row>
    <row r="269" spans="1:68" ht="14.25" hidden="1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90</v>
      </c>
      <c r="Y272" s="55">
        <f t="shared" si="37"/>
        <v>95.699999999999989</v>
      </c>
      <c r="Z272" s="41">
        <f>IFERROR(IF(Y272=0,"",ROUNDUP(Y272/H272,0)*0.01898),"")</f>
        <v>0.20877999999999999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95.110344827586218</v>
      </c>
      <c r="BN272" s="78">
        <f t="shared" si="39"/>
        <v>101.134</v>
      </c>
      <c r="BO272" s="78">
        <f t="shared" si="40"/>
        <v>0.16163793103448276</v>
      </c>
      <c r="BP272" s="78">
        <f t="shared" si="41"/>
        <v>0.171875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111</v>
      </c>
      <c r="Y276" s="55">
        <f t="shared" si="37"/>
        <v>112.8</v>
      </c>
      <c r="Z276" s="41">
        <f>IFERROR(IF(Y276=0,"",ROUNDUP(Y276/H276,0)*0.00651),"")</f>
        <v>0.30597000000000002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122.65500000000002</v>
      </c>
      <c r="BN276" s="78">
        <f t="shared" si="39"/>
        <v>124.64400000000001</v>
      </c>
      <c r="BO276" s="78">
        <f t="shared" si="40"/>
        <v>0.25412087912087916</v>
      </c>
      <c r="BP276" s="78">
        <f t="shared" si="41"/>
        <v>0.25824175824175827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188</v>
      </c>
      <c r="Y279" s="55">
        <f t="shared" si="37"/>
        <v>189.6</v>
      </c>
      <c r="Z279" s="41">
        <f>IFERROR(IF(Y279=0,"",ROUNDUP(Y279/H279,0)*0.00651),"")</f>
        <v>0.51429000000000002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207.74</v>
      </c>
      <c r="BN279" s="78">
        <f t="shared" si="39"/>
        <v>209.50800000000001</v>
      </c>
      <c r="BO279" s="78">
        <f t="shared" si="40"/>
        <v>0.43040293040293048</v>
      </c>
      <c r="BP279" s="78">
        <f t="shared" si="41"/>
        <v>0.43406593406593408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73</v>
      </c>
      <c r="Y280" s="55">
        <f t="shared" si="37"/>
        <v>74.399999999999991</v>
      </c>
      <c r="Z280" s="41">
        <f>IFERROR(IF(Y280=0,"",ROUNDUP(Y280/H280,0)*0.00651),"")</f>
        <v>0.20181000000000002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80.847499999999997</v>
      </c>
      <c r="BN280" s="78">
        <f t="shared" si="39"/>
        <v>82.397999999999996</v>
      </c>
      <c r="BO280" s="78">
        <f t="shared" si="40"/>
        <v>0.16712454212454214</v>
      </c>
      <c r="BP280" s="78">
        <f t="shared" si="41"/>
        <v>0.17032967032967034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165.34482758620689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168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1.2308500000000002</v>
      </c>
      <c r="AA282" s="67"/>
      <c r="AB282" s="67"/>
      <c r="AC282" s="67"/>
    </row>
    <row r="283" spans="1:68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462</v>
      </c>
      <c r="Y283" s="43">
        <f>IFERROR(SUM(Y270:Y281),"0")</f>
        <v>472.5</v>
      </c>
      <c r="Z283" s="42"/>
      <c r="AA283" s="67"/>
      <c r="AB283" s="67"/>
      <c r="AC283" s="67"/>
    </row>
    <row r="284" spans="1:68" ht="14.25" hidden="1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40</v>
      </c>
      <c r="Y285" s="55">
        <f>IFERROR(IF(X285="",0,CEILING((X285/$H285),1)*$H285),"")</f>
        <v>40.799999999999997</v>
      </c>
      <c r="Z285" s="41">
        <f>IFERROR(IF(Y285=0,"",ROUNDUP(Y285/H285,0)*0.00651),"")</f>
        <v>0.11067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44.20000000000001</v>
      </c>
      <c r="BN285" s="78">
        <f>IFERROR(Y285*I285/H285,"0")</f>
        <v>45.084000000000003</v>
      </c>
      <c r="BO285" s="78">
        <f>IFERROR(1/J285*(X285/H285),"0")</f>
        <v>9.1575091575091583E-2</v>
      </c>
      <c r="BP285" s="78">
        <f>IFERROR(1/J285*(Y285/H285),"0")</f>
        <v>9.3406593406593408E-2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16.666666666666668</v>
      </c>
      <c r="Y287" s="43">
        <f>IFERROR(Y285/H285,"0")+IFERROR(Y286/H286,"0")</f>
        <v>17</v>
      </c>
      <c r="Z287" s="43">
        <f>IFERROR(IF(Z285="",0,Z285),"0")+IFERROR(IF(Z286="",0,Z286),"0")</f>
        <v>0.11067</v>
      </c>
      <c r="AA287" s="67"/>
      <c r="AB287" s="67"/>
      <c r="AC287" s="67"/>
    </row>
    <row r="288" spans="1:68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40</v>
      </c>
      <c r="Y288" s="43">
        <f>IFERROR(SUM(Y285:Y286),"0")</f>
        <v>40.799999999999997</v>
      </c>
      <c r="Z288" s="42"/>
      <c r="AA288" s="67"/>
      <c r="AB288" s="67"/>
      <c r="AC288" s="67"/>
    </row>
    <row r="289" spans="1:68" ht="16.5" hidden="1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hidden="1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hidden="1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70</v>
      </c>
      <c r="Y316" s="55">
        <f>IFERROR(IF(X316="",0,CEILING((X316/$H316),1)*$H316),"")</f>
        <v>75.600000000000009</v>
      </c>
      <c r="Z316" s="41">
        <f>IFERROR(IF(Y316=0,"",ROUNDUP(Y316/H316,0)*0.01898),"")</f>
        <v>0.13286000000000001</v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72.657407407407405</v>
      </c>
      <c r="BN316" s="78">
        <f>IFERROR(Y316*I316/H316,"0")</f>
        <v>78.47</v>
      </c>
      <c r="BO316" s="78">
        <f>IFERROR(1/J316*(X316/H316),"0")</f>
        <v>0.10127314814814814</v>
      </c>
      <c r="BP316" s="78">
        <f>IFERROR(1/J316*(Y316/H316),"0")</f>
        <v>0.109375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50</v>
      </c>
      <c r="Y317" s="55">
        <f>IFERROR(IF(X317="",0,CEILING((X317/$H317),1)*$H317),"")</f>
        <v>54</v>
      </c>
      <c r="Z317" s="41">
        <f>IFERROR(IF(Y317=0,"",ROUNDUP(Y317/H317,0)*0.01898),"")</f>
        <v>9.4899999999999998E-2</v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51.898148148148145</v>
      </c>
      <c r="BN317" s="78">
        <f>IFERROR(Y317*I317/H317,"0")</f>
        <v>56.05</v>
      </c>
      <c r="BO317" s="78">
        <f>IFERROR(1/J317*(X317/H317),"0")</f>
        <v>7.2337962962962965E-2</v>
      </c>
      <c r="BP317" s="78">
        <f>IFERROR(1/J317*(Y317/H317),"0")</f>
        <v>7.8125E-2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400</v>
      </c>
      <c r="Y318" s="55">
        <f>IFERROR(IF(X318="",0,CEILING((X318/$H318),1)*$H318),"")</f>
        <v>410.40000000000003</v>
      </c>
      <c r="Z318" s="41">
        <f>IFERROR(IF(Y318=0,"",ROUNDUP(Y318/H318,0)*0.01898),"")</f>
        <v>0.72123999999999999</v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415.18518518518516</v>
      </c>
      <c r="BN318" s="78">
        <f>IFERROR(Y318*I318/H318,"0")</f>
        <v>425.98</v>
      </c>
      <c r="BO318" s="78">
        <f>IFERROR(1/J318*(X318/H318),"0")</f>
        <v>0.57870370370370372</v>
      </c>
      <c r="BP318" s="78">
        <f>IFERROR(1/J318*(Y318/H318),"0")</f>
        <v>0.59375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48.148148148148152</v>
      </c>
      <c r="Y321" s="43">
        <f>IFERROR(Y316/H316,"0")+IFERROR(Y317/H317,"0")+IFERROR(Y318/H318,"0")+IFERROR(Y319/H319,"0")+IFERROR(Y320/H320,"0")</f>
        <v>50</v>
      </c>
      <c r="Z321" s="43">
        <f>IFERROR(IF(Z316="",0,Z316),"0")+IFERROR(IF(Z317="",0,Z317),"0")+IFERROR(IF(Z318="",0,Z318),"0")+IFERROR(IF(Z319="",0,Z319),"0")+IFERROR(IF(Z320="",0,Z320),"0")</f>
        <v>0.94900000000000007</v>
      </c>
      <c r="AA321" s="67"/>
      <c r="AB321" s="67"/>
      <c r="AC321" s="67"/>
    </row>
    <row r="322" spans="1:68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520</v>
      </c>
      <c r="Y322" s="43">
        <f>IFERROR(SUM(Y316:Y320),"0")</f>
        <v>540</v>
      </c>
      <c r="Z322" s="42"/>
      <c r="AA322" s="67"/>
      <c r="AB322" s="67"/>
      <c r="AC322" s="67"/>
    </row>
    <row r="323" spans="1:68" ht="16.5" hidden="1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hidden="1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hidden="1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hidden="1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hidden="1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700</v>
      </c>
      <c r="Y353" s="55">
        <f t="shared" ref="Y353:Y358" si="47">IFERROR(IF(X353="",0,CEILING((X353/$H353),1)*$H353),"")</f>
        <v>702</v>
      </c>
      <c r="Z353" s="41">
        <f>IFERROR(IF(Y353=0,"",ROUNDUP(Y353/H353,0)*0.01898),"")</f>
        <v>1.2337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726.57407407407413</v>
      </c>
      <c r="BN353" s="78">
        <f t="shared" ref="BN353:BN358" si="49">IFERROR(Y353*I353/H353,"0")</f>
        <v>728.65000000000009</v>
      </c>
      <c r="BO353" s="78">
        <f t="shared" ref="BO353:BO358" si="50">IFERROR(1/J353*(X353/H353),"0")</f>
        <v>1.0127314814814814</v>
      </c>
      <c r="BP353" s="78">
        <f t="shared" ref="BP353:BP358" si="51">IFERROR(1/J353*(Y353/H353),"0")</f>
        <v>1.015625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60</v>
      </c>
      <c r="Y354" s="55">
        <f t="shared" si="47"/>
        <v>64.800000000000011</v>
      </c>
      <c r="Z354" s="41">
        <f>IFERROR(IF(Y354=0,"",ROUNDUP(Y354/H354,0)*0.01898),"")</f>
        <v>0.11388000000000001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62.277777777777779</v>
      </c>
      <c r="BN354" s="78">
        <f t="shared" si="49"/>
        <v>67.260000000000005</v>
      </c>
      <c r="BO354" s="78">
        <f t="shared" si="50"/>
        <v>8.6805555555555552E-2</v>
      </c>
      <c r="BP354" s="78">
        <f t="shared" si="51"/>
        <v>9.3750000000000014E-2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270</v>
      </c>
      <c r="Y355" s="55">
        <f t="shared" si="47"/>
        <v>270</v>
      </c>
      <c r="Z355" s="41">
        <f>IFERROR(IF(Y355=0,"",ROUNDUP(Y355/H355,0)*0.01898),"")</f>
        <v>0.47450000000000003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280.25</v>
      </c>
      <c r="BN355" s="78">
        <f t="shared" si="49"/>
        <v>280.25</v>
      </c>
      <c r="BO355" s="78">
        <f t="shared" si="50"/>
        <v>0.390625</v>
      </c>
      <c r="BP355" s="78">
        <f t="shared" si="51"/>
        <v>0.390625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95.370370370370367</v>
      </c>
      <c r="Y359" s="43">
        <f>IFERROR(Y353/H353,"0")+IFERROR(Y354/H354,"0")+IFERROR(Y355/H355,"0")+IFERROR(Y356/H356,"0")+IFERROR(Y357/H357,"0")+IFERROR(Y358/H358,"0")</f>
        <v>96</v>
      </c>
      <c r="Z359" s="43">
        <f>IFERROR(IF(Z353="",0,Z353),"0")+IFERROR(IF(Z354="",0,Z354),"0")+IFERROR(IF(Z355="",0,Z355),"0")+IFERROR(IF(Z356="",0,Z356),"0")+IFERROR(IF(Z357="",0,Z357),"0")+IFERROR(IF(Z358="",0,Z358),"0")</f>
        <v>1.8220800000000001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1030</v>
      </c>
      <c r="Y360" s="43">
        <f>IFERROR(SUM(Y353:Y358),"0")</f>
        <v>1036.8</v>
      </c>
      <c r="Z360" s="42"/>
      <c r="AA360" s="67"/>
      <c r="AB360" s="67"/>
      <c r="AC360" s="67"/>
    </row>
    <row r="361" spans="1:68" ht="14.25" hidden="1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300</v>
      </c>
      <c r="Y362" s="55">
        <f t="shared" ref="Y362:Y368" si="52">IFERROR(IF(X362="",0,CEILING((X362/$H362),1)*$H362),"")</f>
        <v>302.40000000000003</v>
      </c>
      <c r="Z362" s="41">
        <f>IFERROR(IF(Y362=0,"",ROUNDUP(Y362/H362,0)*0.00902),"")</f>
        <v>0.64944000000000002</v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317.85714285714283</v>
      </c>
      <c r="BN362" s="78">
        <f t="shared" ref="BN362:BN368" si="54">IFERROR(Y362*I362/H362,"0")</f>
        <v>320.40000000000003</v>
      </c>
      <c r="BO362" s="78">
        <f t="shared" ref="BO362:BO368" si="55">IFERROR(1/J362*(X362/H362),"0")</f>
        <v>0.54112554112554112</v>
      </c>
      <c r="BP362" s="78">
        <f t="shared" ref="BP362:BP368" si="56">IFERROR(1/J362*(Y362/H362),"0")</f>
        <v>0.54545454545454541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440</v>
      </c>
      <c r="Y363" s="55">
        <f t="shared" si="52"/>
        <v>441</v>
      </c>
      <c r="Z363" s="41">
        <f>IFERROR(IF(Y363=0,"",ROUNDUP(Y363/H363,0)*0.00902),"")</f>
        <v>0.94710000000000005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466.19047619047615</v>
      </c>
      <c r="BN363" s="78">
        <f t="shared" si="54"/>
        <v>467.25</v>
      </c>
      <c r="BO363" s="78">
        <f t="shared" si="55"/>
        <v>0.79365079365079361</v>
      </c>
      <c r="BP363" s="78">
        <f t="shared" si="56"/>
        <v>0.79545454545454553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62</v>
      </c>
      <c r="Y365" s="55">
        <f t="shared" si="52"/>
        <v>63</v>
      </c>
      <c r="Z365" s="41">
        <f>IFERROR(IF(Y365=0,"",ROUNDUP(Y365/H365,0)*0.00502),"")</f>
        <v>0.15060000000000001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65.838095238095235</v>
      </c>
      <c r="BN365" s="78">
        <f t="shared" si="54"/>
        <v>66.900000000000006</v>
      </c>
      <c r="BO365" s="78">
        <f t="shared" si="55"/>
        <v>0.12617012617012618</v>
      </c>
      <c r="BP365" s="78">
        <f t="shared" si="56"/>
        <v>0.12820512820512822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205.71428571428572</v>
      </c>
      <c r="Y369" s="43">
        <f>IFERROR(Y362/H362,"0")+IFERROR(Y363/H363,"0")+IFERROR(Y364/H364,"0")+IFERROR(Y365/H365,"0")+IFERROR(Y366/H366,"0")+IFERROR(Y367/H367,"0")+IFERROR(Y368/H368,"0")</f>
        <v>207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1.7471400000000001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802</v>
      </c>
      <c r="Y370" s="43">
        <f>IFERROR(SUM(Y362:Y368),"0")</f>
        <v>806.40000000000009</v>
      </c>
      <c r="Z370" s="42"/>
      <c r="AA370" s="67"/>
      <c r="AB370" s="67"/>
      <c r="AC370" s="67"/>
    </row>
    <row r="371" spans="1:68" ht="14.25" hidden="1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1700</v>
      </c>
      <c r="Y372" s="55">
        <f>IFERROR(IF(X372="",0,CEILING((X372/$H372),1)*$H372),"")</f>
        <v>1700.3999999999999</v>
      </c>
      <c r="Z372" s="41">
        <f>IFERROR(IF(Y372=0,"",ROUNDUP(Y372/H372,0)*0.01898),"")</f>
        <v>4.1376400000000002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1806.3589743589744</v>
      </c>
      <c r="BN372" s="78">
        <f>IFERROR(Y372*I372/H372,"0")</f>
        <v>1806.7839999999999</v>
      </c>
      <c r="BO372" s="78">
        <f>IFERROR(1/J372*(X372/H372),"0")</f>
        <v>3.4054487179487181</v>
      </c>
      <c r="BP372" s="78">
        <f>IFERROR(1/J372*(Y372/H372),"0")</f>
        <v>3.40625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217.94871794871796</v>
      </c>
      <c r="Y376" s="43">
        <f>IFERROR(Y372/H372,"0")+IFERROR(Y373/H373,"0")+IFERROR(Y374/H374,"0")+IFERROR(Y375/H375,"0")</f>
        <v>218</v>
      </c>
      <c r="Z376" s="43">
        <f>IFERROR(IF(Z372="",0,Z372),"0")+IFERROR(IF(Z373="",0,Z373),"0")+IFERROR(IF(Z374="",0,Z374),"0")+IFERROR(IF(Z375="",0,Z375),"0")</f>
        <v>4.1376400000000002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1700</v>
      </c>
      <c r="Y377" s="43">
        <f>IFERROR(SUM(Y372:Y375),"0")</f>
        <v>1700.3999999999999</v>
      </c>
      <c r="Z377" s="42"/>
      <c r="AA377" s="67"/>
      <c r="AB377" s="67"/>
      <c r="AC377" s="67"/>
    </row>
    <row r="378" spans="1:68" ht="14.25" hidden="1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120</v>
      </c>
      <c r="Y379" s="55">
        <f>IFERROR(IF(X379="",0,CEILING((X379/$H379),1)*$H379),"")</f>
        <v>126</v>
      </c>
      <c r="Z379" s="41">
        <f>IFERROR(IF(Y379=0,"",ROUNDUP(Y379/H379,0)*0.01898),"")</f>
        <v>0.28470000000000001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127.05714285714285</v>
      </c>
      <c r="BN379" s="78">
        <f>IFERROR(Y379*I379/H379,"0")</f>
        <v>133.41</v>
      </c>
      <c r="BO379" s="78">
        <f>IFERROR(1/J379*(X379/H379),"0")</f>
        <v>0.2232142857142857</v>
      </c>
      <c r="BP379" s="78">
        <f>IFERROR(1/J379*(Y379/H379),"0")</f>
        <v>0.234375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1050</v>
      </c>
      <c r="Y380" s="55">
        <f>IFERROR(IF(X380="",0,CEILING((X380/$H380),1)*$H380),"")</f>
        <v>1053</v>
      </c>
      <c r="Z380" s="41">
        <f>IFERROR(IF(Y380=0,"",ROUNDUP(Y380/H380,0)*0.01898),"")</f>
        <v>2.5623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1116.5000000000002</v>
      </c>
      <c r="BN380" s="78">
        <f>IFERROR(Y380*I380/H380,"0")</f>
        <v>1119.69</v>
      </c>
      <c r="BO380" s="78">
        <f>IFERROR(1/J380*(X380/H380),"0")</f>
        <v>2.1033653846153846</v>
      </c>
      <c r="BP380" s="78">
        <f>IFERROR(1/J380*(Y380/H380),"0")</f>
        <v>2.109375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120</v>
      </c>
      <c r="Y381" s="55">
        <f>IFERROR(IF(X381="",0,CEILING((X381/$H381),1)*$H381),"")</f>
        <v>126</v>
      </c>
      <c r="Z381" s="41">
        <f>IFERROR(IF(Y381=0,"",ROUNDUP(Y381/H381,0)*0.01898),"")</f>
        <v>0.28470000000000001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127.05714285714285</v>
      </c>
      <c r="BN381" s="78">
        <f>IFERROR(Y381*I381/H381,"0")</f>
        <v>133.41</v>
      </c>
      <c r="BO381" s="78">
        <f>IFERROR(1/J381*(X381/H381),"0")</f>
        <v>0.2232142857142857</v>
      </c>
      <c r="BP381" s="78">
        <f>IFERROR(1/J381*(Y381/H381),"0")</f>
        <v>0.234375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163.18681318681317</v>
      </c>
      <c r="Y382" s="43">
        <f>IFERROR(Y379/H379,"0")+IFERROR(Y380/H380,"0")+IFERROR(Y381/H381,"0")</f>
        <v>165</v>
      </c>
      <c r="Z382" s="43">
        <f>IFERROR(IF(Z379="",0,Z379),"0")+IFERROR(IF(Z380="",0,Z380),"0")+IFERROR(IF(Z381="",0,Z381),"0")</f>
        <v>3.1316999999999999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1290</v>
      </c>
      <c r="Y383" s="43">
        <f>IFERROR(SUM(Y379:Y381),"0")</f>
        <v>1305</v>
      </c>
      <c r="Z383" s="42"/>
      <c r="AA383" s="67"/>
      <c r="AB383" s="67"/>
      <c r="AC383" s="67"/>
    </row>
    <row r="384" spans="1:68" ht="14.25" hidden="1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12</v>
      </c>
      <c r="Y388" s="55">
        <f>IFERROR(IF(X388="",0,CEILING((X388/$H388),1)*$H388),"")</f>
        <v>12.75</v>
      </c>
      <c r="Z388" s="41">
        <f>IFERROR(IF(Y388=0,"",ROUNDUP(Y388/H388,0)*0.00651),"")</f>
        <v>3.2550000000000003E-2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13.55294117647059</v>
      </c>
      <c r="BN388" s="78">
        <f>IFERROR(Y388*I388/H388,"0")</f>
        <v>14.4</v>
      </c>
      <c r="BO388" s="78">
        <f>IFERROR(1/J388*(X388/H388),"0")</f>
        <v>2.5856496444731741E-2</v>
      </c>
      <c r="BP388" s="78">
        <f>IFERROR(1/J388*(Y388/H388),"0")</f>
        <v>2.7472527472527476E-2</v>
      </c>
    </row>
    <row r="389" spans="1:68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4.7058823529411766</v>
      </c>
      <c r="Y389" s="43">
        <f>IFERROR(Y385/H385,"0")+IFERROR(Y386/H386,"0")+IFERROR(Y387/H387,"0")+IFERROR(Y388/H388,"0")</f>
        <v>5</v>
      </c>
      <c r="Z389" s="43">
        <f>IFERROR(IF(Z385="",0,Z385),"0")+IFERROR(IF(Z386="",0,Z386),"0")+IFERROR(IF(Z387="",0,Z387),"0")+IFERROR(IF(Z388="",0,Z388),"0")</f>
        <v>3.2550000000000003E-2</v>
      </c>
      <c r="AA389" s="67"/>
      <c r="AB389" s="67"/>
      <c r="AC389" s="67"/>
    </row>
    <row r="390" spans="1:68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12</v>
      </c>
      <c r="Y390" s="43">
        <f>IFERROR(SUM(Y385:Y388),"0")</f>
        <v>12.75</v>
      </c>
      <c r="Z390" s="42"/>
      <c r="AA390" s="67"/>
      <c r="AB390" s="67"/>
      <c r="AC390" s="67"/>
    </row>
    <row r="391" spans="1:68" ht="14.25" hidden="1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hidden="1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95</v>
      </c>
      <c r="Y399" s="55">
        <f>IFERROR(IF(X399="",0,CEILING((X399/$H399),1)*$H399),"")</f>
        <v>97.199999999999989</v>
      </c>
      <c r="Z399" s="41">
        <f>IFERROR(IF(Y399=0,"",ROUNDUP(Y399/H399,0)*0.01898),"")</f>
        <v>0.22776000000000002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100.79382716049382</v>
      </c>
      <c r="BN399" s="78">
        <f>IFERROR(Y399*I399/H399,"0")</f>
        <v>103.12799999999999</v>
      </c>
      <c r="BO399" s="78">
        <f>IFERROR(1/J399*(X399/H399),"0")</f>
        <v>0.18325617283950618</v>
      </c>
      <c r="BP399" s="78">
        <f>IFERROR(1/J399*(Y399/H399),"0")</f>
        <v>0.1875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38</v>
      </c>
      <c r="Y400" s="55">
        <f>IFERROR(IF(X400="",0,CEILING((X400/$H400),1)*$H400),"")</f>
        <v>39.9</v>
      </c>
      <c r="Z400" s="41">
        <f>IFERROR(IF(Y400=0,"",ROUNDUP(Y400/H400,0)*0.00651),"")</f>
        <v>0.12369000000000001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42.559999999999995</v>
      </c>
      <c r="BN400" s="78">
        <f>IFERROR(Y400*I400/H400,"0")</f>
        <v>44.687999999999995</v>
      </c>
      <c r="BO400" s="78">
        <f>IFERROR(1/J400*(X400/H400),"0")</f>
        <v>9.9424385138670857E-2</v>
      </c>
      <c r="BP400" s="78">
        <f>IFERROR(1/J400*(Y400/H400),"0")</f>
        <v>0.1043956043956044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64</v>
      </c>
      <c r="Y401" s="55">
        <f>IFERROR(IF(X401="",0,CEILING((X401/$H401),1)*$H401),"")</f>
        <v>65.100000000000009</v>
      </c>
      <c r="Z401" s="41">
        <f>IFERROR(IF(Y401=0,"",ROUNDUP(Y401/H401,0)*0.00651),"")</f>
        <v>0.20181000000000002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71.314285714285703</v>
      </c>
      <c r="BN401" s="78">
        <f>IFERROR(Y401*I401/H401,"0")</f>
        <v>72.539999999999992</v>
      </c>
      <c r="BO401" s="78">
        <f>IFERROR(1/J401*(X401/H401),"0")</f>
        <v>0.16745159602302459</v>
      </c>
      <c r="BP401" s="78">
        <f>IFERROR(1/J401*(Y401/H401),"0")</f>
        <v>0.17032967032967036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60.299823633156961</v>
      </c>
      <c r="Y402" s="43">
        <f>IFERROR(Y399/H399,"0")+IFERROR(Y400/H400,"0")+IFERROR(Y401/H401,"0")</f>
        <v>62</v>
      </c>
      <c r="Z402" s="43">
        <f>IFERROR(IF(Z399="",0,Z399),"0")+IFERROR(IF(Z400="",0,Z400),"0")+IFERROR(IF(Z401="",0,Z401),"0")</f>
        <v>0.55326000000000009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197</v>
      </c>
      <c r="Y403" s="43">
        <f>IFERROR(SUM(Y399:Y401),"0")</f>
        <v>202.2</v>
      </c>
      <c r="Z403" s="42"/>
      <c r="AA403" s="67"/>
      <c r="AB403" s="67"/>
      <c r="AC403" s="67"/>
    </row>
    <row r="404" spans="1:68" ht="27.75" hidden="1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hidden="1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hidden="1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1000</v>
      </c>
      <c r="Y408" s="55">
        <f t="shared" si="57"/>
        <v>1005</v>
      </c>
      <c r="Z408" s="41">
        <f>IFERROR(IF(Y408=0,"",ROUNDUP(Y408/H408,0)*0.02175),"")</f>
        <v>1.4572499999999999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1031.3333333333333</v>
      </c>
      <c r="BN408" s="78">
        <f t="shared" si="59"/>
        <v>1036.49</v>
      </c>
      <c r="BO408" s="78">
        <f t="shared" si="60"/>
        <v>1.3888888888888888</v>
      </c>
      <c r="BP408" s="78">
        <f t="shared" si="61"/>
        <v>1.3958333333333333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360</v>
      </c>
      <c r="Y409" s="55">
        <f t="shared" si="57"/>
        <v>360</v>
      </c>
      <c r="Z409" s="41">
        <f>IFERROR(IF(Y409=0,"",ROUNDUP(Y409/H409,0)*0.02175),"")</f>
        <v>0.52200000000000002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371.28</v>
      </c>
      <c r="BN409" s="78">
        <f t="shared" si="59"/>
        <v>371.28</v>
      </c>
      <c r="BO409" s="78">
        <f t="shared" si="60"/>
        <v>0.5</v>
      </c>
      <c r="BP409" s="78">
        <f t="shared" si="61"/>
        <v>0.5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1350</v>
      </c>
      <c r="Y411" s="55">
        <f t="shared" si="57"/>
        <v>1350</v>
      </c>
      <c r="Z411" s="41">
        <f>IFERROR(IF(Y411=0,"",ROUNDUP(Y411/H411,0)*0.02175),"")</f>
        <v>1.9574999999999998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1392.3</v>
      </c>
      <c r="BN411" s="78">
        <f t="shared" si="59"/>
        <v>1392.3</v>
      </c>
      <c r="BO411" s="78">
        <f t="shared" si="60"/>
        <v>1.875</v>
      </c>
      <c r="BP411" s="78">
        <f t="shared" si="61"/>
        <v>1.875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25</v>
      </c>
      <c r="Y413" s="55">
        <f t="shared" si="57"/>
        <v>25</v>
      </c>
      <c r="Z413" s="41">
        <f>IFERROR(IF(Y413=0,"",ROUNDUP(Y413/H413,0)*0.00902),"")</f>
        <v>4.5100000000000001E-2</v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25.95</v>
      </c>
      <c r="BN413" s="78">
        <f t="shared" si="59"/>
        <v>25.95</v>
      </c>
      <c r="BO413" s="78">
        <f t="shared" si="60"/>
        <v>3.787878787878788E-2</v>
      </c>
      <c r="BP413" s="78">
        <f t="shared" si="61"/>
        <v>3.787878787878788E-2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185.66666666666669</v>
      </c>
      <c r="Y415" s="43">
        <f>IFERROR(Y407/H407,"0")+IFERROR(Y408/H408,"0")+IFERROR(Y409/H409,"0")+IFERROR(Y410/H410,"0")+IFERROR(Y411/H411,"0")+IFERROR(Y412/H412,"0")+IFERROR(Y413/H413,"0")+IFERROR(Y414/H414,"0")</f>
        <v>186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3.9818500000000001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2735</v>
      </c>
      <c r="Y416" s="43">
        <f>IFERROR(SUM(Y407:Y414),"0")</f>
        <v>2740</v>
      </c>
      <c r="Z416" s="42"/>
      <c r="AA416" s="67"/>
      <c r="AB416" s="67"/>
      <c r="AC416" s="67"/>
    </row>
    <row r="417" spans="1:68" ht="14.25" hidden="1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1650</v>
      </c>
      <c r="Y418" s="55">
        <f>IFERROR(IF(X418="",0,CEILING((X418/$H418),1)*$H418),"")</f>
        <v>1650</v>
      </c>
      <c r="Z418" s="41">
        <f>IFERROR(IF(Y418=0,"",ROUNDUP(Y418/H418,0)*0.02175),"")</f>
        <v>2.3924999999999996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1701.7</v>
      </c>
      <c r="BN418" s="78">
        <f>IFERROR(Y418*I418/H418,"0")</f>
        <v>1701.7</v>
      </c>
      <c r="BO418" s="78">
        <f>IFERROR(1/J418*(X418/H418),"0")</f>
        <v>2.2916666666666665</v>
      </c>
      <c r="BP418" s="78">
        <f>IFERROR(1/J418*(Y418/H418),"0")</f>
        <v>2.2916666666666665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110</v>
      </c>
      <c r="Y421" s="43">
        <f>IFERROR(Y418/H418,"0")+IFERROR(Y419/H419,"0")+IFERROR(Y420/H420,"0")</f>
        <v>110</v>
      </c>
      <c r="Z421" s="43">
        <f>IFERROR(IF(Z418="",0,Z418),"0")+IFERROR(IF(Z419="",0,Z419),"0")+IFERROR(IF(Z420="",0,Z420),"0")</f>
        <v>2.3924999999999996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1650</v>
      </c>
      <c r="Y422" s="43">
        <f>IFERROR(SUM(Y418:Y420),"0")</f>
        <v>1650</v>
      </c>
      <c r="Z422" s="42"/>
      <c r="AA422" s="67"/>
      <c r="AB422" s="67"/>
      <c r="AC422" s="67"/>
    </row>
    <row r="423" spans="1:68" ht="14.25" hidden="1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1100</v>
      </c>
      <c r="Y424" s="55">
        <f>IFERROR(IF(X424="",0,CEILING((X424/$H424),1)*$H424),"")</f>
        <v>1107</v>
      </c>
      <c r="Z424" s="41">
        <f>IFERROR(IF(Y424=0,"",ROUNDUP(Y424/H424,0)*0.01898),"")</f>
        <v>2.3345400000000001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1161.1111111111111</v>
      </c>
      <c r="BN424" s="78">
        <f>IFERROR(Y424*I424/H424,"0")</f>
        <v>1168.5</v>
      </c>
      <c r="BO424" s="78">
        <f>IFERROR(1/J424*(X424/H424),"0")</f>
        <v>1.9097222222222223</v>
      </c>
      <c r="BP424" s="78">
        <f>IFERROR(1/J424*(Y424/H424),"0")</f>
        <v>1.921875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60</v>
      </c>
      <c r="Y425" s="55">
        <f>IFERROR(IF(X425="",0,CEILING((X425/$H425),1)*$H425),"")</f>
        <v>63</v>
      </c>
      <c r="Z425" s="41">
        <f>IFERROR(IF(Y425=0,"",ROUNDUP(Y425/H425,0)*0.01898),"")</f>
        <v>0.13286000000000001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63.293333333333329</v>
      </c>
      <c r="BN425" s="78">
        <f>IFERROR(Y425*I425/H425,"0")</f>
        <v>66.457999999999998</v>
      </c>
      <c r="BO425" s="78">
        <f>IFERROR(1/J425*(X425/H425),"0")</f>
        <v>0.10416666666666667</v>
      </c>
      <c r="BP425" s="78">
        <f>IFERROR(1/J425*(Y425/H425),"0")</f>
        <v>0.109375</v>
      </c>
    </row>
    <row r="426" spans="1:68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128.88888888888889</v>
      </c>
      <c r="Y426" s="43">
        <f>IFERROR(Y424/H424,"0")+IFERROR(Y425/H425,"0")</f>
        <v>130</v>
      </c>
      <c r="Z426" s="43">
        <f>IFERROR(IF(Z424="",0,Z424),"0")+IFERROR(IF(Z425="",0,Z425),"0")</f>
        <v>2.4674</v>
      </c>
      <c r="AA426" s="67"/>
      <c r="AB426" s="67"/>
      <c r="AC426" s="67"/>
    </row>
    <row r="427" spans="1:68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1160</v>
      </c>
      <c r="Y427" s="43">
        <f>IFERROR(SUM(Y424:Y425),"0")</f>
        <v>1170</v>
      </c>
      <c r="Z427" s="42"/>
      <c r="AA427" s="67"/>
      <c r="AB427" s="67"/>
      <c r="AC427" s="67"/>
    </row>
    <row r="428" spans="1:68" ht="14.25" hidden="1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180</v>
      </c>
      <c r="Y429" s="55">
        <f>IFERROR(IF(X429="",0,CEILING((X429/$H429),1)*$H429),"")</f>
        <v>180</v>
      </c>
      <c r="Z429" s="41">
        <f>IFERROR(IF(Y429=0,"",ROUNDUP(Y429/H429,0)*0.01898),"")</f>
        <v>0.37959999999999999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189.88</v>
      </c>
      <c r="BN429" s="78">
        <f>IFERROR(Y429*I429/H429,"0")</f>
        <v>189.88</v>
      </c>
      <c r="BO429" s="78">
        <f>IFERROR(1/J429*(X429/H429),"0")</f>
        <v>0.3125</v>
      </c>
      <c r="BP429" s="78">
        <f>IFERROR(1/J429*(Y429/H429),"0")</f>
        <v>0.3125</v>
      </c>
    </row>
    <row r="430" spans="1:68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20</v>
      </c>
      <c r="Y430" s="43">
        <f>IFERROR(Y429/H429,"0")</f>
        <v>20</v>
      </c>
      <c r="Z430" s="43">
        <f>IFERROR(IF(Z429="",0,Z429),"0")</f>
        <v>0.37959999999999999</v>
      </c>
      <c r="AA430" s="67"/>
      <c r="AB430" s="67"/>
      <c r="AC430" s="67"/>
    </row>
    <row r="431" spans="1:68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180</v>
      </c>
      <c r="Y431" s="43">
        <f>IFERROR(SUM(Y429:Y429),"0")</f>
        <v>180</v>
      </c>
      <c r="Z431" s="42"/>
      <c r="AA431" s="67"/>
      <c r="AB431" s="67"/>
      <c r="AC431" s="67"/>
    </row>
    <row r="432" spans="1:68" ht="16.5" hidden="1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hidden="1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400</v>
      </c>
      <c r="Y443" s="55">
        <f>IFERROR(IF(X443="",0,CEILING((X443/$H443),1)*$H443),"")</f>
        <v>405</v>
      </c>
      <c r="Z443" s="41">
        <f>IFERROR(IF(Y443=0,"",ROUNDUP(Y443/H443,0)*0.01898),"")</f>
        <v>0.85409999999999997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421.95555555555552</v>
      </c>
      <c r="BN443" s="78">
        <f>IFERROR(Y443*I443/H443,"0")</f>
        <v>427.22999999999996</v>
      </c>
      <c r="BO443" s="78">
        <f>IFERROR(1/J443*(X443/H443),"0")</f>
        <v>0.69444444444444442</v>
      </c>
      <c r="BP443" s="78">
        <f>IFERROR(1/J443*(Y443/H443),"0")</f>
        <v>0.703125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44.444444444444443</v>
      </c>
      <c r="Y446" s="43">
        <f>IFERROR(Y443/H443,"0")+IFERROR(Y444/H444,"0")+IFERROR(Y445/H445,"0")</f>
        <v>45</v>
      </c>
      <c r="Z446" s="43">
        <f>IFERROR(IF(Z443="",0,Z443),"0")+IFERROR(IF(Z444="",0,Z444),"0")+IFERROR(IF(Z445="",0,Z445),"0")</f>
        <v>0.85409999999999997</v>
      </c>
      <c r="AA446" s="67"/>
      <c r="AB446" s="67"/>
      <c r="AC446" s="67"/>
    </row>
    <row r="447" spans="1:68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400</v>
      </c>
      <c r="Y447" s="43">
        <f>IFERROR(SUM(Y443:Y445),"0")</f>
        <v>405</v>
      </c>
      <c r="Z447" s="42"/>
      <c r="AA447" s="67"/>
      <c r="AB447" s="67"/>
      <c r="AC447" s="67"/>
    </row>
    <row r="448" spans="1:68" ht="27.75" hidden="1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hidden="1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hidden="1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80</v>
      </c>
      <c r="Y451" s="55">
        <f t="shared" ref="Y451:Y456" si="62">IFERROR(IF(X451="",0,CEILING((X451/$H451),1)*$H451),"")</f>
        <v>81</v>
      </c>
      <c r="Z451" s="41">
        <f>IFERROR(IF(Y451=0,"",ROUNDUP(Y451/H451,0)*0.00902),"")</f>
        <v>0.1353</v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82.81481481481481</v>
      </c>
      <c r="BN451" s="78">
        <f t="shared" ref="BN451:BN456" si="64">IFERROR(Y451*I451/H451,"0")</f>
        <v>83.85</v>
      </c>
      <c r="BO451" s="78">
        <f t="shared" ref="BO451:BO456" si="65">IFERROR(1/J451*(X451/H451),"0")</f>
        <v>0.11223344556677889</v>
      </c>
      <c r="BP451" s="78">
        <f t="shared" ref="BP451:BP456" si="66">IFERROR(1/J451*(Y451/H451),"0")</f>
        <v>0.11363636363636363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100</v>
      </c>
      <c r="Y452" s="55">
        <f t="shared" si="62"/>
        <v>102.60000000000001</v>
      </c>
      <c r="Z452" s="41">
        <f>IFERROR(IF(Y452=0,"",ROUNDUP(Y452/H452,0)*0.00902),"")</f>
        <v>0.17138</v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103.5185185185185</v>
      </c>
      <c r="BN452" s="78">
        <f t="shared" si="64"/>
        <v>106.21</v>
      </c>
      <c r="BO452" s="78">
        <f t="shared" si="65"/>
        <v>0.14029180695847362</v>
      </c>
      <c r="BP452" s="78">
        <f t="shared" si="66"/>
        <v>0.14393939393939395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33.333333333333329</v>
      </c>
      <c r="Y457" s="43">
        <f>IFERROR(Y451/H451,"0")+IFERROR(Y452/H452,"0")+IFERROR(Y453/H453,"0")+IFERROR(Y454/H454,"0")+IFERROR(Y455/H455,"0")+IFERROR(Y456/H456,"0")</f>
        <v>34</v>
      </c>
      <c r="Z457" s="43">
        <f>IFERROR(IF(Z451="",0,Z451),"0")+IFERROR(IF(Z452="",0,Z452),"0")+IFERROR(IF(Z453="",0,Z453),"0")+IFERROR(IF(Z454="",0,Z454),"0")+IFERROR(IF(Z455="",0,Z455),"0")+IFERROR(IF(Z456="",0,Z456),"0")</f>
        <v>0.30668000000000001</v>
      </c>
      <c r="AA457" s="67"/>
      <c r="AB457" s="67"/>
      <c r="AC457" s="67"/>
    </row>
    <row r="458" spans="1:68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180</v>
      </c>
      <c r="Y458" s="43">
        <f>IFERROR(SUM(Y451:Y456),"0")</f>
        <v>183.60000000000002</v>
      </c>
      <c r="Z458" s="42"/>
      <c r="AA458" s="67"/>
      <c r="AB458" s="67"/>
      <c r="AC458" s="67"/>
    </row>
    <row r="459" spans="1:68" ht="14.25" hidden="1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hidden="1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180</v>
      </c>
      <c r="Y470" s="55">
        <f>IFERROR(IF(X470="",0,CEILING((X470/$H470),1)*$H470),"")</f>
        <v>183.60000000000002</v>
      </c>
      <c r="Z470" s="41">
        <f>IFERROR(IF(Y470=0,"",ROUNDUP(Y470/H470,0)*0.00902),"")</f>
        <v>0.30668000000000001</v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186.33333333333331</v>
      </c>
      <c r="BN470" s="78">
        <f>IFERROR(Y470*I470/H470,"0")</f>
        <v>190.06</v>
      </c>
      <c r="BO470" s="78">
        <f>IFERROR(1/J470*(X470/H470),"0")</f>
        <v>0.25252525252525249</v>
      </c>
      <c r="BP470" s="78">
        <f>IFERROR(1/J470*(Y470/H470),"0")</f>
        <v>0.25757575757575757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33.333333333333329</v>
      </c>
      <c r="Y473" s="43">
        <f>IFERROR(Y470/H470,"0")+IFERROR(Y471/H471,"0")+IFERROR(Y472/H472,"0")</f>
        <v>34</v>
      </c>
      <c r="Z473" s="43">
        <f>IFERROR(IF(Z470="",0,Z470),"0")+IFERROR(IF(Z471="",0,Z471),"0")+IFERROR(IF(Z472="",0,Z472),"0")</f>
        <v>0.30668000000000001</v>
      </c>
      <c r="AA473" s="67"/>
      <c r="AB473" s="67"/>
      <c r="AC473" s="67"/>
    </row>
    <row r="474" spans="1:68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180</v>
      </c>
      <c r="Y474" s="43">
        <f>IFERROR(SUM(Y470:Y472),"0")</f>
        <v>183.60000000000002</v>
      </c>
      <c r="Z474" s="42"/>
      <c r="AA474" s="67"/>
      <c r="AB474" s="67"/>
      <c r="AC474" s="67"/>
    </row>
    <row r="475" spans="1:68" ht="27.75" hidden="1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hidden="1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hidden="1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165</v>
      </c>
      <c r="Y481" s="55">
        <f t="shared" si="67"/>
        <v>168.96</v>
      </c>
      <c r="Z481" s="41">
        <f t="shared" si="68"/>
        <v>0.38272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175.93749999999997</v>
      </c>
      <c r="BN481" s="78">
        <f t="shared" si="70"/>
        <v>180.16</v>
      </c>
      <c r="BO481" s="78">
        <f t="shared" si="71"/>
        <v>0.30048076923076927</v>
      </c>
      <c r="BP481" s="78">
        <f t="shared" si="72"/>
        <v>0.30769230769230771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120</v>
      </c>
      <c r="Y483" s="55">
        <f t="shared" si="67"/>
        <v>121.44000000000001</v>
      </c>
      <c r="Z483" s="41">
        <f t="shared" si="68"/>
        <v>0.27507999999999999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127.95454545454545</v>
      </c>
      <c r="BN483" s="78">
        <f t="shared" si="70"/>
        <v>129.49</v>
      </c>
      <c r="BO483" s="78">
        <f t="shared" si="71"/>
        <v>0.21853146853146854</v>
      </c>
      <c r="BP483" s="78">
        <f t="shared" si="72"/>
        <v>0.22115384615384617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53.977272727272727</v>
      </c>
      <c r="Y487" s="43">
        <f>IFERROR(Y478/H478,"0")+IFERROR(Y479/H479,"0")+IFERROR(Y480/H480,"0")+IFERROR(Y481/H481,"0")+IFERROR(Y482/H482,"0")+IFERROR(Y483/H483,"0")+IFERROR(Y484/H484,"0")+IFERROR(Y485/H485,"0")+IFERROR(Y486/H486,"0")</f>
        <v>55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0.65779999999999994</v>
      </c>
      <c r="AA487" s="67"/>
      <c r="AB487" s="67"/>
      <c r="AC487" s="67"/>
    </row>
    <row r="488" spans="1:68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285</v>
      </c>
      <c r="Y488" s="43">
        <f>IFERROR(SUM(Y478:Y486),"0")</f>
        <v>290.40000000000003</v>
      </c>
      <c r="Z488" s="42"/>
      <c r="AA488" s="67"/>
      <c r="AB488" s="67"/>
      <c r="AC488" s="67"/>
    </row>
    <row r="489" spans="1:68" ht="14.25" hidden="1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320</v>
      </c>
      <c r="Y490" s="55">
        <f>IFERROR(IF(X490="",0,CEILING((X490/$H490),1)*$H490),"")</f>
        <v>322.08000000000004</v>
      </c>
      <c r="Z490" s="41">
        <f>IFERROR(IF(Y490=0,"",ROUNDUP(Y490/H490,0)*0.01196),"")</f>
        <v>0.72955999999999999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341.21212121212119</v>
      </c>
      <c r="BN490" s="78">
        <f>IFERROR(Y490*I490/H490,"0")</f>
        <v>343.43000000000006</v>
      </c>
      <c r="BO490" s="78">
        <f>IFERROR(1/J490*(X490/H490),"0")</f>
        <v>0.58275058275058278</v>
      </c>
      <c r="BP490" s="78">
        <f>IFERROR(1/J490*(Y490/H490),"0")</f>
        <v>0.58653846153846168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60.606060606060602</v>
      </c>
      <c r="Y493" s="43">
        <f>IFERROR(Y490/H490,"0")+IFERROR(Y491/H491,"0")+IFERROR(Y492/H492,"0")</f>
        <v>61.000000000000007</v>
      </c>
      <c r="Z493" s="43">
        <f>IFERROR(IF(Z490="",0,Z490),"0")+IFERROR(IF(Z491="",0,Z491),"0")+IFERROR(IF(Z492="",0,Z492),"0")</f>
        <v>0.72955999999999999</v>
      </c>
      <c r="AA493" s="67"/>
      <c r="AB493" s="67"/>
      <c r="AC493" s="67"/>
    </row>
    <row r="494" spans="1:68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320</v>
      </c>
      <c r="Y494" s="43">
        <f>IFERROR(SUM(Y490:Y492),"0")</f>
        <v>322.08000000000004</v>
      </c>
      <c r="Z494" s="42"/>
      <c r="AA494" s="67"/>
      <c r="AB494" s="67"/>
      <c r="AC494" s="67"/>
    </row>
    <row r="495" spans="1:68" ht="14.25" hidden="1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120</v>
      </c>
      <c r="Y496" s="55">
        <f t="shared" ref="Y496:Y502" si="73">IFERROR(IF(X496="",0,CEILING((X496/$H496),1)*$H496),"")</f>
        <v>121.44000000000001</v>
      </c>
      <c r="Z496" s="41">
        <f>IFERROR(IF(Y496=0,"",ROUNDUP(Y496/H496,0)*0.01196),"")</f>
        <v>0.27507999999999999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127.95454545454545</v>
      </c>
      <c r="BN496" s="78">
        <f t="shared" ref="BN496:BN502" si="75">IFERROR(Y496*I496/H496,"0")</f>
        <v>129.49</v>
      </c>
      <c r="BO496" s="78">
        <f t="shared" ref="BO496:BO502" si="76">IFERROR(1/J496*(X496/H496),"0")</f>
        <v>0.21853146853146854</v>
      </c>
      <c r="BP496" s="78">
        <f t="shared" ref="BP496:BP502" si="77">IFERROR(1/J496*(Y496/H496),"0")</f>
        <v>0.22115384615384617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140</v>
      </c>
      <c r="Y497" s="55">
        <f t="shared" si="73"/>
        <v>142.56</v>
      </c>
      <c r="Z497" s="41">
        <f>IFERROR(IF(Y497=0,"",ROUNDUP(Y497/H497,0)*0.01196),"")</f>
        <v>0.32291999999999998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149.280303030303</v>
      </c>
      <c r="BN497" s="78">
        <f t="shared" si="75"/>
        <v>152.01</v>
      </c>
      <c r="BO497" s="78">
        <f t="shared" si="76"/>
        <v>0.25495337995337997</v>
      </c>
      <c r="BP497" s="78">
        <f t="shared" si="77"/>
        <v>0.25961538461538464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150</v>
      </c>
      <c r="Y498" s="55">
        <f t="shared" si="73"/>
        <v>153.12</v>
      </c>
      <c r="Z498" s="41">
        <f>IFERROR(IF(Y498=0,"",ROUNDUP(Y498/H498,0)*0.01196),"")</f>
        <v>0.34683999999999998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159.94318181818181</v>
      </c>
      <c r="BN498" s="78">
        <f t="shared" si="75"/>
        <v>163.26999999999998</v>
      </c>
      <c r="BO498" s="78">
        <f t="shared" si="76"/>
        <v>0.27316433566433568</v>
      </c>
      <c r="BP498" s="78">
        <f t="shared" si="77"/>
        <v>0.27884615384615385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77.651515151515156</v>
      </c>
      <c r="Y503" s="43">
        <f>IFERROR(Y496/H496,"0")+IFERROR(Y497/H497,"0")+IFERROR(Y498/H498,"0")+IFERROR(Y499/H499,"0")+IFERROR(Y500/H500,"0")+IFERROR(Y501/H501,"0")+IFERROR(Y502/H502,"0")</f>
        <v>79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0.9448399999999999</v>
      </c>
      <c r="AA503" s="67"/>
      <c r="AB503" s="67"/>
      <c r="AC503" s="67"/>
    </row>
    <row r="504" spans="1:68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410</v>
      </c>
      <c r="Y504" s="43">
        <f>IFERROR(SUM(Y496:Y502),"0")</f>
        <v>417.12</v>
      </c>
      <c r="Z504" s="42"/>
      <c r="AA504" s="67"/>
      <c r="AB504" s="67"/>
      <c r="AC504" s="67"/>
    </row>
    <row r="505" spans="1:68" ht="27.75" hidden="1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hidden="1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hidden="1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320</v>
      </c>
      <c r="Y516" s="55">
        <f>IFERROR(IF(X516="",0,CEILING((X516/$H516),1)*$H516),"")</f>
        <v>321.59999999999997</v>
      </c>
      <c r="Z516" s="41">
        <f>IFERROR(IF(Y516=0,"",ROUNDUP(Y516/H516,0)*0.00902),"")</f>
        <v>0.60433999999999999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336.66666666666669</v>
      </c>
      <c r="BN516" s="78">
        <f>IFERROR(Y516*I516/H516,"0")</f>
        <v>338.34999999999997</v>
      </c>
      <c r="BO516" s="78">
        <f>IFERROR(1/J516*(X516/H516),"0")</f>
        <v>0.50505050505050508</v>
      </c>
      <c r="BP516" s="78">
        <f>IFERROR(1/J516*(Y516/H516),"0")</f>
        <v>0.50757575757575757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66.666666666666671</v>
      </c>
      <c r="Y518" s="43">
        <f>IFERROR(Y516/H516,"0")+IFERROR(Y517/H517,"0")</f>
        <v>67</v>
      </c>
      <c r="Z518" s="43">
        <f>IFERROR(IF(Z516="",0,Z516),"0")+IFERROR(IF(Z517="",0,Z517),"0")</f>
        <v>0.60433999999999999</v>
      </c>
      <c r="AA518" s="67"/>
      <c r="AB518" s="67"/>
      <c r="AC518" s="67"/>
    </row>
    <row r="519" spans="1:68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320</v>
      </c>
      <c r="Y519" s="43">
        <f>IFERROR(SUM(Y516:Y517),"0")</f>
        <v>321.59999999999997</v>
      </c>
      <c r="Z519" s="42"/>
      <c r="AA519" s="67"/>
      <c r="AB519" s="67"/>
      <c r="AC519" s="67"/>
    </row>
    <row r="520" spans="1:68" ht="14.25" hidden="1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hidden="1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hidden="1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17956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18119.349999999999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18835.094181435783</v>
      </c>
      <c r="Y535" s="43">
        <f>IFERROR(SUM(BN22:BN531),"0")</f>
        <v>19007.274000000001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30</v>
      </c>
      <c r="Y536" s="44">
        <f>ROUNDUP(SUM(BP22:BP531),0)</f>
        <v>31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19585.094181435783</v>
      </c>
      <c r="Y537" s="43">
        <f>GrossWeightTotalR+PalletQtyTotalR*25</f>
        <v>19782.274000000001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2448.2977468528516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2474</v>
      </c>
      <c r="Z538" s="42"/>
      <c r="AA538" s="67"/>
      <c r="AB538" s="67"/>
      <c r="AC538" s="67"/>
    </row>
    <row r="539" spans="1:68" ht="14.25" hidden="1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35.392760000000003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149.19999999999999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1267.9000000000001</v>
      </c>
      <c r="F544" s="52">
        <f>IFERROR(Y88*1,"0")+IFERROR(Y89*1,"0")+IFERROR(Y90*1,"0")+IFERROR(Y91*1,"0")+IFERROR(Y95*1,"0")+IFERROR(Y96*1,"0")+IFERROR(Y97*1,"0")+IFERROR(Y98*1,"0")</f>
        <v>480.6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624</v>
      </c>
      <c r="H544" s="52">
        <f>IFERROR(Y134*1,"0")+IFERROR(Y135*1,"0")+IFERROR(Y139*1,"0")+IFERROR(Y140*1,"0")+IFERROR(Y144*1,"0")+IFERROR(Y145*1,"0")</f>
        <v>123.6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230.5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105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1671.6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540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4861.3500000000004</v>
      </c>
      <c r="U544" s="52">
        <f>IFERROR(Y399*1,"0")+IFERROR(Y400*1,"0")+IFERROR(Y401*1,"0")</f>
        <v>202.2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5740</v>
      </c>
      <c r="W544" s="52">
        <f>IFERROR(Y434*1,"0")+IFERROR(Y435*1,"0")+IFERROR(Y439*1,"0")+IFERROR(Y443*1,"0")+IFERROR(Y444*1,"0")+IFERROR(Y445*1,"0")</f>
        <v>405</v>
      </c>
      <c r="X544" s="52">
        <f>IFERROR(Y451*1,"0")+IFERROR(Y452*1,"0")+IFERROR(Y453*1,"0")+IFERROR(Y454*1,"0")+IFERROR(Y455*1,"0")+IFERROR(Y456*1,"0")+IFERROR(Y460*1,"0")+IFERROR(Y461*1,"0")</f>
        <v>183.60000000000002</v>
      </c>
      <c r="Y544" s="52">
        <f>IFERROR(Y466*1,"0")+IFERROR(Y470*1,"0")+IFERROR(Y471*1,"0")+IFERROR(Y472*1,"0")</f>
        <v>183.60000000000002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1029.5999999999999</v>
      </c>
      <c r="AA544" s="52">
        <f>IFERROR(Y508*1,"0")+IFERROR(Y512*1,"0")+IFERROR(Y516*1,"0")+IFERROR(Y517*1,"0")+IFERROR(Y521*1,"0")+IFERROR(Y525*1,"0")+IFERROR(Y526*1,"0")</f>
        <v>321.59999999999997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0,00"/>
        <filter val="1 050,00"/>
        <filter val="1 100,00"/>
        <filter val="1 115,00"/>
        <filter val="1 160,00"/>
        <filter val="1 290,00"/>
        <filter val="1 350,00"/>
        <filter val="1 650,00"/>
        <filter val="1 700,00"/>
        <filter val="10,00"/>
        <filter val="100,00"/>
        <filter val="102,00"/>
        <filter val="105,56"/>
        <filter val="110,00"/>
        <filter val="111,00"/>
        <filter val="12,00"/>
        <filter val="120,00"/>
        <filter val="128,89"/>
        <filter val="13,00"/>
        <filter val="14,81"/>
        <filter val="140,00"/>
        <filter val="142,00"/>
        <filter val="150,00"/>
        <filter val="16,67"/>
        <filter val="163,19"/>
        <filter val="165,00"/>
        <filter val="165,34"/>
        <filter val="17 956,00"/>
        <filter val="18 835,09"/>
        <filter val="180,00"/>
        <filter val="185,67"/>
        <filter val="188,00"/>
        <filter val="19 585,09"/>
        <filter val="197,00"/>
        <filter val="2 448,30"/>
        <filter val="2 735,00"/>
        <filter val="20,00"/>
        <filter val="200,00"/>
        <filter val="205,71"/>
        <filter val="206,48"/>
        <filter val="21,33"/>
        <filter val="217,95"/>
        <filter val="220,00"/>
        <filter val="24,29"/>
        <filter val="25,00"/>
        <filter val="27,86"/>
        <filter val="270,00"/>
        <filter val="285,00"/>
        <filter val="296,00"/>
        <filter val="30"/>
        <filter val="30,00"/>
        <filter val="300,00"/>
        <filter val="32,00"/>
        <filter val="320,00"/>
        <filter val="33,33"/>
        <filter val="34,15"/>
        <filter val="340,00"/>
        <filter val="350,00"/>
        <filter val="352,00"/>
        <filter val="360,00"/>
        <filter val="38,00"/>
        <filter val="4,71"/>
        <filter val="4,92"/>
        <filter val="40,00"/>
        <filter val="40,05"/>
        <filter val="400,00"/>
        <filter val="405,00"/>
        <filter val="410,00"/>
        <filter val="44,44"/>
        <filter val="440,00"/>
        <filter val="45,40"/>
        <filter val="462,00"/>
        <filter val="47,00"/>
        <filter val="48,15"/>
        <filter val="50,00"/>
        <filter val="52,00"/>
        <filter val="520,00"/>
        <filter val="53,98"/>
        <filter val="530,00"/>
        <filter val="56,00"/>
        <filter val="577,00"/>
        <filter val="6,00"/>
        <filter val="60,00"/>
        <filter val="60,30"/>
        <filter val="60,61"/>
        <filter val="62,00"/>
        <filter val="64,00"/>
        <filter val="66,67"/>
        <filter val="7,18"/>
        <filter val="70,00"/>
        <filter val="700,00"/>
        <filter val="73,00"/>
        <filter val="77,65"/>
        <filter val="78,00"/>
        <filter val="80,00"/>
        <filter val="802,00"/>
        <filter val="82,84"/>
        <filter val="820,00"/>
        <filter val="90,00"/>
        <filter val="900,00"/>
        <filter val="95,00"/>
        <filter val="95,37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2026-07-14T11:08:38Z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