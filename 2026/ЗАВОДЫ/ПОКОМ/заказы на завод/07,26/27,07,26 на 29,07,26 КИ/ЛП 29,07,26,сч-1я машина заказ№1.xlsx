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14BF34B0-F199-42FF-A397-815352471636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Y532" i="2" s="1"/>
  <c r="P530" i="2"/>
  <c r="X528" i="2"/>
  <c r="X527" i="2"/>
  <c r="BO526" i="2"/>
  <c r="BM526" i="2"/>
  <c r="Y526" i="2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BP518" i="2" s="1"/>
  <c r="P518" i="2"/>
  <c r="BO517" i="2"/>
  <c r="BM517" i="2"/>
  <c r="Y517" i="2"/>
  <c r="BN517" i="2" s="1"/>
  <c r="P517" i="2"/>
  <c r="BO516" i="2"/>
  <c r="BM516" i="2"/>
  <c r="Y516" i="2"/>
  <c r="P516" i="2"/>
  <c r="BO515" i="2"/>
  <c r="BM515" i="2"/>
  <c r="Y515" i="2"/>
  <c r="Z515" i="2" s="1"/>
  <c r="P515" i="2"/>
  <c r="BO514" i="2"/>
  <c r="BM514" i="2"/>
  <c r="Y514" i="2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Y512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N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BN497" i="2" s="1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P478" i="2"/>
  <c r="X476" i="2"/>
  <c r="X475" i="2"/>
  <c r="BO474" i="2"/>
  <c r="BM474" i="2"/>
  <c r="Y474" i="2"/>
  <c r="BP474" i="2" s="1"/>
  <c r="P474" i="2"/>
  <c r="BO473" i="2"/>
  <c r="BM473" i="2"/>
  <c r="Y473" i="2"/>
  <c r="BP473" i="2" s="1"/>
  <c r="P473" i="2"/>
  <c r="BO472" i="2"/>
  <c r="BM472" i="2"/>
  <c r="Y472" i="2"/>
  <c r="BN472" i="2" s="1"/>
  <c r="P472" i="2"/>
  <c r="BO471" i="2"/>
  <c r="BM471" i="2"/>
  <c r="Y471" i="2"/>
  <c r="BN471" i="2" s="1"/>
  <c r="P471" i="2"/>
  <c r="BO470" i="2"/>
  <c r="BM470" i="2"/>
  <c r="Y470" i="2"/>
  <c r="Z470" i="2" s="1"/>
  <c r="P470" i="2"/>
  <c r="BO469" i="2"/>
  <c r="BM469" i="2"/>
  <c r="Y469" i="2"/>
  <c r="P469" i="2"/>
  <c r="X465" i="2"/>
  <c r="X464" i="2"/>
  <c r="BO463" i="2"/>
  <c r="BM463" i="2"/>
  <c r="Y463" i="2"/>
  <c r="BP463" i="2" s="1"/>
  <c r="P463" i="2"/>
  <c r="BO462" i="2"/>
  <c r="BM462" i="2"/>
  <c r="Y462" i="2"/>
  <c r="BP462" i="2" s="1"/>
  <c r="P462" i="2"/>
  <c r="BO461" i="2"/>
  <c r="BM461" i="2"/>
  <c r="Y461" i="2"/>
  <c r="Y465" i="2" s="1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BP453" i="2" s="1"/>
  <c r="P453" i="2"/>
  <c r="BO452" i="2"/>
  <c r="BM452" i="2"/>
  <c r="Y452" i="2"/>
  <c r="P452" i="2"/>
  <c r="X449" i="2"/>
  <c r="X448" i="2"/>
  <c r="BO447" i="2"/>
  <c r="BM447" i="2"/>
  <c r="Y447" i="2"/>
  <c r="BN447" i="2" s="1"/>
  <c r="P447" i="2"/>
  <c r="BO446" i="2"/>
  <c r="BM446" i="2"/>
  <c r="Y446" i="2"/>
  <c r="P446" i="2"/>
  <c r="X444" i="2"/>
  <c r="X443" i="2"/>
  <c r="BO442" i="2"/>
  <c r="BM442" i="2"/>
  <c r="Y442" i="2"/>
  <c r="BN442" i="2" s="1"/>
  <c r="P442" i="2"/>
  <c r="BO441" i="2"/>
  <c r="BM441" i="2"/>
  <c r="Y441" i="2"/>
  <c r="BN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N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P430" i="2"/>
  <c r="BO429" i="2"/>
  <c r="BM429" i="2"/>
  <c r="Y429" i="2"/>
  <c r="Z429" i="2" s="1"/>
  <c r="P429" i="2"/>
  <c r="BO428" i="2"/>
  <c r="BM428" i="2"/>
  <c r="Y428" i="2"/>
  <c r="BN428" i="2" s="1"/>
  <c r="P428" i="2"/>
  <c r="BO427" i="2"/>
  <c r="BM427" i="2"/>
  <c r="Y427" i="2"/>
  <c r="P427" i="2"/>
  <c r="BO426" i="2"/>
  <c r="BM426" i="2"/>
  <c r="Y426" i="2"/>
  <c r="BN426" i="2" s="1"/>
  <c r="P426" i="2"/>
  <c r="BO425" i="2"/>
  <c r="BM425" i="2"/>
  <c r="Y425" i="2"/>
  <c r="P425" i="2"/>
  <c r="BO424" i="2"/>
  <c r="BM424" i="2"/>
  <c r="Y424" i="2"/>
  <c r="P424" i="2"/>
  <c r="BO423" i="2"/>
  <c r="BM423" i="2"/>
  <c r="Y423" i="2"/>
  <c r="BP423" i="2" s="1"/>
  <c r="P423" i="2"/>
  <c r="X419" i="2"/>
  <c r="X418" i="2"/>
  <c r="BO417" i="2"/>
  <c r="BM417" i="2"/>
  <c r="Y417" i="2"/>
  <c r="Z417" i="2" s="1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BP408" i="2" s="1"/>
  <c r="P408" i="2"/>
  <c r="X406" i="2"/>
  <c r="X405" i="2"/>
  <c r="BO404" i="2"/>
  <c r="BM404" i="2"/>
  <c r="Y404" i="2"/>
  <c r="BP404" i="2" s="1"/>
  <c r="P404" i="2"/>
  <c r="BO403" i="2"/>
  <c r="BM403" i="2"/>
  <c r="Y403" i="2"/>
  <c r="BP403" i="2" s="1"/>
  <c r="P403" i="2"/>
  <c r="BO402" i="2"/>
  <c r="BM402" i="2"/>
  <c r="Y402" i="2"/>
  <c r="Y405" i="2" s="1"/>
  <c r="P402" i="2"/>
  <c r="X400" i="2"/>
  <c r="X399" i="2"/>
  <c r="BO398" i="2"/>
  <c r="BM398" i="2"/>
  <c r="Y398" i="2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P391" i="2"/>
  <c r="BO390" i="2"/>
  <c r="BM390" i="2"/>
  <c r="Y390" i="2"/>
  <c r="P390" i="2"/>
  <c r="BO389" i="2"/>
  <c r="BM389" i="2"/>
  <c r="Y389" i="2"/>
  <c r="BN389" i="2" s="1"/>
  <c r="P389" i="2"/>
  <c r="X387" i="2"/>
  <c r="X386" i="2"/>
  <c r="BO385" i="2"/>
  <c r="BM385" i="2"/>
  <c r="Y385" i="2"/>
  <c r="Z385" i="2" s="1"/>
  <c r="P385" i="2"/>
  <c r="BO384" i="2"/>
  <c r="BM384" i="2"/>
  <c r="Y384" i="2"/>
  <c r="Z384" i="2" s="1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BP375" i="2" s="1"/>
  <c r="P375" i="2"/>
  <c r="BO374" i="2"/>
  <c r="BM374" i="2"/>
  <c r="Y374" i="2"/>
  <c r="Z374" i="2" s="1"/>
  <c r="P374" i="2"/>
  <c r="BO373" i="2"/>
  <c r="BM373" i="2"/>
  <c r="Y373" i="2"/>
  <c r="P373" i="2"/>
  <c r="BO372" i="2"/>
  <c r="BM372" i="2"/>
  <c r="Y372" i="2"/>
  <c r="P372" i="2"/>
  <c r="X370" i="2"/>
  <c r="X369" i="2"/>
  <c r="BO368" i="2"/>
  <c r="BM368" i="2"/>
  <c r="Y368" i="2"/>
  <c r="BN368" i="2" s="1"/>
  <c r="P368" i="2"/>
  <c r="BO367" i="2"/>
  <c r="BM367" i="2"/>
  <c r="Y367" i="2"/>
  <c r="BP367" i="2" s="1"/>
  <c r="P367" i="2"/>
  <c r="BO366" i="2"/>
  <c r="BM366" i="2"/>
  <c r="Y366" i="2"/>
  <c r="BN366" i="2" s="1"/>
  <c r="P366" i="2"/>
  <c r="BO365" i="2"/>
  <c r="BM365" i="2"/>
  <c r="Y365" i="2"/>
  <c r="Z365" i="2" s="1"/>
  <c r="P365" i="2"/>
  <c r="BO364" i="2"/>
  <c r="BM364" i="2"/>
  <c r="Y364" i="2"/>
  <c r="Z364" i="2" s="1"/>
  <c r="P364" i="2"/>
  <c r="BO363" i="2"/>
  <c r="BM363" i="2"/>
  <c r="Y363" i="2"/>
  <c r="BP363" i="2" s="1"/>
  <c r="P363" i="2"/>
  <c r="X360" i="2"/>
  <c r="X359" i="2"/>
  <c r="BO358" i="2"/>
  <c r="BM358" i="2"/>
  <c r="Y358" i="2"/>
  <c r="BN358" i="2" s="1"/>
  <c r="P358" i="2"/>
  <c r="BO357" i="2"/>
  <c r="BM357" i="2"/>
  <c r="Y357" i="2"/>
  <c r="BP357" i="2" s="1"/>
  <c r="P357" i="2"/>
  <c r="BO356" i="2"/>
  <c r="BM356" i="2"/>
  <c r="Y356" i="2"/>
  <c r="P356" i="2"/>
  <c r="X353" i="2"/>
  <c r="X352" i="2"/>
  <c r="BO351" i="2"/>
  <c r="BM351" i="2"/>
  <c r="Y351" i="2"/>
  <c r="BP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P346" i="2" s="1"/>
  <c r="P346" i="2"/>
  <c r="BO345" i="2"/>
  <c r="BM345" i="2"/>
  <c r="Y345" i="2"/>
  <c r="P345" i="2"/>
  <c r="BO344" i="2"/>
  <c r="BM344" i="2"/>
  <c r="Y344" i="2"/>
  <c r="P344" i="2"/>
  <c r="BO343" i="2"/>
  <c r="BM343" i="2"/>
  <c r="Y343" i="2"/>
  <c r="P343" i="2"/>
  <c r="BO342" i="2"/>
  <c r="BM342" i="2"/>
  <c r="Y342" i="2"/>
  <c r="BP342" i="2" s="1"/>
  <c r="P342" i="2"/>
  <c r="X339" i="2"/>
  <c r="X338" i="2"/>
  <c r="BO337" i="2"/>
  <c r="BM337" i="2"/>
  <c r="Y337" i="2"/>
  <c r="P337" i="2"/>
  <c r="BO336" i="2"/>
  <c r="BM336" i="2"/>
  <c r="Y336" i="2"/>
  <c r="P336" i="2"/>
  <c r="BO335" i="2"/>
  <c r="BM335" i="2"/>
  <c r="Y335" i="2"/>
  <c r="Z335" i="2" s="1"/>
  <c r="P335" i="2"/>
  <c r="X332" i="2"/>
  <c r="X331" i="2"/>
  <c r="BO330" i="2"/>
  <c r="BM330" i="2"/>
  <c r="Y330" i="2"/>
  <c r="P330" i="2"/>
  <c r="BO329" i="2"/>
  <c r="BM329" i="2"/>
  <c r="Y329" i="2"/>
  <c r="BP329" i="2" s="1"/>
  <c r="P329" i="2"/>
  <c r="BO328" i="2"/>
  <c r="BM328" i="2"/>
  <c r="Y328" i="2"/>
  <c r="Z328" i="2" s="1"/>
  <c r="P328" i="2"/>
  <c r="BO327" i="2"/>
  <c r="BM327" i="2"/>
  <c r="Y327" i="2"/>
  <c r="BN327" i="2" s="1"/>
  <c r="P327" i="2"/>
  <c r="BO326" i="2"/>
  <c r="BM326" i="2"/>
  <c r="Y326" i="2"/>
  <c r="P326" i="2"/>
  <c r="X323" i="2"/>
  <c r="X322" i="2"/>
  <c r="BO321" i="2"/>
  <c r="BM321" i="2"/>
  <c r="Y321" i="2"/>
  <c r="BP321" i="2" s="1"/>
  <c r="P321" i="2"/>
  <c r="BO320" i="2"/>
  <c r="BM320" i="2"/>
  <c r="Y320" i="2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P306" i="2"/>
  <c r="BO305" i="2"/>
  <c r="BM305" i="2"/>
  <c r="Y305" i="2"/>
  <c r="Z305" i="2" s="1"/>
  <c r="P305" i="2"/>
  <c r="BO304" i="2"/>
  <c r="BM304" i="2"/>
  <c r="Y304" i="2"/>
  <c r="BN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P296" i="2"/>
  <c r="BO295" i="2"/>
  <c r="BM295" i="2"/>
  <c r="Y295" i="2"/>
  <c r="BP295" i="2" s="1"/>
  <c r="P295" i="2"/>
  <c r="X293" i="2"/>
  <c r="X292" i="2"/>
  <c r="BO291" i="2"/>
  <c r="BM291" i="2"/>
  <c r="Y291" i="2"/>
  <c r="BP291" i="2" s="1"/>
  <c r="P291" i="2"/>
  <c r="BO290" i="2"/>
  <c r="BM290" i="2"/>
  <c r="Y290" i="2"/>
  <c r="Z290" i="2" s="1"/>
  <c r="P290" i="2"/>
  <c r="BO289" i="2"/>
  <c r="BM289" i="2"/>
  <c r="Y289" i="2"/>
  <c r="P289" i="2"/>
  <c r="BO288" i="2"/>
  <c r="BM288" i="2"/>
  <c r="Y288" i="2"/>
  <c r="BP288" i="2" s="1"/>
  <c r="P288" i="2"/>
  <c r="BO287" i="2"/>
  <c r="BM287" i="2"/>
  <c r="Y287" i="2"/>
  <c r="BN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N283" i="2" s="1"/>
  <c r="P283" i="2"/>
  <c r="BO282" i="2"/>
  <c r="BM282" i="2"/>
  <c r="Y282" i="2"/>
  <c r="P282" i="2"/>
  <c r="BO281" i="2"/>
  <c r="BM281" i="2"/>
  <c r="Y281" i="2"/>
  <c r="P281" i="2"/>
  <c r="BO280" i="2"/>
  <c r="BM280" i="2"/>
  <c r="Y280" i="2"/>
  <c r="Z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P274" i="2"/>
  <c r="BO273" i="2"/>
  <c r="BM273" i="2"/>
  <c r="Y273" i="2"/>
  <c r="BP273" i="2" s="1"/>
  <c r="P273" i="2"/>
  <c r="BO272" i="2"/>
  <c r="BM272" i="2"/>
  <c r="Y272" i="2"/>
  <c r="P272" i="2"/>
  <c r="BO271" i="2"/>
  <c r="BM271" i="2"/>
  <c r="Y271" i="2"/>
  <c r="BN271" i="2" s="1"/>
  <c r="P271" i="2"/>
  <c r="BO270" i="2"/>
  <c r="BM270" i="2"/>
  <c r="Y270" i="2"/>
  <c r="BP270" i="2" s="1"/>
  <c r="P270" i="2"/>
  <c r="BO269" i="2"/>
  <c r="BM269" i="2"/>
  <c r="Y269" i="2"/>
  <c r="BP269" i="2" s="1"/>
  <c r="P269" i="2"/>
  <c r="X267" i="2"/>
  <c r="X266" i="2"/>
  <c r="BO265" i="2"/>
  <c r="BM265" i="2"/>
  <c r="Y265" i="2"/>
  <c r="P265" i="2"/>
  <c r="BO264" i="2"/>
  <c r="BM264" i="2"/>
  <c r="Y264" i="2"/>
  <c r="Z264" i="2" s="1"/>
  <c r="P264" i="2"/>
  <c r="X262" i="2"/>
  <c r="X261" i="2"/>
  <c r="BO260" i="2"/>
  <c r="BM260" i="2"/>
  <c r="Y260" i="2"/>
  <c r="Z260" i="2" s="1"/>
  <c r="P260" i="2"/>
  <c r="BO259" i="2"/>
  <c r="BM259" i="2"/>
  <c r="Y259" i="2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P250" i="2"/>
  <c r="BO249" i="2"/>
  <c r="BM249" i="2"/>
  <c r="Y249" i="2"/>
  <c r="BN249" i="2" s="1"/>
  <c r="P249" i="2"/>
  <c r="BO248" i="2"/>
  <c r="BM248" i="2"/>
  <c r="Y248" i="2"/>
  <c r="BP248" i="2" s="1"/>
  <c r="P248" i="2"/>
  <c r="X246" i="2"/>
  <c r="X245" i="2"/>
  <c r="BO244" i="2"/>
  <c r="BM244" i="2"/>
  <c r="Y244" i="2"/>
  <c r="BN244" i="2" s="1"/>
  <c r="P244" i="2"/>
  <c r="BO243" i="2"/>
  <c r="BM243" i="2"/>
  <c r="Y243" i="2"/>
  <c r="BP243" i="2" s="1"/>
  <c r="P243" i="2"/>
  <c r="BO242" i="2"/>
  <c r="BM242" i="2"/>
  <c r="Y242" i="2"/>
  <c r="P242" i="2"/>
  <c r="BO241" i="2"/>
  <c r="BM241" i="2"/>
  <c r="Y241" i="2"/>
  <c r="Z241" i="2" s="1"/>
  <c r="P241" i="2"/>
  <c r="BO240" i="2"/>
  <c r="BM240" i="2"/>
  <c r="Y240" i="2"/>
  <c r="BN240" i="2" s="1"/>
  <c r="P240" i="2"/>
  <c r="X238" i="2"/>
  <c r="X237" i="2"/>
  <c r="BO236" i="2"/>
  <c r="BM236" i="2"/>
  <c r="Y236" i="2"/>
  <c r="BP236" i="2" s="1"/>
  <c r="P236" i="2"/>
  <c r="BO235" i="2"/>
  <c r="BM235" i="2"/>
  <c r="Y235" i="2"/>
  <c r="BP235" i="2" s="1"/>
  <c r="P235" i="2"/>
  <c r="BO234" i="2"/>
  <c r="BM234" i="2"/>
  <c r="Y234" i="2"/>
  <c r="BN234" i="2" s="1"/>
  <c r="P234" i="2"/>
  <c r="BO233" i="2"/>
  <c r="BM233" i="2"/>
  <c r="Y233" i="2"/>
  <c r="BP233" i="2" s="1"/>
  <c r="P233" i="2"/>
  <c r="BO232" i="2"/>
  <c r="BM232" i="2"/>
  <c r="Y232" i="2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N226" i="2" s="1"/>
  <c r="P226" i="2"/>
  <c r="BO225" i="2"/>
  <c r="BM225" i="2"/>
  <c r="Y225" i="2"/>
  <c r="BN225" i="2" s="1"/>
  <c r="P225" i="2"/>
  <c r="BO224" i="2"/>
  <c r="BM224" i="2"/>
  <c r="Y224" i="2"/>
  <c r="BN224" i="2" s="1"/>
  <c r="P224" i="2"/>
  <c r="BO223" i="2"/>
  <c r="BM223" i="2"/>
  <c r="Y223" i="2"/>
  <c r="BN223" i="2" s="1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P214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BP211" i="2" s="1"/>
  <c r="P211" i="2"/>
  <c r="BO210" i="2"/>
  <c r="BM210" i="2"/>
  <c r="Y210" i="2"/>
  <c r="BP210" i="2" s="1"/>
  <c r="P210" i="2"/>
  <c r="BO209" i="2"/>
  <c r="BM209" i="2"/>
  <c r="Y209" i="2"/>
  <c r="P209" i="2"/>
  <c r="BO208" i="2"/>
  <c r="BM208" i="2"/>
  <c r="Y208" i="2"/>
  <c r="BN208" i="2" s="1"/>
  <c r="P208" i="2"/>
  <c r="X204" i="2"/>
  <c r="X203" i="2"/>
  <c r="BO202" i="2"/>
  <c r="BM202" i="2"/>
  <c r="Y202" i="2"/>
  <c r="P202" i="2"/>
  <c r="X200" i="2"/>
  <c r="X199" i="2"/>
  <c r="BO198" i="2"/>
  <c r="BM198" i="2"/>
  <c r="Y198" i="2"/>
  <c r="BN198" i="2" s="1"/>
  <c r="P198" i="2"/>
  <c r="BO197" i="2"/>
  <c r="BM197" i="2"/>
  <c r="Y197" i="2"/>
  <c r="Y200" i="2" s="1"/>
  <c r="P197" i="2"/>
  <c r="X195" i="2"/>
  <c r="X194" i="2"/>
  <c r="BO193" i="2"/>
  <c r="BM193" i="2"/>
  <c r="Y193" i="2"/>
  <c r="BN193" i="2" s="1"/>
  <c r="P193" i="2"/>
  <c r="BO192" i="2"/>
  <c r="BM192" i="2"/>
  <c r="Y192" i="2"/>
  <c r="P192" i="2"/>
  <c r="BO191" i="2"/>
  <c r="BM191" i="2"/>
  <c r="Y191" i="2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BO185" i="2"/>
  <c r="BM185" i="2"/>
  <c r="Y185" i="2"/>
  <c r="BP185" i="2" s="1"/>
  <c r="P185" i="2"/>
  <c r="BO184" i="2"/>
  <c r="BM184" i="2"/>
  <c r="Y184" i="2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N181" i="2" s="1"/>
  <c r="P181" i="2"/>
  <c r="BO180" i="2"/>
  <c r="BM180" i="2"/>
  <c r="Y180" i="2"/>
  <c r="BN180" i="2" s="1"/>
  <c r="P180" i="2"/>
  <c r="BO179" i="2"/>
  <c r="BM179" i="2"/>
  <c r="Y179" i="2"/>
  <c r="P179" i="2"/>
  <c r="BO178" i="2"/>
  <c r="BM178" i="2"/>
  <c r="Y178" i="2"/>
  <c r="BN178" i="2" s="1"/>
  <c r="P178" i="2"/>
  <c r="BO177" i="2"/>
  <c r="BM177" i="2"/>
  <c r="Y177" i="2"/>
  <c r="P177" i="2"/>
  <c r="X175" i="2"/>
  <c r="X174" i="2"/>
  <c r="BO173" i="2"/>
  <c r="BM173" i="2"/>
  <c r="Y173" i="2"/>
  <c r="BN173" i="2" s="1"/>
  <c r="P173" i="2"/>
  <c r="BO172" i="2"/>
  <c r="BM172" i="2"/>
  <c r="Y172" i="2"/>
  <c r="Y175" i="2" s="1"/>
  <c r="X170" i="2"/>
  <c r="X169" i="2"/>
  <c r="BO168" i="2"/>
  <c r="BM168" i="2"/>
  <c r="Y168" i="2"/>
  <c r="BN168" i="2" s="1"/>
  <c r="P168" i="2"/>
  <c r="BO167" i="2"/>
  <c r="BM167" i="2"/>
  <c r="Y167" i="2"/>
  <c r="P167" i="2"/>
  <c r="BO166" i="2"/>
  <c r="BM166" i="2"/>
  <c r="Y166" i="2"/>
  <c r="BP166" i="2" s="1"/>
  <c r="P166" i="2"/>
  <c r="X163" i="2"/>
  <c r="X162" i="2"/>
  <c r="BO161" i="2"/>
  <c r="BM161" i="2"/>
  <c r="Y161" i="2"/>
  <c r="P161" i="2"/>
  <c r="X159" i="2"/>
  <c r="X158" i="2"/>
  <c r="BO157" i="2"/>
  <c r="BM157" i="2"/>
  <c r="Y157" i="2"/>
  <c r="P157" i="2"/>
  <c r="BO156" i="2"/>
  <c r="BM156" i="2"/>
  <c r="Y156" i="2"/>
  <c r="Z156" i="2" s="1"/>
  <c r="P156" i="2"/>
  <c r="BO155" i="2"/>
  <c r="BM155" i="2"/>
  <c r="Y155" i="2"/>
  <c r="Z155" i="2" s="1"/>
  <c r="P155" i="2"/>
  <c r="BO154" i="2"/>
  <c r="BM154" i="2"/>
  <c r="Y154" i="2"/>
  <c r="BN154" i="2" s="1"/>
  <c r="P154" i="2"/>
  <c r="X151" i="2"/>
  <c r="X150" i="2"/>
  <c r="BO149" i="2"/>
  <c r="BM149" i="2"/>
  <c r="Y149" i="2"/>
  <c r="P149" i="2"/>
  <c r="BO148" i="2"/>
  <c r="BM148" i="2"/>
  <c r="Y148" i="2"/>
  <c r="BP148" i="2" s="1"/>
  <c r="P148" i="2"/>
  <c r="BO147" i="2"/>
  <c r="BM147" i="2"/>
  <c r="Y147" i="2"/>
  <c r="BP147" i="2" s="1"/>
  <c r="P147" i="2"/>
  <c r="BO146" i="2"/>
  <c r="BM146" i="2"/>
  <c r="Y146" i="2"/>
  <c r="Y150" i="2" s="1"/>
  <c r="P146" i="2"/>
  <c r="X144" i="2"/>
  <c r="X143" i="2"/>
  <c r="BO142" i="2"/>
  <c r="BM142" i="2"/>
  <c r="Y142" i="2"/>
  <c r="P142" i="2"/>
  <c r="BO141" i="2"/>
  <c r="BM141" i="2"/>
  <c r="Y141" i="2"/>
  <c r="BP141" i="2" s="1"/>
  <c r="P141" i="2"/>
  <c r="BO140" i="2"/>
  <c r="BM140" i="2"/>
  <c r="Y140" i="2"/>
  <c r="Z140" i="2" s="1"/>
  <c r="P140" i="2"/>
  <c r="BO139" i="2"/>
  <c r="BM139" i="2"/>
  <c r="Y139" i="2"/>
  <c r="P139" i="2"/>
  <c r="X137" i="2"/>
  <c r="X136" i="2"/>
  <c r="BO135" i="2"/>
  <c r="BM135" i="2"/>
  <c r="Y135" i="2"/>
  <c r="BN135" i="2" s="1"/>
  <c r="P135" i="2"/>
  <c r="BO134" i="2"/>
  <c r="BM134" i="2"/>
  <c r="Y134" i="2"/>
  <c r="BN134" i="2" s="1"/>
  <c r="P134" i="2"/>
  <c r="BO133" i="2"/>
  <c r="BM133" i="2"/>
  <c r="Y133" i="2"/>
  <c r="P133" i="2"/>
  <c r="BO132" i="2"/>
  <c r="BM132" i="2"/>
  <c r="Y132" i="2"/>
  <c r="Z132" i="2" s="1"/>
  <c r="P132" i="2"/>
  <c r="X129" i="2"/>
  <c r="X128" i="2"/>
  <c r="BO127" i="2"/>
  <c r="BM127" i="2"/>
  <c r="Y127" i="2"/>
  <c r="Y128" i="2" s="1"/>
  <c r="P127" i="2"/>
  <c r="X125" i="2"/>
  <c r="X124" i="2"/>
  <c r="BO123" i="2"/>
  <c r="BM123" i="2"/>
  <c r="Y123" i="2"/>
  <c r="P123" i="2"/>
  <c r="BO122" i="2"/>
  <c r="BM122" i="2"/>
  <c r="Y122" i="2"/>
  <c r="Z122" i="2" s="1"/>
  <c r="P122" i="2"/>
  <c r="BO121" i="2"/>
  <c r="BM121" i="2"/>
  <c r="Y121" i="2"/>
  <c r="Z121" i="2" s="1"/>
  <c r="P121" i="2"/>
  <c r="BO120" i="2"/>
  <c r="BM120" i="2"/>
  <c r="Y120" i="2"/>
  <c r="BP120" i="2" s="1"/>
  <c r="P120" i="2"/>
  <c r="X118" i="2"/>
  <c r="X117" i="2"/>
  <c r="BO116" i="2"/>
  <c r="BM116" i="2"/>
  <c r="Y116" i="2"/>
  <c r="BN116" i="2" s="1"/>
  <c r="P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X110" i="2"/>
  <c r="X109" i="2"/>
  <c r="BO108" i="2"/>
  <c r="BM108" i="2"/>
  <c r="Y108" i="2"/>
  <c r="BN108" i="2" s="1"/>
  <c r="P108" i="2"/>
  <c r="BO107" i="2"/>
  <c r="BM107" i="2"/>
  <c r="Y107" i="2"/>
  <c r="Z107" i="2" s="1"/>
  <c r="P107" i="2"/>
  <c r="BO106" i="2"/>
  <c r="BM106" i="2"/>
  <c r="Y106" i="2"/>
  <c r="BN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P103" i="2"/>
  <c r="X100" i="2"/>
  <c r="X99" i="2"/>
  <c r="BO98" i="2"/>
  <c r="BM98" i="2"/>
  <c r="Y98" i="2"/>
  <c r="BN98" i="2" s="1"/>
  <c r="P98" i="2"/>
  <c r="BO97" i="2"/>
  <c r="BM97" i="2"/>
  <c r="Y97" i="2"/>
  <c r="BN97" i="2" s="1"/>
  <c r="P97" i="2"/>
  <c r="BO96" i="2"/>
  <c r="BM96" i="2"/>
  <c r="Y96" i="2"/>
  <c r="Z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P89" i="2"/>
  <c r="BO88" i="2"/>
  <c r="BM88" i="2"/>
  <c r="Y88" i="2"/>
  <c r="BP88" i="2" s="1"/>
  <c r="P88" i="2"/>
  <c r="X85" i="2"/>
  <c r="X84" i="2"/>
  <c r="BO83" i="2"/>
  <c r="BM83" i="2"/>
  <c r="Y83" i="2"/>
  <c r="BN83" i="2" s="1"/>
  <c r="P83" i="2"/>
  <c r="BO82" i="2"/>
  <c r="BM82" i="2"/>
  <c r="Y82" i="2"/>
  <c r="Z82" i="2" s="1"/>
  <c r="P82" i="2"/>
  <c r="X80" i="2"/>
  <c r="X79" i="2"/>
  <c r="BO78" i="2"/>
  <c r="BM78" i="2"/>
  <c r="Y78" i="2"/>
  <c r="Z78" i="2" s="1"/>
  <c r="P78" i="2"/>
  <c r="BO77" i="2"/>
  <c r="BM77" i="2"/>
  <c r="Y77" i="2"/>
  <c r="Z77" i="2" s="1"/>
  <c r="P77" i="2"/>
  <c r="X75" i="2"/>
  <c r="X74" i="2"/>
  <c r="BO73" i="2"/>
  <c r="BM73" i="2"/>
  <c r="Y73" i="2"/>
  <c r="Z73" i="2" s="1"/>
  <c r="P73" i="2"/>
  <c r="BO72" i="2"/>
  <c r="BM72" i="2"/>
  <c r="Y72" i="2"/>
  <c r="BN72" i="2" s="1"/>
  <c r="P72" i="2"/>
  <c r="BO71" i="2"/>
  <c r="BM71" i="2"/>
  <c r="Y71" i="2"/>
  <c r="BP71" i="2" s="1"/>
  <c r="P71" i="2"/>
  <c r="BO70" i="2"/>
  <c r="BM70" i="2"/>
  <c r="Y70" i="2"/>
  <c r="BP70" i="2" s="1"/>
  <c r="P70" i="2"/>
  <c r="X68" i="2"/>
  <c r="X67" i="2"/>
  <c r="BO66" i="2"/>
  <c r="BM66" i="2"/>
  <c r="Y66" i="2"/>
  <c r="BP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Z63" i="2" s="1"/>
  <c r="P63" i="2"/>
  <c r="BO62" i="2"/>
  <c r="BM62" i="2"/>
  <c r="Y62" i="2"/>
  <c r="BN62" i="2" s="1"/>
  <c r="P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X56" i="2"/>
  <c r="X55" i="2"/>
  <c r="BO54" i="2"/>
  <c r="BM54" i="2"/>
  <c r="Y54" i="2"/>
  <c r="BP54" i="2" s="1"/>
  <c r="P54" i="2"/>
  <c r="BO53" i="2"/>
  <c r="BM53" i="2"/>
  <c r="Y53" i="2"/>
  <c r="BP53" i="2" s="1"/>
  <c r="P53" i="2"/>
  <c r="BO52" i="2"/>
  <c r="BM52" i="2"/>
  <c r="Y52" i="2"/>
  <c r="Z52" i="2" s="1"/>
  <c r="P52" i="2"/>
  <c r="BO51" i="2"/>
  <c r="BM51" i="2"/>
  <c r="Y51" i="2"/>
  <c r="Z51" i="2" s="1"/>
  <c r="P51" i="2"/>
  <c r="X47" i="2"/>
  <c r="X46" i="2"/>
  <c r="BO45" i="2"/>
  <c r="BM45" i="2"/>
  <c r="Y45" i="2"/>
  <c r="BN45" i="2" s="1"/>
  <c r="P45" i="2"/>
  <c r="BO44" i="2"/>
  <c r="BM44" i="2"/>
  <c r="Y44" i="2"/>
  <c r="BN44" i="2" s="1"/>
  <c r="P44" i="2"/>
  <c r="BO43" i="2"/>
  <c r="BM43" i="2"/>
  <c r="Y43" i="2"/>
  <c r="P43" i="2"/>
  <c r="BO42" i="2"/>
  <c r="BM42" i="2"/>
  <c r="Y42" i="2"/>
  <c r="BP42" i="2" s="1"/>
  <c r="P42" i="2"/>
  <c r="BO41" i="2"/>
  <c r="BM41" i="2"/>
  <c r="Y41" i="2"/>
  <c r="BP41" i="2" s="1"/>
  <c r="P41" i="2"/>
  <c r="X37" i="2"/>
  <c r="X36" i="2"/>
  <c r="BO35" i="2"/>
  <c r="BM35" i="2"/>
  <c r="Y35" i="2"/>
  <c r="Z35" i="2" s="1"/>
  <c r="Z36" i="2" s="1"/>
  <c r="P35" i="2"/>
  <c r="X33" i="2"/>
  <c r="X32" i="2"/>
  <c r="BO31" i="2"/>
  <c r="BM31" i="2"/>
  <c r="Y31" i="2"/>
  <c r="Z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N28" i="2" s="1"/>
  <c r="P28" i="2"/>
  <c r="BO27" i="2"/>
  <c r="BM27" i="2"/>
  <c r="Y27" i="2"/>
  <c r="BP27" i="2" s="1"/>
  <c r="P27" i="2"/>
  <c r="X25" i="2"/>
  <c r="X24" i="2"/>
  <c r="BO23" i="2"/>
  <c r="BM23" i="2"/>
  <c r="Y23" i="2"/>
  <c r="BP23" i="2" s="1"/>
  <c r="P23" i="2"/>
  <c r="BO22" i="2"/>
  <c r="BM22" i="2"/>
  <c r="Y22" i="2"/>
  <c r="P22" i="2"/>
  <c r="H10" i="2"/>
  <c r="A9" i="2"/>
  <c r="H9" i="2" s="1"/>
  <c r="D7" i="2"/>
  <c r="Q6" i="2"/>
  <c r="P2" i="2"/>
  <c r="BP244" i="2" l="1"/>
  <c r="Z367" i="2"/>
  <c r="Z307" i="2"/>
  <c r="BN307" i="2"/>
  <c r="Z311" i="2"/>
  <c r="Z312" i="2" s="1"/>
  <c r="Z428" i="2"/>
  <c r="Z83" i="2"/>
  <c r="Z226" i="2"/>
  <c r="Z342" i="2"/>
  <c r="BN342" i="2"/>
  <c r="Z415" i="2"/>
  <c r="Z503" i="2"/>
  <c r="BN503" i="2"/>
  <c r="Z64" i="2"/>
  <c r="BN64" i="2"/>
  <c r="BP90" i="2"/>
  <c r="Z181" i="2"/>
  <c r="Z208" i="2"/>
  <c r="BP234" i="2"/>
  <c r="Z269" i="2"/>
  <c r="BN269" i="2"/>
  <c r="Z295" i="2"/>
  <c r="BN295" i="2"/>
  <c r="Z423" i="2"/>
  <c r="BN423" i="2"/>
  <c r="Z538" i="2"/>
  <c r="Z539" i="2" s="1"/>
  <c r="Z41" i="2"/>
  <c r="BN41" i="2"/>
  <c r="Z53" i="2"/>
  <c r="BN53" i="2"/>
  <c r="Z72" i="2"/>
  <c r="Y85" i="2"/>
  <c r="Z95" i="2"/>
  <c r="Z135" i="2"/>
  <c r="Z166" i="2"/>
  <c r="BN166" i="2"/>
  <c r="Y170" i="2"/>
  <c r="Z178" i="2"/>
  <c r="Z185" i="2"/>
  <c r="BN185" i="2"/>
  <c r="Z198" i="2"/>
  <c r="Z211" i="2"/>
  <c r="BN211" i="2"/>
  <c r="Z225" i="2"/>
  <c r="Z240" i="2"/>
  <c r="Z249" i="2"/>
  <c r="Z273" i="2"/>
  <c r="BN273" i="2"/>
  <c r="Z283" i="2"/>
  <c r="Z304" i="2"/>
  <c r="Z327" i="2"/>
  <c r="Z346" i="2"/>
  <c r="Z366" i="2"/>
  <c r="Z383" i="2"/>
  <c r="BN383" i="2"/>
  <c r="BP426" i="2"/>
  <c r="Z441" i="2"/>
  <c r="Z501" i="2"/>
  <c r="BN30" i="2"/>
  <c r="BN42" i="2"/>
  <c r="BN52" i="2"/>
  <c r="BN54" i="2"/>
  <c r="BN65" i="2"/>
  <c r="BN77" i="2"/>
  <c r="BP98" i="2"/>
  <c r="BN121" i="2"/>
  <c r="BP142" i="2"/>
  <c r="BN142" i="2"/>
  <c r="Z142" i="2"/>
  <c r="BN149" i="2"/>
  <c r="Z149" i="2"/>
  <c r="Y162" i="2"/>
  <c r="Y163" i="2"/>
  <c r="Z161" i="2"/>
  <c r="Z162" i="2" s="1"/>
  <c r="BN184" i="2"/>
  <c r="Z184" i="2"/>
  <c r="BN191" i="2"/>
  <c r="Z191" i="2"/>
  <c r="BP230" i="2"/>
  <c r="BN230" i="2"/>
  <c r="Z230" i="2"/>
  <c r="BP232" i="2"/>
  <c r="Z232" i="2"/>
  <c r="BP265" i="2"/>
  <c r="Z265" i="2"/>
  <c r="Z266" i="2" s="1"/>
  <c r="BP275" i="2"/>
  <c r="Z275" i="2"/>
  <c r="BN290" i="2"/>
  <c r="BP319" i="2"/>
  <c r="Z319" i="2"/>
  <c r="BP330" i="2"/>
  <c r="Z330" i="2"/>
  <c r="BP344" i="2"/>
  <c r="BN344" i="2"/>
  <c r="Z344" i="2"/>
  <c r="BN364" i="2"/>
  <c r="BP372" i="2"/>
  <c r="Z372" i="2"/>
  <c r="BP377" i="2"/>
  <c r="Z377" i="2"/>
  <c r="BP409" i="2"/>
  <c r="Z409" i="2"/>
  <c r="BN417" i="2"/>
  <c r="BN425" i="2"/>
  <c r="Z425" i="2"/>
  <c r="BN434" i="2"/>
  <c r="Z434" i="2"/>
  <c r="BP469" i="2"/>
  <c r="Z469" i="2"/>
  <c r="BP478" i="2"/>
  <c r="BN478" i="2"/>
  <c r="Z478" i="2"/>
  <c r="Y486" i="2"/>
  <c r="BP484" i="2"/>
  <c r="Y531" i="2"/>
  <c r="X555" i="2"/>
  <c r="Z28" i="2"/>
  <c r="BN29" i="2"/>
  <c r="Y47" i="2"/>
  <c r="D561" i="2"/>
  <c r="Y55" i="2"/>
  <c r="Z62" i="2"/>
  <c r="BP83" i="2"/>
  <c r="Z88" i="2"/>
  <c r="BN88" i="2"/>
  <c r="Y93" i="2"/>
  <c r="Z91" i="2"/>
  <c r="Z98" i="2"/>
  <c r="Z116" i="2"/>
  <c r="BN120" i="2"/>
  <c r="H561" i="2"/>
  <c r="BP132" i="2"/>
  <c r="BN139" i="2"/>
  <c r="Y143" i="2"/>
  <c r="Z139" i="2"/>
  <c r="BN141" i="2"/>
  <c r="Z141" i="2"/>
  <c r="BP161" i="2"/>
  <c r="BN187" i="2"/>
  <c r="Z187" i="2"/>
  <c r="BP202" i="2"/>
  <c r="Y204" i="2"/>
  <c r="Y203" i="2"/>
  <c r="BN202" i="2"/>
  <c r="BN235" i="2"/>
  <c r="BP242" i="2"/>
  <c r="Z242" i="2"/>
  <c r="BN260" i="2"/>
  <c r="BN272" i="2"/>
  <c r="Z272" i="2"/>
  <c r="BN282" i="2"/>
  <c r="Z282" i="2"/>
  <c r="BP306" i="2"/>
  <c r="Z306" i="2"/>
  <c r="BN329" i="2"/>
  <c r="Z329" i="2"/>
  <c r="BN337" i="2"/>
  <c r="Z337" i="2"/>
  <c r="Y370" i="2"/>
  <c r="Z363" i="2"/>
  <c r="BN384" i="2"/>
  <c r="BN391" i="2"/>
  <c r="BP391" i="2"/>
  <c r="Y412" i="2"/>
  <c r="Z408" i="2"/>
  <c r="BN416" i="2"/>
  <c r="Z416" i="2"/>
  <c r="Z418" i="2" s="1"/>
  <c r="BP427" i="2"/>
  <c r="Z427" i="2"/>
  <c r="BP434" i="2"/>
  <c r="Y437" i="2"/>
  <c r="Y459" i="2"/>
  <c r="Z457" i="2"/>
  <c r="Z458" i="2" s="1"/>
  <c r="BN504" i="2"/>
  <c r="BN140" i="2"/>
  <c r="BN156" i="2"/>
  <c r="BP225" i="2"/>
  <c r="BP226" i="2"/>
  <c r="BN231" i="2"/>
  <c r="BP240" i="2"/>
  <c r="BN241" i="2"/>
  <c r="BN264" i="2"/>
  <c r="BP283" i="2"/>
  <c r="BN284" i="2"/>
  <c r="Y298" i="2"/>
  <c r="BP304" i="2"/>
  <c r="BN305" i="2"/>
  <c r="Y331" i="2"/>
  <c r="BP327" i="2"/>
  <c r="BN328" i="2"/>
  <c r="Y369" i="2"/>
  <c r="BP365" i="2"/>
  <c r="BP366" i="2"/>
  <c r="BN375" i="2"/>
  <c r="Y387" i="2"/>
  <c r="BP385" i="2"/>
  <c r="BN396" i="2"/>
  <c r="BP428" i="2"/>
  <c r="BN429" i="2"/>
  <c r="BP441" i="2"/>
  <c r="W561" i="2"/>
  <c r="BN453" i="2"/>
  <c r="BN470" i="2"/>
  <c r="BN479" i="2"/>
  <c r="BN489" i="2"/>
  <c r="BP501" i="2"/>
  <c r="BN515" i="2"/>
  <c r="Y37" i="2"/>
  <c r="BP209" i="2"/>
  <c r="Z209" i="2"/>
  <c r="BN250" i="2"/>
  <c r="BP250" i="2"/>
  <c r="Z250" i="2"/>
  <c r="B561" i="2"/>
  <c r="X551" i="2"/>
  <c r="Y32" i="2"/>
  <c r="Z84" i="2"/>
  <c r="BP82" i="2"/>
  <c r="BP97" i="2"/>
  <c r="G561" i="2"/>
  <c r="BP106" i="2"/>
  <c r="BN107" i="2"/>
  <c r="Z108" i="2"/>
  <c r="Y117" i="2"/>
  <c r="BP116" i="2"/>
  <c r="Y125" i="2"/>
  <c r="Y124" i="2"/>
  <c r="Z127" i="2"/>
  <c r="Z128" i="2" s="1"/>
  <c r="BP127" i="2"/>
  <c r="Y129" i="2"/>
  <c r="BP134" i="2"/>
  <c r="BN161" i="2"/>
  <c r="J561" i="2"/>
  <c r="BP173" i="2"/>
  <c r="BP184" i="2"/>
  <c r="Z210" i="2"/>
  <c r="BN210" i="2"/>
  <c r="BN229" i="2"/>
  <c r="Z229" i="2"/>
  <c r="Y252" i="2"/>
  <c r="BP259" i="2"/>
  <c r="Y261" i="2"/>
  <c r="BN259" i="2"/>
  <c r="BN281" i="2"/>
  <c r="BP281" i="2"/>
  <c r="BP285" i="2"/>
  <c r="BN285" i="2"/>
  <c r="Z285" i="2"/>
  <c r="BP289" i="2"/>
  <c r="BN289" i="2"/>
  <c r="BN303" i="2"/>
  <c r="Z303" i="2"/>
  <c r="BP326" i="2"/>
  <c r="BN336" i="2"/>
  <c r="BP336" i="2"/>
  <c r="BN376" i="2"/>
  <c r="BP376" i="2"/>
  <c r="Z376" i="2"/>
  <c r="BP390" i="2"/>
  <c r="Z390" i="2"/>
  <c r="BN398" i="2"/>
  <c r="BP398" i="2"/>
  <c r="Z398" i="2"/>
  <c r="BN430" i="2"/>
  <c r="BP430" i="2"/>
  <c r="Z430" i="2"/>
  <c r="BP446" i="2"/>
  <c r="BN446" i="2"/>
  <c r="BN542" i="2"/>
  <c r="BP542" i="2"/>
  <c r="BN373" i="2"/>
  <c r="BP373" i="2"/>
  <c r="Z373" i="2"/>
  <c r="J9" i="2"/>
  <c r="X552" i="2"/>
  <c r="BP30" i="2"/>
  <c r="BN31" i="2"/>
  <c r="BN35" i="2"/>
  <c r="Y36" i="2"/>
  <c r="C561" i="2"/>
  <c r="Z42" i="2"/>
  <c r="Z54" i="2"/>
  <c r="Z65" i="2"/>
  <c r="BP72" i="2"/>
  <c r="BN73" i="2"/>
  <c r="Y79" i="2"/>
  <c r="Y84" i="2"/>
  <c r="F561" i="2"/>
  <c r="BP91" i="2"/>
  <c r="BP95" i="2"/>
  <c r="BN96" i="2"/>
  <c r="Z97" i="2"/>
  <c r="Y99" i="2"/>
  <c r="Z106" i="2"/>
  <c r="BN112" i="2"/>
  <c r="BP121" i="2"/>
  <c r="BN122" i="2"/>
  <c r="BN132" i="2"/>
  <c r="Y137" i="2"/>
  <c r="BN155" i="2"/>
  <c r="Z179" i="2"/>
  <c r="BN179" i="2"/>
  <c r="BP180" i="2"/>
  <c r="Z180" i="2"/>
  <c r="Z186" i="2"/>
  <c r="BN186" i="2"/>
  <c r="BN209" i="2"/>
  <c r="BN219" i="2"/>
  <c r="Y221" i="2"/>
  <c r="Z219" i="2"/>
  <c r="Z220" i="2" s="1"/>
  <c r="BN326" i="2"/>
  <c r="Z326" i="2"/>
  <c r="BN345" i="2"/>
  <c r="BP345" i="2"/>
  <c r="Z345" i="2"/>
  <c r="BN378" i="2"/>
  <c r="BP378" i="2"/>
  <c r="Y432" i="2"/>
  <c r="BP35" i="2"/>
  <c r="BP108" i="2"/>
  <c r="BP155" i="2"/>
  <c r="BP214" i="2"/>
  <c r="BN214" i="2"/>
  <c r="Z274" i="2"/>
  <c r="BN274" i="2"/>
  <c r="BN320" i="2"/>
  <c r="BP320" i="2"/>
  <c r="Z516" i="2"/>
  <c r="BN516" i="2"/>
  <c r="X553" i="2"/>
  <c r="BP28" i="2"/>
  <c r="BP44" i="2"/>
  <c r="BP51" i="2"/>
  <c r="E561" i="2"/>
  <c r="BP62" i="2"/>
  <c r="BN63" i="2"/>
  <c r="BP77" i="2"/>
  <c r="BN78" i="2"/>
  <c r="BN82" i="2"/>
  <c r="BN127" i="2"/>
  <c r="BP135" i="2"/>
  <c r="BP139" i="2"/>
  <c r="BP149" i="2"/>
  <c r="I561" i="2"/>
  <c r="Y159" i="2"/>
  <c r="Y158" i="2"/>
  <c r="BP168" i="2"/>
  <c r="BP181" i="2"/>
  <c r="BP191" i="2"/>
  <c r="Y278" i="2"/>
  <c r="Z270" i="2"/>
  <c r="BP274" i="2"/>
  <c r="Z343" i="2"/>
  <c r="BN343" i="2"/>
  <c r="Y360" i="2"/>
  <c r="BN356" i="2"/>
  <c r="BP356" i="2"/>
  <c r="Z356" i="2"/>
  <c r="BN424" i="2"/>
  <c r="BP424" i="2"/>
  <c r="Z424" i="2"/>
  <c r="BP514" i="2"/>
  <c r="BN514" i="2"/>
  <c r="Z514" i="2"/>
  <c r="BP516" i="2"/>
  <c r="AA561" i="2"/>
  <c r="Z526" i="2"/>
  <c r="Z527" i="2" s="1"/>
  <c r="Y189" i="2"/>
  <c r="BP178" i="2"/>
  <c r="BP183" i="2"/>
  <c r="BP193" i="2"/>
  <c r="BP198" i="2"/>
  <c r="BP223" i="2"/>
  <c r="BP227" i="2"/>
  <c r="BP231" i="2"/>
  <c r="BN236" i="2"/>
  <c r="BP241" i="2"/>
  <c r="Y251" i="2"/>
  <c r="BP264" i="2"/>
  <c r="Y266" i="2"/>
  <c r="BP271" i="2"/>
  <c r="BN275" i="2"/>
  <c r="BP282" i="2"/>
  <c r="BP287" i="2"/>
  <c r="BN288" i="2"/>
  <c r="Y309" i="2"/>
  <c r="BP301" i="2"/>
  <c r="BP305" i="2"/>
  <c r="BN319" i="2"/>
  <c r="BP328" i="2"/>
  <c r="BN330" i="2"/>
  <c r="BP337" i="2"/>
  <c r="R561" i="2"/>
  <c r="BN363" i="2"/>
  <c r="BP364" i="2"/>
  <c r="BP368" i="2"/>
  <c r="BN374" i="2"/>
  <c r="Y379" i="2"/>
  <c r="BP384" i="2"/>
  <c r="Y393" i="2"/>
  <c r="Y399" i="2"/>
  <c r="BN410" i="2"/>
  <c r="Y411" i="2"/>
  <c r="BP417" i="2"/>
  <c r="V561" i="2"/>
  <c r="BP435" i="2"/>
  <c r="BN452" i="2"/>
  <c r="Y455" i="2"/>
  <c r="BP470" i="2"/>
  <c r="Y195" i="2"/>
  <c r="BP208" i="2"/>
  <c r="BP213" i="2"/>
  <c r="Y216" i="2"/>
  <c r="Z223" i="2"/>
  <c r="Z227" i="2"/>
  <c r="BP228" i="2"/>
  <c r="BN232" i="2"/>
  <c r="BN242" i="2"/>
  <c r="BP249" i="2"/>
  <c r="BN265" i="2"/>
  <c r="Y293" i="2"/>
  <c r="BP280" i="2"/>
  <c r="BP284" i="2"/>
  <c r="Y292" i="2"/>
  <c r="BP302" i="2"/>
  <c r="BN306" i="2"/>
  <c r="Y323" i="2"/>
  <c r="T561" i="2"/>
  <c r="BN365" i="2"/>
  <c r="Z375" i="2"/>
  <c r="Z382" i="2"/>
  <c r="BN385" i="2"/>
  <c r="Z389" i="2"/>
  <c r="BP389" i="2"/>
  <c r="Y392" i="2"/>
  <c r="Z396" i="2"/>
  <c r="BN408" i="2"/>
  <c r="BP429" i="2"/>
  <c r="Y438" i="2"/>
  <c r="Z435" i="2"/>
  <c r="BP436" i="2"/>
  <c r="Z453" i="2"/>
  <c r="BN457" i="2"/>
  <c r="Y458" i="2"/>
  <c r="BN469" i="2"/>
  <c r="Z479" i="2"/>
  <c r="Y485" i="2"/>
  <c r="Z489" i="2"/>
  <c r="Y505" i="2"/>
  <c r="Z504" i="2"/>
  <c r="BP515" i="2"/>
  <c r="BP530" i="2"/>
  <c r="Y246" i="2"/>
  <c r="Y267" i="2"/>
  <c r="BP272" i="2"/>
  <c r="Q561" i="2"/>
  <c r="Y359" i="2"/>
  <c r="BP374" i="2"/>
  <c r="Y380" i="2"/>
  <c r="BP410" i="2"/>
  <c r="BP425" i="2"/>
  <c r="BP452" i="2"/>
  <c r="Y475" i="2"/>
  <c r="Z480" i="2"/>
  <c r="Z79" i="2"/>
  <c r="Z66" i="2"/>
  <c r="BP52" i="2"/>
  <c r="Z61" i="2"/>
  <c r="Z71" i="2"/>
  <c r="BP96" i="2"/>
  <c r="Z105" i="2"/>
  <c r="BP107" i="2"/>
  <c r="Z115" i="2"/>
  <c r="BP140" i="2"/>
  <c r="Z148" i="2"/>
  <c r="Z177" i="2"/>
  <c r="BP179" i="2"/>
  <c r="Z197" i="2"/>
  <c r="BP224" i="2"/>
  <c r="Y245" i="2"/>
  <c r="BP254" i="2"/>
  <c r="BP343" i="2"/>
  <c r="Z351" i="2"/>
  <c r="Z395" i="2"/>
  <c r="BP397" i="2"/>
  <c r="Y419" i="2"/>
  <c r="Z440" i="2"/>
  <c r="BP442" i="2"/>
  <c r="Z463" i="2"/>
  <c r="Y480" i="2"/>
  <c r="Z488" i="2"/>
  <c r="BP490" i="2"/>
  <c r="Z500" i="2"/>
  <c r="BP502" i="2"/>
  <c r="Z510" i="2"/>
  <c r="Z520" i="2"/>
  <c r="Y527" i="2"/>
  <c r="Z534" i="2"/>
  <c r="Z535" i="2" s="1"/>
  <c r="Y539" i="2"/>
  <c r="Y118" i="2"/>
  <c r="Z89" i="2"/>
  <c r="Z133" i="2"/>
  <c r="Z167" i="2"/>
  <c r="Z172" i="2"/>
  <c r="Z182" i="2"/>
  <c r="Z192" i="2"/>
  <c r="Y316" i="2"/>
  <c r="F10" i="2"/>
  <c r="BP63" i="2"/>
  <c r="BP73" i="2"/>
  <c r="Z29" i="2"/>
  <c r="BP31" i="2"/>
  <c r="BN43" i="2"/>
  <c r="Y46" i="2"/>
  <c r="Y56" i="2"/>
  <c r="BN66" i="2"/>
  <c r="BP78" i="2"/>
  <c r="BN89" i="2"/>
  <c r="Y92" i="2"/>
  <c r="Y100" i="2"/>
  <c r="BP112" i="2"/>
  <c r="Z120" i="2"/>
  <c r="BP122" i="2"/>
  <c r="BN133" i="2"/>
  <c r="Y136" i="2"/>
  <c r="Y144" i="2"/>
  <c r="Z154" i="2"/>
  <c r="BP156" i="2"/>
  <c r="BN167" i="2"/>
  <c r="BN172" i="2"/>
  <c r="BN182" i="2"/>
  <c r="BN192" i="2"/>
  <c r="Z202" i="2"/>
  <c r="Z203" i="2" s="1"/>
  <c r="Z214" i="2"/>
  <c r="Y220" i="2"/>
  <c r="Z235" i="2"/>
  <c r="BP260" i="2"/>
  <c r="BN270" i="2"/>
  <c r="BN280" i="2"/>
  <c r="Z288" i="2"/>
  <c r="BP290" i="2"/>
  <c r="BN301" i="2"/>
  <c r="BN311" i="2"/>
  <c r="Z321" i="2"/>
  <c r="BN335" i="2"/>
  <c r="Y338" i="2"/>
  <c r="BN346" i="2"/>
  <c r="Z357" i="2"/>
  <c r="Z368" i="2"/>
  <c r="Z378" i="2"/>
  <c r="BN390" i="2"/>
  <c r="BP402" i="2"/>
  <c r="BP447" i="2"/>
  <c r="BP472" i="2"/>
  <c r="BP497" i="2"/>
  <c r="Y506" i="2"/>
  <c r="BP517" i="2"/>
  <c r="Y544" i="2"/>
  <c r="K561" i="2"/>
  <c r="Y151" i="2"/>
  <c r="Y238" i="2"/>
  <c r="Y25" i="2"/>
  <c r="BN61" i="2"/>
  <c r="BN71" i="2"/>
  <c r="Y74" i="2"/>
  <c r="BN105" i="2"/>
  <c r="BN115" i="2"/>
  <c r="BN148" i="2"/>
  <c r="BN177" i="2"/>
  <c r="BN197" i="2"/>
  <c r="Y255" i="2"/>
  <c r="Y317" i="2"/>
  <c r="BN351" i="2"/>
  <c r="BN395" i="2"/>
  <c r="Y406" i="2"/>
  <c r="BN440" i="2"/>
  <c r="Y443" i="2"/>
  <c r="BN463" i="2"/>
  <c r="Y476" i="2"/>
  <c r="BN488" i="2"/>
  <c r="Y491" i="2"/>
  <c r="BN500" i="2"/>
  <c r="BN510" i="2"/>
  <c r="BN520" i="2"/>
  <c r="BN534" i="2"/>
  <c r="L561" i="2"/>
  <c r="BP311" i="2"/>
  <c r="BN321" i="2"/>
  <c r="BP335" i="2"/>
  <c r="BN357" i="2"/>
  <c r="Y448" i="2"/>
  <c r="Y481" i="2"/>
  <c r="Y528" i="2"/>
  <c r="Y540" i="2"/>
  <c r="M561" i="2"/>
  <c r="BP89" i="2"/>
  <c r="Y339" i="2"/>
  <c r="Y386" i="2"/>
  <c r="BP395" i="2"/>
  <c r="Z403" i="2"/>
  <c r="Y431" i="2"/>
  <c r="Y454" i="2"/>
  <c r="Z461" i="2"/>
  <c r="Z473" i="2"/>
  <c r="Z498" i="2"/>
  <c r="Z508" i="2"/>
  <c r="Z518" i="2"/>
  <c r="BP534" i="2"/>
  <c r="Y545" i="2"/>
  <c r="O561" i="2"/>
  <c r="Z22" i="2"/>
  <c r="Z103" i="2"/>
  <c r="BP177" i="2"/>
  <c r="Y188" i="2"/>
  <c r="BP197" i="2"/>
  <c r="Z27" i="2"/>
  <c r="Y67" i="2"/>
  <c r="Y75" i="2"/>
  <c r="BP154" i="2"/>
  <c r="Z212" i="2"/>
  <c r="Z233" i="2"/>
  <c r="Z243" i="2"/>
  <c r="Y256" i="2"/>
  <c r="Z276" i="2"/>
  <c r="Z286" i="2"/>
  <c r="Z296" i="2"/>
  <c r="Z297" i="2" s="1"/>
  <c r="Y312" i="2"/>
  <c r="Y347" i="2"/>
  <c r="Y444" i="2"/>
  <c r="Y492" i="2"/>
  <c r="P561" i="2"/>
  <c r="A10" i="2"/>
  <c r="BP133" i="2"/>
  <c r="BP192" i="2"/>
  <c r="Z59" i="2"/>
  <c r="Z113" i="2"/>
  <c r="Z123" i="2"/>
  <c r="Z291" i="2"/>
  <c r="BN22" i="2"/>
  <c r="Y33" i="2"/>
  <c r="Z44" i="2"/>
  <c r="BN59" i="2"/>
  <c r="Y80" i="2"/>
  <c r="Z90" i="2"/>
  <c r="BN103" i="2"/>
  <c r="BN113" i="2"/>
  <c r="BN123" i="2"/>
  <c r="Z134" i="2"/>
  <c r="BN146" i="2"/>
  <c r="BN157" i="2"/>
  <c r="Z168" i="2"/>
  <c r="Z173" i="2"/>
  <c r="Z183" i="2"/>
  <c r="Z193" i="2"/>
  <c r="Z228" i="2"/>
  <c r="Z248" i="2"/>
  <c r="Y262" i="2"/>
  <c r="Z271" i="2"/>
  <c r="Z281" i="2"/>
  <c r="BN291" i="2"/>
  <c r="Z302" i="2"/>
  <c r="Z336" i="2"/>
  <c r="Z338" i="2" s="1"/>
  <c r="Y352" i="2"/>
  <c r="Z391" i="2"/>
  <c r="BN403" i="2"/>
  <c r="Z426" i="2"/>
  <c r="Z436" i="2"/>
  <c r="Y449" i="2"/>
  <c r="BN461" i="2"/>
  <c r="Y464" i="2"/>
  <c r="BN473" i="2"/>
  <c r="Z484" i="2"/>
  <c r="Z485" i="2" s="1"/>
  <c r="BN498" i="2"/>
  <c r="BN508" i="2"/>
  <c r="Y511" i="2"/>
  <c r="BN518" i="2"/>
  <c r="Y521" i="2"/>
  <c r="Z530" i="2"/>
  <c r="Z531" i="2" s="1"/>
  <c r="Y535" i="2"/>
  <c r="Z542" i="2"/>
  <c r="Y24" i="2"/>
  <c r="Z43" i="2"/>
  <c r="BP43" i="2"/>
  <c r="BP172" i="2"/>
  <c r="Z146" i="2"/>
  <c r="Z157" i="2"/>
  <c r="BN27" i="2"/>
  <c r="BN296" i="2"/>
  <c r="Y322" i="2"/>
  <c r="Z548" i="2"/>
  <c r="Z549" i="2" s="1"/>
  <c r="BN212" i="2"/>
  <c r="Y215" i="2"/>
  <c r="BN233" i="2"/>
  <c r="BN243" i="2"/>
  <c r="BN286" i="2"/>
  <c r="BP59" i="2"/>
  <c r="BP103" i="2"/>
  <c r="BP123" i="2"/>
  <c r="BP146" i="2"/>
  <c r="BP157" i="2"/>
  <c r="Z236" i="2"/>
  <c r="BN248" i="2"/>
  <c r="Z259" i="2"/>
  <c r="Z261" i="2" s="1"/>
  <c r="Z289" i="2"/>
  <c r="Y348" i="2"/>
  <c r="Z358" i="2"/>
  <c r="Z446" i="2"/>
  <c r="BP461" i="2"/>
  <c r="Z471" i="2"/>
  <c r="BN484" i="2"/>
  <c r="Z496" i="2"/>
  <c r="BP508" i="2"/>
  <c r="BN530" i="2"/>
  <c r="S561" i="2"/>
  <c r="BP45" i="2"/>
  <c r="BP167" i="2"/>
  <c r="BN276" i="2"/>
  <c r="BP22" i="2"/>
  <c r="Y68" i="2"/>
  <c r="BP113" i="2"/>
  <c r="BN51" i="2"/>
  <c r="Y109" i="2"/>
  <c r="BP296" i="2"/>
  <c r="Y353" i="2"/>
  <c r="Z452" i="2"/>
  <c r="Y522" i="2"/>
  <c r="BN548" i="2"/>
  <c r="U561" i="2"/>
  <c r="Z23" i="2"/>
  <c r="Z60" i="2"/>
  <c r="Z70" i="2"/>
  <c r="Z104" i="2"/>
  <c r="Z114" i="2"/>
  <c r="Z147" i="2"/>
  <c r="Y277" i="2"/>
  <c r="Y297" i="2"/>
  <c r="Y308" i="2"/>
  <c r="Z315" i="2"/>
  <c r="Z316" i="2" s="1"/>
  <c r="Z350" i="2"/>
  <c r="Z352" i="2" s="1"/>
  <c r="Z404" i="2"/>
  <c r="Z462" i="2"/>
  <c r="Z474" i="2"/>
  <c r="Z499" i="2"/>
  <c r="Z509" i="2"/>
  <c r="Z519" i="2"/>
  <c r="BP548" i="2"/>
  <c r="Y110" i="2"/>
  <c r="Y169" i="2"/>
  <c r="Y174" i="2"/>
  <c r="Y194" i="2"/>
  <c r="Z213" i="2"/>
  <c r="Z234" i="2"/>
  <c r="Z244" i="2"/>
  <c r="Z287" i="2"/>
  <c r="Z320" i="2"/>
  <c r="BP358" i="2"/>
  <c r="Y400" i="2"/>
  <c r="BP471" i="2"/>
  <c r="BP496" i="2"/>
  <c r="BN114" i="2"/>
  <c r="BN315" i="2"/>
  <c r="BN404" i="2"/>
  <c r="BN462" i="2"/>
  <c r="BN474" i="2"/>
  <c r="BN499" i="2"/>
  <c r="BN509" i="2"/>
  <c r="BN519" i="2"/>
  <c r="Z543" i="2"/>
  <c r="Y549" i="2"/>
  <c r="X561" i="2"/>
  <c r="BN23" i="2"/>
  <c r="BN60" i="2"/>
  <c r="BN70" i="2"/>
  <c r="BN104" i="2"/>
  <c r="BN147" i="2"/>
  <c r="Y199" i="2"/>
  <c r="BN350" i="2"/>
  <c r="F9" i="2"/>
  <c r="Y237" i="2"/>
  <c r="Z254" i="2"/>
  <c r="Z255" i="2" s="1"/>
  <c r="Y332" i="2"/>
  <c r="BN367" i="2"/>
  <c r="BN377" i="2"/>
  <c r="Z397" i="2"/>
  <c r="BN409" i="2"/>
  <c r="Z442" i="2"/>
  <c r="Z490" i="2"/>
  <c r="Z502" i="2"/>
  <c r="BN526" i="2"/>
  <c r="BN538" i="2"/>
  <c r="Y561" i="2"/>
  <c r="Z45" i="2"/>
  <c r="Z224" i="2"/>
  <c r="BN372" i="2"/>
  <c r="BN382" i="2"/>
  <c r="Z402" i="2"/>
  <c r="BN415" i="2"/>
  <c r="Y418" i="2"/>
  <c r="BN427" i="2"/>
  <c r="Z447" i="2"/>
  <c r="Z472" i="2"/>
  <c r="Z497" i="2"/>
  <c r="Z517" i="2"/>
  <c r="BN543" i="2"/>
  <c r="Z561" i="2"/>
  <c r="BP526" i="2"/>
  <c r="Y550" i="2"/>
  <c r="BN402" i="2"/>
  <c r="Z292" i="2" l="1"/>
  <c r="Z431" i="2"/>
  <c r="Z277" i="2"/>
  <c r="Z251" i="2"/>
  <c r="Z199" i="2"/>
  <c r="Z331" i="2"/>
  <c r="Z99" i="2"/>
  <c r="Z55" i="2"/>
  <c r="Z454" i="2"/>
  <c r="Z369" i="2"/>
  <c r="Z386" i="2"/>
  <c r="X554" i="2"/>
  <c r="Z411" i="2"/>
  <c r="Z143" i="2"/>
  <c r="Z347" i="2"/>
  <c r="Z379" i="2"/>
  <c r="Z322" i="2"/>
  <c r="Z437" i="2"/>
  <c r="Z136" i="2"/>
  <c r="Z237" i="2"/>
  <c r="Z245" i="2"/>
  <c r="Z521" i="2"/>
  <c r="Z475" i="2"/>
  <c r="Z308" i="2"/>
  <c r="Z92" i="2"/>
  <c r="Z194" i="2"/>
  <c r="Z544" i="2"/>
  <c r="Z392" i="2"/>
  <c r="Z117" i="2"/>
  <c r="Z215" i="2"/>
  <c r="Z109" i="2"/>
  <c r="Z359" i="2"/>
  <c r="Z46" i="2"/>
  <c r="Z67" i="2"/>
  <c r="Z24" i="2"/>
  <c r="Z158" i="2"/>
  <c r="Z169" i="2"/>
  <c r="Z491" i="2"/>
  <c r="Z188" i="2"/>
  <c r="Z32" i="2"/>
  <c r="Y551" i="2"/>
  <c r="Z405" i="2"/>
  <c r="Z448" i="2"/>
  <c r="Z443" i="2"/>
  <c r="Z124" i="2"/>
  <c r="Z174" i="2"/>
  <c r="Z150" i="2"/>
  <c r="Z399" i="2"/>
  <c r="Y555" i="2"/>
  <c r="Z511" i="2"/>
  <c r="Z74" i="2"/>
  <c r="Y553" i="2"/>
  <c r="Z505" i="2"/>
  <c r="Y552" i="2"/>
  <c r="Z464" i="2"/>
  <c r="Y554" i="2" l="1"/>
  <c r="Z556" i="2"/>
</calcChain>
</file>

<file path=xl/sharedStrings.xml><?xml version="1.0" encoding="utf-8"?>
<sst xmlns="http://schemas.openxmlformats.org/spreadsheetml/2006/main" count="4202" uniqueCount="896">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</sst>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51" sqref="AA51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67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68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895</v>
      </c>
      <c r="I5" s="643"/>
      <c r="J5" s="643"/>
      <c r="K5" s="643"/>
      <c r="L5" s="643"/>
      <c r="M5" s="643"/>
      <c r="N5" s="72"/>
      <c r="P5" s="27" t="s">
        <v>4</v>
      </c>
      <c r="Q5" s="645">
        <v>46232</v>
      </c>
      <c r="R5" s="645"/>
      <c r="T5" s="646" t="s">
        <v>3</v>
      </c>
      <c r="U5" s="647"/>
      <c r="V5" s="648" t="s">
        <v>871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878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Среда</v>
      </c>
      <c r="R6" s="651"/>
      <c r="T6" s="652" t="s">
        <v>5</v>
      </c>
      <c r="U6" s="653"/>
      <c r="V6" s="654" t="s">
        <v>70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3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58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71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55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72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73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74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75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61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59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66</v>
      </c>
      <c r="L17" s="684" t="s">
        <v>64</v>
      </c>
      <c r="M17" s="684" t="s">
        <v>2</v>
      </c>
      <c r="N17" s="684" t="s">
        <v>63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56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60</v>
      </c>
      <c r="AB17" s="698" t="s">
        <v>19</v>
      </c>
      <c r="AC17" s="698" t="s">
        <v>65</v>
      </c>
      <c r="AD17" s="700" t="s">
        <v>57</v>
      </c>
      <c r="AE17" s="701"/>
      <c r="AF17" s="702"/>
      <c r="AG17" s="82"/>
      <c r="BD17" s="81" t="s">
        <v>62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76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76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77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86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104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105</v>
      </c>
      <c r="B35" s="63" t="s">
        <v>106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91</v>
      </c>
      <c r="L35" s="37" t="s">
        <v>46</v>
      </c>
      <c r="M35" s="38" t="s">
        <v>109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107</v>
      </c>
      <c r="AG35" s="78"/>
      <c r="AJ35" s="84" t="s">
        <v>46</v>
      </c>
      <c r="AK35" s="84">
        <v>0</v>
      </c>
      <c r="BB35" s="101" t="s">
        <v>108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110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86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111</v>
      </c>
      <c r="B41" s="63" t="s">
        <v>112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97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113</v>
      </c>
      <c r="AG41" s="78"/>
      <c r="AJ41" s="84" t="s">
        <v>46</v>
      </c>
      <c r="AK41" s="84">
        <v>0</v>
      </c>
      <c r="BB41" s="103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114</v>
      </c>
      <c r="B42" s="63" t="s">
        <v>115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91</v>
      </c>
      <c r="L42" s="37" t="s">
        <v>46</v>
      </c>
      <c r="M42" s="38" t="s">
        <v>90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116</v>
      </c>
      <c r="AG42" s="78"/>
      <c r="AJ42" s="84" t="s">
        <v>46</v>
      </c>
      <c r="AK42" s="84">
        <v>0</v>
      </c>
      <c r="BB42" s="105" t="s">
        <v>67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117</v>
      </c>
      <c r="B43" s="63" t="s">
        <v>118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91</v>
      </c>
      <c r="L43" s="37" t="s">
        <v>46</v>
      </c>
      <c r="M43" s="38" t="s">
        <v>90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119</v>
      </c>
      <c r="AG43" s="78"/>
      <c r="AJ43" s="84" t="s">
        <v>46</v>
      </c>
      <c r="AK43" s="84">
        <v>0</v>
      </c>
      <c r="BB43" s="107" t="s">
        <v>67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120</v>
      </c>
      <c r="B44" s="63" t="s">
        <v>121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91</v>
      </c>
      <c r="L44" s="37" t="s">
        <v>46</v>
      </c>
      <c r="M44" s="38" t="s">
        <v>90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122</v>
      </c>
      <c r="AG44" s="78"/>
      <c r="AJ44" s="84" t="s">
        <v>46</v>
      </c>
      <c r="AK44" s="84">
        <v>0</v>
      </c>
      <c r="BB44" s="109" t="s">
        <v>67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123</v>
      </c>
      <c r="B45" s="63" t="s">
        <v>124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91</v>
      </c>
      <c r="L45" s="37" t="s">
        <v>46</v>
      </c>
      <c r="M45" s="38" t="s">
        <v>90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125</v>
      </c>
      <c r="AG45" s="78"/>
      <c r="AJ45" s="84" t="s">
        <v>46</v>
      </c>
      <c r="AK45" s="84">
        <v>0</v>
      </c>
      <c r="BB45" s="111" t="s">
        <v>67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126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127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128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customHeight="1" x14ac:dyDescent="0.25">
      <c r="A51" s="63" t="s">
        <v>129</v>
      </c>
      <c r="B51" s="63" t="s">
        <v>130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133</v>
      </c>
      <c r="L51" s="37" t="s">
        <v>46</v>
      </c>
      <c r="M51" s="38" t="s">
        <v>132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10</v>
      </c>
      <c r="Y51" s="55">
        <f>IFERROR(IF(X51="",0,CEILING((X51/$H51),1)*$H51),"")</f>
        <v>10.8</v>
      </c>
      <c r="Z51" s="41">
        <f>IFERROR(IF(Y51=0,"",ROUNDUP(Y51/H51,0)*0.01898),"")</f>
        <v>1.898E-2</v>
      </c>
      <c r="AA51" s="68" t="s">
        <v>46</v>
      </c>
      <c r="AB51" s="69" t="s">
        <v>46</v>
      </c>
      <c r="AC51" s="112" t="s">
        <v>131</v>
      </c>
      <c r="AG51" s="78"/>
      <c r="AJ51" s="84" t="s">
        <v>46</v>
      </c>
      <c r="AK51" s="84">
        <v>0</v>
      </c>
      <c r="BB51" s="113" t="s">
        <v>67</v>
      </c>
      <c r="BM51" s="78">
        <f>IFERROR(X51*I51/H51,"0")</f>
        <v>10.37962962962963</v>
      </c>
      <c r="BN51" s="78">
        <f>IFERROR(Y51*I51/H51,"0")</f>
        <v>11.21</v>
      </c>
      <c r="BO51" s="78">
        <f>IFERROR(1/J51*(X51/H51),"0")</f>
        <v>1.4467592592592591E-2</v>
      </c>
      <c r="BP51" s="78">
        <f>IFERROR(1/J51*(Y51/H51),"0")</f>
        <v>1.5625E-2</v>
      </c>
    </row>
    <row r="52" spans="1:68" ht="27" hidden="1" customHeight="1" x14ac:dyDescent="0.25">
      <c r="A52" s="63" t="s">
        <v>134</v>
      </c>
      <c r="B52" s="63" t="s">
        <v>135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137</v>
      </c>
      <c r="L52" s="37" t="s">
        <v>46</v>
      </c>
      <c r="M52" s="38" t="s">
        <v>81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136</v>
      </c>
      <c r="AG52" s="78"/>
      <c r="AJ52" s="84" t="s">
        <v>46</v>
      </c>
      <c r="AK52" s="84">
        <v>0</v>
      </c>
      <c r="BB52" s="115" t="s">
        <v>67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customHeight="1" x14ac:dyDescent="0.25">
      <c r="A53" s="63" t="s">
        <v>138</v>
      </c>
      <c r="B53" s="63" t="s">
        <v>139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140</v>
      </c>
      <c r="L53" s="37" t="s">
        <v>46</v>
      </c>
      <c r="M53" s="38" t="s">
        <v>90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24</v>
      </c>
      <c r="Y53" s="55">
        <f>IFERROR(IF(X53="",0,CEILING((X53/$H53),1)*$H53),"")</f>
        <v>24</v>
      </c>
      <c r="Z53" s="41">
        <f>IFERROR(IF(Y53=0,"",ROUNDUP(Y53/H53,0)*0.00902),"")</f>
        <v>5.4120000000000001E-2</v>
      </c>
      <c r="AA53" s="68" t="s">
        <v>46</v>
      </c>
      <c r="AB53" s="69" t="s">
        <v>46</v>
      </c>
      <c r="AC53" s="116" t="s">
        <v>131</v>
      </c>
      <c r="AG53" s="78"/>
      <c r="AJ53" s="84" t="s">
        <v>46</v>
      </c>
      <c r="AK53" s="84">
        <v>0</v>
      </c>
      <c r="BB53" s="117" t="s">
        <v>67</v>
      </c>
      <c r="BM53" s="78">
        <f>IFERROR(X53*I53/H53,"0")</f>
        <v>25.14</v>
      </c>
      <c r="BN53" s="78">
        <f>IFERROR(Y53*I53/H53,"0")</f>
        <v>25.14</v>
      </c>
      <c r="BO53" s="78">
        <f>IFERROR(1/J53*(X53/H53),"0")</f>
        <v>4.5454545454545456E-2</v>
      </c>
      <c r="BP53" s="78">
        <f>IFERROR(1/J53*(Y53/H53),"0")</f>
        <v>4.5454545454545456E-2</v>
      </c>
    </row>
    <row r="54" spans="1:68" ht="27" hidden="1" customHeight="1" x14ac:dyDescent="0.25">
      <c r="A54" s="63" t="s">
        <v>141</v>
      </c>
      <c r="B54" s="63" t="s">
        <v>142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140</v>
      </c>
      <c r="L54" s="37" t="s">
        <v>46</v>
      </c>
      <c r="M54" s="38" t="s">
        <v>90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131</v>
      </c>
      <c r="AG54" s="78"/>
      <c r="AJ54" s="84" t="s">
        <v>46</v>
      </c>
      <c r="AK54" s="84">
        <v>0</v>
      </c>
      <c r="BB54" s="119" t="s">
        <v>67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6.9259259259259256</v>
      </c>
      <c r="Y55" s="43">
        <f>IFERROR(Y51/H51,"0")+IFERROR(Y52/H52,"0")+IFERROR(Y53/H53,"0")+IFERROR(Y54/H54,"0")</f>
        <v>7</v>
      </c>
      <c r="Z55" s="43">
        <f>IFERROR(IF(Z51="",0,Z51),"0")+IFERROR(IF(Z52="",0,Z52),"0")+IFERROR(IF(Z53="",0,Z53),"0")+IFERROR(IF(Z54="",0,Z54),"0")</f>
        <v>7.3099999999999998E-2</v>
      </c>
      <c r="AA55" s="67"/>
      <c r="AB55" s="67"/>
      <c r="AC55" s="67"/>
    </row>
    <row r="56" spans="1:68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34</v>
      </c>
      <c r="Y56" s="43">
        <f>IFERROR(SUM(Y51:Y54),"0")</f>
        <v>34.799999999999997</v>
      </c>
      <c r="Z56" s="42"/>
      <c r="AA56" s="67"/>
      <c r="AB56" s="67"/>
      <c r="AC56" s="67"/>
    </row>
    <row r="57" spans="1:68" ht="16.5" hidden="1" customHeight="1" x14ac:dyDescent="0.25">
      <c r="A57" s="707" t="s">
        <v>143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128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144</v>
      </c>
      <c r="B59" s="63" t="s">
        <v>145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133</v>
      </c>
      <c r="L59" s="37" t="s">
        <v>46</v>
      </c>
      <c r="M59" s="38" t="s">
        <v>90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146</v>
      </c>
      <c r="AG59" s="78"/>
      <c r="AJ59" s="84" t="s">
        <v>46</v>
      </c>
      <c r="AK59" s="84">
        <v>0</v>
      </c>
      <c r="BB59" s="121" t="s">
        <v>67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144</v>
      </c>
      <c r="B60" s="63" t="s">
        <v>147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133</v>
      </c>
      <c r="L60" s="37" t="s">
        <v>46</v>
      </c>
      <c r="M60" s="38" t="s">
        <v>132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148</v>
      </c>
      <c r="AG60" s="78"/>
      <c r="AJ60" s="84" t="s">
        <v>46</v>
      </c>
      <c r="AK60" s="84">
        <v>0</v>
      </c>
      <c r="BB60" s="123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customHeight="1" x14ac:dyDescent="0.25">
      <c r="A61" s="63" t="s">
        <v>149</v>
      </c>
      <c r="B61" s="63" t="s">
        <v>150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133</v>
      </c>
      <c r="L61" s="37" t="s">
        <v>46</v>
      </c>
      <c r="M61" s="38" t="s">
        <v>132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110</v>
      </c>
      <c r="Y61" s="55">
        <f t="shared" si="0"/>
        <v>118.80000000000001</v>
      </c>
      <c r="Z61" s="41">
        <f>IFERROR(IF(Y61=0,"",ROUNDUP(Y61/H61,0)*0.01898),"")</f>
        <v>0.20877999999999999</v>
      </c>
      <c r="AA61" s="68" t="s">
        <v>46</v>
      </c>
      <c r="AB61" s="69" t="s">
        <v>46</v>
      </c>
      <c r="AC61" s="124" t="s">
        <v>151</v>
      </c>
      <c r="AG61" s="78"/>
      <c r="AJ61" s="84" t="s">
        <v>46</v>
      </c>
      <c r="AK61" s="84">
        <v>0</v>
      </c>
      <c r="BB61" s="125" t="s">
        <v>67</v>
      </c>
      <c r="BM61" s="78">
        <f t="shared" si="1"/>
        <v>114.17592592592594</v>
      </c>
      <c r="BN61" s="78">
        <f t="shared" si="2"/>
        <v>123.31000000000002</v>
      </c>
      <c r="BO61" s="78">
        <f t="shared" si="3"/>
        <v>0.15914351851851852</v>
      </c>
      <c r="BP61" s="78">
        <f t="shared" si="4"/>
        <v>0.171875</v>
      </c>
    </row>
    <row r="62" spans="1:68" ht="27" hidden="1" customHeight="1" x14ac:dyDescent="0.25">
      <c r="A62" s="63" t="s">
        <v>152</v>
      </c>
      <c r="B62" s="63" t="s">
        <v>153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140</v>
      </c>
      <c r="L62" s="37" t="s">
        <v>46</v>
      </c>
      <c r="M62" s="38" t="s">
        <v>132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154</v>
      </c>
      <c r="AG62" s="78"/>
      <c r="AJ62" s="84" t="s">
        <v>46</v>
      </c>
      <c r="AK62" s="84">
        <v>0</v>
      </c>
      <c r="BB62" s="127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152</v>
      </c>
      <c r="B63" s="63" t="s">
        <v>155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140</v>
      </c>
      <c r="L63" s="37" t="s">
        <v>46</v>
      </c>
      <c r="M63" s="38" t="s">
        <v>132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154</v>
      </c>
      <c r="AG63" s="78"/>
      <c r="AJ63" s="84" t="s">
        <v>46</v>
      </c>
      <c r="AK63" s="84">
        <v>0</v>
      </c>
      <c r="BB63" s="129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156</v>
      </c>
      <c r="B64" s="63" t="s">
        <v>157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140</v>
      </c>
      <c r="L64" s="37" t="s">
        <v>46</v>
      </c>
      <c r="M64" s="38" t="s">
        <v>132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158</v>
      </c>
      <c r="AG64" s="78"/>
      <c r="AJ64" s="84" t="s">
        <v>46</v>
      </c>
      <c r="AK64" s="84">
        <v>0</v>
      </c>
      <c r="BB64" s="131" t="s">
        <v>67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159</v>
      </c>
      <c r="B65" s="63" t="s">
        <v>160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91</v>
      </c>
      <c r="L65" s="37" t="s">
        <v>46</v>
      </c>
      <c r="M65" s="38" t="s">
        <v>132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148</v>
      </c>
      <c r="AG65" s="78"/>
      <c r="AJ65" s="84" t="s">
        <v>46</v>
      </c>
      <c r="AK65" s="84">
        <v>0</v>
      </c>
      <c r="BB65" s="133" t="s">
        <v>67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customHeight="1" x14ac:dyDescent="0.25">
      <c r="A66" s="63" t="s">
        <v>161</v>
      </c>
      <c r="B66" s="63" t="s">
        <v>162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140</v>
      </c>
      <c r="L66" s="37" t="s">
        <v>46</v>
      </c>
      <c r="M66" s="38" t="s">
        <v>132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13.5</v>
      </c>
      <c r="Y66" s="55">
        <f t="shared" si="0"/>
        <v>13.5</v>
      </c>
      <c r="Z66" s="41">
        <f>IFERROR(IF(Y66=0,"",ROUNDUP(Y66/H66,0)*0.00902),"")</f>
        <v>2.7060000000000001E-2</v>
      </c>
      <c r="AA66" s="68" t="s">
        <v>46</v>
      </c>
      <c r="AB66" s="69" t="s">
        <v>46</v>
      </c>
      <c r="AC66" s="134" t="s">
        <v>163</v>
      </c>
      <c r="AG66" s="78"/>
      <c r="AJ66" s="84" t="s">
        <v>46</v>
      </c>
      <c r="AK66" s="84">
        <v>0</v>
      </c>
      <c r="BB66" s="135" t="s">
        <v>67</v>
      </c>
      <c r="BM66" s="78">
        <f t="shared" si="1"/>
        <v>14.07</v>
      </c>
      <c r="BN66" s="78">
        <f t="shared" si="2"/>
        <v>14.07</v>
      </c>
      <c r="BO66" s="78">
        <f t="shared" si="3"/>
        <v>2.2727272727272728E-2</v>
      </c>
      <c r="BP66" s="78">
        <f t="shared" si="4"/>
        <v>2.2727272727272728E-2</v>
      </c>
    </row>
    <row r="67" spans="1:68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13.185185185185185</v>
      </c>
      <c r="Y67" s="43">
        <f>IFERROR(Y59/H59,"0")+IFERROR(Y60/H60,"0")+IFERROR(Y61/H61,"0")+IFERROR(Y62/H62,"0")+IFERROR(Y63/H63,"0")+IFERROR(Y64/H64,"0")+IFERROR(Y65/H65,"0")+IFERROR(Y66/H66,"0")</f>
        <v>14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0.23583999999999999</v>
      </c>
      <c r="AA67" s="67"/>
      <c r="AB67" s="67"/>
      <c r="AC67" s="67"/>
    </row>
    <row r="68" spans="1:68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123.5</v>
      </c>
      <c r="Y68" s="43">
        <f>IFERROR(SUM(Y59:Y66),"0")</f>
        <v>132.30000000000001</v>
      </c>
      <c r="Z68" s="42"/>
      <c r="AA68" s="67"/>
      <c r="AB68" s="67"/>
      <c r="AC68" s="67"/>
    </row>
    <row r="69" spans="1:68" ht="14.25" hidden="1" customHeight="1" x14ac:dyDescent="0.25">
      <c r="A69" s="708" t="s">
        <v>164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customHeight="1" x14ac:dyDescent="0.25">
      <c r="A70" s="63" t="s">
        <v>165</v>
      </c>
      <c r="B70" s="63" t="s">
        <v>166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133</v>
      </c>
      <c r="L70" s="37" t="s">
        <v>46</v>
      </c>
      <c r="M70" s="38" t="s">
        <v>132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50</v>
      </c>
      <c r="Y70" s="55">
        <f>IFERROR(IF(X70="",0,CEILING((X70/$H70),1)*$H70),"")</f>
        <v>54</v>
      </c>
      <c r="Z70" s="41">
        <f>IFERROR(IF(Y70=0,"",ROUNDUP(Y70/H70,0)*0.01898),"")</f>
        <v>9.4899999999999998E-2</v>
      </c>
      <c r="AA70" s="68" t="s">
        <v>46</v>
      </c>
      <c r="AB70" s="69" t="s">
        <v>46</v>
      </c>
      <c r="AC70" s="136" t="s">
        <v>167</v>
      </c>
      <c r="AG70" s="78"/>
      <c r="AJ70" s="84" t="s">
        <v>46</v>
      </c>
      <c r="AK70" s="84">
        <v>0</v>
      </c>
      <c r="BB70" s="137" t="s">
        <v>67</v>
      </c>
      <c r="BM70" s="78">
        <f>IFERROR(X70*I70/H70,"0")</f>
        <v>51.898148148148145</v>
      </c>
      <c r="BN70" s="78">
        <f>IFERROR(Y70*I70/H70,"0")</f>
        <v>56.05</v>
      </c>
      <c r="BO70" s="78">
        <f>IFERROR(1/J70*(X70/H70),"0")</f>
        <v>7.2337962962962965E-2</v>
      </c>
      <c r="BP70" s="78">
        <f>IFERROR(1/J70*(Y70/H70),"0")</f>
        <v>7.8125E-2</v>
      </c>
    </row>
    <row r="71" spans="1:68" ht="16.5" hidden="1" customHeight="1" x14ac:dyDescent="0.25">
      <c r="A71" s="63" t="s">
        <v>168</v>
      </c>
      <c r="B71" s="63" t="s">
        <v>169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91</v>
      </c>
      <c r="L71" s="37" t="s">
        <v>46</v>
      </c>
      <c r="M71" s="38" t="s">
        <v>90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167</v>
      </c>
      <c r="AG71" s="78"/>
      <c r="AJ71" s="84" t="s">
        <v>46</v>
      </c>
      <c r="AK71" s="84">
        <v>0</v>
      </c>
      <c r="BB71" s="139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170</v>
      </c>
      <c r="B72" s="63" t="s">
        <v>171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137</v>
      </c>
      <c r="L72" s="37" t="s">
        <v>46</v>
      </c>
      <c r="M72" s="38" t="s">
        <v>81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172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customHeight="1" x14ac:dyDescent="0.25">
      <c r="A73" s="63" t="s">
        <v>173</v>
      </c>
      <c r="B73" s="63" t="s">
        <v>174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91</v>
      </c>
      <c r="L73" s="37" t="s">
        <v>46</v>
      </c>
      <c r="M73" s="38" t="s">
        <v>132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8.1</v>
      </c>
      <c r="Y73" s="55">
        <f>IFERROR(IF(X73="",0,CEILING((X73/$H73),1)*$H73),"")</f>
        <v>8.1000000000000014</v>
      </c>
      <c r="Z73" s="41">
        <f>IFERROR(IF(Y73=0,"",ROUNDUP(Y73/H73,0)*0.00651),"")</f>
        <v>1.9529999999999999E-2</v>
      </c>
      <c r="AA73" s="68" t="s">
        <v>46</v>
      </c>
      <c r="AB73" s="69" t="s">
        <v>46</v>
      </c>
      <c r="AC73" s="142" t="s">
        <v>167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8.6399999999999988</v>
      </c>
      <c r="BN73" s="78">
        <f>IFERROR(Y73*I73/H73,"0")</f>
        <v>8.64</v>
      </c>
      <c r="BO73" s="78">
        <f>IFERROR(1/J73*(X73/H73),"0")</f>
        <v>1.6483516483516484E-2</v>
      </c>
      <c r="BP73" s="78">
        <f>IFERROR(1/J73*(Y73/H73),"0")</f>
        <v>1.6483516483516487E-2</v>
      </c>
    </row>
    <row r="74" spans="1:68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7.6296296296296298</v>
      </c>
      <c r="Y74" s="43">
        <f>IFERROR(Y70/H70,"0")+IFERROR(Y71/H71,"0")+IFERROR(Y72/H72,"0")+IFERROR(Y73/H73,"0")</f>
        <v>8</v>
      </c>
      <c r="Z74" s="43">
        <f>IFERROR(IF(Z70="",0,Z70),"0")+IFERROR(IF(Z71="",0,Z71),"0")+IFERROR(IF(Z72="",0,Z72),"0")+IFERROR(IF(Z73="",0,Z73),"0")</f>
        <v>0.11443</v>
      </c>
      <c r="AA74" s="67"/>
      <c r="AB74" s="67"/>
      <c r="AC74" s="67"/>
    </row>
    <row r="75" spans="1:68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58.1</v>
      </c>
      <c r="Y75" s="43">
        <f>IFERROR(SUM(Y70:Y73),"0")</f>
        <v>62.1</v>
      </c>
      <c r="Z75" s="42"/>
      <c r="AA75" s="67"/>
      <c r="AB75" s="67"/>
      <c r="AC75" s="67"/>
    </row>
    <row r="76" spans="1:68" ht="14.25" hidden="1" customHeight="1" x14ac:dyDescent="0.25">
      <c r="A76" s="708" t="s">
        <v>86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175</v>
      </c>
      <c r="B77" s="63" t="s">
        <v>176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91</v>
      </c>
      <c r="L77" s="37" t="s">
        <v>46</v>
      </c>
      <c r="M77" s="38" t="s">
        <v>90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177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178</v>
      </c>
      <c r="B78" s="63" t="s">
        <v>179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91</v>
      </c>
      <c r="L78" s="37" t="s">
        <v>46</v>
      </c>
      <c r="M78" s="38" t="s">
        <v>90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180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181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182</v>
      </c>
      <c r="B82" s="63" t="s">
        <v>183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133</v>
      </c>
      <c r="L82" s="37" t="s">
        <v>46</v>
      </c>
      <c r="M82" s="38" t="s">
        <v>97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184</v>
      </c>
      <c r="AG82" s="78"/>
      <c r="AJ82" s="84" t="s">
        <v>46</v>
      </c>
      <c r="AK82" s="84">
        <v>0</v>
      </c>
      <c r="BB82" s="149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185</v>
      </c>
      <c r="B83" s="63" t="s">
        <v>186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140</v>
      </c>
      <c r="L83" s="37" t="s">
        <v>46</v>
      </c>
      <c r="M83" s="38" t="s">
        <v>90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187</v>
      </c>
      <c r="AG83" s="78"/>
      <c r="AJ83" s="84" t="s">
        <v>46</v>
      </c>
      <c r="AK83" s="84">
        <v>0</v>
      </c>
      <c r="BB83" s="151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188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128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customHeight="1" x14ac:dyDescent="0.25">
      <c r="A88" s="63" t="s">
        <v>189</v>
      </c>
      <c r="B88" s="63" t="s">
        <v>190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133</v>
      </c>
      <c r="L88" s="37" t="s">
        <v>46</v>
      </c>
      <c r="M88" s="38" t="s">
        <v>97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20</v>
      </c>
      <c r="Y88" s="55">
        <f>IFERROR(IF(X88="",0,CEILING((X88/$H88),1)*$H88),"")</f>
        <v>21.6</v>
      </c>
      <c r="Z88" s="41">
        <f>IFERROR(IF(Y88=0,"",ROUNDUP(Y88/H88,0)*0.01898),"")</f>
        <v>3.7960000000000001E-2</v>
      </c>
      <c r="AA88" s="68" t="s">
        <v>46</v>
      </c>
      <c r="AB88" s="69" t="s">
        <v>46</v>
      </c>
      <c r="AC88" s="152" t="s">
        <v>191</v>
      </c>
      <c r="AG88" s="78"/>
      <c r="AJ88" s="84" t="s">
        <v>46</v>
      </c>
      <c r="AK88" s="84">
        <v>0</v>
      </c>
      <c r="BB88" s="153" t="s">
        <v>67</v>
      </c>
      <c r="BM88" s="78">
        <f>IFERROR(X88*I88/H88,"0")</f>
        <v>20.75925925925926</v>
      </c>
      <c r="BN88" s="78">
        <f>IFERROR(Y88*I88/H88,"0")</f>
        <v>22.42</v>
      </c>
      <c r="BO88" s="78">
        <f>IFERROR(1/J88*(X88/H88),"0")</f>
        <v>2.8935185185185182E-2</v>
      </c>
      <c r="BP88" s="78">
        <f>IFERROR(1/J88*(Y88/H88),"0")</f>
        <v>3.125E-2</v>
      </c>
    </row>
    <row r="89" spans="1:68" ht="27" hidden="1" customHeight="1" x14ac:dyDescent="0.25">
      <c r="A89" s="63" t="s">
        <v>192</v>
      </c>
      <c r="B89" s="63" t="s">
        <v>193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137</v>
      </c>
      <c r="L89" s="37" t="s">
        <v>46</v>
      </c>
      <c r="M89" s="38" t="s">
        <v>81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194</v>
      </c>
      <c r="AG89" s="78"/>
      <c r="AJ89" s="84" t="s">
        <v>46</v>
      </c>
      <c r="AK89" s="84">
        <v>0</v>
      </c>
      <c r="BB89" s="155" t="s">
        <v>67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195</v>
      </c>
      <c r="B90" s="63" t="s">
        <v>196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140</v>
      </c>
      <c r="L90" s="37" t="s">
        <v>46</v>
      </c>
      <c r="M90" s="38" t="s">
        <v>90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191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customHeight="1" x14ac:dyDescent="0.25">
      <c r="A91" s="63" t="s">
        <v>197</v>
      </c>
      <c r="B91" s="63" t="s">
        <v>198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140</v>
      </c>
      <c r="L91" s="37" t="s">
        <v>46</v>
      </c>
      <c r="M91" s="38" t="s">
        <v>97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22.5</v>
      </c>
      <c r="Y91" s="55">
        <f>IFERROR(IF(X91="",0,CEILING((X91/$H91),1)*$H91),"")</f>
        <v>22.5</v>
      </c>
      <c r="Z91" s="41">
        <f>IFERROR(IF(Y91=0,"",ROUNDUP(Y91/H91,0)*0.00902),"")</f>
        <v>4.5100000000000001E-2</v>
      </c>
      <c r="AA91" s="68" t="s">
        <v>46</v>
      </c>
      <c r="AB91" s="69" t="s">
        <v>46</v>
      </c>
      <c r="AC91" s="158" t="s">
        <v>191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23.450000000000003</v>
      </c>
      <c r="BN91" s="78">
        <f>IFERROR(Y91*I91/H91,"0")</f>
        <v>23.450000000000003</v>
      </c>
      <c r="BO91" s="78">
        <f>IFERROR(1/J91*(X91/H91),"0")</f>
        <v>3.787878787878788E-2</v>
      </c>
      <c r="BP91" s="78">
        <f>IFERROR(1/J91*(Y91/H91),"0")</f>
        <v>3.787878787878788E-2</v>
      </c>
    </row>
    <row r="92" spans="1:68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6.8518518518518512</v>
      </c>
      <c r="Y92" s="43">
        <f>IFERROR(Y88/H88,"0")+IFERROR(Y89/H89,"0")+IFERROR(Y90/H90,"0")+IFERROR(Y91/H91,"0")</f>
        <v>7</v>
      </c>
      <c r="Z92" s="43">
        <f>IFERROR(IF(Z88="",0,Z88),"0")+IFERROR(IF(Z89="",0,Z89),"0")+IFERROR(IF(Z90="",0,Z90),"0")+IFERROR(IF(Z91="",0,Z91),"0")</f>
        <v>8.3059999999999995E-2</v>
      </c>
      <c r="AA92" s="67"/>
      <c r="AB92" s="67"/>
      <c r="AC92" s="67"/>
    </row>
    <row r="93" spans="1:68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42.5</v>
      </c>
      <c r="Y93" s="43">
        <f>IFERROR(SUM(Y88:Y91),"0")</f>
        <v>44.1</v>
      </c>
      <c r="Z93" s="42"/>
      <c r="AA93" s="67"/>
      <c r="AB93" s="67"/>
      <c r="AC93" s="67"/>
    </row>
    <row r="94" spans="1:68" ht="14.25" hidden="1" customHeight="1" x14ac:dyDescent="0.25">
      <c r="A94" s="708" t="s">
        <v>86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199</v>
      </c>
      <c r="B95" s="63" t="s">
        <v>200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133</v>
      </c>
      <c r="L95" s="37" t="s">
        <v>46</v>
      </c>
      <c r="M95" s="38" t="s">
        <v>97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201</v>
      </c>
      <c r="AG95" s="78"/>
      <c r="AJ95" s="84" t="s">
        <v>46</v>
      </c>
      <c r="AK95" s="84">
        <v>0</v>
      </c>
      <c r="BB95" s="161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202</v>
      </c>
      <c r="B96" s="63" t="s">
        <v>203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91</v>
      </c>
      <c r="L96" s="37" t="s">
        <v>46</v>
      </c>
      <c r="M96" s="38" t="s">
        <v>90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201</v>
      </c>
      <c r="AG96" s="78"/>
      <c r="AJ96" s="84" t="s">
        <v>46</v>
      </c>
      <c r="AK96" s="84">
        <v>0</v>
      </c>
      <c r="BB96" s="163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customHeight="1" x14ac:dyDescent="0.25">
      <c r="A97" s="63" t="s">
        <v>204</v>
      </c>
      <c r="B97" s="63" t="s">
        <v>205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91</v>
      </c>
      <c r="L97" s="37" t="s">
        <v>46</v>
      </c>
      <c r="M97" s="38" t="s">
        <v>97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8.1</v>
      </c>
      <c r="Y97" s="55">
        <f>IFERROR(IF(X97="",0,CEILING((X97/$H97),1)*$H97),"")</f>
        <v>8.1000000000000014</v>
      </c>
      <c r="Z97" s="41">
        <f>IFERROR(IF(Y97=0,"",ROUNDUP(Y97/H97,0)*0.00651),"")</f>
        <v>1.9529999999999999E-2</v>
      </c>
      <c r="AA97" s="68" t="s">
        <v>46</v>
      </c>
      <c r="AB97" s="69" t="s">
        <v>46</v>
      </c>
      <c r="AC97" s="164" t="s">
        <v>201</v>
      </c>
      <c r="AG97" s="78"/>
      <c r="AJ97" s="84" t="s">
        <v>46</v>
      </c>
      <c r="AK97" s="84">
        <v>0</v>
      </c>
      <c r="BB97" s="165" t="s">
        <v>67</v>
      </c>
      <c r="BM97" s="78">
        <f>IFERROR(X97*I97/H97,"0")</f>
        <v>8.8559999999999981</v>
      </c>
      <c r="BN97" s="78">
        <f>IFERROR(Y97*I97/H97,"0")</f>
        <v>8.8560000000000016</v>
      </c>
      <c r="BO97" s="78">
        <f>IFERROR(1/J97*(X97/H97),"0")</f>
        <v>1.6483516483516484E-2</v>
      </c>
      <c r="BP97" s="78">
        <f>IFERROR(1/J97*(Y97/H97),"0")</f>
        <v>1.6483516483516487E-2</v>
      </c>
    </row>
    <row r="98" spans="1:68" ht="16.5" hidden="1" customHeight="1" x14ac:dyDescent="0.25">
      <c r="A98" s="63" t="s">
        <v>206</v>
      </c>
      <c r="B98" s="63" t="s">
        <v>207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91</v>
      </c>
      <c r="L98" s="37" t="s">
        <v>46</v>
      </c>
      <c r="M98" s="38" t="s">
        <v>90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208</v>
      </c>
      <c r="AG98" s="78"/>
      <c r="AJ98" s="84" t="s">
        <v>46</v>
      </c>
      <c r="AK98" s="84">
        <v>0</v>
      </c>
      <c r="BB98" s="167" t="s">
        <v>67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2.9999999999999996</v>
      </c>
      <c r="Y99" s="43">
        <f>IFERROR(Y95/H95,"0")+IFERROR(Y96/H96,"0")+IFERROR(Y97/H97,"0")+IFERROR(Y98/H98,"0")</f>
        <v>3.0000000000000004</v>
      </c>
      <c r="Z99" s="43">
        <f>IFERROR(IF(Z95="",0,Z95),"0")+IFERROR(IF(Z96="",0,Z96),"0")+IFERROR(IF(Z97="",0,Z97),"0")+IFERROR(IF(Z98="",0,Z98),"0")</f>
        <v>1.9529999999999999E-2</v>
      </c>
      <c r="AA99" s="67"/>
      <c r="AB99" s="67"/>
      <c r="AC99" s="67"/>
    </row>
    <row r="100" spans="1:68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8.1</v>
      </c>
      <c r="Y100" s="43">
        <f>IFERROR(SUM(Y95:Y98),"0")</f>
        <v>8.1000000000000014</v>
      </c>
      <c r="Z100" s="42"/>
      <c r="AA100" s="67"/>
      <c r="AB100" s="67"/>
      <c r="AC100" s="67"/>
    </row>
    <row r="101" spans="1:68" ht="16.5" hidden="1" customHeight="1" x14ac:dyDescent="0.25">
      <c r="A101" s="707" t="s">
        <v>209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128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210</v>
      </c>
      <c r="B103" s="63" t="s">
        <v>211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133</v>
      </c>
      <c r="L103" s="37" t="s">
        <v>46</v>
      </c>
      <c r="M103" s="38" t="s">
        <v>132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212</v>
      </c>
      <c r="AG103" s="78"/>
      <c r="AJ103" s="84" t="s">
        <v>46</v>
      </c>
      <c r="AK103" s="84">
        <v>0</v>
      </c>
      <c r="BB103" s="169" t="s">
        <v>67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137</v>
      </c>
      <c r="L104" s="37" t="s">
        <v>46</v>
      </c>
      <c r="M104" s="38" t="s">
        <v>81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215</v>
      </c>
      <c r="AG104" s="78"/>
      <c r="AJ104" s="84" t="s">
        <v>46</v>
      </c>
      <c r="AK104" s="84">
        <v>0</v>
      </c>
      <c r="BB104" s="171" t="s">
        <v>67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213</v>
      </c>
      <c r="B105" s="63" t="s">
        <v>216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137</v>
      </c>
      <c r="L105" s="37" t="s">
        <v>46</v>
      </c>
      <c r="M105" s="38" t="s">
        <v>81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215</v>
      </c>
      <c r="AG105" s="78"/>
      <c r="AJ105" s="84" t="s">
        <v>46</v>
      </c>
      <c r="AK105" s="84">
        <v>0</v>
      </c>
      <c r="BB105" s="173" t="s">
        <v>67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customHeight="1" x14ac:dyDescent="0.25">
      <c r="A106" s="63" t="s">
        <v>217</v>
      </c>
      <c r="B106" s="63" t="s">
        <v>218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140</v>
      </c>
      <c r="L106" s="37" t="s">
        <v>46</v>
      </c>
      <c r="M106" s="38" t="s">
        <v>90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11.25</v>
      </c>
      <c r="Y106" s="55">
        <f t="shared" si="5"/>
        <v>11.25</v>
      </c>
      <c r="Z106" s="41">
        <f>IFERROR(IF(Y106=0,"",ROUNDUP(Y106/H106,0)*0.00902),"")</f>
        <v>2.7060000000000001E-2</v>
      </c>
      <c r="AA106" s="68" t="s">
        <v>46</v>
      </c>
      <c r="AB106" s="69" t="s">
        <v>46</v>
      </c>
      <c r="AC106" s="174" t="s">
        <v>212</v>
      </c>
      <c r="AG106" s="78"/>
      <c r="AJ106" s="84" t="s">
        <v>46</v>
      </c>
      <c r="AK106" s="84">
        <v>0</v>
      </c>
      <c r="BB106" s="175" t="s">
        <v>67</v>
      </c>
      <c r="BM106" s="78">
        <f t="shared" si="6"/>
        <v>11.82</v>
      </c>
      <c r="BN106" s="78">
        <f t="shared" si="7"/>
        <v>11.82</v>
      </c>
      <c r="BO106" s="78">
        <f t="shared" si="8"/>
        <v>2.2727272727272728E-2</v>
      </c>
      <c r="BP106" s="78">
        <f t="shared" si="9"/>
        <v>2.2727272727272728E-2</v>
      </c>
    </row>
    <row r="107" spans="1:68" ht="37.5" hidden="1" customHeight="1" x14ac:dyDescent="0.25">
      <c r="A107" s="63" t="s">
        <v>219</v>
      </c>
      <c r="B107" s="63" t="s">
        <v>220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140</v>
      </c>
      <c r="L107" s="37" t="s">
        <v>46</v>
      </c>
      <c r="M107" s="38" t="s">
        <v>90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212</v>
      </c>
      <c r="AG107" s="78"/>
      <c r="AJ107" s="84" t="s">
        <v>46</v>
      </c>
      <c r="AK107" s="84">
        <v>0</v>
      </c>
      <c r="BB107" s="177" t="s">
        <v>67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221</v>
      </c>
      <c r="B108" s="63" t="s">
        <v>222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140</v>
      </c>
      <c r="L108" s="37" t="s">
        <v>46</v>
      </c>
      <c r="M108" s="38" t="s">
        <v>90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212</v>
      </c>
      <c r="AG108" s="78"/>
      <c r="AJ108" s="84" t="s">
        <v>46</v>
      </c>
      <c r="AK108" s="84">
        <v>0</v>
      </c>
      <c r="BB108" s="179" t="s">
        <v>67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3</v>
      </c>
      <c r="Y109" s="43">
        <f>IFERROR(Y103/H103,"0")+IFERROR(Y104/H104,"0")+IFERROR(Y105/H105,"0")+IFERROR(Y106/H106,"0")+IFERROR(Y107/H107,"0")+IFERROR(Y108/H108,"0")</f>
        <v>3</v>
      </c>
      <c r="Z109" s="43">
        <f>IFERROR(IF(Z103="",0,Z103),"0")+IFERROR(IF(Z104="",0,Z104),"0")+IFERROR(IF(Z105="",0,Z105),"0")+IFERROR(IF(Z106="",0,Z106),"0")+IFERROR(IF(Z107="",0,Z107),"0")+IFERROR(IF(Z108="",0,Z108),"0")</f>
        <v>2.7060000000000001E-2</v>
      </c>
      <c r="AA109" s="67"/>
      <c r="AB109" s="67"/>
      <c r="AC109" s="67"/>
    </row>
    <row r="110" spans="1:68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11.25</v>
      </c>
      <c r="Y110" s="43">
        <f>IFERROR(SUM(Y103:Y108),"0")</f>
        <v>11.25</v>
      </c>
      <c r="Z110" s="42"/>
      <c r="AA110" s="67"/>
      <c r="AB110" s="67"/>
      <c r="AC110" s="67"/>
    </row>
    <row r="111" spans="1:68" ht="14.25" hidden="1" customHeight="1" x14ac:dyDescent="0.25">
      <c r="A111" s="708" t="s">
        <v>164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223</v>
      </c>
      <c r="B112" s="63" t="s">
        <v>224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133</v>
      </c>
      <c r="L112" s="37" t="s">
        <v>46</v>
      </c>
      <c r="M112" s="38" t="s">
        <v>132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225</v>
      </c>
      <c r="AG112" s="78"/>
      <c r="AJ112" s="84" t="s">
        <v>46</v>
      </c>
      <c r="AK112" s="84">
        <v>0</v>
      </c>
      <c r="BB112" s="181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227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228</v>
      </c>
      <c r="AG113" s="78"/>
      <c r="AJ113" s="84" t="s">
        <v>46</v>
      </c>
      <c r="AK113" s="84">
        <v>0</v>
      </c>
      <c r="BB113" s="183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226</v>
      </c>
      <c r="B114" s="63" t="s">
        <v>230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229</v>
      </c>
      <c r="L114" s="37" t="s">
        <v>46</v>
      </c>
      <c r="M114" s="38" t="s">
        <v>81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228</v>
      </c>
      <c r="AG114" s="78"/>
      <c r="AJ114" s="84" t="s">
        <v>46</v>
      </c>
      <c r="AK114" s="84">
        <v>0</v>
      </c>
      <c r="BB114" s="185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231</v>
      </c>
      <c r="B115" s="63" t="s">
        <v>232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82</v>
      </c>
      <c r="L115" s="37" t="s">
        <v>46</v>
      </c>
      <c r="M115" s="38" t="s">
        <v>132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225</v>
      </c>
      <c r="AG115" s="78"/>
      <c r="AJ115" s="84" t="s">
        <v>46</v>
      </c>
      <c r="AK115" s="84">
        <v>0</v>
      </c>
      <c r="BB115" s="187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233</v>
      </c>
      <c r="B116" s="63" t="s">
        <v>234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91</v>
      </c>
      <c r="L116" s="37" t="s">
        <v>46</v>
      </c>
      <c r="M116" s="38" t="s">
        <v>132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225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86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customHeight="1" x14ac:dyDescent="0.25">
      <c r="A120" s="63" t="s">
        <v>235</v>
      </c>
      <c r="B120" s="63" t="s">
        <v>236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133</v>
      </c>
      <c r="L120" s="37" t="s">
        <v>46</v>
      </c>
      <c r="M120" s="38" t="s">
        <v>97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8</v>
      </c>
      <c r="Y120" s="55">
        <f>IFERROR(IF(X120="",0,CEILING((X120/$H120),1)*$H120),"")</f>
        <v>8.1</v>
      </c>
      <c r="Z120" s="41">
        <f>IFERROR(IF(Y120=0,"",ROUNDUP(Y120/H120,0)*0.01898),"")</f>
        <v>1.898E-2</v>
      </c>
      <c r="AA120" s="68" t="s">
        <v>46</v>
      </c>
      <c r="AB120" s="69" t="s">
        <v>46</v>
      </c>
      <c r="AC120" s="190" t="s">
        <v>237</v>
      </c>
      <c r="AG120" s="78"/>
      <c r="AJ120" s="84" t="s">
        <v>46</v>
      </c>
      <c r="AK120" s="84">
        <v>0</v>
      </c>
      <c r="BB120" s="191" t="s">
        <v>67</v>
      </c>
      <c r="BM120" s="78">
        <f>IFERROR(X120*I120/H120,"0")</f>
        <v>8.4819753086419745</v>
      </c>
      <c r="BN120" s="78">
        <f>IFERROR(Y120*I120/H120,"0")</f>
        <v>8.5879999999999992</v>
      </c>
      <c r="BO120" s="78">
        <f>IFERROR(1/J120*(X120/H120),"0")</f>
        <v>1.54320987654321E-2</v>
      </c>
      <c r="BP120" s="78">
        <f>IFERROR(1/J120*(Y120/H120),"0")</f>
        <v>1.5625E-2</v>
      </c>
    </row>
    <row r="121" spans="1:68" ht="27" hidden="1" customHeight="1" x14ac:dyDescent="0.25">
      <c r="A121" s="63" t="s">
        <v>238</v>
      </c>
      <c r="B121" s="63" t="s">
        <v>239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91</v>
      </c>
      <c r="L121" s="37" t="s">
        <v>46</v>
      </c>
      <c r="M121" s="38" t="s">
        <v>97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237</v>
      </c>
      <c r="AG121" s="78"/>
      <c r="AJ121" s="84" t="s">
        <v>46</v>
      </c>
      <c r="AK121" s="84">
        <v>0</v>
      </c>
      <c r="BB121" s="193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customHeight="1" x14ac:dyDescent="0.25">
      <c r="A122" s="63" t="s">
        <v>240</v>
      </c>
      <c r="B122" s="63" t="s">
        <v>241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91</v>
      </c>
      <c r="L122" s="37" t="s">
        <v>46</v>
      </c>
      <c r="M122" s="38" t="s">
        <v>97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8.1</v>
      </c>
      <c r="Y122" s="55">
        <f>IFERROR(IF(X122="",0,CEILING((X122/$H122),1)*$H122),"")</f>
        <v>8.1000000000000014</v>
      </c>
      <c r="Z122" s="41">
        <f>IFERROR(IF(Y122=0,"",ROUNDUP(Y122/H122,0)*0.00651),"")</f>
        <v>1.9529999999999999E-2</v>
      </c>
      <c r="AA122" s="68" t="s">
        <v>46</v>
      </c>
      <c r="AB122" s="69" t="s">
        <v>46</v>
      </c>
      <c r="AC122" s="194" t="s">
        <v>237</v>
      </c>
      <c r="AG122" s="78"/>
      <c r="AJ122" s="84" t="s">
        <v>46</v>
      </c>
      <c r="AK122" s="84">
        <v>0</v>
      </c>
      <c r="BB122" s="195" t="s">
        <v>67</v>
      </c>
      <c r="BM122" s="78">
        <f>IFERROR(X122*I122/H122,"0")</f>
        <v>8.8559999999999981</v>
      </c>
      <c r="BN122" s="78">
        <f>IFERROR(Y122*I122/H122,"0")</f>
        <v>8.8560000000000016</v>
      </c>
      <c r="BO122" s="78">
        <f>IFERROR(1/J122*(X122/H122),"0")</f>
        <v>1.6483516483516484E-2</v>
      </c>
      <c r="BP122" s="78">
        <f>IFERROR(1/J122*(Y122/H122),"0")</f>
        <v>1.6483516483516487E-2</v>
      </c>
    </row>
    <row r="123" spans="1:68" ht="16.5" hidden="1" customHeight="1" x14ac:dyDescent="0.25">
      <c r="A123" s="63" t="s">
        <v>242</v>
      </c>
      <c r="B123" s="63" t="s">
        <v>243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244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3.9876543209876538</v>
      </c>
      <c r="Y124" s="43">
        <f>IFERROR(Y120/H120,"0")+IFERROR(Y121/H121,"0")+IFERROR(Y122/H122,"0")+IFERROR(Y123/H123,"0")</f>
        <v>4</v>
      </c>
      <c r="Z124" s="43">
        <f>IFERROR(IF(Z120="",0,Z120),"0")+IFERROR(IF(Z121="",0,Z121),"0")+IFERROR(IF(Z122="",0,Z122),"0")+IFERROR(IF(Z123="",0,Z123),"0")</f>
        <v>3.8510000000000003E-2</v>
      </c>
      <c r="AA124" s="67"/>
      <c r="AB124" s="67"/>
      <c r="AC124" s="67"/>
    </row>
    <row r="125" spans="1:68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16.100000000000001</v>
      </c>
      <c r="Y125" s="43">
        <f>IFERROR(SUM(Y120:Y123),"0")</f>
        <v>16.200000000000003</v>
      </c>
      <c r="Z125" s="42"/>
      <c r="AA125" s="67"/>
      <c r="AB125" s="67"/>
      <c r="AC125" s="67"/>
    </row>
    <row r="126" spans="1:68" ht="14.25" hidden="1" customHeight="1" x14ac:dyDescent="0.25">
      <c r="A126" s="708" t="s">
        <v>181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245</v>
      </c>
      <c r="B127" s="63" t="s">
        <v>246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91</v>
      </c>
      <c r="L127" s="37" t="s">
        <v>46</v>
      </c>
      <c r="M127" s="38" t="s">
        <v>90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247</v>
      </c>
      <c r="AG127" s="78"/>
      <c r="AJ127" s="84" t="s">
        <v>46</v>
      </c>
      <c r="AK127" s="84">
        <v>0</v>
      </c>
      <c r="BB127" s="199" t="s">
        <v>67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248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128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249</v>
      </c>
      <c r="B132" s="63" t="s">
        <v>250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133</v>
      </c>
      <c r="L132" s="37" t="s">
        <v>46</v>
      </c>
      <c r="M132" s="38" t="s">
        <v>253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252</v>
      </c>
      <c r="AC132" s="200" t="s">
        <v>251</v>
      </c>
      <c r="AG132" s="78"/>
      <c r="AJ132" s="84" t="s">
        <v>46</v>
      </c>
      <c r="AK132" s="84">
        <v>0</v>
      </c>
      <c r="BB132" s="201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254</v>
      </c>
      <c r="B133" s="63" t="s">
        <v>255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140</v>
      </c>
      <c r="L133" s="37" t="s">
        <v>46</v>
      </c>
      <c r="M133" s="38" t="s">
        <v>253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252</v>
      </c>
      <c r="AC133" s="202" t="s">
        <v>251</v>
      </c>
      <c r="AG133" s="78"/>
      <c r="AJ133" s="84" t="s">
        <v>46</v>
      </c>
      <c r="AK133" s="84">
        <v>0</v>
      </c>
      <c r="BB133" s="203" t="s">
        <v>67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customHeight="1" x14ac:dyDescent="0.25">
      <c r="A134" s="63" t="s">
        <v>256</v>
      </c>
      <c r="B134" s="63" t="s">
        <v>257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109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9.6</v>
      </c>
      <c r="Y134" s="55">
        <f>IFERROR(IF(X134="",0,CEILING((X134/$H134),1)*$H134),"")</f>
        <v>9.6000000000000014</v>
      </c>
      <c r="Z134" s="41">
        <f>IFERROR(IF(Y134=0,"",ROUNDUP(Y134/H134,0)*0.00651),"")</f>
        <v>1.9529999999999999E-2</v>
      </c>
      <c r="AA134" s="68" t="s">
        <v>46</v>
      </c>
      <c r="AB134" s="69" t="s">
        <v>46</v>
      </c>
      <c r="AC134" s="204" t="s">
        <v>258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10.139999999999999</v>
      </c>
      <c r="BN134" s="78">
        <f>IFERROR(Y134*I134/H134,"0")</f>
        <v>10.139999999999999</v>
      </c>
      <c r="BO134" s="78">
        <f>IFERROR(1/J134*(X134/H134),"0")</f>
        <v>1.6483516483516484E-2</v>
      </c>
      <c r="BP134" s="78">
        <f>IFERROR(1/J134*(Y134/H134),"0")</f>
        <v>1.6483516483516487E-2</v>
      </c>
    </row>
    <row r="135" spans="1:68" ht="27" hidden="1" customHeight="1" x14ac:dyDescent="0.25">
      <c r="A135" s="63" t="s">
        <v>256</v>
      </c>
      <c r="B135" s="63" t="s">
        <v>259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109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258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2.9999999999999996</v>
      </c>
      <c r="Y136" s="43">
        <f>IFERROR(Y132/H132,"0")+IFERROR(Y133/H133,"0")+IFERROR(Y134/H134,"0")+IFERROR(Y135/H135,"0")</f>
        <v>3.0000000000000004</v>
      </c>
      <c r="Z136" s="43">
        <f>IFERROR(IF(Z132="",0,Z132),"0")+IFERROR(IF(Z133="",0,Z133),"0")+IFERROR(IF(Z134="",0,Z134),"0")+IFERROR(IF(Z135="",0,Z135),"0")</f>
        <v>1.9529999999999999E-2</v>
      </c>
      <c r="AA136" s="67"/>
      <c r="AB136" s="67"/>
      <c r="AC136" s="67"/>
    </row>
    <row r="137" spans="1:68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9.6</v>
      </c>
      <c r="Y137" s="43">
        <f>IFERROR(SUM(Y132:Y135),"0")</f>
        <v>9.6000000000000014</v>
      </c>
      <c r="Z137" s="42"/>
      <c r="AA137" s="67"/>
      <c r="AB137" s="67"/>
      <c r="AC137" s="67"/>
    </row>
    <row r="138" spans="1:68" ht="14.25" hidden="1" customHeight="1" x14ac:dyDescent="0.25">
      <c r="A138" s="708" t="s">
        <v>77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260</v>
      </c>
      <c r="B139" s="63" t="s">
        <v>261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133</v>
      </c>
      <c r="L139" s="37" t="s">
        <v>46</v>
      </c>
      <c r="M139" s="38" t="s">
        <v>253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252</v>
      </c>
      <c r="AC139" s="208" t="s">
        <v>262</v>
      </c>
      <c r="AG139" s="78"/>
      <c r="AJ139" s="84" t="s">
        <v>46</v>
      </c>
      <c r="AK139" s="84">
        <v>0</v>
      </c>
      <c r="BB139" s="209" t="s">
        <v>67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263</v>
      </c>
      <c r="B140" s="63" t="s">
        <v>264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82</v>
      </c>
      <c r="L140" s="37" t="s">
        <v>46</v>
      </c>
      <c r="M140" s="38" t="s">
        <v>253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252</v>
      </c>
      <c r="AC140" s="210" t="s">
        <v>262</v>
      </c>
      <c r="AG140" s="78"/>
      <c r="AJ140" s="84" t="s">
        <v>46</v>
      </c>
      <c r="AK140" s="84">
        <v>0</v>
      </c>
      <c r="BB140" s="211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265</v>
      </c>
      <c r="B141" s="63" t="s">
        <v>266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91</v>
      </c>
      <c r="L141" s="37" t="s">
        <v>46</v>
      </c>
      <c r="M141" s="38" t="s">
        <v>109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267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265</v>
      </c>
      <c r="B142" s="63" t="s">
        <v>268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91</v>
      </c>
      <c r="L142" s="37" t="s">
        <v>46</v>
      </c>
      <c r="M142" s="38" t="s">
        <v>109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267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86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269</v>
      </c>
      <c r="B146" s="63" t="s">
        <v>270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133</v>
      </c>
      <c r="L146" s="37" t="s">
        <v>46</v>
      </c>
      <c r="M146" s="38" t="s">
        <v>253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252</v>
      </c>
      <c r="AC146" s="216" t="s">
        <v>251</v>
      </c>
      <c r="AG146" s="78"/>
      <c r="AJ146" s="84" t="s">
        <v>46</v>
      </c>
      <c r="AK146" s="84">
        <v>0</v>
      </c>
      <c r="BB146" s="217" t="s">
        <v>67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271</v>
      </c>
      <c r="B147" s="63" t="s">
        <v>272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91</v>
      </c>
      <c r="L147" s="37" t="s">
        <v>46</v>
      </c>
      <c r="M147" s="38" t="s">
        <v>253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252</v>
      </c>
      <c r="AC147" s="218" t="s">
        <v>251</v>
      </c>
      <c r="AG147" s="78"/>
      <c r="AJ147" s="84" t="s">
        <v>46</v>
      </c>
      <c r="AK147" s="84">
        <v>0</v>
      </c>
      <c r="BB147" s="219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273</v>
      </c>
      <c r="B148" s="63" t="s">
        <v>274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91</v>
      </c>
      <c r="L148" s="37" t="s">
        <v>46</v>
      </c>
      <c r="M148" s="38" t="s">
        <v>109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258</v>
      </c>
      <c r="AG148" s="78"/>
      <c r="AJ148" s="84" t="s">
        <v>46</v>
      </c>
      <c r="AK148" s="84">
        <v>0</v>
      </c>
      <c r="BB148" s="221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273</v>
      </c>
      <c r="B149" s="63" t="s">
        <v>275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91</v>
      </c>
      <c r="L149" s="37" t="s">
        <v>46</v>
      </c>
      <c r="M149" s="38" t="s">
        <v>109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258</v>
      </c>
      <c r="AG149" s="78"/>
      <c r="AJ149" s="84" t="s">
        <v>46</v>
      </c>
      <c r="AK149" s="84">
        <v>0</v>
      </c>
      <c r="BB149" s="223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276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86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277</v>
      </c>
      <c r="B154" s="63" t="s">
        <v>278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279</v>
      </c>
      <c r="AG154" s="78"/>
      <c r="AJ154" s="84" t="s">
        <v>46</v>
      </c>
      <c r="AK154" s="84">
        <v>0</v>
      </c>
      <c r="BB154" s="225" t="s">
        <v>67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280</v>
      </c>
      <c r="B155" s="63" t="s">
        <v>281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282</v>
      </c>
      <c r="AG155" s="78"/>
      <c r="AJ155" s="84" t="s">
        <v>46</v>
      </c>
      <c r="AK155" s="84">
        <v>0</v>
      </c>
      <c r="BB155" s="227" t="s">
        <v>67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283</v>
      </c>
      <c r="B156" s="63" t="s">
        <v>284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91</v>
      </c>
      <c r="L156" s="37" t="s">
        <v>46</v>
      </c>
      <c r="M156" s="38" t="s">
        <v>97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285</v>
      </c>
      <c r="AG156" s="78"/>
      <c r="AJ156" s="84" t="s">
        <v>46</v>
      </c>
      <c r="AK156" s="84">
        <v>0</v>
      </c>
      <c r="BB156" s="229" t="s">
        <v>67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286</v>
      </c>
      <c r="B157" s="63" t="s">
        <v>287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91</v>
      </c>
      <c r="L157" s="37" t="s">
        <v>46</v>
      </c>
      <c r="M157" s="38" t="s">
        <v>97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288</v>
      </c>
      <c r="AG157" s="78"/>
      <c r="AJ157" s="84" t="s">
        <v>46</v>
      </c>
      <c r="AK157" s="84">
        <v>0</v>
      </c>
      <c r="BB157" s="231" t="s">
        <v>67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104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289</v>
      </c>
      <c r="B161" s="63" t="s">
        <v>290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293</v>
      </c>
      <c r="L161" s="37" t="s">
        <v>46</v>
      </c>
      <c r="M161" s="38" t="s">
        <v>292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291</v>
      </c>
      <c r="AG161" s="78"/>
      <c r="AJ161" s="84" t="s">
        <v>46</v>
      </c>
      <c r="AK161" s="84">
        <v>0</v>
      </c>
      <c r="BB161" s="233" t="s">
        <v>108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126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128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294</v>
      </c>
      <c r="B166" s="63" t="s">
        <v>295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91</v>
      </c>
      <c r="L166" s="37" t="s">
        <v>46</v>
      </c>
      <c r="M166" s="38" t="s">
        <v>90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252</v>
      </c>
      <c r="AC166" s="234" t="s">
        <v>296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297</v>
      </c>
      <c r="B167" s="63" t="s">
        <v>298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133</v>
      </c>
      <c r="L167" s="37" t="s">
        <v>46</v>
      </c>
      <c r="M167" s="38" t="s">
        <v>132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299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300</v>
      </c>
      <c r="B168" s="63" t="s">
        <v>301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140</v>
      </c>
      <c r="L168" s="37" t="s">
        <v>46</v>
      </c>
      <c r="M168" s="38" t="s">
        <v>132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302</v>
      </c>
      <c r="AG168" s="78"/>
      <c r="AJ168" s="84" t="s">
        <v>46</v>
      </c>
      <c r="AK168" s="84">
        <v>0</v>
      </c>
      <c r="BB168" s="239" t="s">
        <v>67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164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303</v>
      </c>
      <c r="B172" s="63" t="s">
        <v>304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132</v>
      </c>
      <c r="N172" s="38"/>
      <c r="O172" s="37">
        <v>55</v>
      </c>
      <c r="P172" s="794" t="s">
        <v>305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252</v>
      </c>
      <c r="AC172" s="240" t="s">
        <v>306</v>
      </c>
      <c r="AG172" s="78"/>
      <c r="AJ172" s="84" t="s">
        <v>46</v>
      </c>
      <c r="AK172" s="84">
        <v>0</v>
      </c>
      <c r="BB172" s="241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307</v>
      </c>
      <c r="B173" s="63" t="s">
        <v>308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82</v>
      </c>
      <c r="L173" s="37" t="s">
        <v>46</v>
      </c>
      <c r="M173" s="38" t="s">
        <v>81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309</v>
      </c>
      <c r="AG173" s="78"/>
      <c r="AJ173" s="84" t="s">
        <v>46</v>
      </c>
      <c r="AK173" s="84">
        <v>0</v>
      </c>
      <c r="BB173" s="243" t="s">
        <v>67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77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310</v>
      </c>
      <c r="B177" s="63" t="s">
        <v>311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140</v>
      </c>
      <c r="L177" s="37" t="s">
        <v>46</v>
      </c>
      <c r="M177" s="38" t="s">
        <v>81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312</v>
      </c>
      <c r="AG177" s="78"/>
      <c r="AJ177" s="84" t="s">
        <v>46</v>
      </c>
      <c r="AK177" s="84">
        <v>0</v>
      </c>
      <c r="BB177" s="245" t="s">
        <v>67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customHeight="1" x14ac:dyDescent="0.25">
      <c r="A178" s="63" t="s">
        <v>313</v>
      </c>
      <c r="B178" s="63" t="s">
        <v>314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140</v>
      </c>
      <c r="L178" s="37" t="s">
        <v>46</v>
      </c>
      <c r="M178" s="38" t="s">
        <v>81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8</v>
      </c>
      <c r="Y178" s="55">
        <f t="shared" si="10"/>
        <v>10.5</v>
      </c>
      <c r="Z178" s="41">
        <f>IFERROR(IF(Y178=0,"",ROUNDUP(Y178/H178,0)*0.00902),"")</f>
        <v>2.7060000000000001E-2</v>
      </c>
      <c r="AA178" s="68" t="s">
        <v>46</v>
      </c>
      <c r="AB178" s="69" t="s">
        <v>46</v>
      </c>
      <c r="AC178" s="246" t="s">
        <v>315</v>
      </c>
      <c r="AG178" s="78"/>
      <c r="AJ178" s="84" t="s">
        <v>46</v>
      </c>
      <c r="AK178" s="84">
        <v>0</v>
      </c>
      <c r="BB178" s="247" t="s">
        <v>67</v>
      </c>
      <c r="BM178" s="78">
        <f t="shared" si="11"/>
        <v>8.6057142857142868</v>
      </c>
      <c r="BN178" s="78">
        <f t="shared" si="12"/>
        <v>11.295</v>
      </c>
      <c r="BO178" s="78">
        <f t="shared" si="13"/>
        <v>1.7316017316017316E-2</v>
      </c>
      <c r="BP178" s="78">
        <f t="shared" si="14"/>
        <v>2.2727272727272728E-2</v>
      </c>
    </row>
    <row r="179" spans="1:68" ht="27" hidden="1" customHeight="1" x14ac:dyDescent="0.25">
      <c r="A179" s="63" t="s">
        <v>316</v>
      </c>
      <c r="B179" s="63" t="s">
        <v>317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140</v>
      </c>
      <c r="L179" s="37" t="s">
        <v>46</v>
      </c>
      <c r="M179" s="38" t="s">
        <v>81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318</v>
      </c>
      <c r="AG179" s="78"/>
      <c r="AJ179" s="84" t="s">
        <v>46</v>
      </c>
      <c r="AK179" s="84">
        <v>0</v>
      </c>
      <c r="BB179" s="249" t="s">
        <v>67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319</v>
      </c>
      <c r="B180" s="63" t="s">
        <v>320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140</v>
      </c>
      <c r="L180" s="37" t="s">
        <v>46</v>
      </c>
      <c r="M180" s="38" t="s">
        <v>81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321</v>
      </c>
      <c r="AG180" s="78"/>
      <c r="AJ180" s="84" t="s">
        <v>46</v>
      </c>
      <c r="AK180" s="84">
        <v>0</v>
      </c>
      <c r="BB180" s="251" t="s">
        <v>67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322</v>
      </c>
      <c r="B181" s="63" t="s">
        <v>323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137</v>
      </c>
      <c r="L181" s="37" t="s">
        <v>46</v>
      </c>
      <c r="M181" s="38" t="s">
        <v>81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324</v>
      </c>
      <c r="AG181" s="78"/>
      <c r="AJ181" s="84" t="s">
        <v>46</v>
      </c>
      <c r="AK181" s="84">
        <v>0</v>
      </c>
      <c r="BB181" s="253" t="s">
        <v>67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325</v>
      </c>
      <c r="B182" s="63" t="s">
        <v>326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312</v>
      </c>
      <c r="AG182" s="78"/>
      <c r="AJ182" s="84" t="s">
        <v>46</v>
      </c>
      <c r="AK182" s="84">
        <v>0</v>
      </c>
      <c r="BB182" s="255" t="s">
        <v>67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327</v>
      </c>
      <c r="B183" s="63" t="s">
        <v>328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137</v>
      </c>
      <c r="L183" s="37" t="s">
        <v>46</v>
      </c>
      <c r="M183" s="38" t="s">
        <v>81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329</v>
      </c>
      <c r="AG183" s="78"/>
      <c r="AJ183" s="84" t="s">
        <v>46</v>
      </c>
      <c r="AK183" s="84">
        <v>0</v>
      </c>
      <c r="BB183" s="257" t="s">
        <v>67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327</v>
      </c>
      <c r="B184" s="63" t="s">
        <v>330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137</v>
      </c>
      <c r="L184" s="37" t="s">
        <v>46</v>
      </c>
      <c r="M184" s="38" t="s">
        <v>81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329</v>
      </c>
      <c r="AG184" s="78"/>
      <c r="AJ184" s="84" t="s">
        <v>46</v>
      </c>
      <c r="AK184" s="84">
        <v>0</v>
      </c>
      <c r="BB184" s="259" t="s">
        <v>67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331</v>
      </c>
      <c r="B185" s="63" t="s">
        <v>332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82</v>
      </c>
      <c r="L185" s="37" t="s">
        <v>46</v>
      </c>
      <c r="M185" s="38" t="s">
        <v>81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318</v>
      </c>
      <c r="AG185" s="78"/>
      <c r="AJ185" s="84" t="s">
        <v>46</v>
      </c>
      <c r="AK185" s="84">
        <v>0</v>
      </c>
      <c r="BB185" s="261" t="s">
        <v>67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333</v>
      </c>
      <c r="B186" s="63" t="s">
        <v>334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137</v>
      </c>
      <c r="L186" s="37" t="s">
        <v>46</v>
      </c>
      <c r="M186" s="38" t="s">
        <v>81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335</v>
      </c>
      <c r="AG186" s="78"/>
      <c r="AJ186" s="84" t="s">
        <v>46</v>
      </c>
      <c r="AK186" s="84">
        <v>0</v>
      </c>
      <c r="BB186" s="263" t="s">
        <v>67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336</v>
      </c>
      <c r="B187" s="63" t="s">
        <v>337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82</v>
      </c>
      <c r="L187" s="37" t="s">
        <v>46</v>
      </c>
      <c r="M187" s="38" t="s">
        <v>81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321</v>
      </c>
      <c r="AG187" s="78"/>
      <c r="AJ187" s="84" t="s">
        <v>46</v>
      </c>
      <c r="AK187" s="84">
        <v>0</v>
      </c>
      <c r="BB187" s="265" t="s">
        <v>67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2.2857142857142856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3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2.7060000000000001E-2</v>
      </c>
      <c r="AA188" s="67"/>
      <c r="AB188" s="67"/>
      <c r="AC188" s="67"/>
    </row>
    <row r="189" spans="1:68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8</v>
      </c>
      <c r="Y189" s="43">
        <f>IFERROR(SUM(Y177:Y187),"0")</f>
        <v>10.5</v>
      </c>
      <c r="Z189" s="42"/>
      <c r="AA189" s="67"/>
      <c r="AB189" s="67"/>
      <c r="AC189" s="67"/>
    </row>
    <row r="190" spans="1:68" ht="14.25" hidden="1" customHeight="1" x14ac:dyDescent="0.25">
      <c r="A190" s="708" t="s">
        <v>86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338</v>
      </c>
      <c r="B191" s="63" t="s">
        <v>339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340</v>
      </c>
      <c r="AG191" s="78"/>
      <c r="AJ191" s="84" t="s">
        <v>46</v>
      </c>
      <c r="AK191" s="84">
        <v>0</v>
      </c>
      <c r="BB191" s="267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341</v>
      </c>
      <c r="B192" s="63" t="s">
        <v>342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91</v>
      </c>
      <c r="L192" s="37" t="s">
        <v>46</v>
      </c>
      <c r="M192" s="38" t="s">
        <v>97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343</v>
      </c>
      <c r="AG192" s="78"/>
      <c r="AJ192" s="84" t="s">
        <v>46</v>
      </c>
      <c r="AK192" s="84">
        <v>0</v>
      </c>
      <c r="BB192" s="269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344</v>
      </c>
      <c r="B193" s="63" t="s">
        <v>345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91</v>
      </c>
      <c r="L193" s="37" t="s">
        <v>46</v>
      </c>
      <c r="M193" s="38" t="s">
        <v>90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346</v>
      </c>
      <c r="AG193" s="78"/>
      <c r="AJ193" s="84" t="s">
        <v>46</v>
      </c>
      <c r="AK193" s="84">
        <v>0</v>
      </c>
      <c r="BB193" s="271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104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347</v>
      </c>
      <c r="B197" s="63" t="s">
        <v>348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350</v>
      </c>
      <c r="L197" s="37" t="s">
        <v>46</v>
      </c>
      <c r="M197" s="38" t="s">
        <v>292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349</v>
      </c>
      <c r="AG197" s="78"/>
      <c r="AJ197" s="84" t="s">
        <v>46</v>
      </c>
      <c r="AK197" s="84">
        <v>0</v>
      </c>
      <c r="BB197" s="273" t="s">
        <v>67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351</v>
      </c>
      <c r="B198" s="63" t="s">
        <v>352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350</v>
      </c>
      <c r="L198" s="37" t="s">
        <v>46</v>
      </c>
      <c r="M198" s="38" t="s">
        <v>292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353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354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355</v>
      </c>
      <c r="B202" s="63" t="s">
        <v>356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350</v>
      </c>
      <c r="L202" s="37" t="s">
        <v>46</v>
      </c>
      <c r="M202" s="38" t="s">
        <v>292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357</v>
      </c>
      <c r="AG202" s="78"/>
      <c r="AJ202" s="84" t="s">
        <v>46</v>
      </c>
      <c r="AK202" s="84">
        <v>0</v>
      </c>
      <c r="BB202" s="277" t="s">
        <v>67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358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359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128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360</v>
      </c>
      <c r="B208" s="63" t="s">
        <v>361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133</v>
      </c>
      <c r="L208" s="37" t="s">
        <v>46</v>
      </c>
      <c r="M208" s="38" t="s">
        <v>90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131</v>
      </c>
      <c r="AG208" s="78"/>
      <c r="AJ208" s="84" t="s">
        <v>46</v>
      </c>
      <c r="AK208" s="84">
        <v>0</v>
      </c>
      <c r="BB208" s="279" t="s">
        <v>67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362</v>
      </c>
      <c r="B209" s="63" t="s">
        <v>363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133</v>
      </c>
      <c r="L209" s="37" t="s">
        <v>46</v>
      </c>
      <c r="M209" s="38" t="s">
        <v>90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364</v>
      </c>
      <c r="AG209" s="78"/>
      <c r="AJ209" s="84" t="s">
        <v>46</v>
      </c>
      <c r="AK209" s="84">
        <v>0</v>
      </c>
      <c r="BB209" s="281" t="s">
        <v>67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365</v>
      </c>
      <c r="B210" s="63" t="s">
        <v>366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133</v>
      </c>
      <c r="L210" s="37" t="s">
        <v>46</v>
      </c>
      <c r="M210" s="38" t="s">
        <v>90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367</v>
      </c>
      <c r="AG210" s="78"/>
      <c r="AJ210" s="84" t="s">
        <v>46</v>
      </c>
      <c r="AK210" s="84">
        <v>0</v>
      </c>
      <c r="BB210" s="283" t="s">
        <v>67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368</v>
      </c>
      <c r="B211" s="63" t="s">
        <v>369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133</v>
      </c>
      <c r="L211" s="37" t="s">
        <v>46</v>
      </c>
      <c r="M211" s="38" t="s">
        <v>90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370</v>
      </c>
      <c r="AG211" s="78"/>
      <c r="AJ211" s="84" t="s">
        <v>46</v>
      </c>
      <c r="AK211" s="84">
        <v>0</v>
      </c>
      <c r="BB211" s="285" t="s">
        <v>67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371</v>
      </c>
      <c r="B212" s="63" t="s">
        <v>372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133</v>
      </c>
      <c r="L212" s="37" t="s">
        <v>46</v>
      </c>
      <c r="M212" s="38" t="s">
        <v>90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373</v>
      </c>
      <c r="AG212" s="78"/>
      <c r="AJ212" s="84" t="s">
        <v>46</v>
      </c>
      <c r="AK212" s="84">
        <v>0</v>
      </c>
      <c r="BB212" s="287" t="s">
        <v>67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374</v>
      </c>
      <c r="B213" s="63" t="s">
        <v>375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133</v>
      </c>
      <c r="L213" s="37" t="s">
        <v>46</v>
      </c>
      <c r="M213" s="38" t="s">
        <v>90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376</v>
      </c>
      <c r="AG213" s="78"/>
      <c r="AJ213" s="84" t="s">
        <v>46</v>
      </c>
      <c r="AK213" s="84">
        <v>0</v>
      </c>
      <c r="BB213" s="289" t="s">
        <v>67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377</v>
      </c>
      <c r="B214" s="63" t="s">
        <v>378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133</v>
      </c>
      <c r="L214" s="37" t="s">
        <v>46</v>
      </c>
      <c r="M214" s="38" t="s">
        <v>90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379</v>
      </c>
      <c r="AG214" s="78"/>
      <c r="AJ214" s="84" t="s">
        <v>46</v>
      </c>
      <c r="AK214" s="84">
        <v>0</v>
      </c>
      <c r="BB214" s="291" t="s">
        <v>67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380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164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381</v>
      </c>
      <c r="B219" s="63" t="s">
        <v>382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383</v>
      </c>
      <c r="AG219" s="78"/>
      <c r="AJ219" s="84" t="s">
        <v>46</v>
      </c>
      <c r="AK219" s="84">
        <v>0</v>
      </c>
      <c r="BB219" s="293" t="s">
        <v>67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77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384</v>
      </c>
      <c r="B223" s="63" t="s">
        <v>385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140</v>
      </c>
      <c r="L223" s="37" t="s">
        <v>46</v>
      </c>
      <c r="M223" s="38" t="s">
        <v>81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386</v>
      </c>
      <c r="AG223" s="78"/>
      <c r="AJ223" s="84" t="s">
        <v>46</v>
      </c>
      <c r="AK223" s="84">
        <v>0</v>
      </c>
      <c r="BB223" s="295" t="s">
        <v>67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387</v>
      </c>
      <c r="B224" s="63" t="s">
        <v>388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140</v>
      </c>
      <c r="L224" s="37" t="s">
        <v>46</v>
      </c>
      <c r="M224" s="38" t="s">
        <v>81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389</v>
      </c>
      <c r="AG224" s="78"/>
      <c r="AJ224" s="84" t="s">
        <v>46</v>
      </c>
      <c r="AK224" s="84">
        <v>0</v>
      </c>
      <c r="BB224" s="297" t="s">
        <v>67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390</v>
      </c>
      <c r="B225" s="63" t="s">
        <v>391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140</v>
      </c>
      <c r="L225" s="37" t="s">
        <v>46</v>
      </c>
      <c r="M225" s="38" t="s">
        <v>81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392</v>
      </c>
      <c r="AG225" s="78"/>
      <c r="AJ225" s="84" t="s">
        <v>46</v>
      </c>
      <c r="AK225" s="84">
        <v>0</v>
      </c>
      <c r="BB225" s="299" t="s">
        <v>67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393</v>
      </c>
      <c r="B226" s="63" t="s">
        <v>394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395</v>
      </c>
      <c r="AG226" s="78"/>
      <c r="AJ226" s="84" t="s">
        <v>46</v>
      </c>
      <c r="AK226" s="84">
        <v>0</v>
      </c>
      <c r="BB226" s="301" t="s">
        <v>67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396</v>
      </c>
      <c r="B227" s="63" t="s">
        <v>397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386</v>
      </c>
      <c r="AG227" s="78"/>
      <c r="AJ227" s="84" t="s">
        <v>46</v>
      </c>
      <c r="AK227" s="84">
        <v>0</v>
      </c>
      <c r="BB227" s="303" t="s">
        <v>67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398</v>
      </c>
      <c r="B228" s="63" t="s">
        <v>399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400</v>
      </c>
      <c r="AG228" s="78"/>
      <c r="AJ228" s="84" t="s">
        <v>46</v>
      </c>
      <c r="AK228" s="84">
        <v>0</v>
      </c>
      <c r="BB228" s="305" t="s">
        <v>67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401</v>
      </c>
      <c r="B229" s="63" t="s">
        <v>402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389</v>
      </c>
      <c r="AG229" s="78"/>
      <c r="AJ229" s="84" t="s">
        <v>46</v>
      </c>
      <c r="AK229" s="84">
        <v>0</v>
      </c>
      <c r="BB229" s="307" t="s">
        <v>67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403</v>
      </c>
      <c r="B230" s="63" t="s">
        <v>404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405</v>
      </c>
      <c r="AG230" s="78"/>
      <c r="AJ230" s="84" t="s">
        <v>46</v>
      </c>
      <c r="AK230" s="84">
        <v>0</v>
      </c>
      <c r="BB230" s="309" t="s">
        <v>67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406</v>
      </c>
      <c r="B231" s="63" t="s">
        <v>407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82</v>
      </c>
      <c r="L231" s="37" t="s">
        <v>46</v>
      </c>
      <c r="M231" s="38" t="s">
        <v>81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408</v>
      </c>
      <c r="AG231" s="78"/>
      <c r="AJ231" s="84" t="s">
        <v>46</v>
      </c>
      <c r="AK231" s="84">
        <v>0</v>
      </c>
      <c r="BB231" s="311" t="s">
        <v>67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409</v>
      </c>
      <c r="B232" s="63" t="s">
        <v>410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411</v>
      </c>
      <c r="AG232" s="78"/>
      <c r="AJ232" s="84" t="s">
        <v>46</v>
      </c>
      <c r="AK232" s="84">
        <v>0</v>
      </c>
      <c r="BB232" s="313" t="s">
        <v>67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412</v>
      </c>
      <c r="B233" s="63" t="s">
        <v>413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137</v>
      </c>
      <c r="L233" s="37" t="s">
        <v>46</v>
      </c>
      <c r="M233" s="38" t="s">
        <v>81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414</v>
      </c>
      <c r="AG233" s="78"/>
      <c r="AJ233" s="84" t="s">
        <v>46</v>
      </c>
      <c r="AK233" s="84">
        <v>0</v>
      </c>
      <c r="BB233" s="315" t="s">
        <v>67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415</v>
      </c>
      <c r="B234" s="63" t="s">
        <v>416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82</v>
      </c>
      <c r="L234" s="37" t="s">
        <v>46</v>
      </c>
      <c r="M234" s="38" t="s">
        <v>81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392</v>
      </c>
      <c r="AG234" s="78"/>
      <c r="AJ234" s="84" t="s">
        <v>46</v>
      </c>
      <c r="AK234" s="84">
        <v>0</v>
      </c>
      <c r="BB234" s="317" t="s">
        <v>67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417</v>
      </c>
      <c r="B235" s="63" t="s">
        <v>418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91</v>
      </c>
      <c r="L235" s="37" t="s">
        <v>46</v>
      </c>
      <c r="M235" s="38" t="s">
        <v>81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392</v>
      </c>
      <c r="AG235" s="78"/>
      <c r="AJ235" s="84" t="s">
        <v>46</v>
      </c>
      <c r="AK235" s="84">
        <v>0</v>
      </c>
      <c r="BB235" s="319" t="s">
        <v>67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419</v>
      </c>
      <c r="B236" s="63" t="s">
        <v>420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82</v>
      </c>
      <c r="L236" s="37" t="s">
        <v>46</v>
      </c>
      <c r="M236" s="38" t="s">
        <v>81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421</v>
      </c>
      <c r="AG236" s="78"/>
      <c r="AJ236" s="84" t="s">
        <v>46</v>
      </c>
      <c r="AK236" s="84">
        <v>0</v>
      </c>
      <c r="BB236" s="321" t="s">
        <v>67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86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422</v>
      </c>
      <c r="B240" s="63" t="s">
        <v>423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133</v>
      </c>
      <c r="L240" s="37" t="s">
        <v>46</v>
      </c>
      <c r="M240" s="38" t="s">
        <v>97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424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425</v>
      </c>
      <c r="B241" s="63" t="s">
        <v>426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133</v>
      </c>
      <c r="L241" s="37" t="s">
        <v>46</v>
      </c>
      <c r="M241" s="38" t="s">
        <v>97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427</v>
      </c>
      <c r="AG241" s="78"/>
      <c r="AJ241" s="84" t="s">
        <v>46</v>
      </c>
      <c r="AK241" s="84">
        <v>0</v>
      </c>
      <c r="BB241" s="325" t="s">
        <v>67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428</v>
      </c>
      <c r="B242" s="63" t="s">
        <v>429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140</v>
      </c>
      <c r="L242" s="37" t="s">
        <v>46</v>
      </c>
      <c r="M242" s="38" t="s">
        <v>97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430</v>
      </c>
      <c r="AG242" s="78"/>
      <c r="AJ242" s="84" t="s">
        <v>46</v>
      </c>
      <c r="AK242" s="84">
        <v>0</v>
      </c>
      <c r="BB242" s="327" t="s">
        <v>67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431</v>
      </c>
      <c r="B243" s="63" t="s">
        <v>432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140</v>
      </c>
      <c r="L243" s="37" t="s">
        <v>46</v>
      </c>
      <c r="M243" s="38" t="s">
        <v>97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433</v>
      </c>
      <c r="AG243" s="78"/>
      <c r="AJ243" s="84" t="s">
        <v>46</v>
      </c>
      <c r="AK243" s="84">
        <v>0</v>
      </c>
      <c r="BB243" s="329" t="s">
        <v>67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434</v>
      </c>
      <c r="B244" s="63" t="s">
        <v>435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140</v>
      </c>
      <c r="L244" s="37" t="s">
        <v>46</v>
      </c>
      <c r="M244" s="38" t="s">
        <v>97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427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104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436</v>
      </c>
      <c r="B248" s="63" t="s">
        <v>437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350</v>
      </c>
      <c r="L248" s="37" t="s">
        <v>46</v>
      </c>
      <c r="M248" s="38" t="s">
        <v>292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438</v>
      </c>
      <c r="AG248" s="78"/>
      <c r="AJ248" s="84" t="s">
        <v>46</v>
      </c>
      <c r="AK248" s="84">
        <v>0</v>
      </c>
      <c r="BB248" s="333" t="s">
        <v>67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439</v>
      </c>
      <c r="B249" s="63" t="s">
        <v>440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350</v>
      </c>
      <c r="L249" s="37" t="s">
        <v>46</v>
      </c>
      <c r="M249" s="38" t="s">
        <v>292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441</v>
      </c>
      <c r="AG249" s="78"/>
      <c r="AJ249" s="84" t="s">
        <v>46</v>
      </c>
      <c r="AK249" s="84">
        <v>0</v>
      </c>
      <c r="BB249" s="335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442</v>
      </c>
      <c r="B250" s="63" t="s">
        <v>443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350</v>
      </c>
      <c r="L250" s="37" t="s">
        <v>46</v>
      </c>
      <c r="M250" s="38" t="s">
        <v>292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441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444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445</v>
      </c>
      <c r="B254" s="63" t="s">
        <v>446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350</v>
      </c>
      <c r="L254" s="37" t="s">
        <v>46</v>
      </c>
      <c r="M254" s="38" t="s">
        <v>292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441</v>
      </c>
      <c r="AG254" s="78"/>
      <c r="AJ254" s="84" t="s">
        <v>46</v>
      </c>
      <c r="AK254" s="84">
        <v>0</v>
      </c>
      <c r="BB254" s="339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447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128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448</v>
      </c>
      <c r="B259" s="63" t="s">
        <v>449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133</v>
      </c>
      <c r="L259" s="37" t="s">
        <v>46</v>
      </c>
      <c r="M259" s="38" t="s">
        <v>132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450</v>
      </c>
      <c r="AG259" s="78"/>
      <c r="AJ259" s="84" t="s">
        <v>46</v>
      </c>
      <c r="AK259" s="84">
        <v>0</v>
      </c>
      <c r="BB259" s="341" t="s">
        <v>67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451</v>
      </c>
      <c r="B260" s="63" t="s">
        <v>452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91</v>
      </c>
      <c r="L260" s="37" t="s">
        <v>46</v>
      </c>
      <c r="M260" s="38" t="s">
        <v>132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450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164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453</v>
      </c>
      <c r="B264" s="63" t="s">
        <v>454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133</v>
      </c>
      <c r="L264" s="37" t="s">
        <v>46</v>
      </c>
      <c r="M264" s="38" t="s">
        <v>132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455</v>
      </c>
      <c r="AG264" s="78"/>
      <c r="AJ264" s="84" t="s">
        <v>46</v>
      </c>
      <c r="AK264" s="84">
        <v>0</v>
      </c>
      <c r="BB264" s="345" t="s">
        <v>67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456</v>
      </c>
      <c r="B265" s="63" t="s">
        <v>457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91</v>
      </c>
      <c r="L265" s="37" t="s">
        <v>46</v>
      </c>
      <c r="M265" s="38" t="s">
        <v>132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455</v>
      </c>
      <c r="AG265" s="78"/>
      <c r="AJ265" s="84" t="s">
        <v>46</v>
      </c>
      <c r="AK265" s="84">
        <v>0</v>
      </c>
      <c r="BB265" s="347" t="s">
        <v>67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77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458</v>
      </c>
      <c r="B269" s="63" t="s">
        <v>459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140</v>
      </c>
      <c r="L269" s="37" t="s">
        <v>46</v>
      </c>
      <c r="M269" s="38" t="s">
        <v>81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460</v>
      </c>
      <c r="AG269" s="78"/>
      <c r="AJ269" s="84" t="s">
        <v>46</v>
      </c>
      <c r="AK269" s="84">
        <v>0</v>
      </c>
      <c r="BB269" s="349" t="s">
        <v>67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461</v>
      </c>
      <c r="B270" s="63" t="s">
        <v>462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140</v>
      </c>
      <c r="L270" s="37" t="s">
        <v>46</v>
      </c>
      <c r="M270" s="38" t="s">
        <v>81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463</v>
      </c>
      <c r="AG270" s="78"/>
      <c r="AJ270" s="84" t="s">
        <v>46</v>
      </c>
      <c r="AK270" s="84">
        <v>0</v>
      </c>
      <c r="BB270" s="351" t="s">
        <v>67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464</v>
      </c>
      <c r="B271" s="63" t="s">
        <v>465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140</v>
      </c>
      <c r="L271" s="37" t="s">
        <v>46</v>
      </c>
      <c r="M271" s="38" t="s">
        <v>81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466</v>
      </c>
      <c r="AG271" s="78"/>
      <c r="AJ271" s="84" t="s">
        <v>46</v>
      </c>
      <c r="AK271" s="84">
        <v>0</v>
      </c>
      <c r="BB271" s="353" t="s">
        <v>67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140</v>
      </c>
      <c r="L272" s="37" t="s">
        <v>46</v>
      </c>
      <c r="M272" s="38" t="s">
        <v>81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469</v>
      </c>
      <c r="AG272" s="78"/>
      <c r="AJ272" s="84" t="s">
        <v>46</v>
      </c>
      <c r="AK272" s="84">
        <v>0</v>
      </c>
      <c r="BB272" s="355" t="s">
        <v>67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470</v>
      </c>
      <c r="B273" s="63" t="s">
        <v>471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82</v>
      </c>
      <c r="L273" s="37" t="s">
        <v>46</v>
      </c>
      <c r="M273" s="38" t="s">
        <v>81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460</v>
      </c>
      <c r="AG273" s="78"/>
      <c r="AJ273" s="84" t="s">
        <v>46</v>
      </c>
      <c r="AK273" s="84">
        <v>0</v>
      </c>
      <c r="BB273" s="357" t="s">
        <v>67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472</v>
      </c>
      <c r="B274" s="63" t="s">
        <v>473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82</v>
      </c>
      <c r="L274" s="37" t="s">
        <v>46</v>
      </c>
      <c r="M274" s="38" t="s">
        <v>81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463</v>
      </c>
      <c r="AG274" s="78"/>
      <c r="AJ274" s="84" t="s">
        <v>46</v>
      </c>
      <c r="AK274" s="84">
        <v>0</v>
      </c>
      <c r="BB274" s="359" t="s">
        <v>67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474</v>
      </c>
      <c r="B275" s="63" t="s">
        <v>475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82</v>
      </c>
      <c r="L275" s="37" t="s">
        <v>46</v>
      </c>
      <c r="M275" s="38" t="s">
        <v>81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466</v>
      </c>
      <c r="AG275" s="78"/>
      <c r="AJ275" s="84" t="s">
        <v>46</v>
      </c>
      <c r="AK275" s="84">
        <v>0</v>
      </c>
      <c r="BB275" s="361" t="s">
        <v>67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476</v>
      </c>
      <c r="B276" s="63" t="s">
        <v>477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469</v>
      </c>
      <c r="AG276" s="78"/>
      <c r="AJ276" s="84" t="s">
        <v>46</v>
      </c>
      <c r="AK276" s="84">
        <v>0</v>
      </c>
      <c r="BB276" s="363" t="s">
        <v>67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86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478</v>
      </c>
      <c r="B280" s="63" t="s">
        <v>479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133</v>
      </c>
      <c r="L280" s="37" t="s">
        <v>46</v>
      </c>
      <c r="M280" s="38" t="s">
        <v>90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480</v>
      </c>
      <c r="AG280" s="78"/>
      <c r="AJ280" s="84" t="s">
        <v>46</v>
      </c>
      <c r="AK280" s="84">
        <v>0</v>
      </c>
      <c r="BB280" s="365" t="s">
        <v>67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481</v>
      </c>
      <c r="B281" s="63" t="s">
        <v>482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133</v>
      </c>
      <c r="L281" s="37" t="s">
        <v>46</v>
      </c>
      <c r="M281" s="38" t="s">
        <v>90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483</v>
      </c>
      <c r="AG281" s="78"/>
      <c r="AJ281" s="84" t="s">
        <v>46</v>
      </c>
      <c r="AK281" s="84">
        <v>0</v>
      </c>
      <c r="BB281" s="367" t="s">
        <v>67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484</v>
      </c>
      <c r="B282" s="63" t="s">
        <v>485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133</v>
      </c>
      <c r="L282" s="37" t="s">
        <v>46</v>
      </c>
      <c r="M282" s="38" t="s">
        <v>90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486</v>
      </c>
      <c r="AG282" s="78"/>
      <c r="AJ282" s="84" t="s">
        <v>46</v>
      </c>
      <c r="AK282" s="84">
        <v>0</v>
      </c>
      <c r="BB282" s="369" t="s">
        <v>67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customHeight="1" x14ac:dyDescent="0.25">
      <c r="A283" s="63" t="s">
        <v>487</v>
      </c>
      <c r="B283" s="63" t="s">
        <v>488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91</v>
      </c>
      <c r="L283" s="37" t="s">
        <v>46</v>
      </c>
      <c r="M283" s="38" t="s">
        <v>90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7.2</v>
      </c>
      <c r="Y283" s="55">
        <f t="shared" si="32"/>
        <v>7.1999999999999993</v>
      </c>
      <c r="Z283" s="41">
        <f>IFERROR(IF(Y283=0,"",ROUNDUP(Y283/H283,0)*0.00651),"")</f>
        <v>1.9529999999999999E-2</v>
      </c>
      <c r="AA283" s="68" t="s">
        <v>46</v>
      </c>
      <c r="AB283" s="69" t="s">
        <v>46</v>
      </c>
      <c r="AC283" s="370" t="s">
        <v>480</v>
      </c>
      <c r="AG283" s="78"/>
      <c r="AJ283" s="84" t="s">
        <v>46</v>
      </c>
      <c r="AK283" s="84">
        <v>0</v>
      </c>
      <c r="BB283" s="371" t="s">
        <v>67</v>
      </c>
      <c r="BM283" s="78">
        <f t="shared" si="33"/>
        <v>8.01</v>
      </c>
      <c r="BN283" s="78">
        <f t="shared" si="34"/>
        <v>8.009999999999998</v>
      </c>
      <c r="BO283" s="78">
        <f t="shared" si="35"/>
        <v>1.6483516483516484E-2</v>
      </c>
      <c r="BP283" s="78">
        <f t="shared" si="36"/>
        <v>1.6483516483516484E-2</v>
      </c>
    </row>
    <row r="284" spans="1:68" ht="27" hidden="1" customHeight="1" x14ac:dyDescent="0.25">
      <c r="A284" s="63" t="s">
        <v>489</v>
      </c>
      <c r="B284" s="63" t="s">
        <v>490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91</v>
      </c>
      <c r="L284" s="37" t="s">
        <v>46</v>
      </c>
      <c r="M284" s="38" t="s">
        <v>97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486</v>
      </c>
      <c r="AG284" s="78"/>
      <c r="AJ284" s="84" t="s">
        <v>46</v>
      </c>
      <c r="AK284" s="84">
        <v>0</v>
      </c>
      <c r="BB284" s="373" t="s">
        <v>67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140</v>
      </c>
      <c r="L285" s="37" t="s">
        <v>46</v>
      </c>
      <c r="M285" s="38" t="s">
        <v>90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493</v>
      </c>
      <c r="AG285" s="78"/>
      <c r="AJ285" s="84" t="s">
        <v>46</v>
      </c>
      <c r="AK285" s="84">
        <v>0</v>
      </c>
      <c r="BB285" s="375" t="s">
        <v>67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486</v>
      </c>
      <c r="AG286" s="78"/>
      <c r="AJ286" s="84" t="s">
        <v>46</v>
      </c>
      <c r="AK286" s="84">
        <v>0</v>
      </c>
      <c r="BB286" s="377" t="s">
        <v>67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496</v>
      </c>
      <c r="B287" s="63" t="s">
        <v>497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133</v>
      </c>
      <c r="L287" s="37" t="s">
        <v>46</v>
      </c>
      <c r="M287" s="38" t="s">
        <v>90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493</v>
      </c>
      <c r="AG287" s="78"/>
      <c r="AJ287" s="84" t="s">
        <v>46</v>
      </c>
      <c r="AK287" s="84">
        <v>0</v>
      </c>
      <c r="BB287" s="379" t="s">
        <v>67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498</v>
      </c>
      <c r="B288" s="63" t="s">
        <v>499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91</v>
      </c>
      <c r="L288" s="37" t="s">
        <v>46</v>
      </c>
      <c r="M288" s="38" t="s">
        <v>90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486</v>
      </c>
      <c r="AG288" s="78"/>
      <c r="AJ288" s="84" t="s">
        <v>46</v>
      </c>
      <c r="AK288" s="84">
        <v>0</v>
      </c>
      <c r="BB288" s="381" t="s">
        <v>67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500</v>
      </c>
      <c r="B289" s="63" t="s">
        <v>501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97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502</v>
      </c>
      <c r="AG289" s="78"/>
      <c r="AJ289" s="84" t="s">
        <v>46</v>
      </c>
      <c r="AK289" s="84">
        <v>0</v>
      </c>
      <c r="BB289" s="383" t="s">
        <v>67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503</v>
      </c>
      <c r="B290" s="63" t="s">
        <v>504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91</v>
      </c>
      <c r="L290" s="37" t="s">
        <v>46</v>
      </c>
      <c r="M290" s="38" t="s">
        <v>90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505</v>
      </c>
      <c r="AG290" s="78"/>
      <c r="AJ290" s="84" t="s">
        <v>46</v>
      </c>
      <c r="AK290" s="84">
        <v>0</v>
      </c>
      <c r="BB290" s="385" t="s">
        <v>67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506</v>
      </c>
      <c r="B291" s="63" t="s">
        <v>507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508</v>
      </c>
      <c r="AG291" s="78"/>
      <c r="AJ291" s="84" t="s">
        <v>46</v>
      </c>
      <c r="AK291" s="84">
        <v>0</v>
      </c>
      <c r="BB291" s="387" t="s">
        <v>67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3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3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1.9529999999999999E-2</v>
      </c>
      <c r="AA292" s="67"/>
      <c r="AB292" s="67"/>
      <c r="AC292" s="67"/>
    </row>
    <row r="293" spans="1:68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7.2</v>
      </c>
      <c r="Y293" s="43">
        <f>IFERROR(SUM(Y280:Y291),"0")</f>
        <v>7.1999999999999993</v>
      </c>
      <c r="Z293" s="42"/>
      <c r="AA293" s="67"/>
      <c r="AB293" s="67"/>
      <c r="AC293" s="67"/>
    </row>
    <row r="294" spans="1:68" ht="14.25" hidden="1" customHeight="1" x14ac:dyDescent="0.25">
      <c r="A294" s="708" t="s">
        <v>181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509</v>
      </c>
      <c r="B295" s="63" t="s">
        <v>510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91</v>
      </c>
      <c r="L295" s="37" t="s">
        <v>46</v>
      </c>
      <c r="M295" s="38" t="s">
        <v>97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511</v>
      </c>
      <c r="AG295" s="78"/>
      <c r="AJ295" s="84" t="s">
        <v>46</v>
      </c>
      <c r="AK295" s="84">
        <v>0</v>
      </c>
      <c r="BB295" s="389" t="s">
        <v>67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512</v>
      </c>
      <c r="B296" s="63" t="s">
        <v>513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91</v>
      </c>
      <c r="L296" s="37" t="s">
        <v>46</v>
      </c>
      <c r="M296" s="38" t="s">
        <v>90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514</v>
      </c>
      <c r="AG296" s="78"/>
      <c r="AJ296" s="84" t="s">
        <v>46</v>
      </c>
      <c r="AK296" s="84">
        <v>0</v>
      </c>
      <c r="BB296" s="391" t="s">
        <v>67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515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128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516</v>
      </c>
      <c r="B301" s="63" t="s">
        <v>517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133</v>
      </c>
      <c r="L301" s="37" t="s">
        <v>46</v>
      </c>
      <c r="M301" s="38" t="s">
        <v>132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518</v>
      </c>
      <c r="AG301" s="78"/>
      <c r="AJ301" s="84" t="s">
        <v>46</v>
      </c>
      <c r="AK301" s="84">
        <v>0</v>
      </c>
      <c r="BB301" s="393" t="s">
        <v>67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519</v>
      </c>
      <c r="B302" s="63" t="s">
        <v>520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133</v>
      </c>
      <c r="L302" s="37" t="s">
        <v>46</v>
      </c>
      <c r="M302" s="38" t="s">
        <v>132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521</v>
      </c>
      <c r="AG302" s="78"/>
      <c r="AJ302" s="84" t="s">
        <v>46</v>
      </c>
      <c r="AK302" s="84">
        <v>0</v>
      </c>
      <c r="BB302" s="395" t="s">
        <v>67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522</v>
      </c>
      <c r="B303" s="63" t="s">
        <v>523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133</v>
      </c>
      <c r="L303" s="37" t="s">
        <v>46</v>
      </c>
      <c r="M303" s="38" t="s">
        <v>132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376</v>
      </c>
      <c r="AG303" s="78"/>
      <c r="AJ303" s="84" t="s">
        <v>46</v>
      </c>
      <c r="AK303" s="84">
        <v>0</v>
      </c>
      <c r="BB303" s="397" t="s">
        <v>67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524</v>
      </c>
      <c r="B304" s="63" t="s">
        <v>525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140</v>
      </c>
      <c r="L304" s="37" t="s">
        <v>46</v>
      </c>
      <c r="M304" s="38" t="s">
        <v>132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518</v>
      </c>
      <c r="AG304" s="78"/>
      <c r="AJ304" s="84" t="s">
        <v>46</v>
      </c>
      <c r="AK304" s="84">
        <v>0</v>
      </c>
      <c r="BB304" s="399" t="s">
        <v>67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526</v>
      </c>
      <c r="B305" s="63" t="s">
        <v>527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140</v>
      </c>
      <c r="L305" s="37" t="s">
        <v>46</v>
      </c>
      <c r="M305" s="38" t="s">
        <v>132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528</v>
      </c>
      <c r="AG305" s="78"/>
      <c r="AJ305" s="84" t="s">
        <v>46</v>
      </c>
      <c r="AK305" s="84">
        <v>0</v>
      </c>
      <c r="BB305" s="401" t="s">
        <v>67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529</v>
      </c>
      <c r="B306" s="63" t="s">
        <v>530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91</v>
      </c>
      <c r="L306" s="37" t="s">
        <v>46</v>
      </c>
      <c r="M306" s="38" t="s">
        <v>132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531</v>
      </c>
      <c r="AG306" s="78"/>
      <c r="AJ306" s="84" t="s">
        <v>46</v>
      </c>
      <c r="AK306" s="84">
        <v>0</v>
      </c>
      <c r="BB306" s="403" t="s">
        <v>67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532</v>
      </c>
      <c r="B307" s="63" t="s">
        <v>533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140</v>
      </c>
      <c r="L307" s="37" t="s">
        <v>46</v>
      </c>
      <c r="M307" s="38" t="s">
        <v>132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376</v>
      </c>
      <c r="AG307" s="78"/>
      <c r="AJ307" s="84" t="s">
        <v>46</v>
      </c>
      <c r="AK307" s="84">
        <v>0</v>
      </c>
      <c r="BB307" s="405" t="s">
        <v>67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164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534</v>
      </c>
      <c r="B311" s="63" t="s">
        <v>535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82</v>
      </c>
      <c r="L311" s="37" t="s">
        <v>46</v>
      </c>
      <c r="M311" s="38" t="s">
        <v>90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536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537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538</v>
      </c>
      <c r="B315" s="63" t="s">
        <v>539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350</v>
      </c>
      <c r="L315" s="37" t="s">
        <v>46</v>
      </c>
      <c r="M315" s="38" t="s">
        <v>292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540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354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541</v>
      </c>
      <c r="B319" s="63" t="s">
        <v>542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350</v>
      </c>
      <c r="L319" s="37" t="s">
        <v>46</v>
      </c>
      <c r="M319" s="38" t="s">
        <v>292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543</v>
      </c>
      <c r="AG319" s="78"/>
      <c r="AJ319" s="84" t="s">
        <v>46</v>
      </c>
      <c r="AK319" s="84">
        <v>0</v>
      </c>
      <c r="BB319" s="411" t="s">
        <v>67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544</v>
      </c>
      <c r="B320" s="63" t="s">
        <v>545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350</v>
      </c>
      <c r="L320" s="37" t="s">
        <v>46</v>
      </c>
      <c r="M320" s="38" t="s">
        <v>292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543</v>
      </c>
      <c r="AG320" s="78"/>
      <c r="AJ320" s="84" t="s">
        <v>46</v>
      </c>
      <c r="AK320" s="84">
        <v>0</v>
      </c>
      <c r="BB320" s="413" t="s">
        <v>67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546</v>
      </c>
      <c r="B321" s="63" t="s">
        <v>547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350</v>
      </c>
      <c r="L321" s="37" t="s">
        <v>46</v>
      </c>
      <c r="M321" s="38" t="s">
        <v>292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543</v>
      </c>
      <c r="AG321" s="78"/>
      <c r="AJ321" s="84" t="s">
        <v>46</v>
      </c>
      <c r="AK321" s="84">
        <v>0</v>
      </c>
      <c r="BB321" s="415" t="s">
        <v>67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548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128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customHeight="1" x14ac:dyDescent="0.25">
      <c r="A326" s="63" t="s">
        <v>549</v>
      </c>
      <c r="B326" s="63" t="s">
        <v>550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133</v>
      </c>
      <c r="L326" s="37" t="s">
        <v>46</v>
      </c>
      <c r="M326" s="38" t="s">
        <v>132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10</v>
      </c>
      <c r="Y326" s="55">
        <f>IFERROR(IF(X326="",0,CEILING((X326/$H326),1)*$H326),"")</f>
        <v>10.8</v>
      </c>
      <c r="Z326" s="41">
        <f>IFERROR(IF(Y326=0,"",ROUNDUP(Y326/H326,0)*0.01898),"")</f>
        <v>1.898E-2</v>
      </c>
      <c r="AA326" s="68" t="s">
        <v>46</v>
      </c>
      <c r="AB326" s="69" t="s">
        <v>46</v>
      </c>
      <c r="AC326" s="416" t="s">
        <v>551</v>
      </c>
      <c r="AG326" s="78"/>
      <c r="AJ326" s="84" t="s">
        <v>46</v>
      </c>
      <c r="AK326" s="84">
        <v>0</v>
      </c>
      <c r="BB326" s="417" t="s">
        <v>67</v>
      </c>
      <c r="BM326" s="78">
        <f>IFERROR(X326*I326/H326,"0")</f>
        <v>10.37962962962963</v>
      </c>
      <c r="BN326" s="78">
        <f>IFERROR(Y326*I326/H326,"0")</f>
        <v>11.21</v>
      </c>
      <c r="BO326" s="78">
        <f>IFERROR(1/J326*(X326/H326),"0")</f>
        <v>1.4467592592592591E-2</v>
      </c>
      <c r="BP326" s="78">
        <f>IFERROR(1/J326*(Y326/H326),"0")</f>
        <v>1.5625E-2</v>
      </c>
    </row>
    <row r="327" spans="1:68" ht="37.5" customHeight="1" x14ac:dyDescent="0.25">
      <c r="A327" s="63" t="s">
        <v>552</v>
      </c>
      <c r="B327" s="63" t="s">
        <v>553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133</v>
      </c>
      <c r="L327" s="37" t="s">
        <v>46</v>
      </c>
      <c r="M327" s="38" t="s">
        <v>132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20</v>
      </c>
      <c r="Y327" s="55">
        <f>IFERROR(IF(X327="",0,CEILING((X327/$H327),1)*$H327),"")</f>
        <v>21.6</v>
      </c>
      <c r="Z327" s="41">
        <f>IFERROR(IF(Y327=0,"",ROUNDUP(Y327/H327,0)*0.01898),"")</f>
        <v>3.7960000000000001E-2</v>
      </c>
      <c r="AA327" s="68" t="s">
        <v>46</v>
      </c>
      <c r="AB327" s="69" t="s">
        <v>46</v>
      </c>
      <c r="AC327" s="418" t="s">
        <v>554</v>
      </c>
      <c r="AG327" s="78"/>
      <c r="AJ327" s="84" t="s">
        <v>46</v>
      </c>
      <c r="AK327" s="84">
        <v>0</v>
      </c>
      <c r="BB327" s="419" t="s">
        <v>67</v>
      </c>
      <c r="BM327" s="78">
        <f>IFERROR(X327*I327/H327,"0")</f>
        <v>20.75925925925926</v>
      </c>
      <c r="BN327" s="78">
        <f>IFERROR(Y327*I327/H327,"0")</f>
        <v>22.42</v>
      </c>
      <c r="BO327" s="78">
        <f>IFERROR(1/J327*(X327/H327),"0")</f>
        <v>2.8935185185185182E-2</v>
      </c>
      <c r="BP327" s="78">
        <f>IFERROR(1/J327*(Y327/H327),"0")</f>
        <v>3.125E-2</v>
      </c>
    </row>
    <row r="328" spans="1:68" ht="27" customHeight="1" x14ac:dyDescent="0.25">
      <c r="A328" s="63" t="s">
        <v>555</v>
      </c>
      <c r="B328" s="63" t="s">
        <v>556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133</v>
      </c>
      <c r="L328" s="37" t="s">
        <v>46</v>
      </c>
      <c r="M328" s="38" t="s">
        <v>132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50</v>
      </c>
      <c r="Y328" s="55">
        <f>IFERROR(IF(X328="",0,CEILING((X328/$H328),1)*$H328),"")</f>
        <v>54</v>
      </c>
      <c r="Z328" s="41">
        <f>IFERROR(IF(Y328=0,"",ROUNDUP(Y328/H328,0)*0.01898),"")</f>
        <v>9.4899999999999998E-2</v>
      </c>
      <c r="AA328" s="68" t="s">
        <v>46</v>
      </c>
      <c r="AB328" s="69" t="s">
        <v>46</v>
      </c>
      <c r="AC328" s="420" t="s">
        <v>557</v>
      </c>
      <c r="AG328" s="78"/>
      <c r="AJ328" s="84" t="s">
        <v>46</v>
      </c>
      <c r="AK328" s="84">
        <v>0</v>
      </c>
      <c r="BB328" s="421" t="s">
        <v>67</v>
      </c>
      <c r="BM328" s="78">
        <f>IFERROR(X328*I328/H328,"0")</f>
        <v>51.898148148148145</v>
      </c>
      <c r="BN328" s="78">
        <f>IFERROR(Y328*I328/H328,"0")</f>
        <v>56.05</v>
      </c>
      <c r="BO328" s="78">
        <f>IFERROR(1/J328*(X328/H328),"0")</f>
        <v>7.2337962962962965E-2</v>
      </c>
      <c r="BP328" s="78">
        <f>IFERROR(1/J328*(Y328/H328),"0")</f>
        <v>7.8125E-2</v>
      </c>
    </row>
    <row r="329" spans="1:68" ht="27" customHeight="1" x14ac:dyDescent="0.25">
      <c r="A329" s="63" t="s">
        <v>558</v>
      </c>
      <c r="B329" s="63" t="s">
        <v>559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140</v>
      </c>
      <c r="L329" s="37" t="s">
        <v>46</v>
      </c>
      <c r="M329" s="38" t="s">
        <v>132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12</v>
      </c>
      <c r="Y329" s="55">
        <f>IFERROR(IF(X329="",0,CEILING((X329/$H329),1)*$H329),"")</f>
        <v>12</v>
      </c>
      <c r="Z329" s="41">
        <f>IFERROR(IF(Y329=0,"",ROUNDUP(Y329/H329,0)*0.00902),"")</f>
        <v>2.7060000000000001E-2</v>
      </c>
      <c r="AA329" s="68" t="s">
        <v>46</v>
      </c>
      <c r="AB329" s="69" t="s">
        <v>46</v>
      </c>
      <c r="AC329" s="422" t="s">
        <v>560</v>
      </c>
      <c r="AG329" s="78"/>
      <c r="AJ329" s="84" t="s">
        <v>46</v>
      </c>
      <c r="AK329" s="84">
        <v>0</v>
      </c>
      <c r="BB329" s="423" t="s">
        <v>67</v>
      </c>
      <c r="BM329" s="78">
        <f>IFERROR(X329*I329/H329,"0")</f>
        <v>12.57</v>
      </c>
      <c r="BN329" s="78">
        <f>IFERROR(Y329*I329/H329,"0")</f>
        <v>12.57</v>
      </c>
      <c r="BO329" s="78">
        <f>IFERROR(1/J329*(X329/H329),"0")</f>
        <v>2.2727272727272728E-2</v>
      </c>
      <c r="BP329" s="78">
        <f>IFERROR(1/J329*(Y329/H329),"0")</f>
        <v>2.2727272727272728E-2</v>
      </c>
    </row>
    <row r="330" spans="1:68" ht="37.5" customHeight="1" x14ac:dyDescent="0.25">
      <c r="A330" s="63" t="s">
        <v>561</v>
      </c>
      <c r="B330" s="63" t="s">
        <v>562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140</v>
      </c>
      <c r="L330" s="37" t="s">
        <v>46</v>
      </c>
      <c r="M330" s="38" t="s">
        <v>132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12</v>
      </c>
      <c r="Y330" s="55">
        <f>IFERROR(IF(X330="",0,CEILING((X330/$H330),1)*$H330),"")</f>
        <v>12</v>
      </c>
      <c r="Z330" s="41">
        <f>IFERROR(IF(Y330=0,"",ROUNDUP(Y330/H330,0)*0.00902),"")</f>
        <v>2.7060000000000001E-2</v>
      </c>
      <c r="AA330" s="68" t="s">
        <v>46</v>
      </c>
      <c r="AB330" s="69" t="s">
        <v>46</v>
      </c>
      <c r="AC330" s="424" t="s">
        <v>563</v>
      </c>
      <c r="AG330" s="78"/>
      <c r="AJ330" s="84" t="s">
        <v>46</v>
      </c>
      <c r="AK330" s="84">
        <v>0</v>
      </c>
      <c r="BB330" s="425" t="s">
        <v>67</v>
      </c>
      <c r="BM330" s="78">
        <f>IFERROR(X330*I330/H330,"0")</f>
        <v>12.57</v>
      </c>
      <c r="BN330" s="78">
        <f>IFERROR(Y330*I330/H330,"0")</f>
        <v>12.57</v>
      </c>
      <c r="BO330" s="78">
        <f>IFERROR(1/J330*(X330/H330),"0")</f>
        <v>2.2727272727272728E-2</v>
      </c>
      <c r="BP330" s="78">
        <f>IFERROR(1/J330*(Y330/H330),"0")</f>
        <v>2.2727272727272728E-2</v>
      </c>
    </row>
    <row r="331" spans="1:68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13.407407407407408</v>
      </c>
      <c r="Y331" s="43">
        <f>IFERROR(Y326/H326,"0")+IFERROR(Y327/H327,"0")+IFERROR(Y328/H328,"0")+IFERROR(Y329/H329,"0")+IFERROR(Y330/H330,"0")</f>
        <v>14</v>
      </c>
      <c r="Z331" s="43">
        <f>IFERROR(IF(Z326="",0,Z326),"0")+IFERROR(IF(Z327="",0,Z327),"0")+IFERROR(IF(Z328="",0,Z328),"0")+IFERROR(IF(Z329="",0,Z329),"0")+IFERROR(IF(Z330="",0,Z330),"0")</f>
        <v>0.20596</v>
      </c>
      <c r="AA331" s="67"/>
      <c r="AB331" s="67"/>
      <c r="AC331" s="67"/>
    </row>
    <row r="332" spans="1:68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104</v>
      </c>
      <c r="Y332" s="43">
        <f>IFERROR(SUM(Y326:Y330),"0")</f>
        <v>110.4</v>
      </c>
      <c r="Z332" s="42"/>
      <c r="AA332" s="67"/>
      <c r="AB332" s="67"/>
      <c r="AC332" s="67"/>
    </row>
    <row r="333" spans="1:68" ht="16.5" hidden="1" customHeight="1" x14ac:dyDescent="0.25">
      <c r="A333" s="707" t="s">
        <v>564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86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565</v>
      </c>
      <c r="B335" s="63" t="s">
        <v>566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91</v>
      </c>
      <c r="L335" s="37" t="s">
        <v>46</v>
      </c>
      <c r="M335" s="38" t="s">
        <v>90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567</v>
      </c>
      <c r="AG335" s="78"/>
      <c r="AJ335" s="84" t="s">
        <v>46</v>
      </c>
      <c r="AK335" s="84">
        <v>0</v>
      </c>
      <c r="BB335" s="427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568</v>
      </c>
      <c r="B336" s="63" t="s">
        <v>569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91</v>
      </c>
      <c r="L336" s="37" t="s">
        <v>46</v>
      </c>
      <c r="M336" s="38" t="s">
        <v>97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570</v>
      </c>
      <c r="AG336" s="78"/>
      <c r="AJ336" s="84" t="s">
        <v>46</v>
      </c>
      <c r="AK336" s="84">
        <v>0</v>
      </c>
      <c r="BB336" s="429" t="s">
        <v>67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571</v>
      </c>
      <c r="B337" s="63" t="s">
        <v>572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91</v>
      </c>
      <c r="L337" s="37" t="s">
        <v>46</v>
      </c>
      <c r="M337" s="38" t="s">
        <v>90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567</v>
      </c>
      <c r="AG337" s="78"/>
      <c r="AJ337" s="84" t="s">
        <v>46</v>
      </c>
      <c r="AK337" s="84">
        <v>0</v>
      </c>
      <c r="BB337" s="431" t="s">
        <v>67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573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77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574</v>
      </c>
      <c r="B342" s="63" t="s">
        <v>575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82</v>
      </c>
      <c r="L342" s="37" t="s">
        <v>46</v>
      </c>
      <c r="M342" s="38" t="s">
        <v>81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408</v>
      </c>
      <c r="AG342" s="78"/>
      <c r="AJ342" s="84" t="s">
        <v>46</v>
      </c>
      <c r="AK342" s="84">
        <v>0</v>
      </c>
      <c r="BB342" s="433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576</v>
      </c>
      <c r="B343" s="63" t="s">
        <v>577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82</v>
      </c>
      <c r="L343" s="37" t="s">
        <v>46</v>
      </c>
      <c r="M343" s="38" t="s">
        <v>81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578</v>
      </c>
      <c r="AG343" s="78"/>
      <c r="AJ343" s="84" t="s">
        <v>46</v>
      </c>
      <c r="AK343" s="84">
        <v>0</v>
      </c>
      <c r="BB343" s="435" t="s">
        <v>67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579</v>
      </c>
      <c r="B344" s="63" t="s">
        <v>580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82</v>
      </c>
      <c r="L344" s="37" t="s">
        <v>46</v>
      </c>
      <c r="M344" s="38" t="s">
        <v>81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581</v>
      </c>
      <c r="AG344" s="78"/>
      <c r="AJ344" s="84" t="s">
        <v>46</v>
      </c>
      <c r="AK344" s="84">
        <v>0</v>
      </c>
      <c r="BB344" s="437" t="s">
        <v>67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582</v>
      </c>
      <c r="B345" s="63" t="s">
        <v>583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91</v>
      </c>
      <c r="L345" s="37" t="s">
        <v>46</v>
      </c>
      <c r="M345" s="38" t="s">
        <v>81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584</v>
      </c>
      <c r="AG345" s="78"/>
      <c r="AJ345" s="84" t="s">
        <v>46</v>
      </c>
      <c r="AK345" s="84">
        <v>0</v>
      </c>
      <c r="BB345" s="439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585</v>
      </c>
      <c r="B346" s="63" t="s">
        <v>586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587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86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588</v>
      </c>
      <c r="B350" s="63" t="s">
        <v>589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140</v>
      </c>
      <c r="L350" s="37" t="s">
        <v>46</v>
      </c>
      <c r="M350" s="38" t="s">
        <v>90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590</v>
      </c>
      <c r="AG350" s="78"/>
      <c r="AJ350" s="84" t="s">
        <v>46</v>
      </c>
      <c r="AK350" s="84">
        <v>0</v>
      </c>
      <c r="BB350" s="443" t="s">
        <v>67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591</v>
      </c>
      <c r="B351" s="63" t="s">
        <v>592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140</v>
      </c>
      <c r="L351" s="37" t="s">
        <v>46</v>
      </c>
      <c r="M351" s="38" t="s">
        <v>90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593</v>
      </c>
      <c r="AG351" s="78"/>
      <c r="AJ351" s="84" t="s">
        <v>46</v>
      </c>
      <c r="AK351" s="84">
        <v>0</v>
      </c>
      <c r="BB351" s="445" t="s">
        <v>67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594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128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595</v>
      </c>
      <c r="B356" s="63" t="s">
        <v>596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133</v>
      </c>
      <c r="L356" s="37" t="s">
        <v>46</v>
      </c>
      <c r="M356" s="38" t="s">
        <v>90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367</v>
      </c>
      <c r="AG356" s="78"/>
      <c r="AJ356" s="84" t="s">
        <v>46</v>
      </c>
      <c r="AK356" s="84">
        <v>0</v>
      </c>
      <c r="BB356" s="447" t="s">
        <v>67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597</v>
      </c>
      <c r="B357" s="63" t="s">
        <v>598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133</v>
      </c>
      <c r="L357" s="37" t="s">
        <v>46</v>
      </c>
      <c r="M357" s="38" t="s">
        <v>90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599</v>
      </c>
      <c r="AG357" s="78"/>
      <c r="AJ357" s="84" t="s">
        <v>46</v>
      </c>
      <c r="AK357" s="84">
        <v>0</v>
      </c>
      <c r="BB357" s="449" t="s">
        <v>67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600</v>
      </c>
      <c r="B358" s="63" t="s">
        <v>601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133</v>
      </c>
      <c r="L358" s="37" t="s">
        <v>46</v>
      </c>
      <c r="M358" s="38" t="s">
        <v>90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602</v>
      </c>
      <c r="AG358" s="78"/>
      <c r="AJ358" s="84" t="s">
        <v>46</v>
      </c>
      <c r="AK358" s="84">
        <v>0</v>
      </c>
      <c r="BB358" s="451" t="s">
        <v>67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603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128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604</v>
      </c>
      <c r="B363" s="63" t="s">
        <v>605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133</v>
      </c>
      <c r="L363" s="37" t="s">
        <v>46</v>
      </c>
      <c r="M363" s="38" t="s">
        <v>132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606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customHeight="1" x14ac:dyDescent="0.25">
      <c r="A364" s="63" t="s">
        <v>607</v>
      </c>
      <c r="B364" s="63" t="s">
        <v>608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133</v>
      </c>
      <c r="L364" s="37" t="s">
        <v>46</v>
      </c>
      <c r="M364" s="38" t="s">
        <v>132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30</v>
      </c>
      <c r="Y364" s="55">
        <f t="shared" si="42"/>
        <v>32.400000000000006</v>
      </c>
      <c r="Z364" s="41">
        <f>IFERROR(IF(Y364=0,"",ROUNDUP(Y364/H364,0)*0.01898),"")</f>
        <v>5.6940000000000004E-2</v>
      </c>
      <c r="AA364" s="68" t="s">
        <v>46</v>
      </c>
      <c r="AB364" s="69" t="s">
        <v>46</v>
      </c>
      <c r="AC364" s="454" t="s">
        <v>609</v>
      </c>
      <c r="AG364" s="78"/>
      <c r="AJ364" s="84" t="s">
        <v>46</v>
      </c>
      <c r="AK364" s="84">
        <v>0</v>
      </c>
      <c r="BB364" s="455" t="s">
        <v>67</v>
      </c>
      <c r="BM364" s="78">
        <f t="shared" si="43"/>
        <v>31.138888888888889</v>
      </c>
      <c r="BN364" s="78">
        <f t="shared" si="44"/>
        <v>33.630000000000003</v>
      </c>
      <c r="BO364" s="78">
        <f t="shared" si="45"/>
        <v>4.3402777777777776E-2</v>
      </c>
      <c r="BP364" s="78">
        <f t="shared" si="46"/>
        <v>4.6875000000000007E-2</v>
      </c>
    </row>
    <row r="365" spans="1:68" ht="37.5" customHeight="1" x14ac:dyDescent="0.25">
      <c r="A365" s="63" t="s">
        <v>610</v>
      </c>
      <c r="B365" s="63" t="s">
        <v>611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133</v>
      </c>
      <c r="L365" s="37" t="s">
        <v>46</v>
      </c>
      <c r="M365" s="38" t="s">
        <v>132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30</v>
      </c>
      <c r="Y365" s="55">
        <f t="shared" si="42"/>
        <v>32.400000000000006</v>
      </c>
      <c r="Z365" s="41">
        <f>IFERROR(IF(Y365=0,"",ROUNDUP(Y365/H365,0)*0.01898),"")</f>
        <v>5.6940000000000004E-2</v>
      </c>
      <c r="AA365" s="68" t="s">
        <v>46</v>
      </c>
      <c r="AB365" s="69" t="s">
        <v>46</v>
      </c>
      <c r="AC365" s="456" t="s">
        <v>612</v>
      </c>
      <c r="AG365" s="78"/>
      <c r="AJ365" s="84" t="s">
        <v>46</v>
      </c>
      <c r="AK365" s="84">
        <v>0</v>
      </c>
      <c r="BB365" s="457" t="s">
        <v>67</v>
      </c>
      <c r="BM365" s="78">
        <f t="shared" si="43"/>
        <v>31.138888888888889</v>
      </c>
      <c r="BN365" s="78">
        <f t="shared" si="44"/>
        <v>33.630000000000003</v>
      </c>
      <c r="BO365" s="78">
        <f t="shared" si="45"/>
        <v>4.3402777777777776E-2</v>
      </c>
      <c r="BP365" s="78">
        <f t="shared" si="46"/>
        <v>4.6875000000000007E-2</v>
      </c>
    </row>
    <row r="366" spans="1:68" ht="27" customHeight="1" x14ac:dyDescent="0.25">
      <c r="A366" s="63" t="s">
        <v>613</v>
      </c>
      <c r="B366" s="63" t="s">
        <v>614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133</v>
      </c>
      <c r="L366" s="37" t="s">
        <v>46</v>
      </c>
      <c r="M366" s="38" t="s">
        <v>90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110</v>
      </c>
      <c r="Y366" s="55">
        <f t="shared" si="42"/>
        <v>118.80000000000001</v>
      </c>
      <c r="Z366" s="41">
        <f>IFERROR(IF(Y366=0,"",ROUNDUP(Y366/H366,0)*0.01898),"")</f>
        <v>0.20877999999999999</v>
      </c>
      <c r="AA366" s="68" t="s">
        <v>46</v>
      </c>
      <c r="AB366" s="69" t="s">
        <v>46</v>
      </c>
      <c r="AC366" s="458" t="s">
        <v>615</v>
      </c>
      <c r="AG366" s="78"/>
      <c r="AJ366" s="84" t="s">
        <v>46</v>
      </c>
      <c r="AK366" s="84">
        <v>0</v>
      </c>
      <c r="BB366" s="459" t="s">
        <v>67</v>
      </c>
      <c r="BM366" s="78">
        <f t="shared" si="43"/>
        <v>114.17592592592594</v>
      </c>
      <c r="BN366" s="78">
        <f t="shared" si="44"/>
        <v>123.31000000000002</v>
      </c>
      <c r="BO366" s="78">
        <f t="shared" si="45"/>
        <v>0.15914351851851852</v>
      </c>
      <c r="BP366" s="78">
        <f t="shared" si="46"/>
        <v>0.171875</v>
      </c>
    </row>
    <row r="367" spans="1:68" ht="27" hidden="1" customHeight="1" x14ac:dyDescent="0.25">
      <c r="A367" s="63" t="s">
        <v>616</v>
      </c>
      <c r="B367" s="63" t="s">
        <v>617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140</v>
      </c>
      <c r="L367" s="37" t="s">
        <v>46</v>
      </c>
      <c r="M367" s="38" t="s">
        <v>132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609</v>
      </c>
      <c r="AG367" s="78"/>
      <c r="AJ367" s="84" t="s">
        <v>46</v>
      </c>
      <c r="AK367" s="84">
        <v>0</v>
      </c>
      <c r="BB367" s="461" t="s">
        <v>67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customHeight="1" x14ac:dyDescent="0.25">
      <c r="A368" s="63" t="s">
        <v>618</v>
      </c>
      <c r="B368" s="63" t="s">
        <v>619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140</v>
      </c>
      <c r="L368" s="37" t="s">
        <v>46</v>
      </c>
      <c r="M368" s="38" t="s">
        <v>132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12</v>
      </c>
      <c r="Y368" s="55">
        <f t="shared" si="42"/>
        <v>12</v>
      </c>
      <c r="Z368" s="41">
        <f>IFERROR(IF(Y368=0,"",ROUNDUP(Y368/H368,0)*0.00902),"")</f>
        <v>2.7060000000000001E-2</v>
      </c>
      <c r="AA368" s="68" t="s">
        <v>46</v>
      </c>
      <c r="AB368" s="69" t="s">
        <v>46</v>
      </c>
      <c r="AC368" s="462" t="s">
        <v>620</v>
      </c>
      <c r="AG368" s="78"/>
      <c r="AJ368" s="84" t="s">
        <v>46</v>
      </c>
      <c r="AK368" s="84">
        <v>0</v>
      </c>
      <c r="BB368" s="463" t="s">
        <v>67</v>
      </c>
      <c r="BM368" s="78">
        <f t="shared" si="43"/>
        <v>12.57</v>
      </c>
      <c r="BN368" s="78">
        <f t="shared" si="44"/>
        <v>12.57</v>
      </c>
      <c r="BO368" s="78">
        <f t="shared" si="45"/>
        <v>2.2727272727272728E-2</v>
      </c>
      <c r="BP368" s="78">
        <f t="shared" si="46"/>
        <v>2.2727272727272728E-2</v>
      </c>
    </row>
    <row r="369" spans="1:68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18.74074074074074</v>
      </c>
      <c r="Y369" s="43">
        <f>IFERROR(Y363/H363,"0")+IFERROR(Y364/H364,"0")+IFERROR(Y365/H365,"0")+IFERROR(Y366/H366,"0")+IFERROR(Y367/H367,"0")+IFERROR(Y368/H368,"0")</f>
        <v>20</v>
      </c>
      <c r="Z369" s="43">
        <f>IFERROR(IF(Z363="",0,Z363),"0")+IFERROR(IF(Z364="",0,Z364),"0")+IFERROR(IF(Z365="",0,Z365),"0")+IFERROR(IF(Z366="",0,Z366),"0")+IFERROR(IF(Z367="",0,Z367),"0")+IFERROR(IF(Z368="",0,Z368),"0")</f>
        <v>0.34972000000000003</v>
      </c>
      <c r="AA369" s="67"/>
      <c r="AB369" s="67"/>
      <c r="AC369" s="67"/>
    </row>
    <row r="370" spans="1:68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182</v>
      </c>
      <c r="Y370" s="43">
        <f>IFERROR(SUM(Y363:Y368),"0")</f>
        <v>195.60000000000002</v>
      </c>
      <c r="Z370" s="42"/>
      <c r="AA370" s="67"/>
      <c r="AB370" s="67"/>
      <c r="AC370" s="67"/>
    </row>
    <row r="371" spans="1:68" ht="14.25" hidden="1" customHeight="1" x14ac:dyDescent="0.25">
      <c r="A371" s="708" t="s">
        <v>77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customHeight="1" x14ac:dyDescent="0.25">
      <c r="A372" s="63" t="s">
        <v>621</v>
      </c>
      <c r="B372" s="63" t="s">
        <v>622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140</v>
      </c>
      <c r="L372" s="37" t="s">
        <v>46</v>
      </c>
      <c r="M372" s="38" t="s">
        <v>81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18</v>
      </c>
      <c r="Y372" s="55">
        <f t="shared" ref="Y372:Y378" si="47">IFERROR(IF(X372="",0,CEILING((X372/$H372),1)*$H372),"")</f>
        <v>21</v>
      </c>
      <c r="Z372" s="41">
        <f>IFERROR(IF(Y372=0,"",ROUNDUP(Y372/H372,0)*0.00902),"")</f>
        <v>4.5100000000000001E-2</v>
      </c>
      <c r="AA372" s="68" t="s">
        <v>46</v>
      </c>
      <c r="AB372" s="69" t="s">
        <v>46</v>
      </c>
      <c r="AC372" s="464" t="s">
        <v>623</v>
      </c>
      <c r="AG372" s="78"/>
      <c r="AJ372" s="84" t="s">
        <v>46</v>
      </c>
      <c r="AK372" s="84">
        <v>0</v>
      </c>
      <c r="BB372" s="465" t="s">
        <v>67</v>
      </c>
      <c r="BM372" s="78">
        <f t="shared" ref="BM372:BM378" si="48">IFERROR(X372*I372/H372,"0")</f>
        <v>19.071428571428573</v>
      </c>
      <c r="BN372" s="78">
        <f t="shared" ref="BN372:BN378" si="49">IFERROR(Y372*I372/H372,"0")</f>
        <v>22.25</v>
      </c>
      <c r="BO372" s="78">
        <f t="shared" ref="BO372:BO378" si="50">IFERROR(1/J372*(X372/H372),"0")</f>
        <v>3.2467532467532464E-2</v>
      </c>
      <c r="BP372" s="78">
        <f t="shared" ref="BP372:BP378" si="51">IFERROR(1/J372*(Y372/H372),"0")</f>
        <v>3.787878787878788E-2</v>
      </c>
    </row>
    <row r="373" spans="1:68" ht="27" customHeight="1" x14ac:dyDescent="0.25">
      <c r="A373" s="63" t="s">
        <v>624</v>
      </c>
      <c r="B373" s="63" t="s">
        <v>625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140</v>
      </c>
      <c r="L373" s="37" t="s">
        <v>46</v>
      </c>
      <c r="M373" s="38" t="s">
        <v>81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45</v>
      </c>
      <c r="Y373" s="55">
        <f t="shared" si="47"/>
        <v>46.2</v>
      </c>
      <c r="Z373" s="41">
        <f>IFERROR(IF(Y373=0,"",ROUNDUP(Y373/H373,0)*0.00902),"")</f>
        <v>9.9220000000000003E-2</v>
      </c>
      <c r="AA373" s="68" t="s">
        <v>46</v>
      </c>
      <c r="AB373" s="69" t="s">
        <v>46</v>
      </c>
      <c r="AC373" s="466" t="s">
        <v>626</v>
      </c>
      <c r="AG373" s="78"/>
      <c r="AJ373" s="84" t="s">
        <v>46</v>
      </c>
      <c r="AK373" s="84">
        <v>0</v>
      </c>
      <c r="BB373" s="467" t="s">
        <v>67</v>
      </c>
      <c r="BM373" s="78">
        <f t="shared" si="48"/>
        <v>47.678571428571423</v>
      </c>
      <c r="BN373" s="78">
        <f t="shared" si="49"/>
        <v>48.95</v>
      </c>
      <c r="BO373" s="78">
        <f t="shared" si="50"/>
        <v>8.1168831168831168E-2</v>
      </c>
      <c r="BP373" s="78">
        <f t="shared" si="51"/>
        <v>8.3333333333333343E-2</v>
      </c>
    </row>
    <row r="374" spans="1:68" ht="27" hidden="1" customHeight="1" x14ac:dyDescent="0.25">
      <c r="A374" s="63" t="s">
        <v>627</v>
      </c>
      <c r="B374" s="63" t="s">
        <v>628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140</v>
      </c>
      <c r="L374" s="37" t="s">
        <v>46</v>
      </c>
      <c r="M374" s="38" t="s">
        <v>81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629</v>
      </c>
      <c r="AG374" s="78"/>
      <c r="AJ374" s="84" t="s">
        <v>46</v>
      </c>
      <c r="AK374" s="84">
        <v>0</v>
      </c>
      <c r="BB374" s="469" t="s">
        <v>67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customHeight="1" x14ac:dyDescent="0.25">
      <c r="A375" s="63" t="s">
        <v>630</v>
      </c>
      <c r="B375" s="63" t="s">
        <v>631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82</v>
      </c>
      <c r="L375" s="37" t="s">
        <v>46</v>
      </c>
      <c r="M375" s="38" t="s">
        <v>81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18.899999999999999</v>
      </c>
      <c r="Y375" s="55">
        <f t="shared" si="47"/>
        <v>18.900000000000002</v>
      </c>
      <c r="Z375" s="41">
        <f>IFERROR(IF(Y375=0,"",ROUNDUP(Y375/H375,0)*0.00502),"")</f>
        <v>4.5179999999999998E-2</v>
      </c>
      <c r="AA375" s="68" t="s">
        <v>46</v>
      </c>
      <c r="AB375" s="69" t="s">
        <v>46</v>
      </c>
      <c r="AC375" s="470" t="s">
        <v>626</v>
      </c>
      <c r="AG375" s="78"/>
      <c r="AJ375" s="84" t="s">
        <v>46</v>
      </c>
      <c r="AK375" s="84">
        <v>0</v>
      </c>
      <c r="BB375" s="471" t="s">
        <v>67</v>
      </c>
      <c r="BM375" s="78">
        <f t="shared" si="48"/>
        <v>20.069999999999997</v>
      </c>
      <c r="BN375" s="78">
        <f t="shared" si="49"/>
        <v>20.07</v>
      </c>
      <c r="BO375" s="78">
        <f t="shared" si="50"/>
        <v>3.8461538461538457E-2</v>
      </c>
      <c r="BP375" s="78">
        <f t="shared" si="51"/>
        <v>3.8461538461538464E-2</v>
      </c>
    </row>
    <row r="376" spans="1:68" ht="27" customHeight="1" x14ac:dyDescent="0.25">
      <c r="A376" s="63" t="s">
        <v>632</v>
      </c>
      <c r="B376" s="63" t="s">
        <v>633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82</v>
      </c>
      <c r="L376" s="37" t="s">
        <v>46</v>
      </c>
      <c r="M376" s="38" t="s">
        <v>81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14.7</v>
      </c>
      <c r="Y376" s="55">
        <f t="shared" si="47"/>
        <v>14.700000000000001</v>
      </c>
      <c r="Z376" s="41">
        <f>IFERROR(IF(Y376=0,"",ROUNDUP(Y376/H376,0)*0.00502),"")</f>
        <v>3.5140000000000005E-2</v>
      </c>
      <c r="AA376" s="68" t="s">
        <v>46</v>
      </c>
      <c r="AB376" s="69" t="s">
        <v>46</v>
      </c>
      <c r="AC376" s="472" t="s">
        <v>634</v>
      </c>
      <c r="AG376" s="78"/>
      <c r="AJ376" s="84" t="s">
        <v>46</v>
      </c>
      <c r="AK376" s="84">
        <v>0</v>
      </c>
      <c r="BB376" s="473" t="s">
        <v>67</v>
      </c>
      <c r="BM376" s="78">
        <f t="shared" si="48"/>
        <v>15.4</v>
      </c>
      <c r="BN376" s="78">
        <f t="shared" si="49"/>
        <v>15.4</v>
      </c>
      <c r="BO376" s="78">
        <f t="shared" si="50"/>
        <v>2.9914529914529912E-2</v>
      </c>
      <c r="BP376" s="78">
        <f t="shared" si="51"/>
        <v>2.9914529914529919E-2</v>
      </c>
    </row>
    <row r="377" spans="1:68" ht="27" hidden="1" customHeight="1" x14ac:dyDescent="0.25">
      <c r="A377" s="63" t="s">
        <v>635</v>
      </c>
      <c r="B377" s="63" t="s">
        <v>636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140</v>
      </c>
      <c r="L377" s="37" t="s">
        <v>46</v>
      </c>
      <c r="M377" s="38" t="s">
        <v>81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629</v>
      </c>
      <c r="AG377" s="78"/>
      <c r="AJ377" s="84" t="s">
        <v>46</v>
      </c>
      <c r="AK377" s="84">
        <v>0</v>
      </c>
      <c r="BB377" s="475" t="s">
        <v>67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637</v>
      </c>
      <c r="B378" s="63" t="s">
        <v>638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91</v>
      </c>
      <c r="L378" s="37" t="s">
        <v>46</v>
      </c>
      <c r="M378" s="38" t="s">
        <v>81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639</v>
      </c>
      <c r="AG378" s="78"/>
      <c r="AJ378" s="84" t="s">
        <v>46</v>
      </c>
      <c r="AK378" s="84">
        <v>0</v>
      </c>
      <c r="BB378" s="477" t="s">
        <v>67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31</v>
      </c>
      <c r="Y379" s="43">
        <f>IFERROR(Y372/H372,"0")+IFERROR(Y373/H373,"0")+IFERROR(Y374/H374,"0")+IFERROR(Y375/H375,"0")+IFERROR(Y376/H376,"0")+IFERROR(Y377/H377,"0")+IFERROR(Y378/H378,"0")</f>
        <v>32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0.22464000000000001</v>
      </c>
      <c r="AA379" s="67"/>
      <c r="AB379" s="67"/>
      <c r="AC379" s="67"/>
    </row>
    <row r="380" spans="1:68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96.600000000000009</v>
      </c>
      <c r="Y380" s="43">
        <f>IFERROR(SUM(Y372:Y378),"0")</f>
        <v>100.80000000000001</v>
      </c>
      <c r="Z380" s="42"/>
      <c r="AA380" s="67"/>
      <c r="AB380" s="67"/>
      <c r="AC380" s="67"/>
    </row>
    <row r="381" spans="1:68" ht="14.25" hidden="1" customHeight="1" x14ac:dyDescent="0.25">
      <c r="A381" s="708" t="s">
        <v>86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customHeight="1" x14ac:dyDescent="0.25">
      <c r="A382" s="63" t="s">
        <v>640</v>
      </c>
      <c r="B382" s="63" t="s">
        <v>641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133</v>
      </c>
      <c r="L382" s="37" t="s">
        <v>46</v>
      </c>
      <c r="M382" s="38" t="s">
        <v>90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750</v>
      </c>
      <c r="Y382" s="55">
        <f>IFERROR(IF(X382="",0,CEILING((X382/$H382),1)*$H382),"")</f>
        <v>756.6</v>
      </c>
      <c r="Z382" s="41">
        <f>IFERROR(IF(Y382=0,"",ROUNDUP(Y382/H382,0)*0.01898),"")</f>
        <v>1.8410600000000001</v>
      </c>
      <c r="AA382" s="68" t="s">
        <v>46</v>
      </c>
      <c r="AB382" s="69" t="s">
        <v>46</v>
      </c>
      <c r="AC382" s="478" t="s">
        <v>642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796.92307692307691</v>
      </c>
      <c r="BN382" s="78">
        <f>IFERROR(Y382*I382/H382,"0")</f>
        <v>803.93600000000004</v>
      </c>
      <c r="BO382" s="78">
        <f>IFERROR(1/J382*(X382/H382),"0")</f>
        <v>1.5024038461538463</v>
      </c>
      <c r="BP382" s="78">
        <f>IFERROR(1/J382*(Y382/H382),"0")</f>
        <v>1.515625</v>
      </c>
    </row>
    <row r="383" spans="1:68" ht="27" hidden="1" customHeight="1" x14ac:dyDescent="0.25">
      <c r="A383" s="63" t="s">
        <v>643</v>
      </c>
      <c r="B383" s="63" t="s">
        <v>644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133</v>
      </c>
      <c r="L383" s="37" t="s">
        <v>46</v>
      </c>
      <c r="M383" s="38" t="s">
        <v>90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645</v>
      </c>
      <c r="AG383" s="78"/>
      <c r="AJ383" s="84" t="s">
        <v>46</v>
      </c>
      <c r="AK383" s="84">
        <v>0</v>
      </c>
      <c r="BB383" s="481" t="s">
        <v>67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646</v>
      </c>
      <c r="B384" s="63" t="s">
        <v>647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133</v>
      </c>
      <c r="L384" s="37" t="s">
        <v>46</v>
      </c>
      <c r="M384" s="38" t="s">
        <v>90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648</v>
      </c>
      <c r="AG384" s="78"/>
      <c r="AJ384" s="84" t="s">
        <v>46</v>
      </c>
      <c r="AK384" s="84">
        <v>0</v>
      </c>
      <c r="BB384" s="483" t="s">
        <v>67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customHeight="1" x14ac:dyDescent="0.25">
      <c r="A385" s="63" t="s">
        <v>649</v>
      </c>
      <c r="B385" s="63" t="s">
        <v>650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91</v>
      </c>
      <c r="L385" s="37" t="s">
        <v>46</v>
      </c>
      <c r="M385" s="38" t="s">
        <v>90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15</v>
      </c>
      <c r="Y385" s="55">
        <f>IFERROR(IF(X385="",0,CEILING((X385/$H385),1)*$H385),"")</f>
        <v>15</v>
      </c>
      <c r="Z385" s="41">
        <f>IFERROR(IF(Y385=0,"",ROUNDUP(Y385/H385,0)*0.00651),"")</f>
        <v>3.2550000000000003E-2</v>
      </c>
      <c r="AA385" s="68" t="s">
        <v>46</v>
      </c>
      <c r="AB385" s="69" t="s">
        <v>46</v>
      </c>
      <c r="AC385" s="484" t="s">
        <v>642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16.23</v>
      </c>
      <c r="BN385" s="78">
        <f>IFERROR(Y385*I385/H385,"0")</f>
        <v>16.23</v>
      </c>
      <c r="BO385" s="78">
        <f>IFERROR(1/J385*(X385/H385),"0")</f>
        <v>2.7472527472527476E-2</v>
      </c>
      <c r="BP385" s="78">
        <f>IFERROR(1/J385*(Y385/H385),"0")</f>
        <v>2.7472527472527476E-2</v>
      </c>
    </row>
    <row r="386" spans="1:68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101.15384615384616</v>
      </c>
      <c r="Y386" s="43">
        <f>IFERROR(Y382/H382,"0")+IFERROR(Y383/H383,"0")+IFERROR(Y384/H384,"0")+IFERROR(Y385/H385,"0")</f>
        <v>102</v>
      </c>
      <c r="Z386" s="43">
        <f>IFERROR(IF(Z382="",0,Z382),"0")+IFERROR(IF(Z383="",0,Z383),"0")+IFERROR(IF(Z384="",0,Z384),"0")+IFERROR(IF(Z385="",0,Z385),"0")</f>
        <v>1.8736100000000002</v>
      </c>
      <c r="AA386" s="67"/>
      <c r="AB386" s="67"/>
      <c r="AC386" s="67"/>
    </row>
    <row r="387" spans="1:68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765</v>
      </c>
      <c r="Y387" s="43">
        <f>IFERROR(SUM(Y382:Y385),"0")</f>
        <v>771.6</v>
      </c>
      <c r="Z387" s="42"/>
      <c r="AA387" s="67"/>
      <c r="AB387" s="67"/>
      <c r="AC387" s="67"/>
    </row>
    <row r="388" spans="1:68" ht="14.25" hidden="1" customHeight="1" x14ac:dyDescent="0.25">
      <c r="A388" s="708" t="s">
        <v>181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651</v>
      </c>
      <c r="B389" s="63" t="s">
        <v>652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133</v>
      </c>
      <c r="L389" s="37" t="s">
        <v>46</v>
      </c>
      <c r="M389" s="38" t="s">
        <v>90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653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customHeight="1" x14ac:dyDescent="0.25">
      <c r="A390" s="63" t="s">
        <v>654</v>
      </c>
      <c r="B390" s="63" t="s">
        <v>655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133</v>
      </c>
      <c r="L390" s="37" t="s">
        <v>46</v>
      </c>
      <c r="M390" s="38" t="s">
        <v>90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90</v>
      </c>
      <c r="Y390" s="55">
        <f>IFERROR(IF(X390="",0,CEILING((X390/$H390),1)*$H390),"")</f>
        <v>93.6</v>
      </c>
      <c r="Z390" s="41">
        <f>IFERROR(IF(Y390=0,"",ROUNDUP(Y390/H390,0)*0.01898),"")</f>
        <v>0.22776000000000002</v>
      </c>
      <c r="AA390" s="68" t="s">
        <v>46</v>
      </c>
      <c r="AB390" s="69" t="s">
        <v>46</v>
      </c>
      <c r="AC390" s="488" t="s">
        <v>656</v>
      </c>
      <c r="AG390" s="78"/>
      <c r="AJ390" s="84" t="s">
        <v>46</v>
      </c>
      <c r="AK390" s="84">
        <v>0</v>
      </c>
      <c r="BB390" s="489" t="s">
        <v>67</v>
      </c>
      <c r="BM390" s="78">
        <f>IFERROR(X390*I390/H390,"0")</f>
        <v>95.7</v>
      </c>
      <c r="BN390" s="78">
        <f>IFERROR(Y390*I390/H390,"0")</f>
        <v>99.528000000000006</v>
      </c>
      <c r="BO390" s="78">
        <f>IFERROR(1/J390*(X390/H390),"0")</f>
        <v>0.18028846153846154</v>
      </c>
      <c r="BP390" s="78">
        <f>IFERROR(1/J390*(Y390/H390),"0")</f>
        <v>0.1875</v>
      </c>
    </row>
    <row r="391" spans="1:68" ht="16.5" customHeight="1" x14ac:dyDescent="0.25">
      <c r="A391" s="63" t="s">
        <v>657</v>
      </c>
      <c r="B391" s="63" t="s">
        <v>658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133</v>
      </c>
      <c r="L391" s="37" t="s">
        <v>46</v>
      </c>
      <c r="M391" s="38" t="s">
        <v>97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65</v>
      </c>
      <c r="Y391" s="55">
        <f>IFERROR(IF(X391="",0,CEILING((X391/$H391),1)*$H391),"")</f>
        <v>67.2</v>
      </c>
      <c r="Z391" s="41">
        <f>IFERROR(IF(Y391=0,"",ROUNDUP(Y391/H391,0)*0.01898),"")</f>
        <v>0.15184</v>
      </c>
      <c r="AA391" s="68" t="s">
        <v>46</v>
      </c>
      <c r="AB391" s="69" t="s">
        <v>46</v>
      </c>
      <c r="AC391" s="490" t="s">
        <v>659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68.822619047619042</v>
      </c>
      <c r="BN391" s="78">
        <f>IFERROR(Y391*I391/H391,"0")</f>
        <v>71.152000000000001</v>
      </c>
      <c r="BO391" s="78">
        <f>IFERROR(1/J391*(X391/H391),"0")</f>
        <v>0.1209077380952381</v>
      </c>
      <c r="BP391" s="78">
        <f>IFERROR(1/J391*(Y391/H391),"0")</f>
        <v>0.125</v>
      </c>
    </row>
    <row r="392" spans="1:68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19.276556776556777</v>
      </c>
      <c r="Y392" s="43">
        <f>IFERROR(Y389/H389,"0")+IFERROR(Y390/H390,"0")+IFERROR(Y391/H391,"0")</f>
        <v>20</v>
      </c>
      <c r="Z392" s="43">
        <f>IFERROR(IF(Z389="",0,Z389),"0")+IFERROR(IF(Z390="",0,Z390),"0")+IFERROR(IF(Z391="",0,Z391),"0")</f>
        <v>0.37960000000000005</v>
      </c>
      <c r="AA392" s="67"/>
      <c r="AB392" s="67"/>
      <c r="AC392" s="67"/>
    </row>
    <row r="393" spans="1:68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155</v>
      </c>
      <c r="Y393" s="43">
        <f>IFERROR(SUM(Y389:Y391),"0")</f>
        <v>160.80000000000001</v>
      </c>
      <c r="Z393" s="42"/>
      <c r="AA393" s="67"/>
      <c r="AB393" s="67"/>
      <c r="AC393" s="67"/>
    </row>
    <row r="394" spans="1:68" ht="14.25" hidden="1" customHeight="1" x14ac:dyDescent="0.25">
      <c r="A394" s="708" t="s">
        <v>104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660</v>
      </c>
      <c r="B395" s="63" t="s">
        <v>661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140</v>
      </c>
      <c r="L395" s="37" t="s">
        <v>46</v>
      </c>
      <c r="M395" s="38" t="s">
        <v>109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663</v>
      </c>
      <c r="B396" s="63" t="s">
        <v>664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140</v>
      </c>
      <c r="L396" s="37" t="s">
        <v>46</v>
      </c>
      <c r="M396" s="38" t="s">
        <v>109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662</v>
      </c>
      <c r="AG396" s="78"/>
      <c r="AJ396" s="84" t="s">
        <v>46</v>
      </c>
      <c r="AK396" s="84">
        <v>0</v>
      </c>
      <c r="BB396" s="495" t="s">
        <v>67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665</v>
      </c>
      <c r="B397" s="63" t="s">
        <v>666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91</v>
      </c>
      <c r="L397" s="37" t="s">
        <v>46</v>
      </c>
      <c r="M397" s="38" t="s">
        <v>109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662</v>
      </c>
      <c r="AG397" s="78"/>
      <c r="AJ397" s="84" t="s">
        <v>46</v>
      </c>
      <c r="AK397" s="84">
        <v>0</v>
      </c>
      <c r="BB397" s="497" t="s">
        <v>67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customHeight="1" x14ac:dyDescent="0.25">
      <c r="A398" s="63" t="s">
        <v>667</v>
      </c>
      <c r="B398" s="63" t="s">
        <v>668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91</v>
      </c>
      <c r="L398" s="37" t="s">
        <v>46</v>
      </c>
      <c r="M398" s="38" t="s">
        <v>109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5.0999999999999996</v>
      </c>
      <c r="Y398" s="55">
        <f>IFERROR(IF(X398="",0,CEILING((X398/$H398),1)*$H398),"")</f>
        <v>5.0999999999999996</v>
      </c>
      <c r="Z398" s="41">
        <f>IFERROR(IF(Y398=0,"",ROUNDUP(Y398/H398,0)*0.00651),"")</f>
        <v>1.302E-2</v>
      </c>
      <c r="AA398" s="68" t="s">
        <v>46</v>
      </c>
      <c r="AB398" s="69" t="s">
        <v>46</v>
      </c>
      <c r="AC398" s="498" t="s">
        <v>662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5.76</v>
      </c>
      <c r="BN398" s="78">
        <f>IFERROR(Y398*I398/H398,"0")</f>
        <v>5.76</v>
      </c>
      <c r="BO398" s="78">
        <f>IFERROR(1/J398*(X398/H398),"0")</f>
        <v>1.098901098901099E-2</v>
      </c>
      <c r="BP398" s="78">
        <f>IFERROR(1/J398*(Y398/H398),"0")</f>
        <v>1.098901098901099E-2</v>
      </c>
    </row>
    <row r="399" spans="1:68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2</v>
      </c>
      <c r="Y399" s="43">
        <f>IFERROR(Y395/H395,"0")+IFERROR(Y396/H396,"0")+IFERROR(Y397/H397,"0")+IFERROR(Y398/H398,"0")</f>
        <v>2</v>
      </c>
      <c r="Z399" s="43">
        <f>IFERROR(IF(Z395="",0,Z395),"0")+IFERROR(IF(Z396="",0,Z396),"0")+IFERROR(IF(Z397="",0,Z397),"0")+IFERROR(IF(Z398="",0,Z398),"0")</f>
        <v>1.302E-2</v>
      </c>
      <c r="AA399" s="67"/>
      <c r="AB399" s="67"/>
      <c r="AC399" s="67"/>
    </row>
    <row r="400" spans="1:68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5.0999999999999996</v>
      </c>
      <c r="Y400" s="43">
        <f>IFERROR(SUM(Y395:Y398),"0")</f>
        <v>5.0999999999999996</v>
      </c>
      <c r="Z400" s="42"/>
      <c r="AA400" s="67"/>
      <c r="AB400" s="67"/>
      <c r="AC400" s="67"/>
    </row>
    <row r="401" spans="1:68" ht="14.25" hidden="1" customHeight="1" x14ac:dyDescent="0.25">
      <c r="A401" s="708" t="s">
        <v>669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670</v>
      </c>
      <c r="B402" s="63" t="s">
        <v>671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91</v>
      </c>
      <c r="L402" s="37" t="s">
        <v>46</v>
      </c>
      <c r="M402" s="38" t="s">
        <v>673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672</v>
      </c>
      <c r="AG402" s="78"/>
      <c r="AJ402" s="84" t="s">
        <v>46</v>
      </c>
      <c r="AK402" s="84">
        <v>0</v>
      </c>
      <c r="BB402" s="501" t="s">
        <v>67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674</v>
      </c>
      <c r="B403" s="63" t="s">
        <v>675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91</v>
      </c>
      <c r="L403" s="37" t="s">
        <v>46</v>
      </c>
      <c r="M403" s="38" t="s">
        <v>673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672</v>
      </c>
      <c r="AG403" s="78"/>
      <c r="AJ403" s="84" t="s">
        <v>46</v>
      </c>
      <c r="AK403" s="84">
        <v>0</v>
      </c>
      <c r="BB403" s="503" t="s">
        <v>67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676</v>
      </c>
      <c r="B404" s="63" t="s">
        <v>677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91</v>
      </c>
      <c r="L404" s="37" t="s">
        <v>46</v>
      </c>
      <c r="M404" s="38" t="s">
        <v>673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678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679</v>
      </c>
      <c r="B408" s="63" t="s">
        <v>680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91</v>
      </c>
      <c r="L408" s="37" t="s">
        <v>46</v>
      </c>
      <c r="M408" s="38" t="s">
        <v>673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252</v>
      </c>
      <c r="AC408" s="506" t="s">
        <v>681</v>
      </c>
      <c r="AG408" s="78"/>
      <c r="AJ408" s="84" t="s">
        <v>46</v>
      </c>
      <c r="AK408" s="84">
        <v>0</v>
      </c>
      <c r="BB408" s="507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682</v>
      </c>
      <c r="B409" s="63" t="s">
        <v>683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140</v>
      </c>
      <c r="L409" s="37" t="s">
        <v>46</v>
      </c>
      <c r="M409" s="38" t="s">
        <v>673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252</v>
      </c>
      <c r="AC409" s="508" t="s">
        <v>684</v>
      </c>
      <c r="AG409" s="78"/>
      <c r="AJ409" s="84" t="s">
        <v>46</v>
      </c>
      <c r="AK409" s="84">
        <v>0</v>
      </c>
      <c r="BB409" s="509" t="s">
        <v>67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685</v>
      </c>
      <c r="B410" s="63" t="s">
        <v>686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91</v>
      </c>
      <c r="L410" s="37" t="s">
        <v>46</v>
      </c>
      <c r="M410" s="38" t="s">
        <v>673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252</v>
      </c>
      <c r="AC410" s="510" t="s">
        <v>681</v>
      </c>
      <c r="AG410" s="78"/>
      <c r="AJ410" s="84" t="s">
        <v>46</v>
      </c>
      <c r="AK410" s="84">
        <v>0</v>
      </c>
      <c r="BB410" s="511" t="s">
        <v>67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687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86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customHeight="1" x14ac:dyDescent="0.25">
      <c r="A415" s="63" t="s">
        <v>688</v>
      </c>
      <c r="B415" s="63" t="s">
        <v>689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133</v>
      </c>
      <c r="L415" s="37" t="s">
        <v>46</v>
      </c>
      <c r="M415" s="38" t="s">
        <v>97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35</v>
      </c>
      <c r="Y415" s="55">
        <f>IFERROR(IF(X415="",0,CEILING((X415/$H415),1)*$H415),"")</f>
        <v>40.5</v>
      </c>
      <c r="Z415" s="41">
        <f>IFERROR(IF(Y415=0,"",ROUNDUP(Y415/H415,0)*0.01898),"")</f>
        <v>9.4899999999999998E-2</v>
      </c>
      <c r="AA415" s="68" t="s">
        <v>46</v>
      </c>
      <c r="AB415" s="69" t="s">
        <v>46</v>
      </c>
      <c r="AC415" s="512" t="s">
        <v>690</v>
      </c>
      <c r="AG415" s="78"/>
      <c r="AJ415" s="84" t="s">
        <v>46</v>
      </c>
      <c r="AK415" s="84">
        <v>0</v>
      </c>
      <c r="BB415" s="513" t="s">
        <v>67</v>
      </c>
      <c r="BM415" s="78">
        <f>IFERROR(X415*I415/H415,"0")</f>
        <v>37.134567901234568</v>
      </c>
      <c r="BN415" s="78">
        <f>IFERROR(Y415*I415/H415,"0")</f>
        <v>42.97</v>
      </c>
      <c r="BO415" s="78">
        <f>IFERROR(1/J415*(X415/H415),"0")</f>
        <v>6.751543209876544E-2</v>
      </c>
      <c r="BP415" s="78">
        <f>IFERROR(1/J415*(Y415/H415),"0")</f>
        <v>7.8125E-2</v>
      </c>
    </row>
    <row r="416" spans="1:68" ht="27" customHeight="1" x14ac:dyDescent="0.25">
      <c r="A416" s="63" t="s">
        <v>691</v>
      </c>
      <c r="B416" s="63" t="s">
        <v>692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91</v>
      </c>
      <c r="L416" s="37" t="s">
        <v>46</v>
      </c>
      <c r="M416" s="38" t="s">
        <v>90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31.5</v>
      </c>
      <c r="Y416" s="55">
        <f>IFERROR(IF(X416="",0,CEILING((X416/$H416),1)*$H416),"")</f>
        <v>31.5</v>
      </c>
      <c r="Z416" s="41">
        <f>IFERROR(IF(Y416=0,"",ROUNDUP(Y416/H416,0)*0.00651),"")</f>
        <v>9.7650000000000001E-2</v>
      </c>
      <c r="AA416" s="68" t="s">
        <v>46</v>
      </c>
      <c r="AB416" s="69" t="s">
        <v>46</v>
      </c>
      <c r="AC416" s="514" t="s">
        <v>693</v>
      </c>
      <c r="AG416" s="78"/>
      <c r="AJ416" s="84" t="s">
        <v>46</v>
      </c>
      <c r="AK416" s="84">
        <v>0</v>
      </c>
      <c r="BB416" s="515" t="s">
        <v>67</v>
      </c>
      <c r="BM416" s="78">
        <f>IFERROR(X416*I416/H416,"0")</f>
        <v>35.279999999999994</v>
      </c>
      <c r="BN416" s="78">
        <f>IFERROR(Y416*I416/H416,"0")</f>
        <v>35.279999999999994</v>
      </c>
      <c r="BO416" s="78">
        <f>IFERROR(1/J416*(X416/H416),"0")</f>
        <v>8.241758241758243E-2</v>
      </c>
      <c r="BP416" s="78">
        <f>IFERROR(1/J416*(Y416/H416),"0")</f>
        <v>8.241758241758243E-2</v>
      </c>
    </row>
    <row r="417" spans="1:68" ht="27" customHeight="1" x14ac:dyDescent="0.25">
      <c r="A417" s="63" t="s">
        <v>694</v>
      </c>
      <c r="B417" s="63" t="s">
        <v>695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91</v>
      </c>
      <c r="L417" s="37" t="s">
        <v>46</v>
      </c>
      <c r="M417" s="38" t="s">
        <v>97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31.5</v>
      </c>
      <c r="Y417" s="55">
        <f>IFERROR(IF(X417="",0,CEILING((X417/$H417),1)*$H417),"")</f>
        <v>31.5</v>
      </c>
      <c r="Z417" s="41">
        <f>IFERROR(IF(Y417=0,"",ROUNDUP(Y417/H417,0)*0.00651),"")</f>
        <v>9.7650000000000001E-2</v>
      </c>
      <c r="AA417" s="68" t="s">
        <v>46</v>
      </c>
      <c r="AB417" s="69" t="s">
        <v>46</v>
      </c>
      <c r="AC417" s="516" t="s">
        <v>696</v>
      </c>
      <c r="AG417" s="78"/>
      <c r="AJ417" s="84" t="s">
        <v>46</v>
      </c>
      <c r="AK417" s="84">
        <v>0</v>
      </c>
      <c r="BB417" s="517" t="s">
        <v>67</v>
      </c>
      <c r="BM417" s="78">
        <f>IFERROR(X417*I417/H417,"0")</f>
        <v>35.099999999999994</v>
      </c>
      <c r="BN417" s="78">
        <f>IFERROR(Y417*I417/H417,"0")</f>
        <v>35.099999999999994</v>
      </c>
      <c r="BO417" s="78">
        <f>IFERROR(1/J417*(X417/H417),"0")</f>
        <v>8.241758241758243E-2</v>
      </c>
      <c r="BP417" s="78">
        <f>IFERROR(1/J417*(Y417/H417),"0")</f>
        <v>8.241758241758243E-2</v>
      </c>
    </row>
    <row r="418" spans="1:68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34.320987654320987</v>
      </c>
      <c r="Y418" s="43">
        <f>IFERROR(Y415/H415,"0")+IFERROR(Y416/H416,"0")+IFERROR(Y417/H417,"0")</f>
        <v>35</v>
      </c>
      <c r="Z418" s="43">
        <f>IFERROR(IF(Z415="",0,Z415),"0")+IFERROR(IF(Z416="",0,Z416),"0")+IFERROR(IF(Z417="",0,Z417),"0")</f>
        <v>0.29020000000000001</v>
      </c>
      <c r="AA418" s="67"/>
      <c r="AB418" s="67"/>
      <c r="AC418" s="67"/>
    </row>
    <row r="419" spans="1:68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98</v>
      </c>
      <c r="Y419" s="43">
        <f>IFERROR(SUM(Y415:Y417),"0")</f>
        <v>103.5</v>
      </c>
      <c r="Z419" s="42"/>
      <c r="AA419" s="67"/>
      <c r="AB419" s="67"/>
      <c r="AC419" s="67"/>
    </row>
    <row r="420" spans="1:68" ht="27.75" hidden="1" customHeight="1" x14ac:dyDescent="0.2">
      <c r="A420" s="706" t="s">
        <v>697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698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128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699</v>
      </c>
      <c r="B423" s="63" t="s">
        <v>700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133</v>
      </c>
      <c r="L423" s="37" t="s">
        <v>46</v>
      </c>
      <c r="M423" s="38" t="s">
        <v>97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701</v>
      </c>
      <c r="AG423" s="78"/>
      <c r="AJ423" s="84" t="s">
        <v>46</v>
      </c>
      <c r="AK423" s="84">
        <v>0</v>
      </c>
      <c r="BB423" s="519" t="s">
        <v>67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702</v>
      </c>
      <c r="B424" s="63" t="s">
        <v>703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133</v>
      </c>
      <c r="L424" s="37" t="s">
        <v>46</v>
      </c>
      <c r="M424" s="38" t="s">
        <v>81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45</v>
      </c>
      <c r="Y424" s="55">
        <f t="shared" si="52"/>
        <v>45</v>
      </c>
      <c r="Z424" s="41">
        <f>IFERROR(IF(Y424=0,"",ROUNDUP(Y424/H424,0)*0.02175),"")</f>
        <v>6.5250000000000002E-2</v>
      </c>
      <c r="AA424" s="68" t="s">
        <v>46</v>
      </c>
      <c r="AB424" s="69" t="s">
        <v>46</v>
      </c>
      <c r="AC424" s="520" t="s">
        <v>704</v>
      </c>
      <c r="AG424" s="78"/>
      <c r="AJ424" s="84" t="s">
        <v>46</v>
      </c>
      <c r="AK424" s="84">
        <v>0</v>
      </c>
      <c r="BB424" s="521" t="s">
        <v>67</v>
      </c>
      <c r="BM424" s="78">
        <f t="shared" si="53"/>
        <v>46.41</v>
      </c>
      <c r="BN424" s="78">
        <f t="shared" si="54"/>
        <v>46.41</v>
      </c>
      <c r="BO424" s="78">
        <f t="shared" si="55"/>
        <v>6.25E-2</v>
      </c>
      <c r="BP424" s="78">
        <f t="shared" si="56"/>
        <v>6.25E-2</v>
      </c>
    </row>
    <row r="425" spans="1:68" ht="27" customHeight="1" x14ac:dyDescent="0.25">
      <c r="A425" s="63" t="s">
        <v>705</v>
      </c>
      <c r="B425" s="63" t="s">
        <v>706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133</v>
      </c>
      <c r="L425" s="37" t="s">
        <v>46</v>
      </c>
      <c r="M425" s="38" t="s">
        <v>132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240</v>
      </c>
      <c r="Y425" s="55">
        <f t="shared" si="52"/>
        <v>240</v>
      </c>
      <c r="Z425" s="41">
        <f>IFERROR(IF(Y425=0,"",ROUNDUP(Y425/H425,0)*0.02175),"")</f>
        <v>0.34799999999999998</v>
      </c>
      <c r="AA425" s="68" t="s">
        <v>46</v>
      </c>
      <c r="AB425" s="69" t="s">
        <v>46</v>
      </c>
      <c r="AC425" s="522" t="s">
        <v>707</v>
      </c>
      <c r="AG425" s="78"/>
      <c r="AJ425" s="84" t="s">
        <v>46</v>
      </c>
      <c r="AK425" s="84">
        <v>0</v>
      </c>
      <c r="BB425" s="523" t="s">
        <v>67</v>
      </c>
      <c r="BM425" s="78">
        <f t="shared" si="53"/>
        <v>247.52</v>
      </c>
      <c r="BN425" s="78">
        <f t="shared" si="54"/>
        <v>247.52</v>
      </c>
      <c r="BO425" s="78">
        <f t="shared" si="55"/>
        <v>0.33333333333333331</v>
      </c>
      <c r="BP425" s="78">
        <f t="shared" si="56"/>
        <v>0.33333333333333331</v>
      </c>
    </row>
    <row r="426" spans="1:68" ht="27" hidden="1" customHeight="1" x14ac:dyDescent="0.25">
      <c r="A426" s="63" t="s">
        <v>708</v>
      </c>
      <c r="B426" s="63" t="s">
        <v>709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133</v>
      </c>
      <c r="L426" s="37" t="s">
        <v>46</v>
      </c>
      <c r="M426" s="38" t="s">
        <v>81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52"/>
        <v>0</v>
      </c>
      <c r="Z426" s="41" t="str">
        <f>IFERROR(IF(Y426=0,"",ROUNDUP(Y426/H426,0)*0.02175),"")</f>
        <v/>
      </c>
      <c r="AA426" s="68" t="s">
        <v>46</v>
      </c>
      <c r="AB426" s="69" t="s">
        <v>46</v>
      </c>
      <c r="AC426" s="524" t="s">
        <v>710</v>
      </c>
      <c r="AG426" s="78"/>
      <c r="AJ426" s="84" t="s">
        <v>46</v>
      </c>
      <c r="AK426" s="84">
        <v>0</v>
      </c>
      <c r="BB426" s="525" t="s">
        <v>67</v>
      </c>
      <c r="BM426" s="78">
        <f t="shared" si="53"/>
        <v>0</v>
      </c>
      <c r="BN426" s="78">
        <f t="shared" si="54"/>
        <v>0</v>
      </c>
      <c r="BO426" s="78">
        <f t="shared" si="55"/>
        <v>0</v>
      </c>
      <c r="BP426" s="78">
        <f t="shared" si="56"/>
        <v>0</v>
      </c>
    </row>
    <row r="427" spans="1:68" ht="27" customHeight="1" x14ac:dyDescent="0.25">
      <c r="A427" s="63" t="s">
        <v>711</v>
      </c>
      <c r="B427" s="63" t="s">
        <v>712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133</v>
      </c>
      <c r="L427" s="37" t="s">
        <v>46</v>
      </c>
      <c r="M427" s="38" t="s">
        <v>97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270</v>
      </c>
      <c r="Y427" s="55">
        <f t="shared" si="52"/>
        <v>270</v>
      </c>
      <c r="Z427" s="41">
        <f>IFERROR(IF(Y427=0,"",ROUNDUP(Y427/H427,0)*0.02175),"")</f>
        <v>0.39149999999999996</v>
      </c>
      <c r="AA427" s="68" t="s">
        <v>46</v>
      </c>
      <c r="AB427" s="69" t="s">
        <v>46</v>
      </c>
      <c r="AC427" s="526" t="s">
        <v>713</v>
      </c>
      <c r="AG427" s="78"/>
      <c r="AJ427" s="84" t="s">
        <v>46</v>
      </c>
      <c r="AK427" s="84">
        <v>0</v>
      </c>
      <c r="BB427" s="527" t="s">
        <v>67</v>
      </c>
      <c r="BM427" s="78">
        <f t="shared" si="53"/>
        <v>278.46000000000004</v>
      </c>
      <c r="BN427" s="78">
        <f t="shared" si="54"/>
        <v>278.46000000000004</v>
      </c>
      <c r="BO427" s="78">
        <f t="shared" si="55"/>
        <v>0.375</v>
      </c>
      <c r="BP427" s="78">
        <f t="shared" si="56"/>
        <v>0.375</v>
      </c>
    </row>
    <row r="428" spans="1:68" ht="27" hidden="1" customHeight="1" x14ac:dyDescent="0.25">
      <c r="A428" s="63" t="s">
        <v>714</v>
      </c>
      <c r="B428" s="63" t="s">
        <v>715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140</v>
      </c>
      <c r="L428" s="37" t="s">
        <v>46</v>
      </c>
      <c r="M428" s="38" t="s">
        <v>132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716</v>
      </c>
      <c r="AG428" s="78"/>
      <c r="AJ428" s="84" t="s">
        <v>46</v>
      </c>
      <c r="AK428" s="84">
        <v>0</v>
      </c>
      <c r="BB428" s="529" t="s">
        <v>67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717</v>
      </c>
      <c r="B429" s="63" t="s">
        <v>718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140</v>
      </c>
      <c r="L429" s="37" t="s">
        <v>46</v>
      </c>
      <c r="M429" s="38" t="s">
        <v>81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719</v>
      </c>
      <c r="AG429" s="78"/>
      <c r="AJ429" s="84" t="s">
        <v>46</v>
      </c>
      <c r="AK429" s="84">
        <v>0</v>
      </c>
      <c r="BB429" s="531" t="s">
        <v>67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customHeight="1" x14ac:dyDescent="0.25">
      <c r="A430" s="63" t="s">
        <v>720</v>
      </c>
      <c r="B430" s="63" t="s">
        <v>721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140</v>
      </c>
      <c r="L430" s="37" t="s">
        <v>46</v>
      </c>
      <c r="M430" s="38" t="s">
        <v>81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10</v>
      </c>
      <c r="Y430" s="55">
        <f t="shared" si="52"/>
        <v>10</v>
      </c>
      <c r="Z430" s="41">
        <f>IFERROR(IF(Y430=0,"",ROUNDUP(Y430/H430,0)*0.00902),"")</f>
        <v>1.804E-2</v>
      </c>
      <c r="AA430" s="68" t="s">
        <v>46</v>
      </c>
      <c r="AB430" s="69" t="s">
        <v>46</v>
      </c>
      <c r="AC430" s="532" t="s">
        <v>722</v>
      </c>
      <c r="AG430" s="78"/>
      <c r="AJ430" s="84" t="s">
        <v>46</v>
      </c>
      <c r="AK430" s="84">
        <v>0</v>
      </c>
      <c r="BB430" s="533" t="s">
        <v>67</v>
      </c>
      <c r="BM430" s="78">
        <f t="shared" si="53"/>
        <v>10.38</v>
      </c>
      <c r="BN430" s="78">
        <f t="shared" si="54"/>
        <v>10.38</v>
      </c>
      <c r="BO430" s="78">
        <f t="shared" si="55"/>
        <v>1.5151515151515152E-2</v>
      </c>
      <c r="BP430" s="78">
        <f t="shared" si="56"/>
        <v>1.5151515151515152E-2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39</v>
      </c>
      <c r="Y431" s="43">
        <f>IFERROR(Y423/H423,"0")+IFERROR(Y424/H424,"0")+IFERROR(Y425/H425,"0")+IFERROR(Y426/H426,"0")+IFERROR(Y427/H427,"0")+IFERROR(Y428/H428,"0")+IFERROR(Y429/H429,"0")+IFERROR(Y430/H430,"0")</f>
        <v>39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0.82278999999999991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565</v>
      </c>
      <c r="Y432" s="43">
        <f>IFERROR(SUM(Y423:Y430),"0")</f>
        <v>565</v>
      </c>
      <c r="Z432" s="42"/>
      <c r="AA432" s="67"/>
      <c r="AB432" s="67"/>
      <c r="AC432" s="67"/>
    </row>
    <row r="433" spans="1:68" ht="14.25" hidden="1" customHeight="1" x14ac:dyDescent="0.25">
      <c r="A433" s="708" t="s">
        <v>164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customHeight="1" x14ac:dyDescent="0.25">
      <c r="A434" s="63" t="s">
        <v>723</v>
      </c>
      <c r="B434" s="63" t="s">
        <v>724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133</v>
      </c>
      <c r="L434" s="37" t="s">
        <v>46</v>
      </c>
      <c r="M434" s="38" t="s">
        <v>132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120</v>
      </c>
      <c r="Y434" s="55">
        <f>IFERROR(IF(X434="",0,CEILING((X434/$H434),1)*$H434),"")</f>
        <v>120</v>
      </c>
      <c r="Z434" s="41">
        <f>IFERROR(IF(Y434=0,"",ROUNDUP(Y434/H434,0)*0.02175),"")</f>
        <v>0.17399999999999999</v>
      </c>
      <c r="AA434" s="68" t="s">
        <v>46</v>
      </c>
      <c r="AB434" s="69" t="s">
        <v>46</v>
      </c>
      <c r="AC434" s="534" t="s">
        <v>725</v>
      </c>
      <c r="AG434" s="78"/>
      <c r="AJ434" s="84" t="s">
        <v>46</v>
      </c>
      <c r="AK434" s="84">
        <v>0</v>
      </c>
      <c r="BB434" s="535" t="s">
        <v>67</v>
      </c>
      <c r="BM434" s="78">
        <f>IFERROR(X434*I434/H434,"0")</f>
        <v>123.76</v>
      </c>
      <c r="BN434" s="78">
        <f>IFERROR(Y434*I434/H434,"0")</f>
        <v>123.76</v>
      </c>
      <c r="BO434" s="78">
        <f>IFERROR(1/J434*(X434/H434),"0")</f>
        <v>0.16666666666666666</v>
      </c>
      <c r="BP434" s="78">
        <f>IFERROR(1/J434*(Y434/H434),"0")</f>
        <v>0.16666666666666666</v>
      </c>
    </row>
    <row r="435" spans="1:68" ht="27" hidden="1" customHeight="1" x14ac:dyDescent="0.25">
      <c r="A435" s="63" t="s">
        <v>726</v>
      </c>
      <c r="B435" s="63" t="s">
        <v>727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133</v>
      </c>
      <c r="L435" s="37" t="s">
        <v>46</v>
      </c>
      <c r="M435" s="38" t="s">
        <v>132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728</v>
      </c>
      <c r="AG435" s="78"/>
      <c r="AJ435" s="84" t="s">
        <v>46</v>
      </c>
      <c r="AK435" s="84">
        <v>0</v>
      </c>
      <c r="BB435" s="537" t="s">
        <v>67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customHeight="1" x14ac:dyDescent="0.25">
      <c r="A436" s="63" t="s">
        <v>729</v>
      </c>
      <c r="B436" s="63" t="s">
        <v>730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140</v>
      </c>
      <c r="L436" s="37" t="s">
        <v>46</v>
      </c>
      <c r="M436" s="38" t="s">
        <v>132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4</v>
      </c>
      <c r="Y436" s="55">
        <f>IFERROR(IF(X436="",0,CEILING((X436/$H436),1)*$H436),"")</f>
        <v>4</v>
      </c>
      <c r="Z436" s="41">
        <f>IFERROR(IF(Y436=0,"",ROUNDUP(Y436/H436,0)*0.00902),"")</f>
        <v>9.0200000000000002E-3</v>
      </c>
      <c r="AA436" s="68" t="s">
        <v>46</v>
      </c>
      <c r="AB436" s="69" t="s">
        <v>46</v>
      </c>
      <c r="AC436" s="538" t="s">
        <v>731</v>
      </c>
      <c r="AG436" s="78"/>
      <c r="AJ436" s="84" t="s">
        <v>46</v>
      </c>
      <c r="AK436" s="84">
        <v>0</v>
      </c>
      <c r="BB436" s="539" t="s">
        <v>67</v>
      </c>
      <c r="BM436" s="78">
        <f>IFERROR(X436*I436/H436,"0")</f>
        <v>4.1900000000000004</v>
      </c>
      <c r="BN436" s="78">
        <f>IFERROR(Y436*I436/H436,"0")</f>
        <v>4.1900000000000004</v>
      </c>
      <c r="BO436" s="78">
        <f>IFERROR(1/J436*(X436/H436),"0")</f>
        <v>7.575757575757576E-3</v>
      </c>
      <c r="BP436" s="78">
        <f>IFERROR(1/J436*(Y436/H436),"0")</f>
        <v>7.575757575757576E-3</v>
      </c>
    </row>
    <row r="437" spans="1:68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9</v>
      </c>
      <c r="Y437" s="43">
        <f>IFERROR(Y434/H434,"0")+IFERROR(Y435/H435,"0")+IFERROR(Y436/H436,"0")</f>
        <v>9</v>
      </c>
      <c r="Z437" s="43">
        <f>IFERROR(IF(Z434="",0,Z434),"0")+IFERROR(IF(Z435="",0,Z435),"0")+IFERROR(IF(Z436="",0,Z436),"0")</f>
        <v>0.18301999999999999</v>
      </c>
      <c r="AA437" s="67"/>
      <c r="AB437" s="67"/>
      <c r="AC437" s="67"/>
    </row>
    <row r="438" spans="1:68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124</v>
      </c>
      <c r="Y438" s="43">
        <f>IFERROR(SUM(Y434:Y436),"0")</f>
        <v>124</v>
      </c>
      <c r="Z438" s="42"/>
      <c r="AA438" s="67"/>
      <c r="AB438" s="67"/>
      <c r="AC438" s="67"/>
    </row>
    <row r="439" spans="1:68" ht="14.25" hidden="1" customHeight="1" x14ac:dyDescent="0.25">
      <c r="A439" s="708" t="s">
        <v>86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732</v>
      </c>
      <c r="B440" s="63" t="s">
        <v>733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133</v>
      </c>
      <c r="L440" s="37" t="s">
        <v>46</v>
      </c>
      <c r="M440" s="38" t="s">
        <v>90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734</v>
      </c>
      <c r="AG440" s="78"/>
      <c r="AJ440" s="84" t="s">
        <v>46</v>
      </c>
      <c r="AK440" s="84">
        <v>0</v>
      </c>
      <c r="BB440" s="541" t="s">
        <v>67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735</v>
      </c>
      <c r="B441" s="63" t="s">
        <v>736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133</v>
      </c>
      <c r="L441" s="37" t="s">
        <v>46</v>
      </c>
      <c r="M441" s="38" t="s">
        <v>90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737</v>
      </c>
      <c r="AG441" s="78"/>
      <c r="AJ441" s="84" t="s">
        <v>46</v>
      </c>
      <c r="AK441" s="84">
        <v>0</v>
      </c>
      <c r="BB441" s="543" t="s">
        <v>67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738</v>
      </c>
      <c r="B442" s="63" t="s">
        <v>739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133</v>
      </c>
      <c r="L442" s="37" t="s">
        <v>46</v>
      </c>
      <c r="M442" s="38" t="s">
        <v>90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740</v>
      </c>
      <c r="AG442" s="78"/>
      <c r="AJ442" s="84" t="s">
        <v>46</v>
      </c>
      <c r="AK442" s="84">
        <v>0</v>
      </c>
      <c r="BB442" s="545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181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741</v>
      </c>
      <c r="B446" s="63" t="s">
        <v>742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133</v>
      </c>
      <c r="L446" s="37" t="s">
        <v>46</v>
      </c>
      <c r="M446" s="38" t="s">
        <v>90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743</v>
      </c>
      <c r="AG446" s="78"/>
      <c r="AJ446" s="84" t="s">
        <v>46</v>
      </c>
      <c r="AK446" s="84">
        <v>0</v>
      </c>
      <c r="BB446" s="54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744</v>
      </c>
      <c r="B447" s="63" t="s">
        <v>745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133</v>
      </c>
      <c r="L447" s="37" t="s">
        <v>46</v>
      </c>
      <c r="M447" s="38" t="s">
        <v>90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746</v>
      </c>
      <c r="AG447" s="78"/>
      <c r="AJ447" s="84" t="s">
        <v>46</v>
      </c>
      <c r="AK447" s="84">
        <v>0</v>
      </c>
      <c r="BB447" s="549" t="s">
        <v>67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747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128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748</v>
      </c>
      <c r="B452" s="63" t="s">
        <v>749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133</v>
      </c>
      <c r="L452" s="37" t="s">
        <v>46</v>
      </c>
      <c r="M452" s="38" t="s">
        <v>81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750</v>
      </c>
      <c r="AG452" s="78"/>
      <c r="AJ452" s="84" t="s">
        <v>46</v>
      </c>
      <c r="AK452" s="84">
        <v>0</v>
      </c>
      <c r="BB452" s="551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751</v>
      </c>
      <c r="B453" s="63" t="s">
        <v>752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140</v>
      </c>
      <c r="L453" s="37" t="s">
        <v>46</v>
      </c>
      <c r="M453" s="38" t="s">
        <v>81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750</v>
      </c>
      <c r="AG453" s="78"/>
      <c r="AJ453" s="84" t="s">
        <v>46</v>
      </c>
      <c r="AK453" s="84">
        <v>0</v>
      </c>
      <c r="BB453" s="553" t="s">
        <v>67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77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753</v>
      </c>
      <c r="B457" s="63" t="s">
        <v>754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140</v>
      </c>
      <c r="L457" s="37" t="s">
        <v>46</v>
      </c>
      <c r="M457" s="38" t="s">
        <v>81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755</v>
      </c>
      <c r="AG457" s="78"/>
      <c r="AJ457" s="84" t="s">
        <v>46</v>
      </c>
      <c r="AK457" s="84">
        <v>0</v>
      </c>
      <c r="BB457" s="555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86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756</v>
      </c>
      <c r="B461" s="63" t="s">
        <v>757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133</v>
      </c>
      <c r="L461" s="37" t="s">
        <v>46</v>
      </c>
      <c r="M461" s="38" t="s">
        <v>90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758</v>
      </c>
      <c r="AG461" s="78"/>
      <c r="AJ461" s="84" t="s">
        <v>46</v>
      </c>
      <c r="AK461" s="84">
        <v>0</v>
      </c>
      <c r="BB461" s="557" t="s">
        <v>67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759</v>
      </c>
      <c r="B462" s="63" t="s">
        <v>760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91</v>
      </c>
      <c r="L462" s="37" t="s">
        <v>46</v>
      </c>
      <c r="M462" s="38" t="s">
        <v>90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758</v>
      </c>
      <c r="AG462" s="78"/>
      <c r="AJ462" s="84" t="s">
        <v>46</v>
      </c>
      <c r="AK462" s="84">
        <v>0</v>
      </c>
      <c r="BB462" s="55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759</v>
      </c>
      <c r="B463" s="63" t="s">
        <v>761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91</v>
      </c>
      <c r="L463" s="37" t="s">
        <v>46</v>
      </c>
      <c r="M463" s="38" t="s">
        <v>90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762</v>
      </c>
      <c r="AG463" s="78"/>
      <c r="AJ463" s="84" t="s">
        <v>46</v>
      </c>
      <c r="AK463" s="84">
        <v>0</v>
      </c>
      <c r="BB463" s="56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763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764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77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765</v>
      </c>
      <c r="B469" s="63" t="s">
        <v>766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140</v>
      </c>
      <c r="L469" s="37" t="s">
        <v>46</v>
      </c>
      <c r="M469" s="38" t="s">
        <v>81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767</v>
      </c>
      <c r="AG469" s="78"/>
      <c r="AJ469" s="84" t="s">
        <v>46</v>
      </c>
      <c r="AK469" s="84">
        <v>0</v>
      </c>
      <c r="BB469" s="563" t="s">
        <v>67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768</v>
      </c>
      <c r="B470" s="63" t="s">
        <v>769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140</v>
      </c>
      <c r="L470" s="37" t="s">
        <v>46</v>
      </c>
      <c r="M470" s="38" t="s">
        <v>81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770</v>
      </c>
      <c r="AG470" s="78"/>
      <c r="AJ470" s="84" t="s">
        <v>46</v>
      </c>
      <c r="AK470" s="84">
        <v>0</v>
      </c>
      <c r="BB470" s="565" t="s">
        <v>67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771</v>
      </c>
      <c r="B471" s="63" t="s">
        <v>772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767</v>
      </c>
      <c r="AG471" s="78"/>
      <c r="AJ471" s="84" t="s">
        <v>46</v>
      </c>
      <c r="AK471" s="84">
        <v>0</v>
      </c>
      <c r="BB471" s="567" t="s">
        <v>67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773</v>
      </c>
      <c r="B472" s="63" t="s">
        <v>774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82</v>
      </c>
      <c r="L472" s="37" t="s">
        <v>46</v>
      </c>
      <c r="M472" s="38" t="s">
        <v>81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775</v>
      </c>
      <c r="AG472" s="78"/>
      <c r="AJ472" s="84" t="s">
        <v>46</v>
      </c>
      <c r="AK472" s="84">
        <v>0</v>
      </c>
      <c r="BB472" s="569" t="s">
        <v>67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customHeight="1" x14ac:dyDescent="0.25">
      <c r="A473" s="63" t="s">
        <v>776</v>
      </c>
      <c r="B473" s="63" t="s">
        <v>777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82</v>
      </c>
      <c r="L473" s="37" t="s">
        <v>46</v>
      </c>
      <c r="M473" s="38" t="s">
        <v>81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8.4</v>
      </c>
      <c r="Y473" s="55">
        <f t="shared" si="57"/>
        <v>8.4</v>
      </c>
      <c r="Z473" s="41">
        <f>IFERROR(IF(Y473=0,"",ROUNDUP(Y473/H473,0)*0.00502),"")</f>
        <v>2.0080000000000001E-2</v>
      </c>
      <c r="AA473" s="68" t="s">
        <v>46</v>
      </c>
      <c r="AB473" s="69" t="s">
        <v>46</v>
      </c>
      <c r="AC473" s="570" t="s">
        <v>778</v>
      </c>
      <c r="AG473" s="78"/>
      <c r="AJ473" s="84" t="s">
        <v>46</v>
      </c>
      <c r="AK473" s="84">
        <v>0</v>
      </c>
      <c r="BB473" s="571" t="s">
        <v>67</v>
      </c>
      <c r="BM473" s="78">
        <f t="shared" si="58"/>
        <v>8.92</v>
      </c>
      <c r="BN473" s="78">
        <f t="shared" si="59"/>
        <v>8.92</v>
      </c>
      <c r="BO473" s="78">
        <f t="shared" si="60"/>
        <v>1.7094017094017096E-2</v>
      </c>
      <c r="BP473" s="78">
        <f t="shared" si="61"/>
        <v>1.7094017094017096E-2</v>
      </c>
    </row>
    <row r="474" spans="1:68" ht="37.5" hidden="1" customHeight="1" x14ac:dyDescent="0.25">
      <c r="A474" s="63" t="s">
        <v>779</v>
      </c>
      <c r="B474" s="63" t="s">
        <v>780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82</v>
      </c>
      <c r="L474" s="37" t="s">
        <v>46</v>
      </c>
      <c r="M474" s="38" t="s">
        <v>81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775</v>
      </c>
      <c r="AG474" s="78"/>
      <c r="AJ474" s="84" t="s">
        <v>46</v>
      </c>
      <c r="AK474" s="84">
        <v>0</v>
      </c>
      <c r="BB474" s="573" t="s">
        <v>67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4</v>
      </c>
      <c r="Y475" s="43">
        <f>IFERROR(Y469/H469,"0")+IFERROR(Y470/H470,"0")+IFERROR(Y471/H471,"0")+IFERROR(Y472/H472,"0")+IFERROR(Y473/H473,"0")+IFERROR(Y474/H474,"0")</f>
        <v>4</v>
      </c>
      <c r="Z475" s="43">
        <f>IFERROR(IF(Z469="",0,Z469),"0")+IFERROR(IF(Z470="",0,Z470),"0")+IFERROR(IF(Z471="",0,Z471),"0")+IFERROR(IF(Z472="",0,Z472),"0")+IFERROR(IF(Z473="",0,Z473),"0")+IFERROR(IF(Z474="",0,Z474),"0")</f>
        <v>2.0080000000000001E-2</v>
      </c>
      <c r="AA475" s="67"/>
      <c r="AB475" s="67"/>
      <c r="AC475" s="67"/>
    </row>
    <row r="476" spans="1:68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8.4</v>
      </c>
      <c r="Y476" s="43">
        <f>IFERROR(SUM(Y469:Y474),"0")</f>
        <v>8.4</v>
      </c>
      <c r="Z476" s="42"/>
      <c r="AA476" s="67"/>
      <c r="AB476" s="67"/>
      <c r="AC476" s="67"/>
    </row>
    <row r="477" spans="1:68" ht="14.25" hidden="1" customHeight="1" x14ac:dyDescent="0.25">
      <c r="A477" s="708" t="s">
        <v>86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781</v>
      </c>
      <c r="B478" s="63" t="s">
        <v>782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140</v>
      </c>
      <c r="L478" s="37" t="s">
        <v>46</v>
      </c>
      <c r="M478" s="38" t="s">
        <v>90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783</v>
      </c>
      <c r="AG478" s="78"/>
      <c r="AJ478" s="84" t="s">
        <v>46</v>
      </c>
      <c r="AK478" s="84">
        <v>0</v>
      </c>
      <c r="BB478" s="575" t="s">
        <v>67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784</v>
      </c>
      <c r="B479" s="63" t="s">
        <v>785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91</v>
      </c>
      <c r="L479" s="37" t="s">
        <v>46</v>
      </c>
      <c r="M479" s="38" t="s">
        <v>90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786</v>
      </c>
      <c r="AG479" s="78"/>
      <c r="AJ479" s="84" t="s">
        <v>46</v>
      </c>
      <c r="AK479" s="84">
        <v>0</v>
      </c>
      <c r="BB479" s="577" t="s">
        <v>67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787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164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788</v>
      </c>
      <c r="B484" s="63" t="s">
        <v>789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91</v>
      </c>
      <c r="L484" s="37" t="s">
        <v>46</v>
      </c>
      <c r="M484" s="38" t="s">
        <v>81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790</v>
      </c>
      <c r="AG484" s="78"/>
      <c r="AJ484" s="84" t="s">
        <v>46</v>
      </c>
      <c r="AK484" s="84">
        <v>0</v>
      </c>
      <c r="BB484" s="579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77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791</v>
      </c>
      <c r="B488" s="63" t="s">
        <v>792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140</v>
      </c>
      <c r="L488" s="37" t="s">
        <v>46</v>
      </c>
      <c r="M488" s="38" t="s">
        <v>81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793</v>
      </c>
      <c r="AG488" s="78"/>
      <c r="AJ488" s="84" t="s">
        <v>46</v>
      </c>
      <c r="AK488" s="84">
        <v>0</v>
      </c>
      <c r="BB488" s="581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794</v>
      </c>
      <c r="B489" s="63" t="s">
        <v>795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82</v>
      </c>
      <c r="L489" s="37" t="s">
        <v>46</v>
      </c>
      <c r="M489" s="38" t="s">
        <v>81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796</v>
      </c>
      <c r="AG489" s="78"/>
      <c r="AJ489" s="84" t="s">
        <v>46</v>
      </c>
      <c r="AK489" s="84">
        <v>0</v>
      </c>
      <c r="BB489" s="583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customHeight="1" x14ac:dyDescent="0.25">
      <c r="A490" s="63" t="s">
        <v>797</v>
      </c>
      <c r="B490" s="63" t="s">
        <v>798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82</v>
      </c>
      <c r="L490" s="37" t="s">
        <v>46</v>
      </c>
      <c r="M490" s="38" t="s">
        <v>81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2.1</v>
      </c>
      <c r="Y490" s="55">
        <f>IFERROR(IF(X490="",0,CEILING((X490/$H490),1)*$H490),"")</f>
        <v>2.1</v>
      </c>
      <c r="Z490" s="41">
        <f>IFERROR(IF(Y490=0,"",ROUNDUP(Y490/H490,0)*0.00502),"")</f>
        <v>5.0200000000000002E-3</v>
      </c>
      <c r="AA490" s="68" t="s">
        <v>46</v>
      </c>
      <c r="AB490" s="69" t="s">
        <v>46</v>
      </c>
      <c r="AC490" s="584" t="s">
        <v>796</v>
      </c>
      <c r="AG490" s="78"/>
      <c r="AJ490" s="84" t="s">
        <v>46</v>
      </c>
      <c r="AK490" s="84">
        <v>0</v>
      </c>
      <c r="BB490" s="585" t="s">
        <v>67</v>
      </c>
      <c r="BM490" s="78">
        <f>IFERROR(X490*I490/H490,"0")</f>
        <v>2.23</v>
      </c>
      <c r="BN490" s="78">
        <f>IFERROR(Y490*I490/H490,"0")</f>
        <v>2.23</v>
      </c>
      <c r="BO490" s="78">
        <f>IFERROR(1/J490*(X490/H490),"0")</f>
        <v>4.2735042735042739E-3</v>
      </c>
      <c r="BP490" s="78">
        <f>IFERROR(1/J490*(Y490/H490),"0")</f>
        <v>4.2735042735042739E-3</v>
      </c>
    </row>
    <row r="491" spans="1:68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1</v>
      </c>
      <c r="Y491" s="43">
        <f>IFERROR(Y488/H488,"0")+IFERROR(Y489/H489,"0")+IFERROR(Y490/H490,"0")</f>
        <v>1</v>
      </c>
      <c r="Z491" s="43">
        <f>IFERROR(IF(Z488="",0,Z488),"0")+IFERROR(IF(Z489="",0,Z489),"0")+IFERROR(IF(Z490="",0,Z490),"0")</f>
        <v>5.0200000000000002E-3</v>
      </c>
      <c r="AA491" s="67"/>
      <c r="AB491" s="67"/>
      <c r="AC491" s="67"/>
    </row>
    <row r="492" spans="1:68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2.1</v>
      </c>
      <c r="Y492" s="43">
        <f>IFERROR(SUM(Y488:Y490),"0")</f>
        <v>2.1</v>
      </c>
      <c r="Z492" s="42"/>
      <c r="AA492" s="67"/>
      <c r="AB492" s="67"/>
      <c r="AC492" s="67"/>
    </row>
    <row r="493" spans="1:68" ht="27.75" hidden="1" customHeight="1" x14ac:dyDescent="0.2">
      <c r="A493" s="706" t="s">
        <v>799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799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128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customHeight="1" x14ac:dyDescent="0.25">
      <c r="A496" s="63" t="s">
        <v>800</v>
      </c>
      <c r="B496" s="63" t="s">
        <v>801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133</v>
      </c>
      <c r="L496" s="37" t="s">
        <v>46</v>
      </c>
      <c r="M496" s="38" t="s">
        <v>90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15</v>
      </c>
      <c r="Y496" s="55">
        <f t="shared" ref="Y496:Y504" si="62">IFERROR(IF(X496="",0,CEILING((X496/$H496),1)*$H496),"")</f>
        <v>15.84</v>
      </c>
      <c r="Z496" s="41">
        <f t="shared" ref="Z496:Z501" si="63">IFERROR(IF(Y496=0,"",ROUNDUP(Y496/H496,0)*0.01196),"")</f>
        <v>3.5880000000000002E-2</v>
      </c>
      <c r="AA496" s="68" t="s">
        <v>46</v>
      </c>
      <c r="AB496" s="69" t="s">
        <v>46</v>
      </c>
      <c r="AC496" s="586" t="s">
        <v>131</v>
      </c>
      <c r="AG496" s="78"/>
      <c r="AJ496" s="84" t="s">
        <v>46</v>
      </c>
      <c r="AK496" s="84">
        <v>0</v>
      </c>
      <c r="BB496" s="587" t="s">
        <v>67</v>
      </c>
      <c r="BM496" s="78">
        <f t="shared" ref="BM496:BM504" si="64">IFERROR(X496*I496/H496,"0")</f>
        <v>15.994318181818182</v>
      </c>
      <c r="BN496" s="78">
        <f t="shared" ref="BN496:BN504" si="65">IFERROR(Y496*I496/H496,"0")</f>
        <v>16.889999999999997</v>
      </c>
      <c r="BO496" s="78">
        <f t="shared" ref="BO496:BO504" si="66">IFERROR(1/J496*(X496/H496),"0")</f>
        <v>2.7316433566433568E-2</v>
      </c>
      <c r="BP496" s="78">
        <f t="shared" ref="BP496:BP504" si="67">IFERROR(1/J496*(Y496/H496),"0")</f>
        <v>2.8846153846153848E-2</v>
      </c>
    </row>
    <row r="497" spans="1:68" ht="16.5" hidden="1" customHeight="1" x14ac:dyDescent="0.25">
      <c r="A497" s="63" t="s">
        <v>802</v>
      </c>
      <c r="B497" s="63" t="s">
        <v>803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133</v>
      </c>
      <c r="L497" s="37" t="s">
        <v>46</v>
      </c>
      <c r="M497" s="38" t="s">
        <v>132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804</v>
      </c>
      <c r="AG497" s="78"/>
      <c r="AJ497" s="84" t="s">
        <v>46</v>
      </c>
      <c r="AK497" s="84">
        <v>0</v>
      </c>
      <c r="BB497" s="589" t="s">
        <v>67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customHeight="1" x14ac:dyDescent="0.25">
      <c r="A498" s="63" t="s">
        <v>805</v>
      </c>
      <c r="B498" s="63" t="s">
        <v>806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133</v>
      </c>
      <c r="L498" s="37" t="s">
        <v>46</v>
      </c>
      <c r="M498" s="38" t="s">
        <v>132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10</v>
      </c>
      <c r="Y498" s="55">
        <f t="shared" si="62"/>
        <v>10.56</v>
      </c>
      <c r="Z498" s="41">
        <f t="shared" si="63"/>
        <v>2.392E-2</v>
      </c>
      <c r="AA498" s="68" t="s">
        <v>46</v>
      </c>
      <c r="AB498" s="69" t="s">
        <v>46</v>
      </c>
      <c r="AC498" s="590" t="s">
        <v>807</v>
      </c>
      <c r="AG498" s="78"/>
      <c r="AJ498" s="84" t="s">
        <v>46</v>
      </c>
      <c r="AK498" s="84">
        <v>0</v>
      </c>
      <c r="BB498" s="591" t="s">
        <v>67</v>
      </c>
      <c r="BM498" s="78">
        <f t="shared" si="64"/>
        <v>10.662878787878787</v>
      </c>
      <c r="BN498" s="78">
        <f t="shared" si="65"/>
        <v>11.26</v>
      </c>
      <c r="BO498" s="78">
        <f t="shared" si="66"/>
        <v>1.8210955710955712E-2</v>
      </c>
      <c r="BP498" s="78">
        <f t="shared" si="67"/>
        <v>1.9230769230769232E-2</v>
      </c>
    </row>
    <row r="499" spans="1:68" ht="27" customHeight="1" x14ac:dyDescent="0.25">
      <c r="A499" s="63" t="s">
        <v>808</v>
      </c>
      <c r="B499" s="63" t="s">
        <v>809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133</v>
      </c>
      <c r="L499" s="37" t="s">
        <v>46</v>
      </c>
      <c r="M499" s="38" t="s">
        <v>132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15</v>
      </c>
      <c r="Y499" s="55">
        <f t="shared" si="62"/>
        <v>15.84</v>
      </c>
      <c r="Z499" s="41">
        <f t="shared" si="63"/>
        <v>3.5880000000000002E-2</v>
      </c>
      <c r="AA499" s="68" t="s">
        <v>46</v>
      </c>
      <c r="AB499" s="69" t="s">
        <v>46</v>
      </c>
      <c r="AC499" s="592" t="s">
        <v>810</v>
      </c>
      <c r="AG499" s="78"/>
      <c r="AJ499" s="84" t="s">
        <v>46</v>
      </c>
      <c r="AK499" s="84">
        <v>0</v>
      </c>
      <c r="BB499" s="593" t="s">
        <v>67</v>
      </c>
      <c r="BM499" s="78">
        <f t="shared" si="64"/>
        <v>15.994318181818182</v>
      </c>
      <c r="BN499" s="78">
        <f t="shared" si="65"/>
        <v>16.889999999999997</v>
      </c>
      <c r="BO499" s="78">
        <f t="shared" si="66"/>
        <v>2.7316433566433568E-2</v>
      </c>
      <c r="BP499" s="78">
        <f t="shared" si="67"/>
        <v>2.8846153846153848E-2</v>
      </c>
    </row>
    <row r="500" spans="1:68" ht="16.5" hidden="1" customHeight="1" x14ac:dyDescent="0.25">
      <c r="A500" s="63" t="s">
        <v>811</v>
      </c>
      <c r="B500" s="63" t="s">
        <v>812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133</v>
      </c>
      <c r="L500" s="37" t="s">
        <v>46</v>
      </c>
      <c r="M500" s="38" t="s">
        <v>90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813</v>
      </c>
      <c r="AG500" s="78"/>
      <c r="AJ500" s="84" t="s">
        <v>46</v>
      </c>
      <c r="AK500" s="84">
        <v>0</v>
      </c>
      <c r="BB500" s="595" t="s">
        <v>67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customHeight="1" x14ac:dyDescent="0.25">
      <c r="A501" s="63" t="s">
        <v>814</v>
      </c>
      <c r="B501" s="63" t="s">
        <v>815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133</v>
      </c>
      <c r="L501" s="37" t="s">
        <v>46</v>
      </c>
      <c r="M501" s="38" t="s">
        <v>132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20</v>
      </c>
      <c r="Y501" s="55">
        <f t="shared" si="62"/>
        <v>21.12</v>
      </c>
      <c r="Z501" s="41">
        <f t="shared" si="63"/>
        <v>4.7840000000000001E-2</v>
      </c>
      <c r="AA501" s="68" t="s">
        <v>46</v>
      </c>
      <c r="AB501" s="69" t="s">
        <v>46</v>
      </c>
      <c r="AC501" s="596" t="s">
        <v>816</v>
      </c>
      <c r="AG501" s="78"/>
      <c r="AJ501" s="84" t="s">
        <v>46</v>
      </c>
      <c r="AK501" s="84">
        <v>0</v>
      </c>
      <c r="BB501" s="597" t="s">
        <v>67</v>
      </c>
      <c r="BM501" s="78">
        <f t="shared" si="64"/>
        <v>21.325757575757574</v>
      </c>
      <c r="BN501" s="78">
        <f t="shared" si="65"/>
        <v>22.52</v>
      </c>
      <c r="BO501" s="78">
        <f t="shared" si="66"/>
        <v>3.6421911421911424E-2</v>
      </c>
      <c r="BP501" s="78">
        <f t="shared" si="67"/>
        <v>3.8461538461538464E-2</v>
      </c>
    </row>
    <row r="502" spans="1:68" ht="27" hidden="1" customHeight="1" x14ac:dyDescent="0.25">
      <c r="A502" s="63" t="s">
        <v>817</v>
      </c>
      <c r="B502" s="63" t="s">
        <v>818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91</v>
      </c>
      <c r="L502" s="37" t="s">
        <v>46</v>
      </c>
      <c r="M502" s="38" t="s">
        <v>90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131</v>
      </c>
      <c r="AG502" s="78"/>
      <c r="AJ502" s="84" t="s">
        <v>46</v>
      </c>
      <c r="AK502" s="84">
        <v>0</v>
      </c>
      <c r="BB502" s="599" t="s">
        <v>67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819</v>
      </c>
      <c r="B503" s="63" t="s">
        <v>820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140</v>
      </c>
      <c r="L503" s="37" t="s">
        <v>46</v>
      </c>
      <c r="M503" s="38" t="s">
        <v>90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131</v>
      </c>
      <c r="AG503" s="78"/>
      <c r="AJ503" s="84" t="s">
        <v>46</v>
      </c>
      <c r="AK503" s="84">
        <v>0</v>
      </c>
      <c r="BB503" s="601" t="s">
        <v>67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821</v>
      </c>
      <c r="B504" s="63" t="s">
        <v>822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140</v>
      </c>
      <c r="L504" s="37" t="s">
        <v>46</v>
      </c>
      <c r="M504" s="38" t="s">
        <v>132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816</v>
      </c>
      <c r="AG504" s="78"/>
      <c r="AJ504" s="84" t="s">
        <v>46</v>
      </c>
      <c r="AK504" s="84">
        <v>0</v>
      </c>
      <c r="BB504" s="603" t="s">
        <v>67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11.363636363636363</v>
      </c>
      <c r="Y505" s="43">
        <f>IFERROR(Y496/H496,"0")+IFERROR(Y497/H497,"0")+IFERROR(Y498/H498,"0")+IFERROR(Y499/H499,"0")+IFERROR(Y500/H500,"0")+IFERROR(Y501/H501,"0")+IFERROR(Y502/H502,"0")+IFERROR(Y503/H503,"0")+IFERROR(Y504/H504,"0")</f>
        <v>12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0.14352000000000001</v>
      </c>
      <c r="AA505" s="67"/>
      <c r="AB505" s="67"/>
      <c r="AC505" s="67"/>
    </row>
    <row r="506" spans="1:68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60</v>
      </c>
      <c r="Y506" s="43">
        <f>IFERROR(SUM(Y496:Y504),"0")</f>
        <v>63.36</v>
      </c>
      <c r="Z506" s="42"/>
      <c r="AA506" s="67"/>
      <c r="AB506" s="67"/>
      <c r="AC506" s="67"/>
    </row>
    <row r="507" spans="1:68" ht="14.25" hidden="1" customHeight="1" x14ac:dyDescent="0.25">
      <c r="A507" s="708" t="s">
        <v>164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customHeight="1" x14ac:dyDescent="0.25">
      <c r="A508" s="63" t="s">
        <v>823</v>
      </c>
      <c r="B508" s="63" t="s">
        <v>824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133</v>
      </c>
      <c r="L508" s="37" t="s">
        <v>46</v>
      </c>
      <c r="M508" s="38" t="s">
        <v>90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20</v>
      </c>
      <c r="Y508" s="55">
        <f>IFERROR(IF(X508="",0,CEILING((X508/$H508),1)*$H508),"")</f>
        <v>21.12</v>
      </c>
      <c r="Z508" s="41">
        <f>IFERROR(IF(Y508=0,"",ROUNDUP(Y508/H508,0)*0.01196),"")</f>
        <v>4.7840000000000001E-2</v>
      </c>
      <c r="AA508" s="68" t="s">
        <v>46</v>
      </c>
      <c r="AB508" s="69" t="s">
        <v>46</v>
      </c>
      <c r="AC508" s="604" t="s">
        <v>825</v>
      </c>
      <c r="AG508" s="78"/>
      <c r="AJ508" s="84" t="s">
        <v>46</v>
      </c>
      <c r="AK508" s="84">
        <v>0</v>
      </c>
      <c r="BB508" s="605" t="s">
        <v>67</v>
      </c>
      <c r="BM508" s="78">
        <f>IFERROR(X508*I508/H508,"0")</f>
        <v>21.325757575757574</v>
      </c>
      <c r="BN508" s="78">
        <f>IFERROR(Y508*I508/H508,"0")</f>
        <v>22.52</v>
      </c>
      <c r="BO508" s="78">
        <f>IFERROR(1/J508*(X508/H508),"0")</f>
        <v>3.6421911421911424E-2</v>
      </c>
      <c r="BP508" s="78">
        <f>IFERROR(1/J508*(Y508/H508),"0")</f>
        <v>3.8461538461538464E-2</v>
      </c>
    </row>
    <row r="509" spans="1:68" ht="16.5" hidden="1" customHeight="1" x14ac:dyDescent="0.25">
      <c r="A509" s="63" t="s">
        <v>826</v>
      </c>
      <c r="B509" s="63" t="s">
        <v>827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91</v>
      </c>
      <c r="L509" s="37" t="s">
        <v>46</v>
      </c>
      <c r="M509" s="38" t="s">
        <v>132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825</v>
      </c>
      <c r="AG509" s="78"/>
      <c r="AJ509" s="84" t="s">
        <v>46</v>
      </c>
      <c r="AK509" s="84">
        <v>0</v>
      </c>
      <c r="BB509" s="607" t="s">
        <v>67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828</v>
      </c>
      <c r="B510" s="63" t="s">
        <v>829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140</v>
      </c>
      <c r="L510" s="37" t="s">
        <v>46</v>
      </c>
      <c r="M510" s="38" t="s">
        <v>132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825</v>
      </c>
      <c r="AG510" s="78"/>
      <c r="AJ510" s="84" t="s">
        <v>46</v>
      </c>
      <c r="AK510" s="84">
        <v>0</v>
      </c>
      <c r="BB510" s="609" t="s">
        <v>67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3.7878787878787876</v>
      </c>
      <c r="Y511" s="43">
        <f>IFERROR(Y508/H508,"0")+IFERROR(Y509/H509,"0")+IFERROR(Y510/H510,"0")</f>
        <v>4</v>
      </c>
      <c r="Z511" s="43">
        <f>IFERROR(IF(Z508="",0,Z508),"0")+IFERROR(IF(Z509="",0,Z509),"0")+IFERROR(IF(Z510="",0,Z510),"0")</f>
        <v>4.7840000000000001E-2</v>
      </c>
      <c r="AA511" s="67"/>
      <c r="AB511" s="67"/>
      <c r="AC511" s="67"/>
    </row>
    <row r="512" spans="1:68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20</v>
      </c>
      <c r="Y512" s="43">
        <f>IFERROR(SUM(Y508:Y510),"0")</f>
        <v>21.12</v>
      </c>
      <c r="Z512" s="42"/>
      <c r="AA512" s="67"/>
      <c r="AB512" s="67"/>
      <c r="AC512" s="67"/>
    </row>
    <row r="513" spans="1:68" ht="14.25" hidden="1" customHeight="1" x14ac:dyDescent="0.25">
      <c r="A513" s="708" t="s">
        <v>77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830</v>
      </c>
      <c r="B514" s="63" t="s">
        <v>831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133</v>
      </c>
      <c r="L514" s="37" t="s">
        <v>46</v>
      </c>
      <c r="M514" s="38" t="s">
        <v>132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832</v>
      </c>
      <c r="AG514" s="78"/>
      <c r="AJ514" s="84" t="s">
        <v>46</v>
      </c>
      <c r="AK514" s="84">
        <v>0</v>
      </c>
      <c r="BB514" s="611" t="s">
        <v>67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customHeight="1" x14ac:dyDescent="0.25">
      <c r="A515" s="63" t="s">
        <v>833</v>
      </c>
      <c r="B515" s="63" t="s">
        <v>834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133</v>
      </c>
      <c r="L515" s="37" t="s">
        <v>46</v>
      </c>
      <c r="M515" s="38" t="s">
        <v>81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5</v>
      </c>
      <c r="Y515" s="55">
        <f t="shared" si="68"/>
        <v>5.28</v>
      </c>
      <c r="Z515" s="41">
        <f>IFERROR(IF(Y515=0,"",ROUNDUP(Y515/H515,0)*0.01196),"")</f>
        <v>1.196E-2</v>
      </c>
      <c r="AA515" s="68" t="s">
        <v>46</v>
      </c>
      <c r="AB515" s="69" t="s">
        <v>46</v>
      </c>
      <c r="AC515" s="612" t="s">
        <v>835</v>
      </c>
      <c r="AG515" s="78"/>
      <c r="AJ515" s="84" t="s">
        <v>46</v>
      </c>
      <c r="AK515" s="84">
        <v>0</v>
      </c>
      <c r="BB515" s="613" t="s">
        <v>67</v>
      </c>
      <c r="BM515" s="78">
        <f t="shared" si="69"/>
        <v>5.3314393939393936</v>
      </c>
      <c r="BN515" s="78">
        <f t="shared" si="70"/>
        <v>5.63</v>
      </c>
      <c r="BO515" s="78">
        <f t="shared" si="71"/>
        <v>9.1054778554778559E-3</v>
      </c>
      <c r="BP515" s="78">
        <f t="shared" si="72"/>
        <v>9.6153846153846159E-3</v>
      </c>
    </row>
    <row r="516" spans="1:68" ht="27" customHeight="1" x14ac:dyDescent="0.25">
      <c r="A516" s="63" t="s">
        <v>836</v>
      </c>
      <c r="B516" s="63" t="s">
        <v>837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133</v>
      </c>
      <c r="L516" s="37" t="s">
        <v>46</v>
      </c>
      <c r="M516" s="38" t="s">
        <v>81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15</v>
      </c>
      <c r="Y516" s="55">
        <f t="shared" si="68"/>
        <v>15.84</v>
      </c>
      <c r="Z516" s="41">
        <f>IFERROR(IF(Y516=0,"",ROUNDUP(Y516/H516,0)*0.01196),"")</f>
        <v>3.5880000000000002E-2</v>
      </c>
      <c r="AA516" s="68" t="s">
        <v>46</v>
      </c>
      <c r="AB516" s="69" t="s">
        <v>46</v>
      </c>
      <c r="AC516" s="614" t="s">
        <v>838</v>
      </c>
      <c r="AG516" s="78"/>
      <c r="AJ516" s="84" t="s">
        <v>46</v>
      </c>
      <c r="AK516" s="84">
        <v>0</v>
      </c>
      <c r="BB516" s="615" t="s">
        <v>67</v>
      </c>
      <c r="BM516" s="78">
        <f t="shared" si="69"/>
        <v>15.994318181818182</v>
      </c>
      <c r="BN516" s="78">
        <f t="shared" si="70"/>
        <v>16.889999999999997</v>
      </c>
      <c r="BO516" s="78">
        <f t="shared" si="71"/>
        <v>2.7316433566433568E-2</v>
      </c>
      <c r="BP516" s="78">
        <f t="shared" si="72"/>
        <v>2.8846153846153848E-2</v>
      </c>
    </row>
    <row r="517" spans="1:68" ht="27" hidden="1" customHeight="1" x14ac:dyDescent="0.25">
      <c r="A517" s="63" t="s">
        <v>839</v>
      </c>
      <c r="B517" s="63" t="s">
        <v>840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140</v>
      </c>
      <c r="L517" s="37" t="s">
        <v>46</v>
      </c>
      <c r="M517" s="38" t="s">
        <v>132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832</v>
      </c>
      <c r="AG517" s="78"/>
      <c r="AJ517" s="84" t="s">
        <v>46</v>
      </c>
      <c r="AK517" s="84">
        <v>0</v>
      </c>
      <c r="BB517" s="617" t="s">
        <v>67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841</v>
      </c>
      <c r="B518" s="63" t="s">
        <v>842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140</v>
      </c>
      <c r="L518" s="37" t="s">
        <v>46</v>
      </c>
      <c r="M518" s="38" t="s">
        <v>81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835</v>
      </c>
      <c r="AG518" s="78"/>
      <c r="AJ518" s="84" t="s">
        <v>46</v>
      </c>
      <c r="AK518" s="84">
        <v>0</v>
      </c>
      <c r="BB518" s="619" t="s">
        <v>67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841</v>
      </c>
      <c r="B519" s="63" t="s">
        <v>843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140</v>
      </c>
      <c r="L519" s="37" t="s">
        <v>46</v>
      </c>
      <c r="M519" s="38" t="s">
        <v>81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835</v>
      </c>
      <c r="AG519" s="78"/>
      <c r="AJ519" s="84" t="s">
        <v>46</v>
      </c>
      <c r="AK519" s="84">
        <v>0</v>
      </c>
      <c r="BB519" s="621" t="s">
        <v>67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844</v>
      </c>
      <c r="B520" s="63" t="s">
        <v>845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140</v>
      </c>
      <c r="L520" s="37" t="s">
        <v>46</v>
      </c>
      <c r="M520" s="38" t="s">
        <v>81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838</v>
      </c>
      <c r="AG520" s="78"/>
      <c r="AJ520" s="84" t="s">
        <v>46</v>
      </c>
      <c r="AK520" s="84">
        <v>0</v>
      </c>
      <c r="BB520" s="623" t="s">
        <v>67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3.7878787878787876</v>
      </c>
      <c r="Y521" s="43">
        <f>IFERROR(Y514/H514,"0")+IFERROR(Y515/H515,"0")+IFERROR(Y516/H516,"0")+IFERROR(Y517/H517,"0")+IFERROR(Y518/H518,"0")+IFERROR(Y519/H519,"0")+IFERROR(Y520/H520,"0")</f>
        <v>4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4.7840000000000001E-2</v>
      </c>
      <c r="AA521" s="67"/>
      <c r="AB521" s="67"/>
      <c r="AC521" s="67"/>
    </row>
    <row r="522" spans="1:68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20</v>
      </c>
      <c r="Y522" s="43">
        <f>IFERROR(SUM(Y514:Y520),"0")</f>
        <v>21.12</v>
      </c>
      <c r="Z522" s="42"/>
      <c r="AA522" s="67"/>
      <c r="AB522" s="67"/>
      <c r="AC522" s="67"/>
    </row>
    <row r="523" spans="1:68" ht="27.75" hidden="1" customHeight="1" x14ac:dyDescent="0.2">
      <c r="A523" s="706" t="s">
        <v>846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846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128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customHeight="1" x14ac:dyDescent="0.25">
      <c r="A526" s="63" t="s">
        <v>847</v>
      </c>
      <c r="B526" s="63" t="s">
        <v>848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133</v>
      </c>
      <c r="L526" s="37" t="s">
        <v>46</v>
      </c>
      <c r="M526" s="38" t="s">
        <v>132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10</v>
      </c>
      <c r="Y526" s="55">
        <f>IFERROR(IF(X526="",0,CEILING((X526/$H526),1)*$H526),"")</f>
        <v>12</v>
      </c>
      <c r="Z526" s="41">
        <f>IFERROR(IF(Y526=0,"",ROUNDUP(Y526/H526,0)*0.01898),"")</f>
        <v>1.898E-2</v>
      </c>
      <c r="AA526" s="68" t="s">
        <v>46</v>
      </c>
      <c r="AB526" s="69" t="s">
        <v>46</v>
      </c>
      <c r="AC526" s="624" t="s">
        <v>849</v>
      </c>
      <c r="AG526" s="78"/>
      <c r="AJ526" s="84" t="s">
        <v>46</v>
      </c>
      <c r="AK526" s="84">
        <v>0</v>
      </c>
      <c r="BB526" s="625" t="s">
        <v>67</v>
      </c>
      <c r="BM526" s="78">
        <f>IFERROR(X526*I526/H526,"0")</f>
        <v>10.341666666666667</v>
      </c>
      <c r="BN526" s="78">
        <f>IFERROR(Y526*I526/H526,"0")</f>
        <v>12.410000000000002</v>
      </c>
      <c r="BO526" s="78">
        <f>IFERROR(1/J526*(X526/H526),"0")</f>
        <v>1.3020833333333334E-2</v>
      </c>
      <c r="BP526" s="78">
        <f>IFERROR(1/J526*(Y526/H526),"0")</f>
        <v>1.5625E-2</v>
      </c>
    </row>
    <row r="527" spans="1:68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0.83333333333333337</v>
      </c>
      <c r="Y527" s="43">
        <f>IFERROR(Y526/H526,"0")</f>
        <v>1</v>
      </c>
      <c r="Z527" s="43">
        <f>IFERROR(IF(Z526="",0,Z526),"0")</f>
        <v>1.898E-2</v>
      </c>
      <c r="AA527" s="67"/>
      <c r="AB527" s="67"/>
      <c r="AC527" s="67"/>
    </row>
    <row r="528" spans="1:68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10</v>
      </c>
      <c r="Y528" s="43">
        <f>IFERROR(SUM(Y526:Y526),"0")</f>
        <v>12</v>
      </c>
      <c r="Z528" s="42"/>
      <c r="AA528" s="67"/>
      <c r="AB528" s="67"/>
      <c r="AC528" s="67"/>
    </row>
    <row r="529" spans="1:68" ht="14.25" hidden="1" customHeight="1" x14ac:dyDescent="0.25">
      <c r="A529" s="708" t="s">
        <v>164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850</v>
      </c>
      <c r="B530" s="63" t="s">
        <v>851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133</v>
      </c>
      <c r="L530" s="37" t="s">
        <v>46</v>
      </c>
      <c r="M530" s="38" t="s">
        <v>132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852</v>
      </c>
      <c r="AG530" s="78"/>
      <c r="AJ530" s="84" t="s">
        <v>46</v>
      </c>
      <c r="AK530" s="84">
        <v>0</v>
      </c>
      <c r="BB530" s="627" t="s">
        <v>67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77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853</v>
      </c>
      <c r="B534" s="63" t="s">
        <v>854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140</v>
      </c>
      <c r="L534" s="37" t="s">
        <v>46</v>
      </c>
      <c r="M534" s="38" t="s">
        <v>81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855</v>
      </c>
      <c r="AG534" s="78"/>
      <c r="AJ534" s="84" t="s">
        <v>46</v>
      </c>
      <c r="AK534" s="84">
        <v>0</v>
      </c>
      <c r="BB534" s="629" t="s">
        <v>67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86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856</v>
      </c>
      <c r="B538" s="63" t="s">
        <v>857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133</v>
      </c>
      <c r="L538" s="37" t="s">
        <v>46</v>
      </c>
      <c r="M538" s="38" t="s">
        <v>90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858</v>
      </c>
      <c r="AG538" s="78"/>
      <c r="AJ538" s="84" t="s">
        <v>46</v>
      </c>
      <c r="AK538" s="84">
        <v>0</v>
      </c>
      <c r="BB538" s="631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181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859</v>
      </c>
      <c r="B542" s="63" t="s">
        <v>860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133</v>
      </c>
      <c r="L542" s="37" t="s">
        <v>46</v>
      </c>
      <c r="M542" s="38" t="s">
        <v>90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861</v>
      </c>
      <c r="AG542" s="78"/>
      <c r="AJ542" s="84" t="s">
        <v>46</v>
      </c>
      <c r="AK542" s="84">
        <v>0</v>
      </c>
      <c r="BB542" s="633" t="s">
        <v>67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862</v>
      </c>
      <c r="B543" s="63" t="s">
        <v>863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133</v>
      </c>
      <c r="L543" s="37" t="s">
        <v>46</v>
      </c>
      <c r="M543" s="38" t="s">
        <v>90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864</v>
      </c>
      <c r="AG543" s="78"/>
      <c r="AJ543" s="84" t="s">
        <v>46</v>
      </c>
      <c r="AK543" s="84">
        <v>0</v>
      </c>
      <c r="BB543" s="63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865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164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866</v>
      </c>
      <c r="B548" s="63" t="s">
        <v>867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133</v>
      </c>
      <c r="L548" s="37" t="s">
        <v>46</v>
      </c>
      <c r="M548" s="38" t="s">
        <v>132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868</v>
      </c>
      <c r="AG548" s="78"/>
      <c r="AJ548" s="84" t="s">
        <v>46</v>
      </c>
      <c r="AK548" s="84">
        <v>0</v>
      </c>
      <c r="BB548" s="637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2533.5500000000002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2601.0499999999997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2662.4941117154453</v>
      </c>
      <c r="Y552" s="43">
        <f>IFERROR(SUM(BN22:BN548),"0")</f>
        <v>2733.3210000000008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5</v>
      </c>
      <c r="Y553" s="44">
        <f>ROUNDUP(SUM(BP22:BP548),0)</f>
        <v>5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2787.4941117154453</v>
      </c>
      <c r="Y554" s="43">
        <f>GrossWeightTotalR+PalletQtyTotalR*25</f>
        <v>2858.3210000000008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345.53822720489393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354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5.2834899999999996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76</v>
      </c>
      <c r="C558" s="85" t="s">
        <v>45</v>
      </c>
      <c r="D558" s="999" t="s">
        <v>126</v>
      </c>
      <c r="E558" s="999" t="s">
        <v>126</v>
      </c>
      <c r="F558" s="999" t="s">
        <v>126</v>
      </c>
      <c r="G558" s="999" t="s">
        <v>126</v>
      </c>
      <c r="H558" s="999" t="s">
        <v>126</v>
      </c>
      <c r="I558" s="999" t="s">
        <v>126</v>
      </c>
      <c r="J558" s="999" t="s">
        <v>126</v>
      </c>
      <c r="K558" s="999" t="s">
        <v>358</v>
      </c>
      <c r="L558" s="999" t="s">
        <v>358</v>
      </c>
      <c r="M558" s="999" t="s">
        <v>358</v>
      </c>
      <c r="N558" s="1000"/>
      <c r="O558" s="999" t="s">
        <v>358</v>
      </c>
      <c r="P558" s="999" t="s">
        <v>358</v>
      </c>
      <c r="Q558" s="999" t="s">
        <v>358</v>
      </c>
      <c r="R558" s="999" t="s">
        <v>358</v>
      </c>
      <c r="S558" s="999" t="s">
        <v>358</v>
      </c>
      <c r="T558" s="999" t="s">
        <v>358</v>
      </c>
      <c r="U558" s="999" t="s">
        <v>358</v>
      </c>
      <c r="V558" s="999" t="s">
        <v>697</v>
      </c>
      <c r="W558" s="999" t="s">
        <v>697</v>
      </c>
      <c r="X558" s="999" t="s">
        <v>763</v>
      </c>
      <c r="Y558" s="999" t="s">
        <v>763</v>
      </c>
      <c r="Z558" s="85" t="s">
        <v>799</v>
      </c>
      <c r="AA558" s="999" t="s">
        <v>846</v>
      </c>
      <c r="AB558" s="999" t="s">
        <v>846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76</v>
      </c>
      <c r="C559" s="999" t="s">
        <v>110</v>
      </c>
      <c r="D559" s="999" t="s">
        <v>127</v>
      </c>
      <c r="E559" s="999" t="s">
        <v>143</v>
      </c>
      <c r="F559" s="999" t="s">
        <v>188</v>
      </c>
      <c r="G559" s="999" t="s">
        <v>209</v>
      </c>
      <c r="H559" s="999" t="s">
        <v>248</v>
      </c>
      <c r="I559" s="999" t="s">
        <v>276</v>
      </c>
      <c r="J559" s="999" t="s">
        <v>126</v>
      </c>
      <c r="K559" s="999" t="s">
        <v>359</v>
      </c>
      <c r="L559" s="999" t="s">
        <v>380</v>
      </c>
      <c r="M559" s="999" t="s">
        <v>447</v>
      </c>
      <c r="N559" s="1"/>
      <c r="O559" s="999" t="s">
        <v>515</v>
      </c>
      <c r="P559" s="999" t="s">
        <v>548</v>
      </c>
      <c r="Q559" s="999" t="s">
        <v>564</v>
      </c>
      <c r="R559" s="999" t="s">
        <v>573</v>
      </c>
      <c r="S559" s="999" t="s">
        <v>594</v>
      </c>
      <c r="T559" s="999" t="s">
        <v>603</v>
      </c>
      <c r="U559" s="999" t="s">
        <v>687</v>
      </c>
      <c r="V559" s="999" t="s">
        <v>698</v>
      </c>
      <c r="W559" s="999" t="s">
        <v>747</v>
      </c>
      <c r="X559" s="999" t="s">
        <v>764</v>
      </c>
      <c r="Y559" s="999" t="s">
        <v>787</v>
      </c>
      <c r="Z559" s="999" t="s">
        <v>799</v>
      </c>
      <c r="AA559" s="999" t="s">
        <v>846</v>
      </c>
      <c r="AB559" s="999" t="s">
        <v>865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34.799999999999997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194.4</v>
      </c>
      <c r="F561" s="52">
        <f>IFERROR(Y88*1,"0")+IFERROR(Y89*1,"0")+IFERROR(Y90*1,"0")+IFERROR(Y91*1,"0")+IFERROR(Y95*1,"0")+IFERROR(Y96*1,"0")+IFERROR(Y97*1,"0")+IFERROR(Y98*1,"0")</f>
        <v>52.2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27.450000000000003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9.6000000000000014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10.5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7.1999999999999993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110.4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1233.8999999999999</v>
      </c>
      <c r="U561" s="52">
        <f>IFERROR(Y415*1,"0")+IFERROR(Y416*1,"0")+IFERROR(Y417*1,"0")</f>
        <v>103.5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689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8.4</v>
      </c>
      <c r="Y561" s="52">
        <f>IFERROR(Y484*1,"0")+IFERROR(Y488*1,"0")+IFERROR(Y489*1,"0")+IFERROR(Y490*1,"0")</f>
        <v>2.1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105.60000000000001</v>
      </c>
      <c r="AA561" s="52">
        <f>IFERROR(Y526*1,"0")+IFERROR(Y530*1,"0")+IFERROR(Y534*1,"0")+IFERROR(Y538*1,"0")+IFERROR(Y542*1,"0")+IFERROR(Y543*1,"0")</f>
        <v>12</v>
      </c>
      <c r="AB561" s="52">
        <f>IFERROR(Y548*1,"0")</f>
        <v>0</v>
      </c>
      <c r="AC561" s="60"/>
      <c r="AF561" s="1"/>
    </row>
  </sheetData>
  <sheetProtection algorithmName="SHA-512" hashValue="T7xSE20UqUr4ycvLYNUEH0mgfle55rnWrkRSUgpr9uZTcHRoR7LvwWd1KSCiZLan3xuWyPSjpScbmZEjZiLqZQ==" saltValue="h/DgYzqWWIKnkGstEyghhA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83"/>
        <filter val="1,00"/>
        <filter val="10,00"/>
        <filter val="101,15"/>
        <filter val="104,00"/>
        <filter val="11,25"/>
        <filter val="11,36"/>
        <filter val="110,00"/>
        <filter val="12,00"/>
        <filter val="120,00"/>
        <filter val="123,50"/>
        <filter val="124,00"/>
        <filter val="13,19"/>
        <filter val="13,41"/>
        <filter val="13,50"/>
        <filter val="14,70"/>
        <filter val="15,00"/>
        <filter val="155,00"/>
        <filter val="16,10"/>
        <filter val="18,00"/>
        <filter val="18,74"/>
        <filter val="18,90"/>
        <filter val="182,00"/>
        <filter val="19,28"/>
        <filter val="2 533,55"/>
        <filter val="2 662,49"/>
        <filter val="2 787,49"/>
        <filter val="2,00"/>
        <filter val="2,10"/>
        <filter val="2,29"/>
        <filter val="20,00"/>
        <filter val="22,50"/>
        <filter val="24,00"/>
        <filter val="240,00"/>
        <filter val="270,00"/>
        <filter val="3,00"/>
        <filter val="3,79"/>
        <filter val="3,99"/>
        <filter val="30,00"/>
        <filter val="31,00"/>
        <filter val="31,50"/>
        <filter val="34,00"/>
        <filter val="34,32"/>
        <filter val="345,54"/>
        <filter val="35,00"/>
        <filter val="39,00"/>
        <filter val="4,00"/>
        <filter val="42,50"/>
        <filter val="45,00"/>
        <filter val="5"/>
        <filter val="5,00"/>
        <filter val="5,10"/>
        <filter val="50,00"/>
        <filter val="565,00"/>
        <filter val="58,10"/>
        <filter val="6,85"/>
        <filter val="6,93"/>
        <filter val="60,00"/>
        <filter val="65,00"/>
        <filter val="7,20"/>
        <filter val="7,63"/>
        <filter val="750,00"/>
        <filter val="765,00"/>
        <filter val="8,00"/>
        <filter val="8,10"/>
        <filter val="8,40"/>
        <filter val="9,00"/>
        <filter val="9,60"/>
        <filter val="90,00"/>
        <filter val="96,60"/>
        <filter val="98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869</v>
      </c>
      <c r="H1" s="9"/>
    </row>
    <row r="3" spans="2:8" x14ac:dyDescent="0.2">
      <c r="B3" s="53" t="s">
        <v>870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872</v>
      </c>
      <c r="C6" s="53" t="s">
        <v>873</v>
      </c>
      <c r="D6" s="53" t="s">
        <v>874</v>
      </c>
      <c r="E6" s="53" t="s">
        <v>46</v>
      </c>
    </row>
    <row r="7" spans="2:8" x14ac:dyDescent="0.2">
      <c r="B7" s="53" t="s">
        <v>875</v>
      </c>
      <c r="C7" s="53" t="s">
        <v>876</v>
      </c>
      <c r="D7" s="53" t="s">
        <v>877</v>
      </c>
      <c r="E7" s="53" t="s">
        <v>46</v>
      </c>
    </row>
    <row r="8" spans="2:8" x14ac:dyDescent="0.2">
      <c r="B8" s="53" t="s">
        <v>878</v>
      </c>
      <c r="C8" s="53" t="s">
        <v>879</v>
      </c>
      <c r="D8" s="53" t="s">
        <v>880</v>
      </c>
      <c r="E8" s="53" t="s">
        <v>46</v>
      </c>
    </row>
    <row r="10" spans="2:8" x14ac:dyDescent="0.2">
      <c r="B10" s="53" t="s">
        <v>881</v>
      </c>
      <c r="C10" s="53" t="s">
        <v>873</v>
      </c>
      <c r="D10" s="53" t="s">
        <v>46</v>
      </c>
      <c r="E10" s="53" t="s">
        <v>46</v>
      </c>
    </row>
    <row r="12" spans="2:8" x14ac:dyDescent="0.2">
      <c r="B12" s="53" t="s">
        <v>882</v>
      </c>
      <c r="C12" s="53" t="s">
        <v>876</v>
      </c>
      <c r="D12" s="53" t="s">
        <v>46</v>
      </c>
      <c r="E12" s="53" t="s">
        <v>46</v>
      </c>
    </row>
    <row r="14" spans="2:8" x14ac:dyDescent="0.2">
      <c r="B14" s="53" t="s">
        <v>883</v>
      </c>
      <c r="C14" s="53" t="s">
        <v>879</v>
      </c>
      <c r="D14" s="53" t="s">
        <v>46</v>
      </c>
      <c r="E14" s="53" t="s">
        <v>46</v>
      </c>
    </row>
    <row r="16" spans="2:8" x14ac:dyDescent="0.2">
      <c r="B16" s="53" t="s">
        <v>884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894</v>
      </c>
      <c r="C26" s="53" t="s">
        <v>46</v>
      </c>
      <c r="D26" s="53" t="s">
        <v>46</v>
      </c>
      <c r="E26" s="53" t="s">
        <v>46</v>
      </c>
    </row>
  </sheetData>
  <sheetProtection algorithmName="SHA-512" hashValue="suTgqx5KhQpN1BmhuYsCwvUQHKnY5zlK6ru3EnRNq8q9fIDHhna5P7d4PpywUaKtwW4HDNhu8Jhd19KUzDGn5g==" saltValue="x9AfwdVgygcJbnLgmMPcN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1149</vt:i4>
      </vt:variant>
    </vt:vector>
  </HeadingPairs>
  <TitlesOfParts>
    <vt:vector size="115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2026-07-27T11:59:50Z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