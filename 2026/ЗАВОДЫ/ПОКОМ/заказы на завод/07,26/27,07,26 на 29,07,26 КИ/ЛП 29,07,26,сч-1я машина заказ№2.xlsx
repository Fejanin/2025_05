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A4370F-7937-4E5B-94F3-7479CD888CB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512" i="2" l="1"/>
  <c r="Z91" i="2"/>
  <c r="Z211" i="2"/>
  <c r="BN211" i="2"/>
  <c r="Z225" i="2"/>
  <c r="Z342" i="2"/>
  <c r="BN342" i="2"/>
  <c r="Z273" i="2"/>
  <c r="BN273" i="2"/>
  <c r="Z423" i="2"/>
  <c r="BN423" i="2"/>
  <c r="Z181" i="2"/>
  <c r="Z240" i="2"/>
  <c r="Z304" i="2"/>
  <c r="Z367" i="2"/>
  <c r="Z441" i="2"/>
  <c r="Z62" i="2"/>
  <c r="Z116" i="2"/>
  <c r="Z198" i="2"/>
  <c r="Z249" i="2"/>
  <c r="Z283" i="2"/>
  <c r="Z327" i="2"/>
  <c r="Z428" i="2"/>
  <c r="Z503" i="2"/>
  <c r="BN503" i="2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Z538" i="2"/>
  <c r="Z539" i="2" s="1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54" i="2" l="1"/>
  <c r="Z386" i="2"/>
  <c r="Z437" i="2"/>
  <c r="Z338" i="2"/>
  <c r="Z297" i="2"/>
  <c r="Z199" i="2"/>
  <c r="X554" i="2"/>
  <c r="Z99" i="2"/>
  <c r="Z418" i="2"/>
  <c r="Z292" i="2"/>
  <c r="Z431" i="2"/>
  <c r="Z277" i="2"/>
  <c r="Z251" i="2"/>
  <c r="Z347" i="2"/>
  <c r="Z143" i="2"/>
  <c r="Z369" i="2"/>
  <c r="Z136" i="2"/>
  <c r="Z322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<sst xmlns="http://schemas.openxmlformats.org/spreadsheetml/2006/main" count="4202" uniqueCount="896">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</sst>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Среда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20</v>
      </c>
      <c r="Y59" s="55">
        <f t="shared" ref="Y59:Y66" si="0">IFERROR(IF(X59="",0,CEILING((X59/$H59),1)*$H59),"")</f>
        <v>22.4</v>
      </c>
      <c r="Z59" s="41">
        <f>IFERROR(IF(Y59=0,"",ROUNDUP(Y59/H59,0)*0.01898),"")</f>
        <v>3.7960000000000001E-2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20.732142857142858</v>
      </c>
      <c r="BN59" s="78">
        <f t="shared" ref="BN59:BN66" si="2">IFERROR(Y59*I59/H59,"0")</f>
        <v>23.22</v>
      </c>
      <c r="BO59" s="78">
        <f t="shared" ref="BO59:BO66" si="3">IFERROR(1/J59*(X59/H59),"0")</f>
        <v>2.7901785714285716E-2</v>
      </c>
      <c r="BP59" s="78">
        <f t="shared" ref="BP59:BP66" si="4">IFERROR(1/J59*(Y59/H59),"0")</f>
        <v>3.125E-2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530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550.12037037037032</v>
      </c>
      <c r="BN61" s="78">
        <f t="shared" si="2"/>
        <v>560.5</v>
      </c>
      <c r="BO61" s="78">
        <f t="shared" si="3"/>
        <v>0.76678240740740733</v>
      </c>
      <c r="BP61" s="78">
        <f t="shared" si="4"/>
        <v>0.78125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202.5</v>
      </c>
      <c r="Y66" s="55">
        <f t="shared" si="0"/>
        <v>202.5</v>
      </c>
      <c r="Z66" s="41">
        <f>IFERROR(IF(Y66=0,"",ROUNDUP(Y66/H66,0)*0.00902),"")</f>
        <v>0.40590000000000004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211.05</v>
      </c>
      <c r="BN66" s="78">
        <f t="shared" si="2"/>
        <v>211.05</v>
      </c>
      <c r="BO66" s="78">
        <f t="shared" si="3"/>
        <v>0.34090909090909094</v>
      </c>
      <c r="BP66" s="78">
        <f t="shared" si="4"/>
        <v>0.34090909090909094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95.859788359788354</v>
      </c>
      <c r="Y67" s="43">
        <f>IFERROR(Y59/H59,"0")+IFERROR(Y60/H60,"0")+IFERROR(Y61/H61,"0")+IFERROR(Y62/H62,"0")+IFERROR(Y63/H63,"0")+IFERROR(Y64/H64,"0")+IFERROR(Y65/H65,"0")+IFERROR(Y66/H66,"0")</f>
        <v>97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1.3928600000000002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752.5</v>
      </c>
      <c r="Y68" s="43">
        <f>IFERROR(SUM(Y59:Y66),"0")</f>
        <v>764.9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450</v>
      </c>
      <c r="Y70" s="55">
        <f>IFERROR(IF(X70="",0,CEILING((X70/$H70),1)*$H70),"")</f>
        <v>453.6</v>
      </c>
      <c r="Z70" s="41">
        <f>IFERROR(IF(Y70=0,"",ROUNDUP(Y70/H70,0)*0.01898),"")</f>
        <v>0.79715999999999998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467.08333333333331</v>
      </c>
      <c r="BN70" s="78">
        <f>IFERROR(Y70*I70/H70,"0")</f>
        <v>470.82000000000005</v>
      </c>
      <c r="BO70" s="78">
        <f>IFERROR(1/J70*(X70/H70),"0")</f>
        <v>0.65104166666666663</v>
      </c>
      <c r="BP70" s="78">
        <f>IFERROR(1/J70*(Y70/H70),"0")</f>
        <v>0.65625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49.5</v>
      </c>
      <c r="Y73" s="55">
        <f>IFERROR(IF(X73="",0,CEILING((X73/$H73),1)*$H73),"")</f>
        <v>51.300000000000004</v>
      </c>
      <c r="Z73" s="41">
        <f>IFERROR(IF(Y73=0,"",ROUNDUP(Y73/H73,0)*0.00651),"")</f>
        <v>0.12369000000000001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52.8</v>
      </c>
      <c r="BN73" s="78">
        <f>IFERROR(Y73*I73/H73,"0")</f>
        <v>54.72</v>
      </c>
      <c r="BO73" s="78">
        <f>IFERROR(1/J73*(X73/H73),"0")</f>
        <v>0.10073260073260074</v>
      </c>
      <c r="BP73" s="78">
        <f>IFERROR(1/J73*(Y73/H73),"0")</f>
        <v>0.1043956043956044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60</v>
      </c>
      <c r="Y74" s="43">
        <f>IFERROR(Y70/H70,"0")+IFERROR(Y71/H71,"0")+IFERROR(Y72/H72,"0")+IFERROR(Y73/H73,"0")</f>
        <v>61</v>
      </c>
      <c r="Z74" s="43">
        <f>IFERROR(IF(Z70="",0,Z70),"0")+IFERROR(IF(Z71="",0,Z71),"0")+IFERROR(IF(Z72="",0,Z72),"0")+IFERROR(IF(Z73="",0,Z73),"0")</f>
        <v>0.92084999999999995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499.5</v>
      </c>
      <c r="Y75" s="43">
        <f>IFERROR(SUM(Y70:Y73),"0")</f>
        <v>504.90000000000003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6</v>
      </c>
      <c r="Y78" s="55">
        <f>IFERROR(IF(X78="",0,CEILING((X78/$H78),1)*$H78),"")</f>
        <v>7.2</v>
      </c>
      <c r="Z78" s="41">
        <f>IFERROR(IF(Y78=0,"",ROUNDUP(Y78/H78,0)*0.00651),"")</f>
        <v>2.6040000000000001E-2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6.6</v>
      </c>
      <c r="BN78" s="78">
        <f>IFERROR(Y78*I78/H78,"0")</f>
        <v>7.92</v>
      </c>
      <c r="BO78" s="78">
        <f>IFERROR(1/J78*(X78/H78),"0")</f>
        <v>1.8315018315018316E-2</v>
      </c>
      <c r="BP78" s="78">
        <f>IFERROR(1/J78*(Y78/H78),"0")</f>
        <v>2.197802197802198E-2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3.333333333333333</v>
      </c>
      <c r="Y79" s="43">
        <f>IFERROR(Y77/H77,"0")+IFERROR(Y78/H78,"0")</f>
        <v>4</v>
      </c>
      <c r="Z79" s="43">
        <f>IFERROR(IF(Z77="",0,Z77),"0")+IFERROR(IF(Z78="",0,Z78),"0")</f>
        <v>2.6040000000000001E-2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6</v>
      </c>
      <c r="Y80" s="43">
        <f>IFERROR(SUM(Y77:Y78),"0")</f>
        <v>7.2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40</v>
      </c>
      <c r="Y88" s="55">
        <f>IFERROR(IF(X88="",0,CEILING((X88/$H88),1)*$H88),"")</f>
        <v>43.2</v>
      </c>
      <c r="Z88" s="41">
        <f>IFERROR(IF(Y88=0,"",ROUNDUP(Y88/H88,0)*0.01898),"")</f>
        <v>7.5920000000000001E-2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41.518518518518519</v>
      </c>
      <c r="BN88" s="78">
        <f>IFERROR(Y88*I88/H88,"0")</f>
        <v>44.84</v>
      </c>
      <c r="BO88" s="78">
        <f>IFERROR(1/J88*(X88/H88),"0")</f>
        <v>5.7870370370370364E-2</v>
      </c>
      <c r="BP88" s="78">
        <f>IFERROR(1/J88*(Y88/H88),"0")</f>
        <v>6.25E-2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36</v>
      </c>
      <c r="Y91" s="55">
        <f>IFERROR(IF(X91="",0,CEILING((X91/$H91),1)*$H91),"")</f>
        <v>36</v>
      </c>
      <c r="Z91" s="41">
        <f>IFERROR(IF(Y91=0,"",ROUNDUP(Y91/H91,0)*0.00902),"")</f>
        <v>7.2160000000000002E-2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37.520000000000003</v>
      </c>
      <c r="BN91" s="78">
        <f>IFERROR(Y91*I91/H91,"0")</f>
        <v>37.520000000000003</v>
      </c>
      <c r="BO91" s="78">
        <f>IFERROR(1/J91*(X91/H91),"0")</f>
        <v>6.0606060606060608E-2</v>
      </c>
      <c r="BP91" s="78">
        <f>IFERROR(1/J91*(Y91/H91),"0")</f>
        <v>6.0606060606060608E-2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11.703703703703702</v>
      </c>
      <c r="Y92" s="43">
        <f>IFERROR(Y88/H88,"0")+IFERROR(Y89/H89,"0")+IFERROR(Y90/H90,"0")+IFERROR(Y91/H91,"0")</f>
        <v>12</v>
      </c>
      <c r="Z92" s="43">
        <f>IFERROR(IF(Z88="",0,Z88),"0")+IFERROR(IF(Z89="",0,Z89),"0")+IFERROR(IF(Z90="",0,Z90),"0")+IFERROR(IF(Z91="",0,Z91),"0")</f>
        <v>0.14807999999999999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76</v>
      </c>
      <c r="Y93" s="43">
        <f>IFERROR(SUM(Y88:Y91),"0")</f>
        <v>79.2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85</v>
      </c>
      <c r="Y95" s="55">
        <f>IFERROR(IF(X95="",0,CEILING((X95/$H95),1)*$H95),"")</f>
        <v>89.1</v>
      </c>
      <c r="Z95" s="41">
        <f>IFERROR(IF(Y95=0,"",ROUNDUP(Y95/H95,0)*0.01898),"")</f>
        <v>0.20877999999999999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90.183950617283941</v>
      </c>
      <c r="BN95" s="78">
        <f>IFERROR(Y95*I95/H95,"0")</f>
        <v>94.533999999999992</v>
      </c>
      <c r="BO95" s="78">
        <f>IFERROR(1/J95*(X95/H95),"0")</f>
        <v>0.16396604938271606</v>
      </c>
      <c r="BP95" s="78">
        <f>IFERROR(1/J95*(Y95/H95),"0")</f>
        <v>0.171875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13.5</v>
      </c>
      <c r="Y97" s="55">
        <f>IFERROR(IF(X97="",0,CEILING((X97/$H97),1)*$H97),"")</f>
        <v>13.5</v>
      </c>
      <c r="Z97" s="41">
        <f>IFERROR(IF(Y97=0,"",ROUNDUP(Y97/H97,0)*0.00651),"")</f>
        <v>3.2550000000000003E-2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14.759999999999998</v>
      </c>
      <c r="BN97" s="78">
        <f>IFERROR(Y97*I97/H97,"0")</f>
        <v>14.759999999999998</v>
      </c>
      <c r="BO97" s="78">
        <f>IFERROR(1/J97*(X97/H97),"0")</f>
        <v>2.7472527472527476E-2</v>
      </c>
      <c r="BP97" s="78">
        <f>IFERROR(1/J97*(Y97/H97),"0")</f>
        <v>2.7472527472527476E-2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15.493827160493828</v>
      </c>
      <c r="Y99" s="43">
        <f>IFERROR(Y95/H95,"0")+IFERROR(Y96/H96,"0")+IFERROR(Y97/H97,"0")+IFERROR(Y98/H98,"0")</f>
        <v>16</v>
      </c>
      <c r="Z99" s="43">
        <f>IFERROR(IF(Z95="",0,Z95),"0")+IFERROR(IF(Z96="",0,Z96),"0")+IFERROR(IF(Z97="",0,Z97),"0")+IFERROR(IF(Z98="",0,Z98),"0")</f>
        <v>0.24132999999999999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98.5</v>
      </c>
      <c r="Y100" s="43">
        <f>IFERROR(SUM(Y95:Y98),"0")</f>
        <v>102.6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15</v>
      </c>
      <c r="Y106" s="55">
        <f t="shared" si="5"/>
        <v>15</v>
      </c>
      <c r="Z106" s="41">
        <f>IFERROR(IF(Y106=0,"",ROUNDUP(Y106/H106,0)*0.00902),"")</f>
        <v>3.6080000000000001E-2</v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15.76</v>
      </c>
      <c r="BN106" s="78">
        <f t="shared" si="7"/>
        <v>15.76</v>
      </c>
      <c r="BO106" s="78">
        <f t="shared" si="8"/>
        <v>3.0303030303030304E-2</v>
      </c>
      <c r="BP106" s="78">
        <f t="shared" si="9"/>
        <v>3.0303030303030304E-2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4</v>
      </c>
      <c r="Y109" s="43">
        <f>IFERROR(Y103/H103,"0")+IFERROR(Y104/H104,"0")+IFERROR(Y105/H105,"0")+IFERROR(Y106/H106,"0")+IFERROR(Y107/H107,"0")+IFERROR(Y108/H108,"0")</f>
        <v>4</v>
      </c>
      <c r="Z109" s="43">
        <f>IFERROR(IF(Z103="",0,Z103),"0")+IFERROR(IF(Z104="",0,Z104),"0")+IFERROR(IF(Z105="",0,Z105),"0")+IFERROR(IF(Z106="",0,Z106),"0")+IFERROR(IF(Z107="",0,Z107),"0")+IFERROR(IF(Z108="",0,Z108),"0")</f>
        <v>3.6080000000000001E-2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15</v>
      </c>
      <c r="Y110" s="43">
        <f>IFERROR(SUM(Y103:Y108),"0")</f>
        <v>15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18</v>
      </c>
      <c r="Y122" s="55">
        <f>IFERROR(IF(X122="",0,CEILING((X122/$H122),1)*$H122),"")</f>
        <v>18.900000000000002</v>
      </c>
      <c r="Z122" s="41">
        <f>IFERROR(IF(Y122=0,"",ROUNDUP(Y122/H122,0)*0.00651),"")</f>
        <v>4.5569999999999999E-2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19.679999999999996</v>
      </c>
      <c r="BN122" s="78">
        <f>IFERROR(Y122*I122/H122,"0")</f>
        <v>20.664000000000001</v>
      </c>
      <c r="BO122" s="78">
        <f>IFERROR(1/J122*(X122/H122),"0")</f>
        <v>3.6630036630036632E-2</v>
      </c>
      <c r="BP122" s="78">
        <f>IFERROR(1/J122*(Y122/H122),"0")</f>
        <v>3.8461538461538464E-2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12.839506172839506</v>
      </c>
      <c r="Y124" s="43">
        <f>IFERROR(Y120/H120,"0")+IFERROR(Y121/H121,"0")+IFERROR(Y122/H122,"0")+IFERROR(Y123/H123,"0")</f>
        <v>14</v>
      </c>
      <c r="Z124" s="43">
        <f>IFERROR(IF(Z120="",0,Z120),"0")+IFERROR(IF(Z121="",0,Z121),"0")+IFERROR(IF(Z122="",0,Z122),"0")+IFERROR(IF(Z123="",0,Z123),"0")</f>
        <v>0.17843000000000001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68</v>
      </c>
      <c r="Y125" s="43">
        <f>IFERROR(SUM(Y120:Y123),"0")</f>
        <v>75.599999999999994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30.4</v>
      </c>
      <c r="Y134" s="55">
        <f>IFERROR(IF(X134="",0,CEILING((X134/$H134),1)*$H134),"")</f>
        <v>32</v>
      </c>
      <c r="Z134" s="41">
        <f>IFERROR(IF(Y134=0,"",ROUNDUP(Y134/H134,0)*0.00651),"")</f>
        <v>6.5100000000000005E-2</v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32.11</v>
      </c>
      <c r="BN134" s="78">
        <f>IFERROR(Y134*I134/H134,"0")</f>
        <v>33.799999999999997</v>
      </c>
      <c r="BO134" s="78">
        <f>IFERROR(1/J134*(X134/H134),"0")</f>
        <v>5.2197802197802193E-2</v>
      </c>
      <c r="BP134" s="78">
        <f>IFERROR(1/J134*(Y134/H134),"0")</f>
        <v>5.4945054945054951E-2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9.4999999999999982</v>
      </c>
      <c r="Y136" s="43">
        <f>IFERROR(Y132/H132,"0")+IFERROR(Y133/H133,"0")+IFERROR(Y134/H134,"0")+IFERROR(Y135/H135,"0")</f>
        <v>10</v>
      </c>
      <c r="Z136" s="43">
        <f>IFERROR(IF(Z132="",0,Z132),"0")+IFERROR(IF(Z133="",0,Z133),"0")+IFERROR(IF(Z134="",0,Z134),"0")+IFERROR(IF(Z135="",0,Z135),"0")</f>
        <v>6.5100000000000005E-2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30.4</v>
      </c>
      <c r="Y137" s="43">
        <f>IFERROR(SUM(Y132:Y135),"0")</f>
        <v>32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21</v>
      </c>
      <c r="Y141" s="55">
        <f>IFERROR(IF(X141="",0,CEILING((X141/$H141),1)*$H141),"")</f>
        <v>22.4</v>
      </c>
      <c r="Z141" s="41">
        <f>IFERROR(IF(Y141=0,"",ROUNDUP(Y141/H141,0)*0.00651),"")</f>
        <v>5.2080000000000001E-2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23.01</v>
      </c>
      <c r="BN141" s="78">
        <f>IFERROR(Y141*I141/H141,"0")</f>
        <v>24.543999999999997</v>
      </c>
      <c r="BO141" s="78">
        <f>IFERROR(1/J141*(X141/H141),"0")</f>
        <v>4.1208791208791215E-2</v>
      </c>
      <c r="BP141" s="78">
        <f>IFERROR(1/J141*(Y141/H141),"0")</f>
        <v>4.3956043956043959E-2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7.5000000000000009</v>
      </c>
      <c r="Y143" s="43">
        <f>IFERROR(Y139/H139,"0")+IFERROR(Y140/H140,"0")+IFERROR(Y141/H141,"0")+IFERROR(Y142/H142,"0")</f>
        <v>8</v>
      </c>
      <c r="Z143" s="43">
        <f>IFERROR(IF(Z139="",0,Z139),"0")+IFERROR(IF(Z140="",0,Z140),"0")+IFERROR(IF(Z141="",0,Z141),"0")+IFERROR(IF(Z142="",0,Z142),"0")</f>
        <v>5.2080000000000001E-2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21</v>
      </c>
      <c r="Y144" s="43">
        <f>IFERROR(SUM(Y139:Y142),"0")</f>
        <v>22.4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30</v>
      </c>
      <c r="Y177" s="55">
        <f t="shared" ref="Y177:Y187" si="10">IFERROR(IF(X177="",0,CEILING((X177/$H177),1)*$H177),"")</f>
        <v>31.5</v>
      </c>
      <c r="Z177" s="41">
        <f>IFERROR(IF(Y177=0,"",ROUNDUP(Y177/H177,0)*0.00902),"")</f>
        <v>8.1180000000000002E-2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31.62857142857143</v>
      </c>
      <c r="BN177" s="78">
        <f t="shared" ref="BN177:BN187" si="12">IFERROR(Y177*I177/H177,"0")</f>
        <v>33.21</v>
      </c>
      <c r="BO177" s="78">
        <f t="shared" ref="BO177:BO187" si="13">IFERROR(1/J177*(X177/H177),"0")</f>
        <v>6.4935064935064929E-2</v>
      </c>
      <c r="BP177" s="78">
        <f t="shared" ref="BP177:BP187" si="14">IFERROR(1/J177*(Y177/H177),"0")</f>
        <v>6.8181818181818177E-2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20</v>
      </c>
      <c r="Y178" s="55">
        <f t="shared" si="10"/>
        <v>21</v>
      </c>
      <c r="Z178" s="41">
        <f>IFERROR(IF(Y178=0,"",ROUNDUP(Y178/H178,0)*0.00902),"")</f>
        <v>5.4120000000000001E-2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21.514285714285712</v>
      </c>
      <c r="BN178" s="78">
        <f t="shared" si="12"/>
        <v>22.59</v>
      </c>
      <c r="BO178" s="78">
        <f t="shared" si="13"/>
        <v>4.3290043290043295E-2</v>
      </c>
      <c r="BP178" s="78">
        <f t="shared" si="14"/>
        <v>4.5454545454545456E-2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14.285714285714285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0.1353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50</v>
      </c>
      <c r="Y189" s="43">
        <f>IFERROR(SUM(Y177:Y187),"0")</f>
        <v>52.5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30</v>
      </c>
      <c r="Y223" s="55">
        <f t="shared" ref="Y223:Y236" si="21">IFERROR(IF(X223="",0,CEILING((X223/$H223),1)*$H223),"")</f>
        <v>33.6</v>
      </c>
      <c r="Z223" s="41">
        <f>IFERROR(IF(Y223=0,"",ROUNDUP(Y223/H223,0)*0.00902),"")</f>
        <v>7.2160000000000002E-2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31.785714285714285</v>
      </c>
      <c r="BN223" s="78">
        <f t="shared" ref="BN223:BN236" si="23">IFERROR(Y223*I223/H223,"0")</f>
        <v>35.6</v>
      </c>
      <c r="BO223" s="78">
        <f t="shared" ref="BO223:BO236" si="24">IFERROR(1/J223*(X223/H223),"0")</f>
        <v>5.4112554112554112E-2</v>
      </c>
      <c r="BP223" s="78">
        <f t="shared" ref="BP223:BP236" si="25">IFERROR(1/J223*(Y223/H223),"0")</f>
        <v>6.0606060606060608E-2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10.5</v>
      </c>
      <c r="Y227" s="55">
        <f t="shared" si="21"/>
        <v>10.5</v>
      </c>
      <c r="Z227" s="41">
        <f t="shared" ref="Z227:Z232" si="26">IFERROR(IF(Y227=0,"",ROUNDUP(Y227/H227,0)*0.00502),"")</f>
        <v>2.5100000000000001E-2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11.149999999999999</v>
      </c>
      <c r="BN227" s="78">
        <f t="shared" si="23"/>
        <v>11.149999999999999</v>
      </c>
      <c r="BO227" s="78">
        <f t="shared" si="24"/>
        <v>2.1367521367521368E-2</v>
      </c>
      <c r="BP227" s="78">
        <f t="shared" si="25"/>
        <v>2.1367521367521368E-2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10</v>
      </c>
      <c r="Y236" s="55">
        <f t="shared" si="21"/>
        <v>10.08</v>
      </c>
      <c r="Z236" s="41">
        <f>IFERROR(IF(Y236=0,"",ROUNDUP(Y236/H236,0)*0.00502),"")</f>
        <v>3.0120000000000001E-2</v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10.595238095238097</v>
      </c>
      <c r="BN236" s="78">
        <f t="shared" si="23"/>
        <v>10.68</v>
      </c>
      <c r="BO236" s="78">
        <f t="shared" si="24"/>
        <v>2.5437525437525442E-2</v>
      </c>
      <c r="BP236" s="78">
        <f t="shared" si="25"/>
        <v>2.5641025641025644E-2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18.095238095238095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19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0.12737999999999999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50.5</v>
      </c>
      <c r="Y238" s="43">
        <f>IFERROR(SUM(Y223:Y236),"0")</f>
        <v>54.18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ref="Y269:Y276" si="27">IFERROR(IF(X269="",0,CEILING((X269/$H269),1)*$H269),"")</f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51.759259259259252</v>
      </c>
      <c r="BN269" s="78">
        <f t="shared" ref="BN269:BN276" si="29">IFERROR(Y269*I269/H269,"0")</f>
        <v>55.9</v>
      </c>
      <c r="BO269" s="78">
        <f t="shared" ref="BO269:BO276" si="30">IFERROR(1/J269*(X269/H269),"0")</f>
        <v>7.0145903479236812E-2</v>
      </c>
      <c r="BP269" s="78">
        <f t="shared" ref="BP269:BP276" si="31">IFERROR(1/J269*(Y269/H269),"0")</f>
        <v>7.575757575757576E-2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25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25.879629629629626</v>
      </c>
      <c r="BN270" s="78">
        <f t="shared" si="29"/>
        <v>27.95</v>
      </c>
      <c r="BO270" s="78">
        <f t="shared" si="30"/>
        <v>3.5072951739618406E-2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55</v>
      </c>
      <c r="Y271" s="55">
        <f t="shared" si="27"/>
        <v>59.400000000000006</v>
      </c>
      <c r="Z271" s="41">
        <f>IFERROR(IF(Y271=0,"",ROUNDUP(Y271/H271,0)*0.00902),"")</f>
        <v>9.9220000000000003E-2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56.935185185185176</v>
      </c>
      <c r="BN271" s="78">
        <f t="shared" si="29"/>
        <v>61.49</v>
      </c>
      <c r="BO271" s="78">
        <f t="shared" si="30"/>
        <v>7.716049382716049E-2</v>
      </c>
      <c r="BP271" s="78">
        <f t="shared" si="31"/>
        <v>8.3333333333333343E-2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27"/>
        <v>32.400000000000006</v>
      </c>
      <c r="Z272" s="41">
        <f>IFERROR(IF(Y272=0,"",ROUNDUP(Y272/H272,0)*0.00902),"")</f>
        <v>5.4120000000000001E-2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31.05555555555555</v>
      </c>
      <c r="BN272" s="78">
        <f t="shared" si="29"/>
        <v>33.54</v>
      </c>
      <c r="BO272" s="78">
        <f t="shared" si="30"/>
        <v>4.208754208754209E-2</v>
      </c>
      <c r="BP272" s="78">
        <f t="shared" si="31"/>
        <v>4.5454545454545463E-2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5.4</v>
      </c>
      <c r="Y273" s="55">
        <f t="shared" si="27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5.79</v>
      </c>
      <c r="BN273" s="78">
        <f t="shared" si="29"/>
        <v>5.79</v>
      </c>
      <c r="BO273" s="78">
        <f t="shared" si="30"/>
        <v>1.2820512820512822E-2</v>
      </c>
      <c r="BP273" s="78">
        <f t="shared" si="31"/>
        <v>1.2820512820512822E-2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5.4</v>
      </c>
      <c r="Y274" s="55">
        <f t="shared" si="27"/>
        <v>5.4</v>
      </c>
      <c r="Z274" s="41">
        <f>IFERROR(IF(Y274=0,"",ROUNDUP(Y274/H274,0)*0.00502),"")</f>
        <v>1.506E-2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5.7</v>
      </c>
      <c r="BN274" s="78">
        <f t="shared" si="29"/>
        <v>5.7</v>
      </c>
      <c r="BO274" s="78">
        <f t="shared" si="30"/>
        <v>1.2820512820512822E-2</v>
      </c>
      <c r="BP274" s="78">
        <f t="shared" si="31"/>
        <v>1.2820512820512822E-2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5.4</v>
      </c>
      <c r="Y276" s="55">
        <f t="shared" si="27"/>
        <v>5.4</v>
      </c>
      <c r="Z276" s="41">
        <f>IFERROR(IF(Y276=0,"",ROUNDUP(Y276/H276,0)*0.00502),"")</f>
        <v>1.506E-2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5.7</v>
      </c>
      <c r="BN276" s="78">
        <f t="shared" si="29"/>
        <v>5.7</v>
      </c>
      <c r="BO276" s="78">
        <f t="shared" si="30"/>
        <v>1.2820512820512822E-2</v>
      </c>
      <c r="BP276" s="78">
        <f t="shared" si="31"/>
        <v>1.2820512820512822E-2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38.629629629629633</v>
      </c>
      <c r="Y277" s="43">
        <f>IFERROR(Y269/H269,"0")+IFERROR(Y270/H270,"0")+IFERROR(Y271/H271,"0")+IFERROR(Y272/H272,"0")+IFERROR(Y273/H273,"0")+IFERROR(Y274/H274,"0")+IFERROR(Y275/H275,"0")+IFERROR(Y276/H276,"0")</f>
        <v>41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0.33382000000000006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176.20000000000002</v>
      </c>
      <c r="Y278" s="43">
        <f>IFERROR(SUM(Y269:Y276),"0")</f>
        <v>189.00000000000003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16</v>
      </c>
      <c r="Y283" s="55">
        <f t="shared" si="32"/>
        <v>16.8</v>
      </c>
      <c r="Z283" s="41">
        <f>IFERROR(IF(Y283=0,"",ROUNDUP(Y283/H283,0)*0.00651),"")</f>
        <v>4.5569999999999999E-2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17.8</v>
      </c>
      <c r="BN283" s="78">
        <f t="shared" si="34"/>
        <v>18.690000000000001</v>
      </c>
      <c r="BO283" s="78">
        <f t="shared" si="35"/>
        <v>3.6630036630036632E-2</v>
      </c>
      <c r="BP283" s="78">
        <f t="shared" si="36"/>
        <v>3.8461538461538471E-2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16.8</v>
      </c>
      <c r="Y286" s="55">
        <f t="shared" si="32"/>
        <v>16.8</v>
      </c>
      <c r="Z286" s="41">
        <f>IFERROR(IF(Y286=0,"",ROUNDUP(Y286/H286,0)*0.00651),"")</f>
        <v>4.5569999999999999E-2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18.564000000000004</v>
      </c>
      <c r="BN286" s="78">
        <f t="shared" si="34"/>
        <v>18.564000000000004</v>
      </c>
      <c r="BO286" s="78">
        <f t="shared" si="35"/>
        <v>3.8461538461538471E-2</v>
      </c>
      <c r="BP286" s="78">
        <f t="shared" si="36"/>
        <v>3.8461538461538471E-2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12</v>
      </c>
      <c r="Y288" s="55">
        <f t="shared" si="32"/>
        <v>12</v>
      </c>
      <c r="Z288" s="41">
        <f>IFERROR(IF(Y288=0,"",ROUNDUP(Y288/H288,0)*0.00651),"")</f>
        <v>3.2550000000000003E-2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13.260000000000002</v>
      </c>
      <c r="BN288" s="78">
        <f t="shared" si="34"/>
        <v>13.260000000000002</v>
      </c>
      <c r="BO288" s="78">
        <f t="shared" si="35"/>
        <v>2.7472527472527476E-2</v>
      </c>
      <c r="BP288" s="78">
        <f t="shared" si="36"/>
        <v>2.7472527472527476E-2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16</v>
      </c>
      <c r="Y290" s="55">
        <f t="shared" si="32"/>
        <v>16.8</v>
      </c>
      <c r="Z290" s="41">
        <f>IFERROR(IF(Y290=0,"",ROUNDUP(Y290/H290,0)*0.00651),"")</f>
        <v>4.5569999999999999E-2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17.72</v>
      </c>
      <c r="BN290" s="78">
        <f t="shared" si="34"/>
        <v>18.606000000000002</v>
      </c>
      <c r="BO290" s="78">
        <f t="shared" si="35"/>
        <v>3.6630036630036632E-2</v>
      </c>
      <c r="BP290" s="78">
        <f t="shared" si="36"/>
        <v>3.8461538461538471E-2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25.333333333333336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0.16925999999999999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60.8</v>
      </c>
      <c r="Y293" s="43">
        <f>IFERROR(SUM(Y280:Y291),"0")</f>
        <v>62.400000000000006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80</v>
      </c>
      <c r="Y328" s="55">
        <f>IFERROR(IF(X328="",0,CEILING((X328/$H328),1)*$H328),"")</f>
        <v>86.4</v>
      </c>
      <c r="Z328" s="41">
        <f>IFERROR(IF(Y328=0,"",ROUNDUP(Y328/H328,0)*0.01898),"")</f>
        <v>0.15184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83.037037037037038</v>
      </c>
      <c r="BN328" s="78">
        <f>IFERROR(Y328*I328/H328,"0")</f>
        <v>89.68</v>
      </c>
      <c r="BO328" s="78">
        <f>IFERROR(1/J328*(X328/H328),"0")</f>
        <v>0.11574074074074073</v>
      </c>
      <c r="BP328" s="78">
        <f>IFERROR(1/J328*(Y328/H328),"0")</f>
        <v>0.125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8</v>
      </c>
      <c r="Y329" s="55">
        <f>IFERROR(IF(X329="",0,CEILING((X329/$H329),1)*$H329),"")</f>
        <v>8</v>
      </c>
      <c r="Z329" s="41">
        <f>IFERROR(IF(Y329=0,"",ROUNDUP(Y329/H329,0)*0.00902),"")</f>
        <v>1.804E-2</v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8.3800000000000008</v>
      </c>
      <c r="BN329" s="78">
        <f>IFERROR(Y329*I329/H329,"0")</f>
        <v>8.3800000000000008</v>
      </c>
      <c r="BO329" s="78">
        <f>IFERROR(1/J329*(X329/H329),"0")</f>
        <v>1.5151515151515152E-2</v>
      </c>
      <c r="BP329" s="78">
        <f>IFERROR(1/J329*(Y329/H329),"0")</f>
        <v>1.5151515151515152E-2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8</v>
      </c>
      <c r="Y330" s="55">
        <f>IFERROR(IF(X330="",0,CEILING((X330/$H330),1)*$H330),"")</f>
        <v>8</v>
      </c>
      <c r="Z330" s="41">
        <f>IFERROR(IF(Y330=0,"",ROUNDUP(Y330/H330,0)*0.00902),"")</f>
        <v>1.804E-2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8.3800000000000008</v>
      </c>
      <c r="BN330" s="78">
        <f>IFERROR(Y330*I330/H330,"0")</f>
        <v>8.3800000000000008</v>
      </c>
      <c r="BO330" s="78">
        <f>IFERROR(1/J330*(X330/H330),"0")</f>
        <v>1.5151515151515152E-2</v>
      </c>
      <c r="BP330" s="78">
        <f>IFERROR(1/J330*(Y330/H330),"0")</f>
        <v>1.5151515151515152E-2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11.407407407407407</v>
      </c>
      <c r="Y331" s="43">
        <f>IFERROR(Y326/H326,"0")+IFERROR(Y327/H327,"0")+IFERROR(Y328/H328,"0")+IFERROR(Y329/H329,"0")+IFERROR(Y330/H330,"0")</f>
        <v>12</v>
      </c>
      <c r="Z331" s="43">
        <f>IFERROR(IF(Z326="",0,Z326),"0")+IFERROR(IF(Z327="",0,Z327),"0")+IFERROR(IF(Z328="",0,Z328),"0")+IFERROR(IF(Z329="",0,Z329),"0")+IFERROR(IF(Z330="",0,Z330),"0")</f>
        <v>0.18792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96</v>
      </c>
      <c r="Y332" s="43">
        <f>IFERROR(SUM(Y326:Y330),"0")</f>
        <v>102.4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100</v>
      </c>
      <c r="Y363" s="55">
        <f t="shared" ref="Y363:Y368" si="42">IFERROR(IF(X363="",0,CEILING((X363/$H363),1)*$H363),"")</f>
        <v>108</v>
      </c>
      <c r="Z363" s="41">
        <f>IFERROR(IF(Y363=0,"",ROUNDUP(Y363/H363,0)*0.01898),"")</f>
        <v>0.1898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103.79629629629629</v>
      </c>
      <c r="BN363" s="78">
        <f t="shared" ref="BN363:BN368" si="44">IFERROR(Y363*I363/H363,"0")</f>
        <v>112.1</v>
      </c>
      <c r="BO363" s="78">
        <f t="shared" ref="BO363:BO368" si="45">IFERROR(1/J363*(X363/H363),"0")</f>
        <v>0.14467592592592593</v>
      </c>
      <c r="BP363" s="78">
        <f t="shared" ref="BP363:BP368" si="46">IFERROR(1/J363*(Y363/H363),"0")</f>
        <v>0.15625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190</v>
      </c>
      <c r="Y364" s="55">
        <f t="shared" si="42"/>
        <v>194.4</v>
      </c>
      <c r="Z364" s="41">
        <f>IFERROR(IF(Y364=0,"",ROUNDUP(Y364/H364,0)*0.01898),"")</f>
        <v>0.34164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197.21296296296296</v>
      </c>
      <c r="BN364" s="78">
        <f t="shared" si="44"/>
        <v>201.78</v>
      </c>
      <c r="BO364" s="78">
        <f t="shared" si="45"/>
        <v>0.27488425925925924</v>
      </c>
      <c r="BP364" s="78">
        <f t="shared" si="46"/>
        <v>0.28125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170</v>
      </c>
      <c r="Y365" s="55">
        <f t="shared" si="42"/>
        <v>172.8</v>
      </c>
      <c r="Z365" s="41">
        <f>IFERROR(IF(Y365=0,"",ROUNDUP(Y365/H365,0)*0.01898),"")</f>
        <v>0.30368000000000001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176.4537037037037</v>
      </c>
      <c r="BN365" s="78">
        <f t="shared" si="44"/>
        <v>179.36</v>
      </c>
      <c r="BO365" s="78">
        <f t="shared" si="45"/>
        <v>0.24594907407407407</v>
      </c>
      <c r="BP365" s="78">
        <f t="shared" si="46"/>
        <v>0.25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580</v>
      </c>
      <c r="Y366" s="55">
        <f t="shared" si="42"/>
        <v>583.20000000000005</v>
      </c>
      <c r="Z366" s="41">
        <f>IFERROR(IF(Y366=0,"",ROUNDUP(Y366/H366,0)*0.01898),"")</f>
        <v>1.0249200000000001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602.01851851851848</v>
      </c>
      <c r="BN366" s="78">
        <f t="shared" si="44"/>
        <v>605.34000000000015</v>
      </c>
      <c r="BO366" s="78">
        <f t="shared" si="45"/>
        <v>0.83912037037037035</v>
      </c>
      <c r="BP366" s="78">
        <f t="shared" si="46"/>
        <v>0.84375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36</v>
      </c>
      <c r="Y367" s="55">
        <f t="shared" si="42"/>
        <v>36</v>
      </c>
      <c r="Z367" s="41">
        <f>IFERROR(IF(Y367=0,"",ROUNDUP(Y367/H367,0)*0.00902),"")</f>
        <v>8.1180000000000002E-2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37.71</v>
      </c>
      <c r="BN367" s="78">
        <f t="shared" si="44"/>
        <v>37.71</v>
      </c>
      <c r="BO367" s="78">
        <f t="shared" si="45"/>
        <v>6.8181818181818177E-2</v>
      </c>
      <c r="BP367" s="78">
        <f t="shared" si="46"/>
        <v>6.8181818181818177E-2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40</v>
      </c>
      <c r="Y368" s="55">
        <f t="shared" si="42"/>
        <v>40</v>
      </c>
      <c r="Z368" s="41">
        <f>IFERROR(IF(Y368=0,"",ROUNDUP(Y368/H368,0)*0.00902),"")</f>
        <v>9.0200000000000002E-2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41.900000000000006</v>
      </c>
      <c r="BN368" s="78">
        <f t="shared" si="44"/>
        <v>41.900000000000006</v>
      </c>
      <c r="BO368" s="78">
        <f t="shared" si="45"/>
        <v>7.575757575757576E-2</v>
      </c>
      <c r="BP368" s="78">
        <f t="shared" si="46"/>
        <v>7.575757575757576E-2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115.2962962962963</v>
      </c>
      <c r="Y369" s="43">
        <f>IFERROR(Y363/H363,"0")+IFERROR(Y364/H364,"0")+IFERROR(Y365/H365,"0")+IFERROR(Y366/H366,"0")+IFERROR(Y367/H367,"0")+IFERROR(Y368/H368,"0")</f>
        <v>117</v>
      </c>
      <c r="Z369" s="43">
        <f>IFERROR(IF(Z363="",0,Z363),"0")+IFERROR(IF(Z364="",0,Z364),"0")+IFERROR(IF(Z365="",0,Z365),"0")+IFERROR(IF(Z366="",0,Z366),"0")+IFERROR(IF(Z367="",0,Z367),"0")+IFERROR(IF(Z368="",0,Z368),"0")</f>
        <v>2.0314200000000002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1116</v>
      </c>
      <c r="Y370" s="43">
        <f>IFERROR(SUM(Y363:Y368),"0")</f>
        <v>1134.4000000000001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ref="Y372:Y378" si="47">IFERROR(IF(X372="",0,CEILING((X372/$H372),1)*$H372),"")</f>
        <v>71.400000000000006</v>
      </c>
      <c r="Z372" s="41">
        <f>IFERROR(IF(Y372=0,"",ROUNDUP(Y372/H372,0)*0.00902),"")</f>
        <v>0.15334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74.166666666666657</v>
      </c>
      <c r="BN372" s="78">
        <f t="shared" ref="BN372:BN378" si="49">IFERROR(Y372*I372/H372,"0")</f>
        <v>75.650000000000006</v>
      </c>
      <c r="BO372" s="78">
        <f t="shared" ref="BO372:BO378" si="50">IFERROR(1/J372*(X372/H372),"0")</f>
        <v>0.12626262626262624</v>
      </c>
      <c r="BP372" s="78">
        <f t="shared" ref="BP372:BP378" si="51">IFERROR(1/J372*(Y372/H372),"0")</f>
        <v>0.12878787878787878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225</v>
      </c>
      <c r="Y373" s="55">
        <f t="shared" si="47"/>
        <v>226.8</v>
      </c>
      <c r="Z373" s="41">
        <f>IFERROR(IF(Y373=0,"",ROUNDUP(Y373/H373,0)*0.00902),"")</f>
        <v>0.48708000000000001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238.39285714285714</v>
      </c>
      <c r="BN373" s="78">
        <f t="shared" si="49"/>
        <v>240.3</v>
      </c>
      <c r="BO373" s="78">
        <f t="shared" si="50"/>
        <v>0.40584415584415584</v>
      </c>
      <c r="BP373" s="78">
        <f t="shared" si="51"/>
        <v>0.40909090909090912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6.3</v>
      </c>
      <c r="Y376" s="55">
        <f t="shared" si="47"/>
        <v>6.3000000000000007</v>
      </c>
      <c r="Z376" s="41">
        <f>IFERROR(IF(Y376=0,"",ROUNDUP(Y376/H376,0)*0.00502),"")</f>
        <v>1.506E-2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6.6000000000000005</v>
      </c>
      <c r="BN376" s="78">
        <f t="shared" si="49"/>
        <v>6.6000000000000014</v>
      </c>
      <c r="BO376" s="78">
        <f t="shared" si="50"/>
        <v>1.2820512820512822E-2</v>
      </c>
      <c r="BP376" s="78">
        <f t="shared" si="51"/>
        <v>1.2820512820512822E-2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10</v>
      </c>
      <c r="Y378" s="55">
        <f t="shared" si="47"/>
        <v>10.8</v>
      </c>
      <c r="Z378" s="41">
        <f>IFERROR(IF(Y378=0,"",ROUNDUP(Y378/H378,0)*0.00651),"")</f>
        <v>3.9059999999999997E-2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11.266666666666667</v>
      </c>
      <c r="BN378" s="78">
        <f t="shared" si="49"/>
        <v>12.167999999999999</v>
      </c>
      <c r="BO378" s="78">
        <f t="shared" si="50"/>
        <v>3.0525030525030528E-2</v>
      </c>
      <c r="BP378" s="78">
        <f t="shared" si="51"/>
        <v>3.2967032967032968E-2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78.793650793650798</v>
      </c>
      <c r="Y379" s="43">
        <f>IFERROR(Y372/H372,"0")+IFERROR(Y373/H373,"0")+IFERROR(Y374/H374,"0")+IFERROR(Y375/H375,"0")+IFERROR(Y376/H376,"0")+IFERROR(Y377/H377,"0")+IFERROR(Y378/H378,"0")</f>
        <v>80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0.69453999999999994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311.3</v>
      </c>
      <c r="Y380" s="43">
        <f>IFERROR(SUM(Y372:Y378),"0")</f>
        <v>315.30000000000007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5000</v>
      </c>
      <c r="Y382" s="55">
        <f>IFERROR(IF(X382="",0,CEILING((X382/$H382),1)*$H382),"")</f>
        <v>5007.5999999999995</v>
      </c>
      <c r="Z382" s="41">
        <f>IFERROR(IF(Y382=0,"",ROUNDUP(Y382/H382,0)*0.01898),"")</f>
        <v>12.18516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5312.8205128205127</v>
      </c>
      <c r="BN382" s="78">
        <f>IFERROR(Y382*I382/H382,"0")</f>
        <v>5320.8959999999997</v>
      </c>
      <c r="BO382" s="78">
        <f>IFERROR(1/J382*(X382/H382),"0")</f>
        <v>10.016025641025641</v>
      </c>
      <c r="BP382" s="78">
        <f>IFERROR(1/J382*(Y382/H382),"0")</f>
        <v>10.03125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641.02564102564099</v>
      </c>
      <c r="Y386" s="43">
        <f>IFERROR(Y382/H382,"0")+IFERROR(Y383/H383,"0")+IFERROR(Y384/H384,"0")+IFERROR(Y385/H385,"0")</f>
        <v>642</v>
      </c>
      <c r="Z386" s="43">
        <f>IFERROR(IF(Z382="",0,Z382),"0")+IFERROR(IF(Z383="",0,Z383),"0")+IFERROR(IF(Z384="",0,Z384),"0")+IFERROR(IF(Z385="",0,Z385),"0")</f>
        <v>12.18516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5000</v>
      </c>
      <c r="Y387" s="43">
        <f>IFERROR(SUM(Y382:Y385),"0")</f>
        <v>5007.5999999999995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303</v>
      </c>
      <c r="Y390" s="55">
        <f>IFERROR(IF(X390="",0,CEILING((X390/$H390),1)*$H390),"")</f>
        <v>304.2</v>
      </c>
      <c r="Z390" s="41">
        <f>IFERROR(IF(Y390=0,"",ROUNDUP(Y390/H390,0)*0.01898),"")</f>
        <v>0.74021999999999999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322.19000000000005</v>
      </c>
      <c r="BN390" s="78">
        <f>IFERROR(Y390*I390/H390,"0")</f>
        <v>323.46600000000001</v>
      </c>
      <c r="BO390" s="78">
        <f>IFERROR(1/J390*(X390/H390),"0")</f>
        <v>0.60697115384615385</v>
      </c>
      <c r="BP390" s="78">
        <f>IFERROR(1/J390*(Y390/H390),"0")</f>
        <v>0.609375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123</v>
      </c>
      <c r="Y391" s="55">
        <f>IFERROR(IF(X391="",0,CEILING((X391/$H391),1)*$H391),"")</f>
        <v>126</v>
      </c>
      <c r="Z391" s="41">
        <f>IFERROR(IF(Y391=0,"",ROUNDUP(Y391/H391,0)*0.01898),"")</f>
        <v>0.28470000000000001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130.23357142857142</v>
      </c>
      <c r="BN391" s="78">
        <f>IFERROR(Y391*I391/H391,"0")</f>
        <v>133.41</v>
      </c>
      <c r="BO391" s="78">
        <f>IFERROR(1/J391*(X391/H391),"0")</f>
        <v>0.22879464285714285</v>
      </c>
      <c r="BP391" s="78">
        <f>IFERROR(1/J391*(Y391/H391),"0")</f>
        <v>0.234375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53.489010989010993</v>
      </c>
      <c r="Y392" s="43">
        <f>IFERROR(Y389/H389,"0")+IFERROR(Y390/H390,"0")+IFERROR(Y391/H391,"0")</f>
        <v>54</v>
      </c>
      <c r="Z392" s="43">
        <f>IFERROR(IF(Z389="",0,Z389),"0")+IFERROR(IF(Z390="",0,Z390),"0")+IFERROR(IF(Z391="",0,Z391),"0")</f>
        <v>1.0249200000000001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426</v>
      </c>
      <c r="Y393" s="43">
        <f>IFERROR(SUM(Y389:Y391),"0")</f>
        <v>430.2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7.65</v>
      </c>
      <c r="Y398" s="55">
        <f>IFERROR(IF(X398="",0,CEILING((X398/$H398),1)*$H398),"")</f>
        <v>7.6499999999999995</v>
      </c>
      <c r="Z398" s="41">
        <f>IFERROR(IF(Y398=0,"",ROUNDUP(Y398/H398,0)*0.00651),"")</f>
        <v>1.9529999999999999E-2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8.64</v>
      </c>
      <c r="BN398" s="78">
        <f>IFERROR(Y398*I398/H398,"0")</f>
        <v>8.6399999999999988</v>
      </c>
      <c r="BO398" s="78">
        <f>IFERROR(1/J398*(X398/H398),"0")</f>
        <v>1.6483516483516487E-2</v>
      </c>
      <c r="BP398" s="78">
        <f>IFERROR(1/J398*(Y398/H398),"0")</f>
        <v>1.6483516483516484E-2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3.0000000000000004</v>
      </c>
      <c r="Y399" s="43">
        <f>IFERROR(Y395/H395,"0")+IFERROR(Y396/H396,"0")+IFERROR(Y397/H397,"0")+IFERROR(Y398/H398,"0")</f>
        <v>3</v>
      </c>
      <c r="Z399" s="43">
        <f>IFERROR(IF(Z395="",0,Z395),"0")+IFERROR(IF(Z396="",0,Z396),"0")+IFERROR(IF(Z397="",0,Z397),"0")+IFERROR(IF(Z398="",0,Z398),"0")</f>
        <v>1.9529999999999999E-2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7.65</v>
      </c>
      <c r="Y400" s="43">
        <f>IFERROR(SUM(Y395:Y398),"0")</f>
        <v>7.6499999999999995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45</v>
      </c>
      <c r="Y415" s="55">
        <f>IFERROR(IF(X415="",0,CEILING((X415/$H415),1)*$H415),"")</f>
        <v>48.599999999999994</v>
      </c>
      <c r="Z415" s="41">
        <f>IFERROR(IF(Y415=0,"",ROUNDUP(Y415/H415,0)*0.01898),"")</f>
        <v>0.11388000000000001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47.74444444444444</v>
      </c>
      <c r="BN415" s="78">
        <f>IFERROR(Y415*I415/H415,"0")</f>
        <v>51.563999999999993</v>
      </c>
      <c r="BO415" s="78">
        <f>IFERROR(1/J415*(X415/H415),"0")</f>
        <v>8.6805555555555552E-2</v>
      </c>
      <c r="BP415" s="78">
        <f>IFERROR(1/J415*(Y415/H415),"0")</f>
        <v>9.375E-2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39.200000000000003</v>
      </c>
      <c r="Y416" s="55">
        <f>IFERROR(IF(X416="",0,CEILING((X416/$H416),1)*$H416),"")</f>
        <v>39.9</v>
      </c>
      <c r="Z416" s="41">
        <f>IFERROR(IF(Y416=0,"",ROUNDUP(Y416/H416,0)*0.00651),"")</f>
        <v>0.12369000000000001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43.904000000000003</v>
      </c>
      <c r="BN416" s="78">
        <f>IFERROR(Y416*I416/H416,"0")</f>
        <v>44.687999999999995</v>
      </c>
      <c r="BO416" s="78">
        <f>IFERROR(1/J416*(X416/H416),"0")</f>
        <v>0.10256410256410257</v>
      </c>
      <c r="BP416" s="78">
        <f>IFERROR(1/J416*(Y416/H416),"0")</f>
        <v>0.1043956043956044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39.200000000000003</v>
      </c>
      <c r="Y417" s="55">
        <f>IFERROR(IF(X417="",0,CEILING((X417/$H417),1)*$H417),"")</f>
        <v>39.9</v>
      </c>
      <c r="Z417" s="41">
        <f>IFERROR(IF(Y417=0,"",ROUNDUP(Y417/H417,0)*0.00651),"")</f>
        <v>0.12369000000000001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43.679999999999993</v>
      </c>
      <c r="BN417" s="78">
        <f>IFERROR(Y417*I417/H417,"0")</f>
        <v>44.459999999999994</v>
      </c>
      <c r="BO417" s="78">
        <f>IFERROR(1/J417*(X417/H417),"0")</f>
        <v>0.10256410256410257</v>
      </c>
      <c r="BP417" s="78">
        <f>IFERROR(1/J417*(Y417/H417),"0")</f>
        <v>0.1043956043956044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42.888888888888886</v>
      </c>
      <c r="Y418" s="43">
        <f>IFERROR(Y415/H415,"0")+IFERROR(Y416/H416,"0")+IFERROR(Y417/H417,"0")</f>
        <v>44</v>
      </c>
      <c r="Z418" s="43">
        <f>IFERROR(IF(Z415="",0,Z415),"0")+IFERROR(IF(Z416="",0,Z416),"0")+IFERROR(IF(Z417="",0,Z417),"0")</f>
        <v>0.36126000000000003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123.4</v>
      </c>
      <c r="Y419" s="43">
        <f>IFERROR(SUM(Y415:Y417),"0")</f>
        <v>128.4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120</v>
      </c>
      <c r="Y424" s="55">
        <f t="shared" si="52"/>
        <v>120</v>
      </c>
      <c r="Z424" s="41">
        <f>IFERROR(IF(Y424=0,"",ROUNDUP(Y424/H424,0)*0.02175),"")</f>
        <v>0.17399999999999999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123.76</v>
      </c>
      <c r="BN424" s="78">
        <f t="shared" si="54"/>
        <v>123.76</v>
      </c>
      <c r="BO424" s="78">
        <f t="shared" si="55"/>
        <v>0.16666666666666666</v>
      </c>
      <c r="BP424" s="78">
        <f t="shared" si="56"/>
        <v>0.16666666666666666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235</v>
      </c>
      <c r="Y425" s="55">
        <f t="shared" si="52"/>
        <v>240</v>
      </c>
      <c r="Z425" s="41">
        <f>IFERROR(IF(Y425=0,"",ROUNDUP(Y425/H425,0)*0.02175),"")</f>
        <v>0.34799999999999998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242.36333333333334</v>
      </c>
      <c r="BN425" s="78">
        <f t="shared" si="54"/>
        <v>247.52</v>
      </c>
      <c r="BO425" s="78">
        <f t="shared" si="55"/>
        <v>0.32638888888888884</v>
      </c>
      <c r="BP425" s="78">
        <f t="shared" si="56"/>
        <v>0.33333333333333331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1080</v>
      </c>
      <c r="Y427" s="55">
        <f t="shared" si="52"/>
        <v>1080</v>
      </c>
      <c r="Z427" s="41">
        <f>IFERROR(IF(Y427=0,"",ROUNDUP(Y427/H427,0)*0.02175),"")</f>
        <v>1.5659999999999998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1113.8400000000001</v>
      </c>
      <c r="BN427" s="78">
        <f t="shared" si="54"/>
        <v>1113.8400000000001</v>
      </c>
      <c r="BO427" s="78">
        <f t="shared" si="55"/>
        <v>1.5</v>
      </c>
      <c r="BP427" s="78">
        <f t="shared" si="56"/>
        <v>1.5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95.666666666666657</v>
      </c>
      <c r="Y431" s="43">
        <f>IFERROR(Y423/H423,"0")+IFERROR(Y424/H424,"0")+IFERROR(Y425/H425,"0")+IFERROR(Y426/H426,"0")+IFERROR(Y427/H427,"0")+IFERROR(Y428/H428,"0")+IFERROR(Y429/H429,"0")+IFERROR(Y430/H430,"0")</f>
        <v>96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2.0880000000000001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1435</v>
      </c>
      <c r="Y432" s="43">
        <f>IFERROR(SUM(Y423:Y430),"0")</f>
        <v>1440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910</v>
      </c>
      <c r="Y434" s="55">
        <f>IFERROR(IF(X434="",0,CEILING((X434/$H434),1)*$H434),"")</f>
        <v>915</v>
      </c>
      <c r="Z434" s="41">
        <f>IFERROR(IF(Y434=0,"",ROUNDUP(Y434/H434,0)*0.02175),"")</f>
        <v>1.3267499999999999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938.51333333333343</v>
      </c>
      <c r="BN434" s="78">
        <f>IFERROR(Y434*I434/H434,"0")</f>
        <v>943.67000000000007</v>
      </c>
      <c r="BO434" s="78">
        <f>IFERROR(1/J434*(X434/H434),"0")</f>
        <v>1.2638888888888888</v>
      </c>
      <c r="BP434" s="78">
        <f>IFERROR(1/J434*(Y434/H434),"0")</f>
        <v>1.2708333333333333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60.666666666666664</v>
      </c>
      <c r="Y437" s="43">
        <f>IFERROR(Y434/H434,"0")+IFERROR(Y435/H435,"0")+IFERROR(Y436/H436,"0")</f>
        <v>61</v>
      </c>
      <c r="Z437" s="43">
        <f>IFERROR(IF(Z434="",0,Z434),"0")+IFERROR(IF(Z435="",0,Z435),"0")+IFERROR(IF(Z436="",0,Z436),"0")</f>
        <v>1.3267499999999999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910</v>
      </c>
      <c r="Y438" s="43">
        <f>IFERROR(SUM(Y434:Y436),"0")</f>
        <v>915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6.3</v>
      </c>
      <c r="Y471" s="55">
        <f t="shared" si="57"/>
        <v>6.3000000000000007</v>
      </c>
      <c r="Z471" s="41">
        <f>IFERROR(IF(Y471=0,"",ROUNDUP(Y471/H471,0)*0.00502),"")</f>
        <v>1.506E-2</v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6.6899999999999995</v>
      </c>
      <c r="BN471" s="78">
        <f t="shared" si="59"/>
        <v>6.69</v>
      </c>
      <c r="BO471" s="78">
        <f t="shared" si="60"/>
        <v>1.2820512820512822E-2</v>
      </c>
      <c r="BP471" s="78">
        <f t="shared" si="61"/>
        <v>1.2820512820512822E-2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6.3</v>
      </c>
      <c r="Y473" s="55">
        <f t="shared" si="57"/>
        <v>6.3000000000000007</v>
      </c>
      <c r="Z473" s="41">
        <f>IFERROR(IF(Y473=0,"",ROUNDUP(Y473/H473,0)*0.00502),"")</f>
        <v>1.506E-2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6.6899999999999995</v>
      </c>
      <c r="BN473" s="78">
        <f t="shared" si="59"/>
        <v>6.69</v>
      </c>
      <c r="BO473" s="78">
        <f t="shared" si="60"/>
        <v>1.2820512820512822E-2</v>
      </c>
      <c r="BP473" s="78">
        <f t="shared" si="61"/>
        <v>1.2820512820512822E-2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4.2</v>
      </c>
      <c r="Y474" s="55">
        <f t="shared" si="57"/>
        <v>4.2</v>
      </c>
      <c r="Z474" s="41">
        <f>IFERROR(IF(Y474=0,"",ROUNDUP(Y474/H474,0)*0.00502),"")</f>
        <v>1.004E-2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4.46</v>
      </c>
      <c r="BN474" s="78">
        <f t="shared" si="59"/>
        <v>4.46</v>
      </c>
      <c r="BO474" s="78">
        <f t="shared" si="60"/>
        <v>8.5470085470085479E-3</v>
      </c>
      <c r="BP474" s="78">
        <f t="shared" si="61"/>
        <v>8.5470085470085479E-3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8</v>
      </c>
      <c r="Y475" s="43">
        <f>IFERROR(Y469/H469,"0")+IFERROR(Y470/H470,"0")+IFERROR(Y471/H471,"0")+IFERROR(Y472/H472,"0")+IFERROR(Y473/H473,"0")+IFERROR(Y474/H474,"0")</f>
        <v>8</v>
      </c>
      <c r="Z475" s="43">
        <f>IFERROR(IF(Z469="",0,Z469),"0")+IFERROR(IF(Z470="",0,Z470),"0")+IFERROR(IF(Z471="",0,Z471),"0")+IFERROR(IF(Z472="",0,Z472),"0")+IFERROR(IF(Z473="",0,Z473),"0")+IFERROR(IF(Z474="",0,Z474),"0")</f>
        <v>4.0160000000000001E-2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16.8</v>
      </c>
      <c r="Y476" s="43">
        <f>IFERROR(SUM(Y469:Y474),"0")</f>
        <v>16.8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30</v>
      </c>
      <c r="Y496" s="55">
        <f t="shared" ref="Y496:Y504" si="62">IFERROR(IF(X496="",0,CEILING((X496/$H496),1)*$H496),"")</f>
        <v>31.68</v>
      </c>
      <c r="Z496" s="41">
        <f t="shared" ref="Z496:Z501" si="63">IFERROR(IF(Y496=0,"",ROUNDUP(Y496/H496,0)*0.01196),"")</f>
        <v>7.1760000000000004E-2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31.988636363636363</v>
      </c>
      <c r="BN496" s="78">
        <f t="shared" ref="BN496:BN504" si="65">IFERROR(Y496*I496/H496,"0")</f>
        <v>33.779999999999994</v>
      </c>
      <c r="BO496" s="78">
        <f t="shared" ref="BO496:BO504" si="66">IFERROR(1/J496*(X496/H496),"0")</f>
        <v>5.4632867132867136E-2</v>
      </c>
      <c r="BP496" s="78">
        <f t="shared" ref="BP496:BP504" si="67">IFERROR(1/J496*(Y496/H496),"0")</f>
        <v>5.7692307692307696E-2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5</v>
      </c>
      <c r="Y501" s="55">
        <f t="shared" si="62"/>
        <v>5.28</v>
      </c>
      <c r="Z501" s="41">
        <f t="shared" si="63"/>
        <v>1.196E-2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5.3314393939393936</v>
      </c>
      <c r="BN501" s="78">
        <f t="shared" si="65"/>
        <v>5.63</v>
      </c>
      <c r="BO501" s="78">
        <f t="shared" si="66"/>
        <v>9.1054778554778559E-3</v>
      </c>
      <c r="BP501" s="78">
        <f t="shared" si="67"/>
        <v>9.6153846153846159E-3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6.6287878787878789</v>
      </c>
      <c r="Y505" s="43">
        <f>IFERROR(Y496/H496,"0")+IFERROR(Y497/H497,"0")+IFERROR(Y498/H498,"0")+IFERROR(Y499/H499,"0")+IFERROR(Y500/H500,"0")+IFERROR(Y501/H501,"0")+IFERROR(Y502/H502,"0")+IFERROR(Y503/H503,"0")+IFERROR(Y504/H504,"0")</f>
        <v>7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8.3720000000000003E-2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35</v>
      </c>
      <c r="Y506" s="43">
        <f>IFERROR(SUM(Y496:Y504),"0")</f>
        <v>36.96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65</v>
      </c>
      <c r="Y508" s="55">
        <f>IFERROR(IF(X508="",0,CEILING((X508/$H508),1)*$H508),"")</f>
        <v>68.64</v>
      </c>
      <c r="Z508" s="41">
        <f>IFERROR(IF(Y508=0,"",ROUNDUP(Y508/H508,0)*0.01196),"")</f>
        <v>0.15548000000000001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69.30871212121211</v>
      </c>
      <c r="BN508" s="78">
        <f>IFERROR(Y508*I508/H508,"0")</f>
        <v>73.19</v>
      </c>
      <c r="BO508" s="78">
        <f>IFERROR(1/J508*(X508/H508),"0")</f>
        <v>0.11837121212121213</v>
      </c>
      <c r="BP508" s="78">
        <f>IFERROR(1/J508*(Y508/H508),"0")</f>
        <v>0.125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12.310606060606061</v>
      </c>
      <c r="Y511" s="43">
        <f>IFERROR(Y508/H508,"0")+IFERROR(Y509/H509,"0")+IFERROR(Y510/H510,"0")</f>
        <v>13</v>
      </c>
      <c r="Z511" s="43">
        <f>IFERROR(IF(Z508="",0,Z508),"0")+IFERROR(IF(Z509="",0,Z509),"0")+IFERROR(IF(Z510="",0,Z510),"0")</f>
        <v>0.15548000000000001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65</v>
      </c>
      <c r="Y512" s="43">
        <f>IFERROR(SUM(Y508:Y510),"0")</f>
        <v>68.64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15.994318181818182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2.7316433566433568E-2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15.994318181818182</v>
      </c>
      <c r="BN515" s="78">
        <f t="shared" si="70"/>
        <v>16.889999999999997</v>
      </c>
      <c r="BO515" s="78">
        <f t="shared" si="71"/>
        <v>2.7316433566433568E-2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5</v>
      </c>
      <c r="Y516" s="55">
        <f t="shared" si="68"/>
        <v>5.28</v>
      </c>
      <c r="Z516" s="41">
        <f>IFERROR(IF(Y516=0,"",ROUNDUP(Y516/H516,0)*0.01196),"")</f>
        <v>1.196E-2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5.3314393939393936</v>
      </c>
      <c r="BN516" s="78">
        <f t="shared" si="70"/>
        <v>5.63</v>
      </c>
      <c r="BO516" s="78">
        <f t="shared" si="71"/>
        <v>9.1054778554778559E-3</v>
      </c>
      <c r="BP516" s="78">
        <f t="shared" si="72"/>
        <v>9.6153846153846159E-3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6.6287878787878789</v>
      </c>
      <c r="Y521" s="43">
        <f>IFERROR(Y514/H514,"0")+IFERROR(Y515/H515,"0")+IFERROR(Y516/H516,"0")+IFERROR(Y517/H517,"0")+IFERROR(Y518/H518,"0")+IFERROR(Y519/H519,"0")+IFERROR(Y520/H520,"0")</f>
        <v>7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8.3720000000000003E-2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35</v>
      </c>
      <c r="Y522" s="43">
        <f>IFERROR(SUM(Y514:Y520),"0")</f>
        <v>36.96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50</v>
      </c>
      <c r="Y526" s="55">
        <f>IFERROR(IF(X526="",0,CEILING((X526/$H526),1)*$H526),"")</f>
        <v>60</v>
      </c>
      <c r="Z526" s="41">
        <f>IFERROR(IF(Y526=0,"",ROUNDUP(Y526/H526,0)*0.01898),"")</f>
        <v>9.4899999999999998E-2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51.708333333333336</v>
      </c>
      <c r="BN526" s="78">
        <f>IFERROR(Y526*I526/H526,"0")</f>
        <v>62.050000000000004</v>
      </c>
      <c r="BO526" s="78">
        <f>IFERROR(1/J526*(X526/H526),"0")</f>
        <v>6.5104166666666671E-2</v>
      </c>
      <c r="BP526" s="78">
        <f>IFERROR(1/J526*(Y526/H526),"0")</f>
        <v>7.8125E-2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4.166666666666667</v>
      </c>
      <c r="Y527" s="43">
        <f>IFERROR(Y526/H526,"0")</f>
        <v>5</v>
      </c>
      <c r="Z527" s="43">
        <f>IFERROR(IF(Z526="",0,Z526),"0")</f>
        <v>9.4899999999999998E-2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50</v>
      </c>
      <c r="Y528" s="43">
        <f>IFERROR(SUM(Y526:Y526),"0")</f>
        <v>60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55</v>
      </c>
      <c r="Y534" s="55">
        <f>IFERROR(IF(X534="",0,CEILING((X534/$H534),1)*$H534),"")</f>
        <v>58.800000000000004</v>
      </c>
      <c r="Z534" s="41">
        <f>IFERROR(IF(Y534=0,"",ROUNDUP(Y534/H534,0)*0.00902),"")</f>
        <v>0.12628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58.273809523809518</v>
      </c>
      <c r="BN534" s="78">
        <f>IFERROR(Y534*I534/H534,"0")</f>
        <v>62.300000000000004</v>
      </c>
      <c r="BO534" s="78">
        <f>IFERROR(1/J534*(X534/H534),"0")</f>
        <v>9.9206349206349201E-2</v>
      </c>
      <c r="BP534" s="78">
        <f>IFERROR(1/J534*(Y534/H534),"0")</f>
        <v>0.10606060606060606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13.095238095238095</v>
      </c>
      <c r="Y535" s="43">
        <f>IFERROR(Y534/H534,"0")</f>
        <v>14</v>
      </c>
      <c r="Z535" s="43">
        <f>IFERROR(IF(Z534="",0,Z534),"0")</f>
        <v>0.12628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55</v>
      </c>
      <c r="Y536" s="43">
        <f>IFERROR(SUM(Y534:Y534),"0")</f>
        <v>58.800000000000004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30</v>
      </c>
      <c r="Y538" s="55">
        <f>IFERROR(IF(X538="",0,CEILING((X538/$H538),1)*$H538),"")</f>
        <v>36</v>
      </c>
      <c r="Z538" s="41">
        <f>IFERROR(IF(Y538=0,"",ROUNDUP(Y538/H538,0)*0.01898),"")</f>
        <v>7.5920000000000001E-2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31.646666666666665</v>
      </c>
      <c r="BN538" s="78">
        <f>IFERROR(Y538*I538/H538,"0")</f>
        <v>37.975999999999999</v>
      </c>
      <c r="BO538" s="78">
        <f>IFERROR(1/J538*(X538/H538),"0")</f>
        <v>5.2083333333333336E-2</v>
      </c>
      <c r="BP538" s="78">
        <f>IFERROR(1/J538*(Y538/H538),"0")</f>
        <v>6.25E-2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3.3333333333333335</v>
      </c>
      <c r="Y539" s="43">
        <f>IFERROR(Y538/H538,"0")</f>
        <v>4</v>
      </c>
      <c r="Z539" s="43">
        <f>IFERROR(IF(Z538="",0,Z538),"0")</f>
        <v>7.5920000000000001E-2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30</v>
      </c>
      <c r="Y540" s="43">
        <f>IFERROR(SUM(Y538:Y538),"0")</f>
        <v>36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11616.55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11756.989999999996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12213.19967804418</v>
      </c>
      <c r="Y552" s="43">
        <f>IFERROR(SUM(BN22:BN548),"0")</f>
        <v>12360.625999999998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21</v>
      </c>
      <c r="Y553" s="44">
        <f>ROUNDUP(SUM(BP22:BP548),0)</f>
        <v>21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12738.19967804418</v>
      </c>
      <c r="Y554" s="43">
        <f>GrossWeightTotalR+PalletQtyTotalR*25</f>
        <v>12885.625999999998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1472.9717227217229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1494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24.406290000000006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1277</v>
      </c>
      <c r="F561" s="52">
        <f>IFERROR(Y88*1,"0")+IFERROR(Y89*1,"0")+IFERROR(Y90*1,"0")+IFERROR(Y91*1,"0")+IFERROR(Y95*1,"0")+IFERROR(Y96*1,"0")+IFERROR(Y97*1,"0")+IFERROR(Y98*1,"0")</f>
        <v>181.8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90.6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54.4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52.5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54.18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251.40000000000006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102.4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6895.1499999999987</v>
      </c>
      <c r="U561" s="52">
        <f>IFERROR(Y415*1,"0")+IFERROR(Y416*1,"0")+IFERROR(Y417*1,"0")</f>
        <v>128.4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2355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16.8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142.56</v>
      </c>
      <c r="AA561" s="52">
        <f>IFERROR(Y526*1,"0")+IFERROR(Y530*1,"0")+IFERROR(Y534*1,"0")+IFERROR(Y538*1,"0")+IFERROR(Y542*1,"0")+IFERROR(Y543*1,"0")</f>
        <v>154.80000000000001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4">
      <filters>
        <filter val="1 080,00"/>
        <filter val="1 134,40"/>
        <filter val="1 440,00"/>
        <filter val="1 494,00"/>
        <filter val="10,00"/>
        <filter val="10,08"/>
        <filter val="10,50"/>
        <filter val="10,80"/>
        <filter val="102,40"/>
        <filter val="102,60"/>
        <filter val="108,00"/>
        <filter val="11 756,99"/>
        <filter val="117,00"/>
        <filter val="12 360,63"/>
        <filter val="12 885,63"/>
        <filter val="12,00"/>
        <filter val="120,00"/>
        <filter val="126,00"/>
        <filter val="128,40"/>
        <filter val="13,00"/>
        <filter val="13,50"/>
        <filter val="14,00"/>
        <filter val="15,00"/>
        <filter val="15,84"/>
        <filter val="16,00"/>
        <filter val="16,80"/>
        <filter val="172,80"/>
        <filter val="18,90"/>
        <filter val="189,00"/>
        <filter val="19,00"/>
        <filter val="194,40"/>
        <filter val="202,50"/>
        <filter val="21"/>
        <filter val="21,00"/>
        <filter val="22,40"/>
        <filter val="226,80"/>
        <filter val="240,00"/>
        <filter val="26,00"/>
        <filter val="27,00"/>
        <filter val="3,00"/>
        <filter val="304,20"/>
        <filter val="31,50"/>
        <filter val="31,68"/>
        <filter val="315,30"/>
        <filter val="32,00"/>
        <filter val="32,40"/>
        <filter val="33,60"/>
        <filter val="36,00"/>
        <filter val="36,96"/>
        <filter val="39,90"/>
        <filter val="4,00"/>
        <filter val="4,20"/>
        <filter val="40,00"/>
        <filter val="41,00"/>
        <filter val="43,20"/>
        <filter val="430,20"/>
        <filter val="44,00"/>
        <filter val="453,60"/>
        <filter val="48,60"/>
        <filter val="5 007,60"/>
        <filter val="5,00"/>
        <filter val="5,28"/>
        <filter val="5,40"/>
        <filter val="504,90"/>
        <filter val="51,30"/>
        <filter val="52,50"/>
        <filter val="54,00"/>
        <filter val="54,18"/>
        <filter val="540,00"/>
        <filter val="56,70"/>
        <filter val="58,80"/>
        <filter val="583,20"/>
        <filter val="59,40"/>
        <filter val="6,30"/>
        <filter val="60,00"/>
        <filter val="61,00"/>
        <filter val="62,40"/>
        <filter val="642,00"/>
        <filter val="68,64"/>
        <filter val="7,00"/>
        <filter val="7,20"/>
        <filter val="7,65"/>
        <filter val="71,40"/>
        <filter val="75,60"/>
        <filter val="764,90"/>
        <filter val="79,20"/>
        <filter val="8,00"/>
        <filter val="80,00"/>
        <filter val="86,40"/>
        <filter val="89,10"/>
        <filter val="915,00"/>
        <filter val="96,00"/>
        <filter val="97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