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7A7C01-5994-4FFF-84C4-87C10478197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N265" i="1" s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O257" i="1"/>
  <c r="BN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Y246" i="1"/>
  <c r="X246" i="1"/>
  <c r="X245" i="1"/>
  <c r="BO244" i="1"/>
  <c r="BM244" i="1"/>
  <c r="Z244" i="1"/>
  <c r="Z245" i="1" s="1"/>
  <c r="Y244" i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X224" i="1"/>
  <c r="X223" i="1"/>
  <c r="BO222" i="1"/>
  <c r="BM222" i="1"/>
  <c r="Z222" i="1"/>
  <c r="Z223" i="1" s="1"/>
  <c r="Y222" i="1"/>
  <c r="Y224" i="1" s="1"/>
  <c r="P222" i="1"/>
  <c r="X219" i="1"/>
  <c r="X218" i="1"/>
  <c r="BO217" i="1"/>
  <c r="BM217" i="1"/>
  <c r="Z217" i="1"/>
  <c r="Z218" i="1" s="1"/>
  <c r="Y217" i="1"/>
  <c r="P217" i="1"/>
  <c r="Y214" i="1"/>
  <c r="X214" i="1"/>
  <c r="X213" i="1"/>
  <c r="BO212" i="1"/>
  <c r="BM212" i="1"/>
  <c r="Z212" i="1"/>
  <c r="Y212" i="1"/>
  <c r="P212" i="1"/>
  <c r="BO211" i="1"/>
  <c r="BM211" i="1"/>
  <c r="Z211" i="1"/>
  <c r="Z213" i="1" s="1"/>
  <c r="Y211" i="1"/>
  <c r="BP211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BN204" i="1" s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N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Y184" i="1"/>
  <c r="BN184" i="1" s="1"/>
  <c r="P184" i="1"/>
  <c r="X182" i="1"/>
  <c r="X181" i="1"/>
  <c r="BP180" i="1"/>
  <c r="BO180" i="1"/>
  <c r="BM180" i="1"/>
  <c r="Z180" i="1"/>
  <c r="Y180" i="1"/>
  <c r="BN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Y175" i="1" s="1"/>
  <c r="P173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O157" i="1"/>
  <c r="BM157" i="1"/>
  <c r="Z157" i="1"/>
  <c r="Y157" i="1"/>
  <c r="BP157" i="1" s="1"/>
  <c r="P157" i="1"/>
  <c r="X154" i="1"/>
  <c r="X153" i="1"/>
  <c r="BO152" i="1"/>
  <c r="BN152" i="1"/>
  <c r="BM152" i="1"/>
  <c r="Z152" i="1"/>
  <c r="Y152" i="1"/>
  <c r="BP152" i="1" s="1"/>
  <c r="P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BO138" i="1"/>
  <c r="BM138" i="1"/>
  <c r="Z138" i="1"/>
  <c r="Y138" i="1"/>
  <c r="BP138" i="1" s="1"/>
  <c r="P138" i="1"/>
  <c r="X136" i="1"/>
  <c r="X135" i="1"/>
  <c r="BO134" i="1"/>
  <c r="BM134" i="1"/>
  <c r="Z134" i="1"/>
  <c r="Y134" i="1"/>
  <c r="BN134" i="1" s="1"/>
  <c r="P134" i="1"/>
  <c r="BO133" i="1"/>
  <c r="BM133" i="1"/>
  <c r="Z133" i="1"/>
  <c r="Y133" i="1"/>
  <c r="P133" i="1"/>
  <c r="BO132" i="1"/>
  <c r="BM132" i="1"/>
  <c r="Z132" i="1"/>
  <c r="Y132" i="1"/>
  <c r="BN132" i="1" s="1"/>
  <c r="P132" i="1"/>
  <c r="X129" i="1"/>
  <c r="Y128" i="1"/>
  <c r="X128" i="1"/>
  <c r="BO127" i="1"/>
  <c r="BN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N119" i="1"/>
  <c r="BM119" i="1"/>
  <c r="Z119" i="1"/>
  <c r="Y119" i="1"/>
  <c r="BP119" i="1" s="1"/>
  <c r="P119" i="1"/>
  <c r="BO118" i="1"/>
  <c r="BM118" i="1"/>
  <c r="Z118" i="1"/>
  <c r="Y118" i="1"/>
  <c r="P118" i="1"/>
  <c r="BP117" i="1"/>
  <c r="BO117" i="1"/>
  <c r="BM117" i="1"/>
  <c r="Z117" i="1"/>
  <c r="Y117" i="1"/>
  <c r="BN117" i="1" s="1"/>
  <c r="P117" i="1"/>
  <c r="BO116" i="1"/>
  <c r="BM116" i="1"/>
  <c r="Z116" i="1"/>
  <c r="Y116" i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BO113" i="1"/>
  <c r="BN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N97" i="1"/>
  <c r="BM97" i="1"/>
  <c r="Z97" i="1"/>
  <c r="Y97" i="1"/>
  <c r="BP97" i="1" s="1"/>
  <c r="P97" i="1"/>
  <c r="X94" i="1"/>
  <c r="X93" i="1"/>
  <c r="BO92" i="1"/>
  <c r="BM92" i="1"/>
  <c r="Z92" i="1"/>
  <c r="Y92" i="1"/>
  <c r="BN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P86" i="1"/>
  <c r="X83" i="1"/>
  <c r="X82" i="1"/>
  <c r="BO81" i="1"/>
  <c r="BM81" i="1"/>
  <c r="Z81" i="1"/>
  <c r="Y81" i="1"/>
  <c r="P81" i="1"/>
  <c r="BO80" i="1"/>
  <c r="BM80" i="1"/>
  <c r="Z80" i="1"/>
  <c r="Z82" i="1" s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Y62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N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N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BP39" i="1" s="1"/>
  <c r="P39" i="1"/>
  <c r="X35" i="1"/>
  <c r="X34" i="1"/>
  <c r="BO33" i="1"/>
  <c r="BM33" i="1"/>
  <c r="Z33" i="1"/>
  <c r="Y33" i="1"/>
  <c r="BN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P26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M22" i="1"/>
  <c r="Z22" i="1"/>
  <c r="Y22" i="1"/>
  <c r="BN22" i="1" s="1"/>
  <c r="P22" i="1"/>
  <c r="H10" i="1"/>
  <c r="A9" i="1"/>
  <c r="A10" i="1" s="1"/>
  <c r="D7" i="1"/>
  <c r="Q6" i="1"/>
  <c r="P2" i="1"/>
  <c r="BN101" i="1" l="1"/>
  <c r="BN267" i="1"/>
  <c r="BN273" i="1"/>
  <c r="BP192" i="1"/>
  <c r="BN211" i="1"/>
  <c r="Y77" i="1"/>
  <c r="BN80" i="1"/>
  <c r="BN145" i="1"/>
  <c r="Z120" i="1"/>
  <c r="BN138" i="1"/>
  <c r="BN277" i="1"/>
  <c r="BN39" i="1"/>
  <c r="Z281" i="1"/>
  <c r="Z34" i="1"/>
  <c r="Y83" i="1"/>
  <c r="BN194" i="1"/>
  <c r="Y57" i="1"/>
  <c r="BN55" i="1"/>
  <c r="BN99" i="1"/>
  <c r="BN271" i="1"/>
  <c r="Z28" i="1"/>
  <c r="BN157" i="1"/>
  <c r="Y282" i="1"/>
  <c r="Z103" i="1"/>
  <c r="BN206" i="1"/>
  <c r="BN140" i="1"/>
  <c r="F10" i="1"/>
  <c r="F9" i="1"/>
  <c r="X287" i="1"/>
  <c r="J9" i="1"/>
  <c r="Y28" i="1"/>
  <c r="BP33" i="1"/>
  <c r="Y41" i="1"/>
  <c r="Z48" i="1"/>
  <c r="BP46" i="1"/>
  <c r="Z70" i="1"/>
  <c r="BN73" i="1"/>
  <c r="BN75" i="1"/>
  <c r="BP92" i="1"/>
  <c r="Y103" i="1"/>
  <c r="BN108" i="1"/>
  <c r="BP123" i="1"/>
  <c r="Z135" i="1"/>
  <c r="BP132" i="1"/>
  <c r="BP134" i="1"/>
  <c r="Z186" i="1"/>
  <c r="BP184" i="1"/>
  <c r="BP200" i="1"/>
  <c r="BP261" i="1"/>
  <c r="Z141" i="1"/>
  <c r="Y208" i="1"/>
  <c r="Y269" i="1"/>
  <c r="Y35" i="1"/>
  <c r="Y48" i="1"/>
  <c r="Z56" i="1"/>
  <c r="Z76" i="1"/>
  <c r="BP73" i="1"/>
  <c r="Y82" i="1"/>
  <c r="Y104" i="1"/>
  <c r="BN123" i="1"/>
  <c r="Y124" i="1"/>
  <c r="BP127" i="1"/>
  <c r="Z147" i="1"/>
  <c r="Z159" i="1"/>
  <c r="Z195" i="1"/>
  <c r="BN200" i="1"/>
  <c r="Y201" i="1"/>
  <c r="Z207" i="1"/>
  <c r="BP204" i="1"/>
  <c r="Y213" i="1"/>
  <c r="Z258" i="1"/>
  <c r="BN261" i="1"/>
  <c r="Y262" i="1"/>
  <c r="Z268" i="1"/>
  <c r="BP265" i="1"/>
  <c r="Y281" i="1"/>
  <c r="Y29" i="1"/>
  <c r="Y34" i="1"/>
  <c r="Y42" i="1"/>
  <c r="Y49" i="1"/>
  <c r="Y56" i="1"/>
  <c r="Y65" i="1"/>
  <c r="BP64" i="1"/>
  <c r="BN64" i="1"/>
  <c r="Y87" i="1"/>
  <c r="BP86" i="1"/>
  <c r="BN86" i="1"/>
  <c r="Y110" i="1"/>
  <c r="BP107" i="1"/>
  <c r="BN107" i="1"/>
  <c r="Y109" i="1"/>
  <c r="BP114" i="1"/>
  <c r="BN114" i="1"/>
  <c r="BP116" i="1"/>
  <c r="BN116" i="1"/>
  <c r="BP118" i="1"/>
  <c r="BN118" i="1"/>
  <c r="Y120" i="1"/>
  <c r="BP133" i="1"/>
  <c r="BN133" i="1"/>
  <c r="Y135" i="1"/>
  <c r="BP139" i="1"/>
  <c r="BN139" i="1"/>
  <c r="Y141" i="1"/>
  <c r="BP146" i="1"/>
  <c r="BN146" i="1"/>
  <c r="Y182" i="1"/>
  <c r="BP179" i="1"/>
  <c r="BN179" i="1"/>
  <c r="Y181" i="1"/>
  <c r="BP185" i="1"/>
  <c r="BN185" i="1"/>
  <c r="Y187" i="1"/>
  <c r="Y218" i="1"/>
  <c r="BP217" i="1"/>
  <c r="BN217" i="1"/>
  <c r="Y219" i="1"/>
  <c r="Y241" i="1"/>
  <c r="BP240" i="1"/>
  <c r="BN240" i="1"/>
  <c r="Y242" i="1"/>
  <c r="H9" i="1"/>
  <c r="X284" i="1"/>
  <c r="X285" i="1"/>
  <c r="BN23" i="1"/>
  <c r="BN25" i="1"/>
  <c r="BN27" i="1"/>
  <c r="X283" i="1"/>
  <c r="BN32" i="1"/>
  <c r="BP32" i="1"/>
  <c r="BN40" i="1"/>
  <c r="BN45" i="1"/>
  <c r="BP45" i="1"/>
  <c r="BN47" i="1"/>
  <c r="BN52" i="1"/>
  <c r="BP52" i="1"/>
  <c r="BN54" i="1"/>
  <c r="Y61" i="1"/>
  <c r="BP60" i="1"/>
  <c r="BN60" i="1"/>
  <c r="Y66" i="1"/>
  <c r="Y71" i="1"/>
  <c r="BP68" i="1"/>
  <c r="BN68" i="1"/>
  <c r="Y70" i="1"/>
  <c r="BP74" i="1"/>
  <c r="BN74" i="1"/>
  <c r="Y76" i="1"/>
  <c r="BP81" i="1"/>
  <c r="BN81" i="1"/>
  <c r="Y88" i="1"/>
  <c r="Y94" i="1"/>
  <c r="BP91" i="1"/>
  <c r="BN91" i="1"/>
  <c r="Y93" i="1"/>
  <c r="BP98" i="1"/>
  <c r="BN98" i="1"/>
  <c r="BP100" i="1"/>
  <c r="BN100" i="1"/>
  <c r="BP102" i="1"/>
  <c r="BN102" i="1"/>
  <c r="Z109" i="1"/>
  <c r="Y121" i="1"/>
  <c r="Y136" i="1"/>
  <c r="Y142" i="1"/>
  <c r="Y147" i="1"/>
  <c r="Y148" i="1"/>
  <c r="Y154" i="1"/>
  <c r="BP151" i="1"/>
  <c r="BN151" i="1"/>
  <c r="Y153" i="1"/>
  <c r="BP158" i="1"/>
  <c r="BN158" i="1"/>
  <c r="Y160" i="1"/>
  <c r="Y169" i="1"/>
  <c r="BP168" i="1"/>
  <c r="BN168" i="1"/>
  <c r="Y170" i="1"/>
  <c r="Y229" i="1"/>
  <c r="BP228" i="1"/>
  <c r="BN228" i="1"/>
  <c r="Y230" i="1"/>
  <c r="Y251" i="1"/>
  <c r="BP250" i="1"/>
  <c r="BN250" i="1"/>
  <c r="Y252" i="1"/>
  <c r="Z153" i="1"/>
  <c r="Y159" i="1"/>
  <c r="Y164" i="1"/>
  <c r="BP163" i="1"/>
  <c r="BN163" i="1"/>
  <c r="Y174" i="1"/>
  <c r="BP173" i="1"/>
  <c r="BN173" i="1"/>
  <c r="Z181" i="1"/>
  <c r="Y186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X286" i="1" l="1"/>
  <c r="Z288" i="1"/>
  <c r="Y285" i="1"/>
  <c r="Y284" i="1"/>
  <c r="Y287" i="1"/>
  <c r="Y283" i="1"/>
  <c r="Y286" i="1" l="1"/>
  <c r="C296" i="1"/>
  <c r="A296" i="1"/>
  <c r="B296" i="1"/>
</calcChain>
</file>

<file path=xl/sharedStrings.xml><?xml version="1.0" encoding="utf-8"?>
<sst xmlns="http://schemas.openxmlformats.org/spreadsheetml/2006/main" count="1291" uniqueCount="416">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</sst>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/>
      <c r="I5" s="454"/>
      <c r="J5" s="454"/>
      <c r="K5" s="454"/>
      <c r="L5" s="454"/>
      <c r="M5" s="334"/>
      <c r="N5" s="61"/>
      <c r="P5" s="24" t="s">
        <v>9</v>
      </c>
      <c r="Q5" s="448">
        <v>46210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13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Вторник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3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0.41666666666666669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72</v>
      </c>
      <c r="Y28" s="278">
        <f>IFERROR(SUM(Y22:Y27),"0")</f>
        <v>72</v>
      </c>
      <c r="Z28" s="278">
        <f>IFERROR(IF(Z22="",0,Z22),"0")+IFERROR(IF(Z23="",0,Z23),"0")+IFERROR(IF(Z24="",0,Z24),"0")+IFERROR(IF(Z25="",0,Z25),"0")+IFERROR(IF(Z26="",0,Z26),"0")+IFERROR(IF(Z27="",0,Z27),"0")</f>
        <v>1.1160000000000001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489.6</v>
      </c>
      <c r="Y29" s="278">
        <f>IFERROR(SUMPRODUCT(Y22:Y27*H22:H27),"0")</f>
        <v>489.6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182</v>
      </c>
      <c r="Y39" s="277">
        <f>IFERROR(IF(X39="","",X39),"")</f>
        <v>182</v>
      </c>
      <c r="Z39" s="36">
        <f>IFERROR(IF(X39="","",X39*0.00941),"")</f>
        <v>1.71262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349.76760000000002</v>
      </c>
      <c r="BN39" s="67">
        <f>IFERROR(Y39*I39,"0")</f>
        <v>349.76760000000002</v>
      </c>
      <c r="BO39" s="67">
        <f>IFERROR(X39/J39,"0")</f>
        <v>1.3</v>
      </c>
      <c r="BP39" s="67">
        <f>IFERROR(Y39/J39,"0")</f>
        <v>1.3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112</v>
      </c>
      <c r="Y40" s="277">
        <f>IFERROR(IF(X40="","",X40),"")</f>
        <v>112</v>
      </c>
      <c r="Z40" s="36">
        <f>IFERROR(IF(X40="","",X40*0.00941),"")</f>
        <v>1.05392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215.24160000000001</v>
      </c>
      <c r="BN40" s="67">
        <f>IFERROR(Y40*I40,"0")</f>
        <v>215.24160000000001</v>
      </c>
      <c r="BO40" s="67">
        <f>IFERROR(X40/J40,"0")</f>
        <v>0.8</v>
      </c>
      <c r="BP40" s="67">
        <f>IFERROR(Y40/J40,"0")</f>
        <v>0.8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294</v>
      </c>
      <c r="Y41" s="278">
        <f>IFERROR(SUM(Y39:Y40),"0")</f>
        <v>294</v>
      </c>
      <c r="Z41" s="278">
        <f>IFERROR(IF(Z39="",0,Z39),"0")+IFERROR(IF(Z40="",0,Z40),"0")</f>
        <v>2.76654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441</v>
      </c>
      <c r="Y42" s="278">
        <f>IFERROR(SUMPRODUCT(Y39:Y40*H39:H40),"0")</f>
        <v>441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48</v>
      </c>
      <c r="Y45" s="277">
        <f>IFERROR(IF(X45="","",X45),"")</f>
        <v>48</v>
      </c>
      <c r="Z45" s="36">
        <f>IFERROR(IF(X45="","",X45*0.0155),"")</f>
        <v>0.74399999999999999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281.76</v>
      </c>
      <c r="BN45" s="67">
        <f>IFERROR(Y45*I45,"0")</f>
        <v>281.76</v>
      </c>
      <c r="BO45" s="67">
        <f>IFERROR(X45/J45,"0")</f>
        <v>0.5714285714285714</v>
      </c>
      <c r="BP45" s="67">
        <f>IFERROR(Y45/J45,"0")</f>
        <v>0.5714285714285714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108</v>
      </c>
      <c r="Y48" s="278">
        <f>IFERROR(SUM(Y45:Y47),"0")</f>
        <v>108</v>
      </c>
      <c r="Z48" s="278">
        <f>IFERROR(IF(Z45="",0,Z45),"0")+IFERROR(IF(Z46="",0,Z46),"0")+IFERROR(IF(Z47="",0,Z47),"0")</f>
        <v>1.6740000000000002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604.79999999999995</v>
      </c>
      <c r="Y49" s="278">
        <f>IFERROR(SUMPRODUCT(Y45:Y47*H45:H47),"0")</f>
        <v>604.79999999999995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180</v>
      </c>
      <c r="Y52" s="277">
        <f>IFERROR(IF(X52="","",X52),"")</f>
        <v>180</v>
      </c>
      <c r="Z52" s="36">
        <f>IFERROR(IF(X52="","",X52*0.0155),"")</f>
        <v>2.79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1314</v>
      </c>
      <c r="BN52" s="67">
        <f>IFERROR(Y52*I52,"0")</f>
        <v>1314</v>
      </c>
      <c r="BO52" s="67">
        <f>IFERROR(X52/J52,"0")</f>
        <v>2.1428571428571428</v>
      </c>
      <c r="BP52" s="67">
        <f>IFERROR(Y52/J52,"0")</f>
        <v>2.1428571428571428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216</v>
      </c>
      <c r="Y56" s="278">
        <f>IFERROR(SUM(Y52:Y55),"0")</f>
        <v>216</v>
      </c>
      <c r="Z56" s="278">
        <f>IFERROR(IF(Z52="",0,Z52),"0")+IFERROR(IF(Z53="",0,Z53),"0")+IFERROR(IF(Z54="",0,Z54),"0")+IFERROR(IF(Z55="",0,Z55),"0")</f>
        <v>3.3479999999999999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1512</v>
      </c>
      <c r="Y57" s="278">
        <f>IFERROR(SUMPRODUCT(Y52:Y55*H52:H55),"0")</f>
        <v>1512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98</v>
      </c>
      <c r="Y75" s="277">
        <f>IFERROR(IF(X75="","",X75),"")</f>
        <v>98</v>
      </c>
      <c r="Z75" s="36">
        <f>IFERROR(IF(X75="","",X75*0.00941),"")</f>
        <v>0.92218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152.88</v>
      </c>
      <c r="BN75" s="67">
        <f>IFERROR(Y75*I75,"0")</f>
        <v>152.88</v>
      </c>
      <c r="BO75" s="67">
        <f>IFERROR(X75/J75,"0")</f>
        <v>0.7</v>
      </c>
      <c r="BP75" s="67">
        <f>IFERROR(Y75/J75,"0")</f>
        <v>0.7</v>
      </c>
    </row>
    <row r="76" spans="1:68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98</v>
      </c>
      <c r="Y76" s="278">
        <f>IFERROR(SUM(Y73:Y75),"0")</f>
        <v>98</v>
      </c>
      <c r="Z76" s="278">
        <f>IFERROR(IF(Z73="",0,Z73),"0")+IFERROR(IF(Z74="",0,Z74),"0")+IFERROR(IF(Z75="",0,Z75),"0")</f>
        <v>0.92218</v>
      </c>
      <c r="AA76" s="279"/>
      <c r="AB76" s="279"/>
      <c r="AC76" s="279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117.6</v>
      </c>
      <c r="Y77" s="278">
        <f>IFERROR(SUMPRODUCT(Y73:Y75*H73:H75),"0")</f>
        <v>117.6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132</v>
      </c>
      <c r="Y81" s="277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132</v>
      </c>
      <c r="Y82" s="278">
        <f>IFERROR(SUM(Y80:Y81),"0")</f>
        <v>132</v>
      </c>
      <c r="Z82" s="278">
        <f>IFERROR(IF(Z80="",0,Z80),"0")+IFERROR(IF(Z81="",0,Z81),"0")</f>
        <v>1.1431199999999999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660</v>
      </c>
      <c r="Y83" s="278">
        <f>IFERROR(SUMPRODUCT(Y80:Y81*H80:H81),"0")</f>
        <v>660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70</v>
      </c>
      <c r="Y91" s="27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56</v>
      </c>
      <c r="Y92" s="277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126</v>
      </c>
      <c r="Y93" s="278">
        <f>IFERROR(SUM(Y91:Y92),"0")</f>
        <v>126</v>
      </c>
      <c r="Z93" s="278">
        <f>IFERROR(IF(Z91="",0,Z91),"0")+IFERROR(IF(Z92="",0,Z92),"0")</f>
        <v>2.2528800000000002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453.6</v>
      </c>
      <c r="Y94" s="278">
        <f>IFERROR(SUMPRODUCT(Y91:Y92*H91:H92),"0")</f>
        <v>453.6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56</v>
      </c>
      <c r="Y97" s="277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84</v>
      </c>
      <c r="Y98" s="277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70</v>
      </c>
      <c r="Y99" s="277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154</v>
      </c>
      <c r="Y100" s="277">
        <f t="shared" si="6"/>
        <v>154</v>
      </c>
      <c r="Z100" s="36">
        <f t="shared" si="7"/>
        <v>2.75352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28</v>
      </c>
      <c r="Y101" s="277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14</v>
      </c>
      <c r="Y102" s="277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406</v>
      </c>
      <c r="Y103" s="278">
        <f>IFERROR(SUM(Y97:Y102),"0")</f>
        <v>406</v>
      </c>
      <c r="Z103" s="278">
        <f>IFERROR(IF(Z97="",0,Z97),"0")+IFERROR(IF(Z98="",0,Z98),"0")+IFERROR(IF(Z99="",0,Z99),"0")+IFERROR(IF(Z100="",0,Z100),"0")+IFERROR(IF(Z101="",0,Z101),"0")+IFERROR(IF(Z102="",0,Z102),"0")</f>
        <v>7.2592799999999995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1214.6399999999999</v>
      </c>
      <c r="Y104" s="278">
        <f>IFERROR(SUMPRODUCT(Y97:Y102*H97:H102),"0")</f>
        <v>1214.6399999999999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28</v>
      </c>
      <c r="Y108" s="277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28</v>
      </c>
      <c r="Y109" s="278">
        <f>IFERROR(SUM(Y107:Y108),"0")</f>
        <v>28</v>
      </c>
      <c r="Z109" s="278">
        <f>IFERROR(IF(Z107="",0,Z107),"0")+IFERROR(IF(Z108="",0,Z108),"0")</f>
        <v>0.50063999999999997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100.8</v>
      </c>
      <c r="Y110" s="278">
        <f>IFERROR(SUMPRODUCT(Y107:Y108*H107:H108),"0")</f>
        <v>100.8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36</v>
      </c>
      <c r="Y113" s="277">
        <f t="shared" ref="Y113:Y119" si="12">IFERROR(IF(X113="","",X113),"")</f>
        <v>36</v>
      </c>
      <c r="Z113" s="36">
        <f t="shared" ref="Z113:Z119" si="13">IFERROR(IF(X113="","",X113*0.0155),"")</f>
        <v>0.55800000000000005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262.08</v>
      </c>
      <c r="BN113" s="67">
        <f t="shared" ref="BN113:BN119" si="15">IFERROR(Y113*I113,"0")</f>
        <v>262.08</v>
      </c>
      <c r="BO113" s="67">
        <f t="shared" ref="BO113:BO119" si="16">IFERROR(X113/J113,"0")</f>
        <v>0.42857142857142855</v>
      </c>
      <c r="BP113" s="67">
        <f t="shared" ref="BP113:BP119" si="17">IFERROR(Y113/J113,"0")</f>
        <v>0.42857142857142855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96</v>
      </c>
      <c r="Y116" s="277">
        <f t="shared" si="12"/>
        <v>96</v>
      </c>
      <c r="Z116" s="36">
        <f t="shared" si="13"/>
        <v>1.488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700.8</v>
      </c>
      <c r="BN116" s="67">
        <f t="shared" si="15"/>
        <v>700.8</v>
      </c>
      <c r="BO116" s="67">
        <f t="shared" si="16"/>
        <v>1.1428571428571428</v>
      </c>
      <c r="BP116" s="67">
        <f t="shared" si="17"/>
        <v>1.1428571428571428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24</v>
      </c>
      <c r="Y118" s="277">
        <f t="shared" si="12"/>
        <v>24</v>
      </c>
      <c r="Z118" s="36">
        <f t="shared" si="13"/>
        <v>0.372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96</v>
      </c>
      <c r="Y119" s="277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252</v>
      </c>
      <c r="Y120" s="278">
        <f>IFERROR(SUM(Y113:Y119),"0")</f>
        <v>252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3.9060000000000001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1749.6</v>
      </c>
      <c r="Y121" s="278">
        <f>IFERROR(SUMPRODUCT(Y113:Y119*H113:H119),"0")</f>
        <v>1749.6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hidden="1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42</v>
      </c>
      <c r="Y134" s="277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75.600000000000009</v>
      </c>
      <c r="BN134" s="67">
        <f>IFERROR(Y134*I134,"0")</f>
        <v>75.600000000000009</v>
      </c>
      <c r="BO134" s="67">
        <f>IFERROR(X134/J134,"0")</f>
        <v>0.3</v>
      </c>
      <c r="BP134" s="67">
        <f>IFERROR(Y134/J134,"0")</f>
        <v>0.3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42</v>
      </c>
      <c r="Y135" s="278">
        <f>IFERROR(SUM(Y132:Y134),"0")</f>
        <v>42</v>
      </c>
      <c r="Z135" s="278">
        <f>IFERROR(IF(Z132="",0,Z132),"0")+IFERROR(IF(Z133="",0,Z133),"0")+IFERROR(IF(Z134="",0,Z134),"0")</f>
        <v>0.39522000000000002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57.959999999999994</v>
      </c>
      <c r="Y136" s="278">
        <f>IFERROR(SUMPRODUCT(Y132:Y134*H132:H134),"0")</f>
        <v>57.959999999999994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42</v>
      </c>
      <c r="Y138" s="277">
        <f>IFERROR(IF(X138="","",X138),"")</f>
        <v>42</v>
      </c>
      <c r="Z138" s="36">
        <f>IFERROR(IF(X138="","",X138*0.00941),"")</f>
        <v>0.39522000000000002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58.715999999999994</v>
      </c>
      <c r="BN138" s="67">
        <f>IFERROR(Y138*I138,"0")</f>
        <v>58.715999999999994</v>
      </c>
      <c r="BO138" s="67">
        <f>IFERROR(X138/J138,"0")</f>
        <v>0.3</v>
      </c>
      <c r="BP138" s="67">
        <f>IFERROR(Y138/J138,"0")</f>
        <v>0.3</v>
      </c>
    </row>
    <row r="139" spans="1:68" ht="27" hidden="1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42</v>
      </c>
      <c r="Y141" s="278">
        <f>IFERROR(SUM(Y138:Y140),"0")</f>
        <v>42</v>
      </c>
      <c r="Z141" s="278">
        <f>IFERROR(IF(Z138="",0,Z138),"0")+IFERROR(IF(Z139="",0,Z139),"0")+IFERROR(IF(Z140="",0,Z140),"0")</f>
        <v>0.39522000000000002</v>
      </c>
      <c r="AA141" s="279"/>
      <c r="AB141" s="279"/>
      <c r="AC141" s="279"/>
    </row>
    <row r="142" spans="1:68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45.36</v>
      </c>
      <c r="Y142" s="278">
        <f>IFERROR(SUMPRODUCT(Y138:Y140*H138:H140),"0")</f>
        <v>45.36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112</v>
      </c>
      <c r="Y145" s="277">
        <f>IFERROR(IF(X145="","",X145),"")</f>
        <v>112</v>
      </c>
      <c r="Z145" s="36">
        <f>IFERROR(IF(X145="","",X145*0.01788),"")</f>
        <v>2.0025599999999999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414.80319999999995</v>
      </c>
      <c r="BN145" s="67">
        <f>IFERROR(Y145*I145,"0")</f>
        <v>414.80319999999995</v>
      </c>
      <c r="BO145" s="67">
        <f>IFERROR(X145/J145,"0")</f>
        <v>1.6</v>
      </c>
      <c r="BP145" s="67">
        <f>IFERROR(Y145/J145,"0")</f>
        <v>1.6</v>
      </c>
    </row>
    <row r="146" spans="1:68" ht="27" hidden="1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0</v>
      </c>
      <c r="Y146" s="277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112</v>
      </c>
      <c r="Y147" s="278">
        <f>IFERROR(SUM(Y145:Y146),"0")</f>
        <v>112</v>
      </c>
      <c r="Z147" s="278">
        <f>IFERROR(IF(Z145="",0,Z145),"0")+IFERROR(IF(Z146="",0,Z146),"0")</f>
        <v>2.0025599999999999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336</v>
      </c>
      <c r="Y148" s="278">
        <f>IFERROR(SUMPRODUCT(Y145:Y146*H145:H146),"0")</f>
        <v>336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42</v>
      </c>
      <c r="Y151" s="277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157.416</v>
      </c>
      <c r="BN151" s="67">
        <f>IFERROR(Y151*I151,"0")</f>
        <v>157.416</v>
      </c>
      <c r="BO151" s="67">
        <f>IFERROR(X151/J151,"0")</f>
        <v>0.6</v>
      </c>
      <c r="BP151" s="67">
        <f>IFERROR(Y151/J151,"0")</f>
        <v>0.6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70</v>
      </c>
      <c r="Y152" s="277">
        <f>IFERROR(IF(X152="","",X152),"")</f>
        <v>70</v>
      </c>
      <c r="Z152" s="36">
        <f>IFERROR(IF(X152="","",X152*0.01788),"")</f>
        <v>1.2516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259.25200000000001</v>
      </c>
      <c r="BN152" s="67">
        <f>IFERROR(Y152*I152,"0")</f>
        <v>259.25200000000001</v>
      </c>
      <c r="BO152" s="67">
        <f>IFERROR(X152/J152,"0")</f>
        <v>1</v>
      </c>
      <c r="BP152" s="67">
        <f>IFERROR(Y152/J152,"0")</f>
        <v>1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112</v>
      </c>
      <c r="Y153" s="278">
        <f>IFERROR(SUM(Y151:Y152),"0")</f>
        <v>112</v>
      </c>
      <c r="Z153" s="278">
        <f>IFERROR(IF(Z151="",0,Z151),"0")+IFERROR(IF(Z152="",0,Z152),"0")</f>
        <v>2.0025599999999999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336</v>
      </c>
      <c r="Y154" s="278">
        <f>IFERROR(SUMPRODUCT(Y151:Y152*H151:H152),"0")</f>
        <v>336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70</v>
      </c>
      <c r="Y157" s="277">
        <f>IFERROR(IF(X157="","",X157),"")</f>
        <v>70</v>
      </c>
      <c r="Z157" s="36">
        <f>IFERROR(IF(X157="","",X157*0.01788),"")</f>
        <v>1.2516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187.60000000000002</v>
      </c>
      <c r="BN157" s="67">
        <f>IFERROR(Y157*I157,"0")</f>
        <v>187.60000000000002</v>
      </c>
      <c r="BO157" s="67">
        <f>IFERROR(X157/J157,"0")</f>
        <v>1</v>
      </c>
      <c r="BP157" s="67">
        <f>IFERROR(Y157/J157,"0")</f>
        <v>1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84</v>
      </c>
      <c r="Y158" s="277">
        <f>IFERROR(IF(X158="","",X158),"")</f>
        <v>84</v>
      </c>
      <c r="Z158" s="36">
        <f>IFERROR(IF(X158="","",X158*0.01788),"")</f>
        <v>1.5019199999999999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225.12</v>
      </c>
      <c r="BN158" s="67">
        <f>IFERROR(Y158*I158,"0")</f>
        <v>225.12</v>
      </c>
      <c r="BO158" s="67">
        <f>IFERROR(X158/J158,"0")</f>
        <v>1.2</v>
      </c>
      <c r="BP158" s="67">
        <f>IFERROR(Y158/J158,"0")</f>
        <v>1.2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154</v>
      </c>
      <c r="Y159" s="278">
        <f>IFERROR(SUM(Y157:Y158),"0")</f>
        <v>154</v>
      </c>
      <c r="Z159" s="278">
        <f>IFERROR(IF(Z157="",0,Z157),"0")+IFERROR(IF(Z158="",0,Z158),"0")</f>
        <v>2.75352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369.6</v>
      </c>
      <c r="Y160" s="278">
        <f>IFERROR(SUMPRODUCT(Y157:Y158*H157:H158),"0")</f>
        <v>369.6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42</v>
      </c>
      <c r="Y163" s="277">
        <f>IFERROR(IF(X163="","",X163),"")</f>
        <v>42</v>
      </c>
      <c r="Z163" s="36">
        <f>IFERROR(IF(X163="","",X163*0.01788),"")</f>
        <v>0.75095999999999996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155.55119999999999</v>
      </c>
      <c r="BN163" s="67">
        <f>IFERROR(Y163*I163,"0")</f>
        <v>155.55119999999999</v>
      </c>
      <c r="BO163" s="67">
        <f>IFERROR(X163/J163,"0")</f>
        <v>0.6</v>
      </c>
      <c r="BP163" s="67">
        <f>IFERROR(Y163/J163,"0")</f>
        <v>0.6</v>
      </c>
    </row>
    <row r="164" spans="1:68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42</v>
      </c>
      <c r="Y164" s="278">
        <f>IFERROR(SUM(Y163:Y163),"0")</f>
        <v>42</v>
      </c>
      <c r="Z164" s="278">
        <f>IFERROR(IF(Z163="",0,Z163),"0")</f>
        <v>0.75095999999999996</v>
      </c>
      <c r="AA164" s="279"/>
      <c r="AB164" s="279"/>
      <c r="AC164" s="279"/>
    </row>
    <row r="165" spans="1:68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126</v>
      </c>
      <c r="Y165" s="278">
        <f>IFERROR(SUMPRODUCT(Y163:Y163*H163:H163),"0")</f>
        <v>126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42</v>
      </c>
      <c r="Y173" s="277">
        <f>IFERROR(IF(X173="","",X173),"")</f>
        <v>42</v>
      </c>
      <c r="Z173" s="36">
        <f>IFERROR(IF(X173="","",X173*0.00941),"")</f>
        <v>0.39522000000000002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88.275599999999997</v>
      </c>
      <c r="BN173" s="67">
        <f>IFERROR(Y173*I173,"0")</f>
        <v>88.275599999999997</v>
      </c>
      <c r="BO173" s="67">
        <f>IFERROR(X173/J173,"0")</f>
        <v>0.3</v>
      </c>
      <c r="BP173" s="67">
        <f>IFERROR(Y173/J173,"0")</f>
        <v>0.3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42</v>
      </c>
      <c r="Y174" s="278">
        <f>IFERROR(SUM(Y173:Y173),"0")</f>
        <v>42</v>
      </c>
      <c r="Z174" s="278">
        <f>IFERROR(IF(Z173="",0,Z173),"0")</f>
        <v>0.39522000000000002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70.56</v>
      </c>
      <c r="Y175" s="278">
        <f>IFERROR(SUMPRODUCT(Y173:Y173*H173:H173),"0")</f>
        <v>70.56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60</v>
      </c>
      <c r="Y180" s="277">
        <f>IFERROR(IF(X180="","",X180),"")</f>
        <v>60</v>
      </c>
      <c r="Z180" s="36">
        <f>IFERROR(IF(X180="","",X180*0.00866),"")</f>
        <v>0.51959999999999995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312.79199999999997</v>
      </c>
      <c r="BN180" s="67">
        <f>IFERROR(Y180*I180,"0")</f>
        <v>312.79199999999997</v>
      </c>
      <c r="BO180" s="67">
        <f>IFERROR(X180/J180,"0")</f>
        <v>0.41666666666666669</v>
      </c>
      <c r="BP180" s="67">
        <f>IFERROR(Y180/J180,"0")</f>
        <v>0.41666666666666669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60</v>
      </c>
      <c r="Y181" s="278">
        <f>IFERROR(SUM(Y179:Y180),"0")</f>
        <v>60</v>
      </c>
      <c r="Z181" s="278">
        <f>IFERROR(IF(Z179="",0,Z179),"0")+IFERROR(IF(Z180="",0,Z180),"0")</f>
        <v>0.51959999999999995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300</v>
      </c>
      <c r="Y182" s="278">
        <f>IFERROR(SUMPRODUCT(Y179:Y180*H179:H180),"0")</f>
        <v>300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84</v>
      </c>
      <c r="Y191" s="277">
        <f>IFERROR(IF(X191="","",X191),"")</f>
        <v>84</v>
      </c>
      <c r="Z191" s="36">
        <f>IFERROR(IF(X191="","",X191*0.01788),"")</f>
        <v>1.5019199999999999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284.59199999999998</v>
      </c>
      <c r="BN191" s="67">
        <f>IFERROR(Y191*I191,"0")</f>
        <v>284.59199999999998</v>
      </c>
      <c r="BO191" s="67">
        <f>IFERROR(X191/J191,"0")</f>
        <v>1.2</v>
      </c>
      <c r="BP191" s="67">
        <f>IFERROR(Y191/J191,"0")</f>
        <v>1.2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70</v>
      </c>
      <c r="Y192" s="277">
        <f>IFERROR(IF(X192="","",X192),"")</f>
        <v>70</v>
      </c>
      <c r="Z192" s="36">
        <f>IFERROR(IF(X192="","",X192*0.01788),"")</f>
        <v>1.2516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237.16</v>
      </c>
      <c r="BN192" s="67">
        <f>IFERROR(Y192*I192,"0")</f>
        <v>237.16</v>
      </c>
      <c r="BO192" s="67">
        <f>IFERROR(X192/J192,"0")</f>
        <v>1</v>
      </c>
      <c r="BP192" s="67">
        <f>IFERROR(Y192/J192,"0")</f>
        <v>1</v>
      </c>
    </row>
    <row r="193" spans="1:68" ht="27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42</v>
      </c>
      <c r="Y193" s="277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156.91200000000001</v>
      </c>
      <c r="BN193" s="67">
        <f>IFERROR(Y193*I193,"0")</f>
        <v>156.91200000000001</v>
      </c>
      <c r="BO193" s="67">
        <f>IFERROR(X193/J193,"0")</f>
        <v>0.6</v>
      </c>
      <c r="BP193" s="67">
        <f>IFERROR(Y193/J193,"0")</f>
        <v>0.6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196</v>
      </c>
      <c r="Y195" s="278">
        <f>IFERROR(SUM(Y191:Y194),"0")</f>
        <v>196</v>
      </c>
      <c r="Z195" s="278">
        <f>IFERROR(IF(Z191="",0,Z191),"0")+IFERROR(IF(Z192="",0,Z192),"0")+IFERROR(IF(Z193="",0,Z193),"0")+IFERROR(IF(Z194="",0,Z194),"0")</f>
        <v>3.50448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588</v>
      </c>
      <c r="Y196" s="278">
        <f>IFERROR(SUMPRODUCT(Y191:Y194*H191:H194),"0")</f>
        <v>588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hidden="1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hidden="1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56</v>
      </c>
      <c r="Y204" s="277">
        <f>IFERROR(IF(X204="","",X204),"")</f>
        <v>56</v>
      </c>
      <c r="Z204" s="36">
        <f>IFERROR(IF(X204="","",X204*0.01788),"")</f>
        <v>1.0012799999999999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173.80160000000001</v>
      </c>
      <c r="BN204" s="67">
        <f>IFERROR(Y204*I204,"0")</f>
        <v>173.80160000000001</v>
      </c>
      <c r="BO204" s="67">
        <f>IFERROR(X204/J204,"0")</f>
        <v>0.8</v>
      </c>
      <c r="BP204" s="67">
        <f>IFERROR(Y204/J204,"0")</f>
        <v>0.8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56</v>
      </c>
      <c r="Y207" s="278">
        <f>IFERROR(SUM(Y204:Y206),"0")</f>
        <v>56</v>
      </c>
      <c r="Z207" s="278">
        <f>IFERROR(IF(Z204="",0,Z204),"0")+IFERROR(IF(Z205="",0,Z205),"0")+IFERROR(IF(Z206="",0,Z206),"0")</f>
        <v>1.0012799999999999</v>
      </c>
      <c r="AA207" s="279"/>
      <c r="AB207" s="279"/>
      <c r="AC207" s="279"/>
    </row>
    <row r="208" spans="1:68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134.4</v>
      </c>
      <c r="Y208" s="278">
        <f>IFERROR(SUMPRODUCT(Y204:Y206*H204:H206),"0")</f>
        <v>134.4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132</v>
      </c>
      <c r="Y217" s="277">
        <f>IFERROR(IF(X217="","",X217),"")</f>
        <v>132</v>
      </c>
      <c r="Z217" s="36">
        <f>IFERROR(IF(X217="","",X217*0.0155),"")</f>
        <v>2.0459999999999998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690.36</v>
      </c>
      <c r="BN217" s="67">
        <f>IFERROR(Y217*I217,"0")</f>
        <v>690.36</v>
      </c>
      <c r="BO217" s="67">
        <f>IFERROR(X217/J217,"0")</f>
        <v>1.5714285714285714</v>
      </c>
      <c r="BP217" s="67">
        <f>IFERROR(Y217/J217,"0")</f>
        <v>1.5714285714285714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132</v>
      </c>
      <c r="Y218" s="278">
        <f>IFERROR(SUM(Y217:Y217),"0")</f>
        <v>132</v>
      </c>
      <c r="Z218" s="278">
        <f>IFERROR(IF(Z217="",0,Z217),"0")</f>
        <v>2.0459999999999998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660</v>
      </c>
      <c r="Y219" s="278">
        <f>IFERROR(SUMPRODUCT(Y217:Y217*H217:H217),"0")</f>
        <v>660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hidden="1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24</v>
      </c>
      <c r="Y261" s="277">
        <f>IFERROR(IF(X261="","",X261),"")</f>
        <v>24</v>
      </c>
      <c r="Z261" s="36">
        <f>IFERROR(IF(X261="","",X261*0.0155),"")</f>
        <v>0.372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150.24</v>
      </c>
      <c r="BN261" s="67">
        <f>IFERROR(Y261*I261,"0")</f>
        <v>150.24</v>
      </c>
      <c r="BO261" s="67">
        <f>IFERROR(X261/J261,"0")</f>
        <v>0.2857142857142857</v>
      </c>
      <c r="BP261" s="67">
        <f>IFERROR(Y261/J261,"0")</f>
        <v>0.2857142857142857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24</v>
      </c>
      <c r="Y262" s="278">
        <f>IFERROR(SUM(Y261:Y261),"0")</f>
        <v>24</v>
      </c>
      <c r="Z262" s="278">
        <f>IFERROR(IF(Z261="",0,Z261),"0")</f>
        <v>0.372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144</v>
      </c>
      <c r="Y263" s="278">
        <f>IFERROR(SUMPRODUCT(Y261:Y261*H261:H261),"0")</f>
        <v>144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14</v>
      </c>
      <c r="Y265" s="277">
        <f>IFERROR(IF(X265="","",X265),"")</f>
        <v>14</v>
      </c>
      <c r="Z265" s="36">
        <f>IFERROR(IF(X265="","",X265*0.00936),"")</f>
        <v>0.13103999999999999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40.468400000000003</v>
      </c>
      <c r="BN265" s="67">
        <f>IFERROR(Y265*I265,"0")</f>
        <v>40.468400000000003</v>
      </c>
      <c r="BO265" s="67">
        <f>IFERROR(X265/J265,"0")</f>
        <v>0.1111111111111111</v>
      </c>
      <c r="BP265" s="67">
        <f>IFERROR(Y265/J265,"0")</f>
        <v>0.1111111111111111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84</v>
      </c>
      <c r="Y266" s="277">
        <f>IFERROR(IF(X266="","",X266),"")</f>
        <v>84</v>
      </c>
      <c r="Z266" s="36">
        <f>IFERROR(IF(X266="","",X266*0.0155),"")</f>
        <v>1.302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439.74</v>
      </c>
      <c r="BN266" s="67">
        <f>IFERROR(Y266*I266,"0")</f>
        <v>439.74</v>
      </c>
      <c r="BO266" s="67">
        <f>IFERROR(X266/J266,"0")</f>
        <v>1</v>
      </c>
      <c r="BP266" s="67">
        <f>IFERROR(Y266/J266,"0")</f>
        <v>1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98</v>
      </c>
      <c r="Y268" s="278">
        <f>IFERROR(SUM(Y265:Y267),"0")</f>
        <v>98</v>
      </c>
      <c r="Z268" s="278">
        <f>IFERROR(IF(Z265="",0,Z265),"0")+IFERROR(IF(Z266="",0,Z266),"0")+IFERROR(IF(Z267="",0,Z267),"0")</f>
        <v>1.4330400000000001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457.8</v>
      </c>
      <c r="Y269" s="278">
        <f>IFERROR(SUMPRODUCT(Y265:Y267*H265:H267),"0")</f>
        <v>457.8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72</v>
      </c>
      <c r="Y272" s="277">
        <f t="shared" si="18"/>
        <v>72</v>
      </c>
      <c r="Z272" s="36">
        <f>IFERROR(IF(X272="","",X272*0.0155),"")</f>
        <v>1.1160000000000001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376.56000000000006</v>
      </c>
      <c r="BN272" s="67">
        <f t="shared" si="20"/>
        <v>376.56000000000006</v>
      </c>
      <c r="BO272" s="67">
        <f t="shared" si="21"/>
        <v>0.8571428571428571</v>
      </c>
      <c r="BP272" s="67">
        <f t="shared" si="22"/>
        <v>0.8571428571428571</v>
      </c>
    </row>
    <row r="273" spans="1:68" ht="27" hidden="1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28</v>
      </c>
      <c r="Y274" s="277">
        <f t="shared" si="18"/>
        <v>28</v>
      </c>
      <c r="Z274" s="36">
        <f t="shared" ref="Z274:Z279" si="23">IFERROR(IF(X274="","",X274*0.00936),"")</f>
        <v>0.26207999999999998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42</v>
      </c>
      <c r="Y275" s="277">
        <f t="shared" si="18"/>
        <v>42</v>
      </c>
      <c r="Z275" s="36">
        <f t="shared" si="23"/>
        <v>0.39312000000000002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163.464</v>
      </c>
      <c r="BN275" s="67">
        <f t="shared" si="20"/>
        <v>163.464</v>
      </c>
      <c r="BO275" s="67">
        <f t="shared" si="21"/>
        <v>0.33333333333333331</v>
      </c>
      <c r="BP275" s="67">
        <f t="shared" si="22"/>
        <v>0.33333333333333331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142</v>
      </c>
      <c r="Y281" s="278">
        <f>IFERROR(SUM(Y271:Y280),"0")</f>
        <v>142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1.7712000000000003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599.4</v>
      </c>
      <c r="Y282" s="278">
        <f>IFERROR(SUMPRODUCT(Y271:Y280*H271:H280),"0")</f>
        <v>599.4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11619.119999999997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11619.119999999997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12900.379600000002</v>
      </c>
      <c r="Y284" s="278">
        <f>IFERROR(SUM(BN22:BN280),"0")</f>
        <v>12900.379600000002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35</v>
      </c>
      <c r="Y285" s="38">
        <f>ROUNDUP(SUM(BP22:BP280),0)</f>
        <v>35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13775.379600000002</v>
      </c>
      <c r="Y286" s="278">
        <f>GrossWeightTotalR+PalletQtyTotalR*25</f>
        <v>13775.379600000002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3000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3000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44.481819999999992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489.6</v>
      </c>
      <c r="C293" s="46">
        <f>IFERROR(X32*H32,"0")+IFERROR(X33*H33,"0")</f>
        <v>0</v>
      </c>
      <c r="D293" s="46">
        <f>IFERROR(X39*H39,"0")+IFERROR(X40*H40,"0")</f>
        <v>441</v>
      </c>
      <c r="E293" s="46">
        <f>IFERROR(X45*H45,"0")+IFERROR(X46*H46,"0")+IFERROR(X47*H47,"0")</f>
        <v>604.79999999999995</v>
      </c>
      <c r="F293" s="46">
        <f>IFERROR(X52*H52,"0")+IFERROR(X53*H53,"0")+IFERROR(X54*H54,"0")+IFERROR(X55*H55,"0")</f>
        <v>1512</v>
      </c>
      <c r="G293" s="46">
        <f>IFERROR(X60*H60,"0")+IFERROR(X64*H64,"0")+IFERROR(X68*H68,"0")+IFERROR(X69*H69,"0")+IFERROR(X73*H73,"0")+IFERROR(X74*H74,"0")+IFERROR(X75*H75,"0")</f>
        <v>117.6</v>
      </c>
      <c r="H293" s="46">
        <f>IFERROR(X80*H80,"0")+IFERROR(X81*H81,"0")</f>
        <v>660</v>
      </c>
      <c r="I293" s="46">
        <f>IFERROR(X86*H86,"0")</f>
        <v>50.4</v>
      </c>
      <c r="J293" s="46">
        <f>IFERROR(X91*H91,"0")+IFERROR(X92*H92,"0")</f>
        <v>453.6</v>
      </c>
      <c r="K293" s="46">
        <f>IFERROR(X97*H97,"0")+IFERROR(X98*H98,"0")+IFERROR(X99*H99,"0")+IFERROR(X100*H100,"0")+IFERROR(X101*H101,"0")+IFERROR(X102*H102,"0")</f>
        <v>1214.6399999999999</v>
      </c>
      <c r="L293" s="46">
        <f>IFERROR(X107*H107,"0")+IFERROR(X108*H108,"0")</f>
        <v>100.8</v>
      </c>
      <c r="M293" s="46">
        <f>IFERROR(X113*H113,"0")+IFERROR(X114*H114,"0")+IFERROR(X115*H115,"0")+IFERROR(X116*H116,"0")+IFERROR(X117*H117,"0")+IFERROR(X118*H118,"0")+IFERROR(X119*H119,"0")+IFERROR(X123*H123,"0")+IFERROR(X127*H127,"0")</f>
        <v>1749.6</v>
      </c>
      <c r="N293" s="274"/>
      <c r="O293" s="46">
        <f>IFERROR(X132*H132,"0")+IFERROR(X133*H133,"0")+IFERROR(X134*H134,"0")+IFERROR(X138*H138,"0")+IFERROR(X139*H139,"0")+IFERROR(X140*H140,"0")</f>
        <v>103.32</v>
      </c>
      <c r="P293" s="46">
        <f>IFERROR(X145*H145,"0")+IFERROR(X146*H146,"0")</f>
        <v>336</v>
      </c>
      <c r="Q293" s="46">
        <f>IFERROR(X151*H151,"0")+IFERROR(X152*H152,"0")</f>
        <v>336</v>
      </c>
      <c r="R293" s="46">
        <f>IFERROR(X157*H157,"0")+IFERROR(X158*H158,"0")</f>
        <v>369.6</v>
      </c>
      <c r="S293" s="46">
        <f>IFERROR(X163*H163,"0")</f>
        <v>126</v>
      </c>
      <c r="T293" s="46">
        <f>IFERROR(X168*H168,"0")</f>
        <v>0</v>
      </c>
      <c r="U293" s="46">
        <f>IFERROR(X173*H173,"0")</f>
        <v>70.56</v>
      </c>
      <c r="V293" s="46">
        <f>IFERROR(X179*H179,"0")+IFERROR(X180*H180,"0")+IFERROR(X184*H184,"0")+IFERROR(X185*H185,"0")</f>
        <v>300</v>
      </c>
      <c r="W293" s="46">
        <f>IFERROR(X191*H191,"0")+IFERROR(X192*H192,"0")+IFERROR(X193*H193,"0")+IFERROR(X194*H194,"0")</f>
        <v>588</v>
      </c>
      <c r="X293" s="46">
        <f>IFERROR(X200*H200,"0")+IFERROR(X204*H204,"0")+IFERROR(X205*H205,"0")+IFERROR(X206*H206,"0")</f>
        <v>134.4</v>
      </c>
      <c r="Y293" s="46">
        <f>IFERROR(X211*H211,"0")+IFERROR(X212*H212,"0")</f>
        <v>0</v>
      </c>
      <c r="Z293" s="46">
        <f>IFERROR(X217*H217,"0")</f>
        <v>660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1201.2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5976</v>
      </c>
      <c r="B296" s="60">
        <f>SUMPRODUCT(--(BB:BB="ПГП"),--(W:W="кор"),H:H,Y:Y)+SUMPRODUCT(--(BB:BB="ПГП"),--(W:W="кг"),Y:Y)</f>
        <v>5643.12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4,64"/>
        <filter val="1 512,00"/>
        <filter val="1 749,60"/>
        <filter val="100,80"/>
        <filter val="108,00"/>
        <filter val="11 619,12"/>
        <filter val="112,00"/>
        <filter val="117,60"/>
        <filter val="12 900,38"/>
        <filter val="126,00"/>
        <filter val="13 775,38"/>
        <filter val="132,00"/>
        <filter val="134,40"/>
        <filter val="14,00"/>
        <filter val="142,00"/>
        <filter val="144,00"/>
        <filter val="154,00"/>
        <filter val="180,00"/>
        <filter val="182,00"/>
        <filter val="196,00"/>
        <filter val="216,00"/>
        <filter val="24,00"/>
        <filter val="252,00"/>
        <filter val="28,00"/>
        <filter val="294,00"/>
        <filter val="3 000,00"/>
        <filter val="300,00"/>
        <filter val="336,00"/>
        <filter val="35"/>
        <filter val="36,00"/>
        <filter val="369,60"/>
        <filter val="406,00"/>
        <filter val="42,00"/>
        <filter val="441,00"/>
        <filter val="45,36"/>
        <filter val="453,60"/>
        <filter val="457,80"/>
        <filter val="48,00"/>
        <filter val="489,60"/>
        <filter val="50,40"/>
        <filter val="56,00"/>
        <filter val="57,96"/>
        <filter val="588,00"/>
        <filter val="599,40"/>
        <filter val="60,00"/>
        <filter val="604,80"/>
        <filter val="660,00"/>
        <filter val="70,00"/>
        <filter val="70,56"/>
        <filter val="72,00"/>
        <filter val="84,00"/>
        <filter val="96,0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