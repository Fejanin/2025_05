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1FE4E6-7046-43D8-B0F9-799C0F38826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Y228" i="2" s="1"/>
  <c r="P213" i="2"/>
  <c r="X211" i="2"/>
  <c r="X210" i="2"/>
  <c r="BO209" i="2"/>
  <c r="BM209" i="2"/>
  <c r="Y209" i="2"/>
  <c r="Y211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Y92" i="2" s="1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Z264" i="2" l="1"/>
  <c r="BN264" i="2"/>
  <c r="Z139" i="2"/>
  <c r="BP373" i="2"/>
  <c r="BP53" i="2"/>
  <c r="Z209" i="2"/>
  <c r="Z210" i="2" s="1"/>
  <c r="BN209" i="2"/>
  <c r="BP209" i="2"/>
  <c r="Y210" i="2"/>
  <c r="Z318" i="2"/>
  <c r="Z419" i="2"/>
  <c r="X535" i="2"/>
  <c r="Z27" i="2"/>
  <c r="BN27" i="2"/>
  <c r="Z73" i="2"/>
  <c r="BN73" i="2"/>
  <c r="Z192" i="2"/>
  <c r="Z193" i="2" s="1"/>
  <c r="BN192" i="2"/>
  <c r="BP192" i="2"/>
  <c r="Y193" i="2"/>
  <c r="Z293" i="2"/>
  <c r="BN293" i="2"/>
  <c r="Z354" i="2"/>
  <c r="Z409" i="2"/>
  <c r="Z460" i="2"/>
  <c r="BN460" i="2"/>
  <c r="Y462" i="2"/>
  <c r="Z42" i="2"/>
  <c r="BN42" i="2"/>
  <c r="Z63" i="2"/>
  <c r="BN63" i="2"/>
  <c r="Z174" i="2"/>
  <c r="BN174" i="2"/>
  <c r="Z201" i="2"/>
  <c r="Z218" i="2"/>
  <c r="Z255" i="2"/>
  <c r="Y268" i="2"/>
  <c r="Z271" i="2"/>
  <c r="Z295" i="2"/>
  <c r="Z327" i="2"/>
  <c r="BN327" i="2"/>
  <c r="Z372" i="2"/>
  <c r="Z407" i="2"/>
  <c r="BN407" i="2"/>
  <c r="Z411" i="2"/>
  <c r="BN411" i="2"/>
  <c r="Z516" i="2"/>
  <c r="X538" i="2"/>
  <c r="BN170" i="2"/>
  <c r="BN203" i="2"/>
  <c r="BN217" i="2"/>
  <c r="BP219" i="2"/>
  <c r="BP221" i="2"/>
  <c r="X536" i="2"/>
  <c r="X537" i="2" s="1"/>
  <c r="X534" i="2"/>
  <c r="Y37" i="2"/>
  <c r="Z65" i="2"/>
  <c r="BN65" i="2"/>
  <c r="Z89" i="2"/>
  <c r="BN91" i="2"/>
  <c r="BP108" i="2"/>
  <c r="BN113" i="2"/>
  <c r="Z117" i="2"/>
  <c r="BN117" i="2"/>
  <c r="BN123" i="2"/>
  <c r="Z129" i="2"/>
  <c r="Z130" i="2" s="1"/>
  <c r="BN129" i="2"/>
  <c r="BP129" i="2"/>
  <c r="Y130" i="2"/>
  <c r="Z152" i="2"/>
  <c r="BN152" i="2"/>
  <c r="BN159" i="2"/>
  <c r="Z163" i="2"/>
  <c r="Z164" i="2" s="1"/>
  <c r="Z176" i="2"/>
  <c r="BN176" i="2"/>
  <c r="BP199" i="2"/>
  <c r="Z202" i="2"/>
  <c r="Z219" i="2"/>
  <c r="Z221" i="2"/>
  <c r="Z222" i="2"/>
  <c r="BN225" i="2"/>
  <c r="Z231" i="2"/>
  <c r="Z232" i="2"/>
  <c r="Z254" i="2"/>
  <c r="Z262" i="2"/>
  <c r="BN262" i="2"/>
  <c r="Z275" i="2"/>
  <c r="BN276" i="2"/>
  <c r="BN278" i="2"/>
  <c r="Z281" i="2"/>
  <c r="BN281" i="2"/>
  <c r="BP294" i="2"/>
  <c r="Z297" i="2"/>
  <c r="Z309" i="2"/>
  <c r="BP317" i="2"/>
  <c r="Z320" i="2"/>
  <c r="BN320" i="2"/>
  <c r="Z325" i="2"/>
  <c r="BN346" i="2"/>
  <c r="Y350" i="2"/>
  <c r="BP356" i="2"/>
  <c r="BN357" i="2"/>
  <c r="BP393" i="2"/>
  <c r="BN394" i="2"/>
  <c r="BP399" i="2"/>
  <c r="BN400" i="2"/>
  <c r="BP413" i="2"/>
  <c r="BN429" i="2"/>
  <c r="BN445" i="2"/>
  <c r="BN454" i="2"/>
  <c r="BN482" i="2"/>
  <c r="Y165" i="2"/>
  <c r="BP202" i="2"/>
  <c r="BP231" i="2"/>
  <c r="BP297" i="2"/>
  <c r="BP309" i="2"/>
  <c r="BN310" i="2"/>
  <c r="BN336" i="2"/>
  <c r="BP353" i="2"/>
  <c r="Z356" i="2"/>
  <c r="BN362" i="2"/>
  <c r="Z365" i="2"/>
  <c r="BN366" i="2"/>
  <c r="Z368" i="2"/>
  <c r="BN368" i="2"/>
  <c r="BP372" i="2"/>
  <c r="Z374" i="2"/>
  <c r="Y383" i="2"/>
  <c r="BN380" i="2"/>
  <c r="Z381" i="2"/>
  <c r="BN387" i="2"/>
  <c r="Z393" i="2"/>
  <c r="Y395" i="2"/>
  <c r="Z399" i="2"/>
  <c r="BP408" i="2"/>
  <c r="Z413" i="2"/>
  <c r="BP418" i="2"/>
  <c r="Y430" i="2"/>
  <c r="BN452" i="2"/>
  <c r="Y463" i="2"/>
  <c r="BN497" i="2"/>
  <c r="BN499" i="2"/>
  <c r="Z512" i="2"/>
  <c r="Z513" i="2" s="1"/>
  <c r="BP51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298" i="2" l="1"/>
  <c r="Z235" i="2"/>
  <c r="Z426" i="2"/>
  <c r="Z184" i="2"/>
  <c r="Z46" i="2"/>
  <c r="Z395" i="2"/>
  <c r="Z349" i="2"/>
  <c r="Z321" i="2"/>
  <c r="Z359" i="2"/>
  <c r="Z402" i="2"/>
  <c r="Z312" i="2"/>
  <c r="Z376" i="2"/>
  <c r="Z518" i="2"/>
  <c r="Z92" i="2"/>
  <c r="Z55" i="2"/>
  <c r="Z389" i="2"/>
  <c r="Z32" i="2"/>
  <c r="Z527" i="2"/>
  <c r="Z473" i="2"/>
  <c r="Z382" i="2"/>
  <c r="Z415" i="2"/>
  <c r="Z282" i="2"/>
  <c r="Z99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<sst xmlns="http://schemas.openxmlformats.org/spreadsheetml/2006/main" count="4040" uniqueCount="856">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</sst>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46216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hidden="1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hidden="1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hidden="1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hidden="1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35</v>
      </c>
      <c r="Y51" s="55">
        <f>IFERROR(IF(X51="",0,CEILING((X51/$H51),1)*$H51),"")</f>
        <v>43.2</v>
      </c>
      <c r="Z51" s="41">
        <f>IFERROR(IF(Y51=0,"",ROUNDUP(Y51/H51,0)*0.01898),"")</f>
        <v>7.5920000000000001E-2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36.328703703703702</v>
      </c>
      <c r="BN51" s="78">
        <f>IFERROR(Y51*I51/H51,"0")</f>
        <v>44.84</v>
      </c>
      <c r="BO51" s="78">
        <f>IFERROR(1/J51*(X51/H51),"0")</f>
        <v>5.063657407407407E-2</v>
      </c>
      <c r="BP51" s="78">
        <f>IFERROR(1/J51*(Y51/H51),"0")</f>
        <v>6.25E-2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5.2407407407407405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9.3960000000000002E-2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43</v>
      </c>
      <c r="Y56" s="43">
        <f>IFERROR(SUM(Y51:Y54),"0")</f>
        <v>51.2</v>
      </c>
      <c r="Z56" s="42"/>
      <c r="AA56" s="67"/>
      <c r="AB56" s="67"/>
      <c r="AC56" s="67"/>
    </row>
    <row r="57" spans="1:68" ht="16.5" hidden="1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hidden="1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40</v>
      </c>
      <c r="Y61" s="55">
        <f t="shared" si="0"/>
        <v>43.2</v>
      </c>
      <c r="Z61" s="41">
        <f>IFERROR(IF(Y61=0,"",ROUNDUP(Y61/H61,0)*0.01898),"")</f>
        <v>7.5920000000000001E-2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41.518518518518519</v>
      </c>
      <c r="BN61" s="78">
        <f t="shared" si="2"/>
        <v>44.84</v>
      </c>
      <c r="BO61" s="78">
        <f t="shared" si="3"/>
        <v>5.7870370370370364E-2</v>
      </c>
      <c r="BP61" s="78">
        <f t="shared" si="4"/>
        <v>6.25E-2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5.7037037037037033</v>
      </c>
      <c r="Y67" s="43">
        <f>IFERROR(Y59/H59,"0")+IFERROR(Y60/H60,"0")+IFERROR(Y61/H61,"0")+IFERROR(Y62/H62,"0")+IFERROR(Y63/H63,"0")+IFERROR(Y64/H64,"0")+IFERROR(Y65/H65,"0")+IFERROR(Y66/H66,"0")</f>
        <v>6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9.3960000000000002E-2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49</v>
      </c>
      <c r="Y68" s="43">
        <f>IFERROR(SUM(Y59:Y66),"0")</f>
        <v>52.2</v>
      </c>
      <c r="Z68" s="42"/>
      <c r="AA68" s="67"/>
      <c r="AB68" s="67"/>
      <c r="AC68" s="67"/>
    </row>
    <row r="69" spans="1:68" ht="14.25" hidden="1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20</v>
      </c>
      <c r="Y70" s="55">
        <f>IFERROR(IF(X70="",0,CEILING((X70/$H70),1)*$H70),"")</f>
        <v>21.6</v>
      </c>
      <c r="Z70" s="41">
        <f>IFERROR(IF(Y70=0,"",ROUNDUP(Y70/H70,0)*0.01898),"")</f>
        <v>3.7960000000000001E-2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20.75925925925926</v>
      </c>
      <c r="BN70" s="78">
        <f>IFERROR(Y70*I70/H70,"0")</f>
        <v>22.42</v>
      </c>
      <c r="BO70" s="78">
        <f>IFERROR(1/J70*(X70/H70),"0")</f>
        <v>2.8935185185185182E-2</v>
      </c>
      <c r="BP70" s="78">
        <f>IFERROR(1/J70*(Y70/H70),"0")</f>
        <v>3.125E-2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</v>
      </c>
      <c r="Y73" s="55">
        <f>IFERROR(IF(X73="",0,CEILING((X73/$H73),1)*$H73),"")</f>
        <v>10.8</v>
      </c>
      <c r="Z73" s="41">
        <f>IFERROR(IF(Y73=0,"",ROUNDUP(Y73/H73,0)*0.00651),"")</f>
        <v>2.6040000000000001E-2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9.5999999999999979</v>
      </c>
      <c r="BN73" s="78">
        <f>IFERROR(Y73*I73/H73,"0")</f>
        <v>11.52</v>
      </c>
      <c r="BO73" s="78">
        <f>IFERROR(1/J73*(X73/H73),"0")</f>
        <v>1.8315018315018316E-2</v>
      </c>
      <c r="BP73" s="78">
        <f>IFERROR(1/J73*(Y73/H73),"0")</f>
        <v>2.197802197802198E-2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5.1851851851851851</v>
      </c>
      <c r="Y74" s="43">
        <f>IFERROR(Y70/H70,"0")+IFERROR(Y71/H71,"0")+IFERROR(Y72/H72,"0")+IFERROR(Y73/H73,"0")</f>
        <v>6</v>
      </c>
      <c r="Z74" s="43">
        <f>IFERROR(IF(Z70="",0,Z70),"0")+IFERROR(IF(Z71="",0,Z71),"0")+IFERROR(IF(Z72="",0,Z72),"0")+IFERROR(IF(Z73="",0,Z73),"0")</f>
        <v>6.4000000000000001E-2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29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45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46.708333333333336</v>
      </c>
      <c r="BN88" s="78">
        <f>IFERROR(Y88*I88/H88,"0")</f>
        <v>56.05</v>
      </c>
      <c r="BO88" s="78">
        <f>IFERROR(1/J88*(X88/H88),"0")</f>
        <v>6.5104166666666657E-2</v>
      </c>
      <c r="BP88" s="78">
        <f>IFERROR(1/J88*(Y88/H88),"0")</f>
        <v>7.8125E-2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4.1666666666666661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45</v>
      </c>
      <c r="Y93" s="43">
        <f>IFERROR(SUM(Y88:Y91),"0")</f>
        <v>54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35</v>
      </c>
      <c r="Y95" s="55">
        <f>IFERROR(IF(X95="",0,CEILING((X95/$H95),1)*$H95),"")</f>
        <v>40.5</v>
      </c>
      <c r="Z95" s="41">
        <f>IFERROR(IF(Y95=0,"",ROUNDUP(Y95/H95,0)*0.01898),"")</f>
        <v>9.4899999999999998E-2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37.134567901234568</v>
      </c>
      <c r="BN95" s="78">
        <f>IFERROR(Y95*I95/H95,"0")</f>
        <v>42.97</v>
      </c>
      <c r="BO95" s="78">
        <f>IFERROR(1/J95*(X95/H95),"0")</f>
        <v>6.751543209876544E-2</v>
      </c>
      <c r="BP95" s="78">
        <f>IFERROR(1/J95*(Y95/H95),"0")</f>
        <v>7.8125E-2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4.3209876543209882</v>
      </c>
      <c r="Y99" s="43">
        <f>IFERROR(Y95/H95,"0")+IFERROR(Y96/H96,"0")+IFERROR(Y97/H97,"0")+IFERROR(Y98/H98,"0")</f>
        <v>5</v>
      </c>
      <c r="Z99" s="43">
        <f>IFERROR(IF(Z95="",0,Z95),"0")+IFERROR(IF(Z96="",0,Z96),"0")+IFERROR(IF(Z97="",0,Z97),"0")+IFERROR(IF(Z98="",0,Z98),"0")</f>
        <v>9.4899999999999998E-2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35</v>
      </c>
      <c r="Y100" s="43">
        <f>IFERROR(SUM(Y95:Y98),"0")</f>
        <v>40.5</v>
      </c>
      <c r="Z100" s="42"/>
      <c r="AA100" s="67"/>
      <c r="AB100" s="67"/>
      <c r="AC100" s="67"/>
    </row>
    <row r="101" spans="1:68" ht="16.5" hidden="1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2.7777777777777777</v>
      </c>
      <c r="Y109" s="43">
        <f>IFERROR(Y103/H103,"0")+IFERROR(Y104/H104,"0")+IFERROR(Y105/H105,"0")+IFERROR(Y106/H106,"0")+IFERROR(Y107/H107,"0")+IFERROR(Y108/H108,"0")</f>
        <v>3.0000000000000004</v>
      </c>
      <c r="Z109" s="43">
        <f>IFERROR(IF(Z103="",0,Z103),"0")+IFERROR(IF(Z104="",0,Z104),"0")+IFERROR(IF(Z105="",0,Z105),"0")+IFERROR(IF(Z106="",0,Z106),"0")+IFERROR(IF(Z107="",0,Z107),"0")+IFERROR(IF(Z108="",0,Z108),"0")</f>
        <v>5.6940000000000004E-2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30</v>
      </c>
      <c r="Y110" s="43">
        <f>IFERROR(SUM(Y103:Y108),"0")</f>
        <v>32.400000000000006</v>
      </c>
      <c r="Z110" s="42"/>
      <c r="AA110" s="67"/>
      <c r="AB110" s="67"/>
      <c r="AC110" s="67"/>
    </row>
    <row r="111" spans="1:68" ht="14.25" hidden="1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70</v>
      </c>
      <c r="Y122" s="55">
        <f>IFERROR(IF(X122="",0,CEILING((X122/$H122),1)*$H122),"")</f>
        <v>72.899999999999991</v>
      </c>
      <c r="Z122" s="41">
        <f>IFERROR(IF(Y122=0,"",ROUNDUP(Y122/H122,0)*0.01898),"")</f>
        <v>0.17082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74.217283950617286</v>
      </c>
      <c r="BN122" s="78">
        <f>IFERROR(Y122*I122/H122,"0")</f>
        <v>77.291999999999987</v>
      </c>
      <c r="BO122" s="78">
        <f>IFERROR(1/J122*(X122/H122),"0")</f>
        <v>0.13503086419753088</v>
      </c>
      <c r="BP122" s="78">
        <f>IFERROR(1/J122*(Y122/H122),"0")</f>
        <v>0.140625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13.5</v>
      </c>
      <c r="Y124" s="55">
        <f>IFERROR(IF(X124="",0,CEILING((X124/$H124),1)*$H124),"")</f>
        <v>13.5</v>
      </c>
      <c r="Z124" s="41">
        <f>IFERROR(IF(Y124=0,"",ROUNDUP(Y124/H124,0)*0.00651),"")</f>
        <v>3.2550000000000003E-2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14.759999999999998</v>
      </c>
      <c r="BN124" s="78">
        <f>IFERROR(Y124*I124/H124,"0")</f>
        <v>14.759999999999998</v>
      </c>
      <c r="BO124" s="78">
        <f>IFERROR(1/J124*(X124/H124),"0")</f>
        <v>2.7472527472527476E-2</v>
      </c>
      <c r="BP124" s="78">
        <f>IFERROR(1/J124*(Y124/H124),"0")</f>
        <v>2.7472527472527476E-2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13.641975308641976</v>
      </c>
      <c r="Y126" s="43">
        <f>IFERROR(Y122/H122,"0")+IFERROR(Y123/H123,"0")+IFERROR(Y124/H124,"0")+IFERROR(Y125/H125,"0")</f>
        <v>14</v>
      </c>
      <c r="Z126" s="43">
        <f>IFERROR(IF(Z122="",0,Z122),"0")+IFERROR(IF(Z123="",0,Z123),"0")+IFERROR(IF(Z124="",0,Z124),"0")+IFERROR(IF(Z125="",0,Z125),"0")</f>
        <v>0.20337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83.5</v>
      </c>
      <c r="Y127" s="43">
        <f>IFERROR(SUM(Y122:Y125),"0")</f>
        <v>86.399999999999991</v>
      </c>
      <c r="Z127" s="42"/>
      <c r="AA127" s="67"/>
      <c r="AB127" s="67"/>
      <c r="AC127" s="67"/>
    </row>
    <row r="128" spans="1:68" ht="14.25" hidden="1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hidden="1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hidden="1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hidden="1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hidden="1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hidden="1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hidden="1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2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310.55555555555554</v>
      </c>
      <c r="BN259" s="78">
        <f t="shared" ref="BN259:BN266" si="34">IFERROR(Y259*I259/H259,"0")</f>
        <v>313.04000000000002</v>
      </c>
      <c r="BO259" s="78">
        <f t="shared" ref="BO259:BO266" si="35">IFERROR(1/J259*(X259/H259),"0")</f>
        <v>0.42087542087542085</v>
      </c>
      <c r="BP259" s="78">
        <f t="shared" ref="BP259:BP266" si="36">IFERROR(1/J259*(Y259/H259),"0")</f>
        <v>0.42424242424242425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2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31.05555555555555</v>
      </c>
      <c r="BN260" s="78">
        <f t="shared" si="34"/>
        <v>33.54</v>
      </c>
      <c r="BO260" s="78">
        <f t="shared" si="35"/>
        <v>4.208754208754209E-2</v>
      </c>
      <c r="BP260" s="78">
        <f t="shared" si="36"/>
        <v>4.5454545454545463E-2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45</v>
      </c>
      <c r="Y261" s="55">
        <f t="shared" si="32"/>
        <v>48.6</v>
      </c>
      <c r="Z261" s="41">
        <f>IFERROR(IF(Y261=0,"",ROUNDUP(Y261/H261,0)*0.00902),"")</f>
        <v>8.1180000000000002E-2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46.583333333333329</v>
      </c>
      <c r="BN261" s="78">
        <f t="shared" si="34"/>
        <v>50.309999999999995</v>
      </c>
      <c r="BO261" s="78">
        <f t="shared" si="35"/>
        <v>6.3131313131313122E-2</v>
      </c>
      <c r="BP261" s="78">
        <f t="shared" si="36"/>
        <v>6.8181818181818177E-2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69.444444444444443</v>
      </c>
      <c r="Y267" s="43">
        <f>IFERROR(Y259/H259,"0")+IFERROR(Y260/H260,"0")+IFERROR(Y261/H261,"0")+IFERROR(Y262/H262,"0")+IFERROR(Y263/H263,"0")+IFERROR(Y264/H264,"0")+IFERROR(Y265/H265,"0")+IFERROR(Y266/H266,"0")</f>
        <v>71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0.64041999999999999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375</v>
      </c>
      <c r="Y268" s="43">
        <f>IFERROR(SUM(Y259:Y266),"0")</f>
        <v>383.40000000000009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8</v>
      </c>
      <c r="Y273" s="55">
        <f t="shared" si="37"/>
        <v>9.6</v>
      </c>
      <c r="Z273" s="41">
        <f>IFERROR(IF(Y273=0,"",ROUNDUP(Y273/H273,0)*0.00651),"")</f>
        <v>2.6040000000000001E-2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8.9</v>
      </c>
      <c r="BN273" s="78">
        <f t="shared" si="39"/>
        <v>10.68</v>
      </c>
      <c r="BO273" s="78">
        <f t="shared" si="40"/>
        <v>1.8315018315018316E-2</v>
      </c>
      <c r="BP273" s="78">
        <f t="shared" si="41"/>
        <v>2.197802197802198E-2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3.3333333333333335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2.6040000000000001E-2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8</v>
      </c>
      <c r="Y283" s="43">
        <f>IFERROR(SUM(Y270:Y281),"0")</f>
        <v>9.6</v>
      </c>
      <c r="Z283" s="42"/>
      <c r="AA283" s="67"/>
      <c r="AB283" s="67"/>
      <c r="AC283" s="67"/>
    </row>
    <row r="284" spans="1:68" ht="14.25" hidden="1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</v>
      </c>
      <c r="Y326" s="55">
        <f>IFERROR(IF(X326="",0,CEILING((X326/$H326),1)*$H326),"")</f>
        <v>4.8</v>
      </c>
      <c r="Z326" s="41">
        <f>IFERROR(IF(Y326=0,"",ROUNDUP(Y326/H326,0)*0.00651),"")</f>
        <v>1.302E-2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4.4200000000000008</v>
      </c>
      <c r="BN326" s="78">
        <f>IFERROR(Y326*I326/H326,"0")</f>
        <v>5.3040000000000003</v>
      </c>
      <c r="BO326" s="78">
        <f>IFERROR(1/J326*(X326/H326),"0")</f>
        <v>9.1575091575091579E-3</v>
      </c>
      <c r="BP326" s="78">
        <f>IFERROR(1/J326*(Y326/H326),"0")</f>
        <v>1.098901098901099E-2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6</v>
      </c>
      <c r="Y327" s="55">
        <f>IFERROR(IF(X327="",0,CEILING((X327/$H327),1)*$H327),"")</f>
        <v>7.1999999999999993</v>
      </c>
      <c r="Z327" s="41">
        <f>IFERROR(IF(Y327=0,"",ROUNDUP(Y327/H327,0)*0.00651),"")</f>
        <v>1.9529999999999999E-2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6.45</v>
      </c>
      <c r="BN327" s="78">
        <f>IFERROR(Y327*I327/H327,"0")</f>
        <v>7.7399999999999993</v>
      </c>
      <c r="BO327" s="78">
        <f>IFERROR(1/J327*(X327/H327),"0")</f>
        <v>1.3736263736263738E-2</v>
      </c>
      <c r="BP327" s="78">
        <f>IFERROR(1/J327*(Y327/H327),"0")</f>
        <v>1.6483516483516484E-2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4.166666666666667</v>
      </c>
      <c r="Y328" s="43">
        <f>IFERROR(Y325/H325,"0")+IFERROR(Y326/H326,"0")+IFERROR(Y327/H327,"0")</f>
        <v>5</v>
      </c>
      <c r="Z328" s="43">
        <f>IFERROR(IF(Z325="",0,Z325),"0")+IFERROR(IF(Z326="",0,Z326),"0")+IFERROR(IF(Z327="",0,Z327),"0")</f>
        <v>3.2549999999999996E-2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10</v>
      </c>
      <c r="Y329" s="43">
        <f>IFERROR(SUM(Y325:Y327),"0")</f>
        <v>12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15</v>
      </c>
      <c r="Y363" s="55">
        <f t="shared" si="52"/>
        <v>16.8</v>
      </c>
      <c r="Z363" s="41">
        <f>IFERROR(IF(Y363=0,"",ROUNDUP(Y363/H363,0)*0.00902),"")</f>
        <v>3.6080000000000001E-2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15.892857142857142</v>
      </c>
      <c r="BN363" s="78">
        <f t="shared" si="54"/>
        <v>17.8</v>
      </c>
      <c r="BO363" s="78">
        <f t="shared" si="55"/>
        <v>2.7056277056277056E-2</v>
      </c>
      <c r="BP363" s="78">
        <f t="shared" si="56"/>
        <v>3.0303030303030304E-2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3.5714285714285712</v>
      </c>
      <c r="Y369" s="43">
        <f>IFERROR(Y362/H362,"0")+IFERROR(Y363/H363,"0")+IFERROR(Y364/H364,"0")+IFERROR(Y365/H365,"0")+IFERROR(Y366/H366,"0")+IFERROR(Y367/H367,"0")+IFERROR(Y368/H368,"0")</f>
        <v>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3.6080000000000001E-2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15</v>
      </c>
      <c r="Y370" s="43">
        <f>IFERROR(SUM(Y362:Y368),"0")</f>
        <v>16.8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15</v>
      </c>
      <c r="Y399" s="55">
        <f>IFERROR(IF(X399="",0,CEILING((X399/$H399),1)*$H399),"")</f>
        <v>16.2</v>
      </c>
      <c r="Z399" s="41">
        <f>IFERROR(IF(Y399=0,"",ROUNDUP(Y399/H399,0)*0.01898),"")</f>
        <v>3.7960000000000001E-2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15.914814814814815</v>
      </c>
      <c r="BN399" s="78">
        <f>IFERROR(Y399*I399/H399,"0")</f>
        <v>17.187999999999999</v>
      </c>
      <c r="BO399" s="78">
        <f>IFERROR(1/J399*(X399/H399),"0")</f>
        <v>2.8935185185185185E-2</v>
      </c>
      <c r="BP399" s="78">
        <f>IFERROR(1/J399*(Y399/H399),"0")</f>
        <v>3.125E-2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42</v>
      </c>
      <c r="Y400" s="55">
        <f>IFERROR(IF(X400="",0,CEILING((X400/$H400),1)*$H400),"")</f>
        <v>42</v>
      </c>
      <c r="Z400" s="41">
        <f>IFERROR(IF(Y400=0,"",ROUNDUP(Y400/H400,0)*0.00651),"")</f>
        <v>0.13020000000000001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47.039999999999992</v>
      </c>
      <c r="BN400" s="78">
        <f>IFERROR(Y400*I400/H400,"0")</f>
        <v>47.039999999999992</v>
      </c>
      <c r="BO400" s="78">
        <f>IFERROR(1/J400*(X400/H400),"0")</f>
        <v>0.1098901098901099</v>
      </c>
      <c r="BP400" s="78">
        <f>IFERROR(1/J400*(Y400/H400),"0")</f>
        <v>0.1098901098901099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28</v>
      </c>
      <c r="Y401" s="55">
        <f>IFERROR(IF(X401="",0,CEILING((X401/$H401),1)*$H401),"")</f>
        <v>29.400000000000002</v>
      </c>
      <c r="Z401" s="41">
        <f>IFERROR(IF(Y401=0,"",ROUNDUP(Y401/H401,0)*0.00651),"")</f>
        <v>9.1139999999999999E-2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31.199999999999996</v>
      </c>
      <c r="BN401" s="78">
        <f>IFERROR(Y401*I401/H401,"0")</f>
        <v>32.760000000000005</v>
      </c>
      <c r="BO401" s="78">
        <f>IFERROR(1/J401*(X401/H401),"0")</f>
        <v>7.3260073260073263E-2</v>
      </c>
      <c r="BP401" s="78">
        <f>IFERROR(1/J401*(Y401/H401),"0")</f>
        <v>7.6923076923076927E-2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35.185185185185183</v>
      </c>
      <c r="Y402" s="43">
        <f>IFERROR(Y399/H399,"0")+IFERROR(Y400/H400,"0")+IFERROR(Y401/H401,"0")</f>
        <v>36</v>
      </c>
      <c r="Z402" s="43">
        <f>IFERROR(IF(Z399="",0,Z399),"0")+IFERROR(IF(Z400="",0,Z400),"0")+IFERROR(IF(Z401="",0,Z401),"0")</f>
        <v>0.25929999999999997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85</v>
      </c>
      <c r="Y403" s="43">
        <f>IFERROR(SUM(Y399:Y401),"0")</f>
        <v>87.600000000000009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100</v>
      </c>
      <c r="Y408" s="55">
        <f t="shared" si="57"/>
        <v>105</v>
      </c>
      <c r="Z408" s="41">
        <f>IFERROR(IF(Y408=0,"",ROUNDUP(Y408/H408,0)*0.02175),"")</f>
        <v>0.15225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103.13333333333334</v>
      </c>
      <c r="BN408" s="78">
        <f t="shared" si="59"/>
        <v>108.29</v>
      </c>
      <c r="BO408" s="78">
        <f t="shared" si="60"/>
        <v>0.1388888888888889</v>
      </c>
      <c r="BP408" s="78">
        <f t="shared" si="61"/>
        <v>0.14583333333333331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200</v>
      </c>
      <c r="Y409" s="55">
        <f t="shared" si="57"/>
        <v>210</v>
      </c>
      <c r="Z409" s="41">
        <f>IFERROR(IF(Y409=0,"",ROUNDUP(Y409/H409,0)*0.02175),"")</f>
        <v>0.30449999999999999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206.26666666666668</v>
      </c>
      <c r="BN409" s="78">
        <f t="shared" si="59"/>
        <v>216.58</v>
      </c>
      <c r="BO409" s="78">
        <f t="shared" si="60"/>
        <v>0.27777777777777779</v>
      </c>
      <c r="BP409" s="78">
        <f t="shared" si="61"/>
        <v>0.29166666666666663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500</v>
      </c>
      <c r="Y410" s="55">
        <f t="shared" si="57"/>
        <v>510</v>
      </c>
      <c r="Z410" s="41">
        <f>IFERROR(IF(Y410=0,"",ROUNDUP(Y410/H410,0)*0.02175),"")</f>
        <v>0.73949999999999994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515.66666666666663</v>
      </c>
      <c r="BN410" s="78">
        <f t="shared" si="59"/>
        <v>525.98</v>
      </c>
      <c r="BO410" s="78">
        <f t="shared" si="60"/>
        <v>0.69444444444444442</v>
      </c>
      <c r="BP410" s="78">
        <f t="shared" si="61"/>
        <v>0.70833333333333326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53.333333333333336</v>
      </c>
      <c r="Y415" s="43">
        <f>IFERROR(Y407/H407,"0")+IFERROR(Y408/H408,"0")+IFERROR(Y409/H409,"0")+IFERROR(Y410/H410,"0")+IFERROR(Y411/H411,"0")+IFERROR(Y412/H412,"0")+IFERROR(Y413/H413,"0")+IFERROR(Y414/H414,"0")</f>
        <v>55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1.19625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800</v>
      </c>
      <c r="Y416" s="43">
        <f>IFERROR(SUM(Y407:Y414),"0")</f>
        <v>825</v>
      </c>
      <c r="Z416" s="42"/>
      <c r="AA416" s="67"/>
      <c r="AB416" s="67"/>
      <c r="AC416" s="67"/>
    </row>
    <row r="417" spans="1:68" ht="14.25" hidden="1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300</v>
      </c>
      <c r="Y418" s="55">
        <f>IFERROR(IF(X418="",0,CEILING((X418/$H418),1)*$H418),"")</f>
        <v>300</v>
      </c>
      <c r="Z418" s="41">
        <f>IFERROR(IF(Y418=0,"",ROUNDUP(Y418/H418,0)*0.02175),"")</f>
        <v>0.43499999999999994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309.39999999999998</v>
      </c>
      <c r="BN418" s="78">
        <f>IFERROR(Y418*I418/H418,"0")</f>
        <v>309.39999999999998</v>
      </c>
      <c r="BO418" s="78">
        <f>IFERROR(1/J418*(X418/H418),"0")</f>
        <v>0.41666666666666663</v>
      </c>
      <c r="BP418" s="78">
        <f>IFERROR(1/J418*(Y418/H418),"0")</f>
        <v>0.41666666666666663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20</v>
      </c>
      <c r="Y421" s="43">
        <f>IFERROR(Y418/H418,"0")+IFERROR(Y419/H419,"0")+IFERROR(Y420/H420,"0")</f>
        <v>20</v>
      </c>
      <c r="Z421" s="43">
        <f>IFERROR(IF(Z418="",0,Z418),"0")+IFERROR(IF(Z419="",0,Z419),"0")+IFERROR(IF(Z420="",0,Z420),"0")</f>
        <v>0.43499999999999994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300</v>
      </c>
      <c r="Y422" s="43">
        <f>IFERROR(SUM(Y418:Y420),"0")</f>
        <v>300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15</v>
      </c>
      <c r="Y434" s="55">
        <f>IFERROR(IF(X434="",0,CEILING((X434/$H434),1)*$H434),"")</f>
        <v>24</v>
      </c>
      <c r="Z434" s="41">
        <f>IFERROR(IF(Y434=0,"",ROUNDUP(Y434/H434,0)*0.01898),"")</f>
        <v>3.7960000000000001E-2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15.512500000000001</v>
      </c>
      <c r="BN434" s="78">
        <f>IFERROR(Y434*I434/H434,"0")</f>
        <v>24.820000000000004</v>
      </c>
      <c r="BO434" s="78">
        <f>IFERROR(1/J434*(X434/H434),"0")</f>
        <v>1.953125E-2</v>
      </c>
      <c r="BP434" s="78">
        <f>IFERROR(1/J434*(Y434/H434),"0")</f>
        <v>3.125E-2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1.25</v>
      </c>
      <c r="Y436" s="43">
        <f>IFERROR(Y434/H434,"0")+IFERROR(Y435/H435,"0")</f>
        <v>2</v>
      </c>
      <c r="Z436" s="43">
        <f>IFERROR(IF(Z434="",0,Z434),"0")+IFERROR(IF(Z435="",0,Z435),"0")</f>
        <v>3.7960000000000001E-2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15</v>
      </c>
      <c r="Y437" s="43">
        <f>IFERROR(SUM(Y434:Y435),"0")</f>
        <v>24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15</v>
      </c>
      <c r="Y470" s="55">
        <f>IFERROR(IF(X470="",0,CEILING((X470/$H470),1)*$H470),"")</f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15.527777777777775</v>
      </c>
      <c r="BN470" s="78">
        <f>IFERROR(Y470*I470/H470,"0")</f>
        <v>16.77</v>
      </c>
      <c r="BO470" s="78">
        <f>IFERROR(1/J470*(X470/H470),"0")</f>
        <v>2.1043771043771045E-2</v>
      </c>
      <c r="BP470" s="78">
        <f>IFERROR(1/J470*(Y470/H470),"0")</f>
        <v>2.2727272727272731E-2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7</v>
      </c>
      <c r="Y472" s="55">
        <f>IFERROR(IF(X472="",0,CEILING((X472/$H472),1)*$H472),"")</f>
        <v>8.4</v>
      </c>
      <c r="Z472" s="41">
        <f>IFERROR(IF(Y472=0,"",ROUNDUP(Y472/H472,0)*0.00502),"")</f>
        <v>2.0080000000000001E-2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7.4333333333333327</v>
      </c>
      <c r="BN472" s="78">
        <f>IFERROR(Y472*I472/H472,"0")</f>
        <v>8.92</v>
      </c>
      <c r="BO472" s="78">
        <f>IFERROR(1/J472*(X472/H472),"0")</f>
        <v>1.4245014245014245E-2</v>
      </c>
      <c r="BP472" s="78">
        <f>IFERROR(1/J472*(Y472/H472),"0")</f>
        <v>1.7094017094017096E-2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6.1111111111111107</v>
      </c>
      <c r="Y473" s="43">
        <f>IFERROR(Y470/H470,"0")+IFERROR(Y471/H471,"0")+IFERROR(Y472/H472,"0")</f>
        <v>7</v>
      </c>
      <c r="Z473" s="43">
        <f>IFERROR(IF(Z470="",0,Z470),"0")+IFERROR(IF(Z471="",0,Z471),"0")+IFERROR(IF(Z472="",0,Z472),"0")</f>
        <v>4.7140000000000001E-2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22</v>
      </c>
      <c r="Y474" s="43">
        <f>IFERROR(SUM(Y470:Y472),"0")</f>
        <v>24.6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30</v>
      </c>
      <c r="Y478" s="55">
        <f t="shared" ref="Y478:Y486" si="67">IFERROR(IF(X478="",0,CEILING((X478/$H478),1)*$H478),"")</f>
        <v>31.68</v>
      </c>
      <c r="Z478" s="41">
        <f t="shared" ref="Z478:Z483" si="68">IFERROR(IF(Y478=0,"",ROUNDUP(Y478/H478,0)*0.01196),"")</f>
        <v>7.1760000000000004E-2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31.988636363636363</v>
      </c>
      <c r="BN478" s="78">
        <f t="shared" ref="BN478:BN486" si="70">IFERROR(Y478*I478/H478,"0")</f>
        <v>33.779999999999994</v>
      </c>
      <c r="BO478" s="78">
        <f t="shared" ref="BO478:BO486" si="71">IFERROR(1/J478*(X478/H478),"0")</f>
        <v>5.4632867132867136E-2</v>
      </c>
      <c r="BP478" s="78">
        <f t="shared" ref="BP478:BP486" si="72">IFERROR(1/J478*(Y478/H478),"0")</f>
        <v>5.7692307692307696E-2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80</v>
      </c>
      <c r="Y483" s="55">
        <f t="shared" si="67"/>
        <v>84.48</v>
      </c>
      <c r="Z483" s="41">
        <f t="shared" si="68"/>
        <v>0.19136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85.303030303030297</v>
      </c>
      <c r="BN483" s="78">
        <f t="shared" si="70"/>
        <v>90.08</v>
      </c>
      <c r="BO483" s="78">
        <f t="shared" si="71"/>
        <v>0.14568764568764569</v>
      </c>
      <c r="BP483" s="78">
        <f t="shared" si="72"/>
        <v>0.15384615384615385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20.833333333333332</v>
      </c>
      <c r="Y487" s="43">
        <f>IFERROR(Y478/H478,"0")+IFERROR(Y479/H479,"0")+IFERROR(Y480/H480,"0")+IFERROR(Y481/H481,"0")+IFERROR(Y482/H482,"0")+IFERROR(Y483/H483,"0")+IFERROR(Y484/H484,"0")+IFERROR(Y485/H485,"0")+IFERROR(Y486/H486,"0")</f>
        <v>22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0.26312000000000002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110</v>
      </c>
      <c r="Y488" s="43">
        <f>IFERROR(SUM(Y478:Y486),"0")</f>
        <v>116.16</v>
      </c>
      <c r="Z488" s="42"/>
      <c r="AA488" s="67"/>
      <c r="AB488" s="67"/>
      <c r="AC488" s="67"/>
    </row>
    <row r="489" spans="1:68" ht="14.25" hidden="1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45</v>
      </c>
      <c r="Y490" s="55">
        <f>IFERROR(IF(X490="",0,CEILING((X490/$H490),1)*$H490),"")</f>
        <v>47.52</v>
      </c>
      <c r="Z490" s="41">
        <f>IFERROR(IF(Y490=0,"",ROUNDUP(Y490/H490,0)*0.01196),"")</f>
        <v>0.10764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47.98295454545454</v>
      </c>
      <c r="BN490" s="78">
        <f>IFERROR(Y490*I490/H490,"0")</f>
        <v>50.669999999999995</v>
      </c>
      <c r="BO490" s="78">
        <f>IFERROR(1/J490*(X490/H490),"0")</f>
        <v>8.1949300699300689E-2</v>
      </c>
      <c r="BP490" s="78">
        <f>IFERROR(1/J490*(Y490/H490),"0")</f>
        <v>8.6538461538461536E-2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8.5227272727272716</v>
      </c>
      <c r="Y493" s="43">
        <f>IFERROR(Y490/H490,"0")+IFERROR(Y491/H491,"0")+IFERROR(Y492/H492,"0")</f>
        <v>9</v>
      </c>
      <c r="Z493" s="43">
        <f>IFERROR(IF(Z490="",0,Z490),"0")+IFERROR(IF(Z491="",0,Z491),"0")+IFERROR(IF(Z492="",0,Z492),"0")</f>
        <v>0.10764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45</v>
      </c>
      <c r="Y494" s="43">
        <f>IFERROR(SUM(Y490:Y492),"0")</f>
        <v>47.52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15</v>
      </c>
      <c r="Y496" s="55">
        <f t="shared" ref="Y496:Y502" si="73">IFERROR(IF(X496="",0,CEILING((X496/$H496),1)*$H496),"")</f>
        <v>15.84</v>
      </c>
      <c r="Z496" s="41">
        <f>IFERROR(IF(Y496=0,"",ROUNDUP(Y496/H496,0)*0.01196),"")</f>
        <v>3.5880000000000002E-2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15.994318181818182</v>
      </c>
      <c r="BN496" s="78">
        <f t="shared" ref="BN496:BN502" si="75">IFERROR(Y496*I496/H496,"0")</f>
        <v>16.889999999999997</v>
      </c>
      <c r="BO496" s="78">
        <f t="shared" ref="BO496:BO502" si="76">IFERROR(1/J496*(X496/H496),"0")</f>
        <v>2.7316433566433568E-2</v>
      </c>
      <c r="BP496" s="78">
        <f t="shared" ref="BP496:BP502" si="77">IFERROR(1/J496*(Y496/H496),"0")</f>
        <v>2.8846153846153848E-2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73"/>
        <v>31.68</v>
      </c>
      <c r="Z497" s="41">
        <f>IFERROR(IF(Y497=0,"",ROUNDUP(Y497/H497,0)*0.01196),"")</f>
        <v>7.1760000000000004E-2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31.988636363636363</v>
      </c>
      <c r="BN497" s="78">
        <f t="shared" si="75"/>
        <v>33.779999999999994</v>
      </c>
      <c r="BO497" s="78">
        <f t="shared" si="76"/>
        <v>5.4632867132867136E-2</v>
      </c>
      <c r="BP497" s="78">
        <f t="shared" si="77"/>
        <v>5.7692307692307696E-2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14.204545454545455</v>
      </c>
      <c r="Y503" s="43">
        <f>IFERROR(Y496/H496,"0")+IFERROR(Y497/H497,"0")+IFERROR(Y498/H498,"0")+IFERROR(Y499/H499,"0")+IFERROR(Y500/H500,"0")+IFERROR(Y501/H501,"0")+IFERROR(Y502/H502,"0")</f>
        <v>15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0.1794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75</v>
      </c>
      <c r="Y504" s="43">
        <f>IFERROR(SUM(Y496:Y502),"0")</f>
        <v>79.199999999999989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108</v>
      </c>
      <c r="Z521" s="41">
        <f>IFERROR(IF(Y521=0,"",ROUNDUP(Y521/H521,0)*0.01898),"")</f>
        <v>0.22776000000000002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105.48888888888888</v>
      </c>
      <c r="BN521" s="78">
        <f>IFERROR(Y521*I521/H521,"0")</f>
        <v>113.92799999999998</v>
      </c>
      <c r="BO521" s="78">
        <f>IFERROR(1/J521*(X521/H521),"0")</f>
        <v>0.1736111111111111</v>
      </c>
      <c r="BP521" s="78">
        <f>IFERROR(1/J521*(Y521/H521),"0")</f>
        <v>0.1875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11.111111111111111</v>
      </c>
      <c r="Y522" s="43">
        <f>IFERROR(Y521/H521,"0")</f>
        <v>12</v>
      </c>
      <c r="Z522" s="43">
        <f>IFERROR(IF(Z521="",0,Z521),"0")</f>
        <v>0.22776000000000002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100</v>
      </c>
      <c r="Y523" s="43">
        <f>IFERROR(SUM(Y521:Y521),"0")</f>
        <v>108</v>
      </c>
      <c r="Z523" s="42"/>
      <c r="AA523" s="67"/>
      <c r="AB523" s="67"/>
      <c r="AC523" s="67"/>
    </row>
    <row r="524" spans="1:68" ht="14.25" hidden="1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2274.5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2382.9799999999996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2371.6130507455514</v>
      </c>
      <c r="Y535" s="43">
        <f>IFERROR(SUM(BN22:BN531),"0")</f>
        <v>2485.1520000000005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4</v>
      </c>
      <c r="Y536" s="44">
        <f>ROUNDUP(SUM(BP22:BP531),0)</f>
        <v>4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2471.6130507455514</v>
      </c>
      <c r="Y537" s="43">
        <f>GrossWeightTotalR+PalletQtyTotalR*25</f>
        <v>2585.1520000000005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292.10425685425679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307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4.1906900000000009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51.2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84.600000000000009</v>
      </c>
      <c r="F544" s="52">
        <f>IFERROR(Y88*1,"0")+IFERROR(Y89*1,"0")+IFERROR(Y90*1,"0")+IFERROR(Y91*1,"0")+IFERROR(Y95*1,"0")+IFERROR(Y96*1,"0")+IFERROR(Y97*1,"0")+IFERROR(Y98*1,"0")</f>
        <v>94.5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118.8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393.00000000000011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12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16.8</v>
      </c>
      <c r="U544" s="52">
        <f>IFERROR(Y399*1,"0")+IFERROR(Y400*1,"0")+IFERROR(Y401*1,"0")</f>
        <v>87.600000000000009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1125</v>
      </c>
      <c r="W544" s="52">
        <f>IFERROR(Y434*1,"0")+IFERROR(Y435*1,"0")+IFERROR(Y439*1,"0")+IFERROR(Y443*1,"0")+IFERROR(Y444*1,"0")+IFERROR(Y445*1,"0")</f>
        <v>24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24.6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242.88000000000002</v>
      </c>
      <c r="AA544" s="52">
        <f>IFERROR(Y508*1,"0")+IFERROR(Y512*1,"0")+IFERROR(Y516*1,"0")+IFERROR(Y517*1,"0")+IFERROR(Y521*1,"0")+IFERROR(Y525*1,"0")+IFERROR(Y526*1,"0")</f>
        <v>108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25"/>
        <filter val="10,00"/>
        <filter val="100,00"/>
        <filter val="11,11"/>
        <filter val="110,00"/>
        <filter val="13,50"/>
        <filter val="13,64"/>
        <filter val="14,20"/>
        <filter val="15,00"/>
        <filter val="2 274,50"/>
        <filter val="2 371,61"/>
        <filter val="2 471,61"/>
        <filter val="2,78"/>
        <filter val="20,00"/>
        <filter val="20,83"/>
        <filter val="200,00"/>
        <filter val="22,00"/>
        <filter val="28,00"/>
        <filter val="29,00"/>
        <filter val="292,10"/>
        <filter val="3,33"/>
        <filter val="3,57"/>
        <filter val="30,00"/>
        <filter val="300,00"/>
        <filter val="35,00"/>
        <filter val="35,19"/>
        <filter val="375,00"/>
        <filter val="4"/>
        <filter val="4,00"/>
        <filter val="4,17"/>
        <filter val="4,32"/>
        <filter val="40,00"/>
        <filter val="42,00"/>
        <filter val="43,00"/>
        <filter val="45,00"/>
        <filter val="49,00"/>
        <filter val="5,19"/>
        <filter val="5,24"/>
        <filter val="5,70"/>
        <filter val="500,00"/>
        <filter val="53,33"/>
        <filter val="6,00"/>
        <filter val="6,11"/>
        <filter val="69,44"/>
        <filter val="7,00"/>
        <filter val="70,00"/>
        <filter val="75,00"/>
        <filter val="8,00"/>
        <filter val="8,52"/>
        <filter val="80,00"/>
        <filter val="800,00"/>
        <filter val="83,50"/>
        <filter val="85,00"/>
        <filter val="9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