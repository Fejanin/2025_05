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8C72765-4AA6-4C1F-BC21-A028A6567F9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P480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P428" i="1"/>
  <c r="BO428" i="1"/>
  <c r="BM428" i="1"/>
  <c r="Y428" i="1"/>
  <c r="P428" i="1"/>
  <c r="X426" i="1"/>
  <c r="X425" i="1"/>
  <c r="BO424" i="1"/>
  <c r="BM424" i="1"/>
  <c r="Y424" i="1"/>
  <c r="BP424" i="1" s="1"/>
  <c r="P424" i="1"/>
  <c r="BO423" i="1"/>
  <c r="BM423" i="1"/>
  <c r="Y423" i="1"/>
  <c r="Y425" i="1" s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Z386" i="1"/>
  <c r="Y386" i="1"/>
  <c r="BN386" i="1" s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Z380" i="1"/>
  <c r="Y380" i="1"/>
  <c r="BN380" i="1" s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Z366" i="1"/>
  <c r="Y366" i="1"/>
  <c r="BN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Z340" i="1"/>
  <c r="Y340" i="1"/>
  <c r="BN340" i="1" s="1"/>
  <c r="P340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P325" i="1"/>
  <c r="BO325" i="1"/>
  <c r="BM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O318" i="1"/>
  <c r="BM318" i="1"/>
  <c r="Z318" i="1"/>
  <c r="Y318" i="1"/>
  <c r="BN318" i="1" s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Z311" i="1"/>
  <c r="Y311" i="1"/>
  <c r="BN311" i="1" s="1"/>
  <c r="P311" i="1"/>
  <c r="BO310" i="1"/>
  <c r="BM310" i="1"/>
  <c r="Y310" i="1"/>
  <c r="P310" i="1"/>
  <c r="BO309" i="1"/>
  <c r="BM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Z297" i="1"/>
  <c r="Y297" i="1"/>
  <c r="BN297" i="1" s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P274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P221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Z174" i="1"/>
  <c r="Y174" i="1"/>
  <c r="BN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Z158" i="1"/>
  <c r="Y158" i="1"/>
  <c r="BN158" i="1" s="1"/>
  <c r="P158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P144" i="1" s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Z62" i="1"/>
  <c r="Y62" i="1"/>
  <c r="BN62" i="1" s="1"/>
  <c r="P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104" i="1" l="1"/>
  <c r="BP114" i="1"/>
  <c r="BN114" i="1"/>
  <c r="Z114" i="1"/>
  <c r="BN115" i="1"/>
  <c r="BP134" i="1"/>
  <c r="BN134" i="1"/>
  <c r="Z134" i="1"/>
  <c r="BN151" i="1"/>
  <c r="Z151" i="1"/>
  <c r="BN182" i="1"/>
  <c r="Z182" i="1"/>
  <c r="BN198" i="1"/>
  <c r="Z198" i="1"/>
  <c r="BN213" i="1"/>
  <c r="Z213" i="1"/>
  <c r="BP223" i="1"/>
  <c r="BN223" i="1"/>
  <c r="Z223" i="1"/>
  <c r="BP231" i="1"/>
  <c r="BN231" i="1"/>
  <c r="Z231" i="1"/>
  <c r="BP239" i="1"/>
  <c r="BN239" i="1"/>
  <c r="Z239" i="1"/>
  <c r="BP254" i="1"/>
  <c r="BN254" i="1"/>
  <c r="Z254" i="1"/>
  <c r="BN264" i="1"/>
  <c r="BP276" i="1"/>
  <c r="BN276" i="1"/>
  <c r="Z276" i="1"/>
  <c r="BN286" i="1"/>
  <c r="BN293" i="1"/>
  <c r="BP327" i="1"/>
  <c r="BN327" i="1"/>
  <c r="Z327" i="1"/>
  <c r="BN334" i="1"/>
  <c r="Z334" i="1"/>
  <c r="BN362" i="1"/>
  <c r="BN424" i="1"/>
  <c r="BN433" i="1"/>
  <c r="BN470" i="1"/>
  <c r="Z470" i="1"/>
  <c r="BP482" i="1"/>
  <c r="BN482" i="1"/>
  <c r="Z482" i="1"/>
  <c r="BN490" i="1"/>
  <c r="BN498" i="1"/>
  <c r="BN524" i="1"/>
  <c r="X534" i="1"/>
  <c r="Z23" i="1"/>
  <c r="BN23" i="1"/>
  <c r="Y33" i="1"/>
  <c r="Z35" i="1"/>
  <c r="Z36" i="1" s="1"/>
  <c r="BN35" i="1"/>
  <c r="BP35" i="1"/>
  <c r="Y36" i="1"/>
  <c r="Z41" i="1"/>
  <c r="BN41" i="1"/>
  <c r="Z53" i="1"/>
  <c r="BN53" i="1"/>
  <c r="E543" i="1"/>
  <c r="Z64" i="1"/>
  <c r="BN64" i="1"/>
  <c r="BN66" i="1"/>
  <c r="Z70" i="1"/>
  <c r="BN70" i="1"/>
  <c r="BN72" i="1"/>
  <c r="Z78" i="1"/>
  <c r="BN78" i="1"/>
  <c r="BN89" i="1"/>
  <c r="Y131" i="1"/>
  <c r="Y130" i="1"/>
  <c r="BN129" i="1"/>
  <c r="BP151" i="1"/>
  <c r="BN153" i="1"/>
  <c r="BN170" i="1"/>
  <c r="BP182" i="1"/>
  <c r="Y194" i="1"/>
  <c r="Y193" i="1"/>
  <c r="BN192" i="1"/>
  <c r="BP198" i="1"/>
  <c r="BP200" i="1"/>
  <c r="BN200" i="1"/>
  <c r="Z200" i="1"/>
  <c r="BP209" i="1"/>
  <c r="Y210" i="1"/>
  <c r="BN209" i="1"/>
  <c r="BP213" i="1"/>
  <c r="BP215" i="1"/>
  <c r="BN215" i="1"/>
  <c r="Z215" i="1"/>
  <c r="BN221" i="1"/>
  <c r="Z221" i="1"/>
  <c r="BN274" i="1"/>
  <c r="Z274" i="1"/>
  <c r="BN325" i="1"/>
  <c r="Y328" i="1"/>
  <c r="Z325" i="1"/>
  <c r="BP334" i="1"/>
  <c r="BP336" i="1"/>
  <c r="BN336" i="1"/>
  <c r="Z336" i="1"/>
  <c r="BP406" i="1"/>
  <c r="BN406" i="1"/>
  <c r="Z406" i="1"/>
  <c r="BN412" i="1"/>
  <c r="Z412" i="1"/>
  <c r="Y430" i="1"/>
  <c r="Z428" i="1"/>
  <c r="Z429" i="1" s="1"/>
  <c r="BN455" i="1"/>
  <c r="Z455" i="1"/>
  <c r="BP470" i="1"/>
  <c r="BN480" i="1"/>
  <c r="Z480" i="1"/>
  <c r="BN516" i="1"/>
  <c r="BN123" i="1"/>
  <c r="BN144" i="1"/>
  <c r="BP158" i="1"/>
  <c r="BN168" i="1"/>
  <c r="BP174" i="1"/>
  <c r="BN202" i="1"/>
  <c r="BN217" i="1"/>
  <c r="BN225" i="1"/>
  <c r="BN233" i="1"/>
  <c r="BN250" i="1"/>
  <c r="BP260" i="1"/>
  <c r="BN278" i="1"/>
  <c r="BP297" i="1"/>
  <c r="BP311" i="1"/>
  <c r="BP318" i="1"/>
  <c r="BP340" i="1"/>
  <c r="BN354" i="1"/>
  <c r="BP366" i="1"/>
  <c r="BP374" i="1"/>
  <c r="BP380" i="1"/>
  <c r="BP386" i="1"/>
  <c r="BN399" i="1"/>
  <c r="BN408" i="1"/>
  <c r="BN451" i="1"/>
  <c r="BN484" i="1"/>
  <c r="BN500" i="1"/>
  <c r="BP60" i="1"/>
  <c r="Z60" i="1"/>
  <c r="Y84" i="1"/>
  <c r="BN82" i="1"/>
  <c r="BP82" i="1"/>
  <c r="Z82" i="1"/>
  <c r="BN125" i="1"/>
  <c r="BP125" i="1"/>
  <c r="Z125" i="1"/>
  <c r="BN188" i="1"/>
  <c r="BP188" i="1"/>
  <c r="Z188" i="1"/>
  <c r="BN204" i="1"/>
  <c r="BP204" i="1"/>
  <c r="Z204" i="1"/>
  <c r="BN219" i="1"/>
  <c r="BP219" i="1"/>
  <c r="Z219" i="1"/>
  <c r="BN280" i="1"/>
  <c r="BP280" i="1"/>
  <c r="Z280" i="1"/>
  <c r="BN332" i="1"/>
  <c r="BP332" i="1"/>
  <c r="Z332" i="1"/>
  <c r="BN453" i="1"/>
  <c r="BP453" i="1"/>
  <c r="Z453" i="1"/>
  <c r="BN459" i="1"/>
  <c r="BP459" i="1"/>
  <c r="Z459" i="1"/>
  <c r="BN478" i="1"/>
  <c r="BP478" i="1"/>
  <c r="Z478" i="1"/>
  <c r="X535" i="1"/>
  <c r="X536" i="1" s="1"/>
  <c r="Z27" i="1"/>
  <c r="BP27" i="1"/>
  <c r="BN31" i="1"/>
  <c r="Z43" i="1"/>
  <c r="BP43" i="1"/>
  <c r="Z51" i="1"/>
  <c r="BP51" i="1"/>
  <c r="BP62" i="1"/>
  <c r="BN106" i="1"/>
  <c r="BP106" i="1"/>
  <c r="Z106" i="1"/>
  <c r="BN117" i="1"/>
  <c r="BP117" i="1"/>
  <c r="Z117" i="1"/>
  <c r="BN172" i="1"/>
  <c r="BP172" i="1"/>
  <c r="Z172" i="1"/>
  <c r="BN295" i="1"/>
  <c r="BP295" i="1"/>
  <c r="Z295" i="1"/>
  <c r="Y303" i="1"/>
  <c r="Y302" i="1"/>
  <c r="BN301" i="1"/>
  <c r="BP301" i="1"/>
  <c r="Z301" i="1"/>
  <c r="Z302" i="1" s="1"/>
  <c r="BN309" i="1"/>
  <c r="BP309" i="1"/>
  <c r="Z309" i="1"/>
  <c r="BN316" i="1"/>
  <c r="BP316" i="1"/>
  <c r="Z316" i="1"/>
  <c r="BN364" i="1"/>
  <c r="BP364" i="1"/>
  <c r="Z364" i="1"/>
  <c r="BN372" i="1"/>
  <c r="BP372" i="1"/>
  <c r="Z372" i="1"/>
  <c r="BN378" i="1"/>
  <c r="BP378" i="1"/>
  <c r="Z378" i="1"/>
  <c r="Y388" i="1"/>
  <c r="BN384" i="1"/>
  <c r="BP384" i="1"/>
  <c r="Z384" i="1"/>
  <c r="BN392" i="1"/>
  <c r="BP392" i="1"/>
  <c r="Z392" i="1"/>
  <c r="BN443" i="1"/>
  <c r="BP443" i="1"/>
  <c r="Z443" i="1"/>
  <c r="X533" i="1"/>
  <c r="BN60" i="1"/>
  <c r="BN97" i="1"/>
  <c r="BP97" i="1"/>
  <c r="Z97" i="1"/>
  <c r="BN112" i="1"/>
  <c r="BP112" i="1"/>
  <c r="Z112" i="1"/>
  <c r="BN272" i="1"/>
  <c r="BP272" i="1"/>
  <c r="Z272" i="1"/>
  <c r="BN356" i="1"/>
  <c r="BP356" i="1"/>
  <c r="Z356" i="1"/>
  <c r="BN410" i="1"/>
  <c r="BP410" i="1"/>
  <c r="Z410" i="1"/>
  <c r="BN418" i="1"/>
  <c r="BP418" i="1"/>
  <c r="Z418" i="1"/>
  <c r="Y522" i="1"/>
  <c r="Y521" i="1"/>
  <c r="BN520" i="1"/>
  <c r="BP520" i="1"/>
  <c r="Z520" i="1"/>
  <c r="Z521" i="1" s="1"/>
  <c r="B543" i="1"/>
  <c r="BN27" i="1"/>
  <c r="Z31" i="1"/>
  <c r="BN91" i="1"/>
  <c r="BP91" i="1"/>
  <c r="Z91" i="1"/>
  <c r="BN140" i="1"/>
  <c r="BP140" i="1"/>
  <c r="Z140" i="1"/>
  <c r="BN266" i="1"/>
  <c r="BP266" i="1"/>
  <c r="Z266" i="1"/>
  <c r="BN347" i="1"/>
  <c r="BP347" i="1"/>
  <c r="Z347" i="1"/>
  <c r="Y93" i="1"/>
  <c r="Y99" i="1"/>
  <c r="G543" i="1"/>
  <c r="Y282" i="1"/>
  <c r="Z89" i="1"/>
  <c r="Z95" i="1"/>
  <c r="BP95" i="1"/>
  <c r="Z104" i="1"/>
  <c r="Z115" i="1"/>
  <c r="Z123" i="1"/>
  <c r="Z129" i="1"/>
  <c r="Z130" i="1" s="1"/>
  <c r="BP129" i="1"/>
  <c r="Z170" i="1"/>
  <c r="Z192" i="1"/>
  <c r="Z193" i="1" s="1"/>
  <c r="BP192" i="1"/>
  <c r="Z202" i="1"/>
  <c r="Z209" i="1"/>
  <c r="Z210" i="1" s="1"/>
  <c r="Z217" i="1"/>
  <c r="Z225" i="1"/>
  <c r="Z233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BN428" i="1"/>
  <c r="Y429" i="1"/>
  <c r="Z433" i="1"/>
  <c r="Z451" i="1"/>
  <c r="Z484" i="1"/>
  <c r="Z500" i="1"/>
  <c r="Z66" i="1"/>
  <c r="Y74" i="1"/>
  <c r="Z72" i="1"/>
  <c r="Z144" i="1"/>
  <c r="Z153" i="1"/>
  <c r="Z168" i="1"/>
  <c r="Z490" i="1"/>
  <c r="Z498" i="1"/>
  <c r="Z516" i="1"/>
  <c r="Z524" i="1"/>
  <c r="H9" i="1"/>
  <c r="A10" i="1"/>
  <c r="Y24" i="1"/>
  <c r="Y32" i="1"/>
  <c r="Y46" i="1"/>
  <c r="Y56" i="1"/>
  <c r="Y67" i="1"/>
  <c r="Y75" i="1"/>
  <c r="Y79" i="1"/>
  <c r="Y85" i="1"/>
  <c r="Y92" i="1"/>
  <c r="Y100" i="1"/>
  <c r="Y109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Z312" i="1" s="1"/>
  <c r="Y312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F543" i="1"/>
  <c r="F9" i="1"/>
  <c r="J9" i="1"/>
  <c r="Z22" i="1"/>
  <c r="BN22" i="1"/>
  <c r="BP22" i="1"/>
  <c r="X537" i="1"/>
  <c r="Y25" i="1"/>
  <c r="Z28" i="1"/>
  <c r="BN28" i="1"/>
  <c r="Z30" i="1"/>
  <c r="BN30" i="1"/>
  <c r="C543" i="1"/>
  <c r="Z42" i="1"/>
  <c r="BN42" i="1"/>
  <c r="Z44" i="1"/>
  <c r="BN44" i="1"/>
  <c r="Y47" i="1"/>
  <c r="D543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Y119" i="1"/>
  <c r="Z113" i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Y189" i="1"/>
  <c r="BP199" i="1"/>
  <c r="BN199" i="1"/>
  <c r="Z199" i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H543" i="1"/>
  <c r="Y136" i="1"/>
  <c r="J543" i="1"/>
  <c r="Y160" i="1"/>
  <c r="K543" i="1"/>
  <c r="Y206" i="1"/>
  <c r="L543" i="1"/>
  <c r="Y211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Y313" i="1"/>
  <c r="BP317" i="1"/>
  <c r="BN317" i="1"/>
  <c r="Z317" i="1"/>
  <c r="Y321" i="1"/>
  <c r="BP326" i="1"/>
  <c r="BN326" i="1"/>
  <c r="Z326" i="1"/>
  <c r="BP335" i="1"/>
  <c r="BN335" i="1"/>
  <c r="Z335" i="1"/>
  <c r="Z337" i="1" s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Y526" i="1"/>
  <c r="Z74" i="1" l="1"/>
  <c r="Z517" i="1"/>
  <c r="Z401" i="1"/>
  <c r="Z328" i="1"/>
  <c r="Z321" i="1"/>
  <c r="Z256" i="1"/>
  <c r="Z184" i="1"/>
  <c r="Z46" i="1"/>
  <c r="Z24" i="1"/>
  <c r="Z99" i="1"/>
  <c r="Z472" i="1"/>
  <c r="Z92" i="1"/>
  <c r="Z55" i="1"/>
  <c r="Z235" i="1"/>
  <c r="Z456" i="1"/>
  <c r="Z119" i="1"/>
  <c r="Z375" i="1"/>
  <c r="Z227" i="1"/>
  <c r="Z205" i="1"/>
  <c r="Z32" i="1"/>
  <c r="Z486" i="1"/>
  <c r="Z282" i="1"/>
  <c r="Y533" i="1"/>
  <c r="Y535" i="1"/>
  <c r="Z241" i="1"/>
  <c r="Y537" i="1"/>
  <c r="Z492" i="1"/>
  <c r="Z414" i="1"/>
  <c r="Z388" i="1"/>
  <c r="Z368" i="1"/>
  <c r="Z358" i="1"/>
  <c r="Z267" i="1"/>
  <c r="Z502" i="1"/>
  <c r="Z445" i="1"/>
  <c r="Z420" i="1"/>
  <c r="Z394" i="1"/>
  <c r="Z126" i="1"/>
  <c r="Z109" i="1"/>
  <c r="Z67" i="1"/>
  <c r="Y534" i="1"/>
  <c r="Z349" i="1"/>
  <c r="Z178" i="1"/>
  <c r="Z154" i="1"/>
  <c r="Z538" i="1" l="1"/>
  <c r="Y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<sst xmlns="http://schemas.openxmlformats.org/spreadsheetml/2006/main" count="2409" uniqueCount="873">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</sst>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46216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848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Понедельник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6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0.54166666666666663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37</v>
      </c>
      <c r="Y29" s="606">
        <f>IFERROR(IF(X29="",0,CEILING((X29/$H29),1)*$H29),"")</f>
        <v>37.800000000000004</v>
      </c>
      <c r="Z29" s="36">
        <f>IFERROR(IF(Y29=0,"",ROUNDUP(Y29/H29,0)*0.00651),"")</f>
        <v>0.13671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65.366666666666674</v>
      </c>
      <c r="BN29" s="64">
        <f>IFERROR(Y29*I29/H29,"0")</f>
        <v>66.780000000000015</v>
      </c>
      <c r="BO29" s="64">
        <f>IFERROR(1/J29*(X29/H29),"0")</f>
        <v>0.11294261294261294</v>
      </c>
      <c r="BP29" s="64">
        <f>IFERROR(1/J29*(Y29/H29),"0")</f>
        <v>0.11538461538461542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35</v>
      </c>
      <c r="Y30" s="606">
        <f>IFERROR(IF(X30="",0,CEILING((X30/$H30),1)*$H30),"")</f>
        <v>36</v>
      </c>
      <c r="Z30" s="36">
        <f>IFERROR(IF(Y30=0,"",ROUNDUP(Y30/H30,0)*0.00651),"")</f>
        <v>0.13020000000000001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61.833333333333336</v>
      </c>
      <c r="BN30" s="64">
        <f>IFERROR(Y30*I30/H30,"0")</f>
        <v>63.6</v>
      </c>
      <c r="BO30" s="64">
        <f>IFERROR(1/J30*(X30/H30),"0")</f>
        <v>0.10683760683760683</v>
      </c>
      <c r="BP30" s="64">
        <f>IFERROR(1/J30*(Y30/H30),"0")</f>
        <v>0.1098901098901099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40</v>
      </c>
      <c r="Y32" s="607">
        <f>IFERROR(Y27/H27,"0")+IFERROR(Y28/H28,"0")+IFERROR(Y29/H29,"0")+IFERROR(Y30/H30,"0")+IFERROR(Y31/H31,"0")</f>
        <v>41</v>
      </c>
      <c r="Z32" s="607">
        <f>IFERROR(IF(Z27="",0,Z27),"0")+IFERROR(IF(Z28="",0,Z28),"0")+IFERROR(IF(Z29="",0,Z29),"0")+IFERROR(IF(Z30="",0,Z30),"0")+IFERROR(IF(Z31="",0,Z31),"0")</f>
        <v>0.26690999999999998</v>
      </c>
      <c r="AA32" s="608"/>
      <c r="AB32" s="608"/>
      <c r="AC32" s="608"/>
    </row>
    <row r="33" spans="1:68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72</v>
      </c>
      <c r="Y33" s="607">
        <f>IFERROR(SUM(Y27:Y31),"0")</f>
        <v>73.800000000000011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133</v>
      </c>
      <c r="Y51" s="606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138.04907407407407</v>
      </c>
      <c r="BN51" s="64">
        <f>IFERROR(Y51*I51/H51,"0")</f>
        <v>145.73000000000002</v>
      </c>
      <c r="BO51" s="64">
        <f>IFERROR(1/J51*(X51/H51),"0")</f>
        <v>0.19241898148148148</v>
      </c>
      <c r="BP51" s="64">
        <f>IFERROR(1/J51*(Y51/H51),"0")</f>
        <v>0.203125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127</v>
      </c>
      <c r="Y54" s="606">
        <f>IFERROR(IF(X54="",0,CEILING((X54/$H54),1)*$H54),"")</f>
        <v>129.5</v>
      </c>
      <c r="Z54" s="36">
        <f>IFERROR(IF(Y54=0,"",ROUNDUP(Y54/H54,0)*0.00902),"")</f>
        <v>0.31569999999999998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133.52162162162162</v>
      </c>
      <c r="BN54" s="64">
        <f>IFERROR(Y54*I54/H54,"0")</f>
        <v>136.15</v>
      </c>
      <c r="BO54" s="64">
        <f>IFERROR(1/J54*(X54/H54),"0")</f>
        <v>0.26003276003276005</v>
      </c>
      <c r="BP54" s="64">
        <f>IFERROR(1/J54*(Y54/H54),"0")</f>
        <v>0.26515151515151514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46.639139139139139</v>
      </c>
      <c r="Y55" s="607">
        <f>IFERROR(Y51/H51,"0")+IFERROR(Y52/H52,"0")+IFERROR(Y53/H53,"0")+IFERROR(Y54/H54,"0")</f>
        <v>48</v>
      </c>
      <c r="Z55" s="607">
        <f>IFERROR(IF(Z51="",0,Z51),"0")+IFERROR(IF(Z52="",0,Z52),"0")+IFERROR(IF(Z53="",0,Z53),"0")+IFERROR(IF(Z54="",0,Z54),"0")</f>
        <v>0.56244000000000005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260</v>
      </c>
      <c r="Y56" s="607">
        <f>IFERROR(SUM(Y51:Y54),"0")</f>
        <v>269.89999999999998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48</v>
      </c>
      <c r="Y59" s="606">
        <f t="shared" ref="Y59:Y66" si="0">IFERROR(IF(X59="",0,CEILING((X59/$H59),1)*$H59),"")</f>
        <v>56</v>
      </c>
      <c r="Z59" s="36">
        <f>IFERROR(IF(Y59=0,"",ROUNDUP(Y59/H59,0)*0.01898),"")</f>
        <v>9.4899999999999998E-2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49.75714285714286</v>
      </c>
      <c r="BN59" s="64">
        <f t="shared" ref="BN59:BN66" si="2">IFERROR(Y59*I59/H59,"0")</f>
        <v>58.050000000000004</v>
      </c>
      <c r="BO59" s="64">
        <f t="shared" ref="BO59:BO66" si="3">IFERROR(1/J59*(X59/H59),"0")</f>
        <v>6.6964285714285712E-2</v>
      </c>
      <c r="BP59" s="64">
        <f t="shared" ref="BP59:BP66" si="4">IFERROR(1/J59*(Y59/H59),"0")</f>
        <v>7.8125E-2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419</v>
      </c>
      <c r="Y61" s="606">
        <f t="shared" si="0"/>
        <v>421.20000000000005</v>
      </c>
      <c r="Z61" s="36">
        <f>IFERROR(IF(Y61=0,"",ROUNDUP(Y61/H61,0)*0.01898),"")</f>
        <v>0.74021999999999999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434.90648148148153</v>
      </c>
      <c r="BN61" s="64">
        <f t="shared" si="2"/>
        <v>437.19000000000005</v>
      </c>
      <c r="BO61" s="64">
        <f t="shared" si="3"/>
        <v>0.60619212962962954</v>
      </c>
      <c r="BP61" s="64">
        <f t="shared" si="4"/>
        <v>0.609375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76</v>
      </c>
      <c r="Y64" s="606">
        <f t="shared" si="0"/>
        <v>76</v>
      </c>
      <c r="Z64" s="36">
        <f>IFERROR(IF(Y64=0,"",ROUNDUP(Y64/H64,0)*0.00902),"")</f>
        <v>0.17138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79.610000000000014</v>
      </c>
      <c r="BN64" s="64">
        <f t="shared" si="2"/>
        <v>79.610000000000014</v>
      </c>
      <c r="BO64" s="64">
        <f t="shared" si="3"/>
        <v>0.14393939393939395</v>
      </c>
      <c r="BP64" s="64">
        <f t="shared" si="4"/>
        <v>0.14393939393939395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49</v>
      </c>
      <c r="Y66" s="606">
        <f t="shared" si="0"/>
        <v>49.5</v>
      </c>
      <c r="Z66" s="36">
        <f>IFERROR(IF(Y66=0,"",ROUNDUP(Y66/H66,0)*0.00902),"")</f>
        <v>9.9220000000000003E-2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51.068888888888893</v>
      </c>
      <c r="BN66" s="64">
        <f t="shared" si="2"/>
        <v>51.59</v>
      </c>
      <c r="BO66" s="64">
        <f t="shared" si="3"/>
        <v>8.2491582491582491E-2</v>
      </c>
      <c r="BP66" s="64">
        <f t="shared" si="4"/>
        <v>8.3333333333333343E-2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72.970899470899468</v>
      </c>
      <c r="Y67" s="607">
        <f>IFERROR(Y59/H59,"0")+IFERROR(Y60/H60,"0")+IFERROR(Y61/H61,"0")+IFERROR(Y62/H62,"0")+IFERROR(Y63/H63,"0")+IFERROR(Y64/H64,"0")+IFERROR(Y65/H65,"0")+IFERROR(Y66/H66,"0")</f>
        <v>74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1.10572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592</v>
      </c>
      <c r="Y68" s="607">
        <f>IFERROR(SUM(Y59:Y66),"0")</f>
        <v>602.70000000000005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307</v>
      </c>
      <c r="Y70" s="606">
        <f>IFERROR(IF(X70="",0,CEILING((X70/$H70),1)*$H70),"")</f>
        <v>313.20000000000005</v>
      </c>
      <c r="Z70" s="36">
        <f>IFERROR(IF(Y70=0,"",ROUNDUP(Y70/H70,0)*0.01898),"")</f>
        <v>0.55042000000000002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318.65462962962965</v>
      </c>
      <c r="BN70" s="64">
        <f>IFERROR(Y70*I70/H70,"0")</f>
        <v>325.09000000000003</v>
      </c>
      <c r="BO70" s="64">
        <f>IFERROR(1/J70*(X70/H70),"0")</f>
        <v>0.44415509259259256</v>
      </c>
      <c r="BP70" s="64">
        <f>IFERROR(1/J70*(Y70/H70),"0")</f>
        <v>0.45312500000000006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28.425925925925924</v>
      </c>
      <c r="Y74" s="607">
        <f>IFERROR(Y70/H70,"0")+IFERROR(Y71/H71,"0")+IFERROR(Y72/H72,"0")+IFERROR(Y73/H73,"0")</f>
        <v>29.000000000000004</v>
      </c>
      <c r="Z74" s="607">
        <f>IFERROR(IF(Z70="",0,Z70),"0")+IFERROR(IF(Z71="",0,Z71),"0")+IFERROR(IF(Z72="",0,Z72),"0")+IFERROR(IF(Z73="",0,Z73),"0")</f>
        <v>0.55042000000000002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307</v>
      </c>
      <c r="Y75" s="607">
        <f>IFERROR(SUM(Y70:Y73),"0")</f>
        <v>313.20000000000005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201</v>
      </c>
      <c r="Y82" s="606">
        <f>IFERROR(IF(X82="",0,CEILING((X82/$H82),1)*$H82),"")</f>
        <v>202.79999999999998</v>
      </c>
      <c r="Z82" s="36">
        <f>IFERROR(IF(Y82=0,"",ROUNDUP(Y82/H82,0)*0.01898),"")</f>
        <v>0.49348000000000003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211.56538461538466</v>
      </c>
      <c r="BN82" s="64">
        <f>IFERROR(Y82*I82/H82,"0")</f>
        <v>213.46</v>
      </c>
      <c r="BO82" s="64">
        <f>IFERROR(1/J82*(X82/H82),"0")</f>
        <v>0.40264423076923078</v>
      </c>
      <c r="BP82" s="64">
        <f>IFERROR(1/J82*(Y82/H82),"0")</f>
        <v>0.40625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25.76923076923077</v>
      </c>
      <c r="Y84" s="607">
        <f>IFERROR(Y82/H82,"0")+IFERROR(Y83/H83,"0")</f>
        <v>26</v>
      </c>
      <c r="Z84" s="607">
        <f>IFERROR(IF(Z82="",0,Z82),"0")+IFERROR(IF(Z83="",0,Z83),"0")</f>
        <v>0.49348000000000003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201</v>
      </c>
      <c r="Y85" s="607">
        <f>IFERROR(SUM(Y82:Y83),"0")</f>
        <v>202.79999999999998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364</v>
      </c>
      <c r="Y88" s="606">
        <f>IFERROR(IF(X88="",0,CEILING((X88/$H88),1)*$H88),"")</f>
        <v>367.20000000000005</v>
      </c>
      <c r="Z88" s="36">
        <f>IFERROR(IF(Y88=0,"",ROUNDUP(Y88/H88,0)*0.01898),"")</f>
        <v>0.64532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377.81851851851854</v>
      </c>
      <c r="BN88" s="64">
        <f>IFERROR(Y88*I88/H88,"0")</f>
        <v>381.14000000000004</v>
      </c>
      <c r="BO88" s="64">
        <f>IFERROR(1/J88*(X88/H88),"0")</f>
        <v>0.52662037037037035</v>
      </c>
      <c r="BP88" s="64">
        <f>IFERROR(1/J88*(Y88/H88),"0")</f>
        <v>0.53125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180</v>
      </c>
      <c r="Y91" s="606">
        <f>IFERROR(IF(X91="",0,CEILING((X91/$H91),1)*$H91),"")</f>
        <v>180</v>
      </c>
      <c r="Z91" s="36">
        <f>IFERROR(IF(Y91=0,"",ROUNDUP(Y91/H91,0)*0.00902),"")</f>
        <v>0.36080000000000001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187.60000000000002</v>
      </c>
      <c r="BN91" s="64">
        <f>IFERROR(Y91*I91/H91,"0")</f>
        <v>187.60000000000002</v>
      </c>
      <c r="BO91" s="64">
        <f>IFERROR(1/J91*(X91/H91),"0")</f>
        <v>0.30303030303030304</v>
      </c>
      <c r="BP91" s="64">
        <f>IFERROR(1/J91*(Y91/H91),"0")</f>
        <v>0.30303030303030304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73.703703703703695</v>
      </c>
      <c r="Y92" s="607">
        <f>IFERROR(Y88/H88,"0")+IFERROR(Y89/H89,"0")+IFERROR(Y90/H90,"0")+IFERROR(Y91/H91,"0")</f>
        <v>74</v>
      </c>
      <c r="Z92" s="607">
        <f>IFERROR(IF(Z88="",0,Z88),"0")+IFERROR(IF(Z89="",0,Z89),"0")+IFERROR(IF(Z90="",0,Z90),"0")+IFERROR(IF(Z91="",0,Z91),"0")</f>
        <v>1.0061200000000001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544</v>
      </c>
      <c r="Y93" s="607">
        <f>IFERROR(SUM(Y88:Y91),"0")</f>
        <v>547.20000000000005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255</v>
      </c>
      <c r="Y95" s="606">
        <f>IFERROR(IF(X95="",0,CEILING((X95/$H95),1)*$H95),"")</f>
        <v>259.2</v>
      </c>
      <c r="Z95" s="36">
        <f>IFERROR(IF(Y95=0,"",ROUNDUP(Y95/H95,0)*0.01898),"")</f>
        <v>0.60736000000000001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270.55185185185184</v>
      </c>
      <c r="BN95" s="64">
        <f>IFERROR(Y95*I95/H95,"0")</f>
        <v>275.00799999999998</v>
      </c>
      <c r="BO95" s="64">
        <f>IFERROR(1/J95*(X95/H95),"0")</f>
        <v>0.4918981481481482</v>
      </c>
      <c r="BP95" s="64">
        <f>IFERROR(1/J95*(Y95/H95),"0")</f>
        <v>0.5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180</v>
      </c>
      <c r="Y97" s="606">
        <f>IFERROR(IF(X97="",0,CEILING((X97/$H97),1)*$H97),"")</f>
        <v>180.9</v>
      </c>
      <c r="Z97" s="36">
        <f>IFERROR(IF(Y97=0,"",ROUNDUP(Y97/H97,0)*0.00651),"")</f>
        <v>0.43617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196.79999999999998</v>
      </c>
      <c r="BN97" s="64">
        <f>IFERROR(Y97*I97/H97,"0")</f>
        <v>197.78399999999999</v>
      </c>
      <c r="BO97" s="64">
        <f>IFERROR(1/J97*(X97/H97),"0")</f>
        <v>0.36630036630036628</v>
      </c>
      <c r="BP97" s="64">
        <f>IFERROR(1/J97*(Y97/H97),"0")</f>
        <v>0.36813186813186816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98.148148148148138</v>
      </c>
      <c r="Y99" s="607">
        <f>IFERROR(Y95/H95,"0")+IFERROR(Y96/H96,"0")+IFERROR(Y97/H97,"0")+IFERROR(Y98/H98,"0")</f>
        <v>99</v>
      </c>
      <c r="Z99" s="607">
        <f>IFERROR(IF(Z95="",0,Z95),"0")+IFERROR(IF(Z96="",0,Z96),"0")+IFERROR(IF(Z97="",0,Z97),"0")+IFERROR(IF(Z98="",0,Z98),"0")</f>
        <v>1.0435300000000001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435</v>
      </c>
      <c r="Y100" s="607">
        <f>IFERROR(SUM(Y95:Y98),"0")</f>
        <v>440.1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529</v>
      </c>
      <c r="Y103" s="606">
        <f t="shared" ref="Y103:Y108" si="5">IFERROR(IF(X103="",0,CEILING((X103/$H103),1)*$H103),"")</f>
        <v>529.20000000000005</v>
      </c>
      <c r="Z103" s="36">
        <f>IFERROR(IF(Y103=0,"",ROUNDUP(Y103/H103,0)*0.01898),"")</f>
        <v>0.93002000000000007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549.08240740740735</v>
      </c>
      <c r="BN103" s="64">
        <f t="shared" ref="BN103:BN108" si="7">IFERROR(Y103*I103/H103,"0")</f>
        <v>549.29000000000008</v>
      </c>
      <c r="BO103" s="64">
        <f t="shared" ref="BO103:BO108" si="8">IFERROR(1/J103*(X103/H103),"0")</f>
        <v>0.76533564814814814</v>
      </c>
      <c r="BP103" s="64">
        <f t="shared" ref="BP103:BP108" si="9">IFERROR(1/J103*(Y103/H103),"0")</f>
        <v>0.765625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202</v>
      </c>
      <c r="Y107" s="606">
        <f t="shared" si="5"/>
        <v>202.5</v>
      </c>
      <c r="Z107" s="36">
        <f>IFERROR(IF(Y107=0,"",ROUNDUP(Y107/H107,0)*0.00902),"")</f>
        <v>0.40590000000000004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210.5288888888889</v>
      </c>
      <c r="BN107" s="64">
        <f t="shared" si="7"/>
        <v>211.05</v>
      </c>
      <c r="BO107" s="64">
        <f t="shared" si="8"/>
        <v>0.34006734006734007</v>
      </c>
      <c r="BP107" s="64">
        <f t="shared" si="9"/>
        <v>0.34090909090909094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93.870370370370367</v>
      </c>
      <c r="Y109" s="607">
        <f>IFERROR(Y103/H103,"0")+IFERROR(Y104/H104,"0")+IFERROR(Y105/H105,"0")+IFERROR(Y106/H106,"0")+IFERROR(Y107/H107,"0")+IFERROR(Y108/H108,"0")</f>
        <v>94</v>
      </c>
      <c r="Z109" s="607">
        <f>IFERROR(IF(Z103="",0,Z103),"0")+IFERROR(IF(Z104="",0,Z104),"0")+IFERROR(IF(Z105="",0,Z105),"0")+IFERROR(IF(Z106="",0,Z106),"0")+IFERROR(IF(Z107="",0,Z107),"0")+IFERROR(IF(Z108="",0,Z108),"0")</f>
        <v>1.3359200000000002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731</v>
      </c>
      <c r="Y110" s="607">
        <f>IFERROR(SUM(Y103:Y108),"0")</f>
        <v>731.7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56</v>
      </c>
      <c r="Y112" s="606">
        <f t="shared" ref="Y112:Y118" si="10">IFERROR(IF(X112="",0,CEILING((X112/$H112),1)*$H112),"")</f>
        <v>64.800000000000011</v>
      </c>
      <c r="Z112" s="36">
        <f>IFERROR(IF(Y112=0,"",ROUNDUP(Y112/H112,0)*0.01898),"")</f>
        <v>0.11388000000000001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58.12592592592592</v>
      </c>
      <c r="BN112" s="64">
        <f t="shared" ref="BN112:BN118" si="12">IFERROR(Y112*I112/H112,"0")</f>
        <v>67.260000000000005</v>
      </c>
      <c r="BO112" s="64">
        <f t="shared" ref="BO112:BO118" si="13">IFERROR(1/J112*(X112/H112),"0")</f>
        <v>8.1018518518518517E-2</v>
      </c>
      <c r="BP112" s="64">
        <f t="shared" ref="BP112:BP118" si="14">IFERROR(1/J112*(Y112/H112),"0")</f>
        <v>9.3750000000000014E-2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95</v>
      </c>
      <c r="Y117" s="606">
        <f t="shared" si="10"/>
        <v>96</v>
      </c>
      <c r="Z117" s="36">
        <f>IFERROR(IF(Y117=0,"",ROUNDUP(Y117/H117,0)*0.00651),"")</f>
        <v>0.26040000000000002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102.125</v>
      </c>
      <c r="BN117" s="64">
        <f t="shared" si="12"/>
        <v>103.2</v>
      </c>
      <c r="BO117" s="64">
        <f t="shared" si="13"/>
        <v>0.21749084249084252</v>
      </c>
      <c r="BP117" s="64">
        <f t="shared" si="14"/>
        <v>0.2197802197802198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44.768518518518519</v>
      </c>
      <c r="Y119" s="607">
        <f>IFERROR(Y112/H112,"0")+IFERROR(Y113/H113,"0")+IFERROR(Y114/H114,"0")+IFERROR(Y115/H115,"0")+IFERROR(Y116/H116,"0")+IFERROR(Y117/H117,"0")+IFERROR(Y118/H118,"0")</f>
        <v>46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0.37428000000000006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151</v>
      </c>
      <c r="Y120" s="607">
        <f>IFERROR(SUM(Y112:Y118),"0")</f>
        <v>160.80000000000001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20</v>
      </c>
      <c r="Y122" s="606">
        <f>IFERROR(IF(X122="",0,CEILING((X122/$H122),1)*$H122),"")</f>
        <v>24.299999999999997</v>
      </c>
      <c r="Z122" s="36">
        <f>IFERROR(IF(Y122=0,"",ROUNDUP(Y122/H122,0)*0.01898),"")</f>
        <v>5.6940000000000004E-2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21.204938271604938</v>
      </c>
      <c r="BN122" s="64">
        <f>IFERROR(Y122*I122/H122,"0")</f>
        <v>25.763999999999996</v>
      </c>
      <c r="BO122" s="64">
        <f>IFERROR(1/J122*(X122/H122),"0")</f>
        <v>3.8580246913580252E-2</v>
      </c>
      <c r="BP122" s="64">
        <f>IFERROR(1/J122*(Y122/H122),"0")</f>
        <v>4.6875E-2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41</v>
      </c>
      <c r="Y124" s="606">
        <f>IFERROR(IF(X124="",0,CEILING((X124/$H124),1)*$H124),"")</f>
        <v>43.2</v>
      </c>
      <c r="Z124" s="36">
        <f>IFERROR(IF(Y124=0,"",ROUNDUP(Y124/H124,0)*0.00651),"")</f>
        <v>0.10416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44.826666666666661</v>
      </c>
      <c r="BN124" s="64">
        <f>IFERROR(Y124*I124/H124,"0")</f>
        <v>47.231999999999999</v>
      </c>
      <c r="BO124" s="64">
        <f>IFERROR(1/J124*(X124/H124),"0")</f>
        <v>8.3435083435083435E-2</v>
      </c>
      <c r="BP124" s="64">
        <f>IFERROR(1/J124*(Y124/H124),"0")</f>
        <v>8.7912087912087919E-2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17.654320987654319</v>
      </c>
      <c r="Y126" s="607">
        <f>IFERROR(Y122/H122,"0")+IFERROR(Y123/H123,"0")+IFERROR(Y124/H124,"0")+IFERROR(Y125/H125,"0")</f>
        <v>19</v>
      </c>
      <c r="Z126" s="607">
        <f>IFERROR(IF(Z122="",0,Z122),"0")+IFERROR(IF(Z123="",0,Z123),"0")+IFERROR(IF(Z124="",0,Z124),"0")+IFERROR(IF(Z125="",0,Z125),"0")</f>
        <v>0.16110000000000002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61</v>
      </c>
      <c r="Y127" s="607">
        <f>IFERROR(SUM(Y122:Y125),"0")</f>
        <v>67.5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22</v>
      </c>
      <c r="Y129" s="606">
        <f>IFERROR(IF(X129="",0,CEILING((X129/$H129),1)*$H129),"")</f>
        <v>23.759999999999998</v>
      </c>
      <c r="Z129" s="36">
        <f>IFERROR(IF(Y129=0,"",ROUNDUP(Y129/H129,0)*0.00651),"")</f>
        <v>7.8119999999999995E-2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24.866666666666667</v>
      </c>
      <c r="BN129" s="64">
        <f>IFERROR(Y129*I129/H129,"0")</f>
        <v>26.855999999999998</v>
      </c>
      <c r="BO129" s="64">
        <f>IFERROR(1/J129*(X129/H129),"0")</f>
        <v>6.1050061050061055E-2</v>
      </c>
      <c r="BP129" s="64">
        <f>IFERROR(1/J129*(Y129/H129),"0")</f>
        <v>6.5934065934065936E-2</v>
      </c>
    </row>
    <row r="130" spans="1:68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11.111111111111111</v>
      </c>
      <c r="Y130" s="607">
        <f>IFERROR(Y129/H129,"0")</f>
        <v>11.999999999999998</v>
      </c>
      <c r="Z130" s="607">
        <f>IFERROR(IF(Z129="",0,Z129),"0")</f>
        <v>7.8119999999999995E-2</v>
      </c>
      <c r="AA130" s="608"/>
      <c r="AB130" s="608"/>
      <c r="AC130" s="608"/>
    </row>
    <row r="131" spans="1:68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22</v>
      </c>
      <c r="Y131" s="607">
        <f>IFERROR(SUM(Y129:Y129),"0")</f>
        <v>23.759999999999998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30</v>
      </c>
      <c r="Y134" s="606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31.687499999999996</v>
      </c>
      <c r="BN134" s="64">
        <f>IFERROR(Y134*I134/H134,"0")</f>
        <v>33.799999999999997</v>
      </c>
      <c r="BO134" s="64">
        <f>IFERROR(1/J134*(X134/H134),"0")</f>
        <v>5.1510989010989015E-2</v>
      </c>
      <c r="BP134" s="64">
        <f>IFERROR(1/J134*(Y134/H134),"0")</f>
        <v>5.4945054945054951E-2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9.375</v>
      </c>
      <c r="Y136" s="607">
        <f>IFERROR(Y134/H134,"0")+IFERROR(Y135/H135,"0")</f>
        <v>10</v>
      </c>
      <c r="Z136" s="607">
        <f>IFERROR(IF(Z134="",0,Z134),"0")+IFERROR(IF(Z135="",0,Z135),"0")</f>
        <v>6.5100000000000005E-2</v>
      </c>
      <c r="AA136" s="608"/>
      <c r="AB136" s="608"/>
      <c r="AC136" s="608"/>
    </row>
    <row r="137" spans="1:68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30</v>
      </c>
      <c r="Y137" s="607">
        <f>IFERROR(SUM(Y134:Y135),"0")</f>
        <v>32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11</v>
      </c>
      <c r="Y144" s="606">
        <f>IFERROR(IF(X144="",0,CEILING((X144/$H144),1)*$H144),"")</f>
        <v>13.200000000000001</v>
      </c>
      <c r="Z144" s="36">
        <f>IFERROR(IF(Y144=0,"",ROUNDUP(Y144/H144,0)*0.00651),"")</f>
        <v>3.2550000000000003E-2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12.116666666666665</v>
      </c>
      <c r="BN144" s="64">
        <f>IFERROR(Y144*I144/H144,"0")</f>
        <v>14.540000000000001</v>
      </c>
      <c r="BO144" s="64">
        <f>IFERROR(1/J144*(X144/H144),"0")</f>
        <v>2.2893772893772892E-2</v>
      </c>
      <c r="BP144" s="64">
        <f>IFERROR(1/J144*(Y144/H144),"0")</f>
        <v>2.7472527472527476E-2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4.1666666666666661</v>
      </c>
      <c r="Y146" s="607">
        <f>IFERROR(Y144/H144,"0")+IFERROR(Y145/H145,"0")</f>
        <v>5</v>
      </c>
      <c r="Z146" s="607">
        <f>IFERROR(IF(Z144="",0,Z144),"0")+IFERROR(IF(Z145="",0,Z145),"0")</f>
        <v>3.2550000000000003E-2</v>
      </c>
      <c r="AA146" s="608"/>
      <c r="AB146" s="608"/>
      <c r="AC146" s="608"/>
    </row>
    <row r="147" spans="1:68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11</v>
      </c>
      <c r="Y147" s="607">
        <f>IFERROR(SUM(Y144:Y145),"0")</f>
        <v>13.200000000000001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18</v>
      </c>
      <c r="Y158" s="606">
        <f>IFERROR(IF(X158="",0,CEILING((X158/$H158),1)*$H158),"")</f>
        <v>25.6</v>
      </c>
      <c r="Z158" s="36">
        <f>IFERROR(IF(Y158=0,"",ROUNDUP(Y158/H158,0)*0.01898),"")</f>
        <v>3.7960000000000001E-2</v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18.576562500000001</v>
      </c>
      <c r="BN158" s="64">
        <f>IFERROR(Y158*I158/H158,"0")</f>
        <v>26.42</v>
      </c>
      <c r="BO158" s="64">
        <f>IFERROR(1/J158*(X158/H158),"0")</f>
        <v>2.197265625E-2</v>
      </c>
      <c r="BP158" s="64">
        <f>IFERROR(1/J158*(Y158/H158),"0")</f>
        <v>3.125E-2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1.40625</v>
      </c>
      <c r="Y160" s="607">
        <f>IFERROR(Y158/H158,"0")+IFERROR(Y159/H159,"0")</f>
        <v>2</v>
      </c>
      <c r="Z160" s="607">
        <f>IFERROR(IF(Z158="",0,Z158),"0")+IFERROR(IF(Z159="",0,Z159),"0")</f>
        <v>3.7960000000000001E-2</v>
      </c>
      <c r="AA160" s="608"/>
      <c r="AB160" s="608"/>
      <c r="AC160" s="608"/>
    </row>
    <row r="161" spans="1:68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18</v>
      </c>
      <c r="Y161" s="607">
        <f>IFERROR(SUM(Y158:Y159),"0")</f>
        <v>25.6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215</v>
      </c>
      <c r="Y167" s="606">
        <f t="shared" ref="Y167:Y177" si="15">IFERROR(IF(X167="",0,CEILING((X167/$H167),1)*$H167),"")</f>
        <v>217</v>
      </c>
      <c r="Z167" s="36">
        <f>IFERROR(IF(Y167=0,"",ROUNDUP(Y167/H167,0)*0.00902),"")</f>
        <v>0.55923999999999996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226.67142857142858</v>
      </c>
      <c r="BN167" s="64">
        <f t="shared" ref="BN167:BN177" si="17">IFERROR(Y167*I167/H167,"0")</f>
        <v>228.78</v>
      </c>
      <c r="BO167" s="64">
        <f t="shared" ref="BO167:BO177" si="18">IFERROR(1/J167*(X167/H167),"0")</f>
        <v>0.46536796536796537</v>
      </c>
      <c r="BP167" s="64">
        <f t="shared" ref="BP167:BP177" si="19">IFERROR(1/J167*(Y167/H167),"0")</f>
        <v>0.46969696969696972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95</v>
      </c>
      <c r="Y169" s="606">
        <f t="shared" si="15"/>
        <v>98</v>
      </c>
      <c r="Z169" s="36">
        <f>IFERROR(IF(Y169=0,"",ROUNDUP(Y169/H169,0)*0.00902),"")</f>
        <v>0.25256000000000001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100.15714285714286</v>
      </c>
      <c r="BN169" s="64">
        <f t="shared" si="17"/>
        <v>103.32000000000001</v>
      </c>
      <c r="BO169" s="64">
        <f t="shared" si="18"/>
        <v>0.20562770562770563</v>
      </c>
      <c r="BP169" s="64">
        <f t="shared" si="19"/>
        <v>0.21212121212121213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122</v>
      </c>
      <c r="Y170" s="606">
        <f t="shared" si="15"/>
        <v>122.5</v>
      </c>
      <c r="Z170" s="36">
        <f>IFERROR(IF(Y170=0,"",ROUNDUP(Y170/H170,0)*0.00902),"")</f>
        <v>0.31569999999999998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128.62285714285716</v>
      </c>
      <c r="BN170" s="64">
        <f t="shared" si="17"/>
        <v>129.15</v>
      </c>
      <c r="BO170" s="64">
        <f t="shared" si="18"/>
        <v>0.26406926406926406</v>
      </c>
      <c r="BP170" s="64">
        <f t="shared" si="19"/>
        <v>0.26515151515151514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40</v>
      </c>
      <c r="Y172" s="606">
        <f t="shared" si="15"/>
        <v>40.32</v>
      </c>
      <c r="Z172" s="36">
        <f>IFERROR(IF(Y172=0,"",ROUNDUP(Y172/H172,0)*0.00502),"")</f>
        <v>0.12048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42.380952380952387</v>
      </c>
      <c r="BN172" s="64">
        <f t="shared" si="17"/>
        <v>42.72</v>
      </c>
      <c r="BO172" s="64">
        <f t="shared" si="18"/>
        <v>0.10175010175010177</v>
      </c>
      <c r="BP172" s="64">
        <f t="shared" si="19"/>
        <v>0.10256410256410257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72</v>
      </c>
      <c r="Y177" s="606">
        <f t="shared" si="15"/>
        <v>72.239999999999995</v>
      </c>
      <c r="Z177" s="36">
        <f>IFERROR(IF(Y177=0,"",ROUNDUP(Y177/H177,0)*0.00502),"")</f>
        <v>0.21586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76.285714285714292</v>
      </c>
      <c r="BN177" s="64">
        <f t="shared" si="17"/>
        <v>76.540000000000006</v>
      </c>
      <c r="BO177" s="64">
        <f t="shared" si="18"/>
        <v>0.18315018315018319</v>
      </c>
      <c r="BP177" s="64">
        <f t="shared" si="19"/>
        <v>0.18376068376068377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190.0952380952381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192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1.4638399999999998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544</v>
      </c>
      <c r="Y179" s="607">
        <f>IFERROR(SUM(Y167:Y177),"0")</f>
        <v>550.05999999999995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49</v>
      </c>
      <c r="Y213" s="606">
        <f t="shared" ref="Y213:Y226" si="26">IFERROR(IF(X213="",0,CEILING((X213/$H213),1)*$H213),"")</f>
        <v>50.400000000000006</v>
      </c>
      <c r="Z213" s="36">
        <f>IFERROR(IF(Y213=0,"",ROUNDUP(Y213/H213,0)*0.00902),"")</f>
        <v>0.10824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51.916666666666664</v>
      </c>
      <c r="BN213" s="64">
        <f t="shared" ref="BN213:BN226" si="28">IFERROR(Y213*I213/H213,"0")</f>
        <v>53.400000000000006</v>
      </c>
      <c r="BO213" s="64">
        <f t="shared" ref="BO213:BO226" si="29">IFERROR(1/J213*(X213/H213),"0")</f>
        <v>8.8383838383838384E-2</v>
      </c>
      <c r="BP213" s="64">
        <f t="shared" ref="BP213:BP226" si="30">IFERROR(1/J213*(Y213/H213),"0")</f>
        <v>9.0909090909090912E-2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17</v>
      </c>
      <c r="Y215" s="606">
        <f t="shared" si="26"/>
        <v>21</v>
      </c>
      <c r="Z215" s="36">
        <f>IFERROR(IF(Y215=0,"",ROUNDUP(Y215/H215,0)*0.00902),"")</f>
        <v>4.5100000000000001E-2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17.769047619047619</v>
      </c>
      <c r="BN215" s="64">
        <f t="shared" si="28"/>
        <v>21.95</v>
      </c>
      <c r="BO215" s="64">
        <f t="shared" si="29"/>
        <v>3.0663780663780664E-2</v>
      </c>
      <c r="BP215" s="64">
        <f t="shared" si="30"/>
        <v>3.787878787878788E-2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16</v>
      </c>
      <c r="Y216" s="606">
        <f t="shared" si="26"/>
        <v>16</v>
      </c>
      <c r="Z216" s="36">
        <f>IFERROR(IF(Y216=0,"",ROUNDUP(Y216/H216,0)*0.00556),"")</f>
        <v>0.11119999999999999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18.600000000000001</v>
      </c>
      <c r="BN216" s="64">
        <f t="shared" si="28"/>
        <v>18.600000000000001</v>
      </c>
      <c r="BO216" s="64">
        <f t="shared" si="29"/>
        <v>7.9365079365079361E-2</v>
      </c>
      <c r="BP216" s="64">
        <f t="shared" si="30"/>
        <v>7.9365079365079361E-2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80</v>
      </c>
      <c r="Y217" s="606">
        <f t="shared" si="26"/>
        <v>81.900000000000006</v>
      </c>
      <c r="Z217" s="36">
        <f t="shared" ref="Z217:Z222" si="31">IFERROR(IF(Y217=0,"",ROUNDUP(Y217/H217,0)*0.00502),"")</f>
        <v>0.19578000000000001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84.952380952380949</v>
      </c>
      <c r="BN217" s="64">
        <f t="shared" si="28"/>
        <v>86.97</v>
      </c>
      <c r="BO217" s="64">
        <f t="shared" si="29"/>
        <v>0.16280016280016282</v>
      </c>
      <c r="BP217" s="64">
        <f t="shared" si="30"/>
        <v>0.16666666666666669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56</v>
      </c>
      <c r="Y222" s="606">
        <f t="shared" si="26"/>
        <v>57.6</v>
      </c>
      <c r="Z222" s="36">
        <f t="shared" si="31"/>
        <v>0.16064000000000001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60.044444444444444</v>
      </c>
      <c r="BN222" s="64">
        <f t="shared" si="28"/>
        <v>61.759999999999991</v>
      </c>
      <c r="BO222" s="64">
        <f t="shared" si="29"/>
        <v>0.13295346628679963</v>
      </c>
      <c r="BP222" s="64">
        <f t="shared" si="30"/>
        <v>0.13675213675213677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13</v>
      </c>
      <c r="Y223" s="606">
        <f t="shared" si="26"/>
        <v>13.600000000000001</v>
      </c>
      <c r="Z223" s="36">
        <f>IFERROR(IF(Y223=0,"",ROUNDUP(Y223/H223,0)*0.00417),"")</f>
        <v>7.0890000000000009E-2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16.412500000000001</v>
      </c>
      <c r="BN223" s="64">
        <f t="shared" si="28"/>
        <v>17.170000000000002</v>
      </c>
      <c r="BO223" s="64">
        <f t="shared" si="29"/>
        <v>4.8363095238095233E-2</v>
      </c>
      <c r="BP223" s="64">
        <f t="shared" si="30"/>
        <v>5.0595238095238096E-2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21</v>
      </c>
      <c r="Y224" s="606">
        <f t="shared" si="26"/>
        <v>21</v>
      </c>
      <c r="Z224" s="36">
        <f>IFERROR(IF(Y224=0,"",ROUNDUP(Y224/H224,0)*0.00502),"")</f>
        <v>5.0200000000000002E-2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22</v>
      </c>
      <c r="BN224" s="64">
        <f t="shared" si="28"/>
        <v>22</v>
      </c>
      <c r="BO224" s="64">
        <f t="shared" si="29"/>
        <v>4.2735042735042736E-2</v>
      </c>
      <c r="BP224" s="64">
        <f t="shared" si="30"/>
        <v>4.2735042735042736E-2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131.17063492063494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135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0.74204999999999999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252</v>
      </c>
      <c r="Y228" s="607">
        <f>IFERROR(SUM(Y213:Y226),"0")</f>
        <v>261.5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1</v>
      </c>
      <c r="Y238" s="606">
        <f>IFERROR(IF(X238="",0,CEILING((X238/$H238),1)*$H238),"")</f>
        <v>1.26</v>
      </c>
      <c r="Z238" s="36">
        <f>IFERROR(IF(Y238=0,"",ROUNDUP(Y238/H238,0)*0.0059),"")</f>
        <v>5.8999999999999999E-3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1.1507936507936507</v>
      </c>
      <c r="BN238" s="64">
        <f>IFERROR(Y238*I238/H238,"0")</f>
        <v>1.45</v>
      </c>
      <c r="BO238" s="64">
        <f>IFERROR(1/J238*(X238/H238),"0")</f>
        <v>3.6743092298647849E-3</v>
      </c>
      <c r="BP238" s="64">
        <f>IFERROR(1/J238*(Y238/H238),"0")</f>
        <v>4.6296296296296294E-3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19</v>
      </c>
      <c r="Y240" s="606">
        <f>IFERROR(IF(X240="",0,CEILING((X240/$H240),1)*$H240),"")</f>
        <v>20.16</v>
      </c>
      <c r="Z240" s="36">
        <f>IFERROR(IF(Y240=0,"",ROUNDUP(Y240/H240,0)*0.0059),"")</f>
        <v>9.4399999999999998E-2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21.865079365079364</v>
      </c>
      <c r="BN240" s="64">
        <f>IFERROR(Y240*I240/H240,"0")</f>
        <v>23.2</v>
      </c>
      <c r="BO240" s="64">
        <f>IFERROR(1/J240*(X240/H240),"0")</f>
        <v>6.9811875367430914E-2</v>
      </c>
      <c r="BP240" s="64">
        <f>IFERROR(1/J240*(Y240/H240),"0")</f>
        <v>7.407407407407407E-2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15.873015873015873</v>
      </c>
      <c r="Y241" s="607">
        <f>IFERROR(Y238/H238,"0")+IFERROR(Y239/H239,"0")+IFERROR(Y240/H240,"0")</f>
        <v>17</v>
      </c>
      <c r="Z241" s="607">
        <f>IFERROR(IF(Z238="",0,Z238),"0")+IFERROR(IF(Z239="",0,Z239),"0")+IFERROR(IF(Z240="",0,Z240),"0")</f>
        <v>0.1003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20</v>
      </c>
      <c r="Y242" s="607">
        <f>IFERROR(SUM(Y238:Y240),"0")</f>
        <v>21.42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5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3.9682539682539684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5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124</v>
      </c>
      <c r="Y259" s="606">
        <f t="shared" ref="Y259:Y266" si="32">IFERROR(IF(X259="",0,CEILING((X259/$H259),1)*$H259),"")</f>
        <v>124.2</v>
      </c>
      <c r="Z259" s="36">
        <f>IFERROR(IF(Y259=0,"",ROUNDUP(Y259/H259,0)*0.00902),"")</f>
        <v>0.20746000000000001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128.36296296296294</v>
      </c>
      <c r="BN259" s="64">
        <f t="shared" ref="BN259:BN266" si="34">IFERROR(Y259*I259/H259,"0")</f>
        <v>128.57</v>
      </c>
      <c r="BO259" s="64">
        <f t="shared" ref="BO259:BO266" si="35">IFERROR(1/J259*(X259/H259),"0")</f>
        <v>0.17396184062850728</v>
      </c>
      <c r="BP259" s="64">
        <f t="shared" ref="BP259:BP266" si="36">IFERROR(1/J259*(Y259/H259),"0")</f>
        <v>0.17424242424242425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424</v>
      </c>
      <c r="Y261" s="606">
        <f t="shared" si="32"/>
        <v>426.6</v>
      </c>
      <c r="Z261" s="36">
        <f>IFERROR(IF(Y261=0,"",ROUNDUP(Y261/H261,0)*0.00902),"")</f>
        <v>0.71257999999999999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438.91851851851845</v>
      </c>
      <c r="BN261" s="64">
        <f t="shared" si="34"/>
        <v>441.60999999999996</v>
      </c>
      <c r="BO261" s="64">
        <f t="shared" si="35"/>
        <v>0.59483726150392824</v>
      </c>
      <c r="BP261" s="64">
        <f t="shared" si="36"/>
        <v>0.59848484848484851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102</v>
      </c>
      <c r="Y262" s="606">
        <f t="shared" si="32"/>
        <v>102.60000000000001</v>
      </c>
      <c r="Z262" s="36">
        <f>IFERROR(IF(Y262=0,"",ROUNDUP(Y262/H262,0)*0.00902),"")</f>
        <v>0.17138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105.58888888888887</v>
      </c>
      <c r="BN262" s="64">
        <f t="shared" si="34"/>
        <v>106.21</v>
      </c>
      <c r="BO262" s="64">
        <f t="shared" si="35"/>
        <v>0.14309764309764311</v>
      </c>
      <c r="BP262" s="64">
        <f t="shared" si="36"/>
        <v>0.14393939393939395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62</v>
      </c>
      <c r="Y263" s="606">
        <f t="shared" si="32"/>
        <v>63</v>
      </c>
      <c r="Z263" s="36">
        <f>IFERROR(IF(Y263=0,"",ROUNDUP(Y263/H263,0)*0.00502),"")</f>
        <v>0.1757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66.477777777777774</v>
      </c>
      <c r="BN263" s="64">
        <f t="shared" si="34"/>
        <v>67.55</v>
      </c>
      <c r="BO263" s="64">
        <f t="shared" si="35"/>
        <v>0.14719848053181386</v>
      </c>
      <c r="BP263" s="64">
        <f t="shared" si="36"/>
        <v>0.1495726495726496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62</v>
      </c>
      <c r="Y264" s="606">
        <f t="shared" si="32"/>
        <v>63</v>
      </c>
      <c r="Z264" s="36">
        <f>IFERROR(IF(Y264=0,"",ROUNDUP(Y264/H264,0)*0.00502),"")</f>
        <v>0.1757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65.444444444444443</v>
      </c>
      <c r="BN264" s="64">
        <f t="shared" si="34"/>
        <v>66.499999999999986</v>
      </c>
      <c r="BO264" s="64">
        <f t="shared" si="35"/>
        <v>0.14719848053181386</v>
      </c>
      <c r="BP264" s="64">
        <f t="shared" si="36"/>
        <v>0.1495726495726496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54</v>
      </c>
      <c r="Y266" s="606">
        <f t="shared" si="32"/>
        <v>54</v>
      </c>
      <c r="Z266" s="36">
        <f>IFERROR(IF(Y266=0,"",ROUNDUP(Y266/H266,0)*0.00502),"")</f>
        <v>0.15060000000000001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56.999999999999993</v>
      </c>
      <c r="BN266" s="64">
        <f t="shared" si="34"/>
        <v>56.999999999999993</v>
      </c>
      <c r="BO266" s="64">
        <f t="shared" si="35"/>
        <v>0.12820512820512822</v>
      </c>
      <c r="BP266" s="64">
        <f t="shared" si="36"/>
        <v>0.12820512820512822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219.25925925925924</v>
      </c>
      <c r="Y267" s="607">
        <f>IFERROR(Y259/H259,"0")+IFERROR(Y260/H260,"0")+IFERROR(Y261/H261,"0")+IFERROR(Y262/H262,"0")+IFERROR(Y263/H263,"0")+IFERROR(Y264/H264,"0")+IFERROR(Y265/H265,"0")+IFERROR(Y266/H266,"0")</f>
        <v>221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1.5934200000000001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828</v>
      </c>
      <c r="Y268" s="607">
        <f>IFERROR(SUM(Y259:Y266),"0")</f>
        <v>833.40000000000009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61</v>
      </c>
      <c r="Y270" s="606">
        <f t="shared" ref="Y270:Y281" si="37">IFERROR(IF(X270="",0,CEILING((X270/$H270),1)*$H270),"")</f>
        <v>64.8</v>
      </c>
      <c r="Z270" s="36">
        <f>IFERROR(IF(Y270=0,"",ROUNDUP(Y270/H270,0)*0.01898),"")</f>
        <v>0.15184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64.72024691358024</v>
      </c>
      <c r="BN270" s="64">
        <f t="shared" ref="BN270:BN281" si="39">IFERROR(Y270*I270/H270,"0")</f>
        <v>68.751999999999995</v>
      </c>
      <c r="BO270" s="64">
        <f t="shared" ref="BO270:BO281" si="40">IFERROR(1/J270*(X270/H270),"0")</f>
        <v>0.11766975308641976</v>
      </c>
      <c r="BP270" s="64">
        <f t="shared" ref="BP270:BP281" si="41">IFERROR(1/J270*(Y270/H270),"0")</f>
        <v>0.125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124</v>
      </c>
      <c r="Y272" s="606">
        <f t="shared" si="37"/>
        <v>130.5</v>
      </c>
      <c r="Z272" s="36">
        <f>IFERROR(IF(Y272=0,"",ROUNDUP(Y272/H272,0)*0.01898),"")</f>
        <v>0.28470000000000001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131.04091954022991</v>
      </c>
      <c r="BN272" s="64">
        <f t="shared" si="39"/>
        <v>137.91000000000003</v>
      </c>
      <c r="BO272" s="64">
        <f t="shared" si="40"/>
        <v>0.22270114942528738</v>
      </c>
      <c r="BP272" s="64">
        <f t="shared" si="41"/>
        <v>0.23437500000000003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245</v>
      </c>
      <c r="Y273" s="606">
        <f t="shared" si="37"/>
        <v>247.2</v>
      </c>
      <c r="Z273" s="36">
        <f>IFERROR(IF(Y273=0,"",ROUNDUP(Y273/H273,0)*0.00651),"")</f>
        <v>0.67053000000000007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272.5625</v>
      </c>
      <c r="BN273" s="64">
        <f t="shared" si="39"/>
        <v>275.01</v>
      </c>
      <c r="BO273" s="64">
        <f t="shared" si="40"/>
        <v>0.56089743589743601</v>
      </c>
      <c r="BP273" s="64">
        <f t="shared" si="41"/>
        <v>0.56593406593406603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702</v>
      </c>
      <c r="Y276" s="606">
        <f t="shared" si="37"/>
        <v>703.19999999999993</v>
      </c>
      <c r="Z276" s="36">
        <f>IFERROR(IF(Y276=0,"",ROUNDUP(Y276/H276,0)*0.00651),"")</f>
        <v>1.90743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775.71000000000015</v>
      </c>
      <c r="BN276" s="64">
        <f t="shared" si="39"/>
        <v>777.03599999999994</v>
      </c>
      <c r="BO276" s="64">
        <f t="shared" si="40"/>
        <v>1.6071428571428572</v>
      </c>
      <c r="BP276" s="64">
        <f t="shared" si="41"/>
        <v>1.6098901098901099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162</v>
      </c>
      <c r="Y278" s="606">
        <f t="shared" si="37"/>
        <v>163.19999999999999</v>
      </c>
      <c r="Z278" s="36">
        <f>IFERROR(IF(Y278=0,"",ROUNDUP(Y278/H278,0)*0.00651),"")</f>
        <v>0.44268000000000002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179.01000000000002</v>
      </c>
      <c r="BN278" s="64">
        <f t="shared" si="39"/>
        <v>180.33600000000001</v>
      </c>
      <c r="BO278" s="64">
        <f t="shared" si="40"/>
        <v>0.37087912087912089</v>
      </c>
      <c r="BP278" s="64">
        <f t="shared" si="41"/>
        <v>0.37362637362637363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304</v>
      </c>
      <c r="Y279" s="606">
        <f t="shared" si="37"/>
        <v>304.8</v>
      </c>
      <c r="Z279" s="36">
        <f>IFERROR(IF(Y279=0,"",ROUNDUP(Y279/H279,0)*0.00651),"")</f>
        <v>0.82677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335.92000000000007</v>
      </c>
      <c r="BN279" s="64">
        <f t="shared" si="39"/>
        <v>336.80400000000003</v>
      </c>
      <c r="BO279" s="64">
        <f t="shared" si="40"/>
        <v>0.69597069597069605</v>
      </c>
      <c r="BP279" s="64">
        <f t="shared" si="41"/>
        <v>0.69780219780219799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200</v>
      </c>
      <c r="Y280" s="606">
        <f t="shared" si="37"/>
        <v>201.6</v>
      </c>
      <c r="Z280" s="36">
        <f>IFERROR(IF(Y280=0,"",ROUNDUP(Y280/H280,0)*0.00651),"")</f>
        <v>0.54683999999999999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221.50000000000003</v>
      </c>
      <c r="BN280" s="64">
        <f t="shared" si="39"/>
        <v>223.27200000000002</v>
      </c>
      <c r="BO280" s="64">
        <f t="shared" si="40"/>
        <v>0.45787545787545797</v>
      </c>
      <c r="BP280" s="64">
        <f t="shared" si="41"/>
        <v>0.46153846153846156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693.86707109408258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698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4.8307900000000004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1798</v>
      </c>
      <c r="Y283" s="607">
        <f>IFERROR(SUM(Y270:Y281),"0")</f>
        <v>1815.2999999999997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36</v>
      </c>
      <c r="Y285" s="606">
        <f>IFERROR(IF(X285="",0,CEILING((X285/$H285),1)*$H285),"")</f>
        <v>36</v>
      </c>
      <c r="Z285" s="36">
        <f>IFERROR(IF(Y285=0,"",ROUNDUP(Y285/H285,0)*0.00651),"")</f>
        <v>9.7650000000000001E-2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39.780000000000008</v>
      </c>
      <c r="BN285" s="64">
        <f>IFERROR(Y285*I285/H285,"0")</f>
        <v>39.780000000000008</v>
      </c>
      <c r="BO285" s="64">
        <f>IFERROR(1/J285*(X285/H285),"0")</f>
        <v>8.241758241758243E-2</v>
      </c>
      <c r="BP285" s="64">
        <f>IFERROR(1/J285*(Y285/H285),"0")</f>
        <v>8.241758241758243E-2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15</v>
      </c>
      <c r="Y287" s="607">
        <f>IFERROR(Y285/H285,"0")+IFERROR(Y286/H286,"0")</f>
        <v>15</v>
      </c>
      <c r="Z287" s="607">
        <f>IFERROR(IF(Z285="",0,Z285),"0")+IFERROR(IF(Z286="",0,Z286),"0")</f>
        <v>9.7650000000000001E-2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36</v>
      </c>
      <c r="Y288" s="607">
        <f>IFERROR(SUM(Y285:Y286),"0")</f>
        <v>36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108</v>
      </c>
      <c r="Y291" s="606">
        <f t="shared" ref="Y291:Y297" si="42">IFERROR(IF(X291="",0,CEILING((X291/$H291),1)*$H291),"")</f>
        <v>116</v>
      </c>
      <c r="Z291" s="36">
        <f>IFERROR(IF(Y291=0,"",ROUNDUP(Y291/H291,0)*0.01898),"")</f>
        <v>0.1898</v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111.81724137931035</v>
      </c>
      <c r="BN291" s="64">
        <f t="shared" ref="BN291:BN297" si="44">IFERROR(Y291*I291/H291,"0")</f>
        <v>120.10000000000001</v>
      </c>
      <c r="BO291" s="64">
        <f t="shared" ref="BO291:BO297" si="45">IFERROR(1/J291*(X291/H291),"0")</f>
        <v>0.14547413793103448</v>
      </c>
      <c r="BP291" s="64">
        <f t="shared" ref="BP291:BP297" si="46">IFERROR(1/J291*(Y291/H291),"0")</f>
        <v>0.15625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6</v>
      </c>
      <c r="Y294" s="606">
        <f t="shared" si="42"/>
        <v>8</v>
      </c>
      <c r="Z294" s="36">
        <f>IFERROR(IF(Y294=0,"",ROUNDUP(Y294/H294,0)*0.00902),"")</f>
        <v>1.804E-2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6.2850000000000001</v>
      </c>
      <c r="BN294" s="64">
        <f t="shared" si="44"/>
        <v>8.3800000000000008</v>
      </c>
      <c r="BO294" s="64">
        <f t="shared" si="45"/>
        <v>1.1363636363636364E-2</v>
      </c>
      <c r="BP294" s="64">
        <f t="shared" si="46"/>
        <v>1.5151515151515152E-2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17</v>
      </c>
      <c r="Y297" s="606">
        <f t="shared" si="42"/>
        <v>20</v>
      </c>
      <c r="Z297" s="36">
        <f>IFERROR(IF(Y297=0,"",ROUNDUP(Y297/H297,0)*0.00902),"")</f>
        <v>4.5100000000000001E-2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17.807500000000001</v>
      </c>
      <c r="BN297" s="64">
        <f t="shared" si="44"/>
        <v>20.950000000000003</v>
      </c>
      <c r="BO297" s="64">
        <f t="shared" si="45"/>
        <v>3.2196969696969696E-2</v>
      </c>
      <c r="BP297" s="64">
        <f t="shared" si="46"/>
        <v>3.787878787878788E-2</v>
      </c>
    </row>
    <row r="298" spans="1:68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15.060344827586206</v>
      </c>
      <c r="Y298" s="607">
        <f>IFERROR(Y291/H291,"0")+IFERROR(Y292/H292,"0")+IFERROR(Y293/H293,"0")+IFERROR(Y294/H294,"0")+IFERROR(Y295/H295,"0")+IFERROR(Y296/H296,"0")+IFERROR(Y297/H297,"0")</f>
        <v>17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0.25294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131</v>
      </c>
      <c r="Y299" s="607">
        <f>IFERROR(SUM(Y291:Y297),"0")</f>
        <v>144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5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2.7777777777777777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5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15</v>
      </c>
      <c r="Y318" s="606">
        <f>IFERROR(IF(X318="",0,CEILING((X318/$H318),1)*$H318),"")</f>
        <v>21.6</v>
      </c>
      <c r="Z318" s="36">
        <f>IFERROR(IF(Y318=0,"",ROUNDUP(Y318/H318,0)*0.01898),"")</f>
        <v>3.7960000000000001E-2</v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15.569444444444445</v>
      </c>
      <c r="BN318" s="64">
        <f>IFERROR(Y318*I318/H318,"0")</f>
        <v>22.42</v>
      </c>
      <c r="BO318" s="64">
        <f>IFERROR(1/J318*(X318/H318),"0")</f>
        <v>2.1701388888888888E-2</v>
      </c>
      <c r="BP318" s="64">
        <f>IFERROR(1/J318*(Y318/H318),"0")</f>
        <v>3.125E-2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1.3888888888888888</v>
      </c>
      <c r="Y321" s="607">
        <f>IFERROR(Y316/H316,"0")+IFERROR(Y317/H317,"0")+IFERROR(Y318/H318,"0")+IFERROR(Y319/H319,"0")+IFERROR(Y320/H320,"0")</f>
        <v>2</v>
      </c>
      <c r="Z321" s="607">
        <f>IFERROR(IF(Z316="",0,Z316),"0")+IFERROR(IF(Z317="",0,Z317),"0")+IFERROR(IF(Z318="",0,Z318),"0")+IFERROR(IF(Z319="",0,Z319),"0")+IFERROR(IF(Z320="",0,Z320),"0")</f>
        <v>3.7960000000000001E-2</v>
      </c>
      <c r="AA321" s="608"/>
      <c r="AB321" s="608"/>
      <c r="AC321" s="608"/>
    </row>
    <row r="322" spans="1:68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15</v>
      </c>
      <c r="Y322" s="607">
        <f>IFERROR(SUM(Y316:Y320),"0")</f>
        <v>21.6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60</v>
      </c>
      <c r="Y326" s="606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66.300000000000011</v>
      </c>
      <c r="BN326" s="64">
        <f>IFERROR(Y326*I326/H326,"0")</f>
        <v>66.300000000000011</v>
      </c>
      <c r="BO326" s="64">
        <f>IFERROR(1/J326*(X326/H326),"0")</f>
        <v>0.13736263736263737</v>
      </c>
      <c r="BP326" s="64">
        <f>IFERROR(1/J326*(Y326/H326),"0")</f>
        <v>0.13736263736263737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31</v>
      </c>
      <c r="Y327" s="606">
        <f>IFERROR(IF(X327="",0,CEILING((X327/$H327),1)*$H327),"")</f>
        <v>31.2</v>
      </c>
      <c r="Z327" s="36">
        <f>IFERROR(IF(Y327=0,"",ROUNDUP(Y327/H327,0)*0.00651),"")</f>
        <v>8.4629999999999997E-2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33.325000000000003</v>
      </c>
      <c r="BN327" s="64">
        <f>IFERROR(Y327*I327/H327,"0")</f>
        <v>33.54</v>
      </c>
      <c r="BO327" s="64">
        <f>IFERROR(1/J327*(X327/H327),"0")</f>
        <v>7.0970695970695982E-2</v>
      </c>
      <c r="BP327" s="64">
        <f>IFERROR(1/J327*(Y327/H327),"0")</f>
        <v>7.1428571428571438E-2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37.916666666666671</v>
      </c>
      <c r="Y328" s="607">
        <f>IFERROR(Y325/H325,"0")+IFERROR(Y326/H326,"0")+IFERROR(Y327/H327,"0")</f>
        <v>38</v>
      </c>
      <c r="Z328" s="607">
        <f>IFERROR(IF(Z325="",0,Z325),"0")+IFERROR(IF(Z326="",0,Z326),"0")+IFERROR(IF(Z327="",0,Z327),"0")</f>
        <v>0.24737999999999999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91</v>
      </c>
      <c r="Y329" s="607">
        <f>IFERROR(SUM(Y325:Y327),"0")</f>
        <v>91.2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258</v>
      </c>
      <c r="Y346" s="606">
        <f>IFERROR(IF(X346="",0,CEILING((X346/$H346),1)*$H346),"")</f>
        <v>265.2</v>
      </c>
      <c r="Z346" s="36">
        <f>IFERROR(IF(Y346=0,"",ROUNDUP(Y346/H346,0)*0.01898),"")</f>
        <v>0.64532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271.56153846153853</v>
      </c>
      <c r="BN346" s="64">
        <f>IFERROR(Y346*I346/H346,"0")</f>
        <v>279.14</v>
      </c>
      <c r="BO346" s="64">
        <f>IFERROR(1/J346*(X346/H346),"0")</f>
        <v>0.51682692307692313</v>
      </c>
      <c r="BP346" s="64">
        <f>IFERROR(1/J346*(Y346/H346),"0")</f>
        <v>0.53125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238</v>
      </c>
      <c r="Y347" s="606">
        <f>IFERROR(IF(X347="",0,CEILING((X347/$H347),1)*$H347),"")</f>
        <v>241.79999999999998</v>
      </c>
      <c r="Z347" s="36">
        <f>IFERROR(IF(Y347=0,"",ROUNDUP(Y347/H347,0)*0.01898),"")</f>
        <v>0.58838000000000001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250.51025641025646</v>
      </c>
      <c r="BN347" s="64">
        <f>IFERROR(Y347*I347/H347,"0")</f>
        <v>254.51000000000002</v>
      </c>
      <c r="BO347" s="64">
        <f>IFERROR(1/J347*(X347/H347),"0")</f>
        <v>0.47676282051282054</v>
      </c>
      <c r="BP347" s="64">
        <f>IFERROR(1/J347*(Y347/H347),"0")</f>
        <v>0.484375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150</v>
      </c>
      <c r="Y348" s="606">
        <f>IFERROR(IF(X348="",0,CEILING((X348/$H348),1)*$H348),"")</f>
        <v>156</v>
      </c>
      <c r="Z348" s="36">
        <f>IFERROR(IF(Y348=0,"",ROUNDUP(Y348/H348,0)*0.01898),"")</f>
        <v>0.37959999999999999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157.88461538461542</v>
      </c>
      <c r="BN348" s="64">
        <f>IFERROR(Y348*I348/H348,"0")</f>
        <v>164.20000000000005</v>
      </c>
      <c r="BO348" s="64">
        <f>IFERROR(1/J348*(X348/H348),"0")</f>
        <v>0.30048076923076922</v>
      </c>
      <c r="BP348" s="64">
        <f>IFERROR(1/J348*(Y348/H348),"0")</f>
        <v>0.3125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82.820512820512818</v>
      </c>
      <c r="Y349" s="607">
        <f>IFERROR(Y346/H346,"0")+IFERROR(Y347/H347,"0")+IFERROR(Y348/H348,"0")</f>
        <v>85</v>
      </c>
      <c r="Z349" s="607">
        <f>IFERROR(IF(Z346="",0,Z346),"0")+IFERROR(IF(Z347="",0,Z347),"0")+IFERROR(IF(Z348="",0,Z348),"0")</f>
        <v>1.6133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646</v>
      </c>
      <c r="Y350" s="607">
        <f>IFERROR(SUM(Y346:Y348),"0")</f>
        <v>663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16</v>
      </c>
      <c r="Y354" s="606">
        <f>IFERROR(IF(X354="",0,CEILING((X354/$H354),1)*$H354),"")</f>
        <v>21.6</v>
      </c>
      <c r="Z354" s="36">
        <f>IFERROR(IF(Y354=0,"",ROUNDUP(Y354/H354,0)*0.01898),"")</f>
        <v>3.7960000000000001E-2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16.607407407407408</v>
      </c>
      <c r="BN354" s="64">
        <f>IFERROR(Y354*I354/H354,"0")</f>
        <v>22.42</v>
      </c>
      <c r="BO354" s="64">
        <f>IFERROR(1/J354*(X354/H354),"0")</f>
        <v>2.3148148148148147E-2</v>
      </c>
      <c r="BP354" s="64">
        <f>IFERROR(1/J354*(Y354/H354),"0")</f>
        <v>3.125E-2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72</v>
      </c>
      <c r="Y355" s="606">
        <f>IFERROR(IF(X355="",0,CEILING((X355/$H355),1)*$H355),"")</f>
        <v>75.600000000000009</v>
      </c>
      <c r="Z355" s="36">
        <f>IFERROR(IF(Y355=0,"",ROUNDUP(Y355/H355,0)*0.01898),"")</f>
        <v>0.13286000000000001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74.733333333333334</v>
      </c>
      <c r="BN355" s="64">
        <f>IFERROR(Y355*I355/H355,"0")</f>
        <v>78.47</v>
      </c>
      <c r="BO355" s="64">
        <f>IFERROR(1/J355*(X355/H355),"0")</f>
        <v>0.10416666666666666</v>
      </c>
      <c r="BP355" s="64">
        <f>IFERROR(1/J355*(Y355/H355),"0")</f>
        <v>0.109375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8.148148148148147</v>
      </c>
      <c r="Y358" s="607">
        <f>IFERROR(Y353/H353,"0")+IFERROR(Y354/H354,"0")+IFERROR(Y355/H355,"0")+IFERROR(Y356/H356,"0")+IFERROR(Y357/H357,"0")</f>
        <v>9</v>
      </c>
      <c r="Z358" s="607">
        <f>IFERROR(IF(Z353="",0,Z353),"0")+IFERROR(IF(Z354="",0,Z354),"0")+IFERROR(IF(Z355="",0,Z355),"0")+IFERROR(IF(Z356="",0,Z356),"0")+IFERROR(IF(Z357="",0,Z357),"0")</f>
        <v>0.17082</v>
      </c>
      <c r="AA358" s="608"/>
      <c r="AB358" s="608"/>
      <c r="AC358" s="608"/>
    </row>
    <row r="359" spans="1:68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88</v>
      </c>
      <c r="Y359" s="607">
        <f>IFERROR(SUM(Y353:Y357),"0")</f>
        <v>97.200000000000017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15</v>
      </c>
      <c r="Y362" s="606">
        <f t="shared" si="47"/>
        <v>16.8</v>
      </c>
      <c r="Z362" s="36">
        <f>IFERROR(IF(Y362=0,"",ROUNDUP(Y362/H362,0)*0.00902),"")</f>
        <v>3.6080000000000001E-2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15.892857142857142</v>
      </c>
      <c r="BN362" s="64">
        <f t="shared" si="49"/>
        <v>17.8</v>
      </c>
      <c r="BO362" s="64">
        <f t="shared" si="50"/>
        <v>2.7056277056277056E-2</v>
      </c>
      <c r="BP362" s="64">
        <f t="shared" si="51"/>
        <v>3.0303030303030304E-2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50</v>
      </c>
      <c r="Y367" s="606">
        <f t="shared" si="47"/>
        <v>50.4</v>
      </c>
      <c r="Z367" s="36">
        <f>IFERROR(IF(Y367=0,"",ROUNDUP(Y367/H367,0)*0.00651),"")</f>
        <v>0.18228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56.333333333333336</v>
      </c>
      <c r="BN367" s="64">
        <f t="shared" si="49"/>
        <v>56.783999999999999</v>
      </c>
      <c r="BO367" s="64">
        <f t="shared" si="50"/>
        <v>0.15262515262515264</v>
      </c>
      <c r="BP367" s="64">
        <f t="shared" si="51"/>
        <v>0.15384615384615385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31.349206349206348</v>
      </c>
      <c r="Y368" s="607">
        <f>IFERROR(Y361/H361,"0")+IFERROR(Y362/H362,"0")+IFERROR(Y363/H363,"0")+IFERROR(Y364/H364,"0")+IFERROR(Y365/H365,"0")+IFERROR(Y366/H366,"0")+IFERROR(Y367/H367,"0")</f>
        <v>32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0.21836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65</v>
      </c>
      <c r="Y369" s="607">
        <f>IFERROR(SUM(Y361:Y367),"0")</f>
        <v>67.2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14</v>
      </c>
      <c r="Y371" s="606">
        <f>IFERROR(IF(X371="",0,CEILING((X371/$H371),1)*$H371),"")</f>
        <v>15.6</v>
      </c>
      <c r="Z371" s="36">
        <f>IFERROR(IF(Y371=0,"",ROUNDUP(Y371/H371,0)*0.01898),"")</f>
        <v>3.7960000000000001E-2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14.875897435897437</v>
      </c>
      <c r="BN371" s="64">
        <f>IFERROR(Y371*I371/H371,"0")</f>
        <v>16.576000000000001</v>
      </c>
      <c r="BO371" s="64">
        <f>IFERROR(1/J371*(X371/H371),"0")</f>
        <v>2.8044871794871796E-2</v>
      </c>
      <c r="BP371" s="64">
        <f>IFERROR(1/J371*(Y371/H371),"0")</f>
        <v>3.125E-2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1.7948717948717949</v>
      </c>
      <c r="Y375" s="607">
        <f>IFERROR(Y371/H371,"0")+IFERROR(Y372/H372,"0")+IFERROR(Y373/H373,"0")+IFERROR(Y374/H374,"0")</f>
        <v>2</v>
      </c>
      <c r="Z375" s="607">
        <f>IFERROR(IF(Z371="",0,Z371),"0")+IFERROR(IF(Z372="",0,Z372),"0")+IFERROR(IF(Z373="",0,Z373),"0")+IFERROR(IF(Z374="",0,Z374),"0")</f>
        <v>3.7960000000000001E-2</v>
      </c>
      <c r="AA375" s="608"/>
      <c r="AB375" s="608"/>
      <c r="AC375" s="608"/>
    </row>
    <row r="376" spans="1:68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14</v>
      </c>
      <c r="Y376" s="607">
        <f>IFERROR(SUM(Y371:Y374),"0")</f>
        <v>15.6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59</v>
      </c>
      <c r="Y378" s="606">
        <f>IFERROR(IF(X378="",0,CEILING((X378/$H378),1)*$H378),"")</f>
        <v>67.2</v>
      </c>
      <c r="Z378" s="36">
        <f>IFERROR(IF(Y378=0,"",ROUNDUP(Y378/H378,0)*0.01898),"")</f>
        <v>0.15184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62.469761904761903</v>
      </c>
      <c r="BN378" s="64">
        <f>IFERROR(Y378*I378/H378,"0")</f>
        <v>71.152000000000001</v>
      </c>
      <c r="BO378" s="64">
        <f>IFERROR(1/J378*(X378/H378),"0")</f>
        <v>0.10974702380952381</v>
      </c>
      <c r="BP378" s="64">
        <f>IFERROR(1/J378*(Y378/H378),"0")</f>
        <v>0.125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240</v>
      </c>
      <c r="Y379" s="606">
        <f>IFERROR(IF(X379="",0,CEILING((X379/$H379),1)*$H379),"")</f>
        <v>241.79999999999998</v>
      </c>
      <c r="Z379" s="36">
        <f>IFERROR(IF(Y379=0,"",ROUNDUP(Y379/H379,0)*0.01898),"")</f>
        <v>0.58838000000000001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255.20000000000002</v>
      </c>
      <c r="BN379" s="64">
        <f>IFERROR(Y379*I379/H379,"0")</f>
        <v>257.11399999999998</v>
      </c>
      <c r="BO379" s="64">
        <f>IFERROR(1/J379*(X379/H379),"0")</f>
        <v>0.48076923076923078</v>
      </c>
      <c r="BP379" s="64">
        <f>IFERROR(1/J379*(Y379/H379),"0")</f>
        <v>0.484375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35</v>
      </c>
      <c r="Y380" s="606">
        <f>IFERROR(IF(X380="",0,CEILING((X380/$H380),1)*$H380),"")</f>
        <v>42</v>
      </c>
      <c r="Z380" s="36">
        <f>IFERROR(IF(Y380=0,"",ROUNDUP(Y380/H380,0)*0.01898),"")</f>
        <v>9.4899999999999998E-2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37.058333333333337</v>
      </c>
      <c r="BN380" s="64">
        <f>IFERROR(Y380*I380/H380,"0")</f>
        <v>44.47</v>
      </c>
      <c r="BO380" s="64">
        <f>IFERROR(1/J380*(X380/H380),"0")</f>
        <v>6.5104166666666657E-2</v>
      </c>
      <c r="BP380" s="64">
        <f>IFERROR(1/J380*(Y380/H380),"0")</f>
        <v>7.8125E-2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41.959706959706956</v>
      </c>
      <c r="Y381" s="607">
        <f>IFERROR(Y378/H378,"0")+IFERROR(Y379/H379,"0")+IFERROR(Y380/H380,"0")</f>
        <v>44</v>
      </c>
      <c r="Z381" s="607">
        <f>IFERROR(IF(Z378="",0,Z378),"0")+IFERROR(IF(Z379="",0,Z379),"0")+IFERROR(IF(Z380="",0,Z380),"0")</f>
        <v>0.83511999999999997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334</v>
      </c>
      <c r="Y382" s="607">
        <f>IFERROR(SUM(Y378:Y380),"0")</f>
        <v>351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6</v>
      </c>
      <c r="Y387" s="606">
        <f>IFERROR(IF(X387="",0,CEILING((X387/$H387),1)*$H387),"")</f>
        <v>7.6499999999999995</v>
      </c>
      <c r="Z387" s="36">
        <f>IFERROR(IF(Y387=0,"",ROUNDUP(Y387/H387,0)*0.00651),"")</f>
        <v>1.9529999999999999E-2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6.7764705882352949</v>
      </c>
      <c r="BN387" s="64">
        <f>IFERROR(Y387*I387/H387,"0")</f>
        <v>8.6399999999999988</v>
      </c>
      <c r="BO387" s="64">
        <f>IFERROR(1/J387*(X387/H387),"0")</f>
        <v>1.292824822236587E-2</v>
      </c>
      <c r="BP387" s="64">
        <f>IFERROR(1/J387*(Y387/H387),"0")</f>
        <v>1.6483516483516484E-2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2.3529411764705883</v>
      </c>
      <c r="Y388" s="607">
        <f>IFERROR(Y384/H384,"0")+IFERROR(Y385/H385,"0")+IFERROR(Y386/H386,"0")+IFERROR(Y387/H387,"0")</f>
        <v>3</v>
      </c>
      <c r="Z388" s="607">
        <f>IFERROR(IF(Z384="",0,Z384),"0")+IFERROR(IF(Z385="",0,Z385),"0")+IFERROR(IF(Z386="",0,Z386),"0")+IFERROR(IF(Z387="",0,Z387),"0")</f>
        <v>1.9529999999999999E-2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6</v>
      </c>
      <c r="Y389" s="607">
        <f>IFERROR(SUM(Y384:Y387),"0")</f>
        <v>7.6499999999999995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38</v>
      </c>
      <c r="Y398" s="606">
        <f>IFERROR(IF(X398="",0,CEILING((X398/$H398),1)*$H398),"")</f>
        <v>40.5</v>
      </c>
      <c r="Z398" s="36">
        <f>IFERROR(IF(Y398=0,"",ROUNDUP(Y398/H398,0)*0.01898),"")</f>
        <v>9.4899999999999998E-2</v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40.317530864197536</v>
      </c>
      <c r="BN398" s="64">
        <f>IFERROR(Y398*I398/H398,"0")</f>
        <v>42.97</v>
      </c>
      <c r="BO398" s="64">
        <f>IFERROR(1/J398*(X398/H398),"0")</f>
        <v>7.3302469135802475E-2</v>
      </c>
      <c r="BP398" s="64">
        <f>IFERROR(1/J398*(Y398/H398),"0")</f>
        <v>7.8125E-2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60</v>
      </c>
      <c r="Y399" s="606">
        <f>IFERROR(IF(X399="",0,CEILING((X399/$H399),1)*$H399),"")</f>
        <v>60.900000000000006</v>
      </c>
      <c r="Z399" s="36">
        <f>IFERROR(IF(Y399=0,"",ROUNDUP(Y399/H399,0)*0.00651),"")</f>
        <v>0.18879000000000001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67.2</v>
      </c>
      <c r="BN399" s="64">
        <f>IFERROR(Y399*I399/H399,"0")</f>
        <v>68.207999999999998</v>
      </c>
      <c r="BO399" s="64">
        <f>IFERROR(1/J399*(X399/H399),"0")</f>
        <v>0.15698587127158556</v>
      </c>
      <c r="BP399" s="64">
        <f>IFERROR(1/J399*(Y399/H399),"0")</f>
        <v>0.15934065934065936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70</v>
      </c>
      <c r="Y400" s="606">
        <f>IFERROR(IF(X400="",0,CEILING((X400/$H400),1)*$H400),"")</f>
        <v>71.400000000000006</v>
      </c>
      <c r="Z400" s="36">
        <f>IFERROR(IF(Y400=0,"",ROUNDUP(Y400/H400,0)*0.00651),"")</f>
        <v>0.22134000000000001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77.999999999999986</v>
      </c>
      <c r="BN400" s="64">
        <f>IFERROR(Y400*I400/H400,"0")</f>
        <v>79.559999999999988</v>
      </c>
      <c r="BO400" s="64">
        <f>IFERROR(1/J400*(X400/H400),"0")</f>
        <v>0.18315018315018314</v>
      </c>
      <c r="BP400" s="64">
        <f>IFERROR(1/J400*(Y400/H400),"0")</f>
        <v>0.18681318681318682</v>
      </c>
    </row>
    <row r="401" spans="1:68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66.596119929453266</v>
      </c>
      <c r="Y401" s="607">
        <f>IFERROR(Y398/H398,"0")+IFERROR(Y399/H399,"0")+IFERROR(Y400/H400,"0")</f>
        <v>68</v>
      </c>
      <c r="Z401" s="607">
        <f>IFERROR(IF(Z398="",0,Z398),"0")+IFERROR(IF(Z399="",0,Z399),"0")+IFERROR(IF(Z400="",0,Z400),"0")</f>
        <v>0.50502999999999998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168</v>
      </c>
      <c r="Y402" s="607">
        <f>IFERROR(SUM(Y398:Y400),"0")</f>
        <v>172.8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108</v>
      </c>
      <c r="Y406" s="606">
        <f t="shared" ref="Y406:Y413" si="52">IFERROR(IF(X406="",0,CEILING((X406/$H406),1)*$H406),"")</f>
        <v>120</v>
      </c>
      <c r="Z406" s="36">
        <f>IFERROR(IF(Y406=0,"",ROUNDUP(Y406/H406,0)*0.02175),"")</f>
        <v>0.17399999999999999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111.384</v>
      </c>
      <c r="BN406" s="64">
        <f t="shared" ref="BN406:BN413" si="54">IFERROR(Y406*I406/H406,"0")</f>
        <v>123.76</v>
      </c>
      <c r="BO406" s="64">
        <f t="shared" ref="BO406:BO413" si="55">IFERROR(1/J406*(X406/H406),"0")</f>
        <v>0.15</v>
      </c>
      <c r="BP406" s="64">
        <f t="shared" ref="BP406:BP413" si="56">IFERROR(1/J406*(Y406/H406),"0")</f>
        <v>0.16666666666666666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875</v>
      </c>
      <c r="Y407" s="606">
        <f t="shared" si="52"/>
        <v>885</v>
      </c>
      <c r="Z407" s="36">
        <f>IFERROR(IF(Y407=0,"",ROUNDUP(Y407/H407,0)*0.02175),"")</f>
        <v>1.28325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902.41666666666663</v>
      </c>
      <c r="BN407" s="64">
        <f t="shared" si="54"/>
        <v>912.73</v>
      </c>
      <c r="BO407" s="64">
        <f t="shared" si="55"/>
        <v>1.2152777777777777</v>
      </c>
      <c r="BP407" s="64">
        <f t="shared" si="56"/>
        <v>1.2291666666666665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68</v>
      </c>
      <c r="Y408" s="606">
        <f t="shared" si="52"/>
        <v>75</v>
      </c>
      <c r="Z408" s="36">
        <f>IFERROR(IF(Y408=0,"",ROUNDUP(Y408/H408,0)*0.02175),"")</f>
        <v>0.10874999999999999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70.13066666666667</v>
      </c>
      <c r="BN408" s="64">
        <f t="shared" si="54"/>
        <v>77.349999999999994</v>
      </c>
      <c r="BO408" s="64">
        <f t="shared" si="55"/>
        <v>9.4444444444444442E-2</v>
      </c>
      <c r="BP408" s="64">
        <f t="shared" si="56"/>
        <v>0.10416666666666666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546</v>
      </c>
      <c r="Y409" s="606">
        <f t="shared" si="52"/>
        <v>555</v>
      </c>
      <c r="Z409" s="36">
        <f>IFERROR(IF(Y409=0,"",ROUNDUP(Y409/H409,0)*0.02175),"")</f>
        <v>0.80474999999999997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563.10800000000006</v>
      </c>
      <c r="BN409" s="64">
        <f t="shared" si="54"/>
        <v>572.39</v>
      </c>
      <c r="BO409" s="64">
        <f t="shared" si="55"/>
        <v>0.7583333333333333</v>
      </c>
      <c r="BP409" s="64">
        <f t="shared" si="56"/>
        <v>0.77083333333333326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48</v>
      </c>
      <c r="Y410" s="606">
        <f t="shared" si="52"/>
        <v>60</v>
      </c>
      <c r="Z410" s="36">
        <f>IFERROR(IF(Y410=0,"",ROUNDUP(Y410/H410,0)*0.02175),"")</f>
        <v>8.6999999999999994E-2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49.504000000000005</v>
      </c>
      <c r="BN410" s="64">
        <f t="shared" si="54"/>
        <v>61.88</v>
      </c>
      <c r="BO410" s="64">
        <f t="shared" si="55"/>
        <v>6.6666666666666666E-2</v>
      </c>
      <c r="BP410" s="64">
        <f t="shared" si="56"/>
        <v>8.3333333333333329E-2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109.66666666666667</v>
      </c>
      <c r="Y414" s="607">
        <f>IFERROR(Y406/H406,"0")+IFERROR(Y407/H407,"0")+IFERROR(Y408/H408,"0")+IFERROR(Y409/H409,"0")+IFERROR(Y410/H410,"0")+IFERROR(Y411/H411,"0")+IFERROR(Y412/H412,"0")+IFERROR(Y413/H413,"0")</f>
        <v>113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2.4577499999999999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1645</v>
      </c>
      <c r="Y415" s="607">
        <f>IFERROR(SUM(Y406:Y413),"0")</f>
        <v>1695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663</v>
      </c>
      <c r="Y417" s="606">
        <f>IFERROR(IF(X417="",0,CEILING((X417/$H417),1)*$H417),"")</f>
        <v>675</v>
      </c>
      <c r="Z417" s="36">
        <f>IFERROR(IF(Y417=0,"",ROUNDUP(Y417/H417,0)*0.02175),"")</f>
        <v>0.9787499999999999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683.774</v>
      </c>
      <c r="BN417" s="64">
        <f>IFERROR(Y417*I417/H417,"0")</f>
        <v>696.15</v>
      </c>
      <c r="BO417" s="64">
        <f>IFERROR(1/J417*(X417/H417),"0")</f>
        <v>0.92083333333333339</v>
      </c>
      <c r="BP417" s="64">
        <f>IFERROR(1/J417*(Y417/H417),"0")</f>
        <v>0.9375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44.2</v>
      </c>
      <c r="Y420" s="607">
        <f>IFERROR(Y417/H417,"0")+IFERROR(Y418/H418,"0")+IFERROR(Y419/H419,"0")</f>
        <v>45</v>
      </c>
      <c r="Z420" s="607">
        <f>IFERROR(IF(Z417="",0,Z417),"0")+IFERROR(IF(Z418="",0,Z418),"0")+IFERROR(IF(Z419="",0,Z419),"0")</f>
        <v>0.9787499999999999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663</v>
      </c>
      <c r="Y421" s="607">
        <f>IFERROR(SUM(Y417:Y419),"0")</f>
        <v>675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95</v>
      </c>
      <c r="Y428" s="606">
        <f>IFERROR(IF(X428="",0,CEILING((X428/$H428),1)*$H428),"")</f>
        <v>99</v>
      </c>
      <c r="Z428" s="36">
        <f>IFERROR(IF(Y428=0,"",ROUNDUP(Y428/H428,0)*0.01898),"")</f>
        <v>0.20877999999999999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100.21444444444444</v>
      </c>
      <c r="BN428" s="64">
        <f>IFERROR(Y428*I428/H428,"0")</f>
        <v>104.434</v>
      </c>
      <c r="BO428" s="64">
        <f>IFERROR(1/J428*(X428/H428),"0")</f>
        <v>0.16493055555555555</v>
      </c>
      <c r="BP428" s="64">
        <f>IFERROR(1/J428*(Y428/H428),"0")</f>
        <v>0.171875</v>
      </c>
    </row>
    <row r="429" spans="1:68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10.555555555555555</v>
      </c>
      <c r="Y429" s="607">
        <f>IFERROR(Y428/H428,"0")</f>
        <v>11</v>
      </c>
      <c r="Z429" s="607">
        <f>IFERROR(IF(Z428="",0,Z428),"0")</f>
        <v>0.20877999999999999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95</v>
      </c>
      <c r="Y430" s="607">
        <f>IFERROR(SUM(Y428:Y428),"0")</f>
        <v>99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2713</v>
      </c>
      <c r="Y442" s="606">
        <f>IFERROR(IF(X442="",0,CEILING((X442/$H442),1)*$H442),"")</f>
        <v>2718</v>
      </c>
      <c r="Z442" s="36">
        <f>IFERROR(IF(Y442=0,"",ROUNDUP(Y442/H442,0)*0.01898),"")</f>
        <v>5.7319599999999999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2861.9135555555554</v>
      </c>
      <c r="BN442" s="64">
        <f>IFERROR(Y442*I442/H442,"0")</f>
        <v>2867.1880000000001</v>
      </c>
      <c r="BO442" s="64">
        <f>IFERROR(1/J442*(X442/H442),"0")</f>
        <v>4.7100694444444446</v>
      </c>
      <c r="BP442" s="64">
        <f>IFERROR(1/J442*(Y442/H442),"0")</f>
        <v>4.71875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301.44444444444446</v>
      </c>
      <c r="Y445" s="607">
        <f>IFERROR(Y442/H442,"0")+IFERROR(Y443/H443,"0")+IFERROR(Y444/H444,"0")</f>
        <v>302</v>
      </c>
      <c r="Z445" s="607">
        <f>IFERROR(IF(Z442="",0,Z442),"0")+IFERROR(IF(Z443="",0,Z443),"0")+IFERROR(IF(Z444="",0,Z444),"0")</f>
        <v>5.7319599999999999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2713</v>
      </c>
      <c r="Y446" s="607">
        <f>IFERROR(SUM(Y442:Y444),"0")</f>
        <v>2718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40</v>
      </c>
      <c r="Y477" s="606">
        <f t="shared" ref="Y477:Y485" si="62">IFERROR(IF(X477="",0,CEILING((X477/$H477),1)*$H477),"")</f>
        <v>42.24</v>
      </c>
      <c r="Z477" s="36">
        <f t="shared" ref="Z477:Z482" si="63">IFERROR(IF(Y477=0,"",ROUNDUP(Y477/H477,0)*0.01196),"")</f>
        <v>9.5680000000000001E-2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42.651515151515149</v>
      </c>
      <c r="BN477" s="64">
        <f t="shared" ref="BN477:BN485" si="65">IFERROR(Y477*I477/H477,"0")</f>
        <v>45.04</v>
      </c>
      <c r="BO477" s="64">
        <f t="shared" ref="BO477:BO485" si="66">IFERROR(1/J477*(X477/H477),"0")</f>
        <v>7.2843822843822847E-2</v>
      </c>
      <c r="BP477" s="64">
        <f t="shared" ref="BP477:BP485" si="67">IFERROR(1/J477*(Y477/H477),"0")</f>
        <v>7.6923076923076927E-2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64</v>
      </c>
      <c r="Y480" s="606">
        <f t="shared" si="62"/>
        <v>68.64</v>
      </c>
      <c r="Z480" s="36">
        <f t="shared" si="63"/>
        <v>0.15548000000000001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68.242424242424235</v>
      </c>
      <c r="BN480" s="64">
        <f t="shared" si="65"/>
        <v>73.19</v>
      </c>
      <c r="BO480" s="64">
        <f t="shared" si="66"/>
        <v>0.11655011655011656</v>
      </c>
      <c r="BP480" s="64">
        <f t="shared" si="67"/>
        <v>0.125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362</v>
      </c>
      <c r="Y482" s="606">
        <f t="shared" si="62"/>
        <v>364.32</v>
      </c>
      <c r="Z482" s="36">
        <f t="shared" si="63"/>
        <v>0.82523999999999997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385.99621212121207</v>
      </c>
      <c r="BN482" s="64">
        <f t="shared" si="65"/>
        <v>388.46999999999997</v>
      </c>
      <c r="BO482" s="64">
        <f t="shared" si="66"/>
        <v>0.65923659673659674</v>
      </c>
      <c r="BP482" s="64">
        <f t="shared" si="67"/>
        <v>0.66346153846153855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55</v>
      </c>
      <c r="Y484" s="606">
        <f t="shared" si="62"/>
        <v>57.599999999999994</v>
      </c>
      <c r="Z484" s="36">
        <f>IFERROR(IF(Y484=0,"",ROUNDUP(Y484/H484,0)*0.00902),"")</f>
        <v>0.10824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79.177083333333343</v>
      </c>
      <c r="BN484" s="64">
        <f t="shared" si="65"/>
        <v>82.92</v>
      </c>
      <c r="BO484" s="64">
        <f t="shared" si="66"/>
        <v>8.6805555555555566E-2</v>
      </c>
      <c r="BP484" s="64">
        <f t="shared" si="67"/>
        <v>9.0909090909090912E-2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23</v>
      </c>
      <c r="Y485" s="606">
        <f t="shared" si="62"/>
        <v>24</v>
      </c>
      <c r="Z485" s="36">
        <f>IFERROR(IF(Y485=0,"",ROUNDUP(Y485/H485,0)*0.00902),"")</f>
        <v>4.5100000000000001E-2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33.110416666666673</v>
      </c>
      <c r="BN485" s="64">
        <f t="shared" si="65"/>
        <v>34.550000000000004</v>
      </c>
      <c r="BO485" s="64">
        <f t="shared" si="66"/>
        <v>3.6300505050505055E-2</v>
      </c>
      <c r="BP485" s="64">
        <f t="shared" si="67"/>
        <v>3.787878787878788E-2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104.50757575757575</v>
      </c>
      <c r="Y486" s="607">
        <f>IFERROR(Y477/H477,"0")+IFERROR(Y478/H478,"0")+IFERROR(Y479/H479,"0")+IFERROR(Y480/H480,"0")+IFERROR(Y481/H481,"0")+IFERROR(Y482/H482,"0")+IFERROR(Y483/H483,"0")+IFERROR(Y484/H484,"0")+IFERROR(Y485/H485,"0")</f>
        <v>107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1.2297399999999998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544</v>
      </c>
      <c r="Y487" s="607">
        <f>IFERROR(SUM(Y477:Y485),"0")</f>
        <v>556.79999999999995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347</v>
      </c>
      <c r="Y489" s="606">
        <f>IFERROR(IF(X489="",0,CEILING((X489/$H489),1)*$H489),"")</f>
        <v>348.48</v>
      </c>
      <c r="Z489" s="36">
        <f>IFERROR(IF(Y489=0,"",ROUNDUP(Y489/H489,0)*0.01196),"")</f>
        <v>0.78936000000000006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370.00189393939388</v>
      </c>
      <c r="BN489" s="64">
        <f>IFERROR(Y489*I489/H489,"0")</f>
        <v>371.58</v>
      </c>
      <c r="BO489" s="64">
        <f>IFERROR(1/J489*(X489/H489),"0")</f>
        <v>0.6319201631701632</v>
      </c>
      <c r="BP489" s="64">
        <f>IFERROR(1/J489*(Y489/H489),"0")</f>
        <v>0.63461538461538469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40</v>
      </c>
      <c r="Y491" s="606">
        <f>IFERROR(IF(X491="",0,CEILING((X491/$H491),1)*$H491),"")</f>
        <v>43.199999999999996</v>
      </c>
      <c r="Z491" s="36">
        <f>IFERROR(IF(Y491=0,"",ROUNDUP(Y491/H491,0)*0.00902),"")</f>
        <v>8.1180000000000002E-2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57.583333333333329</v>
      </c>
      <c r="BN491" s="64">
        <f>IFERROR(Y491*I491/H491,"0")</f>
        <v>62.190000000000005</v>
      </c>
      <c r="BO491" s="64">
        <f>IFERROR(1/J491*(X491/H491),"0")</f>
        <v>6.3131313131313135E-2</v>
      </c>
      <c r="BP491" s="64">
        <f>IFERROR(1/J491*(Y491/H491),"0")</f>
        <v>6.8181818181818177E-2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74.053030303030297</v>
      </c>
      <c r="Y492" s="607">
        <f>IFERROR(Y489/H489,"0")+IFERROR(Y490/H490,"0")+IFERROR(Y491/H491,"0")</f>
        <v>75</v>
      </c>
      <c r="Z492" s="607">
        <f>IFERROR(IF(Z489="",0,Z489),"0")+IFERROR(IF(Z490="",0,Z490),"0")+IFERROR(IF(Z491="",0,Z491),"0")</f>
        <v>0.87054000000000009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387</v>
      </c>
      <c r="Y493" s="607">
        <f>IFERROR(SUM(Y489:Y491),"0")</f>
        <v>391.68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159</v>
      </c>
      <c r="Y495" s="606">
        <f t="shared" ref="Y495:Y501" si="68">IFERROR(IF(X495="",0,CEILING((X495/$H495),1)*$H495),"")</f>
        <v>163.68</v>
      </c>
      <c r="Z495" s="36">
        <f>IFERROR(IF(Y495=0,"",ROUNDUP(Y495/H495,0)*0.01196),"")</f>
        <v>0.37075999999999998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169.53977272727272</v>
      </c>
      <c r="BN495" s="64">
        <f t="shared" ref="BN495:BN501" si="70">IFERROR(Y495*I495/H495,"0")</f>
        <v>174.53</v>
      </c>
      <c r="BO495" s="64">
        <f t="shared" ref="BO495:BO501" si="71">IFERROR(1/J495*(X495/H495),"0")</f>
        <v>0.28955419580419584</v>
      </c>
      <c r="BP495" s="64">
        <f t="shared" ref="BP495:BP501" si="72">IFERROR(1/J495*(Y495/H495),"0")</f>
        <v>0.29807692307692307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390</v>
      </c>
      <c r="Y496" s="606">
        <f t="shared" si="68"/>
        <v>390.72</v>
      </c>
      <c r="Z496" s="36">
        <f>IFERROR(IF(Y496=0,"",ROUNDUP(Y496/H496,0)*0.01196),"")</f>
        <v>0.88504000000000005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415.85227272727269</v>
      </c>
      <c r="BN496" s="64">
        <f t="shared" si="70"/>
        <v>416.62</v>
      </c>
      <c r="BO496" s="64">
        <f t="shared" si="71"/>
        <v>0.71022727272727271</v>
      </c>
      <c r="BP496" s="64">
        <f t="shared" si="72"/>
        <v>0.71153846153846156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314</v>
      </c>
      <c r="Y497" s="606">
        <f t="shared" si="68"/>
        <v>316.8</v>
      </c>
      <c r="Z497" s="36">
        <f>IFERROR(IF(Y497=0,"",ROUNDUP(Y497/H497,0)*0.01196),"")</f>
        <v>0.71760000000000002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334.81439393939394</v>
      </c>
      <c r="BN497" s="64">
        <f t="shared" si="70"/>
        <v>337.8</v>
      </c>
      <c r="BO497" s="64">
        <f t="shared" si="71"/>
        <v>0.57182400932400934</v>
      </c>
      <c r="BP497" s="64">
        <f t="shared" si="72"/>
        <v>0.57692307692307698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163.44696969696969</v>
      </c>
      <c r="Y502" s="607">
        <f>IFERROR(Y495/H495,"0")+IFERROR(Y496/H496,"0")+IFERROR(Y497/H497,"0")+IFERROR(Y498/H498,"0")+IFERROR(Y499/H499,"0")+IFERROR(Y500/H500,"0")+IFERROR(Y501/H501,"0")</f>
        <v>165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1.9734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863</v>
      </c>
      <c r="Y503" s="607">
        <f>IFERROR(SUM(Y495:Y501),"0")</f>
        <v>871.2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40</v>
      </c>
      <c r="Y520" s="606">
        <f>IFERROR(IF(X520="",0,CEILING((X520/$H520),1)*$H520),"")</f>
        <v>45</v>
      </c>
      <c r="Z520" s="36">
        <f>IFERROR(IF(Y520=0,"",ROUNDUP(Y520/H520,0)*0.01898),"")</f>
        <v>9.4899999999999998E-2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42.195555555555558</v>
      </c>
      <c r="BN520" s="64">
        <f>IFERROR(Y520*I520/H520,"0")</f>
        <v>47.47</v>
      </c>
      <c r="BO520" s="64">
        <f>IFERROR(1/J520*(X520/H520),"0")</f>
        <v>6.9444444444444448E-2</v>
      </c>
      <c r="BP520" s="64">
        <f>IFERROR(1/J520*(Y520/H520),"0")</f>
        <v>7.8125E-2</v>
      </c>
    </row>
    <row r="521" spans="1:68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4.4444444444444446</v>
      </c>
      <c r="Y521" s="607">
        <f>IFERROR(Y520/H520,"0")</f>
        <v>5</v>
      </c>
      <c r="Z521" s="607">
        <f>IFERROR(IF(Z520="",0,Z520),"0")</f>
        <v>9.4899999999999998E-2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40</v>
      </c>
      <c r="Y522" s="607">
        <f>IFERROR(SUM(Y520:Y520),"0")</f>
        <v>45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15433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15718.009999999998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16412.908113596859</v>
      </c>
      <c r="Y534" s="607">
        <f>IFERROR(SUM(BN22:BN530),"0")</f>
        <v>16716.485000000001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28</v>
      </c>
      <c r="Y535" s="38">
        <f>ROUNDUP(SUM(BP22:BP530),0)</f>
        <v>29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17112.908113596859</v>
      </c>
      <c r="Y536" s="607">
        <f>GrossWeightTotalR+PalletQtyTotalR*25</f>
        <v>17441.485000000001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2943.9488524520511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2990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33.48492000000001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73.800000000000011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269.89999999999998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1118.7</v>
      </c>
      <c r="F543" s="46">
        <f>IFERROR(Y88*1,"0")+IFERROR(Y89*1,"0")+IFERROR(Y90*1,"0")+IFERROR(Y91*1,"0")+IFERROR(Y95*1,"0")+IFERROR(Y96*1,"0")+IFERROR(Y97*1,"0")+IFERROR(Y98*1,"0")</f>
        <v>987.30000000000007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983.76</v>
      </c>
      <c r="H543" s="46">
        <f>IFERROR(Y134*1,"0")+IFERROR(Y135*1,"0")+IFERROR(Y139*1,"0")+IFERROR(Y140*1,"0")+IFERROR(Y144*1,"0")+IFERROR(Y145*1,"0")</f>
        <v>45.2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575.66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287.96000000000004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2684.7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152.1</v>
      </c>
      <c r="P543" s="46">
        <f>IFERROR(Y316*1,"0")+IFERROR(Y317*1,"0")+IFERROR(Y318*1,"0")+IFERROR(Y319*1,"0")+IFERROR(Y320*1,"0")</f>
        <v>21.6</v>
      </c>
      <c r="Q543" s="46">
        <f>IFERROR(Y325*1,"0")+IFERROR(Y326*1,"0")+IFERROR(Y327*1,"0")</f>
        <v>91.2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663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538.65</v>
      </c>
      <c r="U543" s="46">
        <f>IFERROR(Y398*1,"0")+IFERROR(Y399*1,"0")+IFERROR(Y400*1,"0")</f>
        <v>172.8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2469</v>
      </c>
      <c r="W543" s="46">
        <f>IFERROR(Y433*1,"0")+IFERROR(Y434*1,"0")+IFERROR(Y438*1,"0")+IFERROR(Y442*1,"0")+IFERROR(Y443*1,"0")+IFERROR(Y444*1,"0")</f>
        <v>2718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1819.68</v>
      </c>
      <c r="AA543" s="46">
        <f>IFERROR(Y507*1,"0")+IFERROR(Y511*1,"0")+IFERROR(Y515*1,"0")+IFERROR(Y516*1,"0")+IFERROR(Y520*1,"0")+IFERROR(Y524*1,"0")+IFERROR(Y525*1,"0")</f>
        <v>45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45,00"/>
        <filter val="1 798,00"/>
        <filter val="1,00"/>
        <filter val="1,39"/>
        <filter val="1,41"/>
        <filter val="1,79"/>
        <filter val="10,56"/>
        <filter val="102,00"/>
        <filter val="104,51"/>
        <filter val="108,00"/>
        <filter val="109,67"/>
        <filter val="11,00"/>
        <filter val="11,11"/>
        <filter val="122,00"/>
        <filter val="124,00"/>
        <filter val="127,00"/>
        <filter val="13,00"/>
        <filter val="131,00"/>
        <filter val="131,17"/>
        <filter val="133,00"/>
        <filter val="14,00"/>
        <filter val="15 433,00"/>
        <filter val="15,00"/>
        <filter val="15,06"/>
        <filter val="15,87"/>
        <filter val="150,00"/>
        <filter val="151,00"/>
        <filter val="159,00"/>
        <filter val="16 412,91"/>
        <filter val="16,00"/>
        <filter val="162,00"/>
        <filter val="163,45"/>
        <filter val="168,00"/>
        <filter val="17 112,91"/>
        <filter val="17,00"/>
        <filter val="17,65"/>
        <filter val="18,00"/>
        <filter val="180,00"/>
        <filter val="19,00"/>
        <filter val="190,10"/>
        <filter val="2 713,00"/>
        <filter val="2 943,95"/>
        <filter val="2,00"/>
        <filter val="2,22"/>
        <filter val="2,35"/>
        <filter val="2,78"/>
        <filter val="20,00"/>
        <filter val="200,00"/>
        <filter val="201,00"/>
        <filter val="202,00"/>
        <filter val="21,00"/>
        <filter val="215,00"/>
        <filter val="219,26"/>
        <filter val="22,00"/>
        <filter val="23,00"/>
        <filter val="238,00"/>
        <filter val="240,00"/>
        <filter val="245,00"/>
        <filter val="25,77"/>
        <filter val="252,00"/>
        <filter val="255,00"/>
        <filter val="258,00"/>
        <filter val="260,00"/>
        <filter val="28"/>
        <filter val="28,43"/>
        <filter val="3,97"/>
        <filter val="30,00"/>
        <filter val="301,44"/>
        <filter val="304,00"/>
        <filter val="307,00"/>
        <filter val="31,00"/>
        <filter val="31,35"/>
        <filter val="314,00"/>
        <filter val="334,00"/>
        <filter val="347,00"/>
        <filter val="35,00"/>
        <filter val="36,00"/>
        <filter val="362,00"/>
        <filter val="364,00"/>
        <filter val="37,00"/>
        <filter val="37,92"/>
        <filter val="38,00"/>
        <filter val="387,00"/>
        <filter val="390,00"/>
        <filter val="4,17"/>
        <filter val="4,44"/>
        <filter val="40,00"/>
        <filter val="41,00"/>
        <filter val="41,96"/>
        <filter val="419,00"/>
        <filter val="424,00"/>
        <filter val="435,00"/>
        <filter val="44,20"/>
        <filter val="44,77"/>
        <filter val="46,64"/>
        <filter val="48,00"/>
        <filter val="49,00"/>
        <filter val="5,00"/>
        <filter val="50,00"/>
        <filter val="529,00"/>
        <filter val="54,00"/>
        <filter val="544,00"/>
        <filter val="546,00"/>
        <filter val="55,00"/>
        <filter val="56,00"/>
        <filter val="59,00"/>
        <filter val="592,00"/>
        <filter val="6,00"/>
        <filter val="60,00"/>
        <filter val="61,00"/>
        <filter val="62,00"/>
        <filter val="64,00"/>
        <filter val="646,00"/>
        <filter val="65,00"/>
        <filter val="66,60"/>
        <filter val="663,00"/>
        <filter val="68,00"/>
        <filter val="693,87"/>
        <filter val="70,00"/>
        <filter val="702,00"/>
        <filter val="72,00"/>
        <filter val="72,97"/>
        <filter val="73,70"/>
        <filter val="731,00"/>
        <filter val="74,05"/>
        <filter val="76,00"/>
        <filter val="8,15"/>
        <filter val="80,00"/>
        <filter val="82,82"/>
        <filter val="828,00"/>
        <filter val="863,00"/>
        <filter val="875,00"/>
        <filter val="88,00"/>
        <filter val="9,38"/>
        <filter val="91,00"/>
        <filter val="93,87"/>
        <filter val="95,00"/>
        <filter val="98,15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