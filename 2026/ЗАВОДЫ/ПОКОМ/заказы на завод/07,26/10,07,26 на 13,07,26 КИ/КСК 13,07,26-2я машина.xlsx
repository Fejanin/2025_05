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9181BD9-FE0F-4D5C-9947-A04E46699C1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P435" i="2"/>
  <c r="BO435" i="2"/>
  <c r="BM435" i="2"/>
  <c r="Y435" i="2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Z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Z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Z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Z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Z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Z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Z174" i="2"/>
  <c r="Y174" i="2"/>
  <c r="BN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Z117" i="2"/>
  <c r="Y117" i="2"/>
  <c r="BN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Z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P53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P63" i="2" l="1"/>
  <c r="BN65" i="2"/>
  <c r="BN113" i="2"/>
  <c r="BN159" i="2"/>
  <c r="BN203" i="2"/>
  <c r="BN225" i="2"/>
  <c r="BN357" i="2"/>
  <c r="BN445" i="2"/>
  <c r="Z63" i="2"/>
  <c r="BP117" i="2"/>
  <c r="BN152" i="2"/>
  <c r="BP174" i="2"/>
  <c r="BN176" i="2"/>
  <c r="BP199" i="2"/>
  <c r="Z275" i="2"/>
  <c r="Z281" i="2"/>
  <c r="BN281" i="2"/>
  <c r="BP317" i="2"/>
  <c r="Z325" i="2"/>
  <c r="BN400" i="2"/>
  <c r="Z409" i="2"/>
  <c r="BP411" i="2"/>
  <c r="BN454" i="2"/>
  <c r="Y462" i="2"/>
  <c r="BN497" i="2"/>
  <c r="Z516" i="2"/>
  <c r="BN346" i="2"/>
  <c r="Y350" i="2"/>
  <c r="BN407" i="2"/>
  <c r="BP294" i="2"/>
  <c r="BN293" i="2"/>
  <c r="Z297" i="2"/>
  <c r="BP129" i="2"/>
  <c r="Z129" i="2"/>
  <c r="Z130" i="2" s="1"/>
  <c r="Y131" i="2"/>
  <c r="Y493" i="2"/>
  <c r="BN262" i="2"/>
  <c r="Z393" i="2"/>
  <c r="BN217" i="2"/>
  <c r="BP517" i="2"/>
  <c r="Z512" i="2"/>
  <c r="Z513" i="2" s="1"/>
  <c r="BN499" i="2"/>
  <c r="BN482" i="2"/>
  <c r="Y463" i="2"/>
  <c r="Z460" i="2"/>
  <c r="BP460" i="2"/>
  <c r="BN452" i="2"/>
  <c r="BN429" i="2"/>
  <c r="Y430" i="2"/>
  <c r="Z419" i="2"/>
  <c r="BP418" i="2"/>
  <c r="BP413" i="2"/>
  <c r="Z413" i="2"/>
  <c r="BP408" i="2"/>
  <c r="Z407" i="2"/>
  <c r="BP399" i="2"/>
  <c r="Z399" i="2"/>
  <c r="BN394" i="2"/>
  <c r="BP393" i="2"/>
  <c r="Y395" i="2"/>
  <c r="BN387" i="2"/>
  <c r="Y383" i="2"/>
  <c r="Z381" i="2"/>
  <c r="BN380" i="2"/>
  <c r="Z374" i="2"/>
  <c r="BP373" i="2"/>
  <c r="BP372" i="2"/>
  <c r="Z372" i="2"/>
  <c r="Z368" i="2"/>
  <c r="BP368" i="2"/>
  <c r="BN366" i="2"/>
  <c r="Z365" i="2"/>
  <c r="BN362" i="2"/>
  <c r="BP356" i="2"/>
  <c r="Z356" i="2"/>
  <c r="BP353" i="2"/>
  <c r="BN336" i="2"/>
  <c r="Z327" i="2"/>
  <c r="BP327" i="2"/>
  <c r="BN320" i="2"/>
  <c r="Z318" i="2"/>
  <c r="BN310" i="2"/>
  <c r="BP309" i="2"/>
  <c r="BP297" i="2"/>
  <c r="Z295" i="2"/>
  <c r="Z293" i="2"/>
  <c r="Z298" i="2" s="1"/>
  <c r="BN278" i="2"/>
  <c r="BN276" i="2"/>
  <c r="Z271" i="2"/>
  <c r="BP264" i="2"/>
  <c r="Z264" i="2"/>
  <c r="Z262" i="2"/>
  <c r="Y268" i="2"/>
  <c r="Z255" i="2"/>
  <c r="Z256" i="2" s="1"/>
  <c r="Z254" i="2"/>
  <c r="BP231" i="2"/>
  <c r="Z231" i="2"/>
  <c r="Z222" i="2"/>
  <c r="BP221" i="2"/>
  <c r="BP219" i="2"/>
  <c r="Z219" i="2"/>
  <c r="Z218" i="2"/>
  <c r="Y228" i="2"/>
  <c r="Z209" i="2"/>
  <c r="Z210" i="2" s="1"/>
  <c r="BP209" i="2"/>
  <c r="Y211" i="2"/>
  <c r="BN209" i="2"/>
  <c r="BP202" i="2"/>
  <c r="Z201" i="2"/>
  <c r="BN192" i="2"/>
  <c r="Y193" i="2"/>
  <c r="Z192" i="2"/>
  <c r="Z193" i="2" s="1"/>
  <c r="BP192" i="2"/>
  <c r="Z176" i="2"/>
  <c r="BN170" i="2"/>
  <c r="Z163" i="2"/>
  <c r="Z164" i="2" s="1"/>
  <c r="Y165" i="2"/>
  <c r="Z152" i="2"/>
  <c r="Z139" i="2"/>
  <c r="BN129" i="2"/>
  <c r="BN123" i="2"/>
  <c r="BP108" i="2"/>
  <c r="BN91" i="2"/>
  <c r="Y92" i="2"/>
  <c r="BN73" i="2"/>
  <c r="Z73" i="2"/>
  <c r="Z65" i="2"/>
  <c r="X536" i="2"/>
  <c r="Z42" i="2"/>
  <c r="BP42" i="2"/>
  <c r="Y37" i="2"/>
  <c r="X534" i="2"/>
  <c r="X535" i="2"/>
  <c r="X538" i="2"/>
  <c r="Z27" i="2"/>
  <c r="BP27" i="2"/>
  <c r="Y24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Z312" i="2" s="1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21" i="2" s="1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Z136" i="2" s="1"/>
  <c r="Y160" i="2"/>
  <c r="BN158" i="2"/>
  <c r="BP158" i="2"/>
  <c r="Z158" i="2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Z241" i="2" s="1"/>
  <c r="BP249" i="2"/>
  <c r="Y252" i="2"/>
  <c r="Z250" i="2"/>
  <c r="BN250" i="2"/>
  <c r="Z367" i="2"/>
  <c r="BN367" i="2"/>
  <c r="BN401" i="2"/>
  <c r="BP401" i="2"/>
  <c r="Z401" i="2"/>
  <c r="Z402" i="2" s="1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Z421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36" i="2"/>
  <c r="BP346" i="2"/>
  <c r="Z355" i="2"/>
  <c r="Z359" i="2" s="1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BP135" i="2"/>
  <c r="Y141" i="2"/>
  <c r="Z160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35" i="2"/>
  <c r="Z376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Z415" i="2" s="1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Z184" i="2" s="1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Z426" i="2" s="1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Z395" i="2" s="1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Z527" i="2" s="1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205" i="2" l="1"/>
  <c r="Z84" i="2"/>
  <c r="Z518" i="2"/>
  <c r="Z328" i="2"/>
  <c r="Z46" i="2"/>
  <c r="Z141" i="2"/>
  <c r="Z92" i="2"/>
  <c r="Z382" i="2"/>
  <c r="Z473" i="2"/>
  <c r="Z389" i="2"/>
  <c r="Z369" i="2"/>
  <c r="Z349" i="2"/>
  <c r="Z282" i="2"/>
  <c r="Z267" i="2"/>
  <c r="Z251" i="2"/>
  <c r="Z154" i="2"/>
  <c r="Z99" i="2"/>
  <c r="X537" i="2"/>
  <c r="Z55" i="2"/>
  <c r="Z32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<sst xmlns="http://schemas.openxmlformats.org/spreadsheetml/2006/main" count="4040" uniqueCount="856">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</sst>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46216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Понедельник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64</v>
      </c>
      <c r="Y44" s="55">
        <f>IFERROR(IF(X44="",0,CEILING((X44/$H44),1)*$H44),"")</f>
        <v>65.28</v>
      </c>
      <c r="Z44" s="41">
        <f>IFERROR(IF(Y44=0,"",ROUNDUP(Y44/H44,0)*0.00651),"")</f>
        <v>0.22134000000000001</v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70</v>
      </c>
      <c r="BN44" s="78">
        <f>IFERROR(Y44*I44/H44,"0")</f>
        <v>71.40000000000002</v>
      </c>
      <c r="BO44" s="78">
        <f>IFERROR(1/J44*(X44/H44),"0")</f>
        <v>0.18315018315018317</v>
      </c>
      <c r="BP44" s="78">
        <f>IFERROR(1/J44*(Y44/H44),"0")</f>
        <v>0.18681318681318682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16</v>
      </c>
      <c r="Y45" s="55">
        <f>IFERROR(IF(X45="",0,CEILING((X45/$H45),1)*$H45),"")</f>
        <v>17.28</v>
      </c>
      <c r="Z45" s="41">
        <f>IFERROR(IF(Y45=0,"",ROUNDUP(Y45/H45,0)*0.00651),"")</f>
        <v>5.8590000000000003E-2</v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17.5</v>
      </c>
      <c r="BN45" s="78">
        <f>IFERROR(Y45*I45/H45,"0")</f>
        <v>18.900000000000002</v>
      </c>
      <c r="BO45" s="78">
        <f>IFERROR(1/J45*(X45/H45),"0")</f>
        <v>4.5787545787545791E-2</v>
      </c>
      <c r="BP45" s="78">
        <f>IFERROR(1/J45*(Y45/H45),"0")</f>
        <v>4.9450549450549462E-2</v>
      </c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41.666666666666671</v>
      </c>
      <c r="Y46" s="43">
        <f>IFERROR(Y41/H41,"0")+IFERROR(Y42/H42,"0")+IFERROR(Y43/H43,"0")+IFERROR(Y44/H44,"0")+IFERROR(Y45/H45,"0")</f>
        <v>43</v>
      </c>
      <c r="Z46" s="43">
        <f>IFERROR(IF(Z41="",0,Z41),"0")+IFERROR(IF(Z42="",0,Z42),"0")+IFERROR(IF(Z43="",0,Z43),"0")+IFERROR(IF(Z44="",0,Z44),"0")+IFERROR(IF(Z45="",0,Z45),"0")</f>
        <v>0.27993000000000001</v>
      </c>
      <c r="AA46" s="67"/>
      <c r="AB46" s="67"/>
      <c r="AC46" s="67"/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80</v>
      </c>
      <c r="Y47" s="43">
        <f>IFERROR(SUM(Y41:Y45),"0")</f>
        <v>82.56</v>
      </c>
      <c r="Z47" s="42"/>
      <c r="AA47" s="67"/>
      <c r="AB47" s="67"/>
      <c r="AC47" s="67"/>
    </row>
    <row r="48" spans="1:68" ht="27.75" hidden="1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150</v>
      </c>
      <c r="Y51" s="55">
        <f>IFERROR(IF(X51="",0,CEILING((X51/$H51),1)*$H51),"")</f>
        <v>151.20000000000002</v>
      </c>
      <c r="Z51" s="41">
        <f>IFERROR(IF(Y51=0,"",ROUNDUP(Y51/H51,0)*0.01898),"")</f>
        <v>0.26572000000000001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155.69444444444446</v>
      </c>
      <c r="BN51" s="78">
        <f>IFERROR(Y51*I51/H51,"0")</f>
        <v>156.94</v>
      </c>
      <c r="BO51" s="78">
        <f>IFERROR(1/J51*(X51/H51),"0")</f>
        <v>0.21701388888888887</v>
      </c>
      <c r="BP51" s="78">
        <f>IFERROR(1/J51*(Y51/H51),"0")</f>
        <v>0.21875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360</v>
      </c>
      <c r="Y53" s="55">
        <f>IFERROR(IF(X53="",0,CEILING((X53/$H53),1)*$H53),"")</f>
        <v>360</v>
      </c>
      <c r="Z53" s="41">
        <f>IFERROR(IF(Y53=0,"",ROUNDUP(Y53/H53,0)*0.00902),"")</f>
        <v>0.81180000000000008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377.1</v>
      </c>
      <c r="BN53" s="78">
        <f>IFERROR(Y53*I53/H53,"0")</f>
        <v>377.1</v>
      </c>
      <c r="BO53" s="78">
        <f>IFERROR(1/J53*(X53/H53),"0")</f>
        <v>0.68181818181818188</v>
      </c>
      <c r="BP53" s="78">
        <f>IFERROR(1/J53*(Y53/H53),"0")</f>
        <v>0.68181818181818188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103.88888888888889</v>
      </c>
      <c r="Y55" s="43">
        <f>IFERROR(Y51/H51,"0")+IFERROR(Y52/H52,"0")+IFERROR(Y53/H53,"0")+IFERROR(Y54/H54,"0")</f>
        <v>104</v>
      </c>
      <c r="Z55" s="43">
        <f>IFERROR(IF(Z51="",0,Z51),"0")+IFERROR(IF(Z52="",0,Z52),"0")+IFERROR(IF(Z53="",0,Z53),"0")+IFERROR(IF(Z54="",0,Z54),"0")</f>
        <v>1.07752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510</v>
      </c>
      <c r="Y56" s="43">
        <f>IFERROR(SUM(Y51:Y54),"0")</f>
        <v>511.20000000000005</v>
      </c>
      <c r="Z56" s="42"/>
      <c r="AA56" s="67"/>
      <c r="AB56" s="67"/>
      <c r="AC56" s="67"/>
    </row>
    <row r="57" spans="1:68" ht="16.5" hidden="1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405</v>
      </c>
      <c r="Y66" s="55">
        <f t="shared" si="0"/>
        <v>405</v>
      </c>
      <c r="Z66" s="41">
        <f>IFERROR(IF(Y66=0,"",ROUNDUP(Y66/H66,0)*0.00902),"")</f>
        <v>0.81180000000000008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422.1</v>
      </c>
      <c r="BN66" s="78">
        <f t="shared" si="2"/>
        <v>422.1</v>
      </c>
      <c r="BO66" s="78">
        <f t="shared" si="3"/>
        <v>0.68181818181818188</v>
      </c>
      <c r="BP66" s="78">
        <f t="shared" si="4"/>
        <v>0.68181818181818188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94.629629629629633</v>
      </c>
      <c r="Y67" s="43">
        <f>IFERROR(Y59/H59,"0")+IFERROR(Y60/H60,"0")+IFERROR(Y61/H61,"0")+IFERROR(Y62/H62,"0")+IFERROR(Y63/H63,"0")+IFERROR(Y64/H64,"0")+IFERROR(Y65/H65,"0")+IFERROR(Y66/H66,"0")</f>
        <v>95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0.90670000000000006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455</v>
      </c>
      <c r="Y68" s="43">
        <f>IFERROR(SUM(Y59:Y66),"0")</f>
        <v>459</v>
      </c>
      <c r="Z68" s="42"/>
      <c r="AA68" s="67"/>
      <c r="AB68" s="67"/>
      <c r="AC68" s="67"/>
    </row>
    <row r="69" spans="1:68" ht="14.25" hidden="1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80</v>
      </c>
      <c r="Y70" s="55">
        <f>IFERROR(IF(X70="",0,CEILING((X70/$H70),1)*$H70),"")</f>
        <v>86.4</v>
      </c>
      <c r="Z70" s="41">
        <f>IFERROR(IF(Y70=0,"",ROUNDUP(Y70/H70,0)*0.01898),"")</f>
        <v>0.15184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83.037037037037038</v>
      </c>
      <c r="BN70" s="78">
        <f>IFERROR(Y70*I70/H70,"0")</f>
        <v>89.68</v>
      </c>
      <c r="BO70" s="78">
        <f>IFERROR(1/J70*(X70/H70),"0")</f>
        <v>0.11574074074074073</v>
      </c>
      <c r="BP70" s="78">
        <f>IFERROR(1/J70*(Y70/H70),"0")</f>
        <v>0.125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180</v>
      </c>
      <c r="Y73" s="55">
        <f>IFERROR(IF(X73="",0,CEILING((X73/$H73),1)*$H73),"")</f>
        <v>180.9</v>
      </c>
      <c r="Z73" s="41">
        <f>IFERROR(IF(Y73=0,"",ROUNDUP(Y73/H73,0)*0.00651),"")</f>
        <v>0.43617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191.99999999999997</v>
      </c>
      <c r="BN73" s="78">
        <f>IFERROR(Y73*I73/H73,"0")</f>
        <v>192.95999999999998</v>
      </c>
      <c r="BO73" s="78">
        <f>IFERROR(1/J73*(X73/H73),"0")</f>
        <v>0.36630036630036628</v>
      </c>
      <c r="BP73" s="78">
        <f>IFERROR(1/J73*(Y73/H73),"0")</f>
        <v>0.36813186813186816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74.074074074074062</v>
      </c>
      <c r="Y74" s="43">
        <f>IFERROR(Y70/H70,"0")+IFERROR(Y71/H71,"0")+IFERROR(Y72/H72,"0")+IFERROR(Y73/H73,"0")</f>
        <v>75</v>
      </c>
      <c r="Z74" s="43">
        <f>IFERROR(IF(Z70="",0,Z70),"0")+IFERROR(IF(Z71="",0,Z71),"0")+IFERROR(IF(Z72="",0,Z72),"0")+IFERROR(IF(Z73="",0,Z73),"0")</f>
        <v>0.58801000000000003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260</v>
      </c>
      <c r="Y75" s="43">
        <f>IFERROR(SUM(Y70:Y73),"0")</f>
        <v>267.3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40</v>
      </c>
      <c r="Y82" s="55">
        <f>IFERROR(IF(X82="",0,CEILING((X82/$H82),1)*$H82),"")</f>
        <v>46.8</v>
      </c>
      <c r="Z82" s="41">
        <f>IFERROR(IF(Y82=0,"",ROUNDUP(Y82/H82,0)*0.01898),"")</f>
        <v>0.11388000000000001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42.102564102564109</v>
      </c>
      <c r="BN82" s="78">
        <f>IFERROR(Y82*I82/H82,"0")</f>
        <v>49.260000000000005</v>
      </c>
      <c r="BO82" s="78">
        <f>IFERROR(1/J82*(X82/H82),"0")</f>
        <v>8.0128205128205135E-2</v>
      </c>
      <c r="BP82" s="78">
        <f>IFERROR(1/J82*(Y82/H82),"0")</f>
        <v>9.375E-2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5.1282051282051286</v>
      </c>
      <c r="Y84" s="43">
        <f>IFERROR(Y82/H82,"0")+IFERROR(Y83/H83,"0")</f>
        <v>6</v>
      </c>
      <c r="Z84" s="43">
        <f>IFERROR(IF(Z82="",0,Z82),"0")+IFERROR(IF(Z83="",0,Z83),"0")</f>
        <v>0.11388000000000001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40</v>
      </c>
      <c r="Y85" s="43">
        <f>IFERROR(SUM(Y82:Y83),"0")</f>
        <v>46.8</v>
      </c>
      <c r="Z85" s="42"/>
      <c r="AA85" s="67"/>
      <c r="AB85" s="67"/>
      <c r="AC85" s="67"/>
    </row>
    <row r="86" spans="1:68" ht="16.5" hidden="1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450</v>
      </c>
      <c r="Y91" s="55">
        <f>IFERROR(IF(X91="",0,CEILING((X91/$H91),1)*$H91),"")</f>
        <v>450</v>
      </c>
      <c r="Z91" s="41">
        <f>IFERROR(IF(Y91=0,"",ROUNDUP(Y91/H91,0)*0.00902),"")</f>
        <v>0.90200000000000002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469</v>
      </c>
      <c r="BN91" s="78">
        <f>IFERROR(Y91*I91/H91,"0")</f>
        <v>469</v>
      </c>
      <c r="BO91" s="78">
        <f>IFERROR(1/J91*(X91/H91),"0")</f>
        <v>0.75757575757575757</v>
      </c>
      <c r="BP91" s="78">
        <f>IFERROR(1/J91*(Y91/H91),"0")</f>
        <v>0.75757575757575757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118.51851851851852</v>
      </c>
      <c r="Y92" s="43">
        <f>IFERROR(Y88/H88,"0")+IFERROR(Y89/H89,"0")+IFERROR(Y90/H90,"0")+IFERROR(Y91/H91,"0")</f>
        <v>119</v>
      </c>
      <c r="Z92" s="43">
        <f>IFERROR(IF(Z88="",0,Z88),"0")+IFERROR(IF(Z89="",0,Z89),"0")+IFERROR(IF(Z90="",0,Z90),"0")+IFERROR(IF(Z91="",0,Z91),"0")</f>
        <v>1.2626200000000001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650</v>
      </c>
      <c r="Y93" s="43">
        <f>IFERROR(SUM(Y88:Y91),"0")</f>
        <v>655.20000000000005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90</v>
      </c>
      <c r="Y95" s="55">
        <f>IFERROR(IF(X95="",0,CEILING((X95/$H95),1)*$H95),"")</f>
        <v>97.199999999999989</v>
      </c>
      <c r="Z95" s="41">
        <f>IFERROR(IF(Y95=0,"",ROUNDUP(Y95/H95,0)*0.01898),"")</f>
        <v>0.22776000000000002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95.48888888888888</v>
      </c>
      <c r="BN95" s="78">
        <f>IFERROR(Y95*I95/H95,"0")</f>
        <v>103.12799999999999</v>
      </c>
      <c r="BO95" s="78">
        <f>IFERROR(1/J95*(X95/H95),"0")</f>
        <v>0.1736111111111111</v>
      </c>
      <c r="BP95" s="78">
        <f>IFERROR(1/J95*(Y95/H95),"0")</f>
        <v>0.1875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630</v>
      </c>
      <c r="Y97" s="55">
        <f>IFERROR(IF(X97="",0,CEILING((X97/$H97),1)*$H97),"")</f>
        <v>631.80000000000007</v>
      </c>
      <c r="Z97" s="41">
        <f>IFERROR(IF(Y97=0,"",ROUNDUP(Y97/H97,0)*0.00651),"")</f>
        <v>1.5233400000000001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688.8</v>
      </c>
      <c r="BN97" s="78">
        <f>IFERROR(Y97*I97/H97,"0")</f>
        <v>690.76800000000003</v>
      </c>
      <c r="BO97" s="78">
        <f>IFERROR(1/J97*(X97/H97),"0")</f>
        <v>1.2820512820512819</v>
      </c>
      <c r="BP97" s="78">
        <f>IFERROR(1/J97*(Y97/H97),"0")</f>
        <v>1.2857142857142858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244.44444444444443</v>
      </c>
      <c r="Y99" s="43">
        <f>IFERROR(Y95/H95,"0")+IFERROR(Y96/H96,"0")+IFERROR(Y97/H97,"0")+IFERROR(Y98/H98,"0")</f>
        <v>246</v>
      </c>
      <c r="Z99" s="43">
        <f>IFERROR(IF(Z95="",0,Z95),"0")+IFERROR(IF(Z96="",0,Z96),"0")+IFERROR(IF(Z97="",0,Z97),"0")+IFERROR(IF(Z98="",0,Z98),"0")</f>
        <v>1.7511000000000001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720</v>
      </c>
      <c r="Y100" s="43">
        <f>IFERROR(SUM(Y95:Y98),"0")</f>
        <v>729</v>
      </c>
      <c r="Z100" s="42"/>
      <c r="AA100" s="67"/>
      <c r="AB100" s="67"/>
      <c r="AC100" s="67"/>
    </row>
    <row r="101" spans="1:68" ht="16.5" hidden="1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50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51.898148148148145</v>
      </c>
      <c r="BN103" s="78">
        <f t="shared" ref="BN103:BN108" si="7">IFERROR(Y103*I103/H103,"0")</f>
        <v>56.05</v>
      </c>
      <c r="BO103" s="78">
        <f t="shared" ref="BO103:BO108" si="8">IFERROR(1/J103*(X103/H103),"0")</f>
        <v>7.2337962962962965E-2</v>
      </c>
      <c r="BP103" s="78">
        <f t="shared" ref="BP103:BP108" si="9">IFERROR(1/J103*(Y103/H103),"0")</f>
        <v>7.8125E-2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450</v>
      </c>
      <c r="Y107" s="55">
        <f t="shared" si="5"/>
        <v>450</v>
      </c>
      <c r="Z107" s="41">
        <f>IFERROR(IF(Y107=0,"",ROUNDUP(Y107/H107,0)*0.00902),"")</f>
        <v>0.90200000000000002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469</v>
      </c>
      <c r="BN107" s="78">
        <f t="shared" si="7"/>
        <v>469</v>
      </c>
      <c r="BO107" s="78">
        <f t="shared" si="8"/>
        <v>0.75757575757575757</v>
      </c>
      <c r="BP107" s="78">
        <f t="shared" si="9"/>
        <v>0.75757575757575757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104.62962962962963</v>
      </c>
      <c r="Y109" s="43">
        <f>IFERROR(Y103/H103,"0")+IFERROR(Y104/H104,"0")+IFERROR(Y105/H105,"0")+IFERROR(Y106/H106,"0")+IFERROR(Y107/H107,"0")+IFERROR(Y108/H108,"0")</f>
        <v>105</v>
      </c>
      <c r="Z109" s="43">
        <f>IFERROR(IF(Z103="",0,Z103),"0")+IFERROR(IF(Z104="",0,Z104),"0")+IFERROR(IF(Z105="",0,Z105),"0")+IFERROR(IF(Z106="",0,Z106),"0")+IFERROR(IF(Z107="",0,Z107),"0")+IFERROR(IF(Z108="",0,Z108),"0")</f>
        <v>0.99690000000000001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500</v>
      </c>
      <c r="Y110" s="43">
        <f>IFERROR(SUM(Y103:Y108),"0")</f>
        <v>504</v>
      </c>
      <c r="Z110" s="42"/>
      <c r="AA110" s="67"/>
      <c r="AB110" s="67"/>
      <c r="AC110" s="67"/>
    </row>
    <row r="111" spans="1:68" ht="14.25" hidden="1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2</v>
      </c>
      <c r="Y114" s="55">
        <f t="shared" si="10"/>
        <v>2</v>
      </c>
      <c r="Z114" s="41">
        <f>IFERROR(IF(Y114=0,"",ROUNDUP(Y114/H114,0)*0.00358),"")</f>
        <v>7.1599999999999997E-3</v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2.42</v>
      </c>
      <c r="BN114" s="78">
        <f t="shared" si="12"/>
        <v>2.42</v>
      </c>
      <c r="BO114" s="78">
        <f t="shared" si="13"/>
        <v>5.1020408163265302E-3</v>
      </c>
      <c r="BP114" s="78">
        <f t="shared" si="14"/>
        <v>5.1020408163265302E-3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2</v>
      </c>
      <c r="Y119" s="43">
        <f>IFERROR(Y112/H112,"0")+IFERROR(Y113/H113,"0")+IFERROR(Y114/H114,"0")+IFERROR(Y115/H115,"0")+IFERROR(Y116/H116,"0")+IFERROR(Y117/H117,"0")+IFERROR(Y118/H118,"0")</f>
        <v>2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7.1599999999999997E-3</v>
      </c>
      <c r="AA119" s="67"/>
      <c r="AB119" s="67"/>
      <c r="AC119" s="67"/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2</v>
      </c>
      <c r="Y120" s="43">
        <f>IFERROR(SUM(Y112:Y118),"0")</f>
        <v>2</v>
      </c>
      <c r="Z120" s="42"/>
      <c r="AA120" s="67"/>
      <c r="AB120" s="67"/>
      <c r="AC120" s="67"/>
    </row>
    <row r="121" spans="1:68" ht="14.25" hidden="1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450</v>
      </c>
      <c r="Y122" s="55">
        <f>IFERROR(IF(X122="",0,CEILING((X122/$H122),1)*$H122),"")</f>
        <v>453.59999999999997</v>
      </c>
      <c r="Z122" s="41">
        <f>IFERROR(IF(Y122=0,"",ROUNDUP(Y122/H122,0)*0.01898),"")</f>
        <v>1.06288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477.11111111111109</v>
      </c>
      <c r="BN122" s="78">
        <f>IFERROR(Y122*I122/H122,"0")</f>
        <v>480.92799999999994</v>
      </c>
      <c r="BO122" s="78">
        <f>IFERROR(1/J122*(X122/H122),"0")</f>
        <v>0.86805555555555558</v>
      </c>
      <c r="BP122" s="78">
        <f>IFERROR(1/J122*(Y122/H122),"0")</f>
        <v>0.875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585</v>
      </c>
      <c r="Y124" s="55">
        <f>IFERROR(IF(X124="",0,CEILING((X124/$H124),1)*$H124),"")</f>
        <v>585.90000000000009</v>
      </c>
      <c r="Z124" s="41">
        <f>IFERROR(IF(Y124=0,"",ROUNDUP(Y124/H124,0)*0.00651),"")</f>
        <v>1.4126700000000001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639.6</v>
      </c>
      <c r="BN124" s="78">
        <f>IFERROR(Y124*I124/H124,"0")</f>
        <v>640.58400000000006</v>
      </c>
      <c r="BO124" s="78">
        <f>IFERROR(1/J124*(X124/H124),"0")</f>
        <v>1.1904761904761905</v>
      </c>
      <c r="BP124" s="78">
        <f>IFERROR(1/J124*(Y124/H124),"0")</f>
        <v>1.1923076923076925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30</v>
      </c>
      <c r="Y125" s="55">
        <f>IFERROR(IF(X125="",0,CEILING((X125/$H125),1)*$H125),"")</f>
        <v>30.6</v>
      </c>
      <c r="Z125" s="41">
        <f>IFERROR(IF(Y125=0,"",ROUNDUP(Y125/H125,0)*0.00651),"")</f>
        <v>0.11067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33</v>
      </c>
      <c r="BN125" s="78">
        <f>IFERROR(Y125*I125/H125,"0")</f>
        <v>33.659999999999997</v>
      </c>
      <c r="BO125" s="78">
        <f>IFERROR(1/J125*(X125/H125),"0")</f>
        <v>9.1575091575091583E-2</v>
      </c>
      <c r="BP125" s="78">
        <f>IFERROR(1/J125*(Y125/H125),"0")</f>
        <v>9.3406593406593408E-2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288.88888888888891</v>
      </c>
      <c r="Y126" s="43">
        <f>IFERROR(Y122/H122,"0")+IFERROR(Y123/H123,"0")+IFERROR(Y124/H124,"0")+IFERROR(Y125/H125,"0")</f>
        <v>290</v>
      </c>
      <c r="Z126" s="43">
        <f>IFERROR(IF(Z122="",0,Z122),"0")+IFERROR(IF(Z123="",0,Z123),"0")+IFERROR(IF(Z124="",0,Z124),"0")+IFERROR(IF(Z125="",0,Z125),"0")</f>
        <v>2.58622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1065</v>
      </c>
      <c r="Y127" s="43">
        <f>IFERROR(SUM(Y122:Y125),"0")</f>
        <v>1070.0999999999999</v>
      </c>
      <c r="Z127" s="42"/>
      <c r="AA127" s="67"/>
      <c r="AB127" s="67"/>
      <c r="AC127" s="67"/>
    </row>
    <row r="128" spans="1:68" ht="14.25" hidden="1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49.5</v>
      </c>
      <c r="Y129" s="55">
        <f>IFERROR(IF(X129="",0,CEILING((X129/$H129),1)*$H129),"")</f>
        <v>49.5</v>
      </c>
      <c r="Z129" s="41">
        <f>IFERROR(IF(Y129=0,"",ROUNDUP(Y129/H129,0)*0.00651),"")</f>
        <v>0.16275000000000001</v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55.95</v>
      </c>
      <c r="BN129" s="78">
        <f>IFERROR(Y129*I129/H129,"0")</f>
        <v>55.95</v>
      </c>
      <c r="BO129" s="78">
        <f>IFERROR(1/J129*(X129/H129),"0")</f>
        <v>0.13736263736263737</v>
      </c>
      <c r="BP129" s="78">
        <f>IFERROR(1/J129*(Y129/H129),"0")</f>
        <v>0.13736263736263737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25</v>
      </c>
      <c r="Y130" s="43">
        <f>IFERROR(Y129/H129,"0")</f>
        <v>25</v>
      </c>
      <c r="Z130" s="43">
        <f>IFERROR(IF(Z129="",0,Z129),"0")</f>
        <v>0.16275000000000001</v>
      </c>
      <c r="AA130" s="67"/>
      <c r="AB130" s="67"/>
      <c r="AC130" s="67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49.5</v>
      </c>
      <c r="Y131" s="43">
        <f>IFERROR(SUM(Y129:Y129),"0")</f>
        <v>49.5</v>
      </c>
      <c r="Z131" s="42"/>
      <c r="AA131" s="67"/>
      <c r="AB131" s="67"/>
      <c r="AC131" s="67"/>
    </row>
    <row r="132" spans="1:68" ht="16.5" hidden="1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120</v>
      </c>
      <c r="Y135" s="55">
        <f>IFERROR(IF(X135="",0,CEILING((X135/$H135),1)*$H135),"")</f>
        <v>121.60000000000001</v>
      </c>
      <c r="Z135" s="41">
        <f>IFERROR(IF(Y135=0,"",ROUNDUP(Y135/H135,0)*0.00651),"")</f>
        <v>0.24738000000000002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126.74999999999999</v>
      </c>
      <c r="BN135" s="78">
        <f>IFERROR(Y135*I135/H135,"0")</f>
        <v>128.44</v>
      </c>
      <c r="BO135" s="78">
        <f>IFERROR(1/J135*(X135/H135),"0")</f>
        <v>0.20604395604395606</v>
      </c>
      <c r="BP135" s="78">
        <f>IFERROR(1/J135*(Y135/H135),"0")</f>
        <v>0.2087912087912088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37.5</v>
      </c>
      <c r="Y136" s="43">
        <f>IFERROR(Y134/H134,"0")+IFERROR(Y135/H135,"0")</f>
        <v>38</v>
      </c>
      <c r="Z136" s="43">
        <f>IFERROR(IF(Z134="",0,Z134),"0")+IFERROR(IF(Z135="",0,Z135),"0")</f>
        <v>0.24738000000000002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120</v>
      </c>
      <c r="Y137" s="43">
        <f>IFERROR(SUM(Y134:Y135),"0")</f>
        <v>121.60000000000001</v>
      </c>
      <c r="Z137" s="42"/>
      <c r="AA137" s="67"/>
      <c r="AB137" s="67"/>
      <c r="AC137" s="67"/>
    </row>
    <row r="138" spans="1:68" ht="14.25" hidden="1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70</v>
      </c>
      <c r="Y139" s="55">
        <f>IFERROR(IF(X139="",0,CEILING((X139/$H139),1)*$H139),"")</f>
        <v>70</v>
      </c>
      <c r="Z139" s="41">
        <f>IFERROR(IF(Y139=0,"",ROUNDUP(Y139/H139,0)*0.00651),"")</f>
        <v>0.16275000000000001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76.7</v>
      </c>
      <c r="BN139" s="78">
        <f>IFERROR(Y139*I139/H139,"0")</f>
        <v>76.7</v>
      </c>
      <c r="BO139" s="78">
        <f>IFERROR(1/J139*(X139/H139),"0")</f>
        <v>0.13736263736263737</v>
      </c>
      <c r="BP139" s="78">
        <f>IFERROR(1/J139*(Y139/H139),"0")</f>
        <v>0.13736263736263737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25</v>
      </c>
      <c r="Y141" s="43">
        <f>IFERROR(Y139/H139,"0")+IFERROR(Y140/H140,"0")</f>
        <v>25</v>
      </c>
      <c r="Z141" s="43">
        <f>IFERROR(IF(Z139="",0,Z139),"0")+IFERROR(IF(Z140="",0,Z140),"0")</f>
        <v>0.16275000000000001</v>
      </c>
      <c r="AA141" s="67"/>
      <c r="AB141" s="67"/>
      <c r="AC141" s="67"/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70</v>
      </c>
      <c r="Y142" s="43">
        <f>IFERROR(SUM(Y139:Y140),"0")</f>
        <v>70</v>
      </c>
      <c r="Z142" s="42"/>
      <c r="AA142" s="67"/>
      <c r="AB142" s="67"/>
      <c r="AC142" s="67"/>
    </row>
    <row r="143" spans="1:68" ht="14.25" hidden="1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99</v>
      </c>
      <c r="Y144" s="55">
        <f>IFERROR(IF(X144="",0,CEILING((X144/$H144),1)*$H144),"")</f>
        <v>100.32000000000001</v>
      </c>
      <c r="Z144" s="41">
        <f>IFERROR(IF(Y144=0,"",ROUNDUP(Y144/H144,0)*0.00651),"")</f>
        <v>0.24738000000000002</v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109.05</v>
      </c>
      <c r="BN144" s="78">
        <f>IFERROR(Y144*I144/H144,"0")</f>
        <v>110.504</v>
      </c>
      <c r="BO144" s="78">
        <f>IFERROR(1/J144*(X144/H144),"0")</f>
        <v>0.20604395604395606</v>
      </c>
      <c r="BP144" s="78">
        <f>IFERROR(1/J144*(Y144/H144),"0")</f>
        <v>0.2087912087912088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37.5</v>
      </c>
      <c r="Y146" s="43">
        <f>IFERROR(Y144/H144,"0")+IFERROR(Y145/H145,"0")</f>
        <v>38</v>
      </c>
      <c r="Z146" s="43">
        <f>IFERROR(IF(Z144="",0,Z144),"0")+IFERROR(IF(Z145="",0,Z145),"0")</f>
        <v>0.24738000000000002</v>
      </c>
      <c r="AA146" s="67"/>
      <c r="AB146" s="67"/>
      <c r="AC146" s="67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99</v>
      </c>
      <c r="Y147" s="43">
        <f>IFERROR(SUM(Y144:Y145),"0")</f>
        <v>100.32000000000001</v>
      </c>
      <c r="Z147" s="42"/>
      <c r="AA147" s="67"/>
      <c r="AB147" s="67"/>
      <c r="AC147" s="67"/>
    </row>
    <row r="148" spans="1:68" ht="16.5" hidden="1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6</v>
      </c>
      <c r="Y163" s="55">
        <f>IFERROR(IF(X163="",0,CEILING((X163/$H163),1)*$H163),"")</f>
        <v>6.4799999999999995</v>
      </c>
      <c r="Z163" s="41">
        <f>IFERROR(IF(Y163=0,"",ROUNDUP(Y163/H163,0)*0.00556),"")</f>
        <v>5.0040000000000001E-2</v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7.083333333333333</v>
      </c>
      <c r="BN163" s="78">
        <f>IFERROR(Y163*I163/H163,"0")</f>
        <v>7.6499999999999995</v>
      </c>
      <c r="BO163" s="78">
        <f>IFERROR(1/J163*(X163/H163),"0")</f>
        <v>3.3068783068783067E-2</v>
      </c>
      <c r="BP163" s="78">
        <f>IFERROR(1/J163*(Y163/H163),"0")</f>
        <v>3.5714285714285712E-2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8.3333333333333339</v>
      </c>
      <c r="Y164" s="43">
        <f>IFERROR(Y163/H163,"0")</f>
        <v>9</v>
      </c>
      <c r="Z164" s="43">
        <f>IFERROR(IF(Z163="",0,Z163),"0")</f>
        <v>5.0040000000000001E-2</v>
      </c>
      <c r="AA164" s="67"/>
      <c r="AB164" s="67"/>
      <c r="AC164" s="67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6</v>
      </c>
      <c r="Y165" s="43">
        <f>IFERROR(SUM(Y163:Y163),"0")</f>
        <v>6.4799999999999995</v>
      </c>
      <c r="Z165" s="42"/>
      <c r="AA165" s="67"/>
      <c r="AB165" s="67"/>
      <c r="AC165" s="67"/>
    </row>
    <row r="166" spans="1:68" ht="14.25" hidden="1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270</v>
      </c>
      <c r="Y167" s="55">
        <f t="shared" ref="Y167:Y177" si="15">IFERROR(IF(X167="",0,CEILING((X167/$H167),1)*$H167),"")</f>
        <v>273</v>
      </c>
      <c r="Z167" s="41">
        <f>IFERROR(IF(Y167=0,"",ROUNDUP(Y167/H167,0)*0.00902),"")</f>
        <v>0.70355999999999996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284.65714285714284</v>
      </c>
      <c r="BN167" s="78">
        <f t="shared" ref="BN167:BN177" si="17">IFERROR(Y167*I167/H167,"0")</f>
        <v>287.82</v>
      </c>
      <c r="BO167" s="78">
        <f t="shared" ref="BO167:BO177" si="18">IFERROR(1/J167*(X167/H167),"0")</f>
        <v>0.58441558441558439</v>
      </c>
      <c r="BP167" s="78">
        <f t="shared" ref="BP167:BP177" si="19">IFERROR(1/J167*(Y167/H167),"0")</f>
        <v>0.59090909090909094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250</v>
      </c>
      <c r="Y169" s="55">
        <f t="shared" si="15"/>
        <v>252</v>
      </c>
      <c r="Z169" s="41">
        <f>IFERROR(IF(Y169=0,"",ROUNDUP(Y169/H169,0)*0.00902),"")</f>
        <v>0.64944000000000002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263.57142857142856</v>
      </c>
      <c r="BN169" s="78">
        <f t="shared" si="17"/>
        <v>265.68</v>
      </c>
      <c r="BO169" s="78">
        <f t="shared" si="18"/>
        <v>0.54112554112554112</v>
      </c>
      <c r="BP169" s="78">
        <f t="shared" si="19"/>
        <v>0.54545454545454541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220</v>
      </c>
      <c r="Y170" s="55">
        <f t="shared" si="15"/>
        <v>220.5</v>
      </c>
      <c r="Z170" s="41">
        <f>IFERROR(IF(Y170=0,"",ROUNDUP(Y170/H170,0)*0.00902),"")</f>
        <v>0.56825999999999999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231.94285714285712</v>
      </c>
      <c r="BN170" s="78">
        <f t="shared" si="17"/>
        <v>232.47</v>
      </c>
      <c r="BO170" s="78">
        <f t="shared" si="18"/>
        <v>0.47619047619047616</v>
      </c>
      <c r="BP170" s="78">
        <f t="shared" si="19"/>
        <v>0.47727272727272729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18</v>
      </c>
      <c r="Y171" s="55">
        <f t="shared" si="15"/>
        <v>18</v>
      </c>
      <c r="Z171" s="41">
        <f>IFERROR(IF(Y171=0,"",ROUNDUP(Y171/H171,0)*0.00417),"")</f>
        <v>8.3400000000000002E-2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22.2</v>
      </c>
      <c r="BN171" s="78">
        <f t="shared" si="17"/>
        <v>22.2</v>
      </c>
      <c r="BO171" s="78">
        <f t="shared" si="18"/>
        <v>5.9523809523809521E-2</v>
      </c>
      <c r="BP171" s="78">
        <f t="shared" si="19"/>
        <v>5.9523809523809521E-2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84.000000000000014</v>
      </c>
      <c r="Y172" s="55">
        <f t="shared" si="15"/>
        <v>84</v>
      </c>
      <c r="Z172" s="41">
        <f>IFERROR(IF(Y172=0,"",ROUNDUP(Y172/H172,0)*0.00502),"")</f>
        <v>0.251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89.000000000000028</v>
      </c>
      <c r="BN172" s="78">
        <f t="shared" si="17"/>
        <v>89.000000000000014</v>
      </c>
      <c r="BO172" s="78">
        <f t="shared" si="18"/>
        <v>0.21367521367521372</v>
      </c>
      <c r="BP172" s="78">
        <f t="shared" si="19"/>
        <v>0.21367521367521369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56.000000000000007</v>
      </c>
      <c r="Y175" s="55">
        <f t="shared" si="15"/>
        <v>57.12</v>
      </c>
      <c r="Z175" s="41">
        <f>IFERROR(IF(Y175=0,"",ROUNDUP(Y175/H175,0)*0.00502),"")</f>
        <v>0.17068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59.33333333333335</v>
      </c>
      <c r="BN175" s="78">
        <f t="shared" si="17"/>
        <v>60.519999999999996</v>
      </c>
      <c r="BO175" s="78">
        <f t="shared" si="18"/>
        <v>0.14245014245014248</v>
      </c>
      <c r="BP175" s="78">
        <f t="shared" si="19"/>
        <v>0.14529914529914531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4.5</v>
      </c>
      <c r="Y176" s="55">
        <f t="shared" si="15"/>
        <v>4.5</v>
      </c>
      <c r="Z176" s="41">
        <f>IFERROR(IF(Y176=0,"",ROUNDUP(Y176/H176,0)*0.00417),"")</f>
        <v>2.085E-2</v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5</v>
      </c>
      <c r="BN176" s="78">
        <f t="shared" si="17"/>
        <v>5</v>
      </c>
      <c r="BO176" s="78">
        <f t="shared" si="18"/>
        <v>1.488095238095238E-2</v>
      </c>
      <c r="BP176" s="78">
        <f t="shared" si="19"/>
        <v>1.488095238095238E-2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28.000000000000004</v>
      </c>
      <c r="Y177" s="55">
        <f t="shared" si="15"/>
        <v>28.56</v>
      </c>
      <c r="Z177" s="41">
        <f>IFERROR(IF(Y177=0,"",ROUNDUP(Y177/H177,0)*0.00502),"")</f>
        <v>8.5339999999999999E-2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29.666666666666675</v>
      </c>
      <c r="BN177" s="78">
        <f t="shared" si="17"/>
        <v>30.259999999999998</v>
      </c>
      <c r="BO177" s="78">
        <f t="shared" si="18"/>
        <v>7.122507122507124E-2</v>
      </c>
      <c r="BP177" s="78">
        <f t="shared" si="19"/>
        <v>7.2649572649572655E-2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336.42857142857144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339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2.5325299999999995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930.5</v>
      </c>
      <c r="Y179" s="43">
        <f>IFERROR(SUM(Y167:Y177),"0")</f>
        <v>937.68</v>
      </c>
      <c r="Z179" s="42"/>
      <c r="AA179" s="67"/>
      <c r="AB179" s="67"/>
      <c r="AC179" s="67"/>
    </row>
    <row r="180" spans="1:68" ht="14.25" hidden="1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70</v>
      </c>
      <c r="Y213" s="55">
        <f t="shared" ref="Y213:Y226" si="26">IFERROR(IF(X213="",0,CEILING((X213/$H213),1)*$H213),"")</f>
        <v>71.400000000000006</v>
      </c>
      <c r="Z213" s="41">
        <f>IFERROR(IF(Y213=0,"",ROUNDUP(Y213/H213,0)*0.00902),"")</f>
        <v>0.15334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74.166666666666657</v>
      </c>
      <c r="BN213" s="78">
        <f t="shared" ref="BN213:BN226" si="28">IFERROR(Y213*I213/H213,"0")</f>
        <v>75.650000000000006</v>
      </c>
      <c r="BO213" s="78">
        <f t="shared" ref="BO213:BO226" si="29">IFERROR(1/J213*(X213/H213),"0")</f>
        <v>0.12626262626262624</v>
      </c>
      <c r="BP213" s="78">
        <f t="shared" ref="BP213:BP226" si="30">IFERROR(1/J213*(Y213/H213),"0")</f>
        <v>0.12878787878787878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30</v>
      </c>
      <c r="Y214" s="55">
        <f t="shared" si="26"/>
        <v>33.6</v>
      </c>
      <c r="Z214" s="41">
        <f>IFERROR(IF(Y214=0,"",ROUNDUP(Y214/H214,0)*0.00902),"")</f>
        <v>7.2160000000000002E-2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31.785714285714285</v>
      </c>
      <c r="BN214" s="78">
        <f t="shared" si="28"/>
        <v>35.6</v>
      </c>
      <c r="BO214" s="78">
        <f t="shared" si="29"/>
        <v>5.4112554112554112E-2</v>
      </c>
      <c r="BP214" s="78">
        <f t="shared" si="30"/>
        <v>6.0606060606060608E-2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26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31.357142857142854</v>
      </c>
      <c r="BN215" s="78">
        <f t="shared" si="28"/>
        <v>35.119999999999997</v>
      </c>
      <c r="BO215" s="78">
        <f t="shared" si="29"/>
        <v>5.4112554112554112E-2</v>
      </c>
      <c r="BP215" s="78">
        <f t="shared" si="30"/>
        <v>6.0606060606060608E-2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6.4</v>
      </c>
      <c r="Y216" s="55">
        <f t="shared" si="26"/>
        <v>6.4</v>
      </c>
      <c r="Z216" s="41">
        <f>IFERROR(IF(Y216=0,"",ROUNDUP(Y216/H216,0)*0.00556),"")</f>
        <v>4.4479999999999999E-2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7.44</v>
      </c>
      <c r="BN216" s="78">
        <f t="shared" si="28"/>
        <v>7.44</v>
      </c>
      <c r="BO216" s="78">
        <f t="shared" si="29"/>
        <v>3.1746031746031744E-2</v>
      </c>
      <c r="BP216" s="78">
        <f t="shared" si="30"/>
        <v>3.1746031746031744E-2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70</v>
      </c>
      <c r="Y217" s="55">
        <f t="shared" si="26"/>
        <v>71.400000000000006</v>
      </c>
      <c r="Z217" s="41">
        <f t="shared" ref="Z217:Z222" si="31">IFERROR(IF(Y217=0,"",ROUNDUP(Y217/H217,0)*0.00502),"")</f>
        <v>0.17068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74.333333333333329</v>
      </c>
      <c r="BN217" s="78">
        <f t="shared" si="28"/>
        <v>75.820000000000007</v>
      </c>
      <c r="BO217" s="78">
        <f t="shared" si="29"/>
        <v>0.14245014245014245</v>
      </c>
      <c r="BP217" s="78">
        <f t="shared" si="30"/>
        <v>0.14529914529914531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140</v>
      </c>
      <c r="Y219" s="55">
        <f t="shared" si="26"/>
        <v>140.70000000000002</v>
      </c>
      <c r="Z219" s="41">
        <f t="shared" si="31"/>
        <v>0.33634000000000003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148.66666666666666</v>
      </c>
      <c r="BN219" s="78">
        <f t="shared" si="28"/>
        <v>149.41</v>
      </c>
      <c r="BO219" s="78">
        <f t="shared" si="29"/>
        <v>0.28490028490028491</v>
      </c>
      <c r="BP219" s="78">
        <f t="shared" si="30"/>
        <v>0.28632478632478636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7.2</v>
      </c>
      <c r="Y223" s="55">
        <f t="shared" si="26"/>
        <v>7.2</v>
      </c>
      <c r="Z223" s="41">
        <f>IFERROR(IF(Y223=0,"",ROUNDUP(Y223/H223,0)*0.00417),"")</f>
        <v>3.7530000000000001E-2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9.09</v>
      </c>
      <c r="BN223" s="78">
        <f t="shared" si="28"/>
        <v>9.09</v>
      </c>
      <c r="BO223" s="78">
        <f t="shared" si="29"/>
        <v>2.6785714285714284E-2</v>
      </c>
      <c r="BP223" s="78">
        <f t="shared" si="30"/>
        <v>2.6785714285714284E-2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210</v>
      </c>
      <c r="Y224" s="55">
        <f t="shared" si="26"/>
        <v>210</v>
      </c>
      <c r="Z224" s="41">
        <f>IFERROR(IF(Y224=0,"",ROUNDUP(Y224/H224,0)*0.00502),"")</f>
        <v>0.502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220.00000000000003</v>
      </c>
      <c r="BN224" s="78">
        <f t="shared" si="28"/>
        <v>220.00000000000003</v>
      </c>
      <c r="BO224" s="78">
        <f t="shared" si="29"/>
        <v>0.42735042735042739</v>
      </c>
      <c r="BP224" s="78">
        <f t="shared" si="30"/>
        <v>0.42735042735042739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247.95238095238093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251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1.38869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563.59999999999991</v>
      </c>
      <c r="Y228" s="43">
        <f>IFERROR(SUM(Y213:Y226),"0")</f>
        <v>574.29999999999995</v>
      </c>
      <c r="Z228" s="42"/>
      <c r="AA228" s="67"/>
      <c r="AB228" s="67"/>
      <c r="AC228" s="67"/>
    </row>
    <row r="229" spans="1:68" ht="14.25" hidden="1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3.5000000000000004</v>
      </c>
      <c r="Y238" s="55">
        <f>IFERROR(IF(X238="",0,CEILING((X238/$H238),1)*$H238),"")</f>
        <v>3.7800000000000002</v>
      </c>
      <c r="Z238" s="41">
        <f>IFERROR(IF(Y238=0,"",ROUNDUP(Y238/H238,0)*0.0059),"")</f>
        <v>1.77E-2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4.0277777777777777</v>
      </c>
      <c r="BN238" s="78">
        <f>IFERROR(Y238*I238/H238,"0")</f>
        <v>4.3499999999999996</v>
      </c>
      <c r="BO238" s="78">
        <f>IFERROR(1/J238*(X238/H238),"0")</f>
        <v>1.2860082304526749E-2</v>
      </c>
      <c r="BP238" s="78">
        <f>IFERROR(1/J238*(Y238/H238),"0")</f>
        <v>1.3888888888888888E-2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14.000000000000002</v>
      </c>
      <c r="Y239" s="55">
        <f>IFERROR(IF(X239="",0,CEILING((X239/$H239),1)*$H239),"")</f>
        <v>15.120000000000001</v>
      </c>
      <c r="Z239" s="41">
        <f>IFERROR(IF(Y239=0,"",ROUNDUP(Y239/H239,0)*0.0059),"")</f>
        <v>7.0800000000000002E-2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16.111111111111111</v>
      </c>
      <c r="BN239" s="78">
        <f>IFERROR(Y239*I239/H239,"0")</f>
        <v>17.399999999999999</v>
      </c>
      <c r="BO239" s="78">
        <f>IFERROR(1/J239*(X239/H239),"0")</f>
        <v>5.1440329218106998E-2</v>
      </c>
      <c r="BP239" s="78">
        <f>IFERROR(1/J239*(Y239/H239),"0")</f>
        <v>5.5555555555555552E-2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7.0000000000000009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2.5720164609053499E-2</v>
      </c>
      <c r="BP240" s="78">
        <f>IFERROR(1/J240*(Y240/H240),"0")</f>
        <v>2.7777777777777776E-2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19.444444444444446</v>
      </c>
      <c r="Y241" s="43">
        <f>IFERROR(Y238/H238,"0")+IFERROR(Y239/H239,"0")+IFERROR(Y240/H240,"0")</f>
        <v>21</v>
      </c>
      <c r="Z241" s="43">
        <f>IFERROR(IF(Z238="",0,Z238),"0")+IFERROR(IF(Z239="",0,Z239),"0")+IFERROR(IF(Z240="",0,Z240),"0")</f>
        <v>0.1239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24.500000000000004</v>
      </c>
      <c r="Y242" s="43">
        <f>IFERROR(SUM(Y238:Y240),"0")</f>
        <v>26.46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10.500000000000002</v>
      </c>
      <c r="Y244" s="55">
        <f>IFERROR(IF(X244="",0,CEILING((X244/$H244),1)*$H244),"")</f>
        <v>11.34</v>
      </c>
      <c r="Z244" s="41">
        <f>IFERROR(IF(Y244=0,"",ROUNDUP(Y244/H244,0)*0.0059),"")</f>
        <v>5.3100000000000001E-2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12.083333333333334</v>
      </c>
      <c r="BN244" s="78">
        <f>IFERROR(Y244*I244/H244,"0")</f>
        <v>13.049999999999999</v>
      </c>
      <c r="BO244" s="78">
        <f>IFERROR(1/J244*(X244/H244),"0")</f>
        <v>3.8580246913580245E-2</v>
      </c>
      <c r="BP244" s="78">
        <f>IFERROR(1/J244*(Y244/H244),"0")</f>
        <v>4.1666666666666664E-2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8.3333333333333339</v>
      </c>
      <c r="Y245" s="43">
        <f>IFERROR(Y244/H244,"0")</f>
        <v>9</v>
      </c>
      <c r="Z245" s="43">
        <f>IFERROR(IF(Z244="",0,Z244),"0")</f>
        <v>5.3100000000000001E-2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10.500000000000002</v>
      </c>
      <c r="Y246" s="43">
        <f>IFERROR(SUM(Y244:Y244),"0")</f>
        <v>11.34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32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207.03703703703701</v>
      </c>
      <c r="BN259" s="78">
        <f t="shared" ref="BN259:BN266" si="34">IFERROR(Y259*I259/H259,"0")</f>
        <v>212.42</v>
      </c>
      <c r="BO259" s="78">
        <f t="shared" ref="BO259:BO266" si="35">IFERROR(1/J259*(X259/H259),"0")</f>
        <v>0.28058361391694725</v>
      </c>
      <c r="BP259" s="78">
        <f t="shared" ref="BP259:BP266" si="36">IFERROR(1/J259*(Y259/H259),"0")</f>
        <v>0.2878787878787879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20</v>
      </c>
      <c r="Y260" s="55">
        <f t="shared" si="32"/>
        <v>21.6</v>
      </c>
      <c r="Z260" s="41">
        <f>IFERROR(IF(Y260=0,"",ROUNDUP(Y260/H260,0)*0.00902),"")</f>
        <v>3.6080000000000001E-2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20.703703703703702</v>
      </c>
      <c r="BN260" s="78">
        <f t="shared" si="34"/>
        <v>22.36</v>
      </c>
      <c r="BO260" s="78">
        <f t="shared" si="35"/>
        <v>2.8058361391694722E-2</v>
      </c>
      <c r="BP260" s="78">
        <f t="shared" si="36"/>
        <v>3.0303030303030304E-2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70</v>
      </c>
      <c r="Y261" s="55">
        <f t="shared" si="32"/>
        <v>70.2</v>
      </c>
      <c r="Z261" s="41">
        <f>IFERROR(IF(Y261=0,"",ROUNDUP(Y261/H261,0)*0.00902),"")</f>
        <v>0.11726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72.462962962962962</v>
      </c>
      <c r="BN261" s="78">
        <f t="shared" si="34"/>
        <v>72.67</v>
      </c>
      <c r="BO261" s="78">
        <f t="shared" si="35"/>
        <v>9.8204264870931535E-2</v>
      </c>
      <c r="BP261" s="78">
        <f t="shared" si="36"/>
        <v>9.8484848484848481E-2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70</v>
      </c>
      <c r="Y262" s="55">
        <f t="shared" si="32"/>
        <v>70.2</v>
      </c>
      <c r="Z262" s="41">
        <f>IFERROR(IF(Y262=0,"",ROUNDUP(Y262/H262,0)*0.00902),"")</f>
        <v>0.11726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72.462962962962962</v>
      </c>
      <c r="BN262" s="78">
        <f t="shared" si="34"/>
        <v>72.67</v>
      </c>
      <c r="BO262" s="78">
        <f t="shared" si="35"/>
        <v>9.8204264870931535E-2</v>
      </c>
      <c r="BP262" s="78">
        <f t="shared" si="36"/>
        <v>9.8484848484848481E-2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75</v>
      </c>
      <c r="Y263" s="55">
        <f t="shared" si="32"/>
        <v>75.600000000000009</v>
      </c>
      <c r="Z263" s="41">
        <f>IFERROR(IF(Y263=0,"",ROUNDUP(Y263/H263,0)*0.00502),"")</f>
        <v>0.21084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80.416666666666671</v>
      </c>
      <c r="BN263" s="78">
        <f t="shared" si="34"/>
        <v>81.06</v>
      </c>
      <c r="BO263" s="78">
        <f t="shared" si="35"/>
        <v>0.17806267806267806</v>
      </c>
      <c r="BP263" s="78">
        <f t="shared" si="36"/>
        <v>0.17948717948717954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45</v>
      </c>
      <c r="Y264" s="55">
        <f t="shared" si="32"/>
        <v>45</v>
      </c>
      <c r="Z264" s="41">
        <f>IFERROR(IF(Y264=0,"",ROUNDUP(Y264/H264,0)*0.00502),"")</f>
        <v>0.1255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47.5</v>
      </c>
      <c r="BN264" s="78">
        <f t="shared" si="34"/>
        <v>47.5</v>
      </c>
      <c r="BO264" s="78">
        <f t="shared" si="35"/>
        <v>0.10683760683760685</v>
      </c>
      <c r="BP264" s="78">
        <f t="shared" si="36"/>
        <v>0.10683760683760685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60</v>
      </c>
      <c r="Y265" s="55">
        <f t="shared" si="32"/>
        <v>61.2</v>
      </c>
      <c r="Z265" s="41">
        <f>IFERROR(IF(Y265=0,"",ROUNDUP(Y265/H265,0)*0.00502),"")</f>
        <v>0.17068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63.333333333333329</v>
      </c>
      <c r="BN265" s="78">
        <f t="shared" si="34"/>
        <v>64.599999999999994</v>
      </c>
      <c r="BO265" s="78">
        <f t="shared" si="35"/>
        <v>0.14245014245014248</v>
      </c>
      <c r="BP265" s="78">
        <f t="shared" si="36"/>
        <v>0.14529914529914531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39</v>
      </c>
      <c r="Y266" s="55">
        <f t="shared" si="32"/>
        <v>39.6</v>
      </c>
      <c r="Z266" s="41">
        <f>IFERROR(IF(Y266=0,"",ROUNDUP(Y266/H266,0)*0.00502),"")</f>
        <v>0.11044000000000001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41.166666666666664</v>
      </c>
      <c r="BN266" s="78">
        <f t="shared" si="34"/>
        <v>41.8</v>
      </c>
      <c r="BO266" s="78">
        <f t="shared" si="35"/>
        <v>9.2592592592592601E-2</v>
      </c>
      <c r="BP266" s="78">
        <f t="shared" si="36"/>
        <v>9.401709401709403E-2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188.33333333333331</v>
      </c>
      <c r="Y267" s="43">
        <f>IFERROR(Y259/H259,"0")+IFERROR(Y260/H260,"0")+IFERROR(Y261/H261,"0")+IFERROR(Y262/H262,"0")+IFERROR(Y263/H263,"0")+IFERROR(Y264/H264,"0")+IFERROR(Y265/H265,"0")+IFERROR(Y266/H266,"0")</f>
        <v>191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1.23082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579</v>
      </c>
      <c r="Y268" s="43">
        <f>IFERROR(SUM(Y259:Y266),"0")</f>
        <v>588.6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300</v>
      </c>
      <c r="Y272" s="55">
        <f t="shared" si="37"/>
        <v>304.5</v>
      </c>
      <c r="Z272" s="41">
        <f>IFERROR(IF(Y272=0,"",ROUNDUP(Y272/H272,0)*0.01898),"")</f>
        <v>0.6643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317.03448275862075</v>
      </c>
      <c r="BN272" s="78">
        <f t="shared" si="39"/>
        <v>321.79000000000008</v>
      </c>
      <c r="BO272" s="78">
        <f t="shared" si="40"/>
        <v>0.53879310344827591</v>
      </c>
      <c r="BP272" s="78">
        <f t="shared" si="41"/>
        <v>0.546875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360</v>
      </c>
      <c r="Y273" s="55">
        <f t="shared" si="37"/>
        <v>360</v>
      </c>
      <c r="Z273" s="41">
        <f>IFERROR(IF(Y273=0,"",ROUNDUP(Y273/H273,0)*0.00651),"")</f>
        <v>0.97650000000000003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400.5</v>
      </c>
      <c r="BN273" s="78">
        <f t="shared" si="39"/>
        <v>400.5</v>
      </c>
      <c r="BO273" s="78">
        <f t="shared" si="40"/>
        <v>0.82417582417582425</v>
      </c>
      <c r="BP273" s="78">
        <f t="shared" si="41"/>
        <v>0.82417582417582425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240</v>
      </c>
      <c r="Y276" s="55">
        <f t="shared" si="37"/>
        <v>240</v>
      </c>
      <c r="Z276" s="41">
        <f>IFERROR(IF(Y276=0,"",ROUNDUP(Y276/H276,0)*0.00651),"")</f>
        <v>0.65100000000000002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265.20000000000005</v>
      </c>
      <c r="BN276" s="78">
        <f t="shared" si="39"/>
        <v>265.20000000000005</v>
      </c>
      <c r="BO276" s="78">
        <f t="shared" si="40"/>
        <v>0.5494505494505495</v>
      </c>
      <c r="BP276" s="78">
        <f t="shared" si="41"/>
        <v>0.5494505494505495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37"/>
        <v>60</v>
      </c>
      <c r="Z279" s="41">
        <f>IFERROR(IF(Y279=0,"",ROUNDUP(Y279/H279,0)*0.00651),"")</f>
        <v>0.16275000000000001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66.300000000000011</v>
      </c>
      <c r="BN279" s="78">
        <f t="shared" si="39"/>
        <v>66.300000000000011</v>
      </c>
      <c r="BO279" s="78">
        <f t="shared" si="40"/>
        <v>0.13736263736263737</v>
      </c>
      <c r="BP279" s="78">
        <f t="shared" si="41"/>
        <v>0.13736263736263737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400</v>
      </c>
      <c r="Y280" s="55">
        <f t="shared" si="37"/>
        <v>400.8</v>
      </c>
      <c r="Z280" s="41">
        <f>IFERROR(IF(Y280=0,"",ROUNDUP(Y280/H280,0)*0.00651),"")</f>
        <v>1.08717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443.00000000000006</v>
      </c>
      <c r="BN280" s="78">
        <f t="shared" si="39"/>
        <v>443.88599999999997</v>
      </c>
      <c r="BO280" s="78">
        <f t="shared" si="40"/>
        <v>0.91575091575091594</v>
      </c>
      <c r="BP280" s="78">
        <f t="shared" si="41"/>
        <v>0.91758241758241765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476.14942528735634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477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3.5417200000000002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1360</v>
      </c>
      <c r="Y283" s="43">
        <f>IFERROR(SUM(Y270:Y281),"0")</f>
        <v>1365.3</v>
      </c>
      <c r="Z283" s="42"/>
      <c r="AA283" s="67"/>
      <c r="AB283" s="67"/>
      <c r="AC283" s="67"/>
    </row>
    <row r="284" spans="1:68" ht="14.25" hidden="1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20</v>
      </c>
      <c r="Y285" s="55">
        <f>IFERROR(IF(X285="",0,CEILING((X285/$H285),1)*$H285),"")</f>
        <v>21.599999999999998</v>
      </c>
      <c r="Z285" s="41">
        <f>IFERROR(IF(Y285=0,"",ROUNDUP(Y285/H285,0)*0.00651),"")</f>
        <v>5.8590000000000003E-2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22.100000000000005</v>
      </c>
      <c r="BN285" s="78">
        <f>IFERROR(Y285*I285/H285,"0")</f>
        <v>23.868000000000002</v>
      </c>
      <c r="BO285" s="78">
        <f>IFERROR(1/J285*(X285/H285),"0")</f>
        <v>4.5787545787545791E-2</v>
      </c>
      <c r="BP285" s="78">
        <f>IFERROR(1/J285*(Y285/H285),"0")</f>
        <v>4.9450549450549455E-2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120</v>
      </c>
      <c r="Y286" s="55">
        <f>IFERROR(IF(X286="",0,CEILING((X286/$H286),1)*$H286),"")</f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132.60000000000002</v>
      </c>
      <c r="BN286" s="78">
        <f>IFERROR(Y286*I286/H286,"0")</f>
        <v>132.60000000000002</v>
      </c>
      <c r="BO286" s="78">
        <f>IFERROR(1/J286*(X286/H286),"0")</f>
        <v>0.27472527472527475</v>
      </c>
      <c r="BP286" s="78">
        <f>IFERROR(1/J286*(Y286/H286),"0")</f>
        <v>0.27472527472527475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58.333333333333336</v>
      </c>
      <c r="Y287" s="43">
        <f>IFERROR(Y285/H285,"0")+IFERROR(Y286/H286,"0")</f>
        <v>59</v>
      </c>
      <c r="Z287" s="43">
        <f>IFERROR(IF(Z285="",0,Z285),"0")+IFERROR(IF(Z286="",0,Z286),"0")</f>
        <v>0.38409000000000004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140</v>
      </c>
      <c r="Y288" s="43">
        <f>IFERROR(SUM(Y285:Y286),"0")</f>
        <v>141.6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20</v>
      </c>
      <c r="Y291" s="55">
        <f t="shared" ref="Y291:Y297" si="42">IFERROR(IF(X291="",0,CEILING((X291/$H291),1)*$H291),"")</f>
        <v>23.2</v>
      </c>
      <c r="Z291" s="41">
        <f>IFERROR(IF(Y291=0,"",ROUNDUP(Y291/H291,0)*0.01898),"")</f>
        <v>3.7960000000000001E-2</v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20.706896551724139</v>
      </c>
      <c r="BN291" s="78">
        <f t="shared" ref="BN291:BN297" si="44">IFERROR(Y291*I291/H291,"0")</f>
        <v>24.02</v>
      </c>
      <c r="BO291" s="78">
        <f t="shared" ref="BO291:BO297" si="45">IFERROR(1/J291*(X291/H291),"0")</f>
        <v>2.6939655172413795E-2</v>
      </c>
      <c r="BP291" s="78">
        <f t="shared" ref="BP291:BP297" si="46">IFERROR(1/J291*(Y291/H291),"0")</f>
        <v>3.125E-2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50</v>
      </c>
      <c r="Y293" s="55">
        <f t="shared" si="42"/>
        <v>58</v>
      </c>
      <c r="Z293" s="41">
        <f>IFERROR(IF(Y293=0,"",ROUNDUP(Y293/H293,0)*0.01898),"")</f>
        <v>9.4899999999999998E-2</v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51.767241379310349</v>
      </c>
      <c r="BN293" s="78">
        <f t="shared" si="44"/>
        <v>60.050000000000004</v>
      </c>
      <c r="BO293" s="78">
        <f t="shared" si="45"/>
        <v>6.7349137931034489E-2</v>
      </c>
      <c r="BP293" s="78">
        <f t="shared" si="46"/>
        <v>7.8125E-2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40</v>
      </c>
      <c r="Y294" s="55">
        <f t="shared" si="42"/>
        <v>40</v>
      </c>
      <c r="Z294" s="41">
        <f>IFERROR(IF(Y294=0,"",ROUNDUP(Y294/H294,0)*0.00902),"")</f>
        <v>9.0200000000000002E-2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41.900000000000006</v>
      </c>
      <c r="BN294" s="78">
        <f t="shared" si="44"/>
        <v>41.900000000000006</v>
      </c>
      <c r="BO294" s="78">
        <f t="shared" si="45"/>
        <v>7.575757575757576E-2</v>
      </c>
      <c r="BP294" s="78">
        <f t="shared" si="46"/>
        <v>7.575757575757576E-2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80</v>
      </c>
      <c r="Y297" s="55">
        <f t="shared" si="42"/>
        <v>80</v>
      </c>
      <c r="Z297" s="41">
        <f>IFERROR(IF(Y297=0,"",ROUNDUP(Y297/H297,0)*0.00902),"")</f>
        <v>0.1804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83.800000000000011</v>
      </c>
      <c r="BN297" s="78">
        <f t="shared" si="44"/>
        <v>83.800000000000011</v>
      </c>
      <c r="BO297" s="78">
        <f t="shared" si="45"/>
        <v>0.15151515151515152</v>
      </c>
      <c r="BP297" s="78">
        <f t="shared" si="46"/>
        <v>0.15151515151515152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36.03448275862069</v>
      </c>
      <c r="Y298" s="43">
        <f>IFERROR(Y291/H291,"0")+IFERROR(Y292/H292,"0")+IFERROR(Y293/H293,"0")+IFERROR(Y294/H294,"0")+IFERROR(Y295/H295,"0")+IFERROR(Y296/H296,"0")+IFERROR(Y297/H297,"0")</f>
        <v>37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0.40346000000000004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190</v>
      </c>
      <c r="Y299" s="43">
        <f>IFERROR(SUM(Y291:Y297),"0")</f>
        <v>201.2</v>
      </c>
      <c r="Z299" s="42"/>
      <c r="AA299" s="67"/>
      <c r="AB299" s="67"/>
      <c r="AC299" s="67"/>
    </row>
    <row r="300" spans="1:68" ht="14.25" hidden="1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12</v>
      </c>
      <c r="Y305" s="55">
        <f>IFERROR(IF(X305="",0,CEILING((X305/$H305),1)*$H305),"")</f>
        <v>12.6</v>
      </c>
      <c r="Z305" s="41">
        <f>IFERROR(IF(Y305=0,"",ROUNDUP(Y305/H305,0)*0.0059),"")</f>
        <v>4.1299999999999996E-2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13.166666666666668</v>
      </c>
      <c r="BN305" s="78">
        <f>IFERROR(Y305*I305/H305,"0")</f>
        <v>13.825000000000001</v>
      </c>
      <c r="BO305" s="78">
        <f>IFERROR(1/J305*(X305/H305),"0")</f>
        <v>3.0864197530864192E-2</v>
      </c>
      <c r="BP305" s="78">
        <f>IFERROR(1/J305*(Y305/H305),"0")</f>
        <v>3.2407407407407406E-2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6.6666666666666661</v>
      </c>
      <c r="Y306" s="43">
        <f>IFERROR(Y305/H305,"0")</f>
        <v>7</v>
      </c>
      <c r="Z306" s="43">
        <f>IFERROR(IF(Z305="",0,Z305),"0")</f>
        <v>4.1299999999999996E-2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12</v>
      </c>
      <c r="Y307" s="43">
        <f>IFERROR(SUM(Y305:Y305),"0")</f>
        <v>12.6</v>
      </c>
      <c r="Z307" s="42"/>
      <c r="AA307" s="67"/>
      <c r="AB307" s="67"/>
      <c r="AC307" s="67"/>
    </row>
    <row r="308" spans="1:68" ht="14.25" hidden="1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18</v>
      </c>
      <c r="Y310" s="55">
        <f>IFERROR(IF(X310="",0,CEILING((X310/$H310),1)*$H310),"")</f>
        <v>18</v>
      </c>
      <c r="Z310" s="41">
        <f>IFERROR(IF(Y310=0,"",ROUNDUP(Y310/H310,0)*0.0059),"")</f>
        <v>5.8999999999999997E-2</v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19.750000000000004</v>
      </c>
      <c r="BN310" s="78">
        <f>IFERROR(Y310*I310/H310,"0")</f>
        <v>19.750000000000004</v>
      </c>
      <c r="BO310" s="78">
        <f>IFERROR(1/J310*(X310/H310),"0")</f>
        <v>4.6296296296296294E-2</v>
      </c>
      <c r="BP310" s="78">
        <f>IFERROR(1/J310*(Y310/H310),"0")</f>
        <v>4.6296296296296294E-2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3.5</v>
      </c>
      <c r="Y311" s="55">
        <f>IFERROR(IF(X311="",0,CEILING((X311/$H311),1)*$H311),"")</f>
        <v>3.6</v>
      </c>
      <c r="Z311" s="41">
        <f>IFERROR(IF(Y311=0,"",ROUNDUP(Y311/H311,0)*0.0059),"")</f>
        <v>2.3599999999999999E-2</v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4.2388888888888889</v>
      </c>
      <c r="BN311" s="78">
        <f>IFERROR(Y311*I311/H311,"0")</f>
        <v>4.3600000000000003</v>
      </c>
      <c r="BO311" s="78">
        <f>IFERROR(1/J311*(X311/H311),"0")</f>
        <v>1.8004115226337446E-2</v>
      </c>
      <c r="BP311" s="78">
        <f>IFERROR(1/J311*(Y311/H311),"0")</f>
        <v>1.8518518518518517E-2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13.888888888888889</v>
      </c>
      <c r="Y312" s="43">
        <f>IFERROR(Y309/H309,"0")+IFERROR(Y310/H310,"0")+IFERROR(Y311/H311,"0")</f>
        <v>14</v>
      </c>
      <c r="Z312" s="43">
        <f>IFERROR(IF(Z309="",0,Z309),"0")+IFERROR(IF(Z310="",0,Z310),"0")+IFERROR(IF(Z311="",0,Z311),"0")</f>
        <v>8.2599999999999993E-2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21.5</v>
      </c>
      <c r="Y313" s="43">
        <f>IFERROR(SUM(Y309:Y311),"0")</f>
        <v>21.6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320</v>
      </c>
      <c r="Y327" s="55">
        <f>IFERROR(IF(X327="",0,CEILING((X327/$H327),1)*$H327),"")</f>
        <v>321.59999999999997</v>
      </c>
      <c r="Z327" s="41">
        <f>IFERROR(IF(Y327=0,"",ROUNDUP(Y327/H327,0)*0.00651),"")</f>
        <v>0.87234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344</v>
      </c>
      <c r="BN327" s="78">
        <f>IFERROR(Y327*I327/H327,"0")</f>
        <v>345.71999999999997</v>
      </c>
      <c r="BO327" s="78">
        <f>IFERROR(1/J327*(X327/H327),"0")</f>
        <v>0.73260073260073266</v>
      </c>
      <c r="BP327" s="78">
        <f>IFERROR(1/J327*(Y327/H327),"0")</f>
        <v>0.73626373626373631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150</v>
      </c>
      <c r="Y328" s="43">
        <f>IFERROR(Y325/H325,"0")+IFERROR(Y326/H326,"0")+IFERROR(Y327/H327,"0")</f>
        <v>151</v>
      </c>
      <c r="Z328" s="43">
        <f>IFERROR(IF(Z325="",0,Z325),"0")+IFERROR(IF(Z326="",0,Z326),"0")+IFERROR(IF(Z327="",0,Z327),"0")</f>
        <v>0.98301000000000005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360</v>
      </c>
      <c r="Y329" s="43">
        <f>IFERROR(SUM(Y325:Y327),"0")</f>
        <v>362.4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150</v>
      </c>
      <c r="Y346" s="55">
        <f>IFERROR(IF(X346="",0,CEILING((X346/$H346),1)*$H346),"")</f>
        <v>156</v>
      </c>
      <c r="Z346" s="41">
        <f>IFERROR(IF(Y346=0,"",ROUNDUP(Y346/H346,0)*0.01898),"")</f>
        <v>0.37959999999999999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157.88461538461542</v>
      </c>
      <c r="BN346" s="78">
        <f>IFERROR(Y346*I346/H346,"0")</f>
        <v>164.20000000000005</v>
      </c>
      <c r="BO346" s="78">
        <f>IFERROR(1/J346*(X346/H346),"0")</f>
        <v>0.30048076923076922</v>
      </c>
      <c r="BP346" s="78">
        <f>IFERROR(1/J346*(Y346/H346),"0")</f>
        <v>0.3125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200</v>
      </c>
      <c r="Y347" s="55">
        <f>IFERROR(IF(X347="",0,CEILING((X347/$H347),1)*$H347),"")</f>
        <v>202.79999999999998</v>
      </c>
      <c r="Z347" s="41">
        <f>IFERROR(IF(Y347=0,"",ROUNDUP(Y347/H347,0)*0.01898),"")</f>
        <v>0.49348000000000003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210.51282051282055</v>
      </c>
      <c r="BN347" s="78">
        <f>IFERROR(Y347*I347/H347,"0")</f>
        <v>213.46</v>
      </c>
      <c r="BO347" s="78">
        <f>IFERROR(1/J347*(X347/H347),"0")</f>
        <v>0.40064102564102566</v>
      </c>
      <c r="BP347" s="78">
        <f>IFERROR(1/J347*(Y347/H347),"0")</f>
        <v>0.40625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100</v>
      </c>
      <c r="Y348" s="55">
        <f>IFERROR(IF(X348="",0,CEILING((X348/$H348),1)*$H348),"")</f>
        <v>101.39999999999999</v>
      </c>
      <c r="Z348" s="41">
        <f>IFERROR(IF(Y348=0,"",ROUNDUP(Y348/H348,0)*0.01898),"")</f>
        <v>0.24674000000000001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105.25641025641028</v>
      </c>
      <c r="BN348" s="78">
        <f>IFERROR(Y348*I348/H348,"0")</f>
        <v>106.73</v>
      </c>
      <c r="BO348" s="78">
        <f>IFERROR(1/J348*(X348/H348),"0")</f>
        <v>0.20032051282051283</v>
      </c>
      <c r="BP348" s="78">
        <f>IFERROR(1/J348*(Y348/H348),"0")</f>
        <v>0.203125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57.692307692307693</v>
      </c>
      <c r="Y349" s="43">
        <f>IFERROR(Y346/H346,"0")+IFERROR(Y347/H347,"0")+IFERROR(Y348/H348,"0")</f>
        <v>59</v>
      </c>
      <c r="Z349" s="43">
        <f>IFERROR(IF(Z346="",0,Z346),"0")+IFERROR(IF(Z347="",0,Z347),"0")+IFERROR(IF(Z348="",0,Z348),"0")</f>
        <v>1.11982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450</v>
      </c>
      <c r="Y350" s="43">
        <f>IFERROR(SUM(Y346:Y348),"0")</f>
        <v>460.19999999999993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20</v>
      </c>
      <c r="Y353" s="55">
        <f t="shared" ref="Y353:Y358" si="47">IFERROR(IF(X353="",0,CEILING((X353/$H353),1)*$H353),"")</f>
        <v>21.6</v>
      </c>
      <c r="Z353" s="41">
        <f>IFERROR(IF(Y353=0,"",ROUNDUP(Y353/H353,0)*0.01898),"")</f>
        <v>3.7960000000000001E-2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20.75925925925926</v>
      </c>
      <c r="BN353" s="78">
        <f t="shared" ref="BN353:BN358" si="49">IFERROR(Y353*I353/H353,"0")</f>
        <v>22.42</v>
      </c>
      <c r="BO353" s="78">
        <f t="shared" ref="BO353:BO358" si="50">IFERROR(1/J353*(X353/H353),"0")</f>
        <v>2.8935185185185182E-2</v>
      </c>
      <c r="BP353" s="78">
        <f t="shared" ref="BP353:BP358" si="51">IFERROR(1/J353*(Y353/H353),"0")</f>
        <v>3.125E-2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1.8518518518518516</v>
      </c>
      <c r="Y359" s="43">
        <f>IFERROR(Y353/H353,"0")+IFERROR(Y354/H354,"0")+IFERROR(Y355/H355,"0")+IFERROR(Y356/H356,"0")+IFERROR(Y357/H357,"0")+IFERROR(Y358/H358,"0")</f>
        <v>2</v>
      </c>
      <c r="Z359" s="43">
        <f>IFERROR(IF(Z353="",0,Z353),"0")+IFERROR(IF(Z354="",0,Z354),"0")+IFERROR(IF(Z355="",0,Z355),"0")+IFERROR(IF(Z356="",0,Z356),"0")+IFERROR(IF(Z357="",0,Z357),"0")+IFERROR(IF(Z358="",0,Z358),"0")</f>
        <v>3.7960000000000001E-2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20</v>
      </c>
      <c r="Y360" s="43">
        <f>IFERROR(SUM(Y353:Y358),"0")</f>
        <v>21.6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si="52"/>
        <v>140.70000000000002</v>
      </c>
      <c r="Z366" s="41">
        <f>IFERROR(IF(Y366=0,"",ROUNDUP(Y366/H366,0)*0.00502),"")</f>
        <v>0.33634000000000003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146.66666666666666</v>
      </c>
      <c r="BN366" s="78">
        <f t="shared" si="54"/>
        <v>147.40000000000003</v>
      </c>
      <c r="BO366" s="78">
        <f t="shared" si="55"/>
        <v>0.28490028490028491</v>
      </c>
      <c r="BP366" s="78">
        <f t="shared" si="56"/>
        <v>0.28632478632478636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30</v>
      </c>
      <c r="Y368" s="55">
        <f t="shared" si="52"/>
        <v>30.6</v>
      </c>
      <c r="Z368" s="41">
        <f>IFERROR(IF(Y368=0,"",ROUNDUP(Y368/H368,0)*0.00651),"")</f>
        <v>0.11067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33.800000000000004</v>
      </c>
      <c r="BN368" s="78">
        <f t="shared" si="54"/>
        <v>34.475999999999999</v>
      </c>
      <c r="BO368" s="78">
        <f t="shared" si="55"/>
        <v>9.1575091575091583E-2</v>
      </c>
      <c r="BP368" s="78">
        <f t="shared" si="56"/>
        <v>9.3406593406593408E-2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83.333333333333329</v>
      </c>
      <c r="Y369" s="43">
        <f>IFERROR(Y362/H362,"0")+IFERROR(Y363/H363,"0")+IFERROR(Y364/H364,"0")+IFERROR(Y365/H365,"0")+IFERROR(Y366/H366,"0")+IFERROR(Y367/H367,"0")+IFERROR(Y368/H368,"0")</f>
        <v>84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0.44701000000000002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170</v>
      </c>
      <c r="Y370" s="43">
        <f>IFERROR(SUM(Y362:Y368),"0")</f>
        <v>171.3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300</v>
      </c>
      <c r="Y379" s="55">
        <f>IFERROR(IF(X379="",0,CEILING((X379/$H379),1)*$H379),"")</f>
        <v>302.40000000000003</v>
      </c>
      <c r="Z379" s="41">
        <f>IFERROR(IF(Y379=0,"",ROUNDUP(Y379/H379,0)*0.01898),"")</f>
        <v>0.68328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317.64285714285711</v>
      </c>
      <c r="BN379" s="78">
        <f>IFERROR(Y379*I379/H379,"0")</f>
        <v>320.18400000000003</v>
      </c>
      <c r="BO379" s="78">
        <f>IFERROR(1/J379*(X379/H379),"0")</f>
        <v>0.5580357142857143</v>
      </c>
      <c r="BP379" s="78">
        <f>IFERROR(1/J379*(Y379/H379),"0")</f>
        <v>0.5625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400</v>
      </c>
      <c r="Y380" s="55">
        <f>IFERROR(IF(X380="",0,CEILING((X380/$H380),1)*$H380),"")</f>
        <v>405.59999999999997</v>
      </c>
      <c r="Z380" s="41">
        <f>IFERROR(IF(Y380=0,"",ROUNDUP(Y380/H380,0)*0.01898),"")</f>
        <v>0.98696000000000006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425.33333333333337</v>
      </c>
      <c r="BN380" s="78">
        <f>IFERROR(Y380*I380/H380,"0")</f>
        <v>431.28799999999995</v>
      </c>
      <c r="BO380" s="78">
        <f>IFERROR(1/J380*(X380/H380),"0")</f>
        <v>0.80128205128205132</v>
      </c>
      <c r="BP380" s="78">
        <f>IFERROR(1/J380*(Y380/H380),"0")</f>
        <v>0.8125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100</v>
      </c>
      <c r="Y381" s="55">
        <f>IFERROR(IF(X381="",0,CEILING((X381/$H381),1)*$H381),"")</f>
        <v>100.80000000000001</v>
      </c>
      <c r="Z381" s="41">
        <f>IFERROR(IF(Y381=0,"",ROUNDUP(Y381/H381,0)*0.01898),"")</f>
        <v>0.22776000000000002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105.88095238095238</v>
      </c>
      <c r="BN381" s="78">
        <f>IFERROR(Y381*I381/H381,"0")</f>
        <v>106.72800000000001</v>
      </c>
      <c r="BO381" s="78">
        <f>IFERROR(1/J381*(X381/H381),"0")</f>
        <v>0.18601190476190477</v>
      </c>
      <c r="BP381" s="78">
        <f>IFERROR(1/J381*(Y381/H381),"0")</f>
        <v>0.1875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98.901098901098891</v>
      </c>
      <c r="Y382" s="43">
        <f>IFERROR(Y379/H379,"0")+IFERROR(Y380/H380,"0")+IFERROR(Y381/H381,"0")</f>
        <v>100</v>
      </c>
      <c r="Z382" s="43">
        <f>IFERROR(IF(Z379="",0,Z379),"0")+IFERROR(IF(Z380="",0,Z380),"0")+IFERROR(IF(Z381="",0,Z381),"0")</f>
        <v>1.8980000000000001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800</v>
      </c>
      <c r="Y383" s="43">
        <f>IFERROR(SUM(Y379:Y381),"0")</f>
        <v>808.8</v>
      </c>
      <c r="Z383" s="42"/>
      <c r="AA383" s="67"/>
      <c r="AB383" s="67"/>
      <c r="AC383" s="67"/>
    </row>
    <row r="384" spans="1:68" ht="14.25" hidden="1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34</v>
      </c>
      <c r="Y387" s="55">
        <f>IFERROR(IF(X387="",0,CEILING((X387/$H387),1)*$H387),"")</f>
        <v>35.699999999999996</v>
      </c>
      <c r="Z387" s="41">
        <f>IFERROR(IF(Y387=0,"",ROUNDUP(Y387/H387,0)*0.00651),"")</f>
        <v>9.1139999999999999E-2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39.400000000000006</v>
      </c>
      <c r="BN387" s="78">
        <f>IFERROR(Y387*I387/H387,"0")</f>
        <v>41.37</v>
      </c>
      <c r="BO387" s="78">
        <f>IFERROR(1/J387*(X387/H387),"0")</f>
        <v>7.3260073260073263E-2</v>
      </c>
      <c r="BP387" s="78">
        <f>IFERROR(1/J387*(Y387/H387),"0")</f>
        <v>7.6923076923076927E-2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85</v>
      </c>
      <c r="Y388" s="55">
        <f>IFERROR(IF(X388="",0,CEILING((X388/$H388),1)*$H388),"")</f>
        <v>86.699999999999989</v>
      </c>
      <c r="Z388" s="41">
        <f>IFERROR(IF(Y388=0,"",ROUNDUP(Y388/H388,0)*0.00651),"")</f>
        <v>0.22134000000000001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96</v>
      </c>
      <c r="BN388" s="78">
        <f>IFERROR(Y388*I388/H388,"0")</f>
        <v>97.92</v>
      </c>
      <c r="BO388" s="78">
        <f>IFERROR(1/J388*(X388/H388),"0")</f>
        <v>0.18315018315018317</v>
      </c>
      <c r="BP388" s="78">
        <f>IFERROR(1/J388*(Y388/H388),"0")</f>
        <v>0.18681318681318682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46.666666666666671</v>
      </c>
      <c r="Y389" s="43">
        <f>IFERROR(Y385/H385,"0")+IFERROR(Y386/H386,"0")+IFERROR(Y387/H387,"0")+IFERROR(Y388/H388,"0")</f>
        <v>48</v>
      </c>
      <c r="Z389" s="43">
        <f>IFERROR(IF(Z385="",0,Z385),"0")+IFERROR(IF(Z386="",0,Z386),"0")+IFERROR(IF(Z387="",0,Z387),"0")+IFERROR(IF(Z388="",0,Z388),"0")</f>
        <v>0.31247999999999998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119</v>
      </c>
      <c r="Y390" s="43">
        <f>IFERROR(SUM(Y385:Y388),"0")</f>
        <v>122.39999999999998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40</v>
      </c>
      <c r="Y392" s="55">
        <f>IFERROR(IF(X392="",0,CEILING((X392/$H392),1)*$H392),"")</f>
        <v>40</v>
      </c>
      <c r="Z392" s="41">
        <f>IFERROR(IF(Y392=0,"",ROUNDUP(Y392/H392,0)*0.00474),"")</f>
        <v>9.4800000000000009E-2</v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44.800000000000004</v>
      </c>
      <c r="BN392" s="78">
        <f>IFERROR(Y392*I392/H392,"0")</f>
        <v>44.800000000000004</v>
      </c>
      <c r="BO392" s="78">
        <f>IFERROR(1/J392*(X392/H392),"0")</f>
        <v>8.4033613445378144E-2</v>
      </c>
      <c r="BP392" s="78">
        <f>IFERROR(1/J392*(Y392/H392),"0")</f>
        <v>8.4033613445378144E-2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30</v>
      </c>
      <c r="Y393" s="55">
        <f>IFERROR(IF(X393="",0,CEILING((X393/$H393),1)*$H393),"")</f>
        <v>30</v>
      </c>
      <c r="Z393" s="41">
        <f>IFERROR(IF(Y393=0,"",ROUNDUP(Y393/H393,0)*0.00474),"")</f>
        <v>7.110000000000001E-2</v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33.6</v>
      </c>
      <c r="BN393" s="78">
        <f>IFERROR(Y393*I393/H393,"0")</f>
        <v>33.6</v>
      </c>
      <c r="BO393" s="78">
        <f>IFERROR(1/J393*(X393/H393),"0")</f>
        <v>6.3025210084033612E-2</v>
      </c>
      <c r="BP393" s="78">
        <f>IFERROR(1/J393*(Y393/H393),"0")</f>
        <v>6.3025210084033612E-2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50</v>
      </c>
      <c r="Y394" s="55">
        <f>IFERROR(IF(X394="",0,CEILING((X394/$H394),1)*$H394),"")</f>
        <v>50</v>
      </c>
      <c r="Z394" s="41">
        <f>IFERROR(IF(Y394=0,"",ROUNDUP(Y394/H394,0)*0.00474),"")</f>
        <v>0.11850000000000001</v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56.000000000000007</v>
      </c>
      <c r="BN394" s="78">
        <f>IFERROR(Y394*I394/H394,"0")</f>
        <v>56.000000000000007</v>
      </c>
      <c r="BO394" s="78">
        <f>IFERROR(1/J394*(X394/H394),"0")</f>
        <v>0.10504201680672269</v>
      </c>
      <c r="BP394" s="78">
        <f>IFERROR(1/J394*(Y394/H394),"0")</f>
        <v>0.10504201680672269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60</v>
      </c>
      <c r="Y395" s="43">
        <f>IFERROR(Y392/H392,"0")+IFERROR(Y393/H393,"0")+IFERROR(Y394/H394,"0")</f>
        <v>60</v>
      </c>
      <c r="Z395" s="43">
        <f>IFERROR(IF(Z392="",0,Z392),"0")+IFERROR(IF(Z393="",0,Z393),"0")+IFERROR(IF(Z394="",0,Z394),"0")</f>
        <v>0.28440000000000004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120</v>
      </c>
      <c r="Y396" s="43">
        <f>IFERROR(SUM(Y392:Y394),"0")</f>
        <v>120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770</v>
      </c>
      <c r="Y400" s="55">
        <f>IFERROR(IF(X400="",0,CEILING((X400/$H400),1)*$H400),"")</f>
        <v>770.7</v>
      </c>
      <c r="Z400" s="41">
        <f>IFERROR(IF(Y400=0,"",ROUNDUP(Y400/H400,0)*0.00651),"")</f>
        <v>2.38917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862.4</v>
      </c>
      <c r="BN400" s="78">
        <f>IFERROR(Y400*I400/H400,"0")</f>
        <v>863.18399999999997</v>
      </c>
      <c r="BO400" s="78">
        <f>IFERROR(1/J400*(X400/H400),"0")</f>
        <v>2.0146520146520146</v>
      </c>
      <c r="BP400" s="78">
        <f>IFERROR(1/J400*(Y400/H400),"0")</f>
        <v>2.0164835164835164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454.99999999999994</v>
      </c>
      <c r="Y401" s="55">
        <f>IFERROR(IF(X401="",0,CEILING((X401/$H401),1)*$H401),"")</f>
        <v>455.70000000000005</v>
      </c>
      <c r="Z401" s="41">
        <f>IFERROR(IF(Y401=0,"",ROUNDUP(Y401/H401,0)*0.00651),"")</f>
        <v>1.4126700000000001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506.99999999999989</v>
      </c>
      <c r="BN401" s="78">
        <f>IFERROR(Y401*I401/H401,"0")</f>
        <v>507.78</v>
      </c>
      <c r="BO401" s="78">
        <f>IFERROR(1/J401*(X401/H401),"0")</f>
        <v>1.1904761904761905</v>
      </c>
      <c r="BP401" s="78">
        <f>IFERROR(1/J401*(Y401/H401),"0")</f>
        <v>1.1923076923076923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583.33333333333326</v>
      </c>
      <c r="Y402" s="43">
        <f>IFERROR(Y399/H399,"0")+IFERROR(Y400/H400,"0")+IFERROR(Y401/H401,"0")</f>
        <v>584</v>
      </c>
      <c r="Z402" s="43">
        <f>IFERROR(IF(Z399="",0,Z399),"0")+IFERROR(IF(Z400="",0,Z400),"0")+IFERROR(IF(Z401="",0,Z401),"0")</f>
        <v>3.8018400000000003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1225</v>
      </c>
      <c r="Y403" s="43">
        <f>IFERROR(SUM(Y399:Y401),"0")</f>
        <v>1226.4000000000001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100</v>
      </c>
      <c r="Y407" s="55">
        <f t="shared" ref="Y407:Y414" si="57">IFERROR(IF(X407="",0,CEILING((X407/$H407),1)*$H407),"")</f>
        <v>105</v>
      </c>
      <c r="Z407" s="41">
        <f>IFERROR(IF(Y407=0,"",ROUNDUP(Y407/H407,0)*0.02175),"")</f>
        <v>0.15225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103.13333333333334</v>
      </c>
      <c r="BN407" s="78">
        <f t="shared" ref="BN407:BN414" si="59">IFERROR(Y407*I407/H407,"0")</f>
        <v>108.29</v>
      </c>
      <c r="BO407" s="78">
        <f t="shared" ref="BO407:BO414" si="60">IFERROR(1/J407*(X407/H407),"0")</f>
        <v>0.1388888888888889</v>
      </c>
      <c r="BP407" s="78">
        <f t="shared" ref="BP407:BP414" si="61">IFERROR(1/J407*(Y407/H407),"0")</f>
        <v>0.14583333333333331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1400</v>
      </c>
      <c r="Y408" s="55">
        <f t="shared" si="57"/>
        <v>1410</v>
      </c>
      <c r="Z408" s="41">
        <f>IFERROR(IF(Y408=0,"",ROUNDUP(Y408/H408,0)*0.02175),"")</f>
        <v>2.0444999999999998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1443.8666666666666</v>
      </c>
      <c r="BN408" s="78">
        <f t="shared" si="59"/>
        <v>1454.18</v>
      </c>
      <c r="BO408" s="78">
        <f t="shared" si="60"/>
        <v>1.9444444444444442</v>
      </c>
      <c r="BP408" s="78">
        <f t="shared" si="61"/>
        <v>1.9583333333333333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700</v>
      </c>
      <c r="Y409" s="55">
        <f t="shared" si="57"/>
        <v>705</v>
      </c>
      <c r="Z409" s="41">
        <f>IFERROR(IF(Y409=0,"",ROUNDUP(Y409/H409,0)*0.02175),"")</f>
        <v>1.0222499999999999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721.93333333333328</v>
      </c>
      <c r="BN409" s="78">
        <f t="shared" si="59"/>
        <v>727.09</v>
      </c>
      <c r="BO409" s="78">
        <f t="shared" si="60"/>
        <v>0.9722222222222221</v>
      </c>
      <c r="BP409" s="78">
        <f t="shared" si="61"/>
        <v>0.97916666666666663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800</v>
      </c>
      <c r="Y410" s="55">
        <f t="shared" si="57"/>
        <v>810</v>
      </c>
      <c r="Z410" s="41">
        <f>IFERROR(IF(Y410=0,"",ROUNDUP(Y410/H410,0)*0.02175),"")</f>
        <v>1.1744999999999999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825.06666666666672</v>
      </c>
      <c r="BN410" s="78">
        <f t="shared" si="59"/>
        <v>835.38</v>
      </c>
      <c r="BO410" s="78">
        <f t="shared" si="60"/>
        <v>1.1111111111111112</v>
      </c>
      <c r="BP410" s="78">
        <f t="shared" si="61"/>
        <v>1.125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25</v>
      </c>
      <c r="Y414" s="55">
        <f t="shared" si="57"/>
        <v>25</v>
      </c>
      <c r="Z414" s="41">
        <f>IFERROR(IF(Y414=0,"",ROUNDUP(Y414/H414,0)*0.00902),"")</f>
        <v>4.5100000000000001E-2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25.95</v>
      </c>
      <c r="BN414" s="78">
        <f t="shared" si="59"/>
        <v>25.95</v>
      </c>
      <c r="BO414" s="78">
        <f t="shared" si="60"/>
        <v>3.787878787878788E-2</v>
      </c>
      <c r="BP414" s="78">
        <f t="shared" si="61"/>
        <v>3.787878787878788E-2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205</v>
      </c>
      <c r="Y415" s="43">
        <f>IFERROR(Y407/H407,"0")+IFERROR(Y408/H408,"0")+IFERROR(Y409/H409,"0")+IFERROR(Y410/H410,"0")+IFERROR(Y411/H411,"0")+IFERROR(Y412/H412,"0")+IFERROR(Y413/H413,"0")+IFERROR(Y414/H414,"0")</f>
        <v>207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4.4385999999999992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3025</v>
      </c>
      <c r="Y416" s="43">
        <f>IFERROR(SUM(Y407:Y414),"0")</f>
        <v>3055</v>
      </c>
      <c r="Z416" s="42"/>
      <c r="AA416" s="67"/>
      <c r="AB416" s="67"/>
      <c r="AC416" s="67"/>
    </row>
    <row r="417" spans="1:68" ht="14.25" hidden="1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700</v>
      </c>
      <c r="Y418" s="55">
        <f>IFERROR(IF(X418="",0,CEILING((X418/$H418),1)*$H418),"")</f>
        <v>705</v>
      </c>
      <c r="Z418" s="41">
        <f>IFERROR(IF(Y418=0,"",ROUNDUP(Y418/H418,0)*0.02175),"")</f>
        <v>1.0222499999999999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721.93333333333328</v>
      </c>
      <c r="BN418" s="78">
        <f>IFERROR(Y418*I418/H418,"0")</f>
        <v>727.09</v>
      </c>
      <c r="BO418" s="78">
        <f>IFERROR(1/J418*(X418/H418),"0")</f>
        <v>0.9722222222222221</v>
      </c>
      <c r="BP418" s="78">
        <f>IFERROR(1/J418*(Y418/H418),"0")</f>
        <v>0.97916666666666663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46.666666666666664</v>
      </c>
      <c r="Y421" s="43">
        <f>IFERROR(Y418/H418,"0")+IFERROR(Y419/H419,"0")+IFERROR(Y420/H420,"0")</f>
        <v>47</v>
      </c>
      <c r="Z421" s="43">
        <f>IFERROR(IF(Z418="",0,Z418),"0")+IFERROR(IF(Z419="",0,Z419),"0")+IFERROR(IF(Z420="",0,Z420),"0")</f>
        <v>1.0222499999999999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700</v>
      </c>
      <c r="Y422" s="43">
        <f>IFERROR(SUM(Y418:Y420),"0")</f>
        <v>705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50</v>
      </c>
      <c r="Y425" s="55">
        <f>IFERROR(IF(X425="",0,CEILING((X425/$H425),1)*$H425),"")</f>
        <v>54</v>
      </c>
      <c r="Z425" s="41">
        <f>IFERROR(IF(Y425=0,"",ROUNDUP(Y425/H425,0)*0.01898),"")</f>
        <v>0.11388000000000001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52.74444444444444</v>
      </c>
      <c r="BN425" s="78">
        <f>IFERROR(Y425*I425/H425,"0")</f>
        <v>56.963999999999992</v>
      </c>
      <c r="BO425" s="78">
        <f>IFERROR(1/J425*(X425/H425),"0")</f>
        <v>8.6805555555555552E-2</v>
      </c>
      <c r="BP425" s="78">
        <f>IFERROR(1/J425*(Y425/H425),"0")</f>
        <v>9.375E-2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5.5555555555555554</v>
      </c>
      <c r="Y426" s="43">
        <f>IFERROR(Y424/H424,"0")+IFERROR(Y425/H425,"0")</f>
        <v>6</v>
      </c>
      <c r="Z426" s="43">
        <f>IFERROR(IF(Z424="",0,Z424),"0")+IFERROR(IF(Z425="",0,Z425),"0")</f>
        <v>0.11388000000000001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50</v>
      </c>
      <c r="Y427" s="43">
        <f>IFERROR(SUM(Y424:Y425),"0")</f>
        <v>54</v>
      </c>
      <c r="Z427" s="42"/>
      <c r="AA427" s="67"/>
      <c r="AB427" s="67"/>
      <c r="AC427" s="67"/>
    </row>
    <row r="428" spans="1:68" ht="14.25" hidden="1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20</v>
      </c>
      <c r="Y429" s="55">
        <f>IFERROR(IF(X429="",0,CEILING((X429/$H429),1)*$H429),"")</f>
        <v>27</v>
      </c>
      <c r="Z429" s="41">
        <f>IFERROR(IF(Y429=0,"",ROUNDUP(Y429/H429,0)*0.01898),"")</f>
        <v>5.6940000000000004E-2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21.097777777777779</v>
      </c>
      <c r="BN429" s="78">
        <f>IFERROR(Y429*I429/H429,"0")</f>
        <v>28.481999999999996</v>
      </c>
      <c r="BO429" s="78">
        <f>IFERROR(1/J429*(X429/H429),"0")</f>
        <v>3.4722222222222224E-2</v>
      </c>
      <c r="BP429" s="78">
        <f>IFERROR(1/J429*(Y429/H429),"0")</f>
        <v>4.6875E-2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2.2222222222222223</v>
      </c>
      <c r="Y430" s="43">
        <f>IFERROR(Y429/H429,"0")</f>
        <v>3</v>
      </c>
      <c r="Z430" s="43">
        <f>IFERROR(IF(Z429="",0,Z429),"0")</f>
        <v>5.6940000000000004E-2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20</v>
      </c>
      <c r="Y431" s="43">
        <f>IFERROR(SUM(Y429:Y429),"0")</f>
        <v>27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20</v>
      </c>
      <c r="Y443" s="55">
        <f>IFERROR(IF(X443="",0,CEILING((X443/$H443),1)*$H443),"")</f>
        <v>27</v>
      </c>
      <c r="Z443" s="41">
        <f>IFERROR(IF(Y443=0,"",ROUNDUP(Y443/H443,0)*0.01898),"")</f>
        <v>5.6940000000000004E-2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21.097777777777779</v>
      </c>
      <c r="BN443" s="78">
        <f>IFERROR(Y443*I443/H443,"0")</f>
        <v>28.481999999999996</v>
      </c>
      <c r="BO443" s="78">
        <f>IFERROR(1/J443*(X443/H443),"0")</f>
        <v>3.4722222222222224E-2</v>
      </c>
      <c r="BP443" s="78">
        <f>IFERROR(1/J443*(Y443/H443),"0")</f>
        <v>4.6875E-2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2.2222222222222223</v>
      </c>
      <c r="Y446" s="43">
        <f>IFERROR(Y443/H443,"0")+IFERROR(Y444/H444,"0")+IFERROR(Y445/H445,"0")</f>
        <v>3</v>
      </c>
      <c r="Z446" s="43">
        <f>IFERROR(IF(Z443="",0,Z443),"0")+IFERROR(IF(Z444="",0,Z444),"0")+IFERROR(IF(Z445="",0,Z445),"0")</f>
        <v>5.6940000000000004E-2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20</v>
      </c>
      <c r="Y447" s="43">
        <f>IFERROR(SUM(Y443:Y445),"0")</f>
        <v>27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7</v>
      </c>
      <c r="Y455" s="55">
        <f t="shared" si="62"/>
        <v>8.4</v>
      </c>
      <c r="Z455" s="41">
        <f>IFERROR(IF(Y455=0,"",ROUNDUP(Y455/H455,0)*0.00502),"")</f>
        <v>2.0080000000000001E-2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7.4333333333333327</v>
      </c>
      <c r="BN455" s="78">
        <f t="shared" si="64"/>
        <v>8.92</v>
      </c>
      <c r="BO455" s="78">
        <f t="shared" si="65"/>
        <v>1.4245014245014245E-2</v>
      </c>
      <c r="BP455" s="78">
        <f t="shared" si="66"/>
        <v>1.7094017094017096E-2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3.333333333333333</v>
      </c>
      <c r="Y457" s="43">
        <f>IFERROR(Y451/H451,"0")+IFERROR(Y452/H452,"0")+IFERROR(Y453/H453,"0")+IFERROR(Y454/H454,"0")+IFERROR(Y455/H455,"0")+IFERROR(Y456/H456,"0")</f>
        <v>4</v>
      </c>
      <c r="Z457" s="43">
        <f>IFERROR(IF(Z451="",0,Z451),"0")+IFERROR(IF(Z452="",0,Z452),"0")+IFERROR(IF(Z453="",0,Z453),"0")+IFERROR(IF(Z454="",0,Z454),"0")+IFERROR(IF(Z455="",0,Z455),"0")+IFERROR(IF(Z456="",0,Z456),"0")</f>
        <v>2.0080000000000001E-2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7</v>
      </c>
      <c r="Y458" s="43">
        <f>IFERROR(SUM(Y451:Y456),"0")</f>
        <v>8.4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30</v>
      </c>
      <c r="Y478" s="55">
        <f t="shared" ref="Y478:Y486" si="67">IFERROR(IF(X478="",0,CEILING((X478/$H478),1)*$H478),"")</f>
        <v>31.68</v>
      </c>
      <c r="Z478" s="41">
        <f t="shared" ref="Z478:Z483" si="68">IFERROR(IF(Y478=0,"",ROUNDUP(Y478/H478,0)*0.01196),"")</f>
        <v>7.1760000000000004E-2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31.988636363636363</v>
      </c>
      <c r="BN478" s="78">
        <f t="shared" ref="BN478:BN486" si="70">IFERROR(Y478*I478/H478,"0")</f>
        <v>33.779999999999994</v>
      </c>
      <c r="BO478" s="78">
        <f t="shared" ref="BO478:BO486" si="71">IFERROR(1/J478*(X478/H478),"0")</f>
        <v>5.4632867132867136E-2</v>
      </c>
      <c r="BP478" s="78">
        <f t="shared" ref="BP478:BP486" si="72">IFERROR(1/J478*(Y478/H478),"0")</f>
        <v>5.7692307692307696E-2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100</v>
      </c>
      <c r="Y483" s="55">
        <f t="shared" si="67"/>
        <v>100.32000000000001</v>
      </c>
      <c r="Z483" s="41">
        <f t="shared" si="68"/>
        <v>0.22724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106.62878787878788</v>
      </c>
      <c r="BN483" s="78">
        <f t="shared" si="70"/>
        <v>106.97</v>
      </c>
      <c r="BO483" s="78">
        <f t="shared" si="71"/>
        <v>0.18210955710955709</v>
      </c>
      <c r="BP483" s="78">
        <f t="shared" si="72"/>
        <v>0.18269230769230771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120</v>
      </c>
      <c r="Y485" s="55">
        <f t="shared" si="67"/>
        <v>120</v>
      </c>
      <c r="Z485" s="41">
        <f>IFERROR(IF(Y485=0,"",ROUNDUP(Y485/H485,0)*0.00902),"")</f>
        <v>0.22550000000000001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172.75000000000003</v>
      </c>
      <c r="BN485" s="78">
        <f t="shared" si="70"/>
        <v>172.75000000000003</v>
      </c>
      <c r="BO485" s="78">
        <f t="shared" si="71"/>
        <v>0.18939393939393939</v>
      </c>
      <c r="BP485" s="78">
        <f t="shared" si="72"/>
        <v>0.18939393939393939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240</v>
      </c>
      <c r="Y486" s="55">
        <f t="shared" si="67"/>
        <v>240</v>
      </c>
      <c r="Z486" s="41">
        <f>IFERROR(IF(Y486=0,"",ROUNDUP(Y486/H486,0)*0.00902),"")</f>
        <v>0.45100000000000001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345.50000000000006</v>
      </c>
      <c r="BN486" s="78">
        <f t="shared" si="70"/>
        <v>345.50000000000006</v>
      </c>
      <c r="BO486" s="78">
        <f t="shared" si="71"/>
        <v>0.37878787878787878</v>
      </c>
      <c r="BP486" s="78">
        <f t="shared" si="72"/>
        <v>0.37878787878787878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99.621212121212125</v>
      </c>
      <c r="Y487" s="43">
        <f>IFERROR(Y478/H478,"0")+IFERROR(Y479/H479,"0")+IFERROR(Y480/H480,"0")+IFERROR(Y481/H481,"0")+IFERROR(Y482/H482,"0")+IFERROR(Y483/H483,"0")+IFERROR(Y484/H484,"0")+IFERROR(Y485/H485,"0")+IFERROR(Y486/H486,"0")</f>
        <v>100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0.97550000000000003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490</v>
      </c>
      <c r="Y488" s="43">
        <f>IFERROR(SUM(Y478:Y486),"0")</f>
        <v>492</v>
      </c>
      <c r="Z488" s="42"/>
      <c r="AA488" s="67"/>
      <c r="AB488" s="67"/>
      <c r="AC488" s="67"/>
    </row>
    <row r="489" spans="1:68" ht="14.25" hidden="1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150</v>
      </c>
      <c r="Y490" s="55">
        <f>IFERROR(IF(X490="",0,CEILING((X490/$H490),1)*$H490),"")</f>
        <v>153.12</v>
      </c>
      <c r="Z490" s="41">
        <f>IFERROR(IF(Y490=0,"",ROUNDUP(Y490/H490,0)*0.01196),"")</f>
        <v>0.34683999999999998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159.94318181818181</v>
      </c>
      <c r="BN490" s="78">
        <f>IFERROR(Y490*I490/H490,"0")</f>
        <v>163.26999999999998</v>
      </c>
      <c r="BO490" s="78">
        <f>IFERROR(1/J490*(X490/H490),"0")</f>
        <v>0.27316433566433568</v>
      </c>
      <c r="BP490" s="78">
        <f>IFERROR(1/J490*(Y490/H490),"0")</f>
        <v>0.27884615384615385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60</v>
      </c>
      <c r="Y492" s="55">
        <f>IFERROR(IF(X492="",0,CEILING((X492/$H492),1)*$H492),"")</f>
        <v>62.4</v>
      </c>
      <c r="Z492" s="41">
        <f>IFERROR(IF(Y492=0,"",ROUNDUP(Y492/H492,0)*0.00902),"")</f>
        <v>0.11726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86.375000000000014</v>
      </c>
      <c r="BN492" s="78">
        <f>IFERROR(Y492*I492/H492,"0")</f>
        <v>89.830000000000013</v>
      </c>
      <c r="BO492" s="78">
        <f>IFERROR(1/J492*(X492/H492),"0")</f>
        <v>9.4696969696969696E-2</v>
      </c>
      <c r="BP492" s="78">
        <f>IFERROR(1/J492*(Y492/H492),"0")</f>
        <v>9.8484848484848481E-2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40.909090909090907</v>
      </c>
      <c r="Y493" s="43">
        <f>IFERROR(Y490/H490,"0")+IFERROR(Y491/H491,"0")+IFERROR(Y492/H492,"0")</f>
        <v>42</v>
      </c>
      <c r="Z493" s="43">
        <f>IFERROR(IF(Z490="",0,Z490),"0")+IFERROR(IF(Z491="",0,Z491),"0")+IFERROR(IF(Z492="",0,Z492),"0")</f>
        <v>0.46409999999999996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210</v>
      </c>
      <c r="Y494" s="43">
        <f>IFERROR(SUM(Y490:Y492),"0")</f>
        <v>215.52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20</v>
      </c>
      <c r="Y496" s="55">
        <f t="shared" ref="Y496:Y502" si="73">IFERROR(IF(X496="",0,CEILING((X496/$H496),1)*$H496),"")</f>
        <v>21.12</v>
      </c>
      <c r="Z496" s="41">
        <f>IFERROR(IF(Y496=0,"",ROUNDUP(Y496/H496,0)*0.01196),"")</f>
        <v>4.7840000000000001E-2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21.325757575757574</v>
      </c>
      <c r="BN496" s="78">
        <f t="shared" ref="BN496:BN502" si="75">IFERROR(Y496*I496/H496,"0")</f>
        <v>22.52</v>
      </c>
      <c r="BO496" s="78">
        <f t="shared" ref="BO496:BO502" si="76">IFERROR(1/J496*(X496/H496),"0")</f>
        <v>3.6421911421911424E-2</v>
      </c>
      <c r="BP496" s="78">
        <f t="shared" ref="BP496:BP502" si="77">IFERROR(1/J496*(Y496/H496),"0")</f>
        <v>3.8461538461538464E-2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20</v>
      </c>
      <c r="Y497" s="55">
        <f t="shared" si="73"/>
        <v>21.12</v>
      </c>
      <c r="Z497" s="41">
        <f>IFERROR(IF(Y497=0,"",ROUNDUP(Y497/H497,0)*0.01196),"")</f>
        <v>4.7840000000000001E-2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21.325757575757574</v>
      </c>
      <c r="BN497" s="78">
        <f t="shared" si="75"/>
        <v>22.52</v>
      </c>
      <c r="BO497" s="78">
        <f t="shared" si="76"/>
        <v>3.6421911421911424E-2</v>
      </c>
      <c r="BP497" s="78">
        <f t="shared" si="77"/>
        <v>3.8461538461538464E-2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70</v>
      </c>
      <c r="Y498" s="55">
        <f t="shared" si="73"/>
        <v>73.92</v>
      </c>
      <c r="Z498" s="41">
        <f>IFERROR(IF(Y498=0,"",ROUNDUP(Y498/H498,0)*0.01196),"")</f>
        <v>0.16744000000000001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74.640151515151501</v>
      </c>
      <c r="BN498" s="78">
        <f t="shared" si="75"/>
        <v>78.819999999999993</v>
      </c>
      <c r="BO498" s="78">
        <f t="shared" si="76"/>
        <v>0.12747668997668998</v>
      </c>
      <c r="BP498" s="78">
        <f t="shared" si="77"/>
        <v>0.13461538461538464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84</v>
      </c>
      <c r="Y499" s="55">
        <f t="shared" si="73"/>
        <v>86.399999999999991</v>
      </c>
      <c r="Z499" s="41">
        <f>IFERROR(IF(Y499=0,"",ROUNDUP(Y499/H499,0)*0.00902),"")</f>
        <v>0.16236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120.92500000000001</v>
      </c>
      <c r="BN499" s="78">
        <f t="shared" si="75"/>
        <v>124.38000000000001</v>
      </c>
      <c r="BO499" s="78">
        <f t="shared" si="76"/>
        <v>0.13257575757575757</v>
      </c>
      <c r="BP499" s="78">
        <f t="shared" si="77"/>
        <v>0.13636363636363635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12</v>
      </c>
      <c r="Y501" s="55">
        <f t="shared" si="73"/>
        <v>14.399999999999999</v>
      </c>
      <c r="Z501" s="41">
        <f>IFERROR(IF(Y501=0,"",ROUNDUP(Y501/H501,0)*0.00902),"")</f>
        <v>2.7060000000000001E-2</v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16.675000000000001</v>
      </c>
      <c r="BN501" s="78">
        <f t="shared" si="75"/>
        <v>20.009999999999998</v>
      </c>
      <c r="BO501" s="78">
        <f t="shared" si="76"/>
        <v>1.893939393939394E-2</v>
      </c>
      <c r="BP501" s="78">
        <f t="shared" si="77"/>
        <v>2.2727272727272728E-2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144</v>
      </c>
      <c r="Y502" s="55">
        <f t="shared" si="73"/>
        <v>144</v>
      </c>
      <c r="Z502" s="41">
        <f>IFERROR(IF(Y502=0,"",ROUNDUP(Y502/H502,0)*0.00902),"")</f>
        <v>0.27060000000000001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200.10000000000002</v>
      </c>
      <c r="BN502" s="78">
        <f t="shared" si="75"/>
        <v>200.10000000000002</v>
      </c>
      <c r="BO502" s="78">
        <f t="shared" si="76"/>
        <v>0.22727272727272729</v>
      </c>
      <c r="BP502" s="78">
        <f t="shared" si="77"/>
        <v>0.22727272727272729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70.833333333333329</v>
      </c>
      <c r="Y503" s="43">
        <f>IFERROR(Y496/H496,"0")+IFERROR(Y497/H497,"0")+IFERROR(Y498/H498,"0")+IFERROR(Y499/H499,"0")+IFERROR(Y500/H500,"0")+IFERROR(Y501/H501,"0")+IFERROR(Y502/H502,"0")</f>
        <v>73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0.72314000000000012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350</v>
      </c>
      <c r="Y504" s="43">
        <f>IFERROR(SUM(Y496:Y502),"0")</f>
        <v>360.96000000000004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100</v>
      </c>
      <c r="Y508" s="55">
        <f>IFERROR(IF(X508="",0,CEILING((X508/$H508),1)*$H508),"")</f>
        <v>108</v>
      </c>
      <c r="Z508" s="41">
        <f>IFERROR(IF(Y508=0,"",ROUNDUP(Y508/H508,0)*0.01898),"")</f>
        <v>0.17082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103.41666666666667</v>
      </c>
      <c r="BN508" s="78">
        <f>IFERROR(Y508*I508/H508,"0")</f>
        <v>111.69</v>
      </c>
      <c r="BO508" s="78">
        <f>IFERROR(1/J508*(X508/H508),"0")</f>
        <v>0.13020833333333334</v>
      </c>
      <c r="BP508" s="78">
        <f>IFERROR(1/J508*(Y508/H508),"0")</f>
        <v>0.140625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8.3333333333333339</v>
      </c>
      <c r="Y509" s="43">
        <f>IFERROR(Y508/H508,"0")</f>
        <v>9</v>
      </c>
      <c r="Z509" s="43">
        <f>IFERROR(IF(Z508="",0,Z508),"0")</f>
        <v>0.17082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100</v>
      </c>
      <c r="Y510" s="43">
        <f>IFERROR(SUM(Y508:Y508),"0")</f>
        <v>108</v>
      </c>
      <c r="Z510" s="42"/>
      <c r="AA510" s="67"/>
      <c r="AB510" s="67"/>
      <c r="AC510" s="67"/>
    </row>
    <row r="511" spans="1:68" ht="14.25" hidden="1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720</v>
      </c>
      <c r="Y521" s="55">
        <f>IFERROR(IF(X521="",0,CEILING((X521/$H521),1)*$H521),"")</f>
        <v>720</v>
      </c>
      <c r="Z521" s="41">
        <f>IFERROR(IF(Y521=0,"",ROUNDUP(Y521/H521,0)*0.01898),"")</f>
        <v>1.5184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759.52</v>
      </c>
      <c r="BN521" s="78">
        <f>IFERROR(Y521*I521/H521,"0")</f>
        <v>759.52</v>
      </c>
      <c r="BO521" s="78">
        <f>IFERROR(1/J521*(X521/H521),"0")</f>
        <v>1.25</v>
      </c>
      <c r="BP521" s="78">
        <f>IFERROR(1/J521*(Y521/H521),"0")</f>
        <v>1.25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80</v>
      </c>
      <c r="Y522" s="43">
        <f>IFERROR(Y521/H521,"0")</f>
        <v>80</v>
      </c>
      <c r="Z522" s="43">
        <f>IFERROR(IF(Z521="",0,Z521),"0")</f>
        <v>1.5184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720</v>
      </c>
      <c r="Y523" s="43">
        <f>IFERROR(SUM(Y521:Y521),"0")</f>
        <v>720</v>
      </c>
      <c r="Z523" s="42"/>
      <c r="AA523" s="67"/>
      <c r="AB523" s="67"/>
      <c r="AC523" s="67"/>
    </row>
    <row r="524" spans="1:68" ht="14.25" hidden="1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17414.099999999999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17621.719999999998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18747.020028541054</v>
      </c>
      <c r="Y535" s="43">
        <f>IFERROR(SUM(BN22:BN531),"0")</f>
        <v>18968.502999999997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33</v>
      </c>
      <c r="Y536" s="44">
        <f>ROUNDUP(SUM(BP22:BP531),0)</f>
        <v>33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19572.020028541054</v>
      </c>
      <c r="Y537" s="43">
        <f>GrossWeightTotalR+PalletQtyTotalR*25</f>
        <v>19793.502999999997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4249.2427011047685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4287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38.667719999999996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82.56</v>
      </c>
      <c r="D544" s="52">
        <f>IFERROR(Y51*1,"0")+IFERROR(Y52*1,"0")+IFERROR(Y53*1,"0")+IFERROR(Y54*1,"0")</f>
        <v>511.20000000000005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773.09999999999991</v>
      </c>
      <c r="F544" s="52">
        <f>IFERROR(Y88*1,"0")+IFERROR(Y89*1,"0")+IFERROR(Y90*1,"0")+IFERROR(Y91*1,"0")+IFERROR(Y95*1,"0")+IFERROR(Y96*1,"0")+IFERROR(Y97*1,"0")+IFERROR(Y98*1,"0")</f>
        <v>1384.2000000000003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1625.6</v>
      </c>
      <c r="H544" s="52">
        <f>IFERROR(Y134*1,"0")+IFERROR(Y135*1,"0")+IFERROR(Y139*1,"0")+IFERROR(Y140*1,"0")+IFERROR(Y144*1,"0")+IFERROR(Y145*1,"0")</f>
        <v>291.92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944.16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612.09999999999991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2095.5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235.39999999999998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362.4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460.19999999999993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1244.1000000000001</v>
      </c>
      <c r="U544" s="52">
        <f>IFERROR(Y399*1,"0")+IFERROR(Y400*1,"0")+IFERROR(Y401*1,"0")</f>
        <v>1226.4000000000001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3841</v>
      </c>
      <c r="W544" s="52">
        <f>IFERROR(Y434*1,"0")+IFERROR(Y435*1,"0")+IFERROR(Y439*1,"0")+IFERROR(Y443*1,"0")+IFERROR(Y444*1,"0")+IFERROR(Y445*1,"0")</f>
        <v>27</v>
      </c>
      <c r="X544" s="52">
        <f>IFERROR(Y451*1,"0")+IFERROR(Y452*1,"0")+IFERROR(Y453*1,"0")+IFERROR(Y454*1,"0")+IFERROR(Y455*1,"0")+IFERROR(Y456*1,"0")+IFERROR(Y460*1,"0")+IFERROR(Y461*1,"0")</f>
        <v>8.4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1068.48</v>
      </c>
      <c r="AA544" s="52">
        <f>IFERROR(Y508*1,"0")+IFERROR(Y512*1,"0")+IFERROR(Y516*1,"0")+IFERROR(Y517*1,"0")+IFERROR(Y521*1,"0")+IFERROR(Y525*1,"0")+IFERROR(Y526*1,"0")</f>
        <v>828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5,00"/>
        <filter val="1 225,00"/>
        <filter val="1 360,00"/>
        <filter val="1 400,00"/>
        <filter val="1,85"/>
        <filter val="10,50"/>
        <filter val="100,00"/>
        <filter val="103,89"/>
        <filter val="104,63"/>
        <filter val="118,52"/>
        <filter val="119,00"/>
        <filter val="12,00"/>
        <filter val="120,00"/>
        <filter val="13,89"/>
        <filter val="14,00"/>
        <filter val="140,00"/>
        <filter val="144,00"/>
        <filter val="150,00"/>
        <filter val="16,00"/>
        <filter val="17 414,10"/>
        <filter val="170,00"/>
        <filter val="18 747,02"/>
        <filter val="18,00"/>
        <filter val="180,00"/>
        <filter val="188,33"/>
        <filter val="19 572,02"/>
        <filter val="19,44"/>
        <filter val="190,00"/>
        <filter val="2,00"/>
        <filter val="2,22"/>
        <filter val="20,00"/>
        <filter val="200,00"/>
        <filter val="205,00"/>
        <filter val="21,50"/>
        <filter val="210,00"/>
        <filter val="220,00"/>
        <filter val="24,50"/>
        <filter val="240,00"/>
        <filter val="244,44"/>
        <filter val="247,95"/>
        <filter val="25,00"/>
        <filter val="250,00"/>
        <filter val="260,00"/>
        <filter val="270,00"/>
        <filter val="28,00"/>
        <filter val="288,89"/>
        <filter val="3 025,00"/>
        <filter val="3,33"/>
        <filter val="3,50"/>
        <filter val="30,00"/>
        <filter val="300,00"/>
        <filter val="320,00"/>
        <filter val="33"/>
        <filter val="336,43"/>
        <filter val="34,00"/>
        <filter val="350,00"/>
        <filter val="36,03"/>
        <filter val="360,00"/>
        <filter val="37,50"/>
        <filter val="39,00"/>
        <filter val="4 249,24"/>
        <filter val="4,50"/>
        <filter val="40,00"/>
        <filter val="40,91"/>
        <filter val="400,00"/>
        <filter val="405,00"/>
        <filter val="41,67"/>
        <filter val="45,00"/>
        <filter val="450,00"/>
        <filter val="455,00"/>
        <filter val="46,67"/>
        <filter val="476,15"/>
        <filter val="49,50"/>
        <filter val="490,00"/>
        <filter val="5,13"/>
        <filter val="5,56"/>
        <filter val="50,00"/>
        <filter val="500,00"/>
        <filter val="510,00"/>
        <filter val="56,00"/>
        <filter val="563,60"/>
        <filter val="57,69"/>
        <filter val="579,00"/>
        <filter val="58,33"/>
        <filter val="583,33"/>
        <filter val="585,00"/>
        <filter val="6,00"/>
        <filter val="6,40"/>
        <filter val="6,67"/>
        <filter val="60,00"/>
        <filter val="630,00"/>
        <filter val="64,00"/>
        <filter val="650,00"/>
        <filter val="7,00"/>
        <filter val="7,20"/>
        <filter val="70,00"/>
        <filter val="70,83"/>
        <filter val="700,00"/>
        <filter val="720,00"/>
        <filter val="74,07"/>
        <filter val="75,00"/>
        <filter val="770,00"/>
        <filter val="8,33"/>
        <filter val="80,00"/>
        <filter val="800,00"/>
        <filter val="83,33"/>
        <filter val="84,00"/>
        <filter val="85,00"/>
        <filter val="90,00"/>
        <filter val="930,50"/>
        <filter val="94,63"/>
        <filter val="98,90"/>
        <filter val="99,00"/>
        <filter val="99,62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