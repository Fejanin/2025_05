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F8F7DA5-709E-4056-8960-AFF8AC9C9B0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P512" i="2"/>
  <c r="X510" i="2"/>
  <c r="X509" i="2"/>
  <c r="BO508" i="2"/>
  <c r="BM508" i="2"/>
  <c r="Y508" i="2"/>
  <c r="Z508" i="2" s="1"/>
  <c r="Z509" i="2" s="1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BN497" i="2" s="1"/>
  <c r="P497" i="2"/>
  <c r="BO496" i="2"/>
  <c r="BM496" i="2"/>
  <c r="Y496" i="2"/>
  <c r="P496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Z461" i="2" s="1"/>
  <c r="P461" i="2"/>
  <c r="BO460" i="2"/>
  <c r="BM460" i="2"/>
  <c r="Y460" i="2"/>
  <c r="BN460" i="2" s="1"/>
  <c r="P460" i="2"/>
  <c r="X458" i="2"/>
  <c r="X457" i="2"/>
  <c r="BO456" i="2"/>
  <c r="BM456" i="2"/>
  <c r="Y456" i="2"/>
  <c r="P456" i="2"/>
  <c r="BO455" i="2"/>
  <c r="BM455" i="2"/>
  <c r="Y455" i="2"/>
  <c r="P455" i="2"/>
  <c r="BO454" i="2"/>
  <c r="BM454" i="2"/>
  <c r="Y454" i="2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Z451" i="2" s="1"/>
  <c r="P451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P435" i="2"/>
  <c r="BO434" i="2"/>
  <c r="BM434" i="2"/>
  <c r="Y434" i="2"/>
  <c r="P434" i="2"/>
  <c r="X431" i="2"/>
  <c r="X430" i="2"/>
  <c r="BO429" i="2"/>
  <c r="BM429" i="2"/>
  <c r="Y429" i="2"/>
  <c r="P429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Z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Y396" i="2" s="1"/>
  <c r="P392" i="2"/>
  <c r="X390" i="2"/>
  <c r="X389" i="2"/>
  <c r="BO388" i="2"/>
  <c r="BM388" i="2"/>
  <c r="Y388" i="2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Y343" i="2" s="1"/>
  <c r="P340" i="2"/>
  <c r="X338" i="2"/>
  <c r="X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P293" i="2"/>
  <c r="BO292" i="2"/>
  <c r="BM292" i="2"/>
  <c r="Y292" i="2"/>
  <c r="P292" i="2"/>
  <c r="BO291" i="2"/>
  <c r="BM291" i="2"/>
  <c r="Y291" i="2"/>
  <c r="BP291" i="2" s="1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P231" i="2"/>
  <c r="X229" i="2"/>
  <c r="X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Z210" i="2" s="1"/>
  <c r="Z211" i="2" s="1"/>
  <c r="P210" i="2"/>
  <c r="X207" i="2"/>
  <c r="X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Z199" i="2" s="1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BP189" i="2" s="1"/>
  <c r="P189" i="2"/>
  <c r="BO188" i="2"/>
  <c r="BM188" i="2"/>
  <c r="Y188" i="2"/>
  <c r="Y191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P169" i="2"/>
  <c r="BO168" i="2"/>
  <c r="BM168" i="2"/>
  <c r="Y168" i="2"/>
  <c r="P168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P160" i="2"/>
  <c r="BO159" i="2"/>
  <c r="BM159" i="2"/>
  <c r="Y159" i="2"/>
  <c r="P159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P151" i="2"/>
  <c r="X148" i="2"/>
  <c r="X147" i="2"/>
  <c r="BO146" i="2"/>
  <c r="BM146" i="2"/>
  <c r="Y146" i="2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P135" i="2"/>
  <c r="X132" i="2"/>
  <c r="X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X111" i="2"/>
  <c r="X110" i="2"/>
  <c r="BO109" i="2"/>
  <c r="BM109" i="2"/>
  <c r="Y109" i="2"/>
  <c r="BN109" i="2" s="1"/>
  <c r="P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P105" i="2"/>
  <c r="BO104" i="2"/>
  <c r="BM104" i="2"/>
  <c r="Y104" i="2"/>
  <c r="Z104" i="2" s="1"/>
  <c r="P104" i="2"/>
  <c r="BO103" i="2"/>
  <c r="BM103" i="2"/>
  <c r="Y103" i="2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Z70" i="2" s="1"/>
  <c r="P70" i="2"/>
  <c r="X68" i="2"/>
  <c r="X67" i="2"/>
  <c r="BO66" i="2"/>
  <c r="BM66" i="2"/>
  <c r="Y66" i="2"/>
  <c r="P66" i="2"/>
  <c r="BO65" i="2"/>
  <c r="BM65" i="2"/>
  <c r="Y65" i="2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BN61" i="2" s="1"/>
  <c r="P61" i="2"/>
  <c r="BO60" i="2"/>
  <c r="BM60" i="2"/>
  <c r="Y60" i="2"/>
  <c r="Z60" i="2" s="1"/>
  <c r="P60" i="2"/>
  <c r="X57" i="2"/>
  <c r="X56" i="2"/>
  <c r="BO55" i="2"/>
  <c r="BM55" i="2"/>
  <c r="Y55" i="2"/>
  <c r="BP55" i="2" s="1"/>
  <c r="P55" i="2"/>
  <c r="BO54" i="2"/>
  <c r="BM54" i="2"/>
  <c r="Y54" i="2"/>
  <c r="P54" i="2"/>
  <c r="BO53" i="2"/>
  <c r="BM53" i="2"/>
  <c r="Y53" i="2"/>
  <c r="Z53" i="2" s="1"/>
  <c r="P53" i="2"/>
  <c r="BO52" i="2"/>
  <c r="BM52" i="2"/>
  <c r="Y52" i="2"/>
  <c r="Y57" i="2" s="1"/>
  <c r="P52" i="2"/>
  <c r="X48" i="2"/>
  <c r="X47" i="2"/>
  <c r="BO46" i="2"/>
  <c r="BM46" i="2"/>
  <c r="Y46" i="2"/>
  <c r="BP46" i="2" s="1"/>
  <c r="P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X38" i="2"/>
  <c r="X37" i="2"/>
  <c r="BO36" i="2"/>
  <c r="BM36" i="2"/>
  <c r="Y36" i="2"/>
  <c r="Z36" i="2" s="1"/>
  <c r="Z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Y155" i="2" l="1"/>
  <c r="Y137" i="2"/>
  <c r="BP239" i="2"/>
  <c r="Z460" i="2"/>
  <c r="Z462" i="2" s="1"/>
  <c r="Z82" i="2"/>
  <c r="Z172" i="2"/>
  <c r="BN172" i="2"/>
  <c r="Z265" i="2"/>
  <c r="BN265" i="2"/>
  <c r="Z375" i="2"/>
  <c r="BP500" i="2"/>
  <c r="Y138" i="2"/>
  <c r="Y207" i="2"/>
  <c r="Y427" i="2"/>
  <c r="Y25" i="2"/>
  <c r="Z78" i="2"/>
  <c r="Z136" i="2"/>
  <c r="Y166" i="2"/>
  <c r="Z214" i="2"/>
  <c r="BN214" i="2"/>
  <c r="Z255" i="2"/>
  <c r="BN255" i="2"/>
  <c r="Z333" i="2"/>
  <c r="Z355" i="2"/>
  <c r="BN355" i="2"/>
  <c r="Z387" i="2"/>
  <c r="Y421" i="2"/>
  <c r="Z425" i="2"/>
  <c r="Z479" i="2"/>
  <c r="BP497" i="2"/>
  <c r="BP32" i="2"/>
  <c r="BN55" i="2"/>
  <c r="BN66" i="2"/>
  <c r="Z66" i="2"/>
  <c r="BP89" i="2"/>
  <c r="BN89" i="2"/>
  <c r="Z89" i="2"/>
  <c r="BN108" i="2"/>
  <c r="BN123" i="2"/>
  <c r="BN169" i="2"/>
  <c r="Z169" i="2"/>
  <c r="BN174" i="2"/>
  <c r="BP174" i="2"/>
  <c r="BN184" i="2"/>
  <c r="BP184" i="2"/>
  <c r="Y195" i="2"/>
  <c r="Z193" i="2"/>
  <c r="Z194" i="2" s="1"/>
  <c r="BP204" i="2"/>
  <c r="BN204" i="2"/>
  <c r="Z204" i="2"/>
  <c r="BN219" i="2"/>
  <c r="BP219" i="2"/>
  <c r="BP225" i="2"/>
  <c r="BN225" i="2"/>
  <c r="Z225" i="2"/>
  <c r="BP232" i="2"/>
  <c r="BN232" i="2"/>
  <c r="Z232" i="2"/>
  <c r="BN250" i="2"/>
  <c r="BN260" i="2"/>
  <c r="BN272" i="2"/>
  <c r="BP272" i="2"/>
  <c r="BN278" i="2"/>
  <c r="BN293" i="2"/>
  <c r="BP293" i="2"/>
  <c r="Y303" i="2"/>
  <c r="Y302" i="2"/>
  <c r="BN301" i="2"/>
  <c r="BN325" i="2"/>
  <c r="BN334" i="2"/>
  <c r="Z334" i="2"/>
  <c r="BP347" i="2"/>
  <c r="BN347" i="2"/>
  <c r="Z347" i="2"/>
  <c r="BP367" i="2"/>
  <c r="Z367" i="2"/>
  <c r="BP401" i="2"/>
  <c r="BN401" i="2"/>
  <c r="Z401" i="2"/>
  <c r="BN410" i="2"/>
  <c r="BN452" i="2"/>
  <c r="BP471" i="2"/>
  <c r="BN471" i="2"/>
  <c r="Z471" i="2"/>
  <c r="BP485" i="2"/>
  <c r="BN485" i="2"/>
  <c r="Z485" i="2"/>
  <c r="BN502" i="2"/>
  <c r="Z502" i="2"/>
  <c r="BN517" i="2"/>
  <c r="X538" i="2"/>
  <c r="Z32" i="2"/>
  <c r="Z43" i="2"/>
  <c r="BN43" i="2"/>
  <c r="BN46" i="2"/>
  <c r="Y67" i="2"/>
  <c r="BP66" i="2"/>
  <c r="BN71" i="2"/>
  <c r="BN115" i="2"/>
  <c r="Y131" i="2"/>
  <c r="BP169" i="2"/>
  <c r="BP170" i="2"/>
  <c r="BN170" i="2"/>
  <c r="Z170" i="2"/>
  <c r="BN215" i="2"/>
  <c r="BN240" i="2"/>
  <c r="BN285" i="2"/>
  <c r="BN311" i="2"/>
  <c r="Y337" i="2"/>
  <c r="BP334" i="2"/>
  <c r="BP336" i="2"/>
  <c r="BN336" i="2"/>
  <c r="Z336" i="2"/>
  <c r="BN341" i="2"/>
  <c r="BP341" i="2"/>
  <c r="BN358" i="2"/>
  <c r="BN385" i="2"/>
  <c r="BP385" i="2"/>
  <c r="BN418" i="2"/>
  <c r="Y431" i="2"/>
  <c r="Y430" i="2"/>
  <c r="Z429" i="2"/>
  <c r="Z430" i="2" s="1"/>
  <c r="BP435" i="2"/>
  <c r="Z435" i="2"/>
  <c r="BP454" i="2"/>
  <c r="Z454" i="2"/>
  <c r="BN470" i="2"/>
  <c r="Z470" i="2"/>
  <c r="BN483" i="2"/>
  <c r="Z483" i="2"/>
  <c r="Z512" i="2"/>
  <c r="Z513" i="2" s="1"/>
  <c r="Y513" i="2"/>
  <c r="BN512" i="2"/>
  <c r="BP78" i="2"/>
  <c r="BN118" i="2"/>
  <c r="BN125" i="2"/>
  <c r="BP136" i="2"/>
  <c r="BN175" i="2"/>
  <c r="Y186" i="2"/>
  <c r="BN182" i="2"/>
  <c r="BN189" i="2"/>
  <c r="BN199" i="2"/>
  <c r="BN217" i="2"/>
  <c r="BN220" i="2"/>
  <c r="BN227" i="2"/>
  <c r="BN244" i="2"/>
  <c r="BN275" i="2"/>
  <c r="BN280" i="2"/>
  <c r="BN291" i="2"/>
  <c r="BN294" i="2"/>
  <c r="BN317" i="2"/>
  <c r="BN363" i="2"/>
  <c r="BP375" i="2"/>
  <c r="BN380" i="2"/>
  <c r="BN408" i="2"/>
  <c r="BN413" i="2"/>
  <c r="BN420" i="2"/>
  <c r="BP425" i="2"/>
  <c r="Y447" i="2"/>
  <c r="BN453" i="2"/>
  <c r="BP460" i="2"/>
  <c r="Y474" i="2"/>
  <c r="Y24" i="2"/>
  <c r="Z23" i="2"/>
  <c r="Z31" i="2"/>
  <c r="BP31" i="2"/>
  <c r="BP52" i="2"/>
  <c r="BN53" i="2"/>
  <c r="Y56" i="2"/>
  <c r="Z61" i="2"/>
  <c r="BP61" i="2"/>
  <c r="BN117" i="2"/>
  <c r="BP117" i="2"/>
  <c r="BP124" i="2"/>
  <c r="Z124" i="2"/>
  <c r="BN154" i="2"/>
  <c r="BP154" i="2"/>
  <c r="BN262" i="2"/>
  <c r="BP262" i="2"/>
  <c r="BP340" i="2"/>
  <c r="Y342" i="2"/>
  <c r="Z340" i="2"/>
  <c r="BP412" i="2"/>
  <c r="Z412" i="2"/>
  <c r="Y527" i="2"/>
  <c r="F10" i="2"/>
  <c r="Z22" i="2"/>
  <c r="BP22" i="2"/>
  <c r="BP29" i="2"/>
  <c r="BN36" i="2"/>
  <c r="Y37" i="2"/>
  <c r="Z46" i="2"/>
  <c r="Z55" i="2"/>
  <c r="BP63" i="2"/>
  <c r="BN64" i="2"/>
  <c r="Z71" i="2"/>
  <c r="G544" i="2"/>
  <c r="BN103" i="2"/>
  <c r="BP103" i="2"/>
  <c r="Z103" i="2"/>
  <c r="Y147" i="2"/>
  <c r="BN177" i="2"/>
  <c r="BP177" i="2"/>
  <c r="Z177" i="2"/>
  <c r="BN222" i="2"/>
  <c r="BP222" i="2"/>
  <c r="Z222" i="2"/>
  <c r="BN270" i="2"/>
  <c r="BP270" i="2"/>
  <c r="Z270" i="2"/>
  <c r="Z353" i="2"/>
  <c r="BN353" i="2"/>
  <c r="BN365" i="2"/>
  <c r="BP365" i="2"/>
  <c r="Z365" i="2"/>
  <c r="BN388" i="2"/>
  <c r="BP388" i="2"/>
  <c r="Z388" i="2"/>
  <c r="BP414" i="2"/>
  <c r="Z414" i="2"/>
  <c r="BN455" i="2"/>
  <c r="BP455" i="2"/>
  <c r="BN492" i="2"/>
  <c r="Z492" i="2"/>
  <c r="BP516" i="2"/>
  <c r="Y519" i="2"/>
  <c r="Z516" i="2"/>
  <c r="BP521" i="2"/>
  <c r="Y523" i="2"/>
  <c r="Y522" i="2"/>
  <c r="X535" i="2"/>
  <c r="BP53" i="2"/>
  <c r="BP83" i="2"/>
  <c r="BN83" i="2"/>
  <c r="Z97" i="2"/>
  <c r="BN97" i="2"/>
  <c r="BN105" i="2"/>
  <c r="BP105" i="2"/>
  <c r="Z105" i="2"/>
  <c r="BN146" i="2"/>
  <c r="BP146" i="2"/>
  <c r="Z146" i="2"/>
  <c r="BP159" i="2"/>
  <c r="Y161" i="2"/>
  <c r="Y162" i="2"/>
  <c r="BN160" i="2"/>
  <c r="BP160" i="2"/>
  <c r="Z160" i="2"/>
  <c r="Y229" i="2"/>
  <c r="Z273" i="2"/>
  <c r="BN273" i="2"/>
  <c r="BN296" i="2"/>
  <c r="BP296" i="2"/>
  <c r="Z296" i="2"/>
  <c r="BN319" i="2"/>
  <c r="BP319" i="2"/>
  <c r="Z319" i="2"/>
  <c r="BN368" i="2"/>
  <c r="BP368" i="2"/>
  <c r="Z368" i="2"/>
  <c r="BN445" i="2"/>
  <c r="BP445" i="2"/>
  <c r="Z445" i="2"/>
  <c r="BN480" i="2"/>
  <c r="BP480" i="2"/>
  <c r="BP499" i="2"/>
  <c r="Z499" i="2"/>
  <c r="Y518" i="2"/>
  <c r="BP36" i="2"/>
  <c r="Y38" i="2"/>
  <c r="BP64" i="2"/>
  <c r="BN73" i="2"/>
  <c r="BP73" i="2"/>
  <c r="BN107" i="2"/>
  <c r="BP107" i="2"/>
  <c r="BN201" i="2"/>
  <c r="BP201" i="2"/>
  <c r="Z201" i="2"/>
  <c r="Y228" i="2"/>
  <c r="Z218" i="2"/>
  <c r="Y84" i="2"/>
  <c r="BP108" i="2"/>
  <c r="Y120" i="2"/>
  <c r="BP118" i="2"/>
  <c r="BP130" i="2"/>
  <c r="Y132" i="2"/>
  <c r="BP140" i="2"/>
  <c r="BN141" i="2"/>
  <c r="Y142" i="2"/>
  <c r="Y148" i="2"/>
  <c r="BN151" i="2"/>
  <c r="BP210" i="2"/>
  <c r="Y212" i="2"/>
  <c r="Y252" i="2"/>
  <c r="BP263" i="2"/>
  <c r="BP373" i="2"/>
  <c r="BP466" i="2"/>
  <c r="Y468" i="2"/>
  <c r="BP482" i="2"/>
  <c r="Y503" i="2"/>
  <c r="Y504" i="2"/>
  <c r="BP96" i="2"/>
  <c r="Z113" i="2"/>
  <c r="BP113" i="2"/>
  <c r="Z115" i="2"/>
  <c r="Z123" i="2"/>
  <c r="Z125" i="2"/>
  <c r="Z145" i="2"/>
  <c r="BP145" i="2"/>
  <c r="BP164" i="2"/>
  <c r="Z171" i="2"/>
  <c r="BP175" i="2"/>
  <c r="Z189" i="2"/>
  <c r="BP199" i="2"/>
  <c r="Z217" i="2"/>
  <c r="BP220" i="2"/>
  <c r="BP240" i="2"/>
  <c r="Z249" i="2"/>
  <c r="Y256" i="2"/>
  <c r="Z260" i="2"/>
  <c r="Z279" i="2"/>
  <c r="Z285" i="2"/>
  <c r="BP294" i="2"/>
  <c r="Z301" i="2"/>
  <c r="Z302" i="2" s="1"/>
  <c r="BP301" i="2"/>
  <c r="Z305" i="2"/>
  <c r="Z306" i="2" s="1"/>
  <c r="Y306" i="2"/>
  <c r="Z311" i="2"/>
  <c r="BP317" i="2"/>
  <c r="Z325" i="2"/>
  <c r="Y350" i="2"/>
  <c r="Z348" i="2"/>
  <c r="Z358" i="2"/>
  <c r="BP363" i="2"/>
  <c r="Y376" i="2"/>
  <c r="Z380" i="2"/>
  <c r="Z394" i="2"/>
  <c r="Z400" i="2"/>
  <c r="Z410" i="2"/>
  <c r="Z413" i="2"/>
  <c r="Z420" i="2"/>
  <c r="Y426" i="2"/>
  <c r="X544" i="2"/>
  <c r="Z453" i="2"/>
  <c r="Y463" i="2"/>
  <c r="Z482" i="2"/>
  <c r="Z496" i="2"/>
  <c r="BP502" i="2"/>
  <c r="BP512" i="2"/>
  <c r="Y514" i="2"/>
  <c r="Z517" i="2"/>
  <c r="Y85" i="2"/>
  <c r="H544" i="2"/>
  <c r="BP141" i="2"/>
  <c r="Y143" i="2"/>
  <c r="I544" i="2"/>
  <c r="Z182" i="2"/>
  <c r="BP182" i="2"/>
  <c r="Z205" i="2"/>
  <c r="BN210" i="2"/>
  <c r="Y211" i="2"/>
  <c r="Z215" i="2"/>
  <c r="Z226" i="2"/>
  <c r="Y235" i="2"/>
  <c r="Y236" i="2"/>
  <c r="Z244" i="2"/>
  <c r="Z245" i="2" s="1"/>
  <c r="BP244" i="2"/>
  <c r="Y246" i="2"/>
  <c r="Y251" i="2"/>
  <c r="BN263" i="2"/>
  <c r="Z275" i="2"/>
  <c r="Z278" i="2"/>
  <c r="Z291" i="2"/>
  <c r="BN373" i="2"/>
  <c r="Y416" i="2"/>
  <c r="BP408" i="2"/>
  <c r="BP418" i="2"/>
  <c r="Y446" i="2"/>
  <c r="BP452" i="2"/>
  <c r="BN466" i="2"/>
  <c r="Y467" i="2"/>
  <c r="Y473" i="2"/>
  <c r="Y493" i="2"/>
  <c r="Y494" i="2"/>
  <c r="AA544" i="2"/>
  <c r="BP178" i="2"/>
  <c r="BN178" i="2"/>
  <c r="U544" i="2"/>
  <c r="Y403" i="2"/>
  <c r="BP399" i="2"/>
  <c r="Y402" i="2"/>
  <c r="BN399" i="2"/>
  <c r="BP276" i="2"/>
  <c r="BN276" i="2"/>
  <c r="Y328" i="2"/>
  <c r="BN326" i="2"/>
  <c r="BP326" i="2"/>
  <c r="Q544" i="2"/>
  <c r="Y390" i="2"/>
  <c r="BP386" i="2"/>
  <c r="Y389" i="2"/>
  <c r="BN386" i="2"/>
  <c r="Z386" i="2"/>
  <c r="Y436" i="2"/>
  <c r="W544" i="2"/>
  <c r="BP434" i="2"/>
  <c r="BN434" i="2"/>
  <c r="Y298" i="2"/>
  <c r="BN292" i="2"/>
  <c r="Y299" i="2"/>
  <c r="BP292" i="2"/>
  <c r="O544" i="2"/>
  <c r="Y313" i="2"/>
  <c r="BP309" i="2"/>
  <c r="Y312" i="2"/>
  <c r="BN309" i="2"/>
  <c r="Z326" i="2"/>
  <c r="Z434" i="2"/>
  <c r="BN106" i="2"/>
  <c r="BP106" i="2"/>
  <c r="Y283" i="2"/>
  <c r="Z292" i="2"/>
  <c r="Z309" i="2"/>
  <c r="BP356" i="2"/>
  <c r="BN356" i="2"/>
  <c r="BP90" i="2"/>
  <c r="BN90" i="2"/>
  <c r="Z356" i="2"/>
  <c r="BP411" i="2"/>
  <c r="BN411" i="2"/>
  <c r="Z27" i="2"/>
  <c r="BN261" i="2"/>
  <c r="Y267" i="2"/>
  <c r="BP261" i="2"/>
  <c r="BP320" i="2"/>
  <c r="BN320" i="2"/>
  <c r="Z411" i="2"/>
  <c r="BN72" i="2"/>
  <c r="Z261" i="2"/>
  <c r="Y287" i="2"/>
  <c r="Y288" i="2"/>
  <c r="BP286" i="2"/>
  <c r="BN286" i="2"/>
  <c r="Z320" i="2"/>
  <c r="BP366" i="2"/>
  <c r="BN366" i="2"/>
  <c r="Z393" i="2"/>
  <c r="BP486" i="2"/>
  <c r="BN486" i="2"/>
  <c r="Z486" i="2"/>
  <c r="BP223" i="2"/>
  <c r="BN223" i="2"/>
  <c r="Y242" i="2"/>
  <c r="Y241" i="2"/>
  <c r="BP238" i="2"/>
  <c r="BN238" i="2"/>
  <c r="Z286" i="2"/>
  <c r="Z366" i="2"/>
  <c r="BP381" i="2"/>
  <c r="BN381" i="2"/>
  <c r="E544" i="2"/>
  <c r="BP116" i="2"/>
  <c r="BN116" i="2"/>
  <c r="Z223" i="2"/>
  <c r="Z238" i="2"/>
  <c r="Z381" i="2"/>
  <c r="BN393" i="2"/>
  <c r="BP444" i="2"/>
  <c r="BN444" i="2"/>
  <c r="Z444" i="2"/>
  <c r="Y79" i="2"/>
  <c r="BP77" i="2"/>
  <c r="BN77" i="2"/>
  <c r="Z77" i="2"/>
  <c r="Y47" i="2"/>
  <c r="Y111" i="2"/>
  <c r="Z116" i="2"/>
  <c r="BN173" i="2"/>
  <c r="BP173" i="2"/>
  <c r="Y190" i="2"/>
  <c r="BP188" i="2"/>
  <c r="BN188" i="2"/>
  <c r="Z188" i="2"/>
  <c r="Z190" i="2" s="1"/>
  <c r="BP30" i="2"/>
  <c r="BN30" i="2"/>
  <c r="Y74" i="2"/>
  <c r="X536" i="2"/>
  <c r="X537" i="2" s="1"/>
  <c r="BN44" i="2"/>
  <c r="D544" i="2"/>
  <c r="BP152" i="2"/>
  <c r="Y156" i="2"/>
  <c r="Z173" i="2"/>
  <c r="BN271" i="2"/>
  <c r="Y282" i="2"/>
  <c r="BP271" i="2"/>
  <c r="Z281" i="2"/>
  <c r="Z544" i="2"/>
  <c r="Y488" i="2"/>
  <c r="Y487" i="2"/>
  <c r="BP478" i="2"/>
  <c r="BN478" i="2"/>
  <c r="Z72" i="2"/>
  <c r="Z152" i="2"/>
  <c r="Z271" i="2"/>
  <c r="BP297" i="2"/>
  <c r="BN297" i="2"/>
  <c r="Y329" i="2"/>
  <c r="Z478" i="2"/>
  <c r="Y34" i="2"/>
  <c r="Y33" i="2"/>
  <c r="Z44" i="2"/>
  <c r="BN65" i="2"/>
  <c r="BP65" i="2"/>
  <c r="Z65" i="2"/>
  <c r="Y80" i="2"/>
  <c r="Y128" i="2"/>
  <c r="BP202" i="2"/>
  <c r="BN202" i="2"/>
  <c r="K544" i="2"/>
  <c r="Y268" i="2"/>
  <c r="BN281" i="2"/>
  <c r="Z297" i="2"/>
  <c r="Y437" i="2"/>
  <c r="Z90" i="2"/>
  <c r="BP62" i="2"/>
  <c r="Y68" i="2"/>
  <c r="BN126" i="2"/>
  <c r="BP126" i="2"/>
  <c r="BN152" i="2"/>
  <c r="Z202" i="2"/>
  <c r="BP233" i="2"/>
  <c r="BN233" i="2"/>
  <c r="Y338" i="2"/>
  <c r="BP332" i="2"/>
  <c r="R544" i="2"/>
  <c r="BN332" i="2"/>
  <c r="Z332" i="2"/>
  <c r="Y121" i="2"/>
  <c r="Z126" i="2"/>
  <c r="Y185" i="2"/>
  <c r="BN183" i="2"/>
  <c r="BP183" i="2"/>
  <c r="Z233" i="2"/>
  <c r="BP266" i="2"/>
  <c r="BN266" i="2"/>
  <c r="Y383" i="2"/>
  <c r="BN439" i="2"/>
  <c r="Y441" i="2"/>
  <c r="Y440" i="2"/>
  <c r="BP439" i="2"/>
  <c r="BP456" i="2"/>
  <c r="BN456" i="2"/>
  <c r="Z456" i="2"/>
  <c r="Y48" i="2"/>
  <c r="BN42" i="2"/>
  <c r="C544" i="2"/>
  <c r="BP42" i="2"/>
  <c r="Z42" i="2"/>
  <c r="Z62" i="2"/>
  <c r="Y93" i="2"/>
  <c r="Y75" i="2"/>
  <c r="Y180" i="2"/>
  <c r="Y179" i="2"/>
  <c r="BP168" i="2"/>
  <c r="BN168" i="2"/>
  <c r="Z168" i="2"/>
  <c r="J544" i="2"/>
  <c r="Z183" i="2"/>
  <c r="Z266" i="2"/>
  <c r="Z439" i="2"/>
  <c r="Z440" i="2" s="1"/>
  <c r="X534" i="2"/>
  <c r="BN54" i="2"/>
  <c r="BP54" i="2"/>
  <c r="Z54" i="2"/>
  <c r="BN27" i="2"/>
  <c r="BN62" i="2"/>
  <c r="Y100" i="2"/>
  <c r="BP95" i="2"/>
  <c r="Y99" i="2"/>
  <c r="BN95" i="2"/>
  <c r="BN218" i="2"/>
  <c r="BP218" i="2"/>
  <c r="L544" i="2"/>
  <c r="BP498" i="2"/>
  <c r="BN498" i="2"/>
  <c r="M544" i="2"/>
  <c r="Y257" i="2"/>
  <c r="Y359" i="2"/>
  <c r="Y369" i="2"/>
  <c r="Y377" i="2"/>
  <c r="Y422" i="2"/>
  <c r="Z481" i="2"/>
  <c r="Z491" i="2"/>
  <c r="Z501" i="2"/>
  <c r="Y528" i="2"/>
  <c r="P544" i="2"/>
  <c r="Z88" i="2"/>
  <c r="Z98" i="2"/>
  <c r="Z109" i="2"/>
  <c r="Z119" i="2"/>
  <c r="Z176" i="2"/>
  <c r="Z200" i="2"/>
  <c r="Z221" i="2"/>
  <c r="Z231" i="2"/>
  <c r="Z254" i="2"/>
  <c r="Z256" i="2" s="1"/>
  <c r="Z264" i="2"/>
  <c r="Z274" i="2"/>
  <c r="Z295" i="2"/>
  <c r="Z318" i="2"/>
  <c r="Z354" i="2"/>
  <c r="Z364" i="2"/>
  <c r="Z374" i="2"/>
  <c r="Z409" i="2"/>
  <c r="Z419" i="2"/>
  <c r="BN481" i="2"/>
  <c r="BN491" i="2"/>
  <c r="BN501" i="2"/>
  <c r="Z525" i="2"/>
  <c r="BN193" i="2"/>
  <c r="BN205" i="2"/>
  <c r="Z216" i="2"/>
  <c r="BN226" i="2"/>
  <c r="BN249" i="2"/>
  <c r="Z259" i="2"/>
  <c r="BN279" i="2"/>
  <c r="Z335" i="2"/>
  <c r="BN348" i="2"/>
  <c r="Y360" i="2"/>
  <c r="Y370" i="2"/>
  <c r="Z379" i="2"/>
  <c r="BN414" i="2"/>
  <c r="Z424" i="2"/>
  <c r="Z426" i="2" s="1"/>
  <c r="BN451" i="2"/>
  <c r="BN461" i="2"/>
  <c r="Z472" i="2"/>
  <c r="Z484" i="2"/>
  <c r="BN496" i="2"/>
  <c r="BN508" i="2"/>
  <c r="Z531" i="2"/>
  <c r="Z532" i="2" s="1"/>
  <c r="BN364" i="2"/>
  <c r="BN374" i="2"/>
  <c r="BN409" i="2"/>
  <c r="BN419" i="2"/>
  <c r="BN525" i="2"/>
  <c r="S544" i="2"/>
  <c r="BN119" i="2"/>
  <c r="BN231" i="2"/>
  <c r="BN254" i="2"/>
  <c r="Y321" i="2"/>
  <c r="BN354" i="2"/>
  <c r="Z91" i="2"/>
  <c r="Y127" i="2"/>
  <c r="BN171" i="2"/>
  <c r="BN216" i="2"/>
  <c r="BN259" i="2"/>
  <c r="Z277" i="2"/>
  <c r="BN335" i="2"/>
  <c r="BN379" i="2"/>
  <c r="Y382" i="2"/>
  <c r="BN424" i="2"/>
  <c r="BP451" i="2"/>
  <c r="BP461" i="2"/>
  <c r="BN472" i="2"/>
  <c r="BN484" i="2"/>
  <c r="BP496" i="2"/>
  <c r="BP508" i="2"/>
  <c r="BN531" i="2"/>
  <c r="T544" i="2"/>
  <c r="BN98" i="2"/>
  <c r="Z153" i="2"/>
  <c r="BP82" i="2"/>
  <c r="BN114" i="2"/>
  <c r="Z135" i="2"/>
  <c r="Z137" i="2" s="1"/>
  <c r="Z310" i="2"/>
  <c r="Z346" i="2"/>
  <c r="Z357" i="2"/>
  <c r="F9" i="2"/>
  <c r="BN28" i="2"/>
  <c r="Z52" i="2"/>
  <c r="Z63" i="2"/>
  <c r="Z73" i="2"/>
  <c r="BP88" i="2"/>
  <c r="Z96" i="2"/>
  <c r="Z107" i="2"/>
  <c r="BP109" i="2"/>
  <c r="Z117" i="2"/>
  <c r="Z140" i="2"/>
  <c r="Z142" i="2" s="1"/>
  <c r="BN153" i="2"/>
  <c r="Z164" i="2"/>
  <c r="Z165" i="2" s="1"/>
  <c r="Z174" i="2"/>
  <c r="BP176" i="2"/>
  <c r="Z184" i="2"/>
  <c r="BP200" i="2"/>
  <c r="Z219" i="2"/>
  <c r="BP221" i="2"/>
  <c r="BP231" i="2"/>
  <c r="Z239" i="2"/>
  <c r="Z262" i="2"/>
  <c r="BP264" i="2"/>
  <c r="Z272" i="2"/>
  <c r="BP274" i="2"/>
  <c r="Z293" i="2"/>
  <c r="BP295" i="2"/>
  <c r="BN305" i="2"/>
  <c r="Z316" i="2"/>
  <c r="BP318" i="2"/>
  <c r="Z327" i="2"/>
  <c r="BN340" i="2"/>
  <c r="Z362" i="2"/>
  <c r="Z372" i="2"/>
  <c r="BN394" i="2"/>
  <c r="Z407" i="2"/>
  <c r="BN429" i="2"/>
  <c r="BN454" i="2"/>
  <c r="Y457" i="2"/>
  <c r="BN479" i="2"/>
  <c r="BN499" i="2"/>
  <c r="B544" i="2"/>
  <c r="Z45" i="2"/>
  <c r="BN60" i="2"/>
  <c r="Z159" i="2"/>
  <c r="Z234" i="2"/>
  <c r="H9" i="2"/>
  <c r="BN159" i="2"/>
  <c r="Y194" i="2"/>
  <c r="Y206" i="2"/>
  <c r="BN224" i="2"/>
  <c r="BN234" i="2"/>
  <c r="BN277" i="2"/>
  <c r="BN310" i="2"/>
  <c r="Y322" i="2"/>
  <c r="BN346" i="2"/>
  <c r="Y349" i="2"/>
  <c r="BN357" i="2"/>
  <c r="BN367" i="2"/>
  <c r="BP379" i="2"/>
  <c r="BN400" i="2"/>
  <c r="BN412" i="2"/>
  <c r="Y415" i="2"/>
  <c r="BN435" i="2"/>
  <c r="Y462" i="2"/>
  <c r="BP472" i="2"/>
  <c r="Y509" i="2"/>
  <c r="BP531" i="2"/>
  <c r="V544" i="2"/>
  <c r="BN124" i="2"/>
  <c r="BP193" i="2"/>
  <c r="BN45" i="2"/>
  <c r="BP70" i="2"/>
  <c r="BN91" i="2"/>
  <c r="BP104" i="2"/>
  <c r="BP114" i="2"/>
  <c r="BN203" i="2"/>
  <c r="BP259" i="2"/>
  <c r="J9" i="2"/>
  <c r="BP28" i="2"/>
  <c r="BN52" i="2"/>
  <c r="Z83" i="2"/>
  <c r="Y110" i="2"/>
  <c r="Z151" i="2"/>
  <c r="BN164" i="2"/>
  <c r="Z227" i="2"/>
  <c r="Z250" i="2"/>
  <c r="Z280" i="2"/>
  <c r="BP305" i="2"/>
  <c r="BN316" i="2"/>
  <c r="BN327" i="2"/>
  <c r="BN362" i="2"/>
  <c r="BN372" i="2"/>
  <c r="Z392" i="2"/>
  <c r="BN407" i="2"/>
  <c r="BP429" i="2"/>
  <c r="Z497" i="2"/>
  <c r="Z521" i="2"/>
  <c r="Z522" i="2" s="1"/>
  <c r="BN200" i="2"/>
  <c r="BN23" i="2"/>
  <c r="BN70" i="2"/>
  <c r="BN104" i="2"/>
  <c r="Z203" i="2"/>
  <c r="Z224" i="2"/>
  <c r="BP23" i="2"/>
  <c r="BP60" i="2"/>
  <c r="BN135" i="2"/>
  <c r="BP135" i="2"/>
  <c r="BN333" i="2"/>
  <c r="BP346" i="2"/>
  <c r="BN387" i="2"/>
  <c r="Y458" i="2"/>
  <c r="BN516" i="2"/>
  <c r="Z526" i="2"/>
  <c r="Y532" i="2"/>
  <c r="BN392" i="2"/>
  <c r="Y395" i="2"/>
  <c r="BP407" i="2"/>
  <c r="Y510" i="2"/>
  <c r="BN521" i="2"/>
  <c r="F544" i="2"/>
  <c r="Y544" i="2"/>
  <c r="Z29" i="2"/>
  <c r="Y92" i="2"/>
  <c r="Z130" i="2"/>
  <c r="Z131" i="2" s="1"/>
  <c r="Z154" i="2"/>
  <c r="Z341" i="2"/>
  <c r="Z385" i="2"/>
  <c r="Z443" i="2"/>
  <c r="Z455" i="2"/>
  <c r="Z480" i="2"/>
  <c r="Z490" i="2"/>
  <c r="Z500" i="2"/>
  <c r="BN526" i="2"/>
  <c r="BP151" i="2"/>
  <c r="BP392" i="2"/>
  <c r="Y533" i="2"/>
  <c r="BN443" i="2"/>
  <c r="BN490" i="2"/>
  <c r="Z382" i="2" l="1"/>
  <c r="Z79" i="2"/>
  <c r="Z436" i="2"/>
  <c r="Z84" i="2"/>
  <c r="Z457" i="2"/>
  <c r="Z389" i="2"/>
  <c r="Z395" i="2"/>
  <c r="Z298" i="2"/>
  <c r="Z110" i="2"/>
  <c r="Z421" i="2"/>
  <c r="Z402" i="2"/>
  <c r="Z185" i="2"/>
  <c r="Z446" i="2"/>
  <c r="Z342" i="2"/>
  <c r="Z251" i="2"/>
  <c r="Y538" i="2"/>
  <c r="Z161" i="2"/>
  <c r="Z328" i="2"/>
  <c r="Z321" i="2"/>
  <c r="Z99" i="2"/>
  <c r="Z74" i="2"/>
  <c r="Z56" i="2"/>
  <c r="Z349" i="2"/>
  <c r="Z473" i="2"/>
  <c r="Z127" i="2"/>
  <c r="Z287" i="2"/>
  <c r="Z24" i="2"/>
  <c r="Y535" i="2"/>
  <c r="Z155" i="2"/>
  <c r="Z206" i="2"/>
  <c r="Z359" i="2"/>
  <c r="Y534" i="2"/>
  <c r="Z33" i="2"/>
  <c r="Z312" i="2"/>
  <c r="Z518" i="2"/>
  <c r="Y536" i="2"/>
  <c r="Z228" i="2"/>
  <c r="Z120" i="2"/>
  <c r="Z147" i="2"/>
  <c r="Z92" i="2"/>
  <c r="Z67" i="2"/>
  <c r="Z47" i="2"/>
  <c r="Z487" i="2"/>
  <c r="Z493" i="2"/>
  <c r="Z267" i="2"/>
  <c r="Z337" i="2"/>
  <c r="Z282" i="2"/>
  <c r="Z235" i="2"/>
  <c r="Z376" i="2"/>
  <c r="Z503" i="2"/>
  <c r="Z179" i="2"/>
  <c r="Z415" i="2"/>
  <c r="Z527" i="2"/>
  <c r="Z369" i="2"/>
  <c r="Z241" i="2"/>
  <c r="Z539" i="2" l="1"/>
  <c r="Y537" i="2"/>
</calcChain>
</file>

<file path=xl/sharedStrings.xml><?xml version="1.0" encoding="utf-8"?>
<sst xmlns="http://schemas.openxmlformats.org/spreadsheetml/2006/main" count="4048" uniqueCount="861">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</sst>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 t="s">
        <v>860</v>
      </c>
      <c r="I5" s="961"/>
      <c r="J5" s="961"/>
      <c r="K5" s="961"/>
      <c r="L5" s="961"/>
      <c r="M5" s="961"/>
      <c r="N5" s="72"/>
      <c r="P5" s="27" t="s">
        <v>4</v>
      </c>
      <c r="Q5" s="963">
        <v>46216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843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Понедельник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3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0.5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hidden="1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hidden="1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hidden="1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21">
        <v>4680115887657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89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4301052071</v>
      </c>
      <c r="D32" s="621">
        <v>4680115887619</v>
      </c>
      <c r="E32" s="621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3"/>
      <c r="R32" s="623"/>
      <c r="S32" s="623"/>
      <c r="T32" s="624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20" t="s">
        <v>107</v>
      </c>
      <c r="B35" s="620"/>
      <c r="C35" s="620"/>
      <c r="D35" s="620"/>
      <c r="E35" s="620"/>
      <c r="F35" s="620"/>
      <c r="G35" s="620"/>
      <c r="H35" s="620"/>
      <c r="I35" s="620"/>
      <c r="J35" s="620"/>
      <c r="K35" s="620"/>
      <c r="L35" s="620"/>
      <c r="M35" s="620"/>
      <c r="N35" s="620"/>
      <c r="O35" s="620"/>
      <c r="P35" s="620"/>
      <c r="Q35" s="620"/>
      <c r="R35" s="620"/>
      <c r="S35" s="620"/>
      <c r="T35" s="620"/>
      <c r="U35" s="620"/>
      <c r="V35" s="620"/>
      <c r="W35" s="620"/>
      <c r="X35" s="620"/>
      <c r="Y35" s="620"/>
      <c r="Z35" s="620"/>
      <c r="AA35" s="66"/>
      <c r="AB35" s="66"/>
      <c r="AC35" s="80"/>
    </row>
    <row r="36" spans="1:68" ht="27" hidden="1" customHeight="1" x14ac:dyDescent="0.25">
      <c r="A36" s="63" t="s">
        <v>108</v>
      </c>
      <c r="B36" s="63" t="s">
        <v>109</v>
      </c>
      <c r="C36" s="36">
        <v>4301032013</v>
      </c>
      <c r="D36" s="621">
        <v>4607091388503</v>
      </c>
      <c r="E36" s="621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3"/>
      <c r="R36" s="623"/>
      <c r="S36" s="623"/>
      <c r="T36" s="624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41" t="s">
        <v>45</v>
      </c>
      <c r="B39" s="641"/>
      <c r="C39" s="641"/>
      <c r="D39" s="641"/>
      <c r="E39" s="641"/>
      <c r="F39" s="641"/>
      <c r="G39" s="641"/>
      <c r="H39" s="641"/>
      <c r="I39" s="641"/>
      <c r="J39" s="641"/>
      <c r="K39" s="641"/>
      <c r="L39" s="641"/>
      <c r="M39" s="641"/>
      <c r="N39" s="641"/>
      <c r="O39" s="641"/>
      <c r="P39" s="641"/>
      <c r="Q39" s="641"/>
      <c r="R39" s="641"/>
      <c r="S39" s="641"/>
      <c r="T39" s="641"/>
      <c r="U39" s="641"/>
      <c r="V39" s="641"/>
      <c r="W39" s="641"/>
      <c r="X39" s="641"/>
      <c r="Y39" s="641"/>
      <c r="Z39" s="641"/>
      <c r="AA39" s="54"/>
      <c r="AB39" s="54"/>
      <c r="AC39" s="54"/>
    </row>
    <row r="40" spans="1:68" ht="16.5" hidden="1" customHeight="1" x14ac:dyDescent="0.25">
      <c r="A40" s="636" t="s">
        <v>113</v>
      </c>
      <c r="B40" s="636"/>
      <c r="C40" s="636"/>
      <c r="D40" s="636"/>
      <c r="E40" s="636"/>
      <c r="F40" s="636"/>
      <c r="G40" s="636"/>
      <c r="H40" s="636"/>
      <c r="I40" s="636"/>
      <c r="J40" s="636"/>
      <c r="K40" s="636"/>
      <c r="L40" s="636"/>
      <c r="M40" s="636"/>
      <c r="N40" s="636"/>
      <c r="O40" s="636"/>
      <c r="P40" s="636"/>
      <c r="Q40" s="636"/>
      <c r="R40" s="636"/>
      <c r="S40" s="636"/>
      <c r="T40" s="636"/>
      <c r="U40" s="636"/>
      <c r="V40" s="636"/>
      <c r="W40" s="636"/>
      <c r="X40" s="636"/>
      <c r="Y40" s="636"/>
      <c r="Z40" s="636"/>
      <c r="AA40" s="65"/>
      <c r="AB40" s="65"/>
      <c r="AC40" s="79"/>
    </row>
    <row r="41" spans="1:68" ht="14.25" hidden="1" customHeight="1" x14ac:dyDescent="0.25">
      <c r="A41" s="620" t="s">
        <v>86</v>
      </c>
      <c r="B41" s="620"/>
      <c r="C41" s="620"/>
      <c r="D41" s="620"/>
      <c r="E41" s="620"/>
      <c r="F41" s="620"/>
      <c r="G41" s="620"/>
      <c r="H41" s="620"/>
      <c r="I41" s="620"/>
      <c r="J41" s="620"/>
      <c r="K41" s="620"/>
      <c r="L41" s="620"/>
      <c r="M41" s="620"/>
      <c r="N41" s="620"/>
      <c r="O41" s="620"/>
      <c r="P41" s="620"/>
      <c r="Q41" s="620"/>
      <c r="R41" s="620"/>
      <c r="S41" s="620"/>
      <c r="T41" s="620"/>
      <c r="U41" s="620"/>
      <c r="V41" s="620"/>
      <c r="W41" s="620"/>
      <c r="X41" s="620"/>
      <c r="Y41" s="620"/>
      <c r="Z41" s="620"/>
      <c r="AA41" s="66"/>
      <c r="AB41" s="66"/>
      <c r="AC41" s="80"/>
    </row>
    <row r="42" spans="1:68" ht="27" hidden="1" customHeight="1" x14ac:dyDescent="0.25">
      <c r="A42" s="63" t="s">
        <v>114</v>
      </c>
      <c r="B42" s="63" t="s">
        <v>115</v>
      </c>
      <c r="C42" s="36">
        <v>4301052187</v>
      </c>
      <c r="D42" s="621">
        <v>4680115889354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4301052198</v>
      </c>
      <c r="D43" s="621">
        <v>4680115888463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4301052202</v>
      </c>
      <c r="D44" s="621">
        <v>4680115888494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4301052184</v>
      </c>
      <c r="D45" s="621">
        <v>4680115888272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hidden="1" customHeight="1" x14ac:dyDescent="0.25">
      <c r="A46" s="63" t="s">
        <v>127</v>
      </c>
      <c r="B46" s="63" t="s">
        <v>128</v>
      </c>
      <c r="C46" s="36">
        <v>4301052188</v>
      </c>
      <c r="D46" s="621">
        <v>4680115888364</v>
      </c>
      <c r="E46" s="621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23"/>
      <c r="R46" s="623"/>
      <c r="S46" s="623"/>
      <c r="T46" s="624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idden="1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IFERROR(X42/H42,"0")+IFERROR(X43/H43,"0")+IFERROR(X44/H44,"0")+IFERROR(X45/H45,"0")+IFERROR(X46/H46,"0")</f>
        <v>0</v>
      </c>
      <c r="Y47" s="43">
        <f>IFERROR(Y42/H42,"0")+IFERROR(Y43/H43,"0")+IFERROR(Y44/H44,"0")+IFERROR(Y45/H45,"0")+IFERROR(Y46/H46,"0")</f>
        <v>0</v>
      </c>
      <c r="Z47" s="43">
        <f>IFERROR(IF(Z42="",0,Z42),"0")+IFERROR(IF(Z43="",0,Z43),"0")+IFERROR(IF(Z44="",0,Z44),"0")+IFERROR(IF(Z45="",0,Z45),"0")+IFERROR(IF(Z46="",0,Z46),"0")</f>
        <v>0</v>
      </c>
      <c r="AA47" s="67"/>
      <c r="AB47" s="67"/>
      <c r="AC47" s="67"/>
    </row>
    <row r="48" spans="1:68" hidden="1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IFERROR(SUM(X42:X46),"0")</f>
        <v>0</v>
      </c>
      <c r="Y48" s="43">
        <f>IFERROR(SUM(Y42:Y46),"0")</f>
        <v>0</v>
      </c>
      <c r="Z48" s="42"/>
      <c r="AA48" s="67"/>
      <c r="AB48" s="67"/>
      <c r="AC48" s="67"/>
    </row>
    <row r="49" spans="1:68" ht="27.75" hidden="1" customHeight="1" x14ac:dyDescent="0.2">
      <c r="A49" s="641" t="s">
        <v>130</v>
      </c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1"/>
      <c r="P49" s="641"/>
      <c r="Q49" s="641"/>
      <c r="R49" s="641"/>
      <c r="S49" s="641"/>
      <c r="T49" s="641"/>
      <c r="U49" s="641"/>
      <c r="V49" s="641"/>
      <c r="W49" s="641"/>
      <c r="X49" s="641"/>
      <c r="Y49" s="641"/>
      <c r="Z49" s="641"/>
      <c r="AA49" s="54"/>
      <c r="AB49" s="54"/>
      <c r="AC49" s="54"/>
    </row>
    <row r="50" spans="1:68" ht="16.5" hidden="1" customHeight="1" x14ac:dyDescent="0.25">
      <c r="A50" s="636" t="s">
        <v>131</v>
      </c>
      <c r="B50" s="636"/>
      <c r="C50" s="636"/>
      <c r="D50" s="636"/>
      <c r="E50" s="636"/>
      <c r="F50" s="636"/>
      <c r="G50" s="636"/>
      <c r="H50" s="636"/>
      <c r="I50" s="636"/>
      <c r="J50" s="636"/>
      <c r="K50" s="636"/>
      <c r="L50" s="636"/>
      <c r="M50" s="636"/>
      <c r="N50" s="636"/>
      <c r="O50" s="636"/>
      <c r="P50" s="636"/>
      <c r="Q50" s="636"/>
      <c r="R50" s="636"/>
      <c r="S50" s="636"/>
      <c r="T50" s="636"/>
      <c r="U50" s="636"/>
      <c r="V50" s="636"/>
      <c r="W50" s="636"/>
      <c r="X50" s="636"/>
      <c r="Y50" s="636"/>
      <c r="Z50" s="636"/>
      <c r="AA50" s="65"/>
      <c r="AB50" s="65"/>
      <c r="AC50" s="79"/>
    </row>
    <row r="51" spans="1:68" ht="14.25" hidden="1" customHeight="1" x14ac:dyDescent="0.25">
      <c r="A51" s="620" t="s">
        <v>132</v>
      </c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0"/>
      <c r="P51" s="620"/>
      <c r="Q51" s="620"/>
      <c r="R51" s="620"/>
      <c r="S51" s="620"/>
      <c r="T51" s="620"/>
      <c r="U51" s="620"/>
      <c r="V51" s="620"/>
      <c r="W51" s="620"/>
      <c r="X51" s="620"/>
      <c r="Y51" s="620"/>
      <c r="Z51" s="620"/>
      <c r="AA51" s="66"/>
      <c r="AB51" s="66"/>
      <c r="AC51" s="80"/>
    </row>
    <row r="52" spans="1:68" ht="16.5" customHeight="1" x14ac:dyDescent="0.25">
      <c r="A52" s="63" t="s">
        <v>133</v>
      </c>
      <c r="B52" s="63" t="s">
        <v>134</v>
      </c>
      <c r="C52" s="36">
        <v>4301011380</v>
      </c>
      <c r="D52" s="621">
        <v>4607091385670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300</v>
      </c>
      <c r="Y52" s="55">
        <f>IFERROR(IF(X52="",0,CEILING((X52/$H52),1)*$H52),"")</f>
        <v>302.40000000000003</v>
      </c>
      <c r="Z52" s="41">
        <f>IFERROR(IF(Y52=0,"",ROUNDUP(Y52/H52,0)*0.01898),"")</f>
        <v>0.53144000000000002</v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311.38888888888891</v>
      </c>
      <c r="BN52" s="78">
        <f>IFERROR(Y52*I52/H52,"0")</f>
        <v>313.88</v>
      </c>
      <c r="BO52" s="78">
        <f>IFERROR(1/J52*(X52/H52),"0")</f>
        <v>0.43402777777777773</v>
      </c>
      <c r="BP52" s="78">
        <f>IFERROR(1/J52*(Y52/H52),"0")</f>
        <v>0.4375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4301012053</v>
      </c>
      <c r="D53" s="621">
        <v>4680115887725</v>
      </c>
      <c r="E53" s="621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4301011382</v>
      </c>
      <c r="D54" s="621">
        <v>4607091385687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t="27" hidden="1" customHeight="1" x14ac:dyDescent="0.25">
      <c r="A55" s="63" t="s">
        <v>145</v>
      </c>
      <c r="B55" s="63" t="s">
        <v>146</v>
      </c>
      <c r="C55" s="36">
        <v>4301011565</v>
      </c>
      <c r="D55" s="621">
        <v>4680115882539</v>
      </c>
      <c r="E55" s="621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88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23"/>
      <c r="R55" s="623"/>
      <c r="S55" s="623"/>
      <c r="T55" s="624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39</v>
      </c>
      <c r="X56" s="43">
        <f>IFERROR(X52/H52,"0")+IFERROR(X53/H53,"0")+IFERROR(X54/H54,"0")+IFERROR(X55/H55,"0")</f>
        <v>27.777777777777775</v>
      </c>
      <c r="Y56" s="43">
        <f>IFERROR(Y52/H52,"0")+IFERROR(Y53/H53,"0")+IFERROR(Y54/H54,"0")+IFERROR(Y55/H55,"0")</f>
        <v>28</v>
      </c>
      <c r="Z56" s="43">
        <f>IFERROR(IF(Z52="",0,Z52),"0")+IFERROR(IF(Z53="",0,Z53),"0")+IFERROR(IF(Z54="",0,Z54),"0")+IFERROR(IF(Z55="",0,Z55),"0")</f>
        <v>0.53144000000000002</v>
      </c>
      <c r="AA56" s="67"/>
      <c r="AB56" s="67"/>
      <c r="AC56" s="67"/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0</v>
      </c>
      <c r="X57" s="43">
        <f>IFERROR(SUM(X52:X55),"0")</f>
        <v>300</v>
      </c>
      <c r="Y57" s="43">
        <f>IFERROR(SUM(Y52:Y55),"0")</f>
        <v>302.40000000000003</v>
      </c>
      <c r="Z57" s="42"/>
      <c r="AA57" s="67"/>
      <c r="AB57" s="67"/>
      <c r="AC57" s="67"/>
    </row>
    <row r="58" spans="1:68" ht="16.5" hidden="1" customHeight="1" x14ac:dyDescent="0.25">
      <c r="A58" s="636" t="s">
        <v>147</v>
      </c>
      <c r="B58" s="636"/>
      <c r="C58" s="636"/>
      <c r="D58" s="636"/>
      <c r="E58" s="636"/>
      <c r="F58" s="636"/>
      <c r="G58" s="636"/>
      <c r="H58" s="636"/>
      <c r="I58" s="636"/>
      <c r="J58" s="636"/>
      <c r="K58" s="636"/>
      <c r="L58" s="636"/>
      <c r="M58" s="636"/>
      <c r="N58" s="636"/>
      <c r="O58" s="636"/>
      <c r="P58" s="636"/>
      <c r="Q58" s="636"/>
      <c r="R58" s="636"/>
      <c r="S58" s="636"/>
      <c r="T58" s="636"/>
      <c r="U58" s="636"/>
      <c r="V58" s="636"/>
      <c r="W58" s="636"/>
      <c r="X58" s="636"/>
      <c r="Y58" s="636"/>
      <c r="Z58" s="636"/>
      <c r="AA58" s="65"/>
      <c r="AB58" s="65"/>
      <c r="AC58" s="79"/>
    </row>
    <row r="59" spans="1:68" ht="14.25" hidden="1" customHeight="1" x14ac:dyDescent="0.25">
      <c r="A59" s="620" t="s">
        <v>132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27" hidden="1" customHeight="1" x14ac:dyDescent="0.25">
      <c r="A60" s="63" t="s">
        <v>148</v>
      </c>
      <c r="B60" s="63" t="s">
        <v>149</v>
      </c>
      <c r="C60" s="36">
        <v>4301012030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8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hidden="1" customHeight="1" x14ac:dyDescent="0.25">
      <c r="A61" s="63" t="s">
        <v>148</v>
      </c>
      <c r="B61" s="63" t="s">
        <v>151</v>
      </c>
      <c r="C61" s="36">
        <v>4301012161</v>
      </c>
      <c r="D61" s="621">
        <v>4680115885882</v>
      </c>
      <c r="E61" s="621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87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4301011816</v>
      </c>
      <c r="D62" s="621">
        <v>4680115881426</v>
      </c>
      <c r="E62" s="621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8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100</v>
      </c>
      <c r="Y62" s="55">
        <f t="shared" si="6"/>
        <v>108</v>
      </c>
      <c r="Z62" s="41">
        <f>IFERROR(IF(Y62=0,"",ROUNDUP(Y62/H62,0)*0.01898),"")</f>
        <v>0.1898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103.79629629629629</v>
      </c>
      <c r="BN62" s="78">
        <f t="shared" si="8"/>
        <v>112.1</v>
      </c>
      <c r="BO62" s="78">
        <f t="shared" si="9"/>
        <v>0.14467592592592593</v>
      </c>
      <c r="BP62" s="78">
        <f t="shared" si="10"/>
        <v>0.15625</v>
      </c>
    </row>
    <row r="63" spans="1:68" ht="27" hidden="1" customHeight="1" x14ac:dyDescent="0.25">
      <c r="A63" s="63" t="s">
        <v>156</v>
      </c>
      <c r="B63" s="63" t="s">
        <v>157</v>
      </c>
      <c r="C63" s="36">
        <v>4301011386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87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23"/>
      <c r="R63" s="623"/>
      <c r="S63" s="623"/>
      <c r="T63" s="62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hidden="1" customHeight="1" x14ac:dyDescent="0.25">
      <c r="A64" s="63" t="s">
        <v>159</v>
      </c>
      <c r="B64" s="63" t="s">
        <v>160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hidden="1" customHeight="1" x14ac:dyDescent="0.25">
      <c r="A66" s="63" t="s">
        <v>164</v>
      </c>
      <c r="B66" s="63" t="s">
        <v>165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IFERROR(X60/H60,"0")+IFERROR(X61/H61,"0")+IFERROR(X62/H62,"0")+IFERROR(X63/H63,"0")+IFERROR(X64/H64,"0")+IFERROR(X65/H65,"0")+IFERROR(X66/H66,"0")</f>
        <v>9.2592592592592595</v>
      </c>
      <c r="Y67" s="43">
        <f>IFERROR(Y60/H60,"0")+IFERROR(Y61/H61,"0")+IFERROR(Y62/H62,"0")+IFERROR(Y63/H63,"0")+IFERROR(Y64/H64,"0")+IFERROR(Y65/H65,"0")+IFERROR(Y66/H66,"0")</f>
        <v>10</v>
      </c>
      <c r="Z67" s="43">
        <f>IFERROR(IF(Z60="",0,Z60),"0")+IFERROR(IF(Z61="",0,Z61),"0")+IFERROR(IF(Z62="",0,Z62),"0")+IFERROR(IF(Z63="",0,Z63),"0")+IFERROR(IF(Z64="",0,Z64),"0")+IFERROR(IF(Z65="",0,Z65),"0")+IFERROR(IF(Z66="",0,Z66),"0")</f>
        <v>0.1898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IFERROR(SUM(X60:X66),"0")</f>
        <v>100</v>
      </c>
      <c r="Y68" s="43">
        <f>IFERROR(SUM(Y60:Y66),"0")</f>
        <v>108</v>
      </c>
      <c r="Z68" s="42"/>
      <c r="AA68" s="67"/>
      <c r="AB68" s="67"/>
      <c r="AC68" s="67"/>
    </row>
    <row r="69" spans="1:68" ht="14.25" hidden="1" customHeight="1" x14ac:dyDescent="0.25">
      <c r="A69" s="620" t="s">
        <v>167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customHeight="1" x14ac:dyDescent="0.25">
      <c r="A70" s="63" t="s">
        <v>168</v>
      </c>
      <c r="B70" s="63" t="s">
        <v>169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50</v>
      </c>
      <c r="Y70" s="55">
        <f>IFERROR(IF(X70="",0,CEILING((X70/$H70),1)*$H70),"")</f>
        <v>54</v>
      </c>
      <c r="Z70" s="41">
        <f>IFERROR(IF(Y70=0,"",ROUNDUP(Y70/H70,0)*0.01898),"")</f>
        <v>9.4899999999999998E-2</v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51.898148148148145</v>
      </c>
      <c r="BN70" s="78">
        <f>IFERROR(Y70*I70/H70,"0")</f>
        <v>56.05</v>
      </c>
      <c r="BO70" s="78">
        <f>IFERROR(1/J70*(X70/H70),"0")</f>
        <v>7.2337962962962965E-2</v>
      </c>
      <c r="BP70" s="78">
        <f>IFERROR(1/J70*(Y70/H70),"0")</f>
        <v>7.8125E-2</v>
      </c>
    </row>
    <row r="71" spans="1:68" ht="16.5" hidden="1" customHeight="1" x14ac:dyDescent="0.25">
      <c r="A71" s="63" t="s">
        <v>171</v>
      </c>
      <c r="B71" s="63" t="s">
        <v>172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176</v>
      </c>
      <c r="B73" s="63" t="s">
        <v>177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4.6296296296296298</v>
      </c>
      <c r="Y74" s="43">
        <f>IFERROR(Y70/H70,"0")+IFERROR(Y71/H71,"0")+IFERROR(Y72/H72,"0")+IFERROR(Y73/H73,"0")</f>
        <v>5</v>
      </c>
      <c r="Z74" s="43">
        <f>IFERROR(IF(Z70="",0,Z70),"0")+IFERROR(IF(Z71="",0,Z71),"0")+IFERROR(IF(Z72="",0,Z72),"0")+IFERROR(IF(Z73="",0,Z73),"0")</f>
        <v>9.4899999999999998E-2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50</v>
      </c>
      <c r="Y75" s="43">
        <f>IFERROR(SUM(Y70:Y73),"0")</f>
        <v>54</v>
      </c>
      <c r="Z75" s="42"/>
      <c r="AA75" s="67"/>
      <c r="AB75" s="67"/>
      <c r="AC75" s="67"/>
    </row>
    <row r="76" spans="1:68" ht="14.25" hidden="1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20" t="s">
        <v>184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188</v>
      </c>
      <c r="B83" s="63" t="s">
        <v>189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36" t="s">
        <v>191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hidden="1" customHeight="1" x14ac:dyDescent="0.25">
      <c r="A87" s="620" t="s">
        <v>132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 x14ac:dyDescent="0.25">
      <c r="A88" s="63" t="s">
        <v>192</v>
      </c>
      <c r="B88" s="63" t="s">
        <v>193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250</v>
      </c>
      <c r="Y88" s="55">
        <f>IFERROR(IF(X88="",0,CEILING((X88/$H88),1)*$H88),"")</f>
        <v>259.20000000000005</v>
      </c>
      <c r="Z88" s="41">
        <f>IFERROR(IF(Y88=0,"",ROUNDUP(Y88/H88,0)*0.01898),"")</f>
        <v>0.45552000000000004</v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259.4907407407407</v>
      </c>
      <c r="BN88" s="78">
        <f>IFERROR(Y88*I88/H88,"0")</f>
        <v>269.04000000000002</v>
      </c>
      <c r="BO88" s="78">
        <f>IFERROR(1/J88*(X88/H88),"0")</f>
        <v>0.36168981481481477</v>
      </c>
      <c r="BP88" s="78">
        <f>IFERROR(1/J88*(Y88/H88),"0")</f>
        <v>0.37500000000000006</v>
      </c>
    </row>
    <row r="89" spans="1:68" ht="27" hidden="1" customHeight="1" x14ac:dyDescent="0.25">
      <c r="A89" s="63" t="s">
        <v>195</v>
      </c>
      <c r="B89" s="63" t="s">
        <v>196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198</v>
      </c>
      <c r="B90" s="63" t="s">
        <v>199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200</v>
      </c>
      <c r="B91" s="63" t="s">
        <v>201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23.148148148148145</v>
      </c>
      <c r="Y92" s="43">
        <f>IFERROR(Y88/H88,"0")+IFERROR(Y89/H89,"0")+IFERROR(Y90/H90,"0")+IFERROR(Y91/H91,"0")</f>
        <v>24.000000000000004</v>
      </c>
      <c r="Z92" s="43">
        <f>IFERROR(IF(Z88="",0,Z88),"0")+IFERROR(IF(Z89="",0,Z89),"0")+IFERROR(IF(Z90="",0,Z90),"0")+IFERROR(IF(Z91="",0,Z91),"0")</f>
        <v>0.45552000000000004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250</v>
      </c>
      <c r="Y93" s="43">
        <f>IFERROR(SUM(Y88:Y91),"0")</f>
        <v>259.20000000000005</v>
      </c>
      <c r="Z93" s="42"/>
      <c r="AA93" s="67"/>
      <c r="AB93" s="67"/>
      <c r="AC93" s="67"/>
    </row>
    <row r="94" spans="1:68" ht="14.25" hidden="1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202</v>
      </c>
      <c r="B95" s="63" t="s">
        <v>203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100</v>
      </c>
      <c r="Y95" s="55">
        <f>IFERROR(IF(X95="",0,CEILING((X95/$H95),1)*$H95),"")</f>
        <v>105.3</v>
      </c>
      <c r="Z95" s="41">
        <f>IFERROR(IF(Y95=0,"",ROUNDUP(Y95/H95,0)*0.01898),"")</f>
        <v>0.24674000000000001</v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106.09876543209877</v>
      </c>
      <c r="BN95" s="78">
        <f>IFERROR(Y95*I95/H95,"0")</f>
        <v>111.72199999999999</v>
      </c>
      <c r="BO95" s="78">
        <f>IFERROR(1/J95*(X95/H95),"0")</f>
        <v>0.19290123456790123</v>
      </c>
      <c r="BP95" s="78">
        <f>IFERROR(1/J95*(Y95/H95),"0")</f>
        <v>0.203125</v>
      </c>
    </row>
    <row r="96" spans="1:68" ht="27" hidden="1" customHeight="1" x14ac:dyDescent="0.25">
      <c r="A96" s="63" t="s">
        <v>205</v>
      </c>
      <c r="B96" s="63" t="s">
        <v>206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207</v>
      </c>
      <c r="B97" s="63" t="s">
        <v>208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209</v>
      </c>
      <c r="B98" s="63" t="s">
        <v>210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12.345679012345679</v>
      </c>
      <c r="Y99" s="43">
        <f>IFERROR(Y95/H95,"0")+IFERROR(Y96/H96,"0")+IFERROR(Y97/H97,"0")+IFERROR(Y98/H98,"0")</f>
        <v>13</v>
      </c>
      <c r="Z99" s="43">
        <f>IFERROR(IF(Z95="",0,Z95),"0")+IFERROR(IF(Z96="",0,Z96),"0")+IFERROR(IF(Z97="",0,Z97),"0")+IFERROR(IF(Z98="",0,Z98),"0")</f>
        <v>0.24674000000000001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100</v>
      </c>
      <c r="Y100" s="43">
        <f>IFERROR(SUM(Y95:Y98),"0")</f>
        <v>105.3</v>
      </c>
      <c r="Z100" s="42"/>
      <c r="AA100" s="67"/>
      <c r="AB100" s="67"/>
      <c r="AC100" s="67"/>
    </row>
    <row r="101" spans="1:68" ht="16.5" hidden="1" customHeight="1" x14ac:dyDescent="0.25">
      <c r="A101" s="636" t="s">
        <v>212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hidden="1" customHeight="1" x14ac:dyDescent="0.25">
      <c r="A102" s="620" t="s">
        <v>132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customHeight="1" x14ac:dyDescent="0.25">
      <c r="A103" s="63" t="s">
        <v>213</v>
      </c>
      <c r="B103" s="63" t="s">
        <v>214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300</v>
      </c>
      <c r="Y103" s="55">
        <f t="shared" ref="Y103:Y109" si="11">IFERROR(IF(X103="",0,CEILING((X103/$H103),1)*$H103),"")</f>
        <v>302.40000000000003</v>
      </c>
      <c r="Z103" s="41">
        <f>IFERROR(IF(Y103=0,"",ROUNDUP(Y103/H103,0)*0.01898),"")</f>
        <v>0.53144000000000002</v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311.38888888888891</v>
      </c>
      <c r="BN103" s="78">
        <f t="shared" ref="BN103:BN109" si="13">IFERROR(Y103*I103/H103,"0")</f>
        <v>313.88</v>
      </c>
      <c r="BO103" s="78">
        <f t="shared" ref="BO103:BO109" si="14">IFERROR(1/J103*(X103/H103),"0")</f>
        <v>0.43402777777777773</v>
      </c>
      <c r="BP103" s="78">
        <f t="shared" ref="BP103:BP109" si="15">IFERROR(1/J103*(Y103/H103),"0")</f>
        <v>0.4375</v>
      </c>
    </row>
    <row r="104" spans="1:68" ht="27" hidden="1" customHeight="1" x14ac:dyDescent="0.25">
      <c r="A104" s="63" t="s">
        <v>216</v>
      </c>
      <c r="B104" s="63" t="s">
        <v>217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hidden="1" customHeight="1" x14ac:dyDescent="0.25">
      <c r="A105" s="63" t="s">
        <v>216</v>
      </c>
      <c r="B105" s="63" t="s">
        <v>219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hidden="1" customHeight="1" x14ac:dyDescent="0.25">
      <c r="A106" s="63" t="s">
        <v>220</v>
      </c>
      <c r="B106" s="63" t="s">
        <v>221</v>
      </c>
      <c r="C106" s="36">
        <v>4301012226</v>
      </c>
      <c r="D106" s="621">
        <v>4680115887749</v>
      </c>
      <c r="E106" s="621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85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222</v>
      </c>
      <c r="B107" s="63" t="s">
        <v>223</v>
      </c>
      <c r="C107" s="36">
        <v>4301011417</v>
      </c>
      <c r="D107" s="621">
        <v>4680115880269</v>
      </c>
      <c r="E107" s="621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100</v>
      </c>
      <c r="Y107" s="55">
        <f t="shared" si="11"/>
        <v>101.25</v>
      </c>
      <c r="Z107" s="41">
        <f>IFERROR(IF(Y107=0,"",ROUNDUP(Y107/H107,0)*0.00902),"")</f>
        <v>0.24354000000000001</v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105.06666666666666</v>
      </c>
      <c r="BN107" s="78">
        <f t="shared" si="13"/>
        <v>106.38000000000001</v>
      </c>
      <c r="BO107" s="78">
        <f t="shared" si="14"/>
        <v>0.20202020202020204</v>
      </c>
      <c r="BP107" s="78">
        <f t="shared" si="15"/>
        <v>0.20454545454545456</v>
      </c>
    </row>
    <row r="108" spans="1:68" ht="37.5" hidden="1" customHeight="1" x14ac:dyDescent="0.25">
      <c r="A108" s="63" t="s">
        <v>224</v>
      </c>
      <c r="B108" s="63" t="s">
        <v>225</v>
      </c>
      <c r="C108" s="36">
        <v>4301011415</v>
      </c>
      <c r="D108" s="621">
        <v>4680115880429</v>
      </c>
      <c r="E108" s="621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37.5" hidden="1" customHeight="1" x14ac:dyDescent="0.25">
      <c r="A109" s="63" t="s">
        <v>226</v>
      </c>
      <c r="B109" s="63" t="s">
        <v>227</v>
      </c>
      <c r="C109" s="36">
        <v>4301011462</v>
      </c>
      <c r="D109" s="621">
        <v>4680115881457</v>
      </c>
      <c r="E109" s="621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85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23"/>
      <c r="R109" s="623"/>
      <c r="S109" s="623"/>
      <c r="T109" s="62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39</v>
      </c>
      <c r="X110" s="43">
        <f>IFERROR(X103/H103,"0")+IFERROR(X104/H104,"0")+IFERROR(X105/H105,"0")+IFERROR(X106/H106,"0")+IFERROR(X107/H107,"0")+IFERROR(X108/H108,"0")+IFERROR(X109/H109,"0")</f>
        <v>54.444444444444443</v>
      </c>
      <c r="Y110" s="43">
        <f>IFERROR(Y103/H103,"0")+IFERROR(Y104/H104,"0")+IFERROR(Y105/H105,"0")+IFERROR(Y106/H106,"0")+IFERROR(Y107/H107,"0")+IFERROR(Y108/H108,"0")+IFERROR(Y109/H109,"0")</f>
        <v>55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0.77498</v>
      </c>
      <c r="AA110" s="67"/>
      <c r="AB110" s="67"/>
      <c r="AC110" s="67"/>
    </row>
    <row r="111" spans="1:68" x14ac:dyDescent="0.2">
      <c r="A111" s="628"/>
      <c r="B111" s="628"/>
      <c r="C111" s="628"/>
      <c r="D111" s="628"/>
      <c r="E111" s="628"/>
      <c r="F111" s="628"/>
      <c r="G111" s="628"/>
      <c r="H111" s="628"/>
      <c r="I111" s="628"/>
      <c r="J111" s="628"/>
      <c r="K111" s="628"/>
      <c r="L111" s="628"/>
      <c r="M111" s="628"/>
      <c r="N111" s="628"/>
      <c r="O111" s="629"/>
      <c r="P111" s="625" t="s">
        <v>40</v>
      </c>
      <c r="Q111" s="626"/>
      <c r="R111" s="626"/>
      <c r="S111" s="626"/>
      <c r="T111" s="626"/>
      <c r="U111" s="626"/>
      <c r="V111" s="627"/>
      <c r="W111" s="42" t="s">
        <v>0</v>
      </c>
      <c r="X111" s="43">
        <f>IFERROR(SUM(X103:X109),"0")</f>
        <v>400</v>
      </c>
      <c r="Y111" s="43">
        <f>IFERROR(SUM(Y103:Y109),"0")</f>
        <v>403.65000000000003</v>
      </c>
      <c r="Z111" s="42"/>
      <c r="AA111" s="67"/>
      <c r="AB111" s="67"/>
      <c r="AC111" s="67"/>
    </row>
    <row r="112" spans="1:68" ht="14.25" hidden="1" customHeight="1" x14ac:dyDescent="0.25">
      <c r="A112" s="620" t="s">
        <v>167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16.5" customHeight="1" x14ac:dyDescent="0.25">
      <c r="A113" s="63" t="s">
        <v>228</v>
      </c>
      <c r="B113" s="63" t="s">
        <v>229</v>
      </c>
      <c r="C113" s="36">
        <v>4301020345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84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50</v>
      </c>
      <c r="Y113" s="55">
        <f t="shared" ref="Y113:Y119" si="16">IFERROR(IF(X113="",0,CEILING((X113/$H113),1)*$H113),"")</f>
        <v>54</v>
      </c>
      <c r="Z113" s="41">
        <f>IFERROR(IF(Y113=0,"",ROUNDUP(Y113/H113,0)*0.01898),"")</f>
        <v>9.4899999999999998E-2</v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51.898148148148145</v>
      </c>
      <c r="BN113" s="78">
        <f t="shared" ref="BN113:BN119" si="18">IFERROR(Y113*I113/H113,"0")</f>
        <v>56.05</v>
      </c>
      <c r="BO113" s="78">
        <f t="shared" ref="BO113:BO119" si="19">IFERROR(1/J113*(X113/H113),"0")</f>
        <v>7.2337962962962965E-2</v>
      </c>
      <c r="BP113" s="78">
        <f t="shared" ref="BP113:BP119" si="20">IFERROR(1/J113*(Y113/H113),"0")</f>
        <v>7.8125E-2</v>
      </c>
    </row>
    <row r="114" spans="1:68" ht="27" hidden="1" customHeight="1" x14ac:dyDescent="0.25">
      <c r="A114" s="63" t="s">
        <v>228</v>
      </c>
      <c r="B114" s="63" t="s">
        <v>231</v>
      </c>
      <c r="C114" s="36">
        <v>4301020391</v>
      </c>
      <c r="D114" s="621">
        <v>4680115881488</v>
      </c>
      <c r="E114" s="621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8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4301020186</v>
      </c>
      <c r="D115" s="621">
        <v>4680115887664</v>
      </c>
      <c r="E115" s="621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8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hidden="1" customHeight="1" x14ac:dyDescent="0.25">
      <c r="A116" s="63" t="s">
        <v>233</v>
      </c>
      <c r="B116" s="63" t="s">
        <v>237</v>
      </c>
      <c r="C116" s="36">
        <v>4301020430</v>
      </c>
      <c r="D116" s="621">
        <v>4680115887664</v>
      </c>
      <c r="E116" s="621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8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hidden="1" customHeight="1" x14ac:dyDescent="0.25">
      <c r="A117" s="63" t="s">
        <v>238</v>
      </c>
      <c r="B117" s="63" t="s">
        <v>239</v>
      </c>
      <c r="C117" s="36">
        <v>4301020393</v>
      </c>
      <c r="D117" s="621">
        <v>4680115882775</v>
      </c>
      <c r="E117" s="621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84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hidden="1" customHeight="1" x14ac:dyDescent="0.25">
      <c r="A118" s="63" t="s">
        <v>240</v>
      </c>
      <c r="B118" s="63" t="s">
        <v>241</v>
      </c>
      <c r="C118" s="36">
        <v>4301020344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t="27" hidden="1" customHeight="1" x14ac:dyDescent="0.25">
      <c r="A119" s="63" t="s">
        <v>240</v>
      </c>
      <c r="B119" s="63" t="s">
        <v>242</v>
      </c>
      <c r="C119" s="36">
        <v>4301020392</v>
      </c>
      <c r="D119" s="621">
        <v>4680115880658</v>
      </c>
      <c r="E119" s="62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23"/>
      <c r="R119" s="623"/>
      <c r="S119" s="623"/>
      <c r="T119" s="624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IFERROR(X113/H113,"0")+IFERROR(X114/H114,"0")+IFERROR(X115/H115,"0")+IFERROR(X116/H116,"0")+IFERROR(X117/H117,"0")+IFERROR(X118/H118,"0")+IFERROR(X119/H119,"0")</f>
        <v>4.6296296296296298</v>
      </c>
      <c r="Y120" s="43">
        <f>IFERROR(Y113/H113,"0")+IFERROR(Y114/H114,"0")+IFERROR(Y115/H115,"0")+IFERROR(Y116/H116,"0")+IFERROR(Y117/H117,"0")+IFERROR(Y118/H118,"0")+IFERROR(Y119/H119,"0")</f>
        <v>5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9.4899999999999998E-2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IFERROR(SUM(X113:X119),"0")</f>
        <v>50</v>
      </c>
      <c r="Y121" s="43">
        <f>IFERROR(SUM(Y113:Y119),"0")</f>
        <v>54</v>
      </c>
      <c r="Z121" s="42"/>
      <c r="AA121" s="67"/>
      <c r="AB121" s="67"/>
      <c r="AC121" s="67"/>
    </row>
    <row r="122" spans="1:68" ht="14.25" hidden="1" customHeight="1" x14ac:dyDescent="0.25">
      <c r="A122" s="620" t="s">
        <v>86</v>
      </c>
      <c r="B122" s="620"/>
      <c r="C122" s="620"/>
      <c r="D122" s="620"/>
      <c r="E122" s="620"/>
      <c r="F122" s="620"/>
      <c r="G122" s="620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6"/>
      <c r="AB122" s="66"/>
      <c r="AC122" s="80"/>
    </row>
    <row r="123" spans="1:68" ht="27" customHeight="1" x14ac:dyDescent="0.25">
      <c r="A123" s="63" t="s">
        <v>243</v>
      </c>
      <c r="B123" s="63" t="s">
        <v>244</v>
      </c>
      <c r="C123" s="36">
        <v>4301051724</v>
      </c>
      <c r="D123" s="621">
        <v>4607091385168</v>
      </c>
      <c r="E123" s="62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8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300</v>
      </c>
      <c r="Y123" s="55">
        <f>IFERROR(IF(X123="",0,CEILING((X123/$H123),1)*$H123),"")</f>
        <v>307.8</v>
      </c>
      <c r="Z123" s="41">
        <f>IFERROR(IF(Y123=0,"",ROUNDUP(Y123/H123,0)*0.01898),"")</f>
        <v>0.72123999999999999</v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318.07407407407402</v>
      </c>
      <c r="BN123" s="78">
        <f>IFERROR(Y123*I123/H123,"0")</f>
        <v>326.34399999999999</v>
      </c>
      <c r="BO123" s="78">
        <f>IFERROR(1/J123*(X123/H123),"0")</f>
        <v>0.57870370370370372</v>
      </c>
      <c r="BP123" s="78">
        <f>IFERROR(1/J123*(Y123/H123),"0")</f>
        <v>0.59375</v>
      </c>
    </row>
    <row r="124" spans="1:68" ht="27" hidden="1" customHeight="1" x14ac:dyDescent="0.25">
      <c r="A124" s="63" t="s">
        <v>246</v>
      </c>
      <c r="B124" s="63" t="s">
        <v>247</v>
      </c>
      <c r="C124" s="36">
        <v>4301051730</v>
      </c>
      <c r="D124" s="621">
        <v>4607091383256</v>
      </c>
      <c r="E124" s="621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248</v>
      </c>
      <c r="B125" s="63" t="s">
        <v>249</v>
      </c>
      <c r="C125" s="36">
        <v>4301051721</v>
      </c>
      <c r="D125" s="621">
        <v>4607091385748</v>
      </c>
      <c r="E125" s="621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250</v>
      </c>
      <c r="B126" s="63" t="s">
        <v>251</v>
      </c>
      <c r="C126" s="36">
        <v>4301051740</v>
      </c>
      <c r="D126" s="621">
        <v>4680115884533</v>
      </c>
      <c r="E126" s="621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4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23"/>
      <c r="R126" s="623"/>
      <c r="S126" s="623"/>
      <c r="T126" s="6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39</v>
      </c>
      <c r="X127" s="43">
        <f>IFERROR(X123/H123,"0")+IFERROR(X124/H124,"0")+IFERROR(X125/H125,"0")+IFERROR(X126/H126,"0")</f>
        <v>37.037037037037038</v>
      </c>
      <c r="Y127" s="43">
        <f>IFERROR(Y123/H123,"0")+IFERROR(Y124/H124,"0")+IFERROR(Y125/H125,"0")+IFERROR(Y126/H126,"0")</f>
        <v>38</v>
      </c>
      <c r="Z127" s="43">
        <f>IFERROR(IF(Z123="",0,Z123),"0")+IFERROR(IF(Z124="",0,Z124),"0")+IFERROR(IF(Z125="",0,Z125),"0")+IFERROR(IF(Z126="",0,Z126),"0")</f>
        <v>0.72123999999999999</v>
      </c>
      <c r="AA127" s="67"/>
      <c r="AB127" s="67"/>
      <c r="AC127" s="67"/>
    </row>
    <row r="128" spans="1:68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2" t="s">
        <v>0</v>
      </c>
      <c r="X128" s="43">
        <f>IFERROR(SUM(X123:X126),"0")</f>
        <v>300</v>
      </c>
      <c r="Y128" s="43">
        <f>IFERROR(SUM(Y123:Y126),"0")</f>
        <v>307.8</v>
      </c>
      <c r="Z128" s="42"/>
      <c r="AA128" s="67"/>
      <c r="AB128" s="67"/>
      <c r="AC128" s="67"/>
    </row>
    <row r="129" spans="1:68" ht="14.25" hidden="1" customHeight="1" x14ac:dyDescent="0.25">
      <c r="A129" s="620" t="s">
        <v>184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16.5" hidden="1" customHeight="1" x14ac:dyDescent="0.25">
      <c r="A130" s="63" t="s">
        <v>253</v>
      </c>
      <c r="B130" s="63" t="s">
        <v>254</v>
      </c>
      <c r="C130" s="36">
        <v>4301060317</v>
      </c>
      <c r="D130" s="621">
        <v>4680115880238</v>
      </c>
      <c r="E130" s="621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23"/>
      <c r="R130" s="623"/>
      <c r="S130" s="623"/>
      <c r="T130" s="62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36" t="s">
        <v>256</v>
      </c>
      <c r="B133" s="636"/>
      <c r="C133" s="636"/>
      <c r="D133" s="636"/>
      <c r="E133" s="636"/>
      <c r="F133" s="636"/>
      <c r="G133" s="636"/>
      <c r="H133" s="636"/>
      <c r="I133" s="636"/>
      <c r="J133" s="636"/>
      <c r="K133" s="636"/>
      <c r="L133" s="636"/>
      <c r="M133" s="636"/>
      <c r="N133" s="636"/>
      <c r="O133" s="636"/>
      <c r="P133" s="636"/>
      <c r="Q133" s="636"/>
      <c r="R133" s="636"/>
      <c r="S133" s="636"/>
      <c r="T133" s="636"/>
      <c r="U133" s="636"/>
      <c r="V133" s="636"/>
      <c r="W133" s="636"/>
      <c r="X133" s="636"/>
      <c r="Y133" s="636"/>
      <c r="Z133" s="636"/>
      <c r="AA133" s="65"/>
      <c r="AB133" s="65"/>
      <c r="AC133" s="79"/>
    </row>
    <row r="134" spans="1:68" ht="14.25" hidden="1" customHeight="1" x14ac:dyDescent="0.25">
      <c r="A134" s="620" t="s">
        <v>132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4301011562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257</v>
      </c>
      <c r="B136" s="63" t="s">
        <v>260</v>
      </c>
      <c r="C136" s="36">
        <v>4301011564</v>
      </c>
      <c r="D136" s="621">
        <v>4680115882577</v>
      </c>
      <c r="E136" s="621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83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23"/>
      <c r="R136" s="623"/>
      <c r="S136" s="623"/>
      <c r="T136" s="624"/>
      <c r="U136" s="39" t="s">
        <v>46</v>
      </c>
      <c r="V136" s="39" t="s">
        <v>46</v>
      </c>
      <c r="W136" s="40" t="s">
        <v>0</v>
      </c>
      <c r="X136" s="58">
        <v>50</v>
      </c>
      <c r="Y136" s="55">
        <f>IFERROR(IF(X136="",0,CEILING((X136/$H136),1)*$H136),"")</f>
        <v>51.2</v>
      </c>
      <c r="Z136" s="41">
        <f>IFERROR(IF(Y136=0,"",ROUNDUP(Y136/H136,0)*0.00651),"")</f>
        <v>0.10416</v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52.8125</v>
      </c>
      <c r="BN136" s="78">
        <f>IFERROR(Y136*I136/H136,"0")</f>
        <v>54.08</v>
      </c>
      <c r="BO136" s="78">
        <f>IFERROR(1/J136*(X136/H136),"0")</f>
        <v>8.5851648351648352E-2</v>
      </c>
      <c r="BP136" s="78">
        <f>IFERROR(1/J136*(Y136/H136),"0")</f>
        <v>8.7912087912087919E-2</v>
      </c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39</v>
      </c>
      <c r="X137" s="43">
        <f>IFERROR(X135/H135,"0")+IFERROR(X136/H136,"0")</f>
        <v>15.625</v>
      </c>
      <c r="Y137" s="43">
        <f>IFERROR(Y135/H135,"0")+IFERROR(Y136/H136,"0")</f>
        <v>16</v>
      </c>
      <c r="Z137" s="43">
        <f>IFERROR(IF(Z135="",0,Z135),"0")+IFERROR(IF(Z136="",0,Z136),"0")</f>
        <v>0.10416</v>
      </c>
      <c r="AA137" s="67"/>
      <c r="AB137" s="67"/>
      <c r="AC137" s="67"/>
    </row>
    <row r="138" spans="1:68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2" t="s">
        <v>0</v>
      </c>
      <c r="X138" s="43">
        <f>IFERROR(SUM(X135:X136),"0")</f>
        <v>50</v>
      </c>
      <c r="Y138" s="43">
        <f>IFERROR(SUM(Y135:Y136),"0")</f>
        <v>51.2</v>
      </c>
      <c r="Z138" s="42"/>
      <c r="AA138" s="67"/>
      <c r="AB138" s="67"/>
      <c r="AC138" s="67"/>
    </row>
    <row r="139" spans="1:68" ht="14.25" hidden="1" customHeight="1" x14ac:dyDescent="0.25">
      <c r="A139" s="620" t="s">
        <v>77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hidden="1" customHeight="1" x14ac:dyDescent="0.25">
      <c r="A140" s="63" t="s">
        <v>261</v>
      </c>
      <c r="B140" s="63" t="s">
        <v>262</v>
      </c>
      <c r="C140" s="36">
        <v>4301031234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261</v>
      </c>
      <c r="B141" s="63" t="s">
        <v>264</v>
      </c>
      <c r="C141" s="36">
        <v>4301031235</v>
      </c>
      <c r="D141" s="621">
        <v>4680115883444</v>
      </c>
      <c r="E141" s="62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8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23"/>
      <c r="R141" s="623"/>
      <c r="S141" s="623"/>
      <c r="T141" s="6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20" t="s">
        <v>86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hidden="1" customHeight="1" x14ac:dyDescent="0.25">
      <c r="A145" s="63" t="s">
        <v>265</v>
      </c>
      <c r="B145" s="63" t="s">
        <v>266</v>
      </c>
      <c r="C145" s="36">
        <v>4301051476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83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265</v>
      </c>
      <c r="B146" s="63" t="s">
        <v>267</v>
      </c>
      <c r="C146" s="36">
        <v>4301051477</v>
      </c>
      <c r="D146" s="621">
        <v>4680115882584</v>
      </c>
      <c r="E146" s="621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83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23"/>
      <c r="R146" s="623"/>
      <c r="S146" s="623"/>
      <c r="T146" s="624"/>
      <c r="U146" s="39" t="s">
        <v>46</v>
      </c>
      <c r="V146" s="39" t="s">
        <v>46</v>
      </c>
      <c r="W146" s="40" t="s">
        <v>0</v>
      </c>
      <c r="X146" s="58">
        <v>20</v>
      </c>
      <c r="Y146" s="55">
        <f>IFERROR(IF(X146="",0,CEILING((X146/$H146),1)*$H146),"")</f>
        <v>21.12</v>
      </c>
      <c r="Z146" s="41">
        <f>IFERROR(IF(Y146=0,"",ROUNDUP(Y146/H146,0)*0.00651),"")</f>
        <v>5.2080000000000001E-2</v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22.030303030303028</v>
      </c>
      <c r="BN146" s="78">
        <f>IFERROR(Y146*I146/H146,"0")</f>
        <v>23.263999999999999</v>
      </c>
      <c r="BO146" s="78">
        <f>IFERROR(1/J146*(X146/H146),"0")</f>
        <v>4.1625041625041624E-2</v>
      </c>
      <c r="BP146" s="78">
        <f>IFERROR(1/J146*(Y146/H146),"0")</f>
        <v>4.3956043956043959E-2</v>
      </c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39</v>
      </c>
      <c r="X147" s="43">
        <f>IFERROR(X145/H145,"0")+IFERROR(X146/H146,"0")</f>
        <v>7.5757575757575752</v>
      </c>
      <c r="Y147" s="43">
        <f>IFERROR(Y145/H145,"0")+IFERROR(Y146/H146,"0")</f>
        <v>8</v>
      </c>
      <c r="Z147" s="43">
        <f>IFERROR(IF(Z145="",0,Z145),"0")+IFERROR(IF(Z146="",0,Z146),"0")</f>
        <v>5.2080000000000001E-2</v>
      </c>
      <c r="AA147" s="67"/>
      <c r="AB147" s="67"/>
      <c r="AC147" s="67"/>
    </row>
    <row r="148" spans="1:68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0</v>
      </c>
      <c r="X148" s="43">
        <f>IFERROR(SUM(X145:X146),"0")</f>
        <v>20</v>
      </c>
      <c r="Y148" s="43">
        <f>IFERROR(SUM(Y145:Y146),"0")</f>
        <v>21.12</v>
      </c>
      <c r="Z148" s="42"/>
      <c r="AA148" s="67"/>
      <c r="AB148" s="67"/>
      <c r="AC148" s="67"/>
    </row>
    <row r="149" spans="1:68" ht="16.5" hidden="1" customHeight="1" x14ac:dyDescent="0.25">
      <c r="A149" s="636" t="s">
        <v>268</v>
      </c>
      <c r="B149" s="636"/>
      <c r="C149" s="636"/>
      <c r="D149" s="636"/>
      <c r="E149" s="636"/>
      <c r="F149" s="636"/>
      <c r="G149" s="636"/>
      <c r="H149" s="636"/>
      <c r="I149" s="636"/>
      <c r="J149" s="636"/>
      <c r="K149" s="636"/>
      <c r="L149" s="636"/>
      <c r="M149" s="636"/>
      <c r="N149" s="636"/>
      <c r="O149" s="636"/>
      <c r="P149" s="636"/>
      <c r="Q149" s="636"/>
      <c r="R149" s="636"/>
      <c r="S149" s="636"/>
      <c r="T149" s="636"/>
      <c r="U149" s="636"/>
      <c r="V149" s="636"/>
      <c r="W149" s="636"/>
      <c r="X149" s="636"/>
      <c r="Y149" s="636"/>
      <c r="Z149" s="636"/>
      <c r="AA149" s="65"/>
      <c r="AB149" s="65"/>
      <c r="AC149" s="79"/>
    </row>
    <row r="150" spans="1:68" ht="14.25" hidden="1" customHeight="1" x14ac:dyDescent="0.25">
      <c r="A150" s="620" t="s">
        <v>86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hidden="1" customHeight="1" x14ac:dyDescent="0.25">
      <c r="A151" s="63" t="s">
        <v>269</v>
      </c>
      <c r="B151" s="63" t="s">
        <v>270</v>
      </c>
      <c r="C151" s="36">
        <v>4301052174</v>
      </c>
      <c r="D151" s="621">
        <v>4680115888203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4301052172</v>
      </c>
      <c r="D152" s="621">
        <v>4680115888180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4301052173</v>
      </c>
      <c r="D153" s="621">
        <v>4680115888197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4301052175</v>
      </c>
      <c r="D154" s="621">
        <v>4680115888210</v>
      </c>
      <c r="E154" s="621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23"/>
      <c r="R154" s="623"/>
      <c r="S154" s="623"/>
      <c r="T154" s="62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36" t="s">
        <v>130</v>
      </c>
      <c r="B157" s="636"/>
      <c r="C157" s="636"/>
      <c r="D157" s="636"/>
      <c r="E157" s="636"/>
      <c r="F157" s="636"/>
      <c r="G157" s="636"/>
      <c r="H157" s="636"/>
      <c r="I157" s="636"/>
      <c r="J157" s="636"/>
      <c r="K157" s="636"/>
      <c r="L157" s="636"/>
      <c r="M157" s="636"/>
      <c r="N157" s="636"/>
      <c r="O157" s="636"/>
      <c r="P157" s="636"/>
      <c r="Q157" s="636"/>
      <c r="R157" s="636"/>
      <c r="S157" s="636"/>
      <c r="T157" s="636"/>
      <c r="U157" s="636"/>
      <c r="V157" s="636"/>
      <c r="W157" s="636"/>
      <c r="X157" s="636"/>
      <c r="Y157" s="636"/>
      <c r="Z157" s="636"/>
      <c r="AA157" s="65"/>
      <c r="AB157" s="65"/>
      <c r="AC157" s="79"/>
    </row>
    <row r="158" spans="1:68" ht="14.25" hidden="1" customHeight="1" x14ac:dyDescent="0.25">
      <c r="A158" s="620" t="s">
        <v>132</v>
      </c>
      <c r="B158" s="620"/>
      <c r="C158" s="620"/>
      <c r="D158" s="620"/>
      <c r="E158" s="620"/>
      <c r="F158" s="620"/>
      <c r="G158" s="620"/>
      <c r="H158" s="620"/>
      <c r="I158" s="620"/>
      <c r="J158" s="620"/>
      <c r="K158" s="620"/>
      <c r="L158" s="620"/>
      <c r="M158" s="620"/>
      <c r="N158" s="620"/>
      <c r="O158" s="620"/>
      <c r="P158" s="620"/>
      <c r="Q158" s="620"/>
      <c r="R158" s="620"/>
      <c r="S158" s="620"/>
      <c r="T158" s="620"/>
      <c r="U158" s="620"/>
      <c r="V158" s="620"/>
      <c r="W158" s="620"/>
      <c r="X158" s="620"/>
      <c r="Y158" s="620"/>
      <c r="Z158" s="620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4301012244</v>
      </c>
      <c r="D159" s="621">
        <v>4680115887374</v>
      </c>
      <c r="E159" s="621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82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21">
        <v>4607091384604</v>
      </c>
      <c r="E160" s="621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8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3"/>
      <c r="R160" s="623"/>
      <c r="S160" s="623"/>
      <c r="T160" s="624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39</v>
      </c>
      <c r="X161" s="43">
        <f>IFERROR(X159/H159,"0")+IFERROR(X160/H160,"0")</f>
        <v>0</v>
      </c>
      <c r="Y161" s="43">
        <f>IFERROR(Y159/H159,"0")+IFERROR(Y160/H160,"0")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hidden="1" x14ac:dyDescent="0.2">
      <c r="A162" s="628"/>
      <c r="B162" s="628"/>
      <c r="C162" s="628"/>
      <c r="D162" s="628"/>
      <c r="E162" s="628"/>
      <c r="F162" s="628"/>
      <c r="G162" s="628"/>
      <c r="H162" s="628"/>
      <c r="I162" s="628"/>
      <c r="J162" s="628"/>
      <c r="K162" s="628"/>
      <c r="L162" s="628"/>
      <c r="M162" s="628"/>
      <c r="N162" s="628"/>
      <c r="O162" s="629"/>
      <c r="P162" s="625" t="s">
        <v>40</v>
      </c>
      <c r="Q162" s="626"/>
      <c r="R162" s="626"/>
      <c r="S162" s="626"/>
      <c r="T162" s="626"/>
      <c r="U162" s="626"/>
      <c r="V162" s="627"/>
      <c r="W162" s="42" t="s">
        <v>0</v>
      </c>
      <c r="X162" s="43">
        <f>IFERROR(SUM(X159:X160),"0")</f>
        <v>0</v>
      </c>
      <c r="Y162" s="43">
        <f>IFERROR(SUM(Y159:Y160),"0")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20" t="s">
        <v>167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6"/>
      <c r="AB163" s="66"/>
      <c r="AC163" s="80"/>
    </row>
    <row r="164" spans="1:68" ht="16.5" hidden="1" customHeight="1" x14ac:dyDescent="0.25">
      <c r="A164" s="63" t="s">
        <v>287</v>
      </c>
      <c r="B164" s="63" t="s">
        <v>288</v>
      </c>
      <c r="C164" s="36">
        <v>4301020410</v>
      </c>
      <c r="D164" s="621">
        <v>4680115887695</v>
      </c>
      <c r="E164" s="621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23"/>
      <c r="R164" s="623"/>
      <c r="S164" s="623"/>
      <c r="T164" s="62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IFERROR(IF(Y164=0,"",ROUNDUP(Y164/H164,0)*0.00556),"")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28"/>
      <c r="B166" s="628"/>
      <c r="C166" s="628"/>
      <c r="D166" s="628"/>
      <c r="E166" s="628"/>
      <c r="F166" s="628"/>
      <c r="G166" s="628"/>
      <c r="H166" s="628"/>
      <c r="I166" s="628"/>
      <c r="J166" s="628"/>
      <c r="K166" s="628"/>
      <c r="L166" s="628"/>
      <c r="M166" s="628"/>
      <c r="N166" s="628"/>
      <c r="O166" s="629"/>
      <c r="P166" s="625" t="s">
        <v>40</v>
      </c>
      <c r="Q166" s="626"/>
      <c r="R166" s="626"/>
      <c r="S166" s="626"/>
      <c r="T166" s="626"/>
      <c r="U166" s="626"/>
      <c r="V166" s="627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20" t="s">
        <v>77</v>
      </c>
      <c r="B167" s="620"/>
      <c r="C167" s="620"/>
      <c r="D167" s="620"/>
      <c r="E167" s="620"/>
      <c r="F167" s="620"/>
      <c r="G167" s="620"/>
      <c r="H167" s="620"/>
      <c r="I167" s="620"/>
      <c r="J167" s="620"/>
      <c r="K167" s="620"/>
      <c r="L167" s="620"/>
      <c r="M167" s="620"/>
      <c r="N167" s="620"/>
      <c r="O167" s="620"/>
      <c r="P167" s="620"/>
      <c r="Q167" s="620"/>
      <c r="R167" s="620"/>
      <c r="S167" s="620"/>
      <c r="T167" s="620"/>
      <c r="U167" s="620"/>
      <c r="V167" s="620"/>
      <c r="W167" s="620"/>
      <c r="X167" s="620"/>
      <c r="Y167" s="620"/>
      <c r="Z167" s="620"/>
      <c r="AA167" s="66"/>
      <c r="AB167" s="66"/>
      <c r="AC167" s="80"/>
    </row>
    <row r="168" spans="1:68" ht="27" hidden="1" customHeight="1" x14ac:dyDescent="0.25">
      <c r="A168" s="63" t="s">
        <v>290</v>
      </c>
      <c r="B168" s="63" t="s">
        <v>291</v>
      </c>
      <c r="C168" s="36">
        <v>4301031496</v>
      </c>
      <c r="D168" s="621">
        <v>4680115887428</v>
      </c>
      <c r="E168" s="621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82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ref="Y168:Y178" si="21"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0</v>
      </c>
      <c r="BN168" s="78">
        <f t="shared" ref="BN168:BN178" si="23">IFERROR(Y168*I168/H168,"0")</f>
        <v>0</v>
      </c>
      <c r="BO168" s="78">
        <f t="shared" ref="BO168:BO178" si="24">IFERROR(1/J168*(X168/H168),"0")</f>
        <v>0</v>
      </c>
      <c r="BP168" s="78">
        <f t="shared" ref="BP168:BP178" si="25">IFERROR(1/J168*(Y168/H168),"0")</f>
        <v>0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4301030963</v>
      </c>
      <c r="D169" s="621">
        <v>4607091382426</v>
      </c>
      <c r="E169" s="621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IFERROR(IF(Y169=0,"",ROUNDUP(Y169/H169,0)*0.01898),"")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hidden="1" customHeight="1" x14ac:dyDescent="0.25">
      <c r="A170" s="63" t="s">
        <v>296</v>
      </c>
      <c r="B170" s="63" t="s">
        <v>297</v>
      </c>
      <c r="C170" s="36">
        <v>4301031498</v>
      </c>
      <c r="D170" s="621">
        <v>4680115887398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82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4301031497</v>
      </c>
      <c r="D171" s="621">
        <v>4680115887336</v>
      </c>
      <c r="E171" s="621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82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50</v>
      </c>
      <c r="Y171" s="55">
        <f t="shared" si="21"/>
        <v>52.5</v>
      </c>
      <c r="Z171" s="41">
        <f>IFERROR(IF(Y171=0,"",ROUNDUP(Y171/H171,0)*0.00902),"")</f>
        <v>0.1353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52.714285714285715</v>
      </c>
      <c r="BN171" s="78">
        <f t="shared" si="23"/>
        <v>55.35</v>
      </c>
      <c r="BO171" s="78">
        <f t="shared" si="24"/>
        <v>0.10822510822510824</v>
      </c>
      <c r="BP171" s="78">
        <f t="shared" si="25"/>
        <v>0.11363636363636365</v>
      </c>
    </row>
    <row r="172" spans="1:68" ht="16.5" hidden="1" customHeight="1" x14ac:dyDescent="0.25">
      <c r="A172" s="63" t="s">
        <v>302</v>
      </c>
      <c r="B172" s="63" t="s">
        <v>303</v>
      </c>
      <c r="C172" s="36">
        <v>4301032049</v>
      </c>
      <c r="D172" s="621">
        <v>4680115887787</v>
      </c>
      <c r="E172" s="621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82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4301031448</v>
      </c>
      <c r="D173" s="621">
        <v>4680115887503</v>
      </c>
      <c r="E173" s="621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307</v>
      </c>
      <c r="B174" s="63" t="s">
        <v>308</v>
      </c>
      <c r="C174" s="36">
        <v>4301031389</v>
      </c>
      <c r="D174" s="621">
        <v>4680115887763</v>
      </c>
      <c r="E174" s="621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81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307</v>
      </c>
      <c r="B175" s="63" t="s">
        <v>310</v>
      </c>
      <c r="C175" s="36">
        <v>4301031510</v>
      </c>
      <c r="D175" s="621">
        <v>4680115887763</v>
      </c>
      <c r="E175" s="621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81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311</v>
      </c>
      <c r="B176" s="63" t="s">
        <v>312</v>
      </c>
      <c r="C176" s="36">
        <v>4301031454</v>
      </c>
      <c r="D176" s="621">
        <v>4680115887480</v>
      </c>
      <c r="E176" s="621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1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4301031434</v>
      </c>
      <c r="D177" s="621">
        <v>4680115888067</v>
      </c>
      <c r="E177" s="621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81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316</v>
      </c>
      <c r="B178" s="63" t="s">
        <v>317</v>
      </c>
      <c r="C178" s="36">
        <v>4301031451</v>
      </c>
      <c r="D178" s="621">
        <v>4680115887435</v>
      </c>
      <c r="E178" s="62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82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23"/>
      <c r="R178" s="623"/>
      <c r="S178" s="623"/>
      <c r="T178" s="6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14.285714285714286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15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0.1353</v>
      </c>
      <c r="AA179" s="67"/>
      <c r="AB179" s="67"/>
      <c r="AC179" s="67"/>
    </row>
    <row r="180" spans="1:68" x14ac:dyDescent="0.2">
      <c r="A180" s="628"/>
      <c r="B180" s="628"/>
      <c r="C180" s="628"/>
      <c r="D180" s="628"/>
      <c r="E180" s="628"/>
      <c r="F180" s="628"/>
      <c r="G180" s="628"/>
      <c r="H180" s="628"/>
      <c r="I180" s="628"/>
      <c r="J180" s="628"/>
      <c r="K180" s="628"/>
      <c r="L180" s="628"/>
      <c r="M180" s="628"/>
      <c r="N180" s="628"/>
      <c r="O180" s="629"/>
      <c r="P180" s="625" t="s">
        <v>40</v>
      </c>
      <c r="Q180" s="626"/>
      <c r="R180" s="626"/>
      <c r="S180" s="626"/>
      <c r="T180" s="626"/>
      <c r="U180" s="626"/>
      <c r="V180" s="627"/>
      <c r="W180" s="42" t="s">
        <v>0</v>
      </c>
      <c r="X180" s="43">
        <f>IFERROR(SUM(X168:X178),"0")</f>
        <v>50</v>
      </c>
      <c r="Y180" s="43">
        <f>IFERROR(SUM(Y168:Y178),"0")</f>
        <v>52.5</v>
      </c>
      <c r="Z180" s="42"/>
      <c r="AA180" s="67"/>
      <c r="AB180" s="67"/>
      <c r="AC180" s="67"/>
    </row>
    <row r="181" spans="1:68" ht="14.25" hidden="1" customHeight="1" x14ac:dyDescent="0.25">
      <c r="A181" s="620" t="s">
        <v>86</v>
      </c>
      <c r="B181" s="620"/>
      <c r="C181" s="620"/>
      <c r="D181" s="620"/>
      <c r="E181" s="620"/>
      <c r="F181" s="620"/>
      <c r="G181" s="620"/>
      <c r="H181" s="620"/>
      <c r="I181" s="620"/>
      <c r="J181" s="620"/>
      <c r="K181" s="620"/>
      <c r="L181" s="620"/>
      <c r="M181" s="620"/>
      <c r="N181" s="620"/>
      <c r="O181" s="620"/>
      <c r="P181" s="620"/>
      <c r="Q181" s="620"/>
      <c r="R181" s="620"/>
      <c r="S181" s="620"/>
      <c r="T181" s="620"/>
      <c r="U181" s="620"/>
      <c r="V181" s="620"/>
      <c r="W181" s="620"/>
      <c r="X181" s="620"/>
      <c r="Y181" s="620"/>
      <c r="Z181" s="620"/>
      <c r="AA181" s="66"/>
      <c r="AB181" s="66"/>
      <c r="AC181" s="80"/>
    </row>
    <row r="182" spans="1:68" ht="16.5" hidden="1" customHeight="1" x14ac:dyDescent="0.25">
      <c r="A182" s="63" t="s">
        <v>318</v>
      </c>
      <c r="B182" s="63" t="s">
        <v>319</v>
      </c>
      <c r="C182" s="36">
        <v>4301052193</v>
      </c>
      <c r="D182" s="621">
        <v>4680115888395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hidden="1" customHeight="1" x14ac:dyDescent="0.25">
      <c r="A183" s="63" t="s">
        <v>321</v>
      </c>
      <c r="B183" s="63" t="s">
        <v>322</v>
      </c>
      <c r="C183" s="36">
        <v>4301052191</v>
      </c>
      <c r="D183" s="621">
        <v>4680115888371</v>
      </c>
      <c r="E183" s="621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hidden="1" customHeight="1" x14ac:dyDescent="0.25">
      <c r="A184" s="63" t="s">
        <v>324</v>
      </c>
      <c r="B184" s="63" t="s">
        <v>325</v>
      </c>
      <c r="C184" s="36">
        <v>4301052064</v>
      </c>
      <c r="D184" s="621">
        <v>4680115887459</v>
      </c>
      <c r="E184" s="621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23"/>
      <c r="R184" s="623"/>
      <c r="S184" s="623"/>
      <c r="T184" s="624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idden="1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20" t="s">
        <v>107</v>
      </c>
      <c r="B187" s="620"/>
      <c r="C187" s="620"/>
      <c r="D187" s="620"/>
      <c r="E187" s="620"/>
      <c r="F187" s="620"/>
      <c r="G187" s="620"/>
      <c r="H187" s="620"/>
      <c r="I187" s="620"/>
      <c r="J187" s="620"/>
      <c r="K187" s="620"/>
      <c r="L187" s="620"/>
      <c r="M187" s="620"/>
      <c r="N187" s="620"/>
      <c r="O187" s="620"/>
      <c r="P187" s="620"/>
      <c r="Q187" s="620"/>
      <c r="R187" s="620"/>
      <c r="S187" s="620"/>
      <c r="T187" s="620"/>
      <c r="U187" s="620"/>
      <c r="V187" s="620"/>
      <c r="W187" s="620"/>
      <c r="X187" s="620"/>
      <c r="Y187" s="620"/>
      <c r="Z187" s="620"/>
      <c r="AA187" s="66"/>
      <c r="AB187" s="66"/>
      <c r="AC187" s="80"/>
    </row>
    <row r="188" spans="1:68" ht="16.5" hidden="1" customHeight="1" x14ac:dyDescent="0.25">
      <c r="A188" s="63" t="s">
        <v>327</v>
      </c>
      <c r="B188" s="63" t="s">
        <v>328</v>
      </c>
      <c r="C188" s="36">
        <v>4301032058</v>
      </c>
      <c r="D188" s="621">
        <v>4680115889026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332</v>
      </c>
      <c r="B189" s="63" t="s">
        <v>333</v>
      </c>
      <c r="C189" s="36">
        <v>4301032057</v>
      </c>
      <c r="D189" s="621">
        <v>4680115889088</v>
      </c>
      <c r="E189" s="621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81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23"/>
      <c r="R189" s="623"/>
      <c r="S189" s="623"/>
      <c r="T189" s="6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20" t="s">
        <v>335</v>
      </c>
      <c r="B192" s="620"/>
      <c r="C192" s="620"/>
      <c r="D192" s="620"/>
      <c r="E192" s="620"/>
      <c r="F192" s="620"/>
      <c r="G192" s="620"/>
      <c r="H192" s="620"/>
      <c r="I192" s="620"/>
      <c r="J192" s="620"/>
      <c r="K192" s="620"/>
      <c r="L192" s="620"/>
      <c r="M192" s="620"/>
      <c r="N192" s="620"/>
      <c r="O192" s="620"/>
      <c r="P192" s="620"/>
      <c r="Q192" s="620"/>
      <c r="R192" s="620"/>
      <c r="S192" s="620"/>
      <c r="T192" s="620"/>
      <c r="U192" s="620"/>
      <c r="V192" s="620"/>
      <c r="W192" s="620"/>
      <c r="X192" s="620"/>
      <c r="Y192" s="620"/>
      <c r="Z192" s="620"/>
      <c r="AA192" s="66"/>
      <c r="AB192" s="66"/>
      <c r="AC192" s="80"/>
    </row>
    <row r="193" spans="1:68" ht="27" hidden="1" customHeight="1" x14ac:dyDescent="0.25">
      <c r="A193" s="63" t="s">
        <v>336</v>
      </c>
      <c r="B193" s="63" t="s">
        <v>337</v>
      </c>
      <c r="C193" s="36">
        <v>4301041009</v>
      </c>
      <c r="D193" s="621">
        <v>4680115889033</v>
      </c>
      <c r="E193" s="621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3"/>
      <c r="R193" s="623"/>
      <c r="S193" s="623"/>
      <c r="T193" s="6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41" t="s">
        <v>339</v>
      </c>
      <c r="B196" s="641"/>
      <c r="C196" s="641"/>
      <c r="D196" s="641"/>
      <c r="E196" s="641"/>
      <c r="F196" s="641"/>
      <c r="G196" s="641"/>
      <c r="H196" s="641"/>
      <c r="I196" s="641"/>
      <c r="J196" s="641"/>
      <c r="K196" s="641"/>
      <c r="L196" s="641"/>
      <c r="M196" s="641"/>
      <c r="N196" s="641"/>
      <c r="O196" s="641"/>
      <c r="P196" s="641"/>
      <c r="Q196" s="641"/>
      <c r="R196" s="641"/>
      <c r="S196" s="641"/>
      <c r="T196" s="641"/>
      <c r="U196" s="641"/>
      <c r="V196" s="641"/>
      <c r="W196" s="641"/>
      <c r="X196" s="641"/>
      <c r="Y196" s="641"/>
      <c r="Z196" s="641"/>
      <c r="AA196" s="54"/>
      <c r="AB196" s="54"/>
      <c r="AC196" s="54"/>
    </row>
    <row r="197" spans="1:68" ht="16.5" hidden="1" customHeight="1" x14ac:dyDescent="0.25">
      <c r="A197" s="636" t="s">
        <v>340</v>
      </c>
      <c r="B197" s="636"/>
      <c r="C197" s="636"/>
      <c r="D197" s="636"/>
      <c r="E197" s="636"/>
      <c r="F197" s="636"/>
      <c r="G197" s="636"/>
      <c r="H197" s="636"/>
      <c r="I197" s="636"/>
      <c r="J197" s="636"/>
      <c r="K197" s="636"/>
      <c r="L197" s="636"/>
      <c r="M197" s="636"/>
      <c r="N197" s="636"/>
      <c r="O197" s="636"/>
      <c r="P197" s="636"/>
      <c r="Q197" s="636"/>
      <c r="R197" s="636"/>
      <c r="S197" s="636"/>
      <c r="T197" s="636"/>
      <c r="U197" s="636"/>
      <c r="V197" s="636"/>
      <c r="W197" s="636"/>
      <c r="X197" s="636"/>
      <c r="Y197" s="636"/>
      <c r="Z197" s="636"/>
      <c r="AA197" s="65"/>
      <c r="AB197" s="65"/>
      <c r="AC197" s="79"/>
    </row>
    <row r="198" spans="1:68" ht="14.25" hidden="1" customHeight="1" x14ac:dyDescent="0.25">
      <c r="A198" s="620" t="s">
        <v>132</v>
      </c>
      <c r="B198" s="620"/>
      <c r="C198" s="620"/>
      <c r="D198" s="620"/>
      <c r="E198" s="620"/>
      <c r="F198" s="620"/>
      <c r="G198" s="620"/>
      <c r="H198" s="620"/>
      <c r="I198" s="620"/>
      <c r="J198" s="620"/>
      <c r="K198" s="620"/>
      <c r="L198" s="620"/>
      <c r="M198" s="620"/>
      <c r="N198" s="620"/>
      <c r="O198" s="620"/>
      <c r="P198" s="620"/>
      <c r="Q198" s="620"/>
      <c r="R198" s="620"/>
      <c r="S198" s="620"/>
      <c r="T198" s="620"/>
      <c r="U198" s="620"/>
      <c r="V198" s="620"/>
      <c r="W198" s="620"/>
      <c r="X198" s="620"/>
      <c r="Y198" s="620"/>
      <c r="Z198" s="620"/>
      <c r="AA198" s="66"/>
      <c r="AB198" s="66"/>
      <c r="AC198" s="80"/>
    </row>
    <row r="199" spans="1:68" ht="27" hidden="1" customHeight="1" x14ac:dyDescent="0.25">
      <c r="A199" s="63" t="s">
        <v>341</v>
      </c>
      <c r="B199" s="63" t="s">
        <v>342</v>
      </c>
      <c r="C199" s="36">
        <v>4301012340</v>
      </c>
      <c r="D199" s="621">
        <v>4680115888760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8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6">IFERROR(IF(X199="",0,CEILING((X199/$H199),1)*$H199),"")</f>
        <v>0</v>
      </c>
      <c r="Z199" s="41" t="str">
        <f t="shared" ref="Z199:Z205" si="27">IFERROR(IF(Y199=0,"",ROUNDUP(Y199/H199,0)*0.01898),"")</f>
        <v/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0</v>
      </c>
      <c r="BN199" s="78">
        <f t="shared" ref="BN199:BN205" si="29">IFERROR(Y199*I199/H199,"0")</f>
        <v>0</v>
      </c>
      <c r="BO199" s="78">
        <f t="shared" ref="BO199:BO205" si="30">IFERROR(1/J199*(X199/H199),"0")</f>
        <v>0</v>
      </c>
      <c r="BP199" s="78">
        <f t="shared" ref="BP199:BP205" si="31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4301012341</v>
      </c>
      <c r="D200" s="621">
        <v>4680115888807</v>
      </c>
      <c r="E200" s="62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80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6"/>
        <v>0</v>
      </c>
      <c r="Z200" s="41" t="str">
        <f t="shared" si="27"/>
        <v/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0</v>
      </c>
      <c r="BN200" s="78">
        <f t="shared" si="29"/>
        <v>0</v>
      </c>
      <c r="BO200" s="78">
        <f t="shared" si="30"/>
        <v>0</v>
      </c>
      <c r="BP200" s="78">
        <f t="shared" si="31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4301012342</v>
      </c>
      <c r="D201" s="621">
        <v>4680115888852</v>
      </c>
      <c r="E201" s="62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8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4301011223</v>
      </c>
      <c r="D202" s="621">
        <v>4607091383423</v>
      </c>
      <c r="E202" s="621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hidden="1" customHeight="1" x14ac:dyDescent="0.25">
      <c r="A203" s="63" t="s">
        <v>352</v>
      </c>
      <c r="B203" s="63" t="s">
        <v>353</v>
      </c>
      <c r="C203" s="36">
        <v>4301012370</v>
      </c>
      <c r="D203" s="621">
        <v>4680115886957</v>
      </c>
      <c r="E203" s="621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4301012098</v>
      </c>
      <c r="D204" s="621">
        <v>4680115885660</v>
      </c>
      <c r="E204" s="621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80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358</v>
      </c>
      <c r="B205" s="63" t="s">
        <v>359</v>
      </c>
      <c r="C205" s="36">
        <v>4301012369</v>
      </c>
      <c r="D205" s="621">
        <v>4680115886773</v>
      </c>
      <c r="E205" s="621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3"/>
      <c r="R205" s="623"/>
      <c r="S205" s="623"/>
      <c r="T205" s="6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36" t="s">
        <v>361</v>
      </c>
      <c r="B208" s="636"/>
      <c r="C208" s="636"/>
      <c r="D208" s="636"/>
      <c r="E208" s="636"/>
      <c r="F208" s="636"/>
      <c r="G208" s="636"/>
      <c r="H208" s="636"/>
      <c r="I208" s="636"/>
      <c r="J208" s="636"/>
      <c r="K208" s="636"/>
      <c r="L208" s="636"/>
      <c r="M208" s="636"/>
      <c r="N208" s="636"/>
      <c r="O208" s="636"/>
      <c r="P208" s="636"/>
      <c r="Q208" s="636"/>
      <c r="R208" s="636"/>
      <c r="S208" s="636"/>
      <c r="T208" s="636"/>
      <c r="U208" s="636"/>
      <c r="V208" s="636"/>
      <c r="W208" s="636"/>
      <c r="X208" s="636"/>
      <c r="Y208" s="636"/>
      <c r="Z208" s="636"/>
      <c r="AA208" s="65"/>
      <c r="AB208" s="65"/>
      <c r="AC208" s="79"/>
    </row>
    <row r="209" spans="1:68" ht="14.25" hidden="1" customHeight="1" x14ac:dyDescent="0.25">
      <c r="A209" s="620" t="s">
        <v>167</v>
      </c>
      <c r="B209" s="620"/>
      <c r="C209" s="620"/>
      <c r="D209" s="620"/>
      <c r="E209" s="620"/>
      <c r="F209" s="620"/>
      <c r="G209" s="620"/>
      <c r="H209" s="620"/>
      <c r="I209" s="620"/>
      <c r="J209" s="620"/>
      <c r="K209" s="620"/>
      <c r="L209" s="620"/>
      <c r="M209" s="620"/>
      <c r="N209" s="620"/>
      <c r="O209" s="620"/>
      <c r="P209" s="620"/>
      <c r="Q209" s="620"/>
      <c r="R209" s="620"/>
      <c r="S209" s="620"/>
      <c r="T209" s="620"/>
      <c r="U209" s="620"/>
      <c r="V209" s="620"/>
      <c r="W209" s="620"/>
      <c r="X209" s="620"/>
      <c r="Y209" s="620"/>
      <c r="Z209" s="620"/>
      <c r="AA209" s="66"/>
      <c r="AB209" s="66"/>
      <c r="AC209" s="80"/>
    </row>
    <row r="210" spans="1:68" ht="27" hidden="1" customHeight="1" x14ac:dyDescent="0.25">
      <c r="A210" s="63" t="s">
        <v>362</v>
      </c>
      <c r="B210" s="63" t="s">
        <v>363</v>
      </c>
      <c r="C210" s="36">
        <v>4301020323</v>
      </c>
      <c r="D210" s="621">
        <v>4680115886223</v>
      </c>
      <c r="E210" s="621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3"/>
      <c r="R210" s="623"/>
      <c r="S210" s="623"/>
      <c r="T210" s="624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20" t="s">
        <v>77</v>
      </c>
      <c r="B213" s="620"/>
      <c r="C213" s="620"/>
      <c r="D213" s="620"/>
      <c r="E213" s="620"/>
      <c r="F213" s="620"/>
      <c r="G213" s="620"/>
      <c r="H213" s="620"/>
      <c r="I213" s="620"/>
      <c r="J213" s="620"/>
      <c r="K213" s="620"/>
      <c r="L213" s="620"/>
      <c r="M213" s="620"/>
      <c r="N213" s="620"/>
      <c r="O213" s="620"/>
      <c r="P213" s="620"/>
      <c r="Q213" s="620"/>
      <c r="R213" s="620"/>
      <c r="S213" s="620"/>
      <c r="T213" s="620"/>
      <c r="U213" s="620"/>
      <c r="V213" s="620"/>
      <c r="W213" s="620"/>
      <c r="X213" s="620"/>
      <c r="Y213" s="620"/>
      <c r="Z213" s="620"/>
      <c r="AA213" s="66"/>
      <c r="AB213" s="66"/>
      <c r="AC213" s="80"/>
    </row>
    <row r="214" spans="1:68" ht="27" hidden="1" customHeight="1" x14ac:dyDescent="0.25">
      <c r="A214" s="63" t="s">
        <v>365</v>
      </c>
      <c r="B214" s="63" t="s">
        <v>366</v>
      </c>
      <c r="C214" s="36">
        <v>4301031191</v>
      </c>
      <c r="D214" s="621">
        <v>4680115880993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8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7" si="32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0</v>
      </c>
      <c r="BN214" s="78">
        <f t="shared" ref="BN214:BN227" si="34">IFERROR(Y214*I214/H214,"0")</f>
        <v>0</v>
      </c>
      <c r="BO214" s="78">
        <f t="shared" ref="BO214:BO227" si="35">IFERROR(1/J214*(X214/H214),"0")</f>
        <v>0</v>
      </c>
      <c r="BP214" s="78">
        <f t="shared" ref="BP214:BP227" si="36">IFERROR(1/J214*(Y214/H214),"0")</f>
        <v>0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4301031204</v>
      </c>
      <c r="D215" s="621">
        <v>4680115881761</v>
      </c>
      <c r="E215" s="621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8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2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371</v>
      </c>
      <c r="B216" s="63" t="s">
        <v>372</v>
      </c>
      <c r="C216" s="36">
        <v>4301031201</v>
      </c>
      <c r="D216" s="621">
        <v>4680115881563</v>
      </c>
      <c r="E216" s="621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2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37.5" hidden="1" customHeight="1" x14ac:dyDescent="0.25">
      <c r="A217" s="63" t="s">
        <v>374</v>
      </c>
      <c r="B217" s="63" t="s">
        <v>375</v>
      </c>
      <c r="C217" s="36">
        <v>4301031447</v>
      </c>
      <c r="D217" s="621">
        <v>4680115887565</v>
      </c>
      <c r="E217" s="621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2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t="27" hidden="1" customHeight="1" x14ac:dyDescent="0.25">
      <c r="A218" s="63" t="s">
        <v>377</v>
      </c>
      <c r="B218" s="63" t="s">
        <v>378</v>
      </c>
      <c r="C218" s="36">
        <v>4301031199</v>
      </c>
      <c r="D218" s="621">
        <v>4680115880986</v>
      </c>
      <c r="E218" s="621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2"/>
        <v>0</v>
      </c>
      <c r="Z218" s="41" t="str">
        <f t="shared" ref="Z218:Z223" si="37">IFERROR(IF(Y218=0,"",ROUNDUP(Y218/H218,0)*0.00502),"")</f>
        <v/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0</v>
      </c>
      <c r="BN218" s="78">
        <f t="shared" si="34"/>
        <v>0</v>
      </c>
      <c r="BO218" s="78">
        <f t="shared" si="35"/>
        <v>0</v>
      </c>
      <c r="BP218" s="78">
        <f t="shared" si="36"/>
        <v>0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4301031443</v>
      </c>
      <c r="D219" s="621">
        <v>4680115887213</v>
      </c>
      <c r="E219" s="621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 t="shared" si="37"/>
        <v/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382</v>
      </c>
      <c r="B220" s="63" t="s">
        <v>383</v>
      </c>
      <c r="C220" s="36">
        <v>4301031205</v>
      </c>
      <c r="D220" s="621">
        <v>4680115881785</v>
      </c>
      <c r="E220" s="621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 t="shared" si="37"/>
        <v/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4301031499</v>
      </c>
      <c r="D221" s="621">
        <v>4680115888432</v>
      </c>
      <c r="E221" s="621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4301031427</v>
      </c>
      <c r="D222" s="621">
        <v>4680115888104</v>
      </c>
      <c r="E222" s="621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79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si="37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4301031399</v>
      </c>
      <c r="D223" s="621">
        <v>4680115886537</v>
      </c>
      <c r="E223" s="621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393</v>
      </c>
      <c r="B224" s="63" t="s">
        <v>394</v>
      </c>
      <c r="C224" s="36">
        <v>4301031279</v>
      </c>
      <c r="D224" s="621">
        <v>4680115887596</v>
      </c>
      <c r="E224" s="621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79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IFERROR(IF(Y224=0,"",ROUNDUP(Y224/H224,0)*0.00417),"")</f>
        <v/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37.5" hidden="1" customHeight="1" x14ac:dyDescent="0.25">
      <c r="A225" s="63" t="s">
        <v>396</v>
      </c>
      <c r="B225" s="63" t="s">
        <v>397</v>
      </c>
      <c r="C225" s="36">
        <v>4301031202</v>
      </c>
      <c r="D225" s="621">
        <v>4680115881679</v>
      </c>
      <c r="E225" s="621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79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4301031158</v>
      </c>
      <c r="D226" s="621">
        <v>4680115880191</v>
      </c>
      <c r="E226" s="621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78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400</v>
      </c>
      <c r="B227" s="63" t="s">
        <v>401</v>
      </c>
      <c r="C227" s="36">
        <v>4301031245</v>
      </c>
      <c r="D227" s="621">
        <v>4680115883963</v>
      </c>
      <c r="E227" s="621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7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23"/>
      <c r="R227" s="623"/>
      <c r="S227" s="623"/>
      <c r="T227" s="6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idden="1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0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0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</v>
      </c>
      <c r="AA228" s="67"/>
      <c r="AB228" s="67"/>
      <c r="AC228" s="67"/>
    </row>
    <row r="229" spans="1:68" hidden="1" x14ac:dyDescent="0.2">
      <c r="A229" s="628"/>
      <c r="B229" s="628"/>
      <c r="C229" s="628"/>
      <c r="D229" s="628"/>
      <c r="E229" s="628"/>
      <c r="F229" s="628"/>
      <c r="G229" s="628"/>
      <c r="H229" s="628"/>
      <c r="I229" s="628"/>
      <c r="J229" s="628"/>
      <c r="K229" s="628"/>
      <c r="L229" s="628"/>
      <c r="M229" s="628"/>
      <c r="N229" s="628"/>
      <c r="O229" s="629"/>
      <c r="P229" s="625" t="s">
        <v>40</v>
      </c>
      <c r="Q229" s="626"/>
      <c r="R229" s="626"/>
      <c r="S229" s="626"/>
      <c r="T229" s="626"/>
      <c r="U229" s="626"/>
      <c r="V229" s="627"/>
      <c r="W229" s="42" t="s">
        <v>0</v>
      </c>
      <c r="X229" s="43">
        <f>IFERROR(SUM(X214:X227),"0")</f>
        <v>0</v>
      </c>
      <c r="Y229" s="43">
        <f>IFERROR(SUM(Y214:Y227),"0")</f>
        <v>0</v>
      </c>
      <c r="Z229" s="42"/>
      <c r="AA229" s="67"/>
      <c r="AB229" s="67"/>
      <c r="AC229" s="67"/>
    </row>
    <row r="230" spans="1:68" ht="14.25" hidden="1" customHeight="1" x14ac:dyDescent="0.25">
      <c r="A230" s="620" t="s">
        <v>86</v>
      </c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6"/>
      <c r="AB230" s="66"/>
      <c r="AC230" s="80"/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78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78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78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78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IFERROR(X231/H231,"0")+IFERROR(X232/H232,"0")+IFERROR(X233/H233,"0")+IFERROR(X234/H234,"0")</f>
        <v>0</v>
      </c>
      <c r="Y235" s="43">
        <f>IFERROR(Y231/H231,"0")+IFERROR(Y232/H232,"0")+IFERROR(Y233/H233,"0")+IFERROR(Y234/H234,"0")</f>
        <v>0</v>
      </c>
      <c r="Z235" s="43">
        <f>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IFERROR(SUM(X231:X234),"0")</f>
        <v>0</v>
      </c>
      <c r="Y236" s="43">
        <f>IFERROR(SUM(Y231:Y234),"0")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20" t="s">
        <v>107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78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78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7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hidden="1" customHeight="1" x14ac:dyDescent="0.25">
      <c r="A248" s="620" t="s">
        <v>132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7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7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20" t="s">
        <v>167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7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50</v>
      </c>
      <c r="Y259" s="55">
        <f t="shared" ref="Y259:Y266" si="38">IFERROR(IF(X259="",0,CEILING((X259/$H259),1)*$H259),"")</f>
        <v>54</v>
      </c>
      <c r="Z259" s="41">
        <f>IFERROR(IF(Y259=0,"",ROUNDUP(Y259/H259,0)*0.00902),"")</f>
        <v>9.0200000000000002E-2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51.759259259259252</v>
      </c>
      <c r="BN259" s="78">
        <f t="shared" ref="BN259:BN266" si="40">IFERROR(Y259*I259/H259,"0")</f>
        <v>55.9</v>
      </c>
      <c r="BO259" s="78">
        <f t="shared" ref="BO259:BO266" si="41">IFERROR(1/J259*(X259/H259),"0")</f>
        <v>7.0145903479236812E-2</v>
      </c>
      <c r="BP259" s="78">
        <f t="shared" ref="BP259:BP266" si="42">IFERROR(1/J259*(Y259/H259),"0")</f>
        <v>7.575757575757576E-2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7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50</v>
      </c>
      <c r="Y260" s="55">
        <f t="shared" si="38"/>
        <v>54</v>
      </c>
      <c r="Z260" s="41">
        <f>IFERROR(IF(Y260=0,"",ROUNDUP(Y260/H260,0)*0.00902),"")</f>
        <v>9.0200000000000002E-2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51.759259259259252</v>
      </c>
      <c r="BN260" s="78">
        <f t="shared" si="40"/>
        <v>55.9</v>
      </c>
      <c r="BO260" s="78">
        <f t="shared" si="41"/>
        <v>7.0145903479236812E-2</v>
      </c>
      <c r="BP260" s="78">
        <f t="shared" si="42"/>
        <v>7.575757575757576E-2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7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50</v>
      </c>
      <c r="Y261" s="55">
        <f t="shared" si="38"/>
        <v>54</v>
      </c>
      <c r="Z261" s="41">
        <f>IFERROR(IF(Y261=0,"",ROUNDUP(Y261/H261,0)*0.00902),"")</f>
        <v>9.0200000000000002E-2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51.759259259259252</v>
      </c>
      <c r="BN261" s="78">
        <f t="shared" si="40"/>
        <v>55.9</v>
      </c>
      <c r="BO261" s="78">
        <f t="shared" si="41"/>
        <v>7.0145903479236812E-2</v>
      </c>
      <c r="BP261" s="78">
        <f t="shared" si="42"/>
        <v>7.575757575757576E-2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7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100</v>
      </c>
      <c r="Y262" s="55">
        <f t="shared" si="38"/>
        <v>102.60000000000001</v>
      </c>
      <c r="Z262" s="41">
        <f>IFERROR(IF(Y262=0,"",ROUNDUP(Y262/H262,0)*0.00902),"")</f>
        <v>0.17138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103.5185185185185</v>
      </c>
      <c r="BN262" s="78">
        <f t="shared" si="40"/>
        <v>106.21</v>
      </c>
      <c r="BO262" s="78">
        <f t="shared" si="41"/>
        <v>0.14029180695847362</v>
      </c>
      <c r="BP262" s="78">
        <f t="shared" si="42"/>
        <v>0.14393939393939395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8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0</v>
      </c>
      <c r="BN263" s="78">
        <f t="shared" si="40"/>
        <v>0</v>
      </c>
      <c r="BO263" s="78">
        <f t="shared" si="41"/>
        <v>0</v>
      </c>
      <c r="BP263" s="78">
        <f t="shared" si="42"/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8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0</v>
      </c>
      <c r="BN264" s="78">
        <f t="shared" si="40"/>
        <v>0</v>
      </c>
      <c r="BO264" s="78">
        <f t="shared" si="41"/>
        <v>0</v>
      </c>
      <c r="BP264" s="78">
        <f t="shared" si="42"/>
        <v>0</v>
      </c>
    </row>
    <row r="265" spans="1:68" ht="27" hidden="1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8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0</v>
      </c>
      <c r="BN265" s="78">
        <f t="shared" si="40"/>
        <v>0</v>
      </c>
      <c r="BO265" s="78">
        <f t="shared" si="41"/>
        <v>0</v>
      </c>
      <c r="BP265" s="78">
        <f t="shared" si="42"/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8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0</v>
      </c>
      <c r="BN266" s="78">
        <f t="shared" si="40"/>
        <v>0</v>
      </c>
      <c r="BO266" s="78">
        <f t="shared" si="41"/>
        <v>0</v>
      </c>
      <c r="BP266" s="78">
        <f t="shared" si="42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46.296296296296298</v>
      </c>
      <c r="Y267" s="43">
        <f>IFERROR(Y259/H259,"0")+IFERROR(Y260/H260,"0")+IFERROR(Y261/H261,"0")+IFERROR(Y262/H262,"0")+IFERROR(Y263/H263,"0")+IFERROR(Y264/H264,"0")+IFERROR(Y265/H265,"0")+IFERROR(Y266/H266,"0")</f>
        <v>49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0.44198000000000004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250</v>
      </c>
      <c r="Y268" s="43">
        <f>IFERROR(SUM(Y259:Y266),"0")</f>
        <v>264.60000000000002</v>
      </c>
      <c r="Z268" s="42"/>
      <c r="AA268" s="67"/>
      <c r="AB268" s="67"/>
      <c r="AC268" s="67"/>
    </row>
    <row r="269" spans="1:68" ht="14.25" hidden="1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76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50</v>
      </c>
      <c r="Y270" s="55">
        <f t="shared" ref="Y270:Y281" si="43">IFERROR(IF(X270="",0,CEILING((X270/$H270),1)*$H270),"")</f>
        <v>56.699999999999996</v>
      </c>
      <c r="Z270" s="41">
        <f>IFERROR(IF(Y270=0,"",ROUNDUP(Y270/H270,0)*0.01898),"")</f>
        <v>0.13286000000000001</v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53.049382716049386</v>
      </c>
      <c r="BN270" s="78">
        <f t="shared" ref="BN270:BN281" si="45">IFERROR(Y270*I270/H270,"0")</f>
        <v>60.157999999999994</v>
      </c>
      <c r="BO270" s="78">
        <f t="shared" ref="BO270:BO281" si="46">IFERROR(1/J270*(X270/H270),"0")</f>
        <v>9.6450617283950615E-2</v>
      </c>
      <c r="BP270" s="78">
        <f t="shared" ref="BP270:BP281" si="47">IFERROR(1/J270*(Y270/H270),"0")</f>
        <v>0.109375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76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30</v>
      </c>
      <c r="Y271" s="55">
        <f t="shared" si="43"/>
        <v>32.4</v>
      </c>
      <c r="Z271" s="41">
        <f>IFERROR(IF(Y271=0,"",ROUNDUP(Y271/H271,0)*0.01898),"")</f>
        <v>7.5920000000000001E-2</v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31.76296296296297</v>
      </c>
      <c r="BN271" s="78">
        <f t="shared" si="45"/>
        <v>34.304000000000002</v>
      </c>
      <c r="BO271" s="78">
        <f t="shared" si="46"/>
        <v>5.7870370370370371E-2</v>
      </c>
      <c r="BP271" s="78">
        <f t="shared" si="47"/>
        <v>6.25E-2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76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150</v>
      </c>
      <c r="Y272" s="55">
        <f t="shared" si="43"/>
        <v>156.6</v>
      </c>
      <c r="Z272" s="41">
        <f>IFERROR(IF(Y272=0,"",ROUNDUP(Y272/H272,0)*0.01898),"")</f>
        <v>0.34164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158.51724137931038</v>
      </c>
      <c r="BN272" s="78">
        <f t="shared" si="45"/>
        <v>165.49200000000002</v>
      </c>
      <c r="BO272" s="78">
        <f t="shared" si="46"/>
        <v>0.26939655172413796</v>
      </c>
      <c r="BP272" s="78">
        <f t="shared" si="47"/>
        <v>0.28125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150</v>
      </c>
      <c r="Y273" s="55">
        <f t="shared" si="43"/>
        <v>151.19999999999999</v>
      </c>
      <c r="Z273" s="41">
        <f>IFERROR(IF(Y273=0,"",ROUNDUP(Y273/H273,0)*0.00651),"")</f>
        <v>0.41012999999999999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166.875</v>
      </c>
      <c r="BN273" s="78">
        <f t="shared" si="45"/>
        <v>168.20999999999998</v>
      </c>
      <c r="BO273" s="78">
        <f t="shared" si="46"/>
        <v>0.34340659340659341</v>
      </c>
      <c r="BP273" s="78">
        <f t="shared" si="47"/>
        <v>0.3461538461538462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7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150</v>
      </c>
      <c r="Y276" s="55">
        <f t="shared" si="43"/>
        <v>151.19999999999999</v>
      </c>
      <c r="Z276" s="41">
        <f>IFERROR(IF(Y276=0,"",ROUNDUP(Y276/H276,0)*0.00651),"")</f>
        <v>0.41012999999999999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165.75</v>
      </c>
      <c r="BN276" s="78">
        <f t="shared" si="45"/>
        <v>167.07599999999999</v>
      </c>
      <c r="BO276" s="78">
        <f t="shared" si="46"/>
        <v>0.34340659340659341</v>
      </c>
      <c r="BP276" s="78">
        <f t="shared" si="47"/>
        <v>0.3461538461538462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7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5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150</v>
      </c>
      <c r="Y278" s="55">
        <f t="shared" si="43"/>
        <v>151.19999999999999</v>
      </c>
      <c r="Z278" s="41">
        <f>IFERROR(IF(Y278=0,"",ROUNDUP(Y278/H278,0)*0.00651),"")</f>
        <v>0.41012999999999999</v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165.75</v>
      </c>
      <c r="BN278" s="78">
        <f t="shared" si="45"/>
        <v>167.07599999999999</v>
      </c>
      <c r="BO278" s="78">
        <f t="shared" si="46"/>
        <v>0.34340659340659341</v>
      </c>
      <c r="BP278" s="78">
        <f t="shared" si="47"/>
        <v>0.3461538461538462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150</v>
      </c>
      <c r="Y280" s="55">
        <f t="shared" si="43"/>
        <v>151.19999999999999</v>
      </c>
      <c r="Z280" s="41">
        <f>IFERROR(IF(Y280=0,"",ROUNDUP(Y280/H280,0)*0.00651),"")</f>
        <v>0.41012999999999999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166.125</v>
      </c>
      <c r="BN280" s="78">
        <f t="shared" si="45"/>
        <v>167.45400000000001</v>
      </c>
      <c r="BO280" s="78">
        <f t="shared" si="46"/>
        <v>0.34340659340659341</v>
      </c>
      <c r="BP280" s="78">
        <f t="shared" si="47"/>
        <v>0.3461538461538462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277.11792252022138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281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2.1909400000000003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830</v>
      </c>
      <c r="Y283" s="43">
        <f>IFERROR(SUM(Y270:Y281),"0")</f>
        <v>850.5</v>
      </c>
      <c r="Z283" s="42"/>
      <c r="AA283" s="67"/>
      <c r="AB283" s="67"/>
      <c r="AC283" s="67"/>
    </row>
    <row r="284" spans="1:68" ht="14.25" hidden="1" customHeight="1" x14ac:dyDescent="0.25">
      <c r="A284" s="620" t="s">
        <v>184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hidden="1" customHeight="1" x14ac:dyDescent="0.25">
      <c r="A290" s="620" t="s">
        <v>132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8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0</v>
      </c>
      <c r="BN297" s="78">
        <f t="shared" si="50"/>
        <v>0</v>
      </c>
      <c r="BO297" s="78">
        <f t="shared" si="51"/>
        <v>0</v>
      </c>
      <c r="BP297" s="78">
        <f t="shared" si="52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20" t="s">
        <v>167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20" t="s">
        <v>335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hidden="1" customHeight="1" x14ac:dyDescent="0.25">
      <c r="A315" s="620" t="s">
        <v>132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hidden="1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hidden="1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hidden="1" customHeight="1" x14ac:dyDescent="0.25">
      <c r="A345" s="620" t="s">
        <v>132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hidden="1" customHeight="1" x14ac:dyDescent="0.25">
      <c r="A352" s="620" t="s">
        <v>132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53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0</v>
      </c>
      <c r="BN353" s="78">
        <f t="shared" ref="BN353:BN358" si="55">IFERROR(Y353*I353/H353,"0")</f>
        <v>0</v>
      </c>
      <c r="BO353" s="78">
        <f t="shared" ref="BO353:BO358" si="56">IFERROR(1/J353*(X353/H353),"0")</f>
        <v>0</v>
      </c>
      <c r="BP353" s="78">
        <f t="shared" ref="BP353:BP358" si="57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3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0</v>
      </c>
      <c r="BN354" s="78">
        <f t="shared" si="55"/>
        <v>0</v>
      </c>
      <c r="BO354" s="78">
        <f t="shared" si="56"/>
        <v>0</v>
      </c>
      <c r="BP354" s="78">
        <f t="shared" si="57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3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0</v>
      </c>
      <c r="BN355" s="78">
        <f t="shared" si="55"/>
        <v>0</v>
      </c>
      <c r="BO355" s="78">
        <f t="shared" si="56"/>
        <v>0</v>
      </c>
      <c r="BP355" s="78">
        <f t="shared" si="57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3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0</v>
      </c>
      <c r="BN357" s="78">
        <f t="shared" si="55"/>
        <v>0</v>
      </c>
      <c r="BO357" s="78">
        <f t="shared" si="56"/>
        <v>0</v>
      </c>
      <c r="BP357" s="78">
        <f t="shared" si="57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3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0</v>
      </c>
      <c r="BN358" s="78">
        <f t="shared" si="55"/>
        <v>0</v>
      </c>
      <c r="BO358" s="78">
        <f t="shared" si="56"/>
        <v>0</v>
      </c>
      <c r="BP358" s="78">
        <f t="shared" si="57"/>
        <v>0</v>
      </c>
    </row>
    <row r="359" spans="1:68" hidden="1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8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0</v>
      </c>
      <c r="BN362" s="78">
        <f t="shared" ref="BN362:BN368" si="60">IFERROR(Y362*I362/H362,"0")</f>
        <v>0</v>
      </c>
      <c r="BO362" s="78">
        <f t="shared" ref="BO362:BO368" si="61">IFERROR(1/J362*(X362/H362),"0")</f>
        <v>0</v>
      </c>
      <c r="BP362" s="78">
        <f t="shared" ref="BP362:BP368" si="62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idden="1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20" t="s">
        <v>184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hidden="1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150</v>
      </c>
      <c r="Y380" s="55">
        <f>IFERROR(IF(X380="",0,CEILING((X380/$H380),1)*$H380),"")</f>
        <v>156</v>
      </c>
      <c r="Z380" s="41">
        <f>IFERROR(IF(Y380=0,"",ROUNDUP(Y380/H380,0)*0.01898),"")</f>
        <v>0.37959999999999999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159.50000000000003</v>
      </c>
      <c r="BN380" s="78">
        <f>IFERROR(Y380*I380/H380,"0")</f>
        <v>165.88</v>
      </c>
      <c r="BO380" s="78">
        <f>IFERROR(1/J380*(X380/H380),"0")</f>
        <v>0.30048076923076922</v>
      </c>
      <c r="BP380" s="78">
        <f>IFERROR(1/J380*(Y380/H380),"0")</f>
        <v>0.3125</v>
      </c>
    </row>
    <row r="381" spans="1:68" ht="16.5" hidden="1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19.23076923076923</v>
      </c>
      <c r="Y382" s="43">
        <f>IFERROR(Y379/H379,"0")+IFERROR(Y380/H380,"0")+IFERROR(Y381/H381,"0")</f>
        <v>20</v>
      </c>
      <c r="Z382" s="43">
        <f>IFERROR(IF(Z379="",0,Z379),"0")+IFERROR(IF(Z380="",0,Z380),"0")+IFERROR(IF(Z381="",0,Z381),"0")</f>
        <v>0.37959999999999999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150</v>
      </c>
      <c r="Y383" s="43">
        <f>IFERROR(SUM(Y379:Y381),"0")</f>
        <v>156</v>
      </c>
      <c r="Z383" s="42"/>
      <c r="AA383" s="67"/>
      <c r="AB383" s="67"/>
      <c r="AC383" s="67"/>
    </row>
    <row r="384" spans="1:68" ht="14.25" hidden="1" customHeight="1" x14ac:dyDescent="0.25">
      <c r="A384" s="620" t="s">
        <v>107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hidden="1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50</v>
      </c>
      <c r="Y400" s="55">
        <f>IFERROR(IF(X400="",0,CEILING((X400/$H400),1)*$H400),"")</f>
        <v>50.400000000000006</v>
      </c>
      <c r="Z400" s="41">
        <f>IFERROR(IF(Y400=0,"",ROUNDUP(Y400/H400,0)*0.00651),"")</f>
        <v>0.15623999999999999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55.999999999999993</v>
      </c>
      <c r="BN400" s="78">
        <f>IFERROR(Y400*I400/H400,"0")</f>
        <v>56.448</v>
      </c>
      <c r="BO400" s="78">
        <f>IFERROR(1/J400*(X400/H400),"0")</f>
        <v>0.13082155939298798</v>
      </c>
      <c r="BP400" s="78">
        <f>IFERROR(1/J400*(Y400/H400),"0")</f>
        <v>0.13186813186813187</v>
      </c>
    </row>
    <row r="401" spans="1:68" ht="27" hidden="1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23.80952380952381</v>
      </c>
      <c r="Y402" s="43">
        <f>IFERROR(Y399/H399,"0")+IFERROR(Y400/H400,"0")+IFERROR(Y401/H401,"0")</f>
        <v>24</v>
      </c>
      <c r="Z402" s="43">
        <f>IFERROR(IF(Z399="",0,Z399),"0")+IFERROR(IF(Z400="",0,Z400),"0")+IFERROR(IF(Z401="",0,Z401),"0")</f>
        <v>0.15623999999999999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50</v>
      </c>
      <c r="Y403" s="43">
        <f>IFERROR(SUM(Y399:Y401),"0")</f>
        <v>50.400000000000006</v>
      </c>
      <c r="Z403" s="42"/>
      <c r="AA403" s="67"/>
      <c r="AB403" s="67"/>
      <c r="AC403" s="67"/>
    </row>
    <row r="404" spans="1:68" ht="27.75" hidden="1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hidden="1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hidden="1" customHeight="1" x14ac:dyDescent="0.25">
      <c r="A406" s="620" t="s">
        <v>132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hidden="1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63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0</v>
      </c>
      <c r="BN407" s="78">
        <f t="shared" ref="BN407:BN414" si="65">IFERROR(Y407*I407/H407,"0")</f>
        <v>0</v>
      </c>
      <c r="BO407" s="78">
        <f t="shared" ref="BO407:BO414" si="66">IFERROR(1/J407*(X407/H407),"0")</f>
        <v>0</v>
      </c>
      <c r="BP407" s="78">
        <f t="shared" ref="BP407:BP414" si="67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1000</v>
      </c>
      <c r="Y408" s="55">
        <f t="shared" si="63"/>
        <v>1005</v>
      </c>
      <c r="Z408" s="41">
        <f>IFERROR(IF(Y408=0,"",ROUNDUP(Y408/H408,0)*0.02175),"")</f>
        <v>1.4572499999999999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1031.3333333333333</v>
      </c>
      <c r="BN408" s="78">
        <f t="shared" si="65"/>
        <v>1036.49</v>
      </c>
      <c r="BO408" s="78">
        <f t="shared" si="66"/>
        <v>1.3888888888888888</v>
      </c>
      <c r="BP408" s="78">
        <f t="shared" si="67"/>
        <v>1.3958333333333333</v>
      </c>
    </row>
    <row r="409" spans="1:68" ht="27" hidden="1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63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0</v>
      </c>
      <c r="BN409" s="78">
        <f t="shared" si="65"/>
        <v>0</v>
      </c>
      <c r="BO409" s="78">
        <f t="shared" si="66"/>
        <v>0</v>
      </c>
      <c r="BP409" s="78">
        <f t="shared" si="67"/>
        <v>0</v>
      </c>
    </row>
    <row r="410" spans="1:68" ht="27" hidden="1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63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0</v>
      </c>
      <c r="BN410" s="78">
        <f t="shared" si="65"/>
        <v>0</v>
      </c>
      <c r="BO410" s="78">
        <f t="shared" si="66"/>
        <v>0</v>
      </c>
      <c r="BP410" s="78">
        <f t="shared" si="67"/>
        <v>0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63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0</v>
      </c>
      <c r="BN411" s="78">
        <f t="shared" si="65"/>
        <v>0</v>
      </c>
      <c r="BO411" s="78">
        <f t="shared" si="66"/>
        <v>0</v>
      </c>
      <c r="BP411" s="78">
        <f t="shared" si="67"/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63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0</v>
      </c>
      <c r="BN414" s="78">
        <f t="shared" si="65"/>
        <v>0</v>
      </c>
      <c r="BO414" s="78">
        <f t="shared" si="66"/>
        <v>0</v>
      </c>
      <c r="BP414" s="78">
        <f t="shared" si="67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66.666666666666671</v>
      </c>
      <c r="Y415" s="43">
        <f>IFERROR(Y407/H407,"0")+IFERROR(Y408/H408,"0")+IFERROR(Y409/H409,"0")+IFERROR(Y410/H410,"0")+IFERROR(Y411/H411,"0")+IFERROR(Y412/H412,"0")+IFERROR(Y413/H413,"0")+IFERROR(Y414/H414,"0")</f>
        <v>67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1.4572499999999999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1000</v>
      </c>
      <c r="Y416" s="43">
        <f>IFERROR(SUM(Y407:Y414),"0")</f>
        <v>1005</v>
      </c>
      <c r="Z416" s="42"/>
      <c r="AA416" s="67"/>
      <c r="AB416" s="67"/>
      <c r="AC416" s="67"/>
    </row>
    <row r="417" spans="1:68" ht="14.25" hidden="1" customHeight="1" x14ac:dyDescent="0.25">
      <c r="A417" s="620" t="s">
        <v>167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14.25" hidden="1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20" t="s">
        <v>184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100</v>
      </c>
      <c r="Y429" s="55">
        <f>IFERROR(IF(X429="",0,CEILING((X429/$H429),1)*$H429),"")</f>
        <v>108</v>
      </c>
      <c r="Z429" s="41">
        <f>IFERROR(IF(Y429=0,"",ROUNDUP(Y429/H429,0)*0.01898),"")</f>
        <v>0.22776000000000002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105.48888888888888</v>
      </c>
      <c r="BN429" s="78">
        <f>IFERROR(Y429*I429/H429,"0")</f>
        <v>113.92799999999998</v>
      </c>
      <c r="BO429" s="78">
        <f>IFERROR(1/J429*(X429/H429),"0")</f>
        <v>0.1736111111111111</v>
      </c>
      <c r="BP429" s="78">
        <f>IFERROR(1/J429*(Y429/H429),"0")</f>
        <v>0.1875</v>
      </c>
    </row>
    <row r="430" spans="1:68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11.111111111111111</v>
      </c>
      <c r="Y430" s="43">
        <f>IFERROR(Y429/H429,"0")</f>
        <v>12</v>
      </c>
      <c r="Z430" s="43">
        <f>IFERROR(IF(Z429="",0,Z429),"0")</f>
        <v>0.22776000000000002</v>
      </c>
      <c r="AA430" s="67"/>
      <c r="AB430" s="67"/>
      <c r="AC430" s="67"/>
    </row>
    <row r="431" spans="1:68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100</v>
      </c>
      <c r="Y431" s="43">
        <f>IFERROR(SUM(Y429:Y429),"0")</f>
        <v>108</v>
      </c>
      <c r="Z431" s="42"/>
      <c r="AA431" s="67"/>
      <c r="AB431" s="67"/>
      <c r="AC431" s="67"/>
    </row>
    <row r="432" spans="1:68" ht="16.5" hidden="1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hidden="1" customHeight="1" x14ac:dyDescent="0.25">
      <c r="A433" s="620" t="s">
        <v>132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850</v>
      </c>
      <c r="Y443" s="55">
        <f>IFERROR(IF(X443="",0,CEILING((X443/$H443),1)*$H443),"")</f>
        <v>855</v>
      </c>
      <c r="Z443" s="41">
        <f>IFERROR(IF(Y443=0,"",ROUNDUP(Y443/H443,0)*0.01898),"")</f>
        <v>1.8030999999999999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896.65555555555557</v>
      </c>
      <c r="BN443" s="78">
        <f>IFERROR(Y443*I443/H443,"0")</f>
        <v>901.93</v>
      </c>
      <c r="BO443" s="78">
        <f>IFERROR(1/J443*(X443/H443),"0")</f>
        <v>1.4756944444444444</v>
      </c>
      <c r="BP443" s="78">
        <f>IFERROR(1/J443*(Y443/H443),"0")</f>
        <v>1.484375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150</v>
      </c>
      <c r="Y445" s="55">
        <f>IFERROR(IF(X445="",0,CEILING((X445/$H445),1)*$H445),"")</f>
        <v>151.19999999999999</v>
      </c>
      <c r="Z445" s="41">
        <f>IFERROR(IF(Y445=0,"",ROUNDUP(Y445/H445,0)*0.00651),"")</f>
        <v>0.41012999999999999</v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166.50000000000003</v>
      </c>
      <c r="BN445" s="78">
        <f>IFERROR(Y445*I445/H445,"0")</f>
        <v>167.83200000000002</v>
      </c>
      <c r="BO445" s="78">
        <f>IFERROR(1/J445*(X445/H445),"0")</f>
        <v>0.34340659340659341</v>
      </c>
      <c r="BP445" s="78">
        <f>IFERROR(1/J445*(Y445/H445),"0")</f>
        <v>0.3461538461538462</v>
      </c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156.94444444444446</v>
      </c>
      <c r="Y446" s="43">
        <f>IFERROR(Y443/H443,"0")+IFERROR(Y444/H444,"0")+IFERROR(Y445/H445,"0")</f>
        <v>158</v>
      </c>
      <c r="Z446" s="43">
        <f>IFERROR(IF(Z443="",0,Z443),"0")+IFERROR(IF(Z444="",0,Z444),"0")+IFERROR(IF(Z445="",0,Z445),"0")</f>
        <v>2.2132299999999998</v>
      </c>
      <c r="AA446" s="67"/>
      <c r="AB446" s="67"/>
      <c r="AC446" s="67"/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1000</v>
      </c>
      <c r="Y447" s="43">
        <f>IFERROR(SUM(Y443:Y445),"0")</f>
        <v>1006.2</v>
      </c>
      <c r="Z447" s="42"/>
      <c r="AA447" s="67"/>
      <c r="AB447" s="67"/>
      <c r="AC447" s="67"/>
    </row>
    <row r="448" spans="1:68" ht="27.75" hidden="1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hidden="1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hidden="1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8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0</v>
      </c>
      <c r="BN451" s="78">
        <f t="shared" ref="BN451:BN456" si="70">IFERROR(Y451*I451/H451,"0")</f>
        <v>0</v>
      </c>
      <c r="BO451" s="78">
        <f t="shared" ref="BO451:BO456" si="71">IFERROR(1/J451*(X451/H451),"0")</f>
        <v>0</v>
      </c>
      <c r="BP451" s="78">
        <f t="shared" ref="BP451:BP456" si="72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8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0</v>
      </c>
      <c r="BN452" s="78">
        <f t="shared" si="70"/>
        <v>0</v>
      </c>
      <c r="BO452" s="78">
        <f t="shared" si="71"/>
        <v>0</v>
      </c>
      <c r="BP452" s="78">
        <f t="shared" si="72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8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0</v>
      </c>
      <c r="BN453" s="78">
        <f t="shared" si="70"/>
        <v>0</v>
      </c>
      <c r="BO453" s="78">
        <f t="shared" si="71"/>
        <v>0</v>
      </c>
      <c r="BP453" s="78">
        <f t="shared" si="72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8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0</v>
      </c>
      <c r="BN455" s="78">
        <f t="shared" si="70"/>
        <v>0</v>
      </c>
      <c r="BO455" s="78">
        <f t="shared" si="71"/>
        <v>0</v>
      </c>
      <c r="BP455" s="78">
        <f t="shared" si="72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8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0</v>
      </c>
      <c r="BN456" s="78">
        <f t="shared" si="70"/>
        <v>0</v>
      </c>
      <c r="BO456" s="78">
        <f t="shared" si="71"/>
        <v>0</v>
      </c>
      <c r="BP456" s="78">
        <f t="shared" si="72"/>
        <v>0</v>
      </c>
    </row>
    <row r="457" spans="1:68" hidden="1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hidden="1" customHeight="1" x14ac:dyDescent="0.25">
      <c r="A465" s="620" t="s">
        <v>167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hidden="1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hidden="1" customHeight="1" x14ac:dyDescent="0.25">
      <c r="A477" s="620" t="s">
        <v>132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hidden="1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73">IFERROR(IF(X478="",0,CEILING((X478/$H478),1)*$H478),"")</f>
        <v>0</v>
      </c>
      <c r="Z478" s="41" t="str">
        <f t="shared" ref="Z478:Z483" si="74">IFERROR(IF(Y478=0,"",ROUNDUP(Y478/H478,0)*0.01196),"")</f>
        <v/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0</v>
      </c>
      <c r="BN478" s="78">
        <f t="shared" ref="BN478:BN486" si="76">IFERROR(Y478*I478/H478,"0")</f>
        <v>0</v>
      </c>
      <c r="BO478" s="78">
        <f t="shared" ref="BO478:BO486" si="77">IFERROR(1/J478*(X478/H478),"0")</f>
        <v>0</v>
      </c>
      <c r="BP478" s="78">
        <f t="shared" ref="BP478:BP486" si="78">IFERROR(1/J478*(Y478/H478),"0")</f>
        <v>0</v>
      </c>
    </row>
    <row r="479" spans="1:68" ht="27" hidden="1" customHeight="1" x14ac:dyDescent="0.25">
      <c r="A479" s="63" t="s">
        <v>765</v>
      </c>
      <c r="B479" s="63" t="s">
        <v>766</v>
      </c>
      <c r="C479" s="36">
        <v>4301012210</v>
      </c>
      <c r="D479" s="621">
        <v>4607091383522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65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 t="shared" si="74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0</v>
      </c>
      <c r="BN479" s="78">
        <f t="shared" si="76"/>
        <v>0</v>
      </c>
      <c r="BO479" s="78">
        <f t="shared" si="77"/>
        <v>0</v>
      </c>
      <c r="BP479" s="78">
        <f t="shared" si="78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 t="shared" si="74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0</v>
      </c>
      <c r="BN480" s="78">
        <f t="shared" si="76"/>
        <v>0</v>
      </c>
      <c r="BO480" s="78">
        <f t="shared" si="77"/>
        <v>0</v>
      </c>
      <c r="BP480" s="78">
        <f t="shared" si="78"/>
        <v>0</v>
      </c>
    </row>
    <row r="481" spans="1:68" ht="27" hidden="1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 t="shared" si="74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0</v>
      </c>
      <c r="BN481" s="78">
        <f t="shared" si="76"/>
        <v>0</v>
      </c>
      <c r="BO481" s="78">
        <f t="shared" si="77"/>
        <v>0</v>
      </c>
      <c r="BP481" s="78">
        <f t="shared" si="78"/>
        <v>0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700</v>
      </c>
      <c r="Y483" s="55">
        <f t="shared" si="73"/>
        <v>702.24</v>
      </c>
      <c r="Z483" s="41">
        <f t="shared" si="74"/>
        <v>1.5906800000000001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746.40151515151513</v>
      </c>
      <c r="BN483" s="78">
        <f t="shared" si="76"/>
        <v>748.79</v>
      </c>
      <c r="BO483" s="78">
        <f t="shared" si="77"/>
        <v>1.2747668997668997</v>
      </c>
      <c r="BP483" s="78">
        <f t="shared" si="78"/>
        <v>1.278846153846154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hidden="1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3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0</v>
      </c>
      <c r="BN485" s="78">
        <f t="shared" si="76"/>
        <v>0</v>
      </c>
      <c r="BO485" s="78">
        <f t="shared" si="77"/>
        <v>0</v>
      </c>
      <c r="BP485" s="78">
        <f t="shared" si="78"/>
        <v>0</v>
      </c>
    </row>
    <row r="486" spans="1:68" ht="27" hidden="1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3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0</v>
      </c>
      <c r="BN486" s="78">
        <f t="shared" si="76"/>
        <v>0</v>
      </c>
      <c r="BO486" s="78">
        <f t="shared" si="77"/>
        <v>0</v>
      </c>
      <c r="BP486" s="78">
        <f t="shared" si="78"/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132.57575757575756</v>
      </c>
      <c r="Y487" s="43">
        <f>IFERROR(Y478/H478,"0")+IFERROR(Y479/H479,"0")+IFERROR(Y480/H480,"0")+IFERROR(Y481/H481,"0")+IFERROR(Y482/H482,"0")+IFERROR(Y483/H483,"0")+IFERROR(Y484/H484,"0")+IFERROR(Y485/H485,"0")+IFERROR(Y486/H486,"0")</f>
        <v>133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1.5906800000000001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700</v>
      </c>
      <c r="Y488" s="43">
        <f>IFERROR(SUM(Y478:Y486),"0")</f>
        <v>702.24</v>
      </c>
      <c r="Z488" s="42"/>
      <c r="AA488" s="67"/>
      <c r="AB488" s="67"/>
      <c r="AC488" s="67"/>
    </row>
    <row r="489" spans="1:68" ht="14.25" hidden="1" customHeight="1" x14ac:dyDescent="0.25">
      <c r="A489" s="620" t="s">
        <v>167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hidden="1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150</v>
      </c>
      <c r="Y496" s="55">
        <f t="shared" ref="Y496:Y502" si="79">IFERROR(IF(X496="",0,CEILING((X496/$H496),1)*$H496),"")</f>
        <v>153.12</v>
      </c>
      <c r="Z496" s="41">
        <f>IFERROR(IF(Y496=0,"",ROUNDUP(Y496/H496,0)*0.01196),"")</f>
        <v>0.34683999999999998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159.94318181818181</v>
      </c>
      <c r="BN496" s="78">
        <f t="shared" ref="BN496:BN502" si="81">IFERROR(Y496*I496/H496,"0")</f>
        <v>163.26999999999998</v>
      </c>
      <c r="BO496" s="78">
        <f t="shared" ref="BO496:BO502" si="82">IFERROR(1/J496*(X496/H496),"0")</f>
        <v>0.27316433566433568</v>
      </c>
      <c r="BP496" s="78">
        <f t="shared" ref="BP496:BP502" si="83">IFERROR(1/J496*(Y496/H496),"0")</f>
        <v>0.27884615384615385</v>
      </c>
    </row>
    <row r="497" spans="1:68" ht="27" hidden="1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9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0</v>
      </c>
      <c r="BN497" s="78">
        <f t="shared" si="81"/>
        <v>0</v>
      </c>
      <c r="BO497" s="78">
        <f t="shared" si="82"/>
        <v>0</v>
      </c>
      <c r="BP497" s="78">
        <f t="shared" si="83"/>
        <v>0</v>
      </c>
    </row>
    <row r="498" spans="1:68" ht="27" hidden="1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9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0</v>
      </c>
      <c r="BN498" s="78">
        <f t="shared" si="81"/>
        <v>0</v>
      </c>
      <c r="BO498" s="78">
        <f t="shared" si="82"/>
        <v>0</v>
      </c>
      <c r="BP498" s="78">
        <f t="shared" si="83"/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9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0</v>
      </c>
      <c r="BN499" s="78">
        <f t="shared" si="81"/>
        <v>0</v>
      </c>
      <c r="BO499" s="78">
        <f t="shared" si="82"/>
        <v>0</v>
      </c>
      <c r="BP499" s="78">
        <f t="shared" si="83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9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9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28.409090909090907</v>
      </c>
      <c r="Y503" s="43">
        <f>IFERROR(Y496/H496,"0")+IFERROR(Y497/H497,"0")+IFERROR(Y498/H498,"0")+IFERROR(Y499/H499,"0")+IFERROR(Y500/H500,"0")+IFERROR(Y501/H501,"0")+IFERROR(Y502/H502,"0")</f>
        <v>29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0.34683999999999998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150</v>
      </c>
      <c r="Y504" s="43">
        <f>IFERROR(SUM(Y496:Y502),"0")</f>
        <v>153.12</v>
      </c>
      <c r="Z504" s="42"/>
      <c r="AA504" s="67"/>
      <c r="AB504" s="67"/>
      <c r="AC504" s="67"/>
    </row>
    <row r="505" spans="1:68" ht="27.75" hidden="1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hidden="1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hidden="1" customHeight="1" x14ac:dyDescent="0.25">
      <c r="A507" s="620" t="s">
        <v>132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20" t="s">
        <v>167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150</v>
      </c>
      <c r="Y521" s="55">
        <f>IFERROR(IF(X521="",0,CEILING((X521/$H521),1)*$H521),"")</f>
        <v>153</v>
      </c>
      <c r="Z521" s="41">
        <f>IFERROR(IF(Y521=0,"",ROUNDUP(Y521/H521,0)*0.01898),"")</f>
        <v>0.32266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158.23333333333332</v>
      </c>
      <c r="BN521" s="78">
        <f>IFERROR(Y521*I521/H521,"0")</f>
        <v>161.398</v>
      </c>
      <c r="BO521" s="78">
        <f>IFERROR(1/J521*(X521/H521),"0")</f>
        <v>0.26041666666666669</v>
      </c>
      <c r="BP521" s="78">
        <f>IFERROR(1/J521*(Y521/H521),"0")</f>
        <v>0.265625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16.666666666666668</v>
      </c>
      <c r="Y522" s="43">
        <f>IFERROR(Y521/H521,"0")</f>
        <v>17</v>
      </c>
      <c r="Z522" s="43">
        <f>IFERROR(IF(Z521="",0,Z521),"0")</f>
        <v>0.32266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150</v>
      </c>
      <c r="Y523" s="43">
        <f>IFERROR(SUM(Y521:Y521),"0")</f>
        <v>153</v>
      </c>
      <c r="Z523" s="42"/>
      <c r="AA523" s="67"/>
      <c r="AB523" s="67"/>
      <c r="AC523" s="67"/>
    </row>
    <row r="524" spans="1:68" ht="14.25" hidden="1" customHeight="1" x14ac:dyDescent="0.25">
      <c r="A524" s="620" t="s">
        <v>184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hidden="1" customHeight="1" x14ac:dyDescent="0.25">
      <c r="A530" s="620" t="s">
        <v>167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6050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6168.23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6393.3393974639666</v>
      </c>
      <c r="Y535" s="43">
        <f>IFERROR(SUM(BN22:BN531),"0")</f>
        <v>6517.786000000001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11</v>
      </c>
      <c r="Y536" s="44">
        <f>ROUNDUP(SUM(BP22:BP531),0)</f>
        <v>11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6668.3393974639666</v>
      </c>
      <c r="Y537" s="43">
        <f>GrossWeightTotalR+PalletQtyTotalR*25</f>
        <v>6792.786000000001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989.5863260302915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1007</v>
      </c>
      <c r="Z538" s="42"/>
      <c r="AA538" s="67"/>
      <c r="AB538" s="67"/>
      <c r="AC538" s="67"/>
    </row>
    <row r="539" spans="1:68" ht="14.25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12.728240000000001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130</v>
      </c>
      <c r="E541" s="616" t="s">
        <v>130</v>
      </c>
      <c r="F541" s="616" t="s">
        <v>130</v>
      </c>
      <c r="G541" s="616" t="s">
        <v>130</v>
      </c>
      <c r="H541" s="616" t="s">
        <v>130</v>
      </c>
      <c r="I541" s="616" t="s">
        <v>130</v>
      </c>
      <c r="J541" s="616" t="s">
        <v>130</v>
      </c>
      <c r="K541" s="616" t="s">
        <v>339</v>
      </c>
      <c r="L541" s="616" t="s">
        <v>339</v>
      </c>
      <c r="M541" s="616" t="s">
        <v>339</v>
      </c>
      <c r="N541" s="617"/>
      <c r="O541" s="616" t="s">
        <v>339</v>
      </c>
      <c r="P541" s="616" t="s">
        <v>339</v>
      </c>
      <c r="Q541" s="616" t="s">
        <v>339</v>
      </c>
      <c r="R541" s="616" t="s">
        <v>339</v>
      </c>
      <c r="S541" s="616" t="s">
        <v>339</v>
      </c>
      <c r="T541" s="616" t="s">
        <v>339</v>
      </c>
      <c r="U541" s="616" t="s">
        <v>339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113</v>
      </c>
      <c r="D542" s="616" t="s">
        <v>131</v>
      </c>
      <c r="E542" s="616" t="s">
        <v>147</v>
      </c>
      <c r="F542" s="616" t="s">
        <v>191</v>
      </c>
      <c r="G542" s="616" t="s">
        <v>212</v>
      </c>
      <c r="H542" s="616" t="s">
        <v>256</v>
      </c>
      <c r="I542" s="616" t="s">
        <v>268</v>
      </c>
      <c r="J542" s="616" t="s">
        <v>130</v>
      </c>
      <c r="K542" s="616" t="s">
        <v>340</v>
      </c>
      <c r="L542" s="616" t="s">
        <v>361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0</v>
      </c>
      <c r="C544" s="52">
        <f>IFERROR(Y42*1,"0")+IFERROR(Y43*1,"0")+IFERROR(Y44*1,"0")+IFERROR(Y45*1,"0")+IFERROR(Y46*1,"0")</f>
        <v>0</v>
      </c>
      <c r="D544" s="52">
        <f>IFERROR(Y52*1,"0")+IFERROR(Y53*1,"0")+IFERROR(Y54*1,"0")+IFERROR(Y55*1,"0")</f>
        <v>302.40000000000003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162</v>
      </c>
      <c r="F544" s="52">
        <f>IFERROR(Y88*1,"0")+IFERROR(Y89*1,"0")+IFERROR(Y90*1,"0")+IFERROR(Y91*1,"0")+IFERROR(Y95*1,"0")+IFERROR(Y96*1,"0")+IFERROR(Y97*1,"0")+IFERROR(Y98*1,"0")</f>
        <v>364.50000000000006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765.45</v>
      </c>
      <c r="H544" s="52">
        <f>IFERROR(Y135*1,"0")+IFERROR(Y136*1,"0")+IFERROR(Y140*1,"0")+IFERROR(Y141*1,"0")+IFERROR(Y145*1,"0")+IFERROR(Y146*1,"0")</f>
        <v>72.320000000000007</v>
      </c>
      <c r="I544" s="52">
        <f>IFERROR(Y151*1,"0")+IFERROR(Y152*1,"0")+IFERROR(Y153*1,"0")+IFERROR(Y154*1,"0")</f>
        <v>0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52.5</v>
      </c>
      <c r="K544" s="52">
        <f>IFERROR(Y199*1,"0")+IFERROR(Y200*1,"0")+IFERROR(Y201*1,"0")+IFERROR(Y202*1,"0")+IFERROR(Y203*1,"0")+IFERROR(Y204*1,"0")+IFERROR(Y205*1,"0")</f>
        <v>0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1115.1000000000001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156</v>
      </c>
      <c r="U544" s="52">
        <f>IFERROR(Y399*1,"0")+IFERROR(Y400*1,"0")+IFERROR(Y401*1,"0")</f>
        <v>50.400000000000006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1113</v>
      </c>
      <c r="W544" s="52">
        <f>IFERROR(Y434*1,"0")+IFERROR(Y435*1,"0")+IFERROR(Y439*1,"0")+IFERROR(Y443*1,"0")+IFERROR(Y444*1,"0")+IFERROR(Y445*1,"0")</f>
        <v>1006.2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855.36</v>
      </c>
      <c r="AA544" s="52">
        <f>IFERROR(Y508*1,"0")+IFERROR(Y512*1,"0")+IFERROR(Y516*1,"0")+IFERROR(Y517*1,"0")+IFERROR(Y521*1,"0")+IFERROR(Y525*1,"0")+IFERROR(Y526*1,"0")</f>
        <v>153</v>
      </c>
      <c r="AB544" s="52">
        <f>IFERROR(Y531*1,"0")</f>
        <v>0</v>
      </c>
      <c r="AC544" s="60"/>
      <c r="AF544" s="1"/>
    </row>
  </sheetData>
  <sheetProtection algorithmName="SHA-512" hashValue="++rH9Sf8DJ2N5tHEVwpARJtc6LViCrWrJC2NYvWZAX0yTwDhZ002YmW9ilC9XNjouj/y6A79x9c3M308aUXPbg==" saltValue="Y8lUpQ3rT+IkQUK6uh9Ft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00,00"/>
        <filter val="11"/>
        <filter val="11,11"/>
        <filter val="12,35"/>
        <filter val="132,58"/>
        <filter val="14,29"/>
        <filter val="15,63"/>
        <filter val="150,00"/>
        <filter val="156,94"/>
        <filter val="16,67"/>
        <filter val="19,23"/>
        <filter val="20,00"/>
        <filter val="23,15"/>
        <filter val="23,81"/>
        <filter val="250,00"/>
        <filter val="27,78"/>
        <filter val="277,12"/>
        <filter val="28,41"/>
        <filter val="30,00"/>
        <filter val="300,00"/>
        <filter val="37,04"/>
        <filter val="4,63"/>
        <filter val="400,00"/>
        <filter val="46,30"/>
        <filter val="50,00"/>
        <filter val="54,44"/>
        <filter val="6 050,00"/>
        <filter val="6 393,34"/>
        <filter val="6 668,34"/>
        <filter val="66,67"/>
        <filter val="7,58"/>
        <filter val="700,00"/>
        <filter val="830,00"/>
        <filter val="850,00"/>
        <filter val="9,26"/>
        <filter val="989,59"/>
      </filters>
    </filterColumn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Uq6LhkQGLBgXPHS+McNSe3QshXyncuw12J3hz7Fp2GynJhdanXABJtJjgpISPrYdSTvo6rIOPlTbfPGI3aVl+w==" saltValue="Rt7cmqg/iXeiZckmAX+6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2026-07-10T10:28:51Z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