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BC088A6-F5DF-4FBF-B604-0F4E69E03A1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Y514" i="2" s="1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Y462" i="2" s="1"/>
  <c r="P461" i="2"/>
  <c r="BO460" i="2"/>
  <c r="BM460" i="2"/>
  <c r="Y460" i="2"/>
  <c r="BN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Z429" i="2" s="1"/>
  <c r="Z430" i="2" s="1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Z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Z412" i="2" s="1"/>
  <c r="P412" i="2"/>
  <c r="BO411" i="2"/>
  <c r="BM411" i="2"/>
  <c r="Z411" i="2"/>
  <c r="Y411" i="2"/>
  <c r="BN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P408" i="2"/>
  <c r="BO408" i="2"/>
  <c r="BM408" i="2"/>
  <c r="Y408" i="2"/>
  <c r="Z408" i="2" s="1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N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Z325" i="2"/>
  <c r="Y325" i="2"/>
  <c r="BN325" i="2" s="1"/>
  <c r="P325" i="2"/>
  <c r="X322" i="2"/>
  <c r="X321" i="2"/>
  <c r="BO320" i="2"/>
  <c r="BN320" i="2"/>
  <c r="BM320" i="2"/>
  <c r="Z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BN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P277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N262" i="2" s="1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Z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Z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Z202" i="2"/>
  <c r="Y202" i="2"/>
  <c r="BN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P152" i="2"/>
  <c r="BO152" i="2"/>
  <c r="BN152" i="2"/>
  <c r="BM152" i="2"/>
  <c r="Z152" i="2"/>
  <c r="Y152" i="2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X130" i="2"/>
  <c r="BO129" i="2"/>
  <c r="BM129" i="2"/>
  <c r="Y129" i="2"/>
  <c r="Y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Z117" i="2"/>
  <c r="Y117" i="2"/>
  <c r="BN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Z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N53" i="2" s="1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N42" i="2" l="1"/>
  <c r="BN73" i="2"/>
  <c r="BN113" i="2"/>
  <c r="BN170" i="2"/>
  <c r="BN225" i="2"/>
  <c r="BP281" i="2"/>
  <c r="BN407" i="2"/>
  <c r="BN454" i="2"/>
  <c r="BN65" i="2"/>
  <c r="BP117" i="2"/>
  <c r="BN176" i="2"/>
  <c r="BP199" i="2"/>
  <c r="Z221" i="2"/>
  <c r="Z275" i="2"/>
  <c r="Z281" i="2"/>
  <c r="Z309" i="2"/>
  <c r="BN310" i="2"/>
  <c r="BP317" i="2"/>
  <c r="Z354" i="2"/>
  <c r="BN357" i="2"/>
  <c r="Z365" i="2"/>
  <c r="BN400" i="2"/>
  <c r="BP411" i="2"/>
  <c r="BN445" i="2"/>
  <c r="Z516" i="2"/>
  <c r="BN346" i="2"/>
  <c r="Y350" i="2"/>
  <c r="BP294" i="2"/>
  <c r="Z297" i="2"/>
  <c r="Y131" i="2"/>
  <c r="BP129" i="2"/>
  <c r="Z129" i="2"/>
  <c r="Z130" i="2" s="1"/>
  <c r="Z262" i="2"/>
  <c r="BP262" i="2"/>
  <c r="Y396" i="2"/>
  <c r="Z219" i="2"/>
  <c r="Y383" i="2"/>
  <c r="BP418" i="2"/>
  <c r="BP517" i="2"/>
  <c r="Z512" i="2"/>
  <c r="Z513" i="2" s="1"/>
  <c r="BN499" i="2"/>
  <c r="BN497" i="2"/>
  <c r="BN482" i="2"/>
  <c r="Y463" i="2"/>
  <c r="Z460" i="2"/>
  <c r="BP460" i="2"/>
  <c r="BN452" i="2"/>
  <c r="Y446" i="2"/>
  <c r="Y430" i="2"/>
  <c r="BN429" i="2"/>
  <c r="BP413" i="2"/>
  <c r="Z413" i="2"/>
  <c r="Z409" i="2"/>
  <c r="Z407" i="2"/>
  <c r="BP399" i="2"/>
  <c r="Z399" i="2"/>
  <c r="BN394" i="2"/>
  <c r="Y395" i="2"/>
  <c r="BP393" i="2"/>
  <c r="Z393" i="2"/>
  <c r="BN387" i="2"/>
  <c r="Z381" i="2"/>
  <c r="BN380" i="2"/>
  <c r="Z374" i="2"/>
  <c r="BP373" i="2"/>
  <c r="BP372" i="2"/>
  <c r="Z372" i="2"/>
  <c r="Z368" i="2"/>
  <c r="BP368" i="2"/>
  <c r="BN366" i="2"/>
  <c r="BN362" i="2"/>
  <c r="BP356" i="2"/>
  <c r="Z356" i="2"/>
  <c r="BP353" i="2"/>
  <c r="BN336" i="2"/>
  <c r="Z327" i="2"/>
  <c r="BP327" i="2"/>
  <c r="Z318" i="2"/>
  <c r="BP309" i="2"/>
  <c r="BP297" i="2"/>
  <c r="Z295" i="2"/>
  <c r="BN293" i="2"/>
  <c r="Z293" i="2"/>
  <c r="BN278" i="2"/>
  <c r="BN276" i="2"/>
  <c r="Z271" i="2"/>
  <c r="Z264" i="2"/>
  <c r="BP264" i="2"/>
  <c r="Y268" i="2"/>
  <c r="Z255" i="2"/>
  <c r="Z256" i="2" s="1"/>
  <c r="Z254" i="2"/>
  <c r="Z231" i="2"/>
  <c r="Z235" i="2" s="1"/>
  <c r="BP231" i="2"/>
  <c r="BP221" i="2"/>
  <c r="BP219" i="2"/>
  <c r="Y228" i="2"/>
  <c r="Z218" i="2"/>
  <c r="BN217" i="2"/>
  <c r="Z209" i="2"/>
  <c r="Z210" i="2" s="1"/>
  <c r="BP209" i="2"/>
  <c r="Y211" i="2"/>
  <c r="BN209" i="2"/>
  <c r="BN203" i="2"/>
  <c r="BP202" i="2"/>
  <c r="Z201" i="2"/>
  <c r="BN192" i="2"/>
  <c r="Y193" i="2"/>
  <c r="Z192" i="2"/>
  <c r="Z193" i="2" s="1"/>
  <c r="BP192" i="2"/>
  <c r="Z176" i="2"/>
  <c r="BN174" i="2"/>
  <c r="Z174" i="2"/>
  <c r="Z163" i="2"/>
  <c r="Z164" i="2" s="1"/>
  <c r="Y165" i="2"/>
  <c r="BN159" i="2"/>
  <c r="Z139" i="2"/>
  <c r="BN129" i="2"/>
  <c r="BN123" i="2"/>
  <c r="BP108" i="2"/>
  <c r="BN91" i="2"/>
  <c r="Y92" i="2"/>
  <c r="Z73" i="2"/>
  <c r="Z65" i="2"/>
  <c r="BN63" i="2"/>
  <c r="Z63" i="2"/>
  <c r="BP53" i="2"/>
  <c r="X536" i="2"/>
  <c r="Z42" i="2"/>
  <c r="Y37" i="2"/>
  <c r="X534" i="2"/>
  <c r="X535" i="2"/>
  <c r="X538" i="2"/>
  <c r="Z27" i="2"/>
  <c r="BP27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21" i="2" s="1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Z136" i="2" s="1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Z359" i="2" s="1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518" i="2"/>
  <c r="BN61" i="2"/>
  <c r="Y32" i="2"/>
  <c r="Z53" i="2"/>
  <c r="Z55" i="2" s="1"/>
  <c r="Z64" i="2"/>
  <c r="BP66" i="2"/>
  <c r="Y79" i="2"/>
  <c r="BP89" i="2"/>
  <c r="Z97" i="2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Z84" i="2" s="1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Z251" i="2" s="1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Z462" i="2" s="1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Y532" i="2"/>
  <c r="Z66" i="2"/>
  <c r="Z125" i="2"/>
  <c r="F544" i="2"/>
  <c r="Y544" i="2"/>
  <c r="Z71" i="2"/>
  <c r="Z105" i="2"/>
  <c r="Z29" i="2"/>
  <c r="Z32" i="2" s="1"/>
  <c r="BN43" i="2"/>
  <c r="Y46" i="2"/>
  <c r="Y136" i="2"/>
  <c r="Z187" i="2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184" i="2" l="1"/>
  <c r="Z154" i="2"/>
  <c r="Z376" i="2"/>
  <c r="Z328" i="2"/>
  <c r="Z402" i="2"/>
  <c r="Z321" i="2"/>
  <c r="Z312" i="2"/>
  <c r="Z92" i="2"/>
  <c r="Z349" i="2"/>
  <c r="Z415" i="2"/>
  <c r="Z141" i="2"/>
  <c r="Z267" i="2"/>
  <c r="Z395" i="2"/>
  <c r="Z527" i="2"/>
  <c r="Z473" i="2"/>
  <c r="Z426" i="2"/>
  <c r="Z389" i="2"/>
  <c r="Z382" i="2"/>
  <c r="Z369" i="2"/>
  <c r="Z298" i="2"/>
  <c r="Z282" i="2"/>
  <c r="Z205" i="2"/>
  <c r="Z189" i="2"/>
  <c r="X537" i="2"/>
  <c r="Z99" i="2"/>
  <c r="Z46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<sst xmlns="http://schemas.openxmlformats.org/spreadsheetml/2006/main" count="4040" uniqueCount="856">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</sst>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32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7" t="s">
        <v>26</v>
      </c>
      <c r="E1" s="957"/>
      <c r="F1" s="957"/>
      <c r="G1" s="14" t="s">
        <v>67</v>
      </c>
      <c r="H1" s="957" t="s">
        <v>47</v>
      </c>
      <c r="I1" s="957"/>
      <c r="J1" s="957"/>
      <c r="K1" s="957"/>
      <c r="L1" s="957"/>
      <c r="M1" s="957"/>
      <c r="N1" s="957"/>
      <c r="O1" s="957"/>
      <c r="P1" s="957"/>
      <c r="Q1" s="957"/>
      <c r="R1" s="958" t="s">
        <v>68</v>
      </c>
      <c r="S1" s="959"/>
      <c r="T1" s="95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60"/>
      <c r="R2" s="960"/>
      <c r="S2" s="960"/>
      <c r="T2" s="960"/>
      <c r="U2" s="960"/>
      <c r="V2" s="960"/>
      <c r="W2" s="96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60"/>
      <c r="Q3" s="960"/>
      <c r="R3" s="960"/>
      <c r="S3" s="960"/>
      <c r="T3" s="960"/>
      <c r="U3" s="960"/>
      <c r="V3" s="960"/>
      <c r="W3" s="96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9" t="s">
        <v>8</v>
      </c>
      <c r="B5" s="939"/>
      <c r="C5" s="939"/>
      <c r="D5" s="961"/>
      <c r="E5" s="961"/>
      <c r="F5" s="962" t="s">
        <v>14</v>
      </c>
      <c r="G5" s="962"/>
      <c r="H5" s="961" t="s">
        <v>855</v>
      </c>
      <c r="I5" s="961"/>
      <c r="J5" s="961"/>
      <c r="K5" s="961"/>
      <c r="L5" s="961"/>
      <c r="M5" s="961"/>
      <c r="N5" s="72"/>
      <c r="P5" s="27" t="s">
        <v>4</v>
      </c>
      <c r="Q5" s="963">
        <v>46216</v>
      </c>
      <c r="R5" s="963"/>
      <c r="T5" s="964" t="s">
        <v>3</v>
      </c>
      <c r="U5" s="965"/>
      <c r="V5" s="966" t="s">
        <v>836</v>
      </c>
      <c r="W5" s="967"/>
      <c r="AB5" s="59"/>
      <c r="AC5" s="59"/>
      <c r="AD5" s="59"/>
      <c r="AE5" s="59"/>
    </row>
    <row r="6" spans="1:32" s="17" customFormat="1" ht="24" customHeight="1" x14ac:dyDescent="0.2">
      <c r="A6" s="939" t="s">
        <v>1</v>
      </c>
      <c r="B6" s="939"/>
      <c r="C6" s="939"/>
      <c r="D6" s="940" t="s">
        <v>837</v>
      </c>
      <c r="E6" s="940"/>
      <c r="F6" s="940"/>
      <c r="G6" s="940"/>
      <c r="H6" s="940"/>
      <c r="I6" s="940"/>
      <c r="J6" s="940"/>
      <c r="K6" s="940"/>
      <c r="L6" s="940"/>
      <c r="M6" s="940"/>
      <c r="N6" s="73"/>
      <c r="P6" s="27" t="s">
        <v>27</v>
      </c>
      <c r="Q6" s="941" t="str">
        <f>IF(Q5=0," ",CHOOSE(WEEKDAY(Q5,2),"Понедельник","Вторник","Среда","Четверг","Пятница","Суббота","Воскресенье"))</f>
        <v>Понедельник</v>
      </c>
      <c r="R6" s="941"/>
      <c r="T6" s="942" t="s">
        <v>5</v>
      </c>
      <c r="U6" s="943"/>
      <c r="V6" s="944" t="s">
        <v>70</v>
      </c>
      <c r="W6" s="94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50" t="str">
        <f>IFERROR(VLOOKUP(DeliveryAddress,Table,3,0),1)</f>
        <v>1</v>
      </c>
      <c r="E7" s="951"/>
      <c r="F7" s="951"/>
      <c r="G7" s="951"/>
      <c r="H7" s="951"/>
      <c r="I7" s="951"/>
      <c r="J7" s="951"/>
      <c r="K7" s="951"/>
      <c r="L7" s="951"/>
      <c r="M7" s="952"/>
      <c r="N7" s="74"/>
      <c r="P7" s="29"/>
      <c r="Q7" s="48"/>
      <c r="R7" s="48"/>
      <c r="T7" s="942"/>
      <c r="U7" s="943"/>
      <c r="V7" s="946"/>
      <c r="W7" s="947"/>
      <c r="AB7" s="59"/>
      <c r="AC7" s="59"/>
      <c r="AD7" s="59"/>
      <c r="AE7" s="59"/>
    </row>
    <row r="8" spans="1:32" s="17" customFormat="1" ht="25.5" customHeight="1" x14ac:dyDescent="0.2">
      <c r="A8" s="953" t="s">
        <v>58</v>
      </c>
      <c r="B8" s="953"/>
      <c r="C8" s="953"/>
      <c r="D8" s="954"/>
      <c r="E8" s="954"/>
      <c r="F8" s="954"/>
      <c r="G8" s="954"/>
      <c r="H8" s="954"/>
      <c r="I8" s="954"/>
      <c r="J8" s="954"/>
      <c r="K8" s="954"/>
      <c r="L8" s="954"/>
      <c r="M8" s="954"/>
      <c r="N8" s="75"/>
      <c r="P8" s="27" t="s">
        <v>11</v>
      </c>
      <c r="Q8" s="937">
        <v>0.375</v>
      </c>
      <c r="R8" s="937"/>
      <c r="T8" s="942"/>
      <c r="U8" s="943"/>
      <c r="V8" s="946"/>
      <c r="W8" s="947"/>
      <c r="AB8" s="59"/>
      <c r="AC8" s="59"/>
      <c r="AD8" s="59"/>
      <c r="AE8" s="59"/>
    </row>
    <row r="9" spans="1:32" s="17" customFormat="1" ht="39.950000000000003" customHeight="1" x14ac:dyDescent="0.2">
      <c r="A9" s="92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9"/>
      <c r="C9" s="929"/>
      <c r="D9" s="930" t="s">
        <v>46</v>
      </c>
      <c r="E9" s="931"/>
      <c r="F9" s="92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9"/>
      <c r="H9" s="955" t="str">
        <f>IF(AND($A$9="Тип доверенности/получателя при получении в адресе перегруза:",$D$9="Разовая доверенность"),"Введите ФИО","")</f>
        <v/>
      </c>
      <c r="I9" s="955"/>
      <c r="J9" s="9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5"/>
      <c r="L9" s="955"/>
      <c r="M9" s="955"/>
      <c r="N9" s="70"/>
      <c r="P9" s="31" t="s">
        <v>15</v>
      </c>
      <c r="Q9" s="956"/>
      <c r="R9" s="956"/>
      <c r="T9" s="942"/>
      <c r="U9" s="943"/>
      <c r="V9" s="948"/>
      <c r="W9" s="94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9"/>
      <c r="C10" s="929"/>
      <c r="D10" s="930"/>
      <c r="E10" s="931"/>
      <c r="F10" s="92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9"/>
      <c r="H10" s="932" t="str">
        <f>IFERROR(VLOOKUP($D$10,Proxy,2,FALSE),"")</f>
        <v/>
      </c>
      <c r="I10" s="932"/>
      <c r="J10" s="932"/>
      <c r="K10" s="932"/>
      <c r="L10" s="932"/>
      <c r="M10" s="932"/>
      <c r="N10" s="71"/>
      <c r="P10" s="31" t="s">
        <v>32</v>
      </c>
      <c r="Q10" s="933"/>
      <c r="R10" s="933"/>
      <c r="U10" s="29" t="s">
        <v>12</v>
      </c>
      <c r="V10" s="934" t="s">
        <v>71</v>
      </c>
      <c r="W10" s="93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6"/>
      <c r="R11" s="936"/>
      <c r="U11" s="29" t="s">
        <v>28</v>
      </c>
      <c r="V11" s="915" t="s">
        <v>55</v>
      </c>
      <c r="W11" s="9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4" t="s">
        <v>72</v>
      </c>
      <c r="B12" s="914"/>
      <c r="C12" s="914"/>
      <c r="D12" s="914"/>
      <c r="E12" s="914"/>
      <c r="F12" s="914"/>
      <c r="G12" s="914"/>
      <c r="H12" s="914"/>
      <c r="I12" s="914"/>
      <c r="J12" s="914"/>
      <c r="K12" s="914"/>
      <c r="L12" s="914"/>
      <c r="M12" s="914"/>
      <c r="N12" s="76"/>
      <c r="P12" s="27" t="s">
        <v>30</v>
      </c>
      <c r="Q12" s="937"/>
      <c r="R12" s="937"/>
      <c r="S12" s="28"/>
      <c r="T12"/>
      <c r="U12" s="29" t="s">
        <v>46</v>
      </c>
      <c r="V12" s="938"/>
      <c r="W12" s="938"/>
      <c r="X12"/>
      <c r="AB12" s="59"/>
      <c r="AC12" s="59"/>
      <c r="AD12" s="59"/>
      <c r="AE12" s="59"/>
    </row>
    <row r="13" spans="1:32" s="17" customFormat="1" ht="23.25" customHeight="1" x14ac:dyDescent="0.2">
      <c r="A13" s="914" t="s">
        <v>73</v>
      </c>
      <c r="B13" s="914"/>
      <c r="C13" s="914"/>
      <c r="D13" s="914"/>
      <c r="E13" s="914"/>
      <c r="F13" s="914"/>
      <c r="G13" s="914"/>
      <c r="H13" s="914"/>
      <c r="I13" s="914"/>
      <c r="J13" s="914"/>
      <c r="K13" s="914"/>
      <c r="L13" s="914"/>
      <c r="M13" s="914"/>
      <c r="N13" s="76"/>
      <c r="O13" s="31"/>
      <c r="P13" s="31" t="s">
        <v>31</v>
      </c>
      <c r="Q13" s="915"/>
      <c r="R13" s="9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4" t="s">
        <v>74</v>
      </c>
      <c r="B14" s="914"/>
      <c r="C14" s="914"/>
      <c r="D14" s="914"/>
      <c r="E14" s="914"/>
      <c r="F14" s="914"/>
      <c r="G14" s="914"/>
      <c r="H14" s="914"/>
      <c r="I14" s="914"/>
      <c r="J14" s="914"/>
      <c r="K14" s="914"/>
      <c r="L14" s="914"/>
      <c r="M14" s="91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6" t="s">
        <v>75</v>
      </c>
      <c r="B15" s="916"/>
      <c r="C15" s="916"/>
      <c r="D15" s="916"/>
      <c r="E15" s="916"/>
      <c r="F15" s="916"/>
      <c r="G15" s="916"/>
      <c r="H15" s="916"/>
      <c r="I15" s="916"/>
      <c r="J15" s="916"/>
      <c r="K15" s="916"/>
      <c r="L15" s="916"/>
      <c r="M15" s="916"/>
      <c r="N15" s="77"/>
      <c r="O15"/>
      <c r="P15" s="917" t="s">
        <v>61</v>
      </c>
      <c r="Q15" s="917"/>
      <c r="R15" s="917"/>
      <c r="S15" s="917"/>
      <c r="T15" s="91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8"/>
      <c r="Q16" s="918"/>
      <c r="R16" s="918"/>
      <c r="S16" s="918"/>
      <c r="T16" s="91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00" t="s">
        <v>59</v>
      </c>
      <c r="B17" s="900" t="s">
        <v>49</v>
      </c>
      <c r="C17" s="921" t="s">
        <v>48</v>
      </c>
      <c r="D17" s="923" t="s">
        <v>50</v>
      </c>
      <c r="E17" s="924"/>
      <c r="F17" s="900" t="s">
        <v>21</v>
      </c>
      <c r="G17" s="900" t="s">
        <v>24</v>
      </c>
      <c r="H17" s="900" t="s">
        <v>22</v>
      </c>
      <c r="I17" s="900" t="s">
        <v>23</v>
      </c>
      <c r="J17" s="900" t="s">
        <v>16</v>
      </c>
      <c r="K17" s="900" t="s">
        <v>66</v>
      </c>
      <c r="L17" s="900" t="s">
        <v>64</v>
      </c>
      <c r="M17" s="900" t="s">
        <v>2</v>
      </c>
      <c r="N17" s="900" t="s">
        <v>63</v>
      </c>
      <c r="O17" s="900" t="s">
        <v>25</v>
      </c>
      <c r="P17" s="923" t="s">
        <v>17</v>
      </c>
      <c r="Q17" s="927"/>
      <c r="R17" s="927"/>
      <c r="S17" s="927"/>
      <c r="T17" s="924"/>
      <c r="U17" s="919" t="s">
        <v>56</v>
      </c>
      <c r="V17" s="920"/>
      <c r="W17" s="900" t="s">
        <v>6</v>
      </c>
      <c r="X17" s="900" t="s">
        <v>41</v>
      </c>
      <c r="Y17" s="902" t="s">
        <v>54</v>
      </c>
      <c r="Z17" s="904" t="s">
        <v>18</v>
      </c>
      <c r="AA17" s="906" t="s">
        <v>60</v>
      </c>
      <c r="AB17" s="906" t="s">
        <v>19</v>
      </c>
      <c r="AC17" s="906" t="s">
        <v>65</v>
      </c>
      <c r="AD17" s="908" t="s">
        <v>57</v>
      </c>
      <c r="AE17" s="909"/>
      <c r="AF17" s="910"/>
      <c r="AG17" s="82"/>
      <c r="BD17" s="81" t="s">
        <v>62</v>
      </c>
    </row>
    <row r="18" spans="1:68" ht="14.25" customHeight="1" x14ac:dyDescent="0.2">
      <c r="A18" s="901"/>
      <c r="B18" s="901"/>
      <c r="C18" s="922"/>
      <c r="D18" s="925"/>
      <c r="E18" s="926"/>
      <c r="F18" s="901"/>
      <c r="G18" s="901"/>
      <c r="H18" s="901"/>
      <c r="I18" s="901"/>
      <c r="J18" s="901"/>
      <c r="K18" s="901"/>
      <c r="L18" s="901"/>
      <c r="M18" s="901"/>
      <c r="N18" s="901"/>
      <c r="O18" s="901"/>
      <c r="P18" s="925"/>
      <c r="Q18" s="928"/>
      <c r="R18" s="928"/>
      <c r="S18" s="928"/>
      <c r="T18" s="926"/>
      <c r="U18" s="83" t="s">
        <v>44</v>
      </c>
      <c r="V18" s="83" t="s">
        <v>43</v>
      </c>
      <c r="W18" s="901"/>
      <c r="X18" s="901"/>
      <c r="Y18" s="903"/>
      <c r="Z18" s="905"/>
      <c r="AA18" s="907"/>
      <c r="AB18" s="907"/>
      <c r="AC18" s="907"/>
      <c r="AD18" s="911"/>
      <c r="AE18" s="912"/>
      <c r="AF18" s="913"/>
      <c r="AG18" s="82"/>
      <c r="BD18" s="81"/>
    </row>
    <row r="19" spans="1:68" ht="27.75" hidden="1" customHeight="1" x14ac:dyDescent="0.2">
      <c r="A19" s="641" t="s">
        <v>76</v>
      </c>
      <c r="B19" s="641"/>
      <c r="C19" s="641"/>
      <c r="D19" s="641"/>
      <c r="E19" s="641"/>
      <c r="F19" s="641"/>
      <c r="G19" s="641"/>
      <c r="H19" s="641"/>
      <c r="I19" s="641"/>
      <c r="J19" s="641"/>
      <c r="K19" s="641"/>
      <c r="L19" s="641"/>
      <c r="M19" s="641"/>
      <c r="N19" s="641"/>
      <c r="O19" s="641"/>
      <c r="P19" s="641"/>
      <c r="Q19" s="641"/>
      <c r="R19" s="641"/>
      <c r="S19" s="641"/>
      <c r="T19" s="641"/>
      <c r="U19" s="641"/>
      <c r="V19" s="641"/>
      <c r="W19" s="641"/>
      <c r="X19" s="641"/>
      <c r="Y19" s="641"/>
      <c r="Z19" s="641"/>
      <c r="AA19" s="54"/>
      <c r="AB19" s="54"/>
      <c r="AC19" s="54"/>
    </row>
    <row r="20" spans="1:68" ht="16.5" hidden="1" customHeight="1" x14ac:dyDescent="0.25">
      <c r="A20" s="636" t="s">
        <v>76</v>
      </c>
      <c r="B20" s="636"/>
      <c r="C20" s="636"/>
      <c r="D20" s="636"/>
      <c r="E20" s="636"/>
      <c r="F20" s="636"/>
      <c r="G20" s="636"/>
      <c r="H20" s="636"/>
      <c r="I20" s="636"/>
      <c r="J20" s="636"/>
      <c r="K20" s="636"/>
      <c r="L20" s="636"/>
      <c r="M20" s="636"/>
      <c r="N20" s="636"/>
      <c r="O20" s="636"/>
      <c r="P20" s="636"/>
      <c r="Q20" s="636"/>
      <c r="R20" s="636"/>
      <c r="S20" s="636"/>
      <c r="T20" s="636"/>
      <c r="U20" s="636"/>
      <c r="V20" s="636"/>
      <c r="W20" s="636"/>
      <c r="X20" s="636"/>
      <c r="Y20" s="636"/>
      <c r="Z20" s="636"/>
      <c r="AA20" s="65"/>
      <c r="AB20" s="65"/>
      <c r="AC20" s="79"/>
    </row>
    <row r="21" spans="1:68" ht="14.25" hidden="1" customHeight="1" x14ac:dyDescent="0.25">
      <c r="A21" s="620" t="s">
        <v>77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21">
        <v>4680115889071</v>
      </c>
      <c r="E23" s="62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3"/>
      <c r="R23" s="623"/>
      <c r="S23" s="623"/>
      <c r="T23" s="62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21">
        <v>4680115885912</v>
      </c>
      <c r="E27" s="62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21">
        <v>4607091388237</v>
      </c>
      <c r="E28" s="62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21">
        <v>4680115887350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21">
        <v>4680115885905</v>
      </c>
      <c r="E30" s="62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21">
        <v>4680115887619</v>
      </c>
      <c r="E31" s="62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3"/>
      <c r="R31" s="623"/>
      <c r="S31" s="623"/>
      <c r="T31" s="62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20" t="s">
        <v>104</v>
      </c>
      <c r="B34" s="620"/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  <c r="O34" s="620"/>
      <c r="P34" s="620"/>
      <c r="Q34" s="620"/>
      <c r="R34" s="620"/>
      <c r="S34" s="620"/>
      <c r="T34" s="620"/>
      <c r="U34" s="620"/>
      <c r="V34" s="620"/>
      <c r="W34" s="620"/>
      <c r="X34" s="620"/>
      <c r="Y34" s="620"/>
      <c r="Z34" s="62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21">
        <v>4607091388503</v>
      </c>
      <c r="E35" s="62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3"/>
      <c r="R35" s="623"/>
      <c r="S35" s="623"/>
      <c r="T35" s="62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41" t="s">
        <v>45</v>
      </c>
      <c r="B38" s="641"/>
      <c r="C38" s="641"/>
      <c r="D38" s="641"/>
      <c r="E38" s="641"/>
      <c r="F38" s="641"/>
      <c r="G38" s="641"/>
      <c r="H38" s="641"/>
      <c r="I38" s="641"/>
      <c r="J38" s="641"/>
      <c r="K38" s="641"/>
      <c r="L38" s="641"/>
      <c r="M38" s="641"/>
      <c r="N38" s="641"/>
      <c r="O38" s="641"/>
      <c r="P38" s="641"/>
      <c r="Q38" s="641"/>
      <c r="R38" s="641"/>
      <c r="S38" s="641"/>
      <c r="T38" s="641"/>
      <c r="U38" s="641"/>
      <c r="V38" s="641"/>
      <c r="W38" s="641"/>
      <c r="X38" s="641"/>
      <c r="Y38" s="641"/>
      <c r="Z38" s="641"/>
      <c r="AA38" s="54"/>
      <c r="AB38" s="54"/>
      <c r="AC38" s="54"/>
    </row>
    <row r="39" spans="1:68" ht="16.5" hidden="1" customHeight="1" x14ac:dyDescent="0.25">
      <c r="A39" s="636" t="s">
        <v>110</v>
      </c>
      <c r="B39" s="636"/>
      <c r="C39" s="636"/>
      <c r="D39" s="636"/>
      <c r="E39" s="636"/>
      <c r="F39" s="636"/>
      <c r="G39" s="636"/>
      <c r="H39" s="636"/>
      <c r="I39" s="636"/>
      <c r="J39" s="636"/>
      <c r="K39" s="636"/>
      <c r="L39" s="636"/>
      <c r="M39" s="636"/>
      <c r="N39" s="636"/>
      <c r="O39" s="636"/>
      <c r="P39" s="636"/>
      <c r="Q39" s="636"/>
      <c r="R39" s="636"/>
      <c r="S39" s="636"/>
      <c r="T39" s="636"/>
      <c r="U39" s="636"/>
      <c r="V39" s="636"/>
      <c r="W39" s="636"/>
      <c r="X39" s="636"/>
      <c r="Y39" s="636"/>
      <c r="Z39" s="636"/>
      <c r="AA39" s="65"/>
      <c r="AB39" s="65"/>
      <c r="AC39" s="79"/>
    </row>
    <row r="40" spans="1:68" ht="14.25" hidden="1" customHeight="1" x14ac:dyDescent="0.25">
      <c r="A40" s="620" t="s">
        <v>86</v>
      </c>
      <c r="B40" s="620"/>
      <c r="C40" s="620"/>
      <c r="D40" s="620"/>
      <c r="E40" s="620"/>
      <c r="F40" s="620"/>
      <c r="G40" s="620"/>
      <c r="H40" s="620"/>
      <c r="I40" s="620"/>
      <c r="J40" s="620"/>
      <c r="K40" s="620"/>
      <c r="L40" s="620"/>
      <c r="M40" s="620"/>
      <c r="N40" s="620"/>
      <c r="O40" s="620"/>
      <c r="P40" s="620"/>
      <c r="Q40" s="620"/>
      <c r="R40" s="620"/>
      <c r="S40" s="620"/>
      <c r="T40" s="620"/>
      <c r="U40" s="620"/>
      <c r="V40" s="620"/>
      <c r="W40" s="620"/>
      <c r="X40" s="620"/>
      <c r="Y40" s="620"/>
      <c r="Z40" s="62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21">
        <v>4680115889354</v>
      </c>
      <c r="E41" s="62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3"/>
      <c r="R41" s="623"/>
      <c r="S41" s="623"/>
      <c r="T41" s="62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21">
        <v>4680115888463</v>
      </c>
      <c r="E42" s="62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3"/>
      <c r="R42" s="623"/>
      <c r="S42" s="623"/>
      <c r="T42" s="62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21">
        <v>4680115888494</v>
      </c>
      <c r="E43" s="62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9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3"/>
      <c r="R43" s="623"/>
      <c r="S43" s="623"/>
      <c r="T43" s="62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21">
        <v>4680115888272</v>
      </c>
      <c r="E44" s="62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3"/>
      <c r="R44" s="623"/>
      <c r="S44" s="623"/>
      <c r="T44" s="624"/>
      <c r="U44" s="39" t="s">
        <v>46</v>
      </c>
      <c r="V44" s="39" t="s">
        <v>46</v>
      </c>
      <c r="W44" s="40" t="s">
        <v>0</v>
      </c>
      <c r="X44" s="58">
        <v>32</v>
      </c>
      <c r="Y44" s="55">
        <f>IFERROR(IF(X44="",0,CEILING((X44/$H44),1)*$H44),"")</f>
        <v>32.64</v>
      </c>
      <c r="Z44" s="41">
        <f>IFERROR(IF(Y44=0,"",ROUNDUP(Y44/H44,0)*0.00651),"")</f>
        <v>0.11067</v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35</v>
      </c>
      <c r="BN44" s="78">
        <f>IFERROR(Y44*I44/H44,"0")</f>
        <v>35.70000000000001</v>
      </c>
      <c r="BO44" s="78">
        <f>IFERROR(1/J44*(X44/H44),"0")</f>
        <v>9.1575091575091583E-2</v>
      </c>
      <c r="BP44" s="78">
        <f>IFERROR(1/J44*(Y44/H44),"0")</f>
        <v>9.3406593406593408E-2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21">
        <v>4680115888364</v>
      </c>
      <c r="E45" s="62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3"/>
      <c r="R45" s="623"/>
      <c r="S45" s="623"/>
      <c r="T45" s="62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2" t="s">
        <v>39</v>
      </c>
      <c r="X46" s="43">
        <f>IFERROR(X41/H41,"0")+IFERROR(X42/H42,"0")+IFERROR(X43/H43,"0")+IFERROR(X44/H44,"0")+IFERROR(X45/H45,"0")</f>
        <v>16.666666666666668</v>
      </c>
      <c r="Y46" s="43">
        <f>IFERROR(Y41/H41,"0")+IFERROR(Y42/H42,"0")+IFERROR(Y43/H43,"0")+IFERROR(Y44/H44,"0")+IFERROR(Y45/H45,"0")</f>
        <v>17</v>
      </c>
      <c r="Z46" s="43">
        <f>IFERROR(IF(Z41="",0,Z41),"0")+IFERROR(IF(Z42="",0,Z42),"0")+IFERROR(IF(Z43="",0,Z43),"0")+IFERROR(IF(Z44="",0,Z44),"0")+IFERROR(IF(Z45="",0,Z45),"0")</f>
        <v>0.11067</v>
      </c>
      <c r="AA46" s="67"/>
      <c r="AB46" s="67"/>
      <c r="AC46" s="67"/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0</v>
      </c>
      <c r="X47" s="43">
        <f>IFERROR(SUM(X41:X45),"0")</f>
        <v>32</v>
      </c>
      <c r="Y47" s="43">
        <f>IFERROR(SUM(Y41:Y45),"0")</f>
        <v>32.64</v>
      </c>
      <c r="Z47" s="42"/>
      <c r="AA47" s="67"/>
      <c r="AB47" s="67"/>
      <c r="AC47" s="67"/>
    </row>
    <row r="48" spans="1:68" ht="27.75" hidden="1" customHeight="1" x14ac:dyDescent="0.2">
      <c r="A48" s="641" t="s">
        <v>127</v>
      </c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1"/>
      <c r="P48" s="641"/>
      <c r="Q48" s="641"/>
      <c r="R48" s="641"/>
      <c r="S48" s="641"/>
      <c r="T48" s="641"/>
      <c r="U48" s="641"/>
      <c r="V48" s="641"/>
      <c r="W48" s="641"/>
      <c r="X48" s="641"/>
      <c r="Y48" s="641"/>
      <c r="Z48" s="641"/>
      <c r="AA48" s="54"/>
      <c r="AB48" s="54"/>
      <c r="AC48" s="54"/>
    </row>
    <row r="49" spans="1:68" ht="16.5" hidden="1" customHeight="1" x14ac:dyDescent="0.25">
      <c r="A49" s="636" t="s">
        <v>128</v>
      </c>
      <c r="B49" s="636"/>
      <c r="C49" s="636"/>
      <c r="D49" s="636"/>
      <c r="E49" s="636"/>
      <c r="F49" s="636"/>
      <c r="G49" s="636"/>
      <c r="H49" s="636"/>
      <c r="I49" s="636"/>
      <c r="J49" s="636"/>
      <c r="K49" s="636"/>
      <c r="L49" s="636"/>
      <c r="M49" s="636"/>
      <c r="N49" s="636"/>
      <c r="O49" s="636"/>
      <c r="P49" s="636"/>
      <c r="Q49" s="636"/>
      <c r="R49" s="636"/>
      <c r="S49" s="636"/>
      <c r="T49" s="636"/>
      <c r="U49" s="636"/>
      <c r="V49" s="636"/>
      <c r="W49" s="636"/>
      <c r="X49" s="636"/>
      <c r="Y49" s="636"/>
      <c r="Z49" s="636"/>
      <c r="AA49" s="65"/>
      <c r="AB49" s="65"/>
      <c r="AC49" s="79"/>
    </row>
    <row r="50" spans="1:68" ht="14.25" hidden="1" customHeight="1" x14ac:dyDescent="0.25">
      <c r="A50" s="620" t="s">
        <v>129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21">
        <v>4607091385670</v>
      </c>
      <c r="E51" s="62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3"/>
      <c r="R51" s="623"/>
      <c r="S51" s="623"/>
      <c r="T51" s="624"/>
      <c r="U51" s="39" t="s">
        <v>46</v>
      </c>
      <c r="V51" s="39" t="s">
        <v>46</v>
      </c>
      <c r="W51" s="40" t="s">
        <v>0</v>
      </c>
      <c r="X51" s="58">
        <v>150</v>
      </c>
      <c r="Y51" s="55">
        <f>IFERROR(IF(X51="",0,CEILING((X51/$H51),1)*$H51),"")</f>
        <v>151.20000000000002</v>
      </c>
      <c r="Z51" s="41">
        <f>IFERROR(IF(Y51=0,"",ROUNDUP(Y51/H51,0)*0.01898),"")</f>
        <v>0.26572000000000001</v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155.69444444444446</v>
      </c>
      <c r="BN51" s="78">
        <f>IFERROR(Y51*I51/H51,"0")</f>
        <v>156.94</v>
      </c>
      <c r="BO51" s="78">
        <f>IFERROR(1/J51*(X51/H51),"0")</f>
        <v>0.21701388888888887</v>
      </c>
      <c r="BP51" s="78">
        <f>IFERROR(1/J51*(Y51/H51),"0")</f>
        <v>0.21875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21">
        <v>4680115887725</v>
      </c>
      <c r="E52" s="62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3"/>
      <c r="R52" s="623"/>
      <c r="S52" s="623"/>
      <c r="T52" s="62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21">
        <v>4607091385687</v>
      </c>
      <c r="E53" s="62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3"/>
      <c r="R53" s="623"/>
      <c r="S53" s="623"/>
      <c r="T53" s="624"/>
      <c r="U53" s="39" t="s">
        <v>46</v>
      </c>
      <c r="V53" s="39" t="s">
        <v>46</v>
      </c>
      <c r="W53" s="40" t="s">
        <v>0</v>
      </c>
      <c r="X53" s="58">
        <v>320</v>
      </c>
      <c r="Y53" s="55">
        <f>IFERROR(IF(X53="",0,CEILING((X53/$H53),1)*$H53),"")</f>
        <v>320</v>
      </c>
      <c r="Z53" s="41">
        <f>IFERROR(IF(Y53=0,"",ROUNDUP(Y53/H53,0)*0.00902),"")</f>
        <v>0.72160000000000002</v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335.20000000000005</v>
      </c>
      <c r="BN53" s="78">
        <f>IFERROR(Y53*I53/H53,"0")</f>
        <v>335.20000000000005</v>
      </c>
      <c r="BO53" s="78">
        <f>IFERROR(1/J53*(X53/H53),"0")</f>
        <v>0.60606060606060608</v>
      </c>
      <c r="BP53" s="78">
        <f>IFERROR(1/J53*(Y53/H53),"0")</f>
        <v>0.60606060606060608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21">
        <v>4680115882539</v>
      </c>
      <c r="E54" s="62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3"/>
      <c r="R54" s="623"/>
      <c r="S54" s="623"/>
      <c r="T54" s="62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8"/>
      <c r="B55" s="628"/>
      <c r="C55" s="628"/>
      <c r="D55" s="628"/>
      <c r="E55" s="628"/>
      <c r="F55" s="628"/>
      <c r="G55" s="628"/>
      <c r="H55" s="628"/>
      <c r="I55" s="628"/>
      <c r="J55" s="628"/>
      <c r="K55" s="628"/>
      <c r="L55" s="628"/>
      <c r="M55" s="628"/>
      <c r="N55" s="628"/>
      <c r="O55" s="629"/>
      <c r="P55" s="625" t="s">
        <v>40</v>
      </c>
      <c r="Q55" s="626"/>
      <c r="R55" s="626"/>
      <c r="S55" s="626"/>
      <c r="T55" s="626"/>
      <c r="U55" s="626"/>
      <c r="V55" s="627"/>
      <c r="W55" s="42" t="s">
        <v>39</v>
      </c>
      <c r="X55" s="43">
        <f>IFERROR(X51/H51,"0")+IFERROR(X52/H52,"0")+IFERROR(X53/H53,"0")+IFERROR(X54/H54,"0")</f>
        <v>93.888888888888886</v>
      </c>
      <c r="Y55" s="43">
        <f>IFERROR(Y51/H51,"0")+IFERROR(Y52/H52,"0")+IFERROR(Y53/H53,"0")+IFERROR(Y54/H54,"0")</f>
        <v>94</v>
      </c>
      <c r="Z55" s="43">
        <f>IFERROR(IF(Z51="",0,Z51),"0")+IFERROR(IF(Z52="",0,Z52),"0")+IFERROR(IF(Z53="",0,Z53),"0")+IFERROR(IF(Z54="",0,Z54),"0")</f>
        <v>0.98731999999999998</v>
      </c>
      <c r="AA55" s="67"/>
      <c r="AB55" s="67"/>
      <c r="AC55" s="67"/>
    </row>
    <row r="56" spans="1:68" x14ac:dyDescent="0.2">
      <c r="A56" s="628"/>
      <c r="B56" s="628"/>
      <c r="C56" s="628"/>
      <c r="D56" s="628"/>
      <c r="E56" s="628"/>
      <c r="F56" s="628"/>
      <c r="G56" s="628"/>
      <c r="H56" s="628"/>
      <c r="I56" s="628"/>
      <c r="J56" s="628"/>
      <c r="K56" s="628"/>
      <c r="L56" s="628"/>
      <c r="M56" s="628"/>
      <c r="N56" s="628"/>
      <c r="O56" s="629"/>
      <c r="P56" s="625" t="s">
        <v>40</v>
      </c>
      <c r="Q56" s="626"/>
      <c r="R56" s="626"/>
      <c r="S56" s="626"/>
      <c r="T56" s="626"/>
      <c r="U56" s="626"/>
      <c r="V56" s="627"/>
      <c r="W56" s="42" t="s">
        <v>0</v>
      </c>
      <c r="X56" s="43">
        <f>IFERROR(SUM(X51:X54),"0")</f>
        <v>470</v>
      </c>
      <c r="Y56" s="43">
        <f>IFERROR(SUM(Y51:Y54),"0")</f>
        <v>471.20000000000005</v>
      </c>
      <c r="Z56" s="42"/>
      <c r="AA56" s="67"/>
      <c r="AB56" s="67"/>
      <c r="AC56" s="67"/>
    </row>
    <row r="57" spans="1:68" ht="16.5" hidden="1" customHeight="1" x14ac:dyDescent="0.25">
      <c r="A57" s="636" t="s">
        <v>144</v>
      </c>
      <c r="B57" s="636"/>
      <c r="C57" s="636"/>
      <c r="D57" s="636"/>
      <c r="E57" s="636"/>
      <c r="F57" s="636"/>
      <c r="G57" s="636"/>
      <c r="H57" s="636"/>
      <c r="I57" s="636"/>
      <c r="J57" s="636"/>
      <c r="K57" s="636"/>
      <c r="L57" s="636"/>
      <c r="M57" s="636"/>
      <c r="N57" s="636"/>
      <c r="O57" s="636"/>
      <c r="P57" s="636"/>
      <c r="Q57" s="636"/>
      <c r="R57" s="636"/>
      <c r="S57" s="636"/>
      <c r="T57" s="636"/>
      <c r="U57" s="636"/>
      <c r="V57" s="636"/>
      <c r="W57" s="636"/>
      <c r="X57" s="636"/>
      <c r="Y57" s="636"/>
      <c r="Z57" s="636"/>
      <c r="AA57" s="65"/>
      <c r="AB57" s="65"/>
      <c r="AC57" s="79"/>
    </row>
    <row r="58" spans="1:68" ht="14.25" hidden="1" customHeight="1" x14ac:dyDescent="0.25">
      <c r="A58" s="620" t="s">
        <v>129</v>
      </c>
      <c r="B58" s="620"/>
      <c r="C58" s="620"/>
      <c r="D58" s="620"/>
      <c r="E58" s="620"/>
      <c r="F58" s="620"/>
      <c r="G58" s="620"/>
      <c r="H58" s="620"/>
      <c r="I58" s="620"/>
      <c r="J58" s="620"/>
      <c r="K58" s="620"/>
      <c r="L58" s="620"/>
      <c r="M58" s="620"/>
      <c r="N58" s="620"/>
      <c r="O58" s="620"/>
      <c r="P58" s="620"/>
      <c r="Q58" s="620"/>
      <c r="R58" s="620"/>
      <c r="S58" s="620"/>
      <c r="T58" s="620"/>
      <c r="U58" s="620"/>
      <c r="V58" s="620"/>
      <c r="W58" s="620"/>
      <c r="X58" s="620"/>
      <c r="Y58" s="620"/>
      <c r="Z58" s="620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21">
        <v>4680115885882</v>
      </c>
      <c r="E59" s="62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8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3"/>
      <c r="R59" s="623"/>
      <c r="S59" s="623"/>
      <c r="T59" s="62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21">
        <v>4680115885882</v>
      </c>
      <c r="E60" s="62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3"/>
      <c r="R60" s="623"/>
      <c r="S60" s="623"/>
      <c r="T60" s="62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21">
        <v>4680115881426</v>
      </c>
      <c r="E61" s="62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3"/>
      <c r="R61" s="623"/>
      <c r="S61" s="623"/>
      <c r="T61" s="624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21">
        <v>4680115880283</v>
      </c>
      <c r="E62" s="62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3"/>
      <c r="R62" s="623"/>
      <c r="S62" s="623"/>
      <c r="T62" s="62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21">
        <v>4680115880283</v>
      </c>
      <c r="E63" s="62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3"/>
      <c r="R63" s="623"/>
      <c r="S63" s="623"/>
      <c r="T63" s="624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21">
        <v>4680115881525</v>
      </c>
      <c r="E64" s="62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3"/>
      <c r="R64" s="623"/>
      <c r="S64" s="623"/>
      <c r="T64" s="62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21">
        <v>4680115885899</v>
      </c>
      <c r="E65" s="62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8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3"/>
      <c r="R65" s="623"/>
      <c r="S65" s="623"/>
      <c r="T65" s="62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21">
        <v>4680115881419</v>
      </c>
      <c r="E66" s="62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3"/>
      <c r="R66" s="623"/>
      <c r="S66" s="623"/>
      <c r="T66" s="624"/>
      <c r="U66" s="39" t="s">
        <v>46</v>
      </c>
      <c r="V66" s="39" t="s">
        <v>46</v>
      </c>
      <c r="W66" s="40" t="s">
        <v>0</v>
      </c>
      <c r="X66" s="58">
        <v>405</v>
      </c>
      <c r="Y66" s="55">
        <f t="shared" si="0"/>
        <v>405</v>
      </c>
      <c r="Z66" s="41">
        <f>IFERROR(IF(Y66=0,"",ROUNDUP(Y66/H66,0)*0.00902),"")</f>
        <v>0.81180000000000008</v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422.1</v>
      </c>
      <c r="BN66" s="78">
        <f t="shared" si="2"/>
        <v>422.1</v>
      </c>
      <c r="BO66" s="78">
        <f t="shared" si="3"/>
        <v>0.68181818181818188</v>
      </c>
      <c r="BP66" s="78">
        <f t="shared" si="4"/>
        <v>0.68181818181818188</v>
      </c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94.629629629629633</v>
      </c>
      <c r="Y67" s="43">
        <f>IFERROR(Y59/H59,"0")+IFERROR(Y60/H60,"0")+IFERROR(Y61/H61,"0")+IFERROR(Y62/H62,"0")+IFERROR(Y63/H63,"0")+IFERROR(Y64/H64,"0")+IFERROR(Y65/H65,"0")+IFERROR(Y66/H66,"0")</f>
        <v>95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0.90670000000000006</v>
      </c>
      <c r="AA67" s="67"/>
      <c r="AB67" s="67"/>
      <c r="AC67" s="67"/>
    </row>
    <row r="68" spans="1:68" x14ac:dyDescent="0.2">
      <c r="A68" s="628"/>
      <c r="B68" s="628"/>
      <c r="C68" s="628"/>
      <c r="D68" s="628"/>
      <c r="E68" s="628"/>
      <c r="F68" s="628"/>
      <c r="G68" s="628"/>
      <c r="H68" s="628"/>
      <c r="I68" s="628"/>
      <c r="J68" s="628"/>
      <c r="K68" s="628"/>
      <c r="L68" s="628"/>
      <c r="M68" s="628"/>
      <c r="N68" s="628"/>
      <c r="O68" s="629"/>
      <c r="P68" s="625" t="s">
        <v>40</v>
      </c>
      <c r="Q68" s="626"/>
      <c r="R68" s="626"/>
      <c r="S68" s="626"/>
      <c r="T68" s="626"/>
      <c r="U68" s="626"/>
      <c r="V68" s="627"/>
      <c r="W68" s="42" t="s">
        <v>0</v>
      </c>
      <c r="X68" s="43">
        <f>IFERROR(SUM(X59:X66),"0")</f>
        <v>455</v>
      </c>
      <c r="Y68" s="43">
        <f>IFERROR(SUM(Y59:Y66),"0")</f>
        <v>459</v>
      </c>
      <c r="Z68" s="42"/>
      <c r="AA68" s="67"/>
      <c r="AB68" s="67"/>
      <c r="AC68" s="67"/>
    </row>
    <row r="69" spans="1:68" ht="14.25" hidden="1" customHeight="1" x14ac:dyDescent="0.25">
      <c r="A69" s="620" t="s">
        <v>166</v>
      </c>
      <c r="B69" s="620"/>
      <c r="C69" s="620"/>
      <c r="D69" s="620"/>
      <c r="E69" s="620"/>
      <c r="F69" s="620"/>
      <c r="G69" s="620"/>
      <c r="H69" s="620"/>
      <c r="I69" s="620"/>
      <c r="J69" s="620"/>
      <c r="K69" s="620"/>
      <c r="L69" s="620"/>
      <c r="M69" s="620"/>
      <c r="N69" s="620"/>
      <c r="O69" s="620"/>
      <c r="P69" s="620"/>
      <c r="Q69" s="620"/>
      <c r="R69" s="620"/>
      <c r="S69" s="620"/>
      <c r="T69" s="620"/>
      <c r="U69" s="620"/>
      <c r="V69" s="620"/>
      <c r="W69" s="620"/>
      <c r="X69" s="620"/>
      <c r="Y69" s="620"/>
      <c r="Z69" s="620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21">
        <v>4680115881440</v>
      </c>
      <c r="E70" s="62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3"/>
      <c r="R70" s="623"/>
      <c r="S70" s="623"/>
      <c r="T70" s="62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21">
        <v>4680115885950</v>
      </c>
      <c r="E71" s="62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3"/>
      <c r="R71" s="623"/>
      <c r="S71" s="623"/>
      <c r="T71" s="62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21">
        <v>4680115887688</v>
      </c>
      <c r="E72" s="62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7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3"/>
      <c r="R72" s="623"/>
      <c r="S72" s="623"/>
      <c r="T72" s="62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21">
        <v>4680115881433</v>
      </c>
      <c r="E73" s="62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7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3"/>
      <c r="R73" s="623"/>
      <c r="S73" s="623"/>
      <c r="T73" s="624"/>
      <c r="U73" s="39" t="s">
        <v>46</v>
      </c>
      <c r="V73" s="39" t="s">
        <v>46</v>
      </c>
      <c r="W73" s="40" t="s">
        <v>0</v>
      </c>
      <c r="X73" s="58">
        <v>180</v>
      </c>
      <c r="Y73" s="55">
        <f>IFERROR(IF(X73="",0,CEILING((X73/$H73),1)*$H73),"")</f>
        <v>180.9</v>
      </c>
      <c r="Z73" s="41">
        <f>IFERROR(IF(Y73=0,"",ROUNDUP(Y73/H73,0)*0.00651),"")</f>
        <v>0.43617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191.99999999999997</v>
      </c>
      <c r="BN73" s="78">
        <f>IFERROR(Y73*I73/H73,"0")</f>
        <v>192.95999999999998</v>
      </c>
      <c r="BO73" s="78">
        <f>IFERROR(1/J73*(X73/H73),"0")</f>
        <v>0.36630036630036628</v>
      </c>
      <c r="BP73" s="78">
        <f>IFERROR(1/J73*(Y73/H73),"0")</f>
        <v>0.36813186813186816</v>
      </c>
    </row>
    <row r="74" spans="1:68" x14ac:dyDescent="0.2">
      <c r="A74" s="628"/>
      <c r="B74" s="628"/>
      <c r="C74" s="628"/>
      <c r="D74" s="628"/>
      <c r="E74" s="628"/>
      <c r="F74" s="628"/>
      <c r="G74" s="628"/>
      <c r="H74" s="628"/>
      <c r="I74" s="628"/>
      <c r="J74" s="628"/>
      <c r="K74" s="628"/>
      <c r="L74" s="628"/>
      <c r="M74" s="628"/>
      <c r="N74" s="628"/>
      <c r="O74" s="629"/>
      <c r="P74" s="625" t="s">
        <v>40</v>
      </c>
      <c r="Q74" s="626"/>
      <c r="R74" s="626"/>
      <c r="S74" s="626"/>
      <c r="T74" s="626"/>
      <c r="U74" s="626"/>
      <c r="V74" s="627"/>
      <c r="W74" s="42" t="s">
        <v>39</v>
      </c>
      <c r="X74" s="43">
        <f>IFERROR(X70/H70,"0")+IFERROR(X71/H71,"0")+IFERROR(X72/H72,"0")+IFERROR(X73/H73,"0")</f>
        <v>66.666666666666657</v>
      </c>
      <c r="Y74" s="43">
        <f>IFERROR(Y70/H70,"0")+IFERROR(Y71/H71,"0")+IFERROR(Y72/H72,"0")+IFERROR(Y73/H73,"0")</f>
        <v>67</v>
      </c>
      <c r="Z74" s="43">
        <f>IFERROR(IF(Z70="",0,Z70),"0")+IFERROR(IF(Z71="",0,Z71),"0")+IFERROR(IF(Z72="",0,Z72),"0")+IFERROR(IF(Z73="",0,Z73),"0")</f>
        <v>0.43617</v>
      </c>
      <c r="AA74" s="67"/>
      <c r="AB74" s="67"/>
      <c r="AC74" s="67"/>
    </row>
    <row r="75" spans="1:68" x14ac:dyDescent="0.2">
      <c r="A75" s="628"/>
      <c r="B75" s="628"/>
      <c r="C75" s="628"/>
      <c r="D75" s="628"/>
      <c r="E75" s="628"/>
      <c r="F75" s="628"/>
      <c r="G75" s="628"/>
      <c r="H75" s="628"/>
      <c r="I75" s="628"/>
      <c r="J75" s="628"/>
      <c r="K75" s="628"/>
      <c r="L75" s="628"/>
      <c r="M75" s="628"/>
      <c r="N75" s="628"/>
      <c r="O75" s="629"/>
      <c r="P75" s="625" t="s">
        <v>40</v>
      </c>
      <c r="Q75" s="626"/>
      <c r="R75" s="626"/>
      <c r="S75" s="626"/>
      <c r="T75" s="626"/>
      <c r="U75" s="626"/>
      <c r="V75" s="627"/>
      <c r="W75" s="42" t="s">
        <v>0</v>
      </c>
      <c r="X75" s="43">
        <f>IFERROR(SUM(X70:X73),"0")</f>
        <v>180</v>
      </c>
      <c r="Y75" s="43">
        <f>IFERROR(SUM(Y70:Y73),"0")</f>
        <v>180.9</v>
      </c>
      <c r="Z75" s="42"/>
      <c r="AA75" s="67"/>
      <c r="AB75" s="67"/>
      <c r="AC75" s="67"/>
    </row>
    <row r="76" spans="1:68" ht="14.25" hidden="1" customHeight="1" x14ac:dyDescent="0.25">
      <c r="A76" s="620" t="s">
        <v>86</v>
      </c>
      <c r="B76" s="620"/>
      <c r="C76" s="620"/>
      <c r="D76" s="620"/>
      <c r="E76" s="620"/>
      <c r="F76" s="620"/>
      <c r="G76" s="620"/>
      <c r="H76" s="620"/>
      <c r="I76" s="620"/>
      <c r="J76" s="620"/>
      <c r="K76" s="620"/>
      <c r="L76" s="620"/>
      <c r="M76" s="620"/>
      <c r="N76" s="620"/>
      <c r="O76" s="620"/>
      <c r="P76" s="620"/>
      <c r="Q76" s="620"/>
      <c r="R76" s="620"/>
      <c r="S76" s="620"/>
      <c r="T76" s="620"/>
      <c r="U76" s="620"/>
      <c r="V76" s="620"/>
      <c r="W76" s="620"/>
      <c r="X76" s="620"/>
      <c r="Y76" s="620"/>
      <c r="Z76" s="620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21">
        <v>4680115884311</v>
      </c>
      <c r="E77" s="62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7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3"/>
      <c r="R77" s="623"/>
      <c r="S77" s="623"/>
      <c r="T77" s="62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21">
        <v>4680115884403</v>
      </c>
      <c r="E78" s="62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3"/>
      <c r="R78" s="623"/>
      <c r="S78" s="623"/>
      <c r="T78" s="62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28"/>
      <c r="B79" s="628"/>
      <c r="C79" s="628"/>
      <c r="D79" s="628"/>
      <c r="E79" s="628"/>
      <c r="F79" s="628"/>
      <c r="G79" s="628"/>
      <c r="H79" s="628"/>
      <c r="I79" s="628"/>
      <c r="J79" s="628"/>
      <c r="K79" s="628"/>
      <c r="L79" s="628"/>
      <c r="M79" s="628"/>
      <c r="N79" s="628"/>
      <c r="O79" s="629"/>
      <c r="P79" s="625" t="s">
        <v>40</v>
      </c>
      <c r="Q79" s="626"/>
      <c r="R79" s="626"/>
      <c r="S79" s="626"/>
      <c r="T79" s="626"/>
      <c r="U79" s="626"/>
      <c r="V79" s="62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28"/>
      <c r="B80" s="628"/>
      <c r="C80" s="628"/>
      <c r="D80" s="628"/>
      <c r="E80" s="628"/>
      <c r="F80" s="628"/>
      <c r="G80" s="628"/>
      <c r="H80" s="628"/>
      <c r="I80" s="628"/>
      <c r="J80" s="628"/>
      <c r="K80" s="628"/>
      <c r="L80" s="628"/>
      <c r="M80" s="628"/>
      <c r="N80" s="628"/>
      <c r="O80" s="629"/>
      <c r="P80" s="625" t="s">
        <v>40</v>
      </c>
      <c r="Q80" s="626"/>
      <c r="R80" s="626"/>
      <c r="S80" s="626"/>
      <c r="T80" s="626"/>
      <c r="U80" s="626"/>
      <c r="V80" s="62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20" t="s">
        <v>183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620"/>
      <c r="N81" s="620"/>
      <c r="O81" s="620"/>
      <c r="P81" s="620"/>
      <c r="Q81" s="620"/>
      <c r="R81" s="620"/>
      <c r="S81" s="620"/>
      <c r="T81" s="620"/>
      <c r="U81" s="620"/>
      <c r="V81" s="620"/>
      <c r="W81" s="620"/>
      <c r="X81" s="620"/>
      <c r="Y81" s="620"/>
      <c r="Z81" s="620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21">
        <v>4680115881532</v>
      </c>
      <c r="E82" s="62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3"/>
      <c r="R82" s="623"/>
      <c r="S82" s="623"/>
      <c r="T82" s="624"/>
      <c r="U82" s="39" t="s">
        <v>46</v>
      </c>
      <c r="V82" s="39" t="s">
        <v>46</v>
      </c>
      <c r="W82" s="40" t="s">
        <v>0</v>
      </c>
      <c r="X82" s="58">
        <v>30</v>
      </c>
      <c r="Y82" s="55">
        <f>IFERROR(IF(X82="",0,CEILING((X82/$H82),1)*$H82),"")</f>
        <v>31.2</v>
      </c>
      <c r="Z82" s="41">
        <f>IFERROR(IF(Y82=0,"",ROUNDUP(Y82/H82,0)*0.01898),"")</f>
        <v>7.5920000000000001E-2</v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31.57692307692308</v>
      </c>
      <c r="BN82" s="78">
        <f>IFERROR(Y82*I82/H82,"0")</f>
        <v>32.840000000000003</v>
      </c>
      <c r="BO82" s="78">
        <f>IFERROR(1/J82*(X82/H82),"0")</f>
        <v>6.0096153846153848E-2</v>
      </c>
      <c r="BP82" s="78">
        <f>IFERROR(1/J82*(Y82/H82),"0")</f>
        <v>6.25E-2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21">
        <v>4680115881464</v>
      </c>
      <c r="E83" s="62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3"/>
      <c r="R83" s="623"/>
      <c r="S83" s="623"/>
      <c r="T83" s="62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8"/>
      <c r="B84" s="628"/>
      <c r="C84" s="628"/>
      <c r="D84" s="628"/>
      <c r="E84" s="628"/>
      <c r="F84" s="628"/>
      <c r="G84" s="628"/>
      <c r="H84" s="628"/>
      <c r="I84" s="628"/>
      <c r="J84" s="628"/>
      <c r="K84" s="628"/>
      <c r="L84" s="628"/>
      <c r="M84" s="628"/>
      <c r="N84" s="628"/>
      <c r="O84" s="629"/>
      <c r="P84" s="625" t="s">
        <v>40</v>
      </c>
      <c r="Q84" s="626"/>
      <c r="R84" s="626"/>
      <c r="S84" s="626"/>
      <c r="T84" s="626"/>
      <c r="U84" s="626"/>
      <c r="V84" s="627"/>
      <c r="W84" s="42" t="s">
        <v>39</v>
      </c>
      <c r="X84" s="43">
        <f>IFERROR(X82/H82,"0")+IFERROR(X83/H83,"0")</f>
        <v>3.8461538461538463</v>
      </c>
      <c r="Y84" s="43">
        <f>IFERROR(Y82/H82,"0")+IFERROR(Y83/H83,"0")</f>
        <v>4</v>
      </c>
      <c r="Z84" s="43">
        <f>IFERROR(IF(Z82="",0,Z82),"0")+IFERROR(IF(Z83="",0,Z83),"0")</f>
        <v>7.5920000000000001E-2</v>
      </c>
      <c r="AA84" s="67"/>
      <c r="AB84" s="67"/>
      <c r="AC84" s="67"/>
    </row>
    <row r="85" spans="1:68" x14ac:dyDescent="0.2">
      <c r="A85" s="628"/>
      <c r="B85" s="628"/>
      <c r="C85" s="628"/>
      <c r="D85" s="628"/>
      <c r="E85" s="628"/>
      <c r="F85" s="628"/>
      <c r="G85" s="628"/>
      <c r="H85" s="628"/>
      <c r="I85" s="628"/>
      <c r="J85" s="628"/>
      <c r="K85" s="628"/>
      <c r="L85" s="628"/>
      <c r="M85" s="628"/>
      <c r="N85" s="628"/>
      <c r="O85" s="629"/>
      <c r="P85" s="625" t="s">
        <v>40</v>
      </c>
      <c r="Q85" s="626"/>
      <c r="R85" s="626"/>
      <c r="S85" s="626"/>
      <c r="T85" s="626"/>
      <c r="U85" s="626"/>
      <c r="V85" s="627"/>
      <c r="W85" s="42" t="s">
        <v>0</v>
      </c>
      <c r="X85" s="43">
        <f>IFERROR(SUM(X82:X83),"0")</f>
        <v>30</v>
      </c>
      <c r="Y85" s="43">
        <f>IFERROR(SUM(Y82:Y83),"0")</f>
        <v>31.2</v>
      </c>
      <c r="Z85" s="42"/>
      <c r="AA85" s="67"/>
      <c r="AB85" s="67"/>
      <c r="AC85" s="67"/>
    </row>
    <row r="86" spans="1:68" ht="16.5" hidden="1" customHeight="1" x14ac:dyDescent="0.25">
      <c r="A86" s="636" t="s">
        <v>190</v>
      </c>
      <c r="B86" s="636"/>
      <c r="C86" s="636"/>
      <c r="D86" s="636"/>
      <c r="E86" s="636"/>
      <c r="F86" s="636"/>
      <c r="G86" s="636"/>
      <c r="H86" s="636"/>
      <c r="I86" s="636"/>
      <c r="J86" s="636"/>
      <c r="K86" s="636"/>
      <c r="L86" s="636"/>
      <c r="M86" s="636"/>
      <c r="N86" s="636"/>
      <c r="O86" s="636"/>
      <c r="P86" s="636"/>
      <c r="Q86" s="636"/>
      <c r="R86" s="636"/>
      <c r="S86" s="636"/>
      <c r="T86" s="636"/>
      <c r="U86" s="636"/>
      <c r="V86" s="636"/>
      <c r="W86" s="636"/>
      <c r="X86" s="636"/>
      <c r="Y86" s="636"/>
      <c r="Z86" s="636"/>
      <c r="AA86" s="65"/>
      <c r="AB86" s="65"/>
      <c r="AC86" s="79"/>
    </row>
    <row r="87" spans="1:68" ht="14.25" hidden="1" customHeight="1" x14ac:dyDescent="0.25">
      <c r="A87" s="620" t="s">
        <v>129</v>
      </c>
      <c r="B87" s="620"/>
      <c r="C87" s="620"/>
      <c r="D87" s="620"/>
      <c r="E87" s="620"/>
      <c r="F87" s="620"/>
      <c r="G87" s="620"/>
      <c r="H87" s="620"/>
      <c r="I87" s="620"/>
      <c r="J87" s="620"/>
      <c r="K87" s="620"/>
      <c r="L87" s="620"/>
      <c r="M87" s="620"/>
      <c r="N87" s="620"/>
      <c r="O87" s="620"/>
      <c r="P87" s="620"/>
      <c r="Q87" s="620"/>
      <c r="R87" s="620"/>
      <c r="S87" s="620"/>
      <c r="T87" s="620"/>
      <c r="U87" s="620"/>
      <c r="V87" s="620"/>
      <c r="W87" s="620"/>
      <c r="X87" s="620"/>
      <c r="Y87" s="620"/>
      <c r="Z87" s="620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21">
        <v>4680115881327</v>
      </c>
      <c r="E88" s="62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3"/>
      <c r="R88" s="623"/>
      <c r="S88" s="623"/>
      <c r="T88" s="624"/>
      <c r="U88" s="39" t="s">
        <v>46</v>
      </c>
      <c r="V88" s="39" t="s">
        <v>46</v>
      </c>
      <c r="W88" s="40" t="s">
        <v>0</v>
      </c>
      <c r="X88" s="58">
        <v>250</v>
      </c>
      <c r="Y88" s="55">
        <f>IFERROR(IF(X88="",0,CEILING((X88/$H88),1)*$H88),"")</f>
        <v>259.20000000000005</v>
      </c>
      <c r="Z88" s="41">
        <f>IFERROR(IF(Y88=0,"",ROUNDUP(Y88/H88,0)*0.01898),"")</f>
        <v>0.45552000000000004</v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259.4907407407407</v>
      </c>
      <c r="BN88" s="78">
        <f>IFERROR(Y88*I88/H88,"0")</f>
        <v>269.04000000000002</v>
      </c>
      <c r="BO88" s="78">
        <f>IFERROR(1/J88*(X88/H88),"0")</f>
        <v>0.36168981481481477</v>
      </c>
      <c r="BP88" s="78">
        <f>IFERROR(1/J88*(Y88/H88),"0")</f>
        <v>0.37500000000000006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21">
        <v>4680115887732</v>
      </c>
      <c r="E89" s="62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3"/>
      <c r="R89" s="623"/>
      <c r="S89" s="623"/>
      <c r="T89" s="62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21">
        <v>4680115881518</v>
      </c>
      <c r="E90" s="62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3"/>
      <c r="R90" s="623"/>
      <c r="S90" s="623"/>
      <c r="T90" s="62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21">
        <v>4680115881303</v>
      </c>
      <c r="E91" s="62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3"/>
      <c r="R91" s="623"/>
      <c r="S91" s="623"/>
      <c r="T91" s="624"/>
      <c r="U91" s="39" t="s">
        <v>46</v>
      </c>
      <c r="V91" s="39" t="s">
        <v>46</v>
      </c>
      <c r="W91" s="40" t="s">
        <v>0</v>
      </c>
      <c r="X91" s="58">
        <v>405</v>
      </c>
      <c r="Y91" s="55">
        <f>IFERROR(IF(X91="",0,CEILING((X91/$H91),1)*$H91),"")</f>
        <v>405</v>
      </c>
      <c r="Z91" s="41">
        <f>IFERROR(IF(Y91=0,"",ROUNDUP(Y91/H91,0)*0.00902),"")</f>
        <v>0.81180000000000008</v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422.1</v>
      </c>
      <c r="BN91" s="78">
        <f>IFERROR(Y91*I91/H91,"0")</f>
        <v>422.1</v>
      </c>
      <c r="BO91" s="78">
        <f>IFERROR(1/J91*(X91/H91),"0")</f>
        <v>0.68181818181818188</v>
      </c>
      <c r="BP91" s="78">
        <f>IFERROR(1/J91*(Y91/H91),"0")</f>
        <v>0.68181818181818188</v>
      </c>
    </row>
    <row r="92" spans="1:68" x14ac:dyDescent="0.2">
      <c r="A92" s="628"/>
      <c r="B92" s="628"/>
      <c r="C92" s="628"/>
      <c r="D92" s="628"/>
      <c r="E92" s="628"/>
      <c r="F92" s="628"/>
      <c r="G92" s="628"/>
      <c r="H92" s="628"/>
      <c r="I92" s="628"/>
      <c r="J92" s="628"/>
      <c r="K92" s="628"/>
      <c r="L92" s="628"/>
      <c r="M92" s="628"/>
      <c r="N92" s="628"/>
      <c r="O92" s="629"/>
      <c r="P92" s="625" t="s">
        <v>40</v>
      </c>
      <c r="Q92" s="626"/>
      <c r="R92" s="626"/>
      <c r="S92" s="626"/>
      <c r="T92" s="626"/>
      <c r="U92" s="626"/>
      <c r="V92" s="627"/>
      <c r="W92" s="42" t="s">
        <v>39</v>
      </c>
      <c r="X92" s="43">
        <f>IFERROR(X88/H88,"0")+IFERROR(X89/H89,"0")+IFERROR(X90/H90,"0")+IFERROR(X91/H91,"0")</f>
        <v>113.14814814814815</v>
      </c>
      <c r="Y92" s="43">
        <f>IFERROR(Y88/H88,"0")+IFERROR(Y89/H89,"0")+IFERROR(Y90/H90,"0")+IFERROR(Y91/H91,"0")</f>
        <v>114</v>
      </c>
      <c r="Z92" s="43">
        <f>IFERROR(IF(Z88="",0,Z88),"0")+IFERROR(IF(Z89="",0,Z89),"0")+IFERROR(IF(Z90="",0,Z90),"0")+IFERROR(IF(Z91="",0,Z91),"0")</f>
        <v>1.2673200000000002</v>
      </c>
      <c r="AA92" s="67"/>
      <c r="AB92" s="67"/>
      <c r="AC92" s="67"/>
    </row>
    <row r="93" spans="1:68" x14ac:dyDescent="0.2">
      <c r="A93" s="628"/>
      <c r="B93" s="628"/>
      <c r="C93" s="628"/>
      <c r="D93" s="628"/>
      <c r="E93" s="628"/>
      <c r="F93" s="628"/>
      <c r="G93" s="628"/>
      <c r="H93" s="628"/>
      <c r="I93" s="628"/>
      <c r="J93" s="628"/>
      <c r="K93" s="628"/>
      <c r="L93" s="628"/>
      <c r="M93" s="628"/>
      <c r="N93" s="628"/>
      <c r="O93" s="629"/>
      <c r="P93" s="625" t="s">
        <v>40</v>
      </c>
      <c r="Q93" s="626"/>
      <c r="R93" s="626"/>
      <c r="S93" s="626"/>
      <c r="T93" s="626"/>
      <c r="U93" s="626"/>
      <c r="V93" s="627"/>
      <c r="W93" s="42" t="s">
        <v>0</v>
      </c>
      <c r="X93" s="43">
        <f>IFERROR(SUM(X88:X91),"0")</f>
        <v>655</v>
      </c>
      <c r="Y93" s="43">
        <f>IFERROR(SUM(Y88:Y91),"0")</f>
        <v>664.2</v>
      </c>
      <c r="Z93" s="42"/>
      <c r="AA93" s="67"/>
      <c r="AB93" s="67"/>
      <c r="AC93" s="67"/>
    </row>
    <row r="94" spans="1:68" ht="14.25" hidden="1" customHeight="1" x14ac:dyDescent="0.25">
      <c r="A94" s="620" t="s">
        <v>86</v>
      </c>
      <c r="B94" s="620"/>
      <c r="C94" s="620"/>
      <c r="D94" s="620"/>
      <c r="E94" s="620"/>
      <c r="F94" s="620"/>
      <c r="G94" s="620"/>
      <c r="H94" s="620"/>
      <c r="I94" s="620"/>
      <c r="J94" s="620"/>
      <c r="K94" s="620"/>
      <c r="L94" s="620"/>
      <c r="M94" s="620"/>
      <c r="N94" s="620"/>
      <c r="O94" s="620"/>
      <c r="P94" s="620"/>
      <c r="Q94" s="620"/>
      <c r="R94" s="620"/>
      <c r="S94" s="620"/>
      <c r="T94" s="620"/>
      <c r="U94" s="620"/>
      <c r="V94" s="620"/>
      <c r="W94" s="620"/>
      <c r="X94" s="620"/>
      <c r="Y94" s="620"/>
      <c r="Z94" s="620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21">
        <v>4607091386967</v>
      </c>
      <c r="E95" s="62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3"/>
      <c r="R95" s="623"/>
      <c r="S95" s="623"/>
      <c r="T95" s="624"/>
      <c r="U95" s="39" t="s">
        <v>46</v>
      </c>
      <c r="V95" s="39" t="s">
        <v>46</v>
      </c>
      <c r="W95" s="40" t="s">
        <v>0</v>
      </c>
      <c r="X95" s="58">
        <v>90</v>
      </c>
      <c r="Y95" s="55">
        <f>IFERROR(IF(X95="",0,CEILING((X95/$H95),1)*$H95),"")</f>
        <v>97.199999999999989</v>
      </c>
      <c r="Z95" s="41">
        <f>IFERROR(IF(Y95=0,"",ROUNDUP(Y95/H95,0)*0.01898),"")</f>
        <v>0.22776000000000002</v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95.48888888888888</v>
      </c>
      <c r="BN95" s="78">
        <f>IFERROR(Y95*I95/H95,"0")</f>
        <v>103.12799999999999</v>
      </c>
      <c r="BO95" s="78">
        <f>IFERROR(1/J95*(X95/H95),"0")</f>
        <v>0.1736111111111111</v>
      </c>
      <c r="BP95" s="78">
        <f>IFERROR(1/J95*(Y95/H95),"0")</f>
        <v>0.1875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21">
        <v>4680115884953</v>
      </c>
      <c r="E96" s="62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3"/>
      <c r="R96" s="623"/>
      <c r="S96" s="623"/>
      <c r="T96" s="62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21">
        <v>4607091385731</v>
      </c>
      <c r="E97" s="62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3"/>
      <c r="R97" s="623"/>
      <c r="S97" s="623"/>
      <c r="T97" s="624"/>
      <c r="U97" s="39" t="s">
        <v>46</v>
      </c>
      <c r="V97" s="39" t="s">
        <v>46</v>
      </c>
      <c r="W97" s="40" t="s">
        <v>0</v>
      </c>
      <c r="X97" s="58">
        <v>630</v>
      </c>
      <c r="Y97" s="55">
        <f>IFERROR(IF(X97="",0,CEILING((X97/$H97),1)*$H97),"")</f>
        <v>631.80000000000007</v>
      </c>
      <c r="Z97" s="41">
        <f>IFERROR(IF(Y97=0,"",ROUNDUP(Y97/H97,0)*0.00651),"")</f>
        <v>1.5233400000000001</v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688.8</v>
      </c>
      <c r="BN97" s="78">
        <f>IFERROR(Y97*I97/H97,"0")</f>
        <v>690.76800000000003</v>
      </c>
      <c r="BO97" s="78">
        <f>IFERROR(1/J97*(X97/H97),"0")</f>
        <v>1.2820512820512819</v>
      </c>
      <c r="BP97" s="78">
        <f>IFERROR(1/J97*(Y97/H97),"0")</f>
        <v>1.2857142857142858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21">
        <v>4680115880894</v>
      </c>
      <c r="E98" s="62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6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3"/>
      <c r="R98" s="623"/>
      <c r="S98" s="623"/>
      <c r="T98" s="62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8"/>
      <c r="B99" s="628"/>
      <c r="C99" s="628"/>
      <c r="D99" s="628"/>
      <c r="E99" s="628"/>
      <c r="F99" s="628"/>
      <c r="G99" s="628"/>
      <c r="H99" s="628"/>
      <c r="I99" s="628"/>
      <c r="J99" s="628"/>
      <c r="K99" s="628"/>
      <c r="L99" s="628"/>
      <c r="M99" s="628"/>
      <c r="N99" s="628"/>
      <c r="O99" s="629"/>
      <c r="P99" s="625" t="s">
        <v>40</v>
      </c>
      <c r="Q99" s="626"/>
      <c r="R99" s="626"/>
      <c r="S99" s="626"/>
      <c r="T99" s="626"/>
      <c r="U99" s="626"/>
      <c r="V99" s="627"/>
      <c r="W99" s="42" t="s">
        <v>39</v>
      </c>
      <c r="X99" s="43">
        <f>IFERROR(X95/H95,"0")+IFERROR(X96/H96,"0")+IFERROR(X97/H97,"0")+IFERROR(X98/H98,"0")</f>
        <v>244.44444444444443</v>
      </c>
      <c r="Y99" s="43">
        <f>IFERROR(Y95/H95,"0")+IFERROR(Y96/H96,"0")+IFERROR(Y97/H97,"0")+IFERROR(Y98/H98,"0")</f>
        <v>246</v>
      </c>
      <c r="Z99" s="43">
        <f>IFERROR(IF(Z95="",0,Z95),"0")+IFERROR(IF(Z96="",0,Z96),"0")+IFERROR(IF(Z97="",0,Z97),"0")+IFERROR(IF(Z98="",0,Z98),"0")</f>
        <v>1.7511000000000001</v>
      </c>
      <c r="AA99" s="67"/>
      <c r="AB99" s="67"/>
      <c r="AC99" s="67"/>
    </row>
    <row r="100" spans="1:68" x14ac:dyDescent="0.2">
      <c r="A100" s="628"/>
      <c r="B100" s="628"/>
      <c r="C100" s="628"/>
      <c r="D100" s="628"/>
      <c r="E100" s="628"/>
      <c r="F100" s="628"/>
      <c r="G100" s="628"/>
      <c r="H100" s="628"/>
      <c r="I100" s="628"/>
      <c r="J100" s="628"/>
      <c r="K100" s="628"/>
      <c r="L100" s="628"/>
      <c r="M100" s="628"/>
      <c r="N100" s="628"/>
      <c r="O100" s="629"/>
      <c r="P100" s="625" t="s">
        <v>40</v>
      </c>
      <c r="Q100" s="626"/>
      <c r="R100" s="626"/>
      <c r="S100" s="626"/>
      <c r="T100" s="626"/>
      <c r="U100" s="626"/>
      <c r="V100" s="627"/>
      <c r="W100" s="42" t="s">
        <v>0</v>
      </c>
      <c r="X100" s="43">
        <f>IFERROR(SUM(X95:X98),"0")</f>
        <v>720</v>
      </c>
      <c r="Y100" s="43">
        <f>IFERROR(SUM(Y95:Y98),"0")</f>
        <v>729</v>
      </c>
      <c r="Z100" s="42"/>
      <c r="AA100" s="67"/>
      <c r="AB100" s="67"/>
      <c r="AC100" s="67"/>
    </row>
    <row r="101" spans="1:68" ht="16.5" hidden="1" customHeight="1" x14ac:dyDescent="0.25">
      <c r="A101" s="636" t="s">
        <v>211</v>
      </c>
      <c r="B101" s="636"/>
      <c r="C101" s="636"/>
      <c r="D101" s="636"/>
      <c r="E101" s="636"/>
      <c r="F101" s="636"/>
      <c r="G101" s="636"/>
      <c r="H101" s="636"/>
      <c r="I101" s="636"/>
      <c r="J101" s="636"/>
      <c r="K101" s="636"/>
      <c r="L101" s="636"/>
      <c r="M101" s="636"/>
      <c r="N101" s="636"/>
      <c r="O101" s="636"/>
      <c r="P101" s="636"/>
      <c r="Q101" s="636"/>
      <c r="R101" s="636"/>
      <c r="S101" s="636"/>
      <c r="T101" s="636"/>
      <c r="U101" s="636"/>
      <c r="V101" s="636"/>
      <c r="W101" s="636"/>
      <c r="X101" s="636"/>
      <c r="Y101" s="636"/>
      <c r="Z101" s="636"/>
      <c r="AA101" s="65"/>
      <c r="AB101" s="65"/>
      <c r="AC101" s="79"/>
    </row>
    <row r="102" spans="1:68" ht="14.25" hidden="1" customHeight="1" x14ac:dyDescent="0.25">
      <c r="A102" s="620" t="s">
        <v>129</v>
      </c>
      <c r="B102" s="620"/>
      <c r="C102" s="620"/>
      <c r="D102" s="620"/>
      <c r="E102" s="620"/>
      <c r="F102" s="620"/>
      <c r="G102" s="620"/>
      <c r="H102" s="620"/>
      <c r="I102" s="620"/>
      <c r="J102" s="620"/>
      <c r="K102" s="620"/>
      <c r="L102" s="620"/>
      <c r="M102" s="620"/>
      <c r="N102" s="620"/>
      <c r="O102" s="620"/>
      <c r="P102" s="620"/>
      <c r="Q102" s="620"/>
      <c r="R102" s="620"/>
      <c r="S102" s="620"/>
      <c r="T102" s="620"/>
      <c r="U102" s="620"/>
      <c r="V102" s="620"/>
      <c r="W102" s="620"/>
      <c r="X102" s="620"/>
      <c r="Y102" s="620"/>
      <c r="Z102" s="620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21">
        <v>4680115882133</v>
      </c>
      <c r="E103" s="62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3"/>
      <c r="R103" s="623"/>
      <c r="S103" s="623"/>
      <c r="T103" s="62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21">
        <v>4680115887718</v>
      </c>
      <c r="E104" s="62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3"/>
      <c r="R104" s="623"/>
      <c r="S104" s="623"/>
      <c r="T104" s="62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21">
        <v>4680115887718</v>
      </c>
      <c r="E105" s="62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3"/>
      <c r="R105" s="623"/>
      <c r="S105" s="623"/>
      <c r="T105" s="62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21">
        <v>4680115880269</v>
      </c>
      <c r="E106" s="62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3"/>
      <c r="R106" s="623"/>
      <c r="S106" s="623"/>
      <c r="T106" s="62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21">
        <v>4680115880429</v>
      </c>
      <c r="E107" s="62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3"/>
      <c r="R107" s="623"/>
      <c r="S107" s="623"/>
      <c r="T107" s="624"/>
      <c r="U107" s="39" t="s">
        <v>46</v>
      </c>
      <c r="V107" s="39" t="s">
        <v>46</v>
      </c>
      <c r="W107" s="40" t="s">
        <v>0</v>
      </c>
      <c r="X107" s="58">
        <v>405</v>
      </c>
      <c r="Y107" s="55">
        <f t="shared" si="5"/>
        <v>405</v>
      </c>
      <c r="Z107" s="41">
        <f>IFERROR(IF(Y107=0,"",ROUNDUP(Y107/H107,0)*0.00902),"")</f>
        <v>0.81180000000000008</v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422.1</v>
      </c>
      <c r="BN107" s="78">
        <f t="shared" si="7"/>
        <v>422.1</v>
      </c>
      <c r="BO107" s="78">
        <f t="shared" si="8"/>
        <v>0.68181818181818188</v>
      </c>
      <c r="BP107" s="78">
        <f t="shared" si="9"/>
        <v>0.68181818181818188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21">
        <v>4680115881457</v>
      </c>
      <c r="E108" s="62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3"/>
      <c r="R108" s="623"/>
      <c r="S108" s="623"/>
      <c r="T108" s="62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IFERROR(X103/H103,"0")+IFERROR(X104/H104,"0")+IFERROR(X105/H105,"0")+IFERROR(X106/H106,"0")+IFERROR(X107/H107,"0")+IFERROR(X108/H108,"0")</f>
        <v>90</v>
      </c>
      <c r="Y109" s="43">
        <f>IFERROR(Y103/H103,"0")+IFERROR(Y104/H104,"0")+IFERROR(Y105/H105,"0")+IFERROR(Y106/H106,"0")+IFERROR(Y107/H107,"0")+IFERROR(Y108/H108,"0")</f>
        <v>90</v>
      </c>
      <c r="Z109" s="43">
        <f>IFERROR(IF(Z103="",0,Z103),"0")+IFERROR(IF(Z104="",0,Z104),"0")+IFERROR(IF(Z105="",0,Z105),"0")+IFERROR(IF(Z106="",0,Z106),"0")+IFERROR(IF(Z107="",0,Z107),"0")+IFERROR(IF(Z108="",0,Z108),"0")</f>
        <v>0.81180000000000008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IFERROR(SUM(X103:X108),"0")</f>
        <v>405</v>
      </c>
      <c r="Y110" s="43">
        <f>IFERROR(SUM(Y103:Y108),"0")</f>
        <v>405</v>
      </c>
      <c r="Z110" s="42"/>
      <c r="AA110" s="67"/>
      <c r="AB110" s="67"/>
      <c r="AC110" s="67"/>
    </row>
    <row r="111" spans="1:68" ht="14.25" hidden="1" customHeight="1" x14ac:dyDescent="0.25">
      <c r="A111" s="620" t="s">
        <v>166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21">
        <v>4680115881488</v>
      </c>
      <c r="E112" s="62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3"/>
      <c r="R112" s="623"/>
      <c r="S112" s="623"/>
      <c r="T112" s="624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21">
        <v>4680115881488</v>
      </c>
      <c r="E113" s="621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3"/>
      <c r="R113" s="623"/>
      <c r="S113" s="623"/>
      <c r="T113" s="624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21">
        <v>4680115887664</v>
      </c>
      <c r="E114" s="621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3"/>
      <c r="R114" s="623"/>
      <c r="S114" s="623"/>
      <c r="T114" s="624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21">
        <v>4680115887664</v>
      </c>
      <c r="E115" s="621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3"/>
      <c r="R115" s="623"/>
      <c r="S115" s="623"/>
      <c r="T115" s="624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21">
        <v>4680115882775</v>
      </c>
      <c r="E116" s="621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3"/>
      <c r="R116" s="623"/>
      <c r="S116" s="623"/>
      <c r="T116" s="624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21">
        <v>4680115880658</v>
      </c>
      <c r="E117" s="621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5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3"/>
      <c r="R117" s="623"/>
      <c r="S117" s="623"/>
      <c r="T117" s="624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21">
        <v>4680115880658</v>
      </c>
      <c r="E118" s="621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3"/>
      <c r="R118" s="623"/>
      <c r="S118" s="623"/>
      <c r="T118" s="624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28"/>
      <c r="B119" s="628"/>
      <c r="C119" s="628"/>
      <c r="D119" s="628"/>
      <c r="E119" s="628"/>
      <c r="F119" s="628"/>
      <c r="G119" s="628"/>
      <c r="H119" s="628"/>
      <c r="I119" s="628"/>
      <c r="J119" s="628"/>
      <c r="K119" s="628"/>
      <c r="L119" s="628"/>
      <c r="M119" s="628"/>
      <c r="N119" s="628"/>
      <c r="O119" s="629"/>
      <c r="P119" s="625" t="s">
        <v>40</v>
      </c>
      <c r="Q119" s="626"/>
      <c r="R119" s="626"/>
      <c r="S119" s="626"/>
      <c r="T119" s="626"/>
      <c r="U119" s="626"/>
      <c r="V119" s="627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20" t="s">
        <v>86</v>
      </c>
      <c r="B121" s="620"/>
      <c r="C121" s="620"/>
      <c r="D121" s="620"/>
      <c r="E121" s="620"/>
      <c r="F121" s="620"/>
      <c r="G121" s="620"/>
      <c r="H121" s="620"/>
      <c r="I121" s="620"/>
      <c r="J121" s="620"/>
      <c r="K121" s="620"/>
      <c r="L121" s="620"/>
      <c r="M121" s="620"/>
      <c r="N121" s="620"/>
      <c r="O121" s="620"/>
      <c r="P121" s="620"/>
      <c r="Q121" s="620"/>
      <c r="R121" s="620"/>
      <c r="S121" s="620"/>
      <c r="T121" s="620"/>
      <c r="U121" s="620"/>
      <c r="V121" s="620"/>
      <c r="W121" s="620"/>
      <c r="X121" s="620"/>
      <c r="Y121" s="620"/>
      <c r="Z121" s="620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21">
        <v>4607091385168</v>
      </c>
      <c r="E122" s="621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3"/>
      <c r="R122" s="623"/>
      <c r="S122" s="623"/>
      <c r="T122" s="624"/>
      <c r="U122" s="39" t="s">
        <v>46</v>
      </c>
      <c r="V122" s="39" t="s">
        <v>46</v>
      </c>
      <c r="W122" s="40" t="s">
        <v>0</v>
      </c>
      <c r="X122" s="58">
        <v>400</v>
      </c>
      <c r="Y122" s="55">
        <f>IFERROR(IF(X122="",0,CEILING((X122/$H122),1)*$H122),"")</f>
        <v>405</v>
      </c>
      <c r="Z122" s="41">
        <f>IFERROR(IF(Y122=0,"",ROUNDUP(Y122/H122,0)*0.01898),"")</f>
        <v>0.94900000000000007</v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424.09876543209879</v>
      </c>
      <c r="BN122" s="78">
        <f>IFERROR(Y122*I122/H122,"0")</f>
        <v>429.4</v>
      </c>
      <c r="BO122" s="78">
        <f>IFERROR(1/J122*(X122/H122),"0")</f>
        <v>0.77160493827160492</v>
      </c>
      <c r="BP122" s="78">
        <f>IFERROR(1/J122*(Y122/H122),"0")</f>
        <v>0.78125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21">
        <v>4607091383256</v>
      </c>
      <c r="E123" s="621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3"/>
      <c r="R123" s="623"/>
      <c r="S123" s="623"/>
      <c r="T123" s="62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21">
        <v>4607091385748</v>
      </c>
      <c r="E124" s="621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3"/>
      <c r="R124" s="623"/>
      <c r="S124" s="623"/>
      <c r="T124" s="624"/>
      <c r="U124" s="39" t="s">
        <v>46</v>
      </c>
      <c r="V124" s="39" t="s">
        <v>46</v>
      </c>
      <c r="W124" s="40" t="s">
        <v>0</v>
      </c>
      <c r="X124" s="58">
        <v>585</v>
      </c>
      <c r="Y124" s="55">
        <f>IFERROR(IF(X124="",0,CEILING((X124/$H124),1)*$H124),"")</f>
        <v>585.90000000000009</v>
      </c>
      <c r="Z124" s="41">
        <f>IFERROR(IF(Y124=0,"",ROUNDUP(Y124/H124,0)*0.00651),"")</f>
        <v>1.4126700000000001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639.6</v>
      </c>
      <c r="BN124" s="78">
        <f>IFERROR(Y124*I124/H124,"0")</f>
        <v>640.58400000000006</v>
      </c>
      <c r="BO124" s="78">
        <f>IFERROR(1/J124*(X124/H124),"0")</f>
        <v>1.1904761904761905</v>
      </c>
      <c r="BP124" s="78">
        <f>IFERROR(1/J124*(Y124/H124),"0")</f>
        <v>1.1923076923076925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21">
        <v>4680115884533</v>
      </c>
      <c r="E125" s="621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3"/>
      <c r="R125" s="623"/>
      <c r="S125" s="623"/>
      <c r="T125" s="624"/>
      <c r="U125" s="39" t="s">
        <v>46</v>
      </c>
      <c r="V125" s="39" t="s">
        <v>46</v>
      </c>
      <c r="W125" s="40" t="s">
        <v>0</v>
      </c>
      <c r="X125" s="58">
        <v>30</v>
      </c>
      <c r="Y125" s="55">
        <f>IFERROR(IF(X125="",0,CEILING((X125/$H125),1)*$H125),"")</f>
        <v>30.6</v>
      </c>
      <c r="Z125" s="41">
        <f>IFERROR(IF(Y125=0,"",ROUNDUP(Y125/H125,0)*0.00651),"")</f>
        <v>0.11067</v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33</v>
      </c>
      <c r="BN125" s="78">
        <f>IFERROR(Y125*I125/H125,"0")</f>
        <v>33.659999999999997</v>
      </c>
      <c r="BO125" s="78">
        <f>IFERROR(1/J125*(X125/H125),"0")</f>
        <v>9.1575091575091583E-2</v>
      </c>
      <c r="BP125" s="78">
        <f>IFERROR(1/J125*(Y125/H125),"0")</f>
        <v>9.3406593406593408E-2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IFERROR(X122/H122,"0")+IFERROR(X123/H123,"0")+IFERROR(X124/H124,"0")+IFERROR(X125/H125,"0")</f>
        <v>282.71604938271605</v>
      </c>
      <c r="Y126" s="43">
        <f>IFERROR(Y122/H122,"0")+IFERROR(Y123/H123,"0")+IFERROR(Y124/H124,"0")+IFERROR(Y125/H125,"0")</f>
        <v>284</v>
      </c>
      <c r="Z126" s="43">
        <f>IFERROR(IF(Z122="",0,Z122),"0")+IFERROR(IF(Z123="",0,Z123),"0")+IFERROR(IF(Z124="",0,Z124),"0")+IFERROR(IF(Z125="",0,Z125),"0")</f>
        <v>2.47234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IFERROR(SUM(X122:X125),"0")</f>
        <v>1015</v>
      </c>
      <c r="Y127" s="43">
        <f>IFERROR(SUM(Y122:Y125),"0")</f>
        <v>1021.5000000000001</v>
      </c>
      <c r="Z127" s="42"/>
      <c r="AA127" s="67"/>
      <c r="AB127" s="67"/>
      <c r="AC127" s="67"/>
    </row>
    <row r="128" spans="1:68" ht="14.25" hidden="1" customHeight="1" x14ac:dyDescent="0.25">
      <c r="A128" s="620" t="s">
        <v>183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21">
        <v>4680115880238</v>
      </c>
      <c r="E129" s="621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3"/>
      <c r="R129" s="623"/>
      <c r="S129" s="623"/>
      <c r="T129" s="624"/>
      <c r="U129" s="39" t="s">
        <v>46</v>
      </c>
      <c r="V129" s="39" t="s">
        <v>46</v>
      </c>
      <c r="W129" s="40" t="s">
        <v>0</v>
      </c>
      <c r="X129" s="58">
        <v>49.5</v>
      </c>
      <c r="Y129" s="55">
        <f>IFERROR(IF(X129="",0,CEILING((X129/$H129),1)*$H129),"")</f>
        <v>49.5</v>
      </c>
      <c r="Z129" s="41">
        <f>IFERROR(IF(Y129=0,"",ROUNDUP(Y129/H129,0)*0.00651),"")</f>
        <v>0.16275000000000001</v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55.95</v>
      </c>
      <c r="BN129" s="78">
        <f>IFERROR(Y129*I129/H129,"0")</f>
        <v>55.95</v>
      </c>
      <c r="BO129" s="78">
        <f>IFERROR(1/J129*(X129/H129),"0")</f>
        <v>0.13736263736263737</v>
      </c>
      <c r="BP129" s="78">
        <f>IFERROR(1/J129*(Y129/H129),"0")</f>
        <v>0.13736263736263737</v>
      </c>
    </row>
    <row r="130" spans="1:68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2" t="s">
        <v>39</v>
      </c>
      <c r="X130" s="43">
        <f>IFERROR(X129/H129,"0")</f>
        <v>25</v>
      </c>
      <c r="Y130" s="43">
        <f>IFERROR(Y129/H129,"0")</f>
        <v>25</v>
      </c>
      <c r="Z130" s="43">
        <f>IFERROR(IF(Z129="",0,Z129),"0")</f>
        <v>0.16275000000000001</v>
      </c>
      <c r="AA130" s="67"/>
      <c r="AB130" s="67"/>
      <c r="AC130" s="67"/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0</v>
      </c>
      <c r="X131" s="43">
        <f>IFERROR(SUM(X129:X129),"0")</f>
        <v>49.5</v>
      </c>
      <c r="Y131" s="43">
        <f>IFERROR(SUM(Y129:Y129),"0")</f>
        <v>49.5</v>
      </c>
      <c r="Z131" s="42"/>
      <c r="AA131" s="67"/>
      <c r="AB131" s="67"/>
      <c r="AC131" s="67"/>
    </row>
    <row r="132" spans="1:68" ht="16.5" hidden="1" customHeight="1" x14ac:dyDescent="0.25">
      <c r="A132" s="636" t="s">
        <v>253</v>
      </c>
      <c r="B132" s="636"/>
      <c r="C132" s="636"/>
      <c r="D132" s="636"/>
      <c r="E132" s="636"/>
      <c r="F132" s="636"/>
      <c r="G132" s="636"/>
      <c r="H132" s="636"/>
      <c r="I132" s="636"/>
      <c r="J132" s="636"/>
      <c r="K132" s="636"/>
      <c r="L132" s="636"/>
      <c r="M132" s="636"/>
      <c r="N132" s="636"/>
      <c r="O132" s="636"/>
      <c r="P132" s="636"/>
      <c r="Q132" s="636"/>
      <c r="R132" s="636"/>
      <c r="S132" s="636"/>
      <c r="T132" s="636"/>
      <c r="U132" s="636"/>
      <c r="V132" s="636"/>
      <c r="W132" s="636"/>
      <c r="X132" s="636"/>
      <c r="Y132" s="636"/>
      <c r="Z132" s="636"/>
      <c r="AA132" s="65"/>
      <c r="AB132" s="65"/>
      <c r="AC132" s="79"/>
    </row>
    <row r="133" spans="1:68" ht="14.25" hidden="1" customHeight="1" x14ac:dyDescent="0.25">
      <c r="A133" s="620" t="s">
        <v>129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21">
        <v>4680115882577</v>
      </c>
      <c r="E134" s="62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3"/>
      <c r="R134" s="623"/>
      <c r="S134" s="623"/>
      <c r="T134" s="62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21">
        <v>4680115882577</v>
      </c>
      <c r="E135" s="62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4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3"/>
      <c r="R135" s="623"/>
      <c r="S135" s="623"/>
      <c r="T135" s="624"/>
      <c r="U135" s="39" t="s">
        <v>46</v>
      </c>
      <c r="V135" s="39" t="s">
        <v>46</v>
      </c>
      <c r="W135" s="40" t="s">
        <v>0</v>
      </c>
      <c r="X135" s="58">
        <v>100</v>
      </c>
      <c r="Y135" s="55">
        <f>IFERROR(IF(X135="",0,CEILING((X135/$H135),1)*$H135),"")</f>
        <v>102.4</v>
      </c>
      <c r="Z135" s="41">
        <f>IFERROR(IF(Y135=0,"",ROUNDUP(Y135/H135,0)*0.00651),"")</f>
        <v>0.20832000000000001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105.625</v>
      </c>
      <c r="BN135" s="78">
        <f>IFERROR(Y135*I135/H135,"0")</f>
        <v>108.16</v>
      </c>
      <c r="BO135" s="78">
        <f>IFERROR(1/J135*(X135/H135),"0")</f>
        <v>0.1717032967032967</v>
      </c>
      <c r="BP135" s="78">
        <f>IFERROR(1/J135*(Y135/H135),"0")</f>
        <v>0.17582417582417584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31.25</v>
      </c>
      <c r="Y136" s="43">
        <f>IFERROR(Y134/H134,"0")+IFERROR(Y135/H135,"0")</f>
        <v>32</v>
      </c>
      <c r="Z136" s="43">
        <f>IFERROR(IF(Z134="",0,Z134),"0")+IFERROR(IF(Z135="",0,Z135),"0")</f>
        <v>0.20832000000000001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100</v>
      </c>
      <c r="Y137" s="43">
        <f>IFERROR(SUM(Y134:Y135),"0")</f>
        <v>102.4</v>
      </c>
      <c r="Z137" s="42"/>
      <c r="AA137" s="67"/>
      <c r="AB137" s="67"/>
      <c r="AC137" s="67"/>
    </row>
    <row r="138" spans="1:68" ht="14.25" hidden="1" customHeight="1" x14ac:dyDescent="0.25">
      <c r="A138" s="620" t="s">
        <v>77</v>
      </c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0"/>
      <c r="T138" s="620"/>
      <c r="U138" s="620"/>
      <c r="V138" s="620"/>
      <c r="W138" s="620"/>
      <c r="X138" s="620"/>
      <c r="Y138" s="620"/>
      <c r="Z138" s="620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21">
        <v>4680115883444</v>
      </c>
      <c r="E139" s="621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3"/>
      <c r="R139" s="623"/>
      <c r="S139" s="623"/>
      <c r="T139" s="624"/>
      <c r="U139" s="39" t="s">
        <v>46</v>
      </c>
      <c r="V139" s="39" t="s">
        <v>46</v>
      </c>
      <c r="W139" s="40" t="s">
        <v>0</v>
      </c>
      <c r="X139" s="58">
        <v>52.5</v>
      </c>
      <c r="Y139" s="55">
        <f>IFERROR(IF(X139="",0,CEILING((X139/$H139),1)*$H139),"")</f>
        <v>53.199999999999996</v>
      </c>
      <c r="Z139" s="41">
        <f>IFERROR(IF(Y139=0,"",ROUNDUP(Y139/H139,0)*0.00651),"")</f>
        <v>0.12369000000000001</v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57.524999999999999</v>
      </c>
      <c r="BN139" s="78">
        <f>IFERROR(Y139*I139/H139,"0")</f>
        <v>58.291999999999994</v>
      </c>
      <c r="BO139" s="78">
        <f>IFERROR(1/J139*(X139/H139),"0")</f>
        <v>0.10302197802197803</v>
      </c>
      <c r="BP139" s="78">
        <f>IFERROR(1/J139*(Y139/H139),"0")</f>
        <v>0.1043956043956044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21">
        <v>4680115883444</v>
      </c>
      <c r="E140" s="621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3"/>
      <c r="R140" s="623"/>
      <c r="S140" s="623"/>
      <c r="T140" s="62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2" t="s">
        <v>39</v>
      </c>
      <c r="X141" s="43">
        <f>IFERROR(X139/H139,"0")+IFERROR(X140/H140,"0")</f>
        <v>18.75</v>
      </c>
      <c r="Y141" s="43">
        <f>IFERROR(Y139/H139,"0")+IFERROR(Y140/H140,"0")</f>
        <v>19</v>
      </c>
      <c r="Z141" s="43">
        <f>IFERROR(IF(Z139="",0,Z139),"0")+IFERROR(IF(Z140="",0,Z140),"0")</f>
        <v>0.12369000000000001</v>
      </c>
      <c r="AA141" s="67"/>
      <c r="AB141" s="67"/>
      <c r="AC141" s="67"/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0</v>
      </c>
      <c r="X142" s="43">
        <f>IFERROR(SUM(X139:X140),"0")</f>
        <v>52.5</v>
      </c>
      <c r="Y142" s="43">
        <f>IFERROR(SUM(Y139:Y140),"0")</f>
        <v>53.199999999999996</v>
      </c>
      <c r="Z142" s="42"/>
      <c r="AA142" s="67"/>
      <c r="AB142" s="67"/>
      <c r="AC142" s="67"/>
    </row>
    <row r="143" spans="1:68" ht="14.25" hidden="1" customHeight="1" x14ac:dyDescent="0.25">
      <c r="A143" s="620" t="s">
        <v>86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21">
        <v>4680115882584</v>
      </c>
      <c r="E144" s="621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3"/>
      <c r="R144" s="623"/>
      <c r="S144" s="623"/>
      <c r="T144" s="624"/>
      <c r="U144" s="39" t="s">
        <v>46</v>
      </c>
      <c r="V144" s="39" t="s">
        <v>46</v>
      </c>
      <c r="W144" s="40" t="s">
        <v>0</v>
      </c>
      <c r="X144" s="58">
        <v>99</v>
      </c>
      <c r="Y144" s="55">
        <f>IFERROR(IF(X144="",0,CEILING((X144/$H144),1)*$H144),"")</f>
        <v>100.32000000000001</v>
      </c>
      <c r="Z144" s="41">
        <f>IFERROR(IF(Y144=0,"",ROUNDUP(Y144/H144,0)*0.00651),"")</f>
        <v>0.24738000000000002</v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109.05</v>
      </c>
      <c r="BN144" s="78">
        <f>IFERROR(Y144*I144/H144,"0")</f>
        <v>110.504</v>
      </c>
      <c r="BO144" s="78">
        <f>IFERROR(1/J144*(X144/H144),"0")</f>
        <v>0.20604395604395606</v>
      </c>
      <c r="BP144" s="78">
        <f>IFERROR(1/J144*(Y144/H144),"0")</f>
        <v>0.2087912087912088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21">
        <v>4680115882584</v>
      </c>
      <c r="E145" s="621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3"/>
      <c r="R145" s="623"/>
      <c r="S145" s="623"/>
      <c r="T145" s="624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2" t="s">
        <v>39</v>
      </c>
      <c r="X146" s="43">
        <f>IFERROR(X144/H144,"0")+IFERROR(X145/H145,"0")</f>
        <v>37.5</v>
      </c>
      <c r="Y146" s="43">
        <f>IFERROR(Y144/H144,"0")+IFERROR(Y145/H145,"0")</f>
        <v>38</v>
      </c>
      <c r="Z146" s="43">
        <f>IFERROR(IF(Z144="",0,Z144),"0")+IFERROR(IF(Z145="",0,Z145),"0")</f>
        <v>0.24738000000000002</v>
      </c>
      <c r="AA146" s="67"/>
      <c r="AB146" s="67"/>
      <c r="AC146" s="67"/>
    </row>
    <row r="147" spans="1:68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2" t="s">
        <v>0</v>
      </c>
      <c r="X147" s="43">
        <f>IFERROR(SUM(X144:X145),"0")</f>
        <v>99</v>
      </c>
      <c r="Y147" s="43">
        <f>IFERROR(SUM(Y144:Y145),"0")</f>
        <v>100.32000000000001</v>
      </c>
      <c r="Z147" s="42"/>
      <c r="AA147" s="67"/>
      <c r="AB147" s="67"/>
      <c r="AC147" s="67"/>
    </row>
    <row r="148" spans="1:68" ht="16.5" hidden="1" customHeight="1" x14ac:dyDescent="0.25">
      <c r="A148" s="636" t="s">
        <v>265</v>
      </c>
      <c r="B148" s="636"/>
      <c r="C148" s="636"/>
      <c r="D148" s="636"/>
      <c r="E148" s="636"/>
      <c r="F148" s="636"/>
      <c r="G148" s="636"/>
      <c r="H148" s="636"/>
      <c r="I148" s="636"/>
      <c r="J148" s="636"/>
      <c r="K148" s="636"/>
      <c r="L148" s="636"/>
      <c r="M148" s="636"/>
      <c r="N148" s="636"/>
      <c r="O148" s="636"/>
      <c r="P148" s="636"/>
      <c r="Q148" s="636"/>
      <c r="R148" s="636"/>
      <c r="S148" s="636"/>
      <c r="T148" s="636"/>
      <c r="U148" s="636"/>
      <c r="V148" s="636"/>
      <c r="W148" s="636"/>
      <c r="X148" s="636"/>
      <c r="Y148" s="636"/>
      <c r="Z148" s="636"/>
      <c r="AA148" s="65"/>
      <c r="AB148" s="65"/>
      <c r="AC148" s="79"/>
    </row>
    <row r="149" spans="1:68" ht="14.25" hidden="1" customHeight="1" x14ac:dyDescent="0.25">
      <c r="A149" s="620" t="s">
        <v>86</v>
      </c>
      <c r="B149" s="620"/>
      <c r="C149" s="620"/>
      <c r="D149" s="620"/>
      <c r="E149" s="620"/>
      <c r="F149" s="620"/>
      <c r="G149" s="620"/>
      <c r="H149" s="620"/>
      <c r="I149" s="620"/>
      <c r="J149" s="620"/>
      <c r="K149" s="620"/>
      <c r="L149" s="620"/>
      <c r="M149" s="620"/>
      <c r="N149" s="620"/>
      <c r="O149" s="620"/>
      <c r="P149" s="620"/>
      <c r="Q149" s="620"/>
      <c r="R149" s="620"/>
      <c r="S149" s="620"/>
      <c r="T149" s="620"/>
      <c r="U149" s="620"/>
      <c r="V149" s="620"/>
      <c r="W149" s="620"/>
      <c r="X149" s="620"/>
      <c r="Y149" s="620"/>
      <c r="Z149" s="620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21">
        <v>4680115888203</v>
      </c>
      <c r="E150" s="62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3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3"/>
      <c r="R150" s="623"/>
      <c r="S150" s="623"/>
      <c r="T150" s="62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21">
        <v>4680115888180</v>
      </c>
      <c r="E151" s="62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3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3"/>
      <c r="R151" s="623"/>
      <c r="S151" s="623"/>
      <c r="T151" s="62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21">
        <v>4680115888197</v>
      </c>
      <c r="E152" s="621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3"/>
      <c r="R152" s="623"/>
      <c r="S152" s="623"/>
      <c r="T152" s="624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21">
        <v>4680115888210</v>
      </c>
      <c r="E153" s="62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3"/>
      <c r="R153" s="623"/>
      <c r="S153" s="623"/>
      <c r="T153" s="624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36" t="s">
        <v>127</v>
      </c>
      <c r="B156" s="636"/>
      <c r="C156" s="636"/>
      <c r="D156" s="636"/>
      <c r="E156" s="636"/>
      <c r="F156" s="636"/>
      <c r="G156" s="636"/>
      <c r="H156" s="636"/>
      <c r="I156" s="636"/>
      <c r="J156" s="636"/>
      <c r="K156" s="636"/>
      <c r="L156" s="636"/>
      <c r="M156" s="636"/>
      <c r="N156" s="636"/>
      <c r="O156" s="636"/>
      <c r="P156" s="636"/>
      <c r="Q156" s="636"/>
      <c r="R156" s="636"/>
      <c r="S156" s="636"/>
      <c r="T156" s="636"/>
      <c r="U156" s="636"/>
      <c r="V156" s="636"/>
      <c r="W156" s="636"/>
      <c r="X156" s="636"/>
      <c r="Y156" s="636"/>
      <c r="Z156" s="636"/>
      <c r="AA156" s="65"/>
      <c r="AB156" s="65"/>
      <c r="AC156" s="79"/>
    </row>
    <row r="157" spans="1:68" ht="14.25" hidden="1" customHeight="1" x14ac:dyDescent="0.25">
      <c r="A157" s="620" t="s">
        <v>129</v>
      </c>
      <c r="B157" s="620"/>
      <c r="C157" s="620"/>
      <c r="D157" s="620"/>
      <c r="E157" s="620"/>
      <c r="F157" s="620"/>
      <c r="G157" s="620"/>
      <c r="H157" s="620"/>
      <c r="I157" s="620"/>
      <c r="J157" s="620"/>
      <c r="K157" s="620"/>
      <c r="L157" s="620"/>
      <c r="M157" s="620"/>
      <c r="N157" s="620"/>
      <c r="O157" s="620"/>
      <c r="P157" s="620"/>
      <c r="Q157" s="620"/>
      <c r="R157" s="620"/>
      <c r="S157" s="620"/>
      <c r="T157" s="620"/>
      <c r="U157" s="620"/>
      <c r="V157" s="620"/>
      <c r="W157" s="620"/>
      <c r="X157" s="620"/>
      <c r="Y157" s="620"/>
      <c r="Z157" s="620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21">
        <v>4680115887374</v>
      </c>
      <c r="E158" s="621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3"/>
      <c r="R158" s="623"/>
      <c r="S158" s="623"/>
      <c r="T158" s="62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21">
        <v>4607091384604</v>
      </c>
      <c r="E159" s="621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3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3"/>
      <c r="R159" s="623"/>
      <c r="S159" s="623"/>
      <c r="T159" s="624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28"/>
      <c r="B160" s="628"/>
      <c r="C160" s="628"/>
      <c r="D160" s="628"/>
      <c r="E160" s="628"/>
      <c r="F160" s="628"/>
      <c r="G160" s="628"/>
      <c r="H160" s="628"/>
      <c r="I160" s="628"/>
      <c r="J160" s="628"/>
      <c r="K160" s="628"/>
      <c r="L160" s="628"/>
      <c r="M160" s="628"/>
      <c r="N160" s="628"/>
      <c r="O160" s="629"/>
      <c r="P160" s="625" t="s">
        <v>40</v>
      </c>
      <c r="Q160" s="626"/>
      <c r="R160" s="626"/>
      <c r="S160" s="626"/>
      <c r="T160" s="626"/>
      <c r="U160" s="626"/>
      <c r="V160" s="627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28"/>
      <c r="B161" s="628"/>
      <c r="C161" s="628"/>
      <c r="D161" s="628"/>
      <c r="E161" s="628"/>
      <c r="F161" s="628"/>
      <c r="G161" s="628"/>
      <c r="H161" s="628"/>
      <c r="I161" s="628"/>
      <c r="J161" s="628"/>
      <c r="K161" s="628"/>
      <c r="L161" s="628"/>
      <c r="M161" s="628"/>
      <c r="N161" s="628"/>
      <c r="O161" s="629"/>
      <c r="P161" s="625" t="s">
        <v>40</v>
      </c>
      <c r="Q161" s="626"/>
      <c r="R161" s="626"/>
      <c r="S161" s="626"/>
      <c r="T161" s="626"/>
      <c r="U161" s="626"/>
      <c r="V161" s="627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20" t="s">
        <v>166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21">
        <v>4680115887695</v>
      </c>
      <c r="E163" s="621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3"/>
      <c r="R163" s="623"/>
      <c r="S163" s="623"/>
      <c r="T163" s="62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20" t="s">
        <v>77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21">
        <v>4680115887428</v>
      </c>
      <c r="E167" s="621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3"/>
      <c r="R167" s="623"/>
      <c r="S167" s="623"/>
      <c r="T167" s="62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21">
        <v>4607091382426</v>
      </c>
      <c r="E168" s="621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3"/>
      <c r="R168" s="623"/>
      <c r="S168" s="623"/>
      <c r="T168" s="62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21">
        <v>4680115887398</v>
      </c>
      <c r="E169" s="62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3"/>
      <c r="R169" s="623"/>
      <c r="S169" s="623"/>
      <c r="T169" s="62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21">
        <v>4680115887336</v>
      </c>
      <c r="E170" s="62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3"/>
      <c r="R170" s="623"/>
      <c r="S170" s="623"/>
      <c r="T170" s="62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21">
        <v>4680115887787</v>
      </c>
      <c r="E171" s="62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3"/>
      <c r="R171" s="623"/>
      <c r="S171" s="623"/>
      <c r="T171" s="624"/>
      <c r="U171" s="39" t="s">
        <v>46</v>
      </c>
      <c r="V171" s="39" t="s">
        <v>46</v>
      </c>
      <c r="W171" s="40" t="s">
        <v>0</v>
      </c>
      <c r="X171" s="58">
        <v>10.799999999999999</v>
      </c>
      <c r="Y171" s="55">
        <f t="shared" si="15"/>
        <v>10.8</v>
      </c>
      <c r="Z171" s="41">
        <f>IFERROR(IF(Y171=0,"",ROUNDUP(Y171/H171,0)*0.00417),"")</f>
        <v>5.0040000000000001E-2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13.319999999999999</v>
      </c>
      <c r="BN171" s="78">
        <f t="shared" si="17"/>
        <v>13.32</v>
      </c>
      <c r="BO171" s="78">
        <f t="shared" si="18"/>
        <v>3.5714285714285705E-2</v>
      </c>
      <c r="BP171" s="78">
        <f t="shared" si="19"/>
        <v>3.5714285714285712E-2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21">
        <v>4680115887503</v>
      </c>
      <c r="E172" s="62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3"/>
      <c r="R172" s="623"/>
      <c r="S172" s="623"/>
      <c r="T172" s="624"/>
      <c r="U172" s="39" t="s">
        <v>46</v>
      </c>
      <c r="V172" s="39" t="s">
        <v>46</v>
      </c>
      <c r="W172" s="40" t="s">
        <v>0</v>
      </c>
      <c r="X172" s="58">
        <v>56.000000000000007</v>
      </c>
      <c r="Y172" s="55">
        <f t="shared" si="15"/>
        <v>57.12</v>
      </c>
      <c r="Z172" s="41">
        <f>IFERROR(IF(Y172=0,"",ROUNDUP(Y172/H172,0)*0.00502),"")</f>
        <v>0.17068</v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59.33333333333335</v>
      </c>
      <c r="BN172" s="78">
        <f t="shared" si="17"/>
        <v>60.519999999999996</v>
      </c>
      <c r="BO172" s="78">
        <f t="shared" si="18"/>
        <v>0.14245014245014248</v>
      </c>
      <c r="BP172" s="78">
        <f t="shared" si="19"/>
        <v>0.14529914529914531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21">
        <v>4680115887763</v>
      </c>
      <c r="E173" s="62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3"/>
      <c r="R173" s="623"/>
      <c r="S173" s="623"/>
      <c r="T173" s="62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21">
        <v>4680115887763</v>
      </c>
      <c r="E174" s="62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2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3"/>
      <c r="R174" s="623"/>
      <c r="S174" s="623"/>
      <c r="T174" s="62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21">
        <v>4680115887480</v>
      </c>
      <c r="E175" s="62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3"/>
      <c r="R175" s="623"/>
      <c r="S175" s="623"/>
      <c r="T175" s="624"/>
      <c r="U175" s="39" t="s">
        <v>46</v>
      </c>
      <c r="V175" s="39" t="s">
        <v>46</v>
      </c>
      <c r="W175" s="40" t="s">
        <v>0</v>
      </c>
      <c r="X175" s="58">
        <v>78.400000000000006</v>
      </c>
      <c r="Y175" s="55">
        <f t="shared" si="15"/>
        <v>78.959999999999994</v>
      </c>
      <c r="Z175" s="41">
        <f>IFERROR(IF(Y175=0,"",ROUNDUP(Y175/H175,0)*0.00502),"")</f>
        <v>0.23594000000000001</v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83.066666666666677</v>
      </c>
      <c r="BN175" s="78">
        <f t="shared" si="17"/>
        <v>83.66</v>
      </c>
      <c r="BO175" s="78">
        <f t="shared" si="18"/>
        <v>0.19943019943019946</v>
      </c>
      <c r="BP175" s="78">
        <f t="shared" si="19"/>
        <v>0.20085470085470086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21">
        <v>4680115888067</v>
      </c>
      <c r="E176" s="62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3"/>
      <c r="R176" s="623"/>
      <c r="S176" s="623"/>
      <c r="T176" s="62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21">
        <v>4680115887435</v>
      </c>
      <c r="E177" s="62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3"/>
      <c r="R177" s="623"/>
      <c r="S177" s="623"/>
      <c r="T177" s="62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92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93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0.45666000000000001</v>
      </c>
      <c r="AA178" s="67"/>
      <c r="AB178" s="67"/>
      <c r="AC178" s="67"/>
    </row>
    <row r="179" spans="1:68" x14ac:dyDescent="0.2">
      <c r="A179" s="628"/>
      <c r="B179" s="628"/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9"/>
      <c r="P179" s="625" t="s">
        <v>40</v>
      </c>
      <c r="Q179" s="626"/>
      <c r="R179" s="626"/>
      <c r="S179" s="626"/>
      <c r="T179" s="626"/>
      <c r="U179" s="626"/>
      <c r="V179" s="627"/>
      <c r="W179" s="42" t="s">
        <v>0</v>
      </c>
      <c r="X179" s="43">
        <f>IFERROR(SUM(X167:X177),"0")</f>
        <v>145.20000000000002</v>
      </c>
      <c r="Y179" s="43">
        <f>IFERROR(SUM(Y167:Y177),"0")</f>
        <v>146.88</v>
      </c>
      <c r="Z179" s="42"/>
      <c r="AA179" s="67"/>
      <c r="AB179" s="67"/>
      <c r="AC179" s="67"/>
    </row>
    <row r="180" spans="1:68" ht="14.25" hidden="1" customHeight="1" x14ac:dyDescent="0.25">
      <c r="A180" s="620" t="s">
        <v>86</v>
      </c>
      <c r="B180" s="620"/>
      <c r="C180" s="620"/>
      <c r="D180" s="620"/>
      <c r="E180" s="620"/>
      <c r="F180" s="620"/>
      <c r="G180" s="620"/>
      <c r="H180" s="620"/>
      <c r="I180" s="620"/>
      <c r="J180" s="620"/>
      <c r="K180" s="620"/>
      <c r="L180" s="620"/>
      <c r="M180" s="620"/>
      <c r="N180" s="620"/>
      <c r="O180" s="620"/>
      <c r="P180" s="620"/>
      <c r="Q180" s="620"/>
      <c r="R180" s="620"/>
      <c r="S180" s="620"/>
      <c r="T180" s="620"/>
      <c r="U180" s="620"/>
      <c r="V180" s="620"/>
      <c r="W180" s="620"/>
      <c r="X180" s="620"/>
      <c r="Y180" s="620"/>
      <c r="Z180" s="620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21">
        <v>4680115888395</v>
      </c>
      <c r="E181" s="62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3"/>
      <c r="R181" s="623"/>
      <c r="S181" s="623"/>
      <c r="T181" s="62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21">
        <v>4680115888371</v>
      </c>
      <c r="E182" s="62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3"/>
      <c r="R182" s="623"/>
      <c r="S182" s="623"/>
      <c r="T182" s="62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21">
        <v>4680115887459</v>
      </c>
      <c r="E183" s="62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3"/>
      <c r="R183" s="623"/>
      <c r="S183" s="623"/>
      <c r="T183" s="62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28"/>
      <c r="B184" s="628"/>
      <c r="C184" s="628"/>
      <c r="D184" s="628"/>
      <c r="E184" s="628"/>
      <c r="F184" s="628"/>
      <c r="G184" s="628"/>
      <c r="H184" s="628"/>
      <c r="I184" s="628"/>
      <c r="J184" s="628"/>
      <c r="K184" s="628"/>
      <c r="L184" s="628"/>
      <c r="M184" s="628"/>
      <c r="N184" s="628"/>
      <c r="O184" s="629"/>
      <c r="P184" s="625" t="s">
        <v>40</v>
      </c>
      <c r="Q184" s="626"/>
      <c r="R184" s="626"/>
      <c r="S184" s="626"/>
      <c r="T184" s="626"/>
      <c r="U184" s="626"/>
      <c r="V184" s="62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28"/>
      <c r="B185" s="628"/>
      <c r="C185" s="628"/>
      <c r="D185" s="628"/>
      <c r="E185" s="628"/>
      <c r="F185" s="628"/>
      <c r="G185" s="628"/>
      <c r="H185" s="628"/>
      <c r="I185" s="628"/>
      <c r="J185" s="628"/>
      <c r="K185" s="628"/>
      <c r="L185" s="628"/>
      <c r="M185" s="628"/>
      <c r="N185" s="628"/>
      <c r="O185" s="629"/>
      <c r="P185" s="625" t="s">
        <v>40</v>
      </c>
      <c r="Q185" s="626"/>
      <c r="R185" s="626"/>
      <c r="S185" s="626"/>
      <c r="T185" s="626"/>
      <c r="U185" s="626"/>
      <c r="V185" s="62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20" t="s">
        <v>104</v>
      </c>
      <c r="B186" s="620"/>
      <c r="C186" s="620"/>
      <c r="D186" s="620"/>
      <c r="E186" s="620"/>
      <c r="F186" s="620"/>
      <c r="G186" s="620"/>
      <c r="H186" s="620"/>
      <c r="I186" s="620"/>
      <c r="J186" s="620"/>
      <c r="K186" s="620"/>
      <c r="L186" s="620"/>
      <c r="M186" s="620"/>
      <c r="N186" s="620"/>
      <c r="O186" s="620"/>
      <c r="P186" s="620"/>
      <c r="Q186" s="620"/>
      <c r="R186" s="620"/>
      <c r="S186" s="620"/>
      <c r="T186" s="620"/>
      <c r="U186" s="620"/>
      <c r="V186" s="620"/>
      <c r="W186" s="620"/>
      <c r="X186" s="620"/>
      <c r="Y186" s="620"/>
      <c r="Z186" s="620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21">
        <v>4680115889026</v>
      </c>
      <c r="E187" s="62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3"/>
      <c r="R187" s="623"/>
      <c r="S187" s="623"/>
      <c r="T187" s="62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21">
        <v>4680115889088</v>
      </c>
      <c r="E188" s="62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3"/>
      <c r="R188" s="623"/>
      <c r="S188" s="623"/>
      <c r="T188" s="62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28"/>
      <c r="B190" s="628"/>
      <c r="C190" s="628"/>
      <c r="D190" s="628"/>
      <c r="E190" s="628"/>
      <c r="F190" s="628"/>
      <c r="G190" s="628"/>
      <c r="H190" s="628"/>
      <c r="I190" s="628"/>
      <c r="J190" s="628"/>
      <c r="K190" s="628"/>
      <c r="L190" s="628"/>
      <c r="M190" s="628"/>
      <c r="N190" s="628"/>
      <c r="O190" s="629"/>
      <c r="P190" s="625" t="s">
        <v>40</v>
      </c>
      <c r="Q190" s="626"/>
      <c r="R190" s="626"/>
      <c r="S190" s="626"/>
      <c r="T190" s="626"/>
      <c r="U190" s="626"/>
      <c r="V190" s="62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20" t="s">
        <v>332</v>
      </c>
      <c r="B191" s="620"/>
      <c r="C191" s="620"/>
      <c r="D191" s="620"/>
      <c r="E191" s="620"/>
      <c r="F191" s="620"/>
      <c r="G191" s="620"/>
      <c r="H191" s="620"/>
      <c r="I191" s="620"/>
      <c r="J191" s="620"/>
      <c r="K191" s="620"/>
      <c r="L191" s="620"/>
      <c r="M191" s="620"/>
      <c r="N191" s="620"/>
      <c r="O191" s="620"/>
      <c r="P191" s="620"/>
      <c r="Q191" s="620"/>
      <c r="R191" s="620"/>
      <c r="S191" s="620"/>
      <c r="T191" s="620"/>
      <c r="U191" s="620"/>
      <c r="V191" s="620"/>
      <c r="W191" s="620"/>
      <c r="X191" s="620"/>
      <c r="Y191" s="620"/>
      <c r="Z191" s="620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21">
        <v>4680115889033</v>
      </c>
      <c r="E192" s="62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3"/>
      <c r="R192" s="623"/>
      <c r="S192" s="623"/>
      <c r="T192" s="62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28"/>
      <c r="B194" s="628"/>
      <c r="C194" s="628"/>
      <c r="D194" s="628"/>
      <c r="E194" s="628"/>
      <c r="F194" s="628"/>
      <c r="G194" s="628"/>
      <c r="H194" s="628"/>
      <c r="I194" s="628"/>
      <c r="J194" s="628"/>
      <c r="K194" s="628"/>
      <c r="L194" s="628"/>
      <c r="M194" s="628"/>
      <c r="N194" s="628"/>
      <c r="O194" s="629"/>
      <c r="P194" s="625" t="s">
        <v>40</v>
      </c>
      <c r="Q194" s="626"/>
      <c r="R194" s="626"/>
      <c r="S194" s="626"/>
      <c r="T194" s="626"/>
      <c r="U194" s="626"/>
      <c r="V194" s="62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41" t="s">
        <v>336</v>
      </c>
      <c r="B195" s="641"/>
      <c r="C195" s="641"/>
      <c r="D195" s="641"/>
      <c r="E195" s="641"/>
      <c r="F195" s="641"/>
      <c r="G195" s="641"/>
      <c r="H195" s="641"/>
      <c r="I195" s="641"/>
      <c r="J195" s="641"/>
      <c r="K195" s="641"/>
      <c r="L195" s="641"/>
      <c r="M195" s="641"/>
      <c r="N195" s="641"/>
      <c r="O195" s="641"/>
      <c r="P195" s="641"/>
      <c r="Q195" s="641"/>
      <c r="R195" s="641"/>
      <c r="S195" s="641"/>
      <c r="T195" s="641"/>
      <c r="U195" s="641"/>
      <c r="V195" s="641"/>
      <c r="W195" s="641"/>
      <c r="X195" s="641"/>
      <c r="Y195" s="641"/>
      <c r="Z195" s="641"/>
      <c r="AA195" s="54"/>
      <c r="AB195" s="54"/>
      <c r="AC195" s="54"/>
    </row>
    <row r="196" spans="1:68" ht="16.5" hidden="1" customHeight="1" x14ac:dyDescent="0.25">
      <c r="A196" s="636" t="s">
        <v>337</v>
      </c>
      <c r="B196" s="636"/>
      <c r="C196" s="636"/>
      <c r="D196" s="636"/>
      <c r="E196" s="636"/>
      <c r="F196" s="636"/>
      <c r="G196" s="636"/>
      <c r="H196" s="636"/>
      <c r="I196" s="636"/>
      <c r="J196" s="636"/>
      <c r="K196" s="636"/>
      <c r="L196" s="636"/>
      <c r="M196" s="636"/>
      <c r="N196" s="636"/>
      <c r="O196" s="636"/>
      <c r="P196" s="636"/>
      <c r="Q196" s="636"/>
      <c r="R196" s="636"/>
      <c r="S196" s="636"/>
      <c r="T196" s="636"/>
      <c r="U196" s="636"/>
      <c r="V196" s="636"/>
      <c r="W196" s="636"/>
      <c r="X196" s="636"/>
      <c r="Y196" s="636"/>
      <c r="Z196" s="636"/>
      <c r="AA196" s="65"/>
      <c r="AB196" s="65"/>
      <c r="AC196" s="79"/>
    </row>
    <row r="197" spans="1:68" ht="14.25" hidden="1" customHeight="1" x14ac:dyDescent="0.25">
      <c r="A197" s="620" t="s">
        <v>129</v>
      </c>
      <c r="B197" s="620"/>
      <c r="C197" s="620"/>
      <c r="D197" s="620"/>
      <c r="E197" s="620"/>
      <c r="F197" s="620"/>
      <c r="G197" s="620"/>
      <c r="H197" s="620"/>
      <c r="I197" s="620"/>
      <c r="J197" s="620"/>
      <c r="K197" s="620"/>
      <c r="L197" s="620"/>
      <c r="M197" s="620"/>
      <c r="N197" s="620"/>
      <c r="O197" s="620"/>
      <c r="P197" s="620"/>
      <c r="Q197" s="620"/>
      <c r="R197" s="620"/>
      <c r="S197" s="620"/>
      <c r="T197" s="620"/>
      <c r="U197" s="620"/>
      <c r="V197" s="620"/>
      <c r="W197" s="620"/>
      <c r="X197" s="620"/>
      <c r="Y197" s="620"/>
      <c r="Z197" s="620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21">
        <v>4680115888760</v>
      </c>
      <c r="E198" s="621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3"/>
      <c r="R198" s="623"/>
      <c r="S198" s="623"/>
      <c r="T198" s="62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21">
        <v>4680115888807</v>
      </c>
      <c r="E199" s="62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3"/>
      <c r="R199" s="623"/>
      <c r="S199" s="623"/>
      <c r="T199" s="62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21">
        <v>4680115888852</v>
      </c>
      <c r="E200" s="621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1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3"/>
      <c r="R200" s="623"/>
      <c r="S200" s="623"/>
      <c r="T200" s="62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21">
        <v>4607091383423</v>
      </c>
      <c r="E201" s="621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3"/>
      <c r="R201" s="623"/>
      <c r="S201" s="623"/>
      <c r="T201" s="62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21">
        <v>4680115886957</v>
      </c>
      <c r="E202" s="62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3"/>
      <c r="R202" s="623"/>
      <c r="S202" s="623"/>
      <c r="T202" s="62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21">
        <v>4680115885660</v>
      </c>
      <c r="E203" s="62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3"/>
      <c r="R203" s="623"/>
      <c r="S203" s="623"/>
      <c r="T203" s="62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21">
        <v>4680115886773</v>
      </c>
      <c r="E204" s="62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3"/>
      <c r="R204" s="623"/>
      <c r="S204" s="623"/>
      <c r="T204" s="62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28"/>
      <c r="B205" s="628"/>
      <c r="C205" s="628"/>
      <c r="D205" s="628"/>
      <c r="E205" s="628"/>
      <c r="F205" s="628"/>
      <c r="G205" s="628"/>
      <c r="H205" s="628"/>
      <c r="I205" s="628"/>
      <c r="J205" s="628"/>
      <c r="K205" s="628"/>
      <c r="L205" s="628"/>
      <c r="M205" s="628"/>
      <c r="N205" s="628"/>
      <c r="O205" s="629"/>
      <c r="P205" s="625" t="s">
        <v>40</v>
      </c>
      <c r="Q205" s="626"/>
      <c r="R205" s="626"/>
      <c r="S205" s="626"/>
      <c r="T205" s="626"/>
      <c r="U205" s="626"/>
      <c r="V205" s="62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28"/>
      <c r="B206" s="628"/>
      <c r="C206" s="628"/>
      <c r="D206" s="628"/>
      <c r="E206" s="628"/>
      <c r="F206" s="628"/>
      <c r="G206" s="628"/>
      <c r="H206" s="628"/>
      <c r="I206" s="628"/>
      <c r="J206" s="628"/>
      <c r="K206" s="628"/>
      <c r="L206" s="628"/>
      <c r="M206" s="628"/>
      <c r="N206" s="628"/>
      <c r="O206" s="629"/>
      <c r="P206" s="625" t="s">
        <v>40</v>
      </c>
      <c r="Q206" s="626"/>
      <c r="R206" s="626"/>
      <c r="S206" s="626"/>
      <c r="T206" s="626"/>
      <c r="U206" s="626"/>
      <c r="V206" s="62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36" t="s">
        <v>358</v>
      </c>
      <c r="B207" s="636"/>
      <c r="C207" s="636"/>
      <c r="D207" s="636"/>
      <c r="E207" s="636"/>
      <c r="F207" s="636"/>
      <c r="G207" s="636"/>
      <c r="H207" s="636"/>
      <c r="I207" s="636"/>
      <c r="J207" s="636"/>
      <c r="K207" s="636"/>
      <c r="L207" s="636"/>
      <c r="M207" s="636"/>
      <c r="N207" s="636"/>
      <c r="O207" s="636"/>
      <c r="P207" s="636"/>
      <c r="Q207" s="636"/>
      <c r="R207" s="636"/>
      <c r="S207" s="636"/>
      <c r="T207" s="636"/>
      <c r="U207" s="636"/>
      <c r="V207" s="636"/>
      <c r="W207" s="636"/>
      <c r="X207" s="636"/>
      <c r="Y207" s="636"/>
      <c r="Z207" s="636"/>
      <c r="AA207" s="65"/>
      <c r="AB207" s="65"/>
      <c r="AC207" s="79"/>
    </row>
    <row r="208" spans="1:68" ht="14.25" hidden="1" customHeight="1" x14ac:dyDescent="0.25">
      <c r="A208" s="620" t="s">
        <v>166</v>
      </c>
      <c r="B208" s="620"/>
      <c r="C208" s="620"/>
      <c r="D208" s="620"/>
      <c r="E208" s="620"/>
      <c r="F208" s="620"/>
      <c r="G208" s="620"/>
      <c r="H208" s="620"/>
      <c r="I208" s="620"/>
      <c r="J208" s="620"/>
      <c r="K208" s="620"/>
      <c r="L208" s="620"/>
      <c r="M208" s="620"/>
      <c r="N208" s="620"/>
      <c r="O208" s="620"/>
      <c r="P208" s="620"/>
      <c r="Q208" s="620"/>
      <c r="R208" s="620"/>
      <c r="S208" s="620"/>
      <c r="T208" s="620"/>
      <c r="U208" s="620"/>
      <c r="V208" s="620"/>
      <c r="W208" s="620"/>
      <c r="X208" s="620"/>
      <c r="Y208" s="620"/>
      <c r="Z208" s="620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21">
        <v>4680115886223</v>
      </c>
      <c r="E209" s="62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3"/>
      <c r="R209" s="623"/>
      <c r="S209" s="623"/>
      <c r="T209" s="62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28"/>
      <c r="B210" s="628"/>
      <c r="C210" s="628"/>
      <c r="D210" s="628"/>
      <c r="E210" s="628"/>
      <c r="F210" s="628"/>
      <c r="G210" s="628"/>
      <c r="H210" s="628"/>
      <c r="I210" s="628"/>
      <c r="J210" s="628"/>
      <c r="K210" s="628"/>
      <c r="L210" s="628"/>
      <c r="M210" s="628"/>
      <c r="N210" s="628"/>
      <c r="O210" s="629"/>
      <c r="P210" s="625" t="s">
        <v>40</v>
      </c>
      <c r="Q210" s="626"/>
      <c r="R210" s="626"/>
      <c r="S210" s="626"/>
      <c r="T210" s="626"/>
      <c r="U210" s="626"/>
      <c r="V210" s="62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28"/>
      <c r="B211" s="628"/>
      <c r="C211" s="628"/>
      <c r="D211" s="628"/>
      <c r="E211" s="628"/>
      <c r="F211" s="628"/>
      <c r="G211" s="628"/>
      <c r="H211" s="628"/>
      <c r="I211" s="628"/>
      <c r="J211" s="628"/>
      <c r="K211" s="628"/>
      <c r="L211" s="628"/>
      <c r="M211" s="628"/>
      <c r="N211" s="628"/>
      <c r="O211" s="629"/>
      <c r="P211" s="625" t="s">
        <v>40</v>
      </c>
      <c r="Q211" s="626"/>
      <c r="R211" s="626"/>
      <c r="S211" s="626"/>
      <c r="T211" s="626"/>
      <c r="U211" s="626"/>
      <c r="V211" s="62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20" t="s">
        <v>77</v>
      </c>
      <c r="B212" s="620"/>
      <c r="C212" s="620"/>
      <c r="D212" s="620"/>
      <c r="E212" s="620"/>
      <c r="F212" s="620"/>
      <c r="G212" s="620"/>
      <c r="H212" s="620"/>
      <c r="I212" s="620"/>
      <c r="J212" s="620"/>
      <c r="K212" s="620"/>
      <c r="L212" s="620"/>
      <c r="M212" s="620"/>
      <c r="N212" s="620"/>
      <c r="O212" s="620"/>
      <c r="P212" s="620"/>
      <c r="Q212" s="620"/>
      <c r="R212" s="620"/>
      <c r="S212" s="620"/>
      <c r="T212" s="620"/>
      <c r="U212" s="620"/>
      <c r="V212" s="620"/>
      <c r="W212" s="620"/>
      <c r="X212" s="620"/>
      <c r="Y212" s="620"/>
      <c r="Z212" s="620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21">
        <v>4680115880993</v>
      </c>
      <c r="E213" s="62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3"/>
      <c r="R213" s="623"/>
      <c r="S213" s="623"/>
      <c r="T213" s="62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21">
        <v>4680115881761</v>
      </c>
      <c r="E214" s="62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3"/>
      <c r="R214" s="623"/>
      <c r="S214" s="623"/>
      <c r="T214" s="624"/>
      <c r="U214" s="39" t="s">
        <v>46</v>
      </c>
      <c r="V214" s="39" t="s">
        <v>46</v>
      </c>
      <c r="W214" s="40" t="s">
        <v>0</v>
      </c>
      <c r="X214" s="58">
        <v>30</v>
      </c>
      <c r="Y214" s="55">
        <f t="shared" si="26"/>
        <v>33.6</v>
      </c>
      <c r="Z214" s="41">
        <f>IFERROR(IF(Y214=0,"",ROUNDUP(Y214/H214,0)*0.00902),"")</f>
        <v>7.2160000000000002E-2</v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31.785714285714285</v>
      </c>
      <c r="BN214" s="78">
        <f t="shared" si="28"/>
        <v>35.6</v>
      </c>
      <c r="BO214" s="78">
        <f t="shared" si="29"/>
        <v>5.4112554112554112E-2</v>
      </c>
      <c r="BP214" s="78">
        <f t="shared" si="30"/>
        <v>6.0606060606060608E-2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21">
        <v>4680115881563</v>
      </c>
      <c r="E215" s="62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3"/>
      <c r="R215" s="623"/>
      <c r="S215" s="623"/>
      <c r="T215" s="62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21">
        <v>4680115887565</v>
      </c>
      <c r="E216" s="62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3"/>
      <c r="R216" s="623"/>
      <c r="S216" s="623"/>
      <c r="T216" s="62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21">
        <v>4680115880986</v>
      </c>
      <c r="E217" s="62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3"/>
      <c r="R217" s="623"/>
      <c r="S217" s="623"/>
      <c r="T217" s="624"/>
      <c r="U217" s="39" t="s">
        <v>46</v>
      </c>
      <c r="V217" s="39" t="s">
        <v>46</v>
      </c>
      <c r="W217" s="40" t="s">
        <v>0</v>
      </c>
      <c r="X217" s="58">
        <v>70</v>
      </c>
      <c r="Y217" s="55">
        <f t="shared" si="26"/>
        <v>71.400000000000006</v>
      </c>
      <c r="Z217" s="41">
        <f t="shared" ref="Z217:Z222" si="31">IFERROR(IF(Y217=0,"",ROUNDUP(Y217/H217,0)*0.00502),"")</f>
        <v>0.17068</v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74.333333333333329</v>
      </c>
      <c r="BN217" s="78">
        <f t="shared" si="28"/>
        <v>75.820000000000007</v>
      </c>
      <c r="BO217" s="78">
        <f t="shared" si="29"/>
        <v>0.14245014245014245</v>
      </c>
      <c r="BP217" s="78">
        <f t="shared" si="30"/>
        <v>0.14529914529914531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21">
        <v>4680115887213</v>
      </c>
      <c r="E218" s="62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3"/>
      <c r="R218" s="623"/>
      <c r="S218" s="623"/>
      <c r="T218" s="62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21">
        <v>4680115881785</v>
      </c>
      <c r="E219" s="62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3"/>
      <c r="R219" s="623"/>
      <c r="S219" s="623"/>
      <c r="T219" s="624"/>
      <c r="U219" s="39" t="s">
        <v>46</v>
      </c>
      <c r="V219" s="39" t="s">
        <v>46</v>
      </c>
      <c r="W219" s="40" t="s">
        <v>0</v>
      </c>
      <c r="X219" s="58">
        <v>105</v>
      </c>
      <c r="Y219" s="55">
        <f t="shared" si="26"/>
        <v>105</v>
      </c>
      <c r="Z219" s="41">
        <f t="shared" si="31"/>
        <v>0.251</v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111.5</v>
      </c>
      <c r="BN219" s="78">
        <f t="shared" si="28"/>
        <v>111.5</v>
      </c>
      <c r="BO219" s="78">
        <f t="shared" si="29"/>
        <v>0.21367521367521369</v>
      </c>
      <c r="BP219" s="78">
        <f t="shared" si="30"/>
        <v>0.21367521367521369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21">
        <v>4680115888432</v>
      </c>
      <c r="E220" s="62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3"/>
      <c r="R220" s="623"/>
      <c r="S220" s="623"/>
      <c r="T220" s="62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21">
        <v>4680115888104</v>
      </c>
      <c r="E221" s="62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3"/>
      <c r="R221" s="623"/>
      <c r="S221" s="623"/>
      <c r="T221" s="62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21">
        <v>4680115886537</v>
      </c>
      <c r="E222" s="62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3"/>
      <c r="R222" s="623"/>
      <c r="S222" s="623"/>
      <c r="T222" s="62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21">
        <v>4680115887596</v>
      </c>
      <c r="E223" s="62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3"/>
      <c r="R223" s="623"/>
      <c r="S223" s="623"/>
      <c r="T223" s="62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21">
        <v>4680115881679</v>
      </c>
      <c r="E224" s="62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3"/>
      <c r="R224" s="623"/>
      <c r="S224" s="623"/>
      <c r="T224" s="624"/>
      <c r="U224" s="39" t="s">
        <v>46</v>
      </c>
      <c r="V224" s="39" t="s">
        <v>46</v>
      </c>
      <c r="W224" s="40" t="s">
        <v>0</v>
      </c>
      <c r="X224" s="58">
        <v>175</v>
      </c>
      <c r="Y224" s="55">
        <f t="shared" si="26"/>
        <v>176.4</v>
      </c>
      <c r="Z224" s="41">
        <f>IFERROR(IF(Y224=0,"",ROUNDUP(Y224/H224,0)*0.00502),"")</f>
        <v>0.42168</v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183.33333333333334</v>
      </c>
      <c r="BN224" s="78">
        <f t="shared" si="28"/>
        <v>184.8</v>
      </c>
      <c r="BO224" s="78">
        <f t="shared" si="29"/>
        <v>0.35612535612535612</v>
      </c>
      <c r="BP224" s="78">
        <f t="shared" si="30"/>
        <v>0.35897435897435903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21">
        <v>4680115880191</v>
      </c>
      <c r="E225" s="62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3"/>
      <c r="R225" s="623"/>
      <c r="S225" s="623"/>
      <c r="T225" s="62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21">
        <v>4680115883963</v>
      </c>
      <c r="E226" s="62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3"/>
      <c r="R226" s="623"/>
      <c r="S226" s="623"/>
      <c r="T226" s="62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173.8095238095238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176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0.91552</v>
      </c>
      <c r="AA227" s="67"/>
      <c r="AB227" s="67"/>
      <c r="AC227" s="67"/>
    </row>
    <row r="228" spans="1:68" x14ac:dyDescent="0.2">
      <c r="A228" s="628"/>
      <c r="B228" s="628"/>
      <c r="C228" s="628"/>
      <c r="D228" s="628"/>
      <c r="E228" s="628"/>
      <c r="F228" s="628"/>
      <c r="G228" s="628"/>
      <c r="H228" s="628"/>
      <c r="I228" s="628"/>
      <c r="J228" s="628"/>
      <c r="K228" s="628"/>
      <c r="L228" s="628"/>
      <c r="M228" s="628"/>
      <c r="N228" s="628"/>
      <c r="O228" s="629"/>
      <c r="P228" s="625" t="s">
        <v>40</v>
      </c>
      <c r="Q228" s="626"/>
      <c r="R228" s="626"/>
      <c r="S228" s="626"/>
      <c r="T228" s="626"/>
      <c r="U228" s="626"/>
      <c r="V228" s="627"/>
      <c r="W228" s="42" t="s">
        <v>0</v>
      </c>
      <c r="X228" s="43">
        <f>IFERROR(SUM(X213:X226),"0")</f>
        <v>380</v>
      </c>
      <c r="Y228" s="43">
        <f>IFERROR(SUM(Y213:Y226),"0")</f>
        <v>386.4</v>
      </c>
      <c r="Z228" s="42"/>
      <c r="AA228" s="67"/>
      <c r="AB228" s="67"/>
      <c r="AC228" s="67"/>
    </row>
    <row r="229" spans="1:68" ht="14.25" hidden="1" customHeight="1" x14ac:dyDescent="0.25">
      <c r="A229" s="620" t="s">
        <v>86</v>
      </c>
      <c r="B229" s="620"/>
      <c r="C229" s="620"/>
      <c r="D229" s="620"/>
      <c r="E229" s="620"/>
      <c r="F229" s="620"/>
      <c r="G229" s="620"/>
      <c r="H229" s="620"/>
      <c r="I229" s="620"/>
      <c r="J229" s="620"/>
      <c r="K229" s="620"/>
      <c r="L229" s="620"/>
      <c r="M229" s="620"/>
      <c r="N229" s="620"/>
      <c r="O229" s="620"/>
      <c r="P229" s="620"/>
      <c r="Q229" s="620"/>
      <c r="R229" s="620"/>
      <c r="S229" s="620"/>
      <c r="T229" s="620"/>
      <c r="U229" s="620"/>
      <c r="V229" s="620"/>
      <c r="W229" s="620"/>
      <c r="X229" s="620"/>
      <c r="Y229" s="620"/>
      <c r="Z229" s="620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21">
        <v>4680115888975</v>
      </c>
      <c r="E230" s="62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3"/>
      <c r="R230" s="623"/>
      <c r="S230" s="623"/>
      <c r="T230" s="62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21">
        <v>4680115888692</v>
      </c>
      <c r="E231" s="62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3"/>
      <c r="R231" s="623"/>
      <c r="S231" s="623"/>
      <c r="T231" s="62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21">
        <v>4680115888722</v>
      </c>
      <c r="E232" s="62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3"/>
      <c r="R232" s="623"/>
      <c r="S232" s="623"/>
      <c r="T232" s="62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21">
        <v>4680115888951</v>
      </c>
      <c r="E233" s="62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3"/>
      <c r="R233" s="623"/>
      <c r="S233" s="623"/>
      <c r="T233" s="62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21">
        <v>4680115888982</v>
      </c>
      <c r="E234" s="62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8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3"/>
      <c r="R234" s="623"/>
      <c r="S234" s="623"/>
      <c r="T234" s="62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28"/>
      <c r="B236" s="628"/>
      <c r="C236" s="628"/>
      <c r="D236" s="628"/>
      <c r="E236" s="628"/>
      <c r="F236" s="628"/>
      <c r="G236" s="628"/>
      <c r="H236" s="628"/>
      <c r="I236" s="628"/>
      <c r="J236" s="628"/>
      <c r="K236" s="628"/>
      <c r="L236" s="628"/>
      <c r="M236" s="628"/>
      <c r="N236" s="628"/>
      <c r="O236" s="629"/>
      <c r="P236" s="625" t="s">
        <v>40</v>
      </c>
      <c r="Q236" s="626"/>
      <c r="R236" s="626"/>
      <c r="S236" s="626"/>
      <c r="T236" s="626"/>
      <c r="U236" s="626"/>
      <c r="V236" s="62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20" t="s">
        <v>104</v>
      </c>
      <c r="B237" s="620"/>
      <c r="C237" s="620"/>
      <c r="D237" s="620"/>
      <c r="E237" s="620"/>
      <c r="F237" s="620"/>
      <c r="G237" s="620"/>
      <c r="H237" s="620"/>
      <c r="I237" s="620"/>
      <c r="J237" s="620"/>
      <c r="K237" s="620"/>
      <c r="L237" s="620"/>
      <c r="M237" s="620"/>
      <c r="N237" s="620"/>
      <c r="O237" s="620"/>
      <c r="P237" s="620"/>
      <c r="Q237" s="620"/>
      <c r="R237" s="620"/>
      <c r="S237" s="620"/>
      <c r="T237" s="620"/>
      <c r="U237" s="620"/>
      <c r="V237" s="620"/>
      <c r="W237" s="620"/>
      <c r="X237" s="620"/>
      <c r="Y237" s="620"/>
      <c r="Z237" s="620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21">
        <v>4680115886780</v>
      </c>
      <c r="E238" s="62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3"/>
      <c r="R238" s="623"/>
      <c r="S238" s="623"/>
      <c r="T238" s="624"/>
      <c r="U238" s="39" t="s">
        <v>46</v>
      </c>
      <c r="V238" s="39" t="s">
        <v>46</v>
      </c>
      <c r="W238" s="40" t="s">
        <v>0</v>
      </c>
      <c r="X238" s="58">
        <v>3.5000000000000004</v>
      </c>
      <c r="Y238" s="55">
        <f>IFERROR(IF(X238="",0,CEILING((X238/$H238),1)*$H238),"")</f>
        <v>3.7800000000000002</v>
      </c>
      <c r="Z238" s="41">
        <f>IFERROR(IF(Y238=0,"",ROUNDUP(Y238/H238,0)*0.0059),"")</f>
        <v>1.77E-2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4.0277777777777777</v>
      </c>
      <c r="BN238" s="78">
        <f>IFERROR(Y238*I238/H238,"0")</f>
        <v>4.3499999999999996</v>
      </c>
      <c r="BO238" s="78">
        <f>IFERROR(1/J238*(X238/H238),"0")</f>
        <v>1.2860082304526749E-2</v>
      </c>
      <c r="BP238" s="78">
        <f>IFERROR(1/J238*(Y238/H238),"0")</f>
        <v>1.3888888888888888E-2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21">
        <v>4680115886742</v>
      </c>
      <c r="E239" s="62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3"/>
      <c r="R239" s="623"/>
      <c r="S239" s="623"/>
      <c r="T239" s="624"/>
      <c r="U239" s="39" t="s">
        <v>46</v>
      </c>
      <c r="V239" s="39" t="s">
        <v>46</v>
      </c>
      <c r="W239" s="40" t="s">
        <v>0</v>
      </c>
      <c r="X239" s="58">
        <v>10.500000000000002</v>
      </c>
      <c r="Y239" s="55">
        <f>IFERROR(IF(X239="",0,CEILING((X239/$H239),1)*$H239),"")</f>
        <v>11.34</v>
      </c>
      <c r="Z239" s="41">
        <f>IFERROR(IF(Y239=0,"",ROUNDUP(Y239/H239,0)*0.0059),"")</f>
        <v>5.3100000000000001E-2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12.083333333333334</v>
      </c>
      <c r="BN239" s="78">
        <f>IFERROR(Y239*I239/H239,"0")</f>
        <v>13.049999999999999</v>
      </c>
      <c r="BO239" s="78">
        <f>IFERROR(1/J239*(X239/H239),"0")</f>
        <v>3.8580246913580245E-2</v>
      </c>
      <c r="BP239" s="78">
        <f>IFERROR(1/J239*(Y239/H239),"0")</f>
        <v>4.1666666666666664E-2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21">
        <v>4680115886766</v>
      </c>
      <c r="E240" s="62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3"/>
      <c r="R240" s="623"/>
      <c r="S240" s="623"/>
      <c r="T240" s="624"/>
      <c r="U240" s="39" t="s">
        <v>46</v>
      </c>
      <c r="V240" s="39" t="s">
        <v>46</v>
      </c>
      <c r="W240" s="40" t="s">
        <v>0</v>
      </c>
      <c r="X240" s="58">
        <v>7.0000000000000009</v>
      </c>
      <c r="Y240" s="55">
        <f>IFERROR(IF(X240="",0,CEILING((X240/$H240),1)*$H240),"")</f>
        <v>7.5600000000000005</v>
      </c>
      <c r="Z240" s="41">
        <f>IFERROR(IF(Y240=0,"",ROUNDUP(Y240/H240,0)*0.0059),"")</f>
        <v>3.5400000000000001E-2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8.0555555555555554</v>
      </c>
      <c r="BN240" s="78">
        <f>IFERROR(Y240*I240/H240,"0")</f>
        <v>8.6999999999999993</v>
      </c>
      <c r="BO240" s="78">
        <f>IFERROR(1/J240*(X240/H240),"0")</f>
        <v>2.5720164609053499E-2</v>
      </c>
      <c r="BP240" s="78">
        <f>IFERROR(1/J240*(Y240/H240),"0")</f>
        <v>2.7777777777777776E-2</v>
      </c>
    </row>
    <row r="241" spans="1:68" x14ac:dyDescent="0.2">
      <c r="A241" s="628"/>
      <c r="B241" s="628"/>
      <c r="C241" s="628"/>
      <c r="D241" s="628"/>
      <c r="E241" s="628"/>
      <c r="F241" s="628"/>
      <c r="G241" s="628"/>
      <c r="H241" s="628"/>
      <c r="I241" s="628"/>
      <c r="J241" s="628"/>
      <c r="K241" s="628"/>
      <c r="L241" s="628"/>
      <c r="M241" s="628"/>
      <c r="N241" s="628"/>
      <c r="O241" s="629"/>
      <c r="P241" s="625" t="s">
        <v>40</v>
      </c>
      <c r="Q241" s="626"/>
      <c r="R241" s="626"/>
      <c r="S241" s="626"/>
      <c r="T241" s="626"/>
      <c r="U241" s="626"/>
      <c r="V241" s="627"/>
      <c r="W241" s="42" t="s">
        <v>39</v>
      </c>
      <c r="X241" s="43">
        <f>IFERROR(X238/H238,"0")+IFERROR(X239/H239,"0")+IFERROR(X240/H240,"0")</f>
        <v>16.666666666666668</v>
      </c>
      <c r="Y241" s="43">
        <f>IFERROR(Y238/H238,"0")+IFERROR(Y239/H239,"0")+IFERROR(Y240/H240,"0")</f>
        <v>18</v>
      </c>
      <c r="Z241" s="43">
        <f>IFERROR(IF(Z238="",0,Z238),"0")+IFERROR(IF(Z239="",0,Z239),"0")+IFERROR(IF(Z240="",0,Z240),"0")</f>
        <v>0.1062</v>
      </c>
      <c r="AA241" s="67"/>
      <c r="AB241" s="67"/>
      <c r="AC241" s="67"/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0</v>
      </c>
      <c r="X242" s="43">
        <f>IFERROR(SUM(X238:X240),"0")</f>
        <v>21.000000000000004</v>
      </c>
      <c r="Y242" s="43">
        <f>IFERROR(SUM(Y238:Y240),"0")</f>
        <v>22.68</v>
      </c>
      <c r="Z242" s="42"/>
      <c r="AA242" s="67"/>
      <c r="AB242" s="67"/>
      <c r="AC242" s="67"/>
    </row>
    <row r="243" spans="1:68" ht="14.25" hidden="1" customHeight="1" x14ac:dyDescent="0.25">
      <c r="A243" s="620" t="s">
        <v>422</v>
      </c>
      <c r="B243" s="620"/>
      <c r="C243" s="620"/>
      <c r="D243" s="620"/>
      <c r="E243" s="620"/>
      <c r="F243" s="620"/>
      <c r="G243" s="620"/>
      <c r="H243" s="620"/>
      <c r="I243" s="620"/>
      <c r="J243" s="620"/>
      <c r="K243" s="620"/>
      <c r="L243" s="620"/>
      <c r="M243" s="620"/>
      <c r="N243" s="620"/>
      <c r="O243" s="620"/>
      <c r="P243" s="620"/>
      <c r="Q243" s="620"/>
      <c r="R243" s="620"/>
      <c r="S243" s="620"/>
      <c r="T243" s="620"/>
      <c r="U243" s="620"/>
      <c r="V243" s="620"/>
      <c r="W243" s="620"/>
      <c r="X243" s="620"/>
      <c r="Y243" s="620"/>
      <c r="Z243" s="620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21">
        <v>4680115886797</v>
      </c>
      <c r="E244" s="62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8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3"/>
      <c r="R244" s="623"/>
      <c r="S244" s="623"/>
      <c r="T244" s="62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28"/>
      <c r="B245" s="628"/>
      <c r="C245" s="628"/>
      <c r="D245" s="628"/>
      <c r="E245" s="628"/>
      <c r="F245" s="628"/>
      <c r="G245" s="628"/>
      <c r="H245" s="628"/>
      <c r="I245" s="628"/>
      <c r="J245" s="628"/>
      <c r="K245" s="628"/>
      <c r="L245" s="628"/>
      <c r="M245" s="628"/>
      <c r="N245" s="628"/>
      <c r="O245" s="629"/>
      <c r="P245" s="625" t="s">
        <v>40</v>
      </c>
      <c r="Q245" s="626"/>
      <c r="R245" s="626"/>
      <c r="S245" s="626"/>
      <c r="T245" s="626"/>
      <c r="U245" s="626"/>
      <c r="V245" s="62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36" t="s">
        <v>425</v>
      </c>
      <c r="B247" s="636"/>
      <c r="C247" s="636"/>
      <c r="D247" s="636"/>
      <c r="E247" s="636"/>
      <c r="F247" s="636"/>
      <c r="G247" s="636"/>
      <c r="H247" s="636"/>
      <c r="I247" s="636"/>
      <c r="J247" s="636"/>
      <c r="K247" s="636"/>
      <c r="L247" s="636"/>
      <c r="M247" s="636"/>
      <c r="N247" s="636"/>
      <c r="O247" s="636"/>
      <c r="P247" s="636"/>
      <c r="Q247" s="636"/>
      <c r="R247" s="636"/>
      <c r="S247" s="636"/>
      <c r="T247" s="636"/>
      <c r="U247" s="636"/>
      <c r="V247" s="636"/>
      <c r="W247" s="636"/>
      <c r="X247" s="636"/>
      <c r="Y247" s="636"/>
      <c r="Z247" s="636"/>
      <c r="AA247" s="65"/>
      <c r="AB247" s="65"/>
      <c r="AC247" s="79"/>
    </row>
    <row r="248" spans="1:68" ht="14.25" hidden="1" customHeight="1" x14ac:dyDescent="0.25">
      <c r="A248" s="620" t="s">
        <v>129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21">
        <v>4680115881402</v>
      </c>
      <c r="E249" s="62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3"/>
      <c r="R249" s="623"/>
      <c r="S249" s="623"/>
      <c r="T249" s="62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21">
        <v>4680115881396</v>
      </c>
      <c r="E250" s="62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3"/>
      <c r="R250" s="623"/>
      <c r="S250" s="623"/>
      <c r="T250" s="62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28"/>
      <c r="B252" s="628"/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9"/>
      <c r="P252" s="625" t="s">
        <v>40</v>
      </c>
      <c r="Q252" s="626"/>
      <c r="R252" s="626"/>
      <c r="S252" s="626"/>
      <c r="T252" s="626"/>
      <c r="U252" s="626"/>
      <c r="V252" s="62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20" t="s">
        <v>166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21">
        <v>4680115882935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3"/>
      <c r="R254" s="623"/>
      <c r="S254" s="623"/>
      <c r="T254" s="62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21">
        <v>4680115880764</v>
      </c>
      <c r="E255" s="62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3"/>
      <c r="R255" s="623"/>
      <c r="S255" s="623"/>
      <c r="T255" s="62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28"/>
      <c r="B256" s="628"/>
      <c r="C256" s="628"/>
      <c r="D256" s="628"/>
      <c r="E256" s="628"/>
      <c r="F256" s="628"/>
      <c r="G256" s="628"/>
      <c r="H256" s="628"/>
      <c r="I256" s="628"/>
      <c r="J256" s="628"/>
      <c r="K256" s="628"/>
      <c r="L256" s="628"/>
      <c r="M256" s="628"/>
      <c r="N256" s="628"/>
      <c r="O256" s="629"/>
      <c r="P256" s="625" t="s">
        <v>40</v>
      </c>
      <c r="Q256" s="626"/>
      <c r="R256" s="626"/>
      <c r="S256" s="626"/>
      <c r="T256" s="626"/>
      <c r="U256" s="626"/>
      <c r="V256" s="62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28"/>
      <c r="B257" s="628"/>
      <c r="C257" s="628"/>
      <c r="D257" s="628"/>
      <c r="E257" s="628"/>
      <c r="F257" s="628"/>
      <c r="G257" s="628"/>
      <c r="H257" s="628"/>
      <c r="I257" s="628"/>
      <c r="J257" s="628"/>
      <c r="K257" s="628"/>
      <c r="L257" s="628"/>
      <c r="M257" s="628"/>
      <c r="N257" s="628"/>
      <c r="O257" s="629"/>
      <c r="P257" s="625" t="s">
        <v>40</v>
      </c>
      <c r="Q257" s="626"/>
      <c r="R257" s="626"/>
      <c r="S257" s="626"/>
      <c r="T257" s="626"/>
      <c r="U257" s="626"/>
      <c r="V257" s="62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20" t="s">
        <v>77</v>
      </c>
      <c r="B258" s="620"/>
      <c r="C258" s="620"/>
      <c r="D258" s="620"/>
      <c r="E258" s="620"/>
      <c r="F258" s="620"/>
      <c r="G258" s="620"/>
      <c r="H258" s="620"/>
      <c r="I258" s="620"/>
      <c r="J258" s="620"/>
      <c r="K258" s="620"/>
      <c r="L258" s="620"/>
      <c r="M258" s="620"/>
      <c r="N258" s="620"/>
      <c r="O258" s="620"/>
      <c r="P258" s="620"/>
      <c r="Q258" s="620"/>
      <c r="R258" s="620"/>
      <c r="S258" s="620"/>
      <c r="T258" s="620"/>
      <c r="U258" s="620"/>
      <c r="V258" s="620"/>
      <c r="W258" s="620"/>
      <c r="X258" s="620"/>
      <c r="Y258" s="620"/>
      <c r="Z258" s="620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21">
        <v>4680115882683</v>
      </c>
      <c r="E259" s="62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3"/>
      <c r="R259" s="623"/>
      <c r="S259" s="623"/>
      <c r="T259" s="624"/>
      <c r="U259" s="39" t="s">
        <v>46</v>
      </c>
      <c r="V259" s="39" t="s">
        <v>46</v>
      </c>
      <c r="W259" s="40" t="s">
        <v>0</v>
      </c>
      <c r="X259" s="58">
        <v>150</v>
      </c>
      <c r="Y259" s="55">
        <f t="shared" ref="Y259:Y266" si="32">IFERROR(IF(X259="",0,CEILING((X259/$H259),1)*$H259),"")</f>
        <v>151.20000000000002</v>
      </c>
      <c r="Z259" s="41">
        <f>IFERROR(IF(Y259=0,"",ROUNDUP(Y259/H259,0)*0.00902),"")</f>
        <v>0.25256000000000001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155.27777777777777</v>
      </c>
      <c r="BN259" s="78">
        <f t="shared" ref="BN259:BN266" si="34">IFERROR(Y259*I259/H259,"0")</f>
        <v>156.52000000000001</v>
      </c>
      <c r="BO259" s="78">
        <f t="shared" ref="BO259:BO266" si="35">IFERROR(1/J259*(X259/H259),"0")</f>
        <v>0.21043771043771042</v>
      </c>
      <c r="BP259" s="78">
        <f t="shared" ref="BP259:BP266" si="36">IFERROR(1/J259*(Y259/H259),"0")</f>
        <v>0.21212121212121213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21">
        <v>4680115882690</v>
      </c>
      <c r="E260" s="62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3"/>
      <c r="R260" s="623"/>
      <c r="S260" s="623"/>
      <c r="T260" s="62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21">
        <v>4680115882669</v>
      </c>
      <c r="E261" s="62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3"/>
      <c r="R261" s="623"/>
      <c r="S261" s="623"/>
      <c r="T261" s="624"/>
      <c r="U261" s="39" t="s">
        <v>46</v>
      </c>
      <c r="V261" s="39" t="s">
        <v>46</v>
      </c>
      <c r="W261" s="40" t="s">
        <v>0</v>
      </c>
      <c r="X261" s="58">
        <v>70</v>
      </c>
      <c r="Y261" s="55">
        <f t="shared" si="32"/>
        <v>70.2</v>
      </c>
      <c r="Z261" s="41">
        <f>IFERROR(IF(Y261=0,"",ROUNDUP(Y261/H261,0)*0.00902),"")</f>
        <v>0.11726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72.462962962962962</v>
      </c>
      <c r="BN261" s="78">
        <f t="shared" si="34"/>
        <v>72.67</v>
      </c>
      <c r="BO261" s="78">
        <f t="shared" si="35"/>
        <v>9.8204264870931535E-2</v>
      </c>
      <c r="BP261" s="78">
        <f t="shared" si="36"/>
        <v>9.8484848484848481E-2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21">
        <v>4680115882676</v>
      </c>
      <c r="E262" s="62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3"/>
      <c r="R262" s="623"/>
      <c r="S262" s="623"/>
      <c r="T262" s="624"/>
      <c r="U262" s="39" t="s">
        <v>46</v>
      </c>
      <c r="V262" s="39" t="s">
        <v>46</v>
      </c>
      <c r="W262" s="40" t="s">
        <v>0</v>
      </c>
      <c r="X262" s="58">
        <v>70</v>
      </c>
      <c r="Y262" s="55">
        <f t="shared" si="32"/>
        <v>70.2</v>
      </c>
      <c r="Z262" s="41">
        <f>IFERROR(IF(Y262=0,"",ROUNDUP(Y262/H262,0)*0.00902),"")</f>
        <v>0.11726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72.462962962962962</v>
      </c>
      <c r="BN262" s="78">
        <f t="shared" si="34"/>
        <v>72.67</v>
      </c>
      <c r="BO262" s="78">
        <f t="shared" si="35"/>
        <v>9.8204264870931535E-2</v>
      </c>
      <c r="BP262" s="78">
        <f t="shared" si="36"/>
        <v>9.8484848484848481E-2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21">
        <v>4680115884014</v>
      </c>
      <c r="E263" s="62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3"/>
      <c r="R263" s="623"/>
      <c r="S263" s="623"/>
      <c r="T263" s="624"/>
      <c r="U263" s="39" t="s">
        <v>46</v>
      </c>
      <c r="V263" s="39" t="s">
        <v>46</v>
      </c>
      <c r="W263" s="40" t="s">
        <v>0</v>
      </c>
      <c r="X263" s="58">
        <v>75</v>
      </c>
      <c r="Y263" s="55">
        <f t="shared" si="32"/>
        <v>75.600000000000009</v>
      </c>
      <c r="Z263" s="41">
        <f>IFERROR(IF(Y263=0,"",ROUNDUP(Y263/H263,0)*0.00502),"")</f>
        <v>0.21084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80.416666666666671</v>
      </c>
      <c r="BN263" s="78">
        <f t="shared" si="34"/>
        <v>81.06</v>
      </c>
      <c r="BO263" s="78">
        <f t="shared" si="35"/>
        <v>0.17806267806267806</v>
      </c>
      <c r="BP263" s="78">
        <f t="shared" si="36"/>
        <v>0.17948717948717954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21">
        <v>4680115884007</v>
      </c>
      <c r="E264" s="62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3"/>
      <c r="R264" s="623"/>
      <c r="S264" s="623"/>
      <c r="T264" s="624"/>
      <c r="U264" s="39" t="s">
        <v>46</v>
      </c>
      <c r="V264" s="39" t="s">
        <v>46</v>
      </c>
      <c r="W264" s="40" t="s">
        <v>0</v>
      </c>
      <c r="X264" s="58">
        <v>45</v>
      </c>
      <c r="Y264" s="55">
        <f t="shared" si="32"/>
        <v>45</v>
      </c>
      <c r="Z264" s="41">
        <f>IFERROR(IF(Y264=0,"",ROUNDUP(Y264/H264,0)*0.00502),"")</f>
        <v>0.1255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47.5</v>
      </c>
      <c r="BN264" s="78">
        <f t="shared" si="34"/>
        <v>47.5</v>
      </c>
      <c r="BO264" s="78">
        <f t="shared" si="35"/>
        <v>0.10683760683760685</v>
      </c>
      <c r="BP264" s="78">
        <f t="shared" si="36"/>
        <v>0.10683760683760685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21">
        <v>4680115884038</v>
      </c>
      <c r="E265" s="62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3"/>
      <c r="R265" s="623"/>
      <c r="S265" s="623"/>
      <c r="T265" s="624"/>
      <c r="U265" s="39" t="s">
        <v>46</v>
      </c>
      <c r="V265" s="39" t="s">
        <v>46</v>
      </c>
      <c r="W265" s="40" t="s">
        <v>0</v>
      </c>
      <c r="X265" s="58">
        <v>60</v>
      </c>
      <c r="Y265" s="55">
        <f t="shared" si="32"/>
        <v>61.2</v>
      </c>
      <c r="Z265" s="41">
        <f>IFERROR(IF(Y265=0,"",ROUNDUP(Y265/H265,0)*0.00502),"")</f>
        <v>0.17068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63.333333333333329</v>
      </c>
      <c r="BN265" s="78">
        <f t="shared" si="34"/>
        <v>64.599999999999994</v>
      </c>
      <c r="BO265" s="78">
        <f t="shared" si="35"/>
        <v>0.14245014245014248</v>
      </c>
      <c r="BP265" s="78">
        <f t="shared" si="36"/>
        <v>0.14529914529914531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21">
        <v>4680115884021</v>
      </c>
      <c r="E266" s="62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7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3"/>
      <c r="R266" s="623"/>
      <c r="S266" s="623"/>
      <c r="T266" s="624"/>
      <c r="U266" s="39" t="s">
        <v>46</v>
      </c>
      <c r="V266" s="39" t="s">
        <v>46</v>
      </c>
      <c r="W266" s="40" t="s">
        <v>0</v>
      </c>
      <c r="X266" s="58">
        <v>42</v>
      </c>
      <c r="Y266" s="55">
        <f t="shared" si="32"/>
        <v>43.2</v>
      </c>
      <c r="Z266" s="41">
        <f>IFERROR(IF(Y266=0,"",ROUNDUP(Y266/H266,0)*0.00502),"")</f>
        <v>0.12048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44.333333333333329</v>
      </c>
      <c r="BN266" s="78">
        <f t="shared" si="34"/>
        <v>45.6</v>
      </c>
      <c r="BO266" s="78">
        <f t="shared" si="35"/>
        <v>9.9715099715099717E-2</v>
      </c>
      <c r="BP266" s="78">
        <f t="shared" si="36"/>
        <v>0.10256410256410257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177.03703703703704</v>
      </c>
      <c r="Y267" s="43">
        <f>IFERROR(Y259/H259,"0")+IFERROR(Y260/H260,"0")+IFERROR(Y261/H261,"0")+IFERROR(Y262/H262,"0")+IFERROR(Y263/H263,"0")+IFERROR(Y264/H264,"0")+IFERROR(Y265/H265,"0")+IFERROR(Y266/H266,"0")</f>
        <v>179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1.1145799999999999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IFERROR(SUM(X259:X266),"0")</f>
        <v>512</v>
      </c>
      <c r="Y268" s="43">
        <f>IFERROR(SUM(Y259:Y266),"0")</f>
        <v>516.6</v>
      </c>
      <c r="Z268" s="42"/>
      <c r="AA268" s="67"/>
      <c r="AB268" s="67"/>
      <c r="AC268" s="67"/>
    </row>
    <row r="269" spans="1:68" ht="14.25" hidden="1" customHeight="1" x14ac:dyDescent="0.25">
      <c r="A269" s="620" t="s">
        <v>86</v>
      </c>
      <c r="B269" s="620"/>
      <c r="C269" s="620"/>
      <c r="D269" s="620"/>
      <c r="E269" s="620"/>
      <c r="F269" s="620"/>
      <c r="G269" s="620"/>
      <c r="H269" s="620"/>
      <c r="I269" s="620"/>
      <c r="J269" s="620"/>
      <c r="K269" s="620"/>
      <c r="L269" s="620"/>
      <c r="M269" s="620"/>
      <c r="N269" s="620"/>
      <c r="O269" s="620"/>
      <c r="P269" s="620"/>
      <c r="Q269" s="620"/>
      <c r="R269" s="620"/>
      <c r="S269" s="620"/>
      <c r="T269" s="620"/>
      <c r="U269" s="620"/>
      <c r="V269" s="620"/>
      <c r="W269" s="620"/>
      <c r="X269" s="620"/>
      <c r="Y269" s="620"/>
      <c r="Z269" s="620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21">
        <v>4680115881594</v>
      </c>
      <c r="E270" s="62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3"/>
      <c r="R270" s="623"/>
      <c r="S270" s="623"/>
      <c r="T270" s="62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21">
        <v>4680115881617</v>
      </c>
      <c r="E271" s="62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3"/>
      <c r="R271" s="623"/>
      <c r="S271" s="623"/>
      <c r="T271" s="62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21">
        <v>4680115880573</v>
      </c>
      <c r="E272" s="62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3"/>
      <c r="R272" s="623"/>
      <c r="S272" s="623"/>
      <c r="T272" s="624"/>
      <c r="U272" s="39" t="s">
        <v>46</v>
      </c>
      <c r="V272" s="39" t="s">
        <v>46</v>
      </c>
      <c r="W272" s="40" t="s">
        <v>0</v>
      </c>
      <c r="X272" s="58">
        <v>200</v>
      </c>
      <c r="Y272" s="55">
        <f t="shared" si="37"/>
        <v>200.1</v>
      </c>
      <c r="Z272" s="41">
        <f>IFERROR(IF(Y272=0,"",ROUNDUP(Y272/H272,0)*0.01898),"")</f>
        <v>0.43653999999999998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211.35632183908049</v>
      </c>
      <c r="BN272" s="78">
        <f t="shared" si="39"/>
        <v>211.46200000000005</v>
      </c>
      <c r="BO272" s="78">
        <f t="shared" si="40"/>
        <v>0.35919540229885061</v>
      </c>
      <c r="BP272" s="78">
        <f t="shared" si="41"/>
        <v>0.359375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21">
        <v>4680115882195</v>
      </c>
      <c r="E273" s="62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3"/>
      <c r="R273" s="623"/>
      <c r="S273" s="623"/>
      <c r="T273" s="624"/>
      <c r="U273" s="39" t="s">
        <v>46</v>
      </c>
      <c r="V273" s="39" t="s">
        <v>46</v>
      </c>
      <c r="W273" s="40" t="s">
        <v>0</v>
      </c>
      <c r="X273" s="58">
        <v>320</v>
      </c>
      <c r="Y273" s="55">
        <f t="shared" si="37"/>
        <v>321.59999999999997</v>
      </c>
      <c r="Z273" s="41">
        <f>IFERROR(IF(Y273=0,"",ROUNDUP(Y273/H273,0)*0.00651),"")</f>
        <v>0.87234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356</v>
      </c>
      <c r="BN273" s="78">
        <f t="shared" si="39"/>
        <v>357.78</v>
      </c>
      <c r="BO273" s="78">
        <f t="shared" si="40"/>
        <v>0.73260073260073266</v>
      </c>
      <c r="BP273" s="78">
        <f t="shared" si="41"/>
        <v>0.73626373626373631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21">
        <v>4680115882607</v>
      </c>
      <c r="E274" s="62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3"/>
      <c r="R274" s="623"/>
      <c r="S274" s="623"/>
      <c r="T274" s="62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21">
        <v>4680115882607</v>
      </c>
      <c r="E275" s="62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3"/>
      <c r="R275" s="623"/>
      <c r="S275" s="623"/>
      <c r="T275" s="62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21">
        <v>4680115880092</v>
      </c>
      <c r="E276" s="62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3"/>
      <c r="R276" s="623"/>
      <c r="S276" s="623"/>
      <c r="T276" s="624"/>
      <c r="U276" s="39" t="s">
        <v>46</v>
      </c>
      <c r="V276" s="39" t="s">
        <v>46</v>
      </c>
      <c r="W276" s="40" t="s">
        <v>0</v>
      </c>
      <c r="X276" s="58">
        <v>200</v>
      </c>
      <c r="Y276" s="55">
        <f t="shared" si="37"/>
        <v>201.6</v>
      </c>
      <c r="Z276" s="41">
        <f>IFERROR(IF(Y276=0,"",ROUNDUP(Y276/H276,0)*0.00651),"")</f>
        <v>0.54683999999999999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221</v>
      </c>
      <c r="BN276" s="78">
        <f t="shared" si="39"/>
        <v>222.768</v>
      </c>
      <c r="BO276" s="78">
        <f t="shared" si="40"/>
        <v>0.45787545787545797</v>
      </c>
      <c r="BP276" s="78">
        <f t="shared" si="41"/>
        <v>0.46153846153846156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21">
        <v>4680115889064</v>
      </c>
      <c r="E277" s="62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6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3"/>
      <c r="R277" s="623"/>
      <c r="S277" s="623"/>
      <c r="T277" s="62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21">
        <v>4680115880221</v>
      </c>
      <c r="E278" s="62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3"/>
      <c r="R278" s="623"/>
      <c r="S278" s="623"/>
      <c r="T278" s="62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21">
        <v>4680115880504</v>
      </c>
      <c r="E279" s="62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3"/>
      <c r="R279" s="623"/>
      <c r="S279" s="623"/>
      <c r="T279" s="624"/>
      <c r="U279" s="39" t="s">
        <v>46</v>
      </c>
      <c r="V279" s="39" t="s">
        <v>46</v>
      </c>
      <c r="W279" s="40" t="s">
        <v>0</v>
      </c>
      <c r="X279" s="58">
        <v>60</v>
      </c>
      <c r="Y279" s="55">
        <f t="shared" si="37"/>
        <v>60</v>
      </c>
      <c r="Z279" s="41">
        <f>IFERROR(IF(Y279=0,"",ROUNDUP(Y279/H279,0)*0.00651),"")</f>
        <v>0.16275000000000001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66.300000000000011</v>
      </c>
      <c r="BN279" s="78">
        <f t="shared" si="39"/>
        <v>66.300000000000011</v>
      </c>
      <c r="BO279" s="78">
        <f t="shared" si="40"/>
        <v>0.13736263736263737</v>
      </c>
      <c r="BP279" s="78">
        <f t="shared" si="41"/>
        <v>0.13736263736263737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21">
        <v>4680115882164</v>
      </c>
      <c r="E280" s="62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3"/>
      <c r="R280" s="623"/>
      <c r="S280" s="623"/>
      <c r="T280" s="624"/>
      <c r="U280" s="39" t="s">
        <v>46</v>
      </c>
      <c r="V280" s="39" t="s">
        <v>46</v>
      </c>
      <c r="W280" s="40" t="s">
        <v>0</v>
      </c>
      <c r="X280" s="58">
        <v>360</v>
      </c>
      <c r="Y280" s="55">
        <f t="shared" si="37"/>
        <v>360</v>
      </c>
      <c r="Z280" s="41">
        <f>IFERROR(IF(Y280=0,"",ROUNDUP(Y280/H280,0)*0.00651),"")</f>
        <v>0.97650000000000003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398.7</v>
      </c>
      <c r="BN280" s="78">
        <f t="shared" si="39"/>
        <v>398.7</v>
      </c>
      <c r="BO280" s="78">
        <f t="shared" si="40"/>
        <v>0.82417582417582425</v>
      </c>
      <c r="BP280" s="78">
        <f t="shared" si="41"/>
        <v>0.82417582417582425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21">
        <v>4680115888340</v>
      </c>
      <c r="E281" s="62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3"/>
      <c r="R281" s="623"/>
      <c r="S281" s="623"/>
      <c r="T281" s="62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414.65517241379314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416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2.9949700000000004</v>
      </c>
      <c r="AA282" s="67"/>
      <c r="AB282" s="67"/>
      <c r="AC282" s="67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2" t="s">
        <v>0</v>
      </c>
      <c r="X283" s="43">
        <f>IFERROR(SUM(X270:X281),"0")</f>
        <v>1140</v>
      </c>
      <c r="Y283" s="43">
        <f>IFERROR(SUM(Y270:Y281),"0")</f>
        <v>1143.3</v>
      </c>
      <c r="Z283" s="42"/>
      <c r="AA283" s="67"/>
      <c r="AB283" s="67"/>
      <c r="AC283" s="67"/>
    </row>
    <row r="284" spans="1:68" ht="14.25" hidden="1" customHeight="1" x14ac:dyDescent="0.25">
      <c r="A284" s="620" t="s">
        <v>183</v>
      </c>
      <c r="B284" s="620"/>
      <c r="C284" s="620"/>
      <c r="D284" s="620"/>
      <c r="E284" s="620"/>
      <c r="F284" s="620"/>
      <c r="G284" s="620"/>
      <c r="H284" s="620"/>
      <c r="I284" s="620"/>
      <c r="J284" s="620"/>
      <c r="K284" s="620"/>
      <c r="L284" s="620"/>
      <c r="M284" s="620"/>
      <c r="N284" s="620"/>
      <c r="O284" s="620"/>
      <c r="P284" s="620"/>
      <c r="Q284" s="620"/>
      <c r="R284" s="620"/>
      <c r="S284" s="620"/>
      <c r="T284" s="620"/>
      <c r="U284" s="620"/>
      <c r="V284" s="620"/>
      <c r="W284" s="620"/>
      <c r="X284" s="620"/>
      <c r="Y284" s="620"/>
      <c r="Z284" s="620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21">
        <v>4680115880818</v>
      </c>
      <c r="E285" s="62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3"/>
      <c r="R285" s="623"/>
      <c r="S285" s="623"/>
      <c r="T285" s="624"/>
      <c r="U285" s="39" t="s">
        <v>46</v>
      </c>
      <c r="V285" s="39" t="s">
        <v>46</v>
      </c>
      <c r="W285" s="40" t="s">
        <v>0</v>
      </c>
      <c r="X285" s="58">
        <v>20</v>
      </c>
      <c r="Y285" s="55">
        <f>IFERROR(IF(X285="",0,CEILING((X285/$H285),1)*$H285),"")</f>
        <v>21.599999999999998</v>
      </c>
      <c r="Z285" s="41">
        <f>IFERROR(IF(Y285=0,"",ROUNDUP(Y285/H285,0)*0.00651),"")</f>
        <v>5.8590000000000003E-2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22.100000000000005</v>
      </c>
      <c r="BN285" s="78">
        <f>IFERROR(Y285*I285/H285,"0")</f>
        <v>23.868000000000002</v>
      </c>
      <c r="BO285" s="78">
        <f>IFERROR(1/J285*(X285/H285),"0")</f>
        <v>4.5787545787545791E-2</v>
      </c>
      <c r="BP285" s="78">
        <f>IFERROR(1/J285*(Y285/H285),"0")</f>
        <v>4.9450549450549455E-2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21">
        <v>4680115880801</v>
      </c>
      <c r="E286" s="62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3"/>
      <c r="R286" s="623"/>
      <c r="S286" s="623"/>
      <c r="T286" s="624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628"/>
      <c r="B287" s="628"/>
      <c r="C287" s="628"/>
      <c r="D287" s="628"/>
      <c r="E287" s="628"/>
      <c r="F287" s="628"/>
      <c r="G287" s="628"/>
      <c r="H287" s="628"/>
      <c r="I287" s="628"/>
      <c r="J287" s="628"/>
      <c r="K287" s="628"/>
      <c r="L287" s="628"/>
      <c r="M287" s="628"/>
      <c r="N287" s="628"/>
      <c r="O287" s="629"/>
      <c r="P287" s="625" t="s">
        <v>40</v>
      </c>
      <c r="Q287" s="626"/>
      <c r="R287" s="626"/>
      <c r="S287" s="626"/>
      <c r="T287" s="626"/>
      <c r="U287" s="626"/>
      <c r="V287" s="627"/>
      <c r="W287" s="42" t="s">
        <v>39</v>
      </c>
      <c r="X287" s="43">
        <f>IFERROR(X285/H285,"0")+IFERROR(X286/H286,"0")</f>
        <v>58.333333333333336</v>
      </c>
      <c r="Y287" s="43">
        <f>IFERROR(Y285/H285,"0")+IFERROR(Y286/H286,"0")</f>
        <v>59</v>
      </c>
      <c r="Z287" s="43">
        <f>IFERROR(IF(Z285="",0,Z285),"0")+IFERROR(IF(Z286="",0,Z286),"0")</f>
        <v>0.38409000000000004</v>
      </c>
      <c r="AA287" s="67"/>
      <c r="AB287" s="67"/>
      <c r="AC287" s="67"/>
    </row>
    <row r="288" spans="1:68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2" t="s">
        <v>0</v>
      </c>
      <c r="X288" s="43">
        <f>IFERROR(SUM(X285:X286),"0")</f>
        <v>140</v>
      </c>
      <c r="Y288" s="43">
        <f>IFERROR(SUM(Y285:Y286),"0")</f>
        <v>141.6</v>
      </c>
      <c r="Z288" s="42"/>
      <c r="AA288" s="67"/>
      <c r="AB288" s="67"/>
      <c r="AC288" s="67"/>
    </row>
    <row r="289" spans="1:68" ht="16.5" hidden="1" customHeight="1" x14ac:dyDescent="0.25">
      <c r="A289" s="636" t="s">
        <v>493</v>
      </c>
      <c r="B289" s="636"/>
      <c r="C289" s="636"/>
      <c r="D289" s="636"/>
      <c r="E289" s="636"/>
      <c r="F289" s="636"/>
      <c r="G289" s="636"/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5"/>
      <c r="AB289" s="65"/>
      <c r="AC289" s="79"/>
    </row>
    <row r="290" spans="1:68" ht="14.25" hidden="1" customHeight="1" x14ac:dyDescent="0.25">
      <c r="A290" s="620" t="s">
        <v>129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21">
        <v>4680115884137</v>
      </c>
      <c r="E291" s="62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3"/>
      <c r="R291" s="623"/>
      <c r="S291" s="623"/>
      <c r="T291" s="62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21">
        <v>4680115884236</v>
      </c>
      <c r="E292" s="62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3"/>
      <c r="R292" s="623"/>
      <c r="S292" s="623"/>
      <c r="T292" s="62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21">
        <v>4680115884175</v>
      </c>
      <c r="E293" s="62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3"/>
      <c r="R293" s="623"/>
      <c r="S293" s="623"/>
      <c r="T293" s="624"/>
      <c r="U293" s="39" t="s">
        <v>46</v>
      </c>
      <c r="V293" s="39" t="s">
        <v>46</v>
      </c>
      <c r="W293" s="40" t="s">
        <v>0</v>
      </c>
      <c r="X293" s="58">
        <v>50</v>
      </c>
      <c r="Y293" s="55">
        <f t="shared" si="42"/>
        <v>58</v>
      </c>
      <c r="Z293" s="41">
        <f>IFERROR(IF(Y293=0,"",ROUNDUP(Y293/H293,0)*0.01898),"")</f>
        <v>9.4899999999999998E-2</v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51.767241379310349</v>
      </c>
      <c r="BN293" s="78">
        <f t="shared" si="44"/>
        <v>60.050000000000004</v>
      </c>
      <c r="BO293" s="78">
        <f t="shared" si="45"/>
        <v>6.7349137931034489E-2</v>
      </c>
      <c r="BP293" s="78">
        <f t="shared" si="46"/>
        <v>7.8125E-2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21">
        <v>4680115884144</v>
      </c>
      <c r="E294" s="62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3"/>
      <c r="R294" s="623"/>
      <c r="S294" s="623"/>
      <c r="T294" s="624"/>
      <c r="U294" s="39" t="s">
        <v>46</v>
      </c>
      <c r="V294" s="39" t="s">
        <v>46</v>
      </c>
      <c r="W294" s="40" t="s">
        <v>0</v>
      </c>
      <c r="X294" s="58">
        <v>20</v>
      </c>
      <c r="Y294" s="55">
        <f t="shared" si="42"/>
        <v>20</v>
      </c>
      <c r="Z294" s="41">
        <f>IFERROR(IF(Y294=0,"",ROUNDUP(Y294/H294,0)*0.00902),"")</f>
        <v>4.5100000000000001E-2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20.950000000000003</v>
      </c>
      <c r="BN294" s="78">
        <f t="shared" si="44"/>
        <v>20.950000000000003</v>
      </c>
      <c r="BO294" s="78">
        <f t="shared" si="45"/>
        <v>3.787878787878788E-2</v>
      </c>
      <c r="BP294" s="78">
        <f t="shared" si="46"/>
        <v>3.787878787878788E-2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21">
        <v>4680115886551</v>
      </c>
      <c r="E295" s="62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3"/>
      <c r="R295" s="623"/>
      <c r="S295" s="623"/>
      <c r="T295" s="62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21">
        <v>4680115887282</v>
      </c>
      <c r="E296" s="62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3"/>
      <c r="R296" s="623"/>
      <c r="S296" s="623"/>
      <c r="T296" s="62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21">
        <v>4680115884205</v>
      </c>
      <c r="E297" s="62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3"/>
      <c r="R297" s="623"/>
      <c r="S297" s="623"/>
      <c r="T297" s="624"/>
      <c r="U297" s="39" t="s">
        <v>46</v>
      </c>
      <c r="V297" s="39" t="s">
        <v>46</v>
      </c>
      <c r="W297" s="40" t="s">
        <v>0</v>
      </c>
      <c r="X297" s="58">
        <v>80</v>
      </c>
      <c r="Y297" s="55">
        <f t="shared" si="42"/>
        <v>80</v>
      </c>
      <c r="Z297" s="41">
        <f>IFERROR(IF(Y297=0,"",ROUNDUP(Y297/H297,0)*0.00902),"")</f>
        <v>0.1804</v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83.800000000000011</v>
      </c>
      <c r="BN297" s="78">
        <f t="shared" si="44"/>
        <v>83.800000000000011</v>
      </c>
      <c r="BO297" s="78">
        <f t="shared" si="45"/>
        <v>0.15151515151515152</v>
      </c>
      <c r="BP297" s="78">
        <f t="shared" si="46"/>
        <v>0.15151515151515152</v>
      </c>
    </row>
    <row r="298" spans="1:68" x14ac:dyDescent="0.2">
      <c r="A298" s="628"/>
      <c r="B298" s="628"/>
      <c r="C298" s="628"/>
      <c r="D298" s="628"/>
      <c r="E298" s="628"/>
      <c r="F298" s="628"/>
      <c r="G298" s="628"/>
      <c r="H298" s="628"/>
      <c r="I298" s="628"/>
      <c r="J298" s="628"/>
      <c r="K298" s="628"/>
      <c r="L298" s="628"/>
      <c r="M298" s="628"/>
      <c r="N298" s="628"/>
      <c r="O298" s="629"/>
      <c r="P298" s="625" t="s">
        <v>40</v>
      </c>
      <c r="Q298" s="626"/>
      <c r="R298" s="626"/>
      <c r="S298" s="626"/>
      <c r="T298" s="626"/>
      <c r="U298" s="626"/>
      <c r="V298" s="627"/>
      <c r="W298" s="42" t="s">
        <v>39</v>
      </c>
      <c r="X298" s="43">
        <f>IFERROR(X291/H291,"0")+IFERROR(X292/H292,"0")+IFERROR(X293/H293,"0")+IFERROR(X294/H294,"0")+IFERROR(X295/H295,"0")+IFERROR(X296/H296,"0")+IFERROR(X297/H297,"0")</f>
        <v>29.310344827586206</v>
      </c>
      <c r="Y298" s="43">
        <f>IFERROR(Y291/H291,"0")+IFERROR(Y292/H292,"0")+IFERROR(Y293/H293,"0")+IFERROR(Y294/H294,"0")+IFERROR(Y295/H295,"0")+IFERROR(Y296/H296,"0")+IFERROR(Y297/H297,"0")</f>
        <v>30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0.32040000000000002</v>
      </c>
      <c r="AA298" s="67"/>
      <c r="AB298" s="67"/>
      <c r="AC298" s="67"/>
    </row>
    <row r="299" spans="1:68" x14ac:dyDescent="0.2">
      <c r="A299" s="628"/>
      <c r="B299" s="628"/>
      <c r="C299" s="628"/>
      <c r="D299" s="628"/>
      <c r="E299" s="628"/>
      <c r="F299" s="628"/>
      <c r="G299" s="628"/>
      <c r="H299" s="628"/>
      <c r="I299" s="628"/>
      <c r="J299" s="628"/>
      <c r="K299" s="628"/>
      <c r="L299" s="628"/>
      <c r="M299" s="628"/>
      <c r="N299" s="628"/>
      <c r="O299" s="629"/>
      <c r="P299" s="625" t="s">
        <v>40</v>
      </c>
      <c r="Q299" s="626"/>
      <c r="R299" s="626"/>
      <c r="S299" s="626"/>
      <c r="T299" s="626"/>
      <c r="U299" s="626"/>
      <c r="V299" s="627"/>
      <c r="W299" s="42" t="s">
        <v>0</v>
      </c>
      <c r="X299" s="43">
        <f>IFERROR(SUM(X291:X297),"0")</f>
        <v>150</v>
      </c>
      <c r="Y299" s="43">
        <f>IFERROR(SUM(Y291:Y297),"0")</f>
        <v>158</v>
      </c>
      <c r="Z299" s="42"/>
      <c r="AA299" s="67"/>
      <c r="AB299" s="67"/>
      <c r="AC299" s="67"/>
    </row>
    <row r="300" spans="1:68" ht="14.25" hidden="1" customHeight="1" x14ac:dyDescent="0.25">
      <c r="A300" s="620" t="s">
        <v>166</v>
      </c>
      <c r="B300" s="620"/>
      <c r="C300" s="620"/>
      <c r="D300" s="620"/>
      <c r="E300" s="620"/>
      <c r="F300" s="620"/>
      <c r="G300" s="620"/>
      <c r="H300" s="620"/>
      <c r="I300" s="620"/>
      <c r="J300" s="620"/>
      <c r="K300" s="620"/>
      <c r="L300" s="620"/>
      <c r="M300" s="620"/>
      <c r="N300" s="620"/>
      <c r="O300" s="620"/>
      <c r="P300" s="620"/>
      <c r="Q300" s="620"/>
      <c r="R300" s="620"/>
      <c r="S300" s="620"/>
      <c r="T300" s="620"/>
      <c r="U300" s="620"/>
      <c r="V300" s="620"/>
      <c r="W300" s="620"/>
      <c r="X300" s="620"/>
      <c r="Y300" s="620"/>
      <c r="Z300" s="620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21">
        <v>4680115885981</v>
      </c>
      <c r="E301" s="62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3"/>
      <c r="R301" s="623"/>
      <c r="S301" s="623"/>
      <c r="T301" s="62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20" t="s">
        <v>515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21">
        <v>4680115886803</v>
      </c>
      <c r="E305" s="62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3"/>
      <c r="R305" s="623"/>
      <c r="S305" s="623"/>
      <c r="T305" s="624"/>
      <c r="U305" s="39" t="s">
        <v>46</v>
      </c>
      <c r="V305" s="39" t="s">
        <v>46</v>
      </c>
      <c r="W305" s="40" t="s">
        <v>0</v>
      </c>
      <c r="X305" s="58">
        <v>12</v>
      </c>
      <c r="Y305" s="55">
        <f>IFERROR(IF(X305="",0,CEILING((X305/$H305),1)*$H305),"")</f>
        <v>12.6</v>
      </c>
      <c r="Z305" s="41">
        <f>IFERROR(IF(Y305=0,"",ROUNDUP(Y305/H305,0)*0.0059),"")</f>
        <v>4.1299999999999996E-2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13.166666666666668</v>
      </c>
      <c r="BN305" s="78">
        <f>IFERROR(Y305*I305/H305,"0")</f>
        <v>13.825000000000001</v>
      </c>
      <c r="BO305" s="78">
        <f>IFERROR(1/J305*(X305/H305),"0")</f>
        <v>3.0864197530864192E-2</v>
      </c>
      <c r="BP305" s="78">
        <f>IFERROR(1/J305*(Y305/H305),"0")</f>
        <v>3.2407407407407406E-2</v>
      </c>
    </row>
    <row r="306" spans="1:68" x14ac:dyDescent="0.2">
      <c r="A306" s="628"/>
      <c r="B306" s="628"/>
      <c r="C306" s="628"/>
      <c r="D306" s="628"/>
      <c r="E306" s="628"/>
      <c r="F306" s="628"/>
      <c r="G306" s="628"/>
      <c r="H306" s="628"/>
      <c r="I306" s="628"/>
      <c r="J306" s="628"/>
      <c r="K306" s="628"/>
      <c r="L306" s="628"/>
      <c r="M306" s="628"/>
      <c r="N306" s="628"/>
      <c r="O306" s="629"/>
      <c r="P306" s="625" t="s">
        <v>40</v>
      </c>
      <c r="Q306" s="626"/>
      <c r="R306" s="626"/>
      <c r="S306" s="626"/>
      <c r="T306" s="626"/>
      <c r="U306" s="626"/>
      <c r="V306" s="627"/>
      <c r="W306" s="42" t="s">
        <v>39</v>
      </c>
      <c r="X306" s="43">
        <f>IFERROR(X305/H305,"0")</f>
        <v>6.6666666666666661</v>
      </c>
      <c r="Y306" s="43">
        <f>IFERROR(Y305/H305,"0")</f>
        <v>7</v>
      </c>
      <c r="Z306" s="43">
        <f>IFERROR(IF(Z305="",0,Z305),"0")</f>
        <v>4.1299999999999996E-2</v>
      </c>
      <c r="AA306" s="67"/>
      <c r="AB306" s="67"/>
      <c r="AC306" s="67"/>
    </row>
    <row r="307" spans="1:68" x14ac:dyDescent="0.2">
      <c r="A307" s="628"/>
      <c r="B307" s="628"/>
      <c r="C307" s="628"/>
      <c r="D307" s="628"/>
      <c r="E307" s="628"/>
      <c r="F307" s="628"/>
      <c r="G307" s="628"/>
      <c r="H307" s="628"/>
      <c r="I307" s="628"/>
      <c r="J307" s="628"/>
      <c r="K307" s="628"/>
      <c r="L307" s="628"/>
      <c r="M307" s="628"/>
      <c r="N307" s="628"/>
      <c r="O307" s="629"/>
      <c r="P307" s="625" t="s">
        <v>40</v>
      </c>
      <c r="Q307" s="626"/>
      <c r="R307" s="626"/>
      <c r="S307" s="626"/>
      <c r="T307" s="626"/>
      <c r="U307" s="626"/>
      <c r="V307" s="627"/>
      <c r="W307" s="42" t="s">
        <v>0</v>
      </c>
      <c r="X307" s="43">
        <f>IFERROR(SUM(X305:X305),"0")</f>
        <v>12</v>
      </c>
      <c r="Y307" s="43">
        <f>IFERROR(SUM(Y305:Y305),"0")</f>
        <v>12.6</v>
      </c>
      <c r="Z307" s="42"/>
      <c r="AA307" s="67"/>
      <c r="AB307" s="67"/>
      <c r="AC307" s="67"/>
    </row>
    <row r="308" spans="1:68" ht="14.25" hidden="1" customHeight="1" x14ac:dyDescent="0.25">
      <c r="A308" s="620" t="s">
        <v>332</v>
      </c>
      <c r="B308" s="620"/>
      <c r="C308" s="620"/>
      <c r="D308" s="620"/>
      <c r="E308" s="620"/>
      <c r="F308" s="620"/>
      <c r="G308" s="620"/>
      <c r="H308" s="620"/>
      <c r="I308" s="620"/>
      <c r="J308" s="620"/>
      <c r="K308" s="620"/>
      <c r="L308" s="620"/>
      <c r="M308" s="620"/>
      <c r="N308" s="620"/>
      <c r="O308" s="620"/>
      <c r="P308" s="620"/>
      <c r="Q308" s="620"/>
      <c r="R308" s="620"/>
      <c r="S308" s="620"/>
      <c r="T308" s="620"/>
      <c r="U308" s="620"/>
      <c r="V308" s="620"/>
      <c r="W308" s="620"/>
      <c r="X308" s="620"/>
      <c r="Y308" s="620"/>
      <c r="Z308" s="620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21">
        <v>4680115886704</v>
      </c>
      <c r="E309" s="62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3"/>
      <c r="R309" s="623"/>
      <c r="S309" s="623"/>
      <c r="T309" s="62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21">
        <v>4680115886681</v>
      </c>
      <c r="E310" s="62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3"/>
      <c r="R310" s="623"/>
      <c r="S310" s="623"/>
      <c r="T310" s="62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21">
        <v>4680115886735</v>
      </c>
      <c r="E311" s="62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3"/>
      <c r="R311" s="623"/>
      <c r="S311" s="623"/>
      <c r="T311" s="62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36" t="s">
        <v>526</v>
      </c>
      <c r="B314" s="636"/>
      <c r="C314" s="636"/>
      <c r="D314" s="636"/>
      <c r="E314" s="636"/>
      <c r="F314" s="636"/>
      <c r="G314" s="636"/>
      <c r="H314" s="636"/>
      <c r="I314" s="636"/>
      <c r="J314" s="636"/>
      <c r="K314" s="636"/>
      <c r="L314" s="636"/>
      <c r="M314" s="636"/>
      <c r="N314" s="636"/>
      <c r="O314" s="636"/>
      <c r="P314" s="636"/>
      <c r="Q314" s="636"/>
      <c r="R314" s="636"/>
      <c r="S314" s="636"/>
      <c r="T314" s="636"/>
      <c r="U314" s="636"/>
      <c r="V314" s="636"/>
      <c r="W314" s="636"/>
      <c r="X314" s="636"/>
      <c r="Y314" s="636"/>
      <c r="Z314" s="636"/>
      <c r="AA314" s="65"/>
      <c r="AB314" s="65"/>
      <c r="AC314" s="79"/>
    </row>
    <row r="315" spans="1:68" ht="14.25" hidden="1" customHeight="1" x14ac:dyDescent="0.25">
      <c r="A315" s="620" t="s">
        <v>129</v>
      </c>
      <c r="B315" s="620"/>
      <c r="C315" s="620"/>
      <c r="D315" s="620"/>
      <c r="E315" s="620"/>
      <c r="F315" s="620"/>
      <c r="G315" s="620"/>
      <c r="H315" s="620"/>
      <c r="I315" s="620"/>
      <c r="J315" s="620"/>
      <c r="K315" s="620"/>
      <c r="L315" s="620"/>
      <c r="M315" s="620"/>
      <c r="N315" s="620"/>
      <c r="O315" s="620"/>
      <c r="P315" s="620"/>
      <c r="Q315" s="620"/>
      <c r="R315" s="620"/>
      <c r="S315" s="620"/>
      <c r="T315" s="620"/>
      <c r="U315" s="620"/>
      <c r="V315" s="620"/>
      <c r="W315" s="620"/>
      <c r="X315" s="620"/>
      <c r="Y315" s="620"/>
      <c r="Z315" s="620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21">
        <v>4680115885837</v>
      </c>
      <c r="E316" s="62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4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3"/>
      <c r="R316" s="623"/>
      <c r="S316" s="623"/>
      <c r="T316" s="62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21">
        <v>4680115887237</v>
      </c>
      <c r="E317" s="62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4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3"/>
      <c r="R317" s="623"/>
      <c r="S317" s="623"/>
      <c r="T317" s="62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21">
        <v>4680115885806</v>
      </c>
      <c r="E318" s="62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3"/>
      <c r="R318" s="623"/>
      <c r="S318" s="623"/>
      <c r="T318" s="62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21">
        <v>4680115885844</v>
      </c>
      <c r="E319" s="62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3"/>
      <c r="R319" s="623"/>
      <c r="S319" s="623"/>
      <c r="T319" s="62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21">
        <v>4680115885820</v>
      </c>
      <c r="E320" s="62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3"/>
      <c r="R320" s="623"/>
      <c r="S320" s="623"/>
      <c r="T320" s="62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28"/>
      <c r="B321" s="628"/>
      <c r="C321" s="628"/>
      <c r="D321" s="628"/>
      <c r="E321" s="628"/>
      <c r="F321" s="628"/>
      <c r="G321" s="628"/>
      <c r="H321" s="628"/>
      <c r="I321" s="628"/>
      <c r="J321" s="628"/>
      <c r="K321" s="628"/>
      <c r="L321" s="628"/>
      <c r="M321" s="628"/>
      <c r="N321" s="628"/>
      <c r="O321" s="629"/>
      <c r="P321" s="625" t="s">
        <v>40</v>
      </c>
      <c r="Q321" s="626"/>
      <c r="R321" s="626"/>
      <c r="S321" s="626"/>
      <c r="T321" s="626"/>
      <c r="U321" s="626"/>
      <c r="V321" s="62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28"/>
      <c r="B322" s="628"/>
      <c r="C322" s="628"/>
      <c r="D322" s="628"/>
      <c r="E322" s="628"/>
      <c r="F322" s="628"/>
      <c r="G322" s="628"/>
      <c r="H322" s="628"/>
      <c r="I322" s="628"/>
      <c r="J322" s="628"/>
      <c r="K322" s="628"/>
      <c r="L322" s="628"/>
      <c r="M322" s="628"/>
      <c r="N322" s="628"/>
      <c r="O322" s="629"/>
      <c r="P322" s="625" t="s">
        <v>40</v>
      </c>
      <c r="Q322" s="626"/>
      <c r="R322" s="626"/>
      <c r="S322" s="626"/>
      <c r="T322" s="626"/>
      <c r="U322" s="626"/>
      <c r="V322" s="62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36" t="s">
        <v>542</v>
      </c>
      <c r="B323" s="636"/>
      <c r="C323" s="636"/>
      <c r="D323" s="636"/>
      <c r="E323" s="636"/>
      <c r="F323" s="636"/>
      <c r="G323" s="636"/>
      <c r="H323" s="636"/>
      <c r="I323" s="636"/>
      <c r="J323" s="636"/>
      <c r="K323" s="636"/>
      <c r="L323" s="636"/>
      <c r="M323" s="636"/>
      <c r="N323" s="636"/>
      <c r="O323" s="636"/>
      <c r="P323" s="636"/>
      <c r="Q323" s="636"/>
      <c r="R323" s="636"/>
      <c r="S323" s="636"/>
      <c r="T323" s="636"/>
      <c r="U323" s="636"/>
      <c r="V323" s="636"/>
      <c r="W323" s="636"/>
      <c r="X323" s="636"/>
      <c r="Y323" s="636"/>
      <c r="Z323" s="636"/>
      <c r="AA323" s="65"/>
      <c r="AB323" s="65"/>
      <c r="AC323" s="79"/>
    </row>
    <row r="324" spans="1:68" ht="14.25" hidden="1" customHeight="1" x14ac:dyDescent="0.25">
      <c r="A324" s="620" t="s">
        <v>86</v>
      </c>
      <c r="B324" s="620"/>
      <c r="C324" s="620"/>
      <c r="D324" s="620"/>
      <c r="E324" s="620"/>
      <c r="F324" s="620"/>
      <c r="G324" s="620"/>
      <c r="H324" s="620"/>
      <c r="I324" s="620"/>
      <c r="J324" s="620"/>
      <c r="K324" s="620"/>
      <c r="L324" s="620"/>
      <c r="M324" s="620"/>
      <c r="N324" s="620"/>
      <c r="O324" s="620"/>
      <c r="P324" s="620"/>
      <c r="Q324" s="620"/>
      <c r="R324" s="620"/>
      <c r="S324" s="620"/>
      <c r="T324" s="620"/>
      <c r="U324" s="620"/>
      <c r="V324" s="620"/>
      <c r="W324" s="620"/>
      <c r="X324" s="620"/>
      <c r="Y324" s="620"/>
      <c r="Z324" s="620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21">
        <v>4680115886186</v>
      </c>
      <c r="E325" s="62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3"/>
      <c r="R325" s="623"/>
      <c r="S325" s="623"/>
      <c r="T325" s="62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21">
        <v>4680115881228</v>
      </c>
      <c r="E326" s="62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3"/>
      <c r="R326" s="623"/>
      <c r="S326" s="623"/>
      <c r="T326" s="624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21">
        <v>4680115881211</v>
      </c>
      <c r="E327" s="62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3"/>
      <c r="R327" s="623"/>
      <c r="S327" s="623"/>
      <c r="T327" s="624"/>
      <c r="U327" s="39" t="s">
        <v>46</v>
      </c>
      <c r="V327" s="39" t="s">
        <v>46</v>
      </c>
      <c r="W327" s="40" t="s">
        <v>0</v>
      </c>
      <c r="X327" s="58">
        <v>280</v>
      </c>
      <c r="Y327" s="55">
        <f>IFERROR(IF(X327="",0,CEILING((X327/$H327),1)*$H327),"")</f>
        <v>280.8</v>
      </c>
      <c r="Z327" s="41">
        <f>IFERROR(IF(Y327=0,"",ROUNDUP(Y327/H327,0)*0.00651),"")</f>
        <v>0.76167000000000007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301</v>
      </c>
      <c r="BN327" s="78">
        <f>IFERROR(Y327*I327/H327,"0")</f>
        <v>301.86</v>
      </c>
      <c r="BO327" s="78">
        <f>IFERROR(1/J327*(X327/H327),"0")</f>
        <v>0.64102564102564108</v>
      </c>
      <c r="BP327" s="78">
        <f>IFERROR(1/J327*(Y327/H327),"0")</f>
        <v>0.64285714285714302</v>
      </c>
    </row>
    <row r="328" spans="1:68" x14ac:dyDescent="0.2">
      <c r="A328" s="628"/>
      <c r="B328" s="628"/>
      <c r="C328" s="628"/>
      <c r="D328" s="628"/>
      <c r="E328" s="628"/>
      <c r="F328" s="628"/>
      <c r="G328" s="628"/>
      <c r="H328" s="628"/>
      <c r="I328" s="628"/>
      <c r="J328" s="628"/>
      <c r="K328" s="628"/>
      <c r="L328" s="628"/>
      <c r="M328" s="628"/>
      <c r="N328" s="628"/>
      <c r="O328" s="629"/>
      <c r="P328" s="625" t="s">
        <v>40</v>
      </c>
      <c r="Q328" s="626"/>
      <c r="R328" s="626"/>
      <c r="S328" s="626"/>
      <c r="T328" s="626"/>
      <c r="U328" s="626"/>
      <c r="V328" s="627"/>
      <c r="W328" s="42" t="s">
        <v>39</v>
      </c>
      <c r="X328" s="43">
        <f>IFERROR(X325/H325,"0")+IFERROR(X326/H326,"0")+IFERROR(X327/H327,"0")</f>
        <v>133.33333333333334</v>
      </c>
      <c r="Y328" s="43">
        <f>IFERROR(Y325/H325,"0")+IFERROR(Y326/H326,"0")+IFERROR(Y327/H327,"0")</f>
        <v>134</v>
      </c>
      <c r="Z328" s="43">
        <f>IFERROR(IF(Z325="",0,Z325),"0")+IFERROR(IF(Z326="",0,Z326),"0")+IFERROR(IF(Z327="",0,Z327),"0")</f>
        <v>0.87234000000000012</v>
      </c>
      <c r="AA328" s="67"/>
      <c r="AB328" s="67"/>
      <c r="AC328" s="67"/>
    </row>
    <row r="329" spans="1:68" x14ac:dyDescent="0.2">
      <c r="A329" s="628"/>
      <c r="B329" s="628"/>
      <c r="C329" s="628"/>
      <c r="D329" s="628"/>
      <c r="E329" s="628"/>
      <c r="F329" s="628"/>
      <c r="G329" s="628"/>
      <c r="H329" s="628"/>
      <c r="I329" s="628"/>
      <c r="J329" s="628"/>
      <c r="K329" s="628"/>
      <c r="L329" s="628"/>
      <c r="M329" s="628"/>
      <c r="N329" s="628"/>
      <c r="O329" s="629"/>
      <c r="P329" s="625" t="s">
        <v>40</v>
      </c>
      <c r="Q329" s="626"/>
      <c r="R329" s="626"/>
      <c r="S329" s="626"/>
      <c r="T329" s="626"/>
      <c r="U329" s="626"/>
      <c r="V329" s="627"/>
      <c r="W329" s="42" t="s">
        <v>0</v>
      </c>
      <c r="X329" s="43">
        <f>IFERROR(SUM(X325:X327),"0")</f>
        <v>320</v>
      </c>
      <c r="Y329" s="43">
        <f>IFERROR(SUM(Y325:Y327),"0")</f>
        <v>321.60000000000002</v>
      </c>
      <c r="Z329" s="42"/>
      <c r="AA329" s="67"/>
      <c r="AB329" s="67"/>
      <c r="AC329" s="67"/>
    </row>
    <row r="330" spans="1:68" ht="16.5" hidden="1" customHeight="1" x14ac:dyDescent="0.25">
      <c r="A330" s="636" t="s">
        <v>551</v>
      </c>
      <c r="B330" s="636"/>
      <c r="C330" s="636"/>
      <c r="D330" s="636"/>
      <c r="E330" s="636"/>
      <c r="F330" s="636"/>
      <c r="G330" s="636"/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5"/>
      <c r="AB330" s="65"/>
      <c r="AC330" s="79"/>
    </row>
    <row r="331" spans="1:68" ht="14.25" hidden="1" customHeight="1" x14ac:dyDescent="0.25">
      <c r="A331" s="620" t="s">
        <v>77</v>
      </c>
      <c r="B331" s="620"/>
      <c r="C331" s="620"/>
      <c r="D331" s="620"/>
      <c r="E331" s="620"/>
      <c r="F331" s="620"/>
      <c r="G331" s="620"/>
      <c r="H331" s="620"/>
      <c r="I331" s="620"/>
      <c r="J331" s="620"/>
      <c r="K331" s="620"/>
      <c r="L331" s="620"/>
      <c r="M331" s="620"/>
      <c r="N331" s="620"/>
      <c r="O331" s="620"/>
      <c r="P331" s="620"/>
      <c r="Q331" s="620"/>
      <c r="R331" s="620"/>
      <c r="S331" s="620"/>
      <c r="T331" s="620"/>
      <c r="U331" s="620"/>
      <c r="V331" s="620"/>
      <c r="W331" s="620"/>
      <c r="X331" s="620"/>
      <c r="Y331" s="620"/>
      <c r="Z331" s="620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21">
        <v>4680115888319</v>
      </c>
      <c r="E332" s="62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3"/>
      <c r="R332" s="623"/>
      <c r="S332" s="623"/>
      <c r="T332" s="62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21">
        <v>4680115884700</v>
      </c>
      <c r="E333" s="62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3"/>
      <c r="R333" s="623"/>
      <c r="S333" s="623"/>
      <c r="T333" s="62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21">
        <v>4680115880344</v>
      </c>
      <c r="E334" s="62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3"/>
      <c r="R334" s="623"/>
      <c r="S334" s="623"/>
      <c r="T334" s="62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21">
        <v>4680115886919</v>
      </c>
      <c r="E335" s="62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3"/>
      <c r="R335" s="623"/>
      <c r="S335" s="623"/>
      <c r="T335" s="62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21">
        <v>4680115883970</v>
      </c>
      <c r="E336" s="62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3"/>
      <c r="R336" s="623"/>
      <c r="S336" s="623"/>
      <c r="T336" s="62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20" t="s">
        <v>86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21">
        <v>4680115884618</v>
      </c>
      <c r="E340" s="62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3"/>
      <c r="R340" s="623"/>
      <c r="S340" s="623"/>
      <c r="T340" s="62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21">
        <v>4680115887114</v>
      </c>
      <c r="E341" s="62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3"/>
      <c r="R341" s="623"/>
      <c r="S341" s="623"/>
      <c r="T341" s="62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28"/>
      <c r="B342" s="628"/>
      <c r="C342" s="628"/>
      <c r="D342" s="628"/>
      <c r="E342" s="628"/>
      <c r="F342" s="628"/>
      <c r="G342" s="628"/>
      <c r="H342" s="628"/>
      <c r="I342" s="628"/>
      <c r="J342" s="628"/>
      <c r="K342" s="628"/>
      <c r="L342" s="628"/>
      <c r="M342" s="628"/>
      <c r="N342" s="628"/>
      <c r="O342" s="629"/>
      <c r="P342" s="625" t="s">
        <v>40</v>
      </c>
      <c r="Q342" s="626"/>
      <c r="R342" s="626"/>
      <c r="S342" s="626"/>
      <c r="T342" s="626"/>
      <c r="U342" s="626"/>
      <c r="V342" s="62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28"/>
      <c r="B343" s="628"/>
      <c r="C343" s="628"/>
      <c r="D343" s="628"/>
      <c r="E343" s="628"/>
      <c r="F343" s="628"/>
      <c r="G343" s="628"/>
      <c r="H343" s="628"/>
      <c r="I343" s="628"/>
      <c r="J343" s="628"/>
      <c r="K343" s="628"/>
      <c r="L343" s="628"/>
      <c r="M343" s="628"/>
      <c r="N343" s="628"/>
      <c r="O343" s="629"/>
      <c r="P343" s="625" t="s">
        <v>40</v>
      </c>
      <c r="Q343" s="626"/>
      <c r="R343" s="626"/>
      <c r="S343" s="626"/>
      <c r="T343" s="626"/>
      <c r="U343" s="626"/>
      <c r="V343" s="62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36" t="s">
        <v>572</v>
      </c>
      <c r="B344" s="636"/>
      <c r="C344" s="636"/>
      <c r="D344" s="636"/>
      <c r="E344" s="636"/>
      <c r="F344" s="636"/>
      <c r="G344" s="636"/>
      <c r="H344" s="636"/>
      <c r="I344" s="636"/>
      <c r="J344" s="636"/>
      <c r="K344" s="636"/>
      <c r="L344" s="636"/>
      <c r="M344" s="636"/>
      <c r="N344" s="636"/>
      <c r="O344" s="636"/>
      <c r="P344" s="636"/>
      <c r="Q344" s="636"/>
      <c r="R344" s="636"/>
      <c r="S344" s="636"/>
      <c r="T344" s="636"/>
      <c r="U344" s="636"/>
      <c r="V344" s="636"/>
      <c r="W344" s="636"/>
      <c r="X344" s="636"/>
      <c r="Y344" s="636"/>
      <c r="Z344" s="636"/>
      <c r="AA344" s="65"/>
      <c r="AB344" s="65"/>
      <c r="AC344" s="79"/>
    </row>
    <row r="345" spans="1:68" ht="14.25" hidden="1" customHeight="1" x14ac:dyDescent="0.25">
      <c r="A345" s="620" t="s">
        <v>129</v>
      </c>
      <c r="B345" s="620"/>
      <c r="C345" s="620"/>
      <c r="D345" s="620"/>
      <c r="E345" s="620"/>
      <c r="F345" s="620"/>
      <c r="G345" s="620"/>
      <c r="H345" s="620"/>
      <c r="I345" s="620"/>
      <c r="J345" s="620"/>
      <c r="K345" s="620"/>
      <c r="L345" s="620"/>
      <c r="M345" s="620"/>
      <c r="N345" s="620"/>
      <c r="O345" s="620"/>
      <c r="P345" s="620"/>
      <c r="Q345" s="620"/>
      <c r="R345" s="620"/>
      <c r="S345" s="620"/>
      <c r="T345" s="620"/>
      <c r="U345" s="620"/>
      <c r="V345" s="620"/>
      <c r="W345" s="620"/>
      <c r="X345" s="620"/>
      <c r="Y345" s="620"/>
      <c r="Z345" s="620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21">
        <v>4680115887947</v>
      </c>
      <c r="E346" s="62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3"/>
      <c r="R346" s="623"/>
      <c r="S346" s="623"/>
      <c r="T346" s="624"/>
      <c r="U346" s="39" t="s">
        <v>46</v>
      </c>
      <c r="V346" s="39" t="s">
        <v>46</v>
      </c>
      <c r="W346" s="40" t="s">
        <v>0</v>
      </c>
      <c r="X346" s="58">
        <v>150</v>
      </c>
      <c r="Y346" s="55">
        <f>IFERROR(IF(X346="",0,CEILING((X346/$H346),1)*$H346),"")</f>
        <v>156</v>
      </c>
      <c r="Z346" s="41">
        <f>IFERROR(IF(Y346=0,"",ROUNDUP(Y346/H346,0)*0.01898),"")</f>
        <v>0.37959999999999999</v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157.88461538461542</v>
      </c>
      <c r="BN346" s="78">
        <f>IFERROR(Y346*I346/H346,"0")</f>
        <v>164.20000000000005</v>
      </c>
      <c r="BO346" s="78">
        <f>IFERROR(1/J346*(X346/H346),"0")</f>
        <v>0.30048076923076922</v>
      </c>
      <c r="BP346" s="78">
        <f>IFERROR(1/J346*(Y346/H346),"0")</f>
        <v>0.3125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21">
        <v>4680115887978</v>
      </c>
      <c r="E347" s="62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3"/>
      <c r="R347" s="623"/>
      <c r="S347" s="623"/>
      <c r="T347" s="624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21">
        <v>4680115887992</v>
      </c>
      <c r="E348" s="62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3"/>
      <c r="R348" s="623"/>
      <c r="S348" s="623"/>
      <c r="T348" s="62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IFERROR(X346/H346,"0")+IFERROR(X347/H347,"0")+IFERROR(X348/H348,"0")</f>
        <v>44.871794871794876</v>
      </c>
      <c r="Y349" s="43">
        <f>IFERROR(Y346/H346,"0")+IFERROR(Y347/H347,"0")+IFERROR(Y348/H348,"0")</f>
        <v>46</v>
      </c>
      <c r="Z349" s="43">
        <f>IFERROR(IF(Z346="",0,Z346),"0")+IFERROR(IF(Z347="",0,Z347),"0")+IFERROR(IF(Z348="",0,Z348),"0")</f>
        <v>0.87308000000000008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IFERROR(SUM(X346:X348),"0")</f>
        <v>350</v>
      </c>
      <c r="Y350" s="43">
        <f>IFERROR(SUM(Y346:Y348),"0")</f>
        <v>358.79999999999995</v>
      </c>
      <c r="Z350" s="42"/>
      <c r="AA350" s="67"/>
      <c r="AB350" s="67"/>
      <c r="AC350" s="67"/>
    </row>
    <row r="351" spans="1:68" ht="16.5" hidden="1" customHeight="1" x14ac:dyDescent="0.25">
      <c r="A351" s="636" t="s">
        <v>581</v>
      </c>
      <c r="B351" s="636"/>
      <c r="C351" s="636"/>
      <c r="D351" s="636"/>
      <c r="E351" s="636"/>
      <c r="F351" s="636"/>
      <c r="G351" s="636"/>
      <c r="H351" s="636"/>
      <c r="I351" s="636"/>
      <c r="J351" s="636"/>
      <c r="K351" s="636"/>
      <c r="L351" s="636"/>
      <c r="M351" s="636"/>
      <c r="N351" s="636"/>
      <c r="O351" s="636"/>
      <c r="P351" s="636"/>
      <c r="Q351" s="636"/>
      <c r="R351" s="636"/>
      <c r="S351" s="636"/>
      <c r="T351" s="636"/>
      <c r="U351" s="636"/>
      <c r="V351" s="636"/>
      <c r="W351" s="636"/>
      <c r="X351" s="636"/>
      <c r="Y351" s="636"/>
      <c r="Z351" s="636"/>
      <c r="AA351" s="65"/>
      <c r="AB351" s="65"/>
      <c r="AC351" s="79"/>
    </row>
    <row r="352" spans="1:68" ht="14.25" hidden="1" customHeight="1" x14ac:dyDescent="0.25">
      <c r="A352" s="620" t="s">
        <v>129</v>
      </c>
      <c r="B352" s="620"/>
      <c r="C352" s="620"/>
      <c r="D352" s="620"/>
      <c r="E352" s="620"/>
      <c r="F352" s="620"/>
      <c r="G352" s="620"/>
      <c r="H352" s="620"/>
      <c r="I352" s="620"/>
      <c r="J352" s="620"/>
      <c r="K352" s="620"/>
      <c r="L352" s="620"/>
      <c r="M352" s="620"/>
      <c r="N352" s="620"/>
      <c r="O352" s="620"/>
      <c r="P352" s="620"/>
      <c r="Q352" s="620"/>
      <c r="R352" s="620"/>
      <c r="S352" s="620"/>
      <c r="T352" s="620"/>
      <c r="U352" s="620"/>
      <c r="V352" s="620"/>
      <c r="W352" s="620"/>
      <c r="X352" s="620"/>
      <c r="Y352" s="620"/>
      <c r="Z352" s="620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21">
        <v>4607091386004</v>
      </c>
      <c r="E353" s="62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23"/>
      <c r="R353" s="623"/>
      <c r="S353" s="623"/>
      <c r="T353" s="62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21">
        <v>4680115887190</v>
      </c>
      <c r="E354" s="62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3"/>
      <c r="R354" s="623"/>
      <c r="S354" s="623"/>
      <c r="T354" s="62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21">
        <v>4680115887138</v>
      </c>
      <c r="E355" s="62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7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23"/>
      <c r="R355" s="623"/>
      <c r="S355" s="623"/>
      <c r="T355" s="62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21">
        <v>4680115885554</v>
      </c>
      <c r="E356" s="62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7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23"/>
      <c r="R356" s="623"/>
      <c r="S356" s="623"/>
      <c r="T356" s="62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21">
        <v>4680115887220</v>
      </c>
      <c r="E357" s="62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23"/>
      <c r="R357" s="623"/>
      <c r="S357" s="623"/>
      <c r="T357" s="62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21">
        <v>4680115885608</v>
      </c>
      <c r="E358" s="62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23"/>
      <c r="R358" s="623"/>
      <c r="S358" s="623"/>
      <c r="T358" s="62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20" t="s">
        <v>77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21">
        <v>4607091387193</v>
      </c>
      <c r="E362" s="62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7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23"/>
      <c r="R362" s="623"/>
      <c r="S362" s="623"/>
      <c r="T362" s="62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21">
        <v>4607091387230</v>
      </c>
      <c r="E363" s="62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7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23"/>
      <c r="R363" s="623"/>
      <c r="S363" s="623"/>
      <c r="T363" s="62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21">
        <v>4607091387292</v>
      </c>
      <c r="E364" s="62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71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23"/>
      <c r="R364" s="623"/>
      <c r="S364" s="623"/>
      <c r="T364" s="62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21">
        <v>4607091387285</v>
      </c>
      <c r="E365" s="62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23"/>
      <c r="R365" s="623"/>
      <c r="S365" s="623"/>
      <c r="T365" s="62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21">
        <v>4607091389845</v>
      </c>
      <c r="E366" s="62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23"/>
      <c r="R366" s="623"/>
      <c r="S366" s="623"/>
      <c r="T366" s="624"/>
      <c r="U366" s="39" t="s">
        <v>46</v>
      </c>
      <c r="V366" s="39" t="s">
        <v>46</v>
      </c>
      <c r="W366" s="40" t="s">
        <v>0</v>
      </c>
      <c r="X366" s="58">
        <v>122.49999999999999</v>
      </c>
      <c r="Y366" s="55">
        <f t="shared" si="52"/>
        <v>123.9</v>
      </c>
      <c r="Z366" s="41">
        <f>IFERROR(IF(Y366=0,"",ROUNDUP(Y366/H366,0)*0.00502),"")</f>
        <v>0.29618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128.33333333333331</v>
      </c>
      <c r="BN366" s="78">
        <f t="shared" si="54"/>
        <v>129.80000000000001</v>
      </c>
      <c r="BO366" s="78">
        <f t="shared" si="55"/>
        <v>0.24928774928774927</v>
      </c>
      <c r="BP366" s="78">
        <f t="shared" si="56"/>
        <v>0.25213675213675218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21">
        <v>4680115887442</v>
      </c>
      <c r="E367" s="62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71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23"/>
      <c r="R367" s="623"/>
      <c r="S367" s="623"/>
      <c r="T367" s="62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21">
        <v>4607091383836</v>
      </c>
      <c r="E368" s="62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1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23"/>
      <c r="R368" s="623"/>
      <c r="S368" s="623"/>
      <c r="T368" s="624"/>
      <c r="U368" s="39" t="s">
        <v>46</v>
      </c>
      <c r="V368" s="39" t="s">
        <v>46</v>
      </c>
      <c r="W368" s="40" t="s">
        <v>0</v>
      </c>
      <c r="X368" s="58">
        <v>21</v>
      </c>
      <c r="Y368" s="55">
        <f t="shared" si="52"/>
        <v>21.6</v>
      </c>
      <c r="Z368" s="41">
        <f>IFERROR(IF(Y368=0,"",ROUNDUP(Y368/H368,0)*0.00651),"")</f>
        <v>7.8119999999999995E-2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23.66</v>
      </c>
      <c r="BN368" s="78">
        <f t="shared" si="54"/>
        <v>24.335999999999999</v>
      </c>
      <c r="BO368" s="78">
        <f t="shared" si="55"/>
        <v>6.4102564102564111E-2</v>
      </c>
      <c r="BP368" s="78">
        <f t="shared" si="56"/>
        <v>6.5934065934065936E-2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IFERROR(X362/H362,"0")+IFERROR(X363/H363,"0")+IFERROR(X364/H364,"0")+IFERROR(X365/H365,"0")+IFERROR(X366/H366,"0")+IFERROR(X367/H367,"0")+IFERROR(X368/H368,"0")</f>
        <v>69.999999999999986</v>
      </c>
      <c r="Y369" s="43">
        <f>IFERROR(Y362/H362,"0")+IFERROR(Y363/H363,"0")+IFERROR(Y364/H364,"0")+IFERROR(Y365/H365,"0")+IFERROR(Y366/H366,"0")+IFERROR(Y367/H367,"0")+IFERROR(Y368/H368,"0")</f>
        <v>71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0.37429999999999997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IFERROR(SUM(X362:X368),"0")</f>
        <v>143.5</v>
      </c>
      <c r="Y370" s="43">
        <f>IFERROR(SUM(Y362:Y368),"0")</f>
        <v>145.5</v>
      </c>
      <c r="Z370" s="42"/>
      <c r="AA370" s="67"/>
      <c r="AB370" s="67"/>
      <c r="AC370" s="67"/>
    </row>
    <row r="371" spans="1:68" ht="14.25" hidden="1" customHeight="1" x14ac:dyDescent="0.25">
      <c r="A371" s="620" t="s">
        <v>86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21">
        <v>4607091387766</v>
      </c>
      <c r="E372" s="62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23"/>
      <c r="R372" s="623"/>
      <c r="S372" s="623"/>
      <c r="T372" s="624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21">
        <v>4607091387957</v>
      </c>
      <c r="E373" s="62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23"/>
      <c r="R373" s="623"/>
      <c r="S373" s="623"/>
      <c r="T373" s="62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21">
        <v>4607091387964</v>
      </c>
      <c r="E374" s="62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70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23"/>
      <c r="R374" s="623"/>
      <c r="S374" s="623"/>
      <c r="T374" s="62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21">
        <v>4680115884588</v>
      </c>
      <c r="E375" s="62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23"/>
      <c r="R375" s="623"/>
      <c r="S375" s="623"/>
      <c r="T375" s="62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28"/>
      <c r="B376" s="628"/>
      <c r="C376" s="628"/>
      <c r="D376" s="628"/>
      <c r="E376" s="628"/>
      <c r="F376" s="628"/>
      <c r="G376" s="628"/>
      <c r="H376" s="628"/>
      <c r="I376" s="628"/>
      <c r="J376" s="628"/>
      <c r="K376" s="628"/>
      <c r="L376" s="628"/>
      <c r="M376" s="628"/>
      <c r="N376" s="628"/>
      <c r="O376" s="629"/>
      <c r="P376" s="625" t="s">
        <v>40</v>
      </c>
      <c r="Q376" s="626"/>
      <c r="R376" s="626"/>
      <c r="S376" s="626"/>
      <c r="T376" s="626"/>
      <c r="U376" s="626"/>
      <c r="V376" s="627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20" t="s">
        <v>183</v>
      </c>
      <c r="B378" s="620"/>
      <c r="C378" s="620"/>
      <c r="D378" s="620"/>
      <c r="E378" s="620"/>
      <c r="F378" s="620"/>
      <c r="G378" s="620"/>
      <c r="H378" s="620"/>
      <c r="I378" s="620"/>
      <c r="J378" s="620"/>
      <c r="K378" s="620"/>
      <c r="L378" s="620"/>
      <c r="M378" s="620"/>
      <c r="N378" s="620"/>
      <c r="O378" s="620"/>
      <c r="P378" s="620"/>
      <c r="Q378" s="620"/>
      <c r="R378" s="620"/>
      <c r="S378" s="620"/>
      <c r="T378" s="620"/>
      <c r="U378" s="620"/>
      <c r="V378" s="620"/>
      <c r="W378" s="620"/>
      <c r="X378" s="620"/>
      <c r="Y378" s="620"/>
      <c r="Z378" s="620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21">
        <v>4607091380880</v>
      </c>
      <c r="E379" s="62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23"/>
      <c r="R379" s="623"/>
      <c r="S379" s="623"/>
      <c r="T379" s="624"/>
      <c r="U379" s="39" t="s">
        <v>46</v>
      </c>
      <c r="V379" s="39" t="s">
        <v>46</v>
      </c>
      <c r="W379" s="40" t="s">
        <v>0</v>
      </c>
      <c r="X379" s="58">
        <v>300</v>
      </c>
      <c r="Y379" s="55">
        <f>IFERROR(IF(X379="",0,CEILING((X379/$H379),1)*$H379),"")</f>
        <v>302.40000000000003</v>
      </c>
      <c r="Z379" s="41">
        <f>IFERROR(IF(Y379=0,"",ROUNDUP(Y379/H379,0)*0.01898),"")</f>
        <v>0.68328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317.64285714285711</v>
      </c>
      <c r="BN379" s="78">
        <f>IFERROR(Y379*I379/H379,"0")</f>
        <v>320.18400000000003</v>
      </c>
      <c r="BO379" s="78">
        <f>IFERROR(1/J379*(X379/H379),"0")</f>
        <v>0.5580357142857143</v>
      </c>
      <c r="BP379" s="78">
        <f>IFERROR(1/J379*(Y379/H379),"0")</f>
        <v>0.5625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21">
        <v>4607091384482</v>
      </c>
      <c r="E380" s="62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70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23"/>
      <c r="R380" s="623"/>
      <c r="S380" s="623"/>
      <c r="T380" s="624"/>
      <c r="U380" s="39" t="s">
        <v>46</v>
      </c>
      <c r="V380" s="39" t="s">
        <v>46</v>
      </c>
      <c r="W380" s="40" t="s">
        <v>0</v>
      </c>
      <c r="X380" s="58">
        <v>400</v>
      </c>
      <c r="Y380" s="55">
        <f>IFERROR(IF(X380="",0,CEILING((X380/$H380),1)*$H380),"")</f>
        <v>405.59999999999997</v>
      </c>
      <c r="Z380" s="41">
        <f>IFERROR(IF(Y380=0,"",ROUNDUP(Y380/H380,0)*0.01898),"")</f>
        <v>0.98696000000000006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425.33333333333337</v>
      </c>
      <c r="BN380" s="78">
        <f>IFERROR(Y380*I380/H380,"0")</f>
        <v>431.28799999999995</v>
      </c>
      <c r="BO380" s="78">
        <f>IFERROR(1/J380*(X380/H380),"0")</f>
        <v>0.80128205128205132</v>
      </c>
      <c r="BP380" s="78">
        <f>IFERROR(1/J380*(Y380/H380),"0")</f>
        <v>0.8125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21">
        <v>4607091380897</v>
      </c>
      <c r="E381" s="62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70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23"/>
      <c r="R381" s="623"/>
      <c r="S381" s="623"/>
      <c r="T381" s="624"/>
      <c r="U381" s="39" t="s">
        <v>46</v>
      </c>
      <c r="V381" s="39" t="s">
        <v>46</v>
      </c>
      <c r="W381" s="40" t="s">
        <v>0</v>
      </c>
      <c r="X381" s="58">
        <v>80</v>
      </c>
      <c r="Y381" s="55">
        <f>IFERROR(IF(X381="",0,CEILING((X381/$H381),1)*$H381),"")</f>
        <v>84</v>
      </c>
      <c r="Z381" s="41">
        <f>IFERROR(IF(Y381=0,"",ROUNDUP(Y381/H381,0)*0.01898),"")</f>
        <v>0.1898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84.704761904761895</v>
      </c>
      <c r="BN381" s="78">
        <f>IFERROR(Y381*I381/H381,"0")</f>
        <v>88.94</v>
      </c>
      <c r="BO381" s="78">
        <f>IFERROR(1/J381*(X381/H381),"0")</f>
        <v>0.14880952380952381</v>
      </c>
      <c r="BP381" s="78">
        <f>IFERROR(1/J381*(Y381/H381),"0")</f>
        <v>0.15625</v>
      </c>
    </row>
    <row r="382" spans="1:68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2" t="s">
        <v>39</v>
      </c>
      <c r="X382" s="43">
        <f>IFERROR(X379/H379,"0")+IFERROR(X380/H380,"0")+IFERROR(X381/H381,"0")</f>
        <v>96.520146520146511</v>
      </c>
      <c r="Y382" s="43">
        <f>IFERROR(Y379/H379,"0")+IFERROR(Y380/H380,"0")+IFERROR(Y381/H381,"0")</f>
        <v>98</v>
      </c>
      <c r="Z382" s="43">
        <f>IFERROR(IF(Z379="",0,Z379),"0")+IFERROR(IF(Z380="",0,Z380),"0")+IFERROR(IF(Z381="",0,Z381),"0")</f>
        <v>1.8600400000000001</v>
      </c>
      <c r="AA382" s="67"/>
      <c r="AB382" s="67"/>
      <c r="AC382" s="67"/>
    </row>
    <row r="383" spans="1:68" x14ac:dyDescent="0.2">
      <c r="A383" s="628"/>
      <c r="B383" s="628"/>
      <c r="C383" s="628"/>
      <c r="D383" s="628"/>
      <c r="E383" s="628"/>
      <c r="F383" s="628"/>
      <c r="G383" s="628"/>
      <c r="H383" s="628"/>
      <c r="I383" s="628"/>
      <c r="J383" s="628"/>
      <c r="K383" s="628"/>
      <c r="L383" s="628"/>
      <c r="M383" s="628"/>
      <c r="N383" s="628"/>
      <c r="O383" s="629"/>
      <c r="P383" s="625" t="s">
        <v>40</v>
      </c>
      <c r="Q383" s="626"/>
      <c r="R383" s="626"/>
      <c r="S383" s="626"/>
      <c r="T383" s="626"/>
      <c r="U383" s="626"/>
      <c r="V383" s="627"/>
      <c r="W383" s="42" t="s">
        <v>0</v>
      </c>
      <c r="X383" s="43">
        <f>IFERROR(SUM(X379:X381),"0")</f>
        <v>780</v>
      </c>
      <c r="Y383" s="43">
        <f>IFERROR(SUM(Y379:Y381),"0")</f>
        <v>792</v>
      </c>
      <c r="Z383" s="42"/>
      <c r="AA383" s="67"/>
      <c r="AB383" s="67"/>
      <c r="AC383" s="67"/>
    </row>
    <row r="384" spans="1:68" ht="14.25" hidden="1" customHeight="1" x14ac:dyDescent="0.25">
      <c r="A384" s="620" t="s">
        <v>104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21">
        <v>4607091388381</v>
      </c>
      <c r="E385" s="62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23"/>
      <c r="R385" s="623"/>
      <c r="S385" s="623"/>
      <c r="T385" s="62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21">
        <v>4607091388374</v>
      </c>
      <c r="E386" s="62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23"/>
      <c r="R386" s="623"/>
      <c r="S386" s="623"/>
      <c r="T386" s="62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643</v>
      </c>
      <c r="B387" s="63" t="s">
        <v>644</v>
      </c>
      <c r="C387" s="36">
        <v>4301032015</v>
      </c>
      <c r="D387" s="621">
        <v>4607091383102</v>
      </c>
      <c r="E387" s="62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23"/>
      <c r="R387" s="623"/>
      <c r="S387" s="623"/>
      <c r="T387" s="624"/>
      <c r="U387" s="39" t="s">
        <v>46</v>
      </c>
      <c r="V387" s="39" t="s">
        <v>46</v>
      </c>
      <c r="W387" s="40" t="s">
        <v>0</v>
      </c>
      <c r="X387" s="58">
        <v>17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19.700000000000003</v>
      </c>
      <c r="BN387" s="78">
        <f>IFERROR(Y387*I387/H387,"0")</f>
        <v>20.684999999999999</v>
      </c>
      <c r="BO387" s="78">
        <f>IFERROR(1/J387*(X387/H387),"0")</f>
        <v>3.6630036630036632E-2</v>
      </c>
      <c r="BP387" s="78">
        <f>IFERROR(1/J387*(Y387/H387),"0")</f>
        <v>3.8461538461538464E-2</v>
      </c>
    </row>
    <row r="388" spans="1:68" ht="27" customHeight="1" x14ac:dyDescent="0.25">
      <c r="A388" s="63" t="s">
        <v>645</v>
      </c>
      <c r="B388" s="63" t="s">
        <v>646</v>
      </c>
      <c r="C388" s="36">
        <v>4301030233</v>
      </c>
      <c r="D388" s="621">
        <v>4607091388404</v>
      </c>
      <c r="E388" s="62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69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23"/>
      <c r="R388" s="623"/>
      <c r="S388" s="623"/>
      <c r="T388" s="624"/>
      <c r="U388" s="39" t="s">
        <v>46</v>
      </c>
      <c r="V388" s="39" t="s">
        <v>46</v>
      </c>
      <c r="W388" s="40" t="s">
        <v>0</v>
      </c>
      <c r="X388" s="58">
        <v>85</v>
      </c>
      <c r="Y388" s="55">
        <f>IFERROR(IF(X388="",0,CEILING((X388/$H388),1)*$H388),"")</f>
        <v>86.699999999999989</v>
      </c>
      <c r="Z388" s="41">
        <f>IFERROR(IF(Y388=0,"",ROUNDUP(Y388/H388,0)*0.00651),"")</f>
        <v>0.22134000000000001</v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96</v>
      </c>
      <c r="BN388" s="78">
        <f>IFERROR(Y388*I388/H388,"0")</f>
        <v>97.92</v>
      </c>
      <c r="BO388" s="78">
        <f>IFERROR(1/J388*(X388/H388),"0")</f>
        <v>0.18315018315018317</v>
      </c>
      <c r="BP388" s="78">
        <f>IFERROR(1/J388*(Y388/H388),"0")</f>
        <v>0.18681318681318682</v>
      </c>
    </row>
    <row r="389" spans="1:68" x14ac:dyDescent="0.2">
      <c r="A389" s="628"/>
      <c r="B389" s="628"/>
      <c r="C389" s="628"/>
      <c r="D389" s="628"/>
      <c r="E389" s="628"/>
      <c r="F389" s="628"/>
      <c r="G389" s="628"/>
      <c r="H389" s="628"/>
      <c r="I389" s="628"/>
      <c r="J389" s="628"/>
      <c r="K389" s="628"/>
      <c r="L389" s="628"/>
      <c r="M389" s="628"/>
      <c r="N389" s="628"/>
      <c r="O389" s="629"/>
      <c r="P389" s="625" t="s">
        <v>40</v>
      </c>
      <c r="Q389" s="626"/>
      <c r="R389" s="626"/>
      <c r="S389" s="626"/>
      <c r="T389" s="626"/>
      <c r="U389" s="626"/>
      <c r="V389" s="627"/>
      <c r="W389" s="42" t="s">
        <v>39</v>
      </c>
      <c r="X389" s="43">
        <f>IFERROR(X385/H385,"0")+IFERROR(X386/H386,"0")+IFERROR(X387/H387,"0")+IFERROR(X388/H388,"0")</f>
        <v>40</v>
      </c>
      <c r="Y389" s="43">
        <f>IFERROR(Y385/H385,"0")+IFERROR(Y386/H386,"0")+IFERROR(Y387/H387,"0")+IFERROR(Y388/H388,"0")</f>
        <v>41</v>
      </c>
      <c r="Z389" s="43">
        <f>IFERROR(IF(Z385="",0,Z385),"0")+IFERROR(IF(Z386="",0,Z386),"0")+IFERROR(IF(Z387="",0,Z387),"0")+IFERROR(IF(Z388="",0,Z388),"0")</f>
        <v>0.26690999999999998</v>
      </c>
      <c r="AA389" s="67"/>
      <c r="AB389" s="67"/>
      <c r="AC389" s="67"/>
    </row>
    <row r="390" spans="1:68" x14ac:dyDescent="0.2">
      <c r="A390" s="628"/>
      <c r="B390" s="628"/>
      <c r="C390" s="628"/>
      <c r="D390" s="628"/>
      <c r="E390" s="628"/>
      <c r="F390" s="628"/>
      <c r="G390" s="628"/>
      <c r="H390" s="628"/>
      <c r="I390" s="628"/>
      <c r="J390" s="628"/>
      <c r="K390" s="628"/>
      <c r="L390" s="628"/>
      <c r="M390" s="628"/>
      <c r="N390" s="628"/>
      <c r="O390" s="629"/>
      <c r="P390" s="625" t="s">
        <v>40</v>
      </c>
      <c r="Q390" s="626"/>
      <c r="R390" s="626"/>
      <c r="S390" s="626"/>
      <c r="T390" s="626"/>
      <c r="U390" s="626"/>
      <c r="V390" s="627"/>
      <c r="W390" s="42" t="s">
        <v>0</v>
      </c>
      <c r="X390" s="43">
        <f>IFERROR(SUM(X385:X388),"0")</f>
        <v>102</v>
      </c>
      <c r="Y390" s="43">
        <f>IFERROR(SUM(Y385:Y388),"0")</f>
        <v>104.54999999999998</v>
      </c>
      <c r="Z390" s="42"/>
      <c r="AA390" s="67"/>
      <c r="AB390" s="67"/>
      <c r="AC390" s="67"/>
    </row>
    <row r="391" spans="1:68" ht="14.25" hidden="1" customHeight="1" x14ac:dyDescent="0.25">
      <c r="A391" s="620" t="s">
        <v>647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6"/>
      <c r="AB391" s="66"/>
      <c r="AC391" s="80"/>
    </row>
    <row r="392" spans="1:68" ht="16.5" customHeight="1" x14ac:dyDescent="0.25">
      <c r="A392" s="63" t="s">
        <v>648</v>
      </c>
      <c r="B392" s="63" t="s">
        <v>649</v>
      </c>
      <c r="C392" s="36">
        <v>4301180007</v>
      </c>
      <c r="D392" s="621">
        <v>4680115881808</v>
      </c>
      <c r="E392" s="62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69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23"/>
      <c r="R392" s="623"/>
      <c r="S392" s="623"/>
      <c r="T392" s="624"/>
      <c r="U392" s="39" t="s">
        <v>46</v>
      </c>
      <c r="V392" s="39" t="s">
        <v>46</v>
      </c>
      <c r="W392" s="40" t="s">
        <v>0</v>
      </c>
      <c r="X392" s="58">
        <v>30</v>
      </c>
      <c r="Y392" s="55">
        <f>IFERROR(IF(X392="",0,CEILING((X392/$H392),1)*$H392),"")</f>
        <v>30</v>
      </c>
      <c r="Z392" s="41">
        <f>IFERROR(IF(Y392=0,"",ROUNDUP(Y392/H392,0)*0.00474),"")</f>
        <v>7.110000000000001E-2</v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33.6</v>
      </c>
      <c r="BN392" s="78">
        <f>IFERROR(Y392*I392/H392,"0")</f>
        <v>33.6</v>
      </c>
      <c r="BO392" s="78">
        <f>IFERROR(1/J392*(X392/H392),"0")</f>
        <v>6.3025210084033612E-2</v>
      </c>
      <c r="BP392" s="78">
        <f>IFERROR(1/J392*(Y392/H392),"0")</f>
        <v>6.3025210084033612E-2</v>
      </c>
    </row>
    <row r="393" spans="1:68" ht="27" customHeight="1" x14ac:dyDescent="0.25">
      <c r="A393" s="63" t="s">
        <v>652</v>
      </c>
      <c r="B393" s="63" t="s">
        <v>653</v>
      </c>
      <c r="C393" s="36">
        <v>4301180006</v>
      </c>
      <c r="D393" s="621">
        <v>4680115881822</v>
      </c>
      <c r="E393" s="62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23"/>
      <c r="R393" s="623"/>
      <c r="S393" s="623"/>
      <c r="T393" s="624"/>
      <c r="U393" s="39" t="s">
        <v>46</v>
      </c>
      <c r="V393" s="39" t="s">
        <v>46</v>
      </c>
      <c r="W393" s="40" t="s">
        <v>0</v>
      </c>
      <c r="X393" s="58">
        <v>20</v>
      </c>
      <c r="Y393" s="55">
        <f>IFERROR(IF(X393="",0,CEILING((X393/$H393),1)*$H393),"")</f>
        <v>20</v>
      </c>
      <c r="Z393" s="41">
        <f>IFERROR(IF(Y393=0,"",ROUNDUP(Y393/H393,0)*0.00474),"")</f>
        <v>4.7400000000000005E-2</v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22.400000000000002</v>
      </c>
      <c r="BN393" s="78">
        <f>IFERROR(Y393*I393/H393,"0")</f>
        <v>22.400000000000002</v>
      </c>
      <c r="BO393" s="78">
        <f>IFERROR(1/J393*(X393/H393),"0")</f>
        <v>4.2016806722689072E-2</v>
      </c>
      <c r="BP393" s="78">
        <f>IFERROR(1/J393*(Y393/H393),"0")</f>
        <v>4.2016806722689072E-2</v>
      </c>
    </row>
    <row r="394" spans="1:68" ht="27" customHeight="1" x14ac:dyDescent="0.25">
      <c r="A394" s="63" t="s">
        <v>654</v>
      </c>
      <c r="B394" s="63" t="s">
        <v>655</v>
      </c>
      <c r="C394" s="36">
        <v>4301180001</v>
      </c>
      <c r="D394" s="621">
        <v>4680115880016</v>
      </c>
      <c r="E394" s="62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6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23"/>
      <c r="R394" s="623"/>
      <c r="S394" s="623"/>
      <c r="T394" s="624"/>
      <c r="U394" s="39" t="s">
        <v>46</v>
      </c>
      <c r="V394" s="39" t="s">
        <v>46</v>
      </c>
      <c r="W394" s="40" t="s">
        <v>0</v>
      </c>
      <c r="X394" s="58">
        <v>50</v>
      </c>
      <c r="Y394" s="55">
        <f>IFERROR(IF(X394="",0,CEILING((X394/$H394),1)*$H394),"")</f>
        <v>50</v>
      </c>
      <c r="Z394" s="41">
        <f>IFERROR(IF(Y394=0,"",ROUNDUP(Y394/H394,0)*0.00474),"")</f>
        <v>0.11850000000000001</v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56.000000000000007</v>
      </c>
      <c r="BN394" s="78">
        <f>IFERROR(Y394*I394/H394,"0")</f>
        <v>56.000000000000007</v>
      </c>
      <c r="BO394" s="78">
        <f>IFERROR(1/J394*(X394/H394),"0")</f>
        <v>0.10504201680672269</v>
      </c>
      <c r="BP394" s="78">
        <f>IFERROR(1/J394*(Y394/H394),"0")</f>
        <v>0.10504201680672269</v>
      </c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39</v>
      </c>
      <c r="X395" s="43">
        <f>IFERROR(X392/H392,"0")+IFERROR(X393/H393,"0")+IFERROR(X394/H394,"0")</f>
        <v>50</v>
      </c>
      <c r="Y395" s="43">
        <f>IFERROR(Y392/H392,"0")+IFERROR(Y393/H393,"0")+IFERROR(Y394/H394,"0")</f>
        <v>50</v>
      </c>
      <c r="Z395" s="43">
        <f>IFERROR(IF(Z392="",0,Z392),"0")+IFERROR(IF(Z393="",0,Z393),"0")+IFERROR(IF(Z394="",0,Z394),"0")</f>
        <v>0.23700000000000004</v>
      </c>
      <c r="AA395" s="67"/>
      <c r="AB395" s="67"/>
      <c r="AC395" s="67"/>
    </row>
    <row r="396" spans="1:68" x14ac:dyDescent="0.2">
      <c r="A396" s="628"/>
      <c r="B396" s="628"/>
      <c r="C396" s="628"/>
      <c r="D396" s="628"/>
      <c r="E396" s="628"/>
      <c r="F396" s="628"/>
      <c r="G396" s="628"/>
      <c r="H396" s="628"/>
      <c r="I396" s="628"/>
      <c r="J396" s="628"/>
      <c r="K396" s="628"/>
      <c r="L396" s="628"/>
      <c r="M396" s="628"/>
      <c r="N396" s="628"/>
      <c r="O396" s="629"/>
      <c r="P396" s="625" t="s">
        <v>40</v>
      </c>
      <c r="Q396" s="626"/>
      <c r="R396" s="626"/>
      <c r="S396" s="626"/>
      <c r="T396" s="626"/>
      <c r="U396" s="626"/>
      <c r="V396" s="627"/>
      <c r="W396" s="42" t="s">
        <v>0</v>
      </c>
      <c r="X396" s="43">
        <f>IFERROR(SUM(X392:X394),"0")</f>
        <v>100</v>
      </c>
      <c r="Y396" s="43">
        <f>IFERROR(SUM(Y392:Y394),"0")</f>
        <v>100</v>
      </c>
      <c r="Z396" s="42"/>
      <c r="AA396" s="67"/>
      <c r="AB396" s="67"/>
      <c r="AC396" s="67"/>
    </row>
    <row r="397" spans="1:68" ht="16.5" hidden="1" customHeight="1" x14ac:dyDescent="0.25">
      <c r="A397" s="636" t="s">
        <v>656</v>
      </c>
      <c r="B397" s="636"/>
      <c r="C397" s="636"/>
      <c r="D397" s="636"/>
      <c r="E397" s="636"/>
      <c r="F397" s="636"/>
      <c r="G397" s="636"/>
      <c r="H397" s="636"/>
      <c r="I397" s="636"/>
      <c r="J397" s="636"/>
      <c r="K397" s="636"/>
      <c r="L397" s="636"/>
      <c r="M397" s="636"/>
      <c r="N397" s="636"/>
      <c r="O397" s="636"/>
      <c r="P397" s="636"/>
      <c r="Q397" s="636"/>
      <c r="R397" s="636"/>
      <c r="S397" s="636"/>
      <c r="T397" s="636"/>
      <c r="U397" s="636"/>
      <c r="V397" s="636"/>
      <c r="W397" s="636"/>
      <c r="X397" s="636"/>
      <c r="Y397" s="636"/>
      <c r="Z397" s="636"/>
      <c r="AA397" s="65"/>
      <c r="AB397" s="65"/>
      <c r="AC397" s="79"/>
    </row>
    <row r="398" spans="1:68" ht="14.25" hidden="1" customHeight="1" x14ac:dyDescent="0.25">
      <c r="A398" s="620" t="s">
        <v>86</v>
      </c>
      <c r="B398" s="620"/>
      <c r="C398" s="620"/>
      <c r="D398" s="620"/>
      <c r="E398" s="620"/>
      <c r="F398" s="620"/>
      <c r="G398" s="620"/>
      <c r="H398" s="620"/>
      <c r="I398" s="620"/>
      <c r="J398" s="620"/>
      <c r="K398" s="620"/>
      <c r="L398" s="620"/>
      <c r="M398" s="620"/>
      <c r="N398" s="620"/>
      <c r="O398" s="620"/>
      <c r="P398" s="620"/>
      <c r="Q398" s="620"/>
      <c r="R398" s="620"/>
      <c r="S398" s="620"/>
      <c r="T398" s="620"/>
      <c r="U398" s="620"/>
      <c r="V398" s="620"/>
      <c r="W398" s="620"/>
      <c r="X398" s="620"/>
      <c r="Y398" s="620"/>
      <c r="Z398" s="620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21">
        <v>4607091387919</v>
      </c>
      <c r="E399" s="621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6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23"/>
      <c r="R399" s="623"/>
      <c r="S399" s="623"/>
      <c r="T399" s="62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21">
        <v>4680115883604</v>
      </c>
      <c r="E400" s="621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6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23"/>
      <c r="R400" s="623"/>
      <c r="S400" s="623"/>
      <c r="T400" s="624"/>
      <c r="U400" s="39" t="s">
        <v>46</v>
      </c>
      <c r="V400" s="39" t="s">
        <v>46</v>
      </c>
      <c r="W400" s="40" t="s">
        <v>0</v>
      </c>
      <c r="X400" s="58">
        <v>770</v>
      </c>
      <c r="Y400" s="55">
        <f>IFERROR(IF(X400="",0,CEILING((X400/$H400),1)*$H400),"")</f>
        <v>770.7</v>
      </c>
      <c r="Z400" s="41">
        <f>IFERROR(IF(Y400=0,"",ROUNDUP(Y400/H400,0)*0.00651),"")</f>
        <v>2.38917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862.4</v>
      </c>
      <c r="BN400" s="78">
        <f>IFERROR(Y400*I400/H400,"0")</f>
        <v>863.18399999999997</v>
      </c>
      <c r="BO400" s="78">
        <f>IFERROR(1/J400*(X400/H400),"0")</f>
        <v>2.0146520146520146</v>
      </c>
      <c r="BP400" s="78">
        <f>IFERROR(1/J400*(Y400/H400),"0")</f>
        <v>2.0164835164835164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21">
        <v>4680115883567</v>
      </c>
      <c r="E401" s="621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6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23"/>
      <c r="R401" s="623"/>
      <c r="S401" s="623"/>
      <c r="T401" s="624"/>
      <c r="U401" s="39" t="s">
        <v>46</v>
      </c>
      <c r="V401" s="39" t="s">
        <v>46</v>
      </c>
      <c r="W401" s="40" t="s">
        <v>0</v>
      </c>
      <c r="X401" s="58">
        <v>454.99999999999994</v>
      </c>
      <c r="Y401" s="55">
        <f>IFERROR(IF(X401="",0,CEILING((X401/$H401),1)*$H401),"")</f>
        <v>455.70000000000005</v>
      </c>
      <c r="Z401" s="41">
        <f>IFERROR(IF(Y401=0,"",ROUNDUP(Y401/H401,0)*0.00651),"")</f>
        <v>1.4126700000000001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506.99999999999989</v>
      </c>
      <c r="BN401" s="78">
        <f>IFERROR(Y401*I401/H401,"0")</f>
        <v>507.78</v>
      </c>
      <c r="BO401" s="78">
        <f>IFERROR(1/J401*(X401/H401),"0")</f>
        <v>1.1904761904761905</v>
      </c>
      <c r="BP401" s="78">
        <f>IFERROR(1/J401*(Y401/H401),"0")</f>
        <v>1.1923076923076923</v>
      </c>
    </row>
    <row r="402" spans="1:68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2" t="s">
        <v>39</v>
      </c>
      <c r="X402" s="43">
        <f>IFERROR(X399/H399,"0")+IFERROR(X400/H400,"0")+IFERROR(X401/H401,"0")</f>
        <v>583.33333333333326</v>
      </c>
      <c r="Y402" s="43">
        <f>IFERROR(Y399/H399,"0")+IFERROR(Y400/H400,"0")+IFERROR(Y401/H401,"0")</f>
        <v>584</v>
      </c>
      <c r="Z402" s="43">
        <f>IFERROR(IF(Z399="",0,Z399),"0")+IFERROR(IF(Z400="",0,Z400),"0")+IFERROR(IF(Z401="",0,Z401),"0")</f>
        <v>3.8018400000000003</v>
      </c>
      <c r="AA402" s="67"/>
      <c r="AB402" s="67"/>
      <c r="AC402" s="67"/>
    </row>
    <row r="403" spans="1:68" x14ac:dyDescent="0.2">
      <c r="A403" s="628"/>
      <c r="B403" s="628"/>
      <c r="C403" s="628"/>
      <c r="D403" s="628"/>
      <c r="E403" s="628"/>
      <c r="F403" s="628"/>
      <c r="G403" s="628"/>
      <c r="H403" s="628"/>
      <c r="I403" s="628"/>
      <c r="J403" s="628"/>
      <c r="K403" s="628"/>
      <c r="L403" s="628"/>
      <c r="M403" s="628"/>
      <c r="N403" s="628"/>
      <c r="O403" s="629"/>
      <c r="P403" s="625" t="s">
        <v>40</v>
      </c>
      <c r="Q403" s="626"/>
      <c r="R403" s="626"/>
      <c r="S403" s="626"/>
      <c r="T403" s="626"/>
      <c r="U403" s="626"/>
      <c r="V403" s="627"/>
      <c r="W403" s="42" t="s">
        <v>0</v>
      </c>
      <c r="X403" s="43">
        <f>IFERROR(SUM(X399:X401),"0")</f>
        <v>1225</v>
      </c>
      <c r="Y403" s="43">
        <f>IFERROR(SUM(Y399:Y401),"0")</f>
        <v>1226.4000000000001</v>
      </c>
      <c r="Z403" s="42"/>
      <c r="AA403" s="67"/>
      <c r="AB403" s="67"/>
      <c r="AC403" s="67"/>
    </row>
    <row r="404" spans="1:68" ht="27.75" hidden="1" customHeight="1" x14ac:dyDescent="0.2">
      <c r="A404" s="641" t="s">
        <v>666</v>
      </c>
      <c r="B404" s="641"/>
      <c r="C404" s="641"/>
      <c r="D404" s="641"/>
      <c r="E404" s="641"/>
      <c r="F404" s="641"/>
      <c r="G404" s="641"/>
      <c r="H404" s="641"/>
      <c r="I404" s="641"/>
      <c r="J404" s="641"/>
      <c r="K404" s="641"/>
      <c r="L404" s="641"/>
      <c r="M404" s="641"/>
      <c r="N404" s="641"/>
      <c r="O404" s="641"/>
      <c r="P404" s="641"/>
      <c r="Q404" s="641"/>
      <c r="R404" s="641"/>
      <c r="S404" s="641"/>
      <c r="T404" s="641"/>
      <c r="U404" s="641"/>
      <c r="V404" s="641"/>
      <c r="W404" s="641"/>
      <c r="X404" s="641"/>
      <c r="Y404" s="641"/>
      <c r="Z404" s="641"/>
      <c r="AA404" s="54"/>
      <c r="AB404" s="54"/>
      <c r="AC404" s="54"/>
    </row>
    <row r="405" spans="1:68" ht="16.5" hidden="1" customHeight="1" x14ac:dyDescent="0.25">
      <c r="A405" s="636" t="s">
        <v>667</v>
      </c>
      <c r="B405" s="636"/>
      <c r="C405" s="636"/>
      <c r="D405" s="636"/>
      <c r="E405" s="636"/>
      <c r="F405" s="636"/>
      <c r="G405" s="636"/>
      <c r="H405" s="636"/>
      <c r="I405" s="636"/>
      <c r="J405" s="636"/>
      <c r="K405" s="636"/>
      <c r="L405" s="636"/>
      <c r="M405" s="636"/>
      <c r="N405" s="636"/>
      <c r="O405" s="636"/>
      <c r="P405" s="636"/>
      <c r="Q405" s="636"/>
      <c r="R405" s="636"/>
      <c r="S405" s="636"/>
      <c r="T405" s="636"/>
      <c r="U405" s="636"/>
      <c r="V405" s="636"/>
      <c r="W405" s="636"/>
      <c r="X405" s="636"/>
      <c r="Y405" s="636"/>
      <c r="Z405" s="636"/>
      <c r="AA405" s="65"/>
      <c r="AB405" s="65"/>
      <c r="AC405" s="79"/>
    </row>
    <row r="406" spans="1:68" ht="14.25" hidden="1" customHeight="1" x14ac:dyDescent="0.25">
      <c r="A406" s="620" t="s">
        <v>129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21">
        <v>4680115888401</v>
      </c>
      <c r="E407" s="621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69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23"/>
      <c r="R407" s="623"/>
      <c r="S407" s="623"/>
      <c r="T407" s="624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21">
        <v>4680115884847</v>
      </c>
      <c r="E408" s="621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6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23"/>
      <c r="R408" s="623"/>
      <c r="S408" s="623"/>
      <c r="T408" s="624"/>
      <c r="U408" s="39" t="s">
        <v>46</v>
      </c>
      <c r="V408" s="39" t="s">
        <v>46</v>
      </c>
      <c r="W408" s="40" t="s">
        <v>0</v>
      </c>
      <c r="X408" s="58">
        <v>1000</v>
      </c>
      <c r="Y408" s="55">
        <f t="shared" si="57"/>
        <v>1005</v>
      </c>
      <c r="Z408" s="41">
        <f>IFERROR(IF(Y408=0,"",ROUNDUP(Y408/H408,0)*0.02175),"")</f>
        <v>1.4572499999999999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1031.3333333333333</v>
      </c>
      <c r="BN408" s="78">
        <f t="shared" si="59"/>
        <v>1036.49</v>
      </c>
      <c r="BO408" s="78">
        <f t="shared" si="60"/>
        <v>1.3888888888888888</v>
      </c>
      <c r="BP408" s="78">
        <f t="shared" si="61"/>
        <v>1.3958333333333333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21">
        <v>4680115884854</v>
      </c>
      <c r="E409" s="621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6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23"/>
      <c r="R409" s="623"/>
      <c r="S409" s="623"/>
      <c r="T409" s="624"/>
      <c r="U409" s="39" t="s">
        <v>46</v>
      </c>
      <c r="V409" s="39" t="s">
        <v>46</v>
      </c>
      <c r="W409" s="40" t="s">
        <v>0</v>
      </c>
      <c r="X409" s="58">
        <v>700</v>
      </c>
      <c r="Y409" s="55">
        <f t="shared" si="57"/>
        <v>705</v>
      </c>
      <c r="Z409" s="41">
        <f>IFERROR(IF(Y409=0,"",ROUNDUP(Y409/H409,0)*0.02175),"")</f>
        <v>1.0222499999999999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721.93333333333328</v>
      </c>
      <c r="BN409" s="78">
        <f t="shared" si="59"/>
        <v>727.09</v>
      </c>
      <c r="BO409" s="78">
        <f t="shared" si="60"/>
        <v>0.9722222222222221</v>
      </c>
      <c r="BP409" s="78">
        <f t="shared" si="61"/>
        <v>0.97916666666666663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21">
        <v>4680115884830</v>
      </c>
      <c r="E410" s="621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6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23"/>
      <c r="R410" s="623"/>
      <c r="S410" s="623"/>
      <c r="T410" s="624"/>
      <c r="U410" s="39" t="s">
        <v>46</v>
      </c>
      <c r="V410" s="39" t="s">
        <v>46</v>
      </c>
      <c r="W410" s="40" t="s">
        <v>0</v>
      </c>
      <c r="X410" s="58">
        <v>700</v>
      </c>
      <c r="Y410" s="55">
        <f t="shared" si="57"/>
        <v>705</v>
      </c>
      <c r="Z410" s="41">
        <f>IFERROR(IF(Y410=0,"",ROUNDUP(Y410/H410,0)*0.02175),"")</f>
        <v>1.0222499999999999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721.93333333333328</v>
      </c>
      <c r="BN410" s="78">
        <f t="shared" si="59"/>
        <v>727.09</v>
      </c>
      <c r="BO410" s="78">
        <f t="shared" si="60"/>
        <v>0.9722222222222221</v>
      </c>
      <c r="BP410" s="78">
        <f t="shared" si="61"/>
        <v>0.97916666666666663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21">
        <v>4680115889231</v>
      </c>
      <c r="E411" s="621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23"/>
      <c r="R411" s="623"/>
      <c r="S411" s="623"/>
      <c r="T411" s="624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21">
        <v>4680115882638</v>
      </c>
      <c r="E412" s="621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68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23"/>
      <c r="R412" s="623"/>
      <c r="S412" s="623"/>
      <c r="T412" s="624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21">
        <v>4680115884922</v>
      </c>
      <c r="E413" s="621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23"/>
      <c r="R413" s="623"/>
      <c r="S413" s="623"/>
      <c r="T413" s="62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21">
        <v>4680115884861</v>
      </c>
      <c r="E414" s="621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68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23"/>
      <c r="R414" s="623"/>
      <c r="S414" s="623"/>
      <c r="T414" s="62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x14ac:dyDescent="0.2">
      <c r="A415" s="628"/>
      <c r="B415" s="628"/>
      <c r="C415" s="628"/>
      <c r="D415" s="628"/>
      <c r="E415" s="628"/>
      <c r="F415" s="628"/>
      <c r="G415" s="628"/>
      <c r="H415" s="628"/>
      <c r="I415" s="628"/>
      <c r="J415" s="628"/>
      <c r="K415" s="628"/>
      <c r="L415" s="628"/>
      <c r="M415" s="628"/>
      <c r="N415" s="628"/>
      <c r="O415" s="629"/>
      <c r="P415" s="625" t="s">
        <v>40</v>
      </c>
      <c r="Q415" s="626"/>
      <c r="R415" s="626"/>
      <c r="S415" s="626"/>
      <c r="T415" s="626"/>
      <c r="U415" s="626"/>
      <c r="V415" s="627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160</v>
      </c>
      <c r="Y415" s="43">
        <f>IFERROR(Y407/H407,"0")+IFERROR(Y408/H408,"0")+IFERROR(Y409/H409,"0")+IFERROR(Y410/H410,"0")+IFERROR(Y411/H411,"0")+IFERROR(Y412/H412,"0")+IFERROR(Y413/H413,"0")+IFERROR(Y414/H414,"0")</f>
        <v>161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3.5017499999999995</v>
      </c>
      <c r="AA415" s="67"/>
      <c r="AB415" s="67"/>
      <c r="AC415" s="67"/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0</v>
      </c>
      <c r="X416" s="43">
        <f>IFERROR(SUM(X407:X414),"0")</f>
        <v>2400</v>
      </c>
      <c r="Y416" s="43">
        <f>IFERROR(SUM(Y407:Y414),"0")</f>
        <v>2415</v>
      </c>
      <c r="Z416" s="42"/>
      <c r="AA416" s="67"/>
      <c r="AB416" s="67"/>
      <c r="AC416" s="67"/>
    </row>
    <row r="417" spans="1:68" ht="14.25" hidden="1" customHeight="1" x14ac:dyDescent="0.25">
      <c r="A417" s="620" t="s">
        <v>166</v>
      </c>
      <c r="B417" s="620"/>
      <c r="C417" s="620"/>
      <c r="D417" s="620"/>
      <c r="E417" s="620"/>
      <c r="F417" s="620"/>
      <c r="G417" s="620"/>
      <c r="H417" s="620"/>
      <c r="I417" s="620"/>
      <c r="J417" s="620"/>
      <c r="K417" s="620"/>
      <c r="L417" s="620"/>
      <c r="M417" s="620"/>
      <c r="N417" s="620"/>
      <c r="O417" s="620"/>
      <c r="P417" s="620"/>
      <c r="Q417" s="620"/>
      <c r="R417" s="620"/>
      <c r="S417" s="620"/>
      <c r="T417" s="620"/>
      <c r="U417" s="620"/>
      <c r="V417" s="620"/>
      <c r="W417" s="620"/>
      <c r="X417" s="620"/>
      <c r="Y417" s="620"/>
      <c r="Z417" s="620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21">
        <v>4607091383980</v>
      </c>
      <c r="E418" s="621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23"/>
      <c r="R418" s="623"/>
      <c r="S418" s="623"/>
      <c r="T418" s="624"/>
      <c r="U418" s="39" t="s">
        <v>46</v>
      </c>
      <c r="V418" s="39" t="s">
        <v>46</v>
      </c>
      <c r="W418" s="40" t="s">
        <v>0</v>
      </c>
      <c r="X418" s="58">
        <v>600</v>
      </c>
      <c r="Y418" s="55">
        <f>IFERROR(IF(X418="",0,CEILING((X418/$H418),1)*$H418),"")</f>
        <v>600</v>
      </c>
      <c r="Z418" s="41">
        <f>IFERROR(IF(Y418=0,"",ROUNDUP(Y418/H418,0)*0.02175),"")</f>
        <v>0.86999999999999988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618.79999999999995</v>
      </c>
      <c r="BN418" s="78">
        <f>IFERROR(Y418*I418/H418,"0")</f>
        <v>618.79999999999995</v>
      </c>
      <c r="BO418" s="78">
        <f>IFERROR(1/J418*(X418/H418),"0")</f>
        <v>0.83333333333333326</v>
      </c>
      <c r="BP418" s="78">
        <f>IFERROR(1/J418*(Y418/H418),"0")</f>
        <v>0.83333333333333326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21">
        <v>4680115888425</v>
      </c>
      <c r="E419" s="621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68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23"/>
      <c r="R419" s="623"/>
      <c r="S419" s="623"/>
      <c r="T419" s="624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21">
        <v>4607091384178</v>
      </c>
      <c r="E420" s="621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23"/>
      <c r="R420" s="623"/>
      <c r="S420" s="623"/>
      <c r="T420" s="624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28"/>
      <c r="B421" s="628"/>
      <c r="C421" s="628"/>
      <c r="D421" s="628"/>
      <c r="E421" s="628"/>
      <c r="F421" s="628"/>
      <c r="G421" s="628"/>
      <c r="H421" s="628"/>
      <c r="I421" s="628"/>
      <c r="J421" s="628"/>
      <c r="K421" s="628"/>
      <c r="L421" s="628"/>
      <c r="M421" s="628"/>
      <c r="N421" s="628"/>
      <c r="O421" s="629"/>
      <c r="P421" s="625" t="s">
        <v>40</v>
      </c>
      <c r="Q421" s="626"/>
      <c r="R421" s="626"/>
      <c r="S421" s="626"/>
      <c r="T421" s="626"/>
      <c r="U421" s="626"/>
      <c r="V421" s="627"/>
      <c r="W421" s="42" t="s">
        <v>39</v>
      </c>
      <c r="X421" s="43">
        <f>IFERROR(X418/H418,"0")+IFERROR(X419/H419,"0")+IFERROR(X420/H420,"0")</f>
        <v>40</v>
      </c>
      <c r="Y421" s="43">
        <f>IFERROR(Y418/H418,"0")+IFERROR(Y419/H419,"0")+IFERROR(Y420/H420,"0")</f>
        <v>40</v>
      </c>
      <c r="Z421" s="43">
        <f>IFERROR(IF(Z418="",0,Z418),"0")+IFERROR(IF(Z419="",0,Z419),"0")+IFERROR(IF(Z420="",0,Z420),"0")</f>
        <v>0.86999999999999988</v>
      </c>
      <c r="AA421" s="67"/>
      <c r="AB421" s="67"/>
      <c r="AC421" s="67"/>
    </row>
    <row r="422" spans="1:68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2" t="s">
        <v>0</v>
      </c>
      <c r="X422" s="43">
        <f>IFERROR(SUM(X418:X420),"0")</f>
        <v>600</v>
      </c>
      <c r="Y422" s="43">
        <f>IFERROR(SUM(Y418:Y420),"0")</f>
        <v>600</v>
      </c>
      <c r="Z422" s="42"/>
      <c r="AA422" s="67"/>
      <c r="AB422" s="67"/>
      <c r="AC422" s="67"/>
    </row>
    <row r="423" spans="1:68" ht="14.25" hidden="1" customHeight="1" x14ac:dyDescent="0.25">
      <c r="A423" s="620" t="s">
        <v>86</v>
      </c>
      <c r="B423" s="620"/>
      <c r="C423" s="620"/>
      <c r="D423" s="620"/>
      <c r="E423" s="620"/>
      <c r="F423" s="620"/>
      <c r="G423" s="620"/>
      <c r="H423" s="620"/>
      <c r="I423" s="620"/>
      <c r="J423" s="620"/>
      <c r="K423" s="620"/>
      <c r="L423" s="620"/>
      <c r="M423" s="620"/>
      <c r="N423" s="620"/>
      <c r="O423" s="620"/>
      <c r="P423" s="620"/>
      <c r="Q423" s="620"/>
      <c r="R423" s="620"/>
      <c r="S423" s="620"/>
      <c r="T423" s="620"/>
      <c r="U423" s="620"/>
      <c r="V423" s="620"/>
      <c r="W423" s="620"/>
      <c r="X423" s="620"/>
      <c r="Y423" s="620"/>
      <c r="Z423" s="620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21">
        <v>4607091383928</v>
      </c>
      <c r="E424" s="621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23"/>
      <c r="R424" s="623"/>
      <c r="S424" s="623"/>
      <c r="T424" s="62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21">
        <v>4607091384260</v>
      </c>
      <c r="E425" s="621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6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23"/>
      <c r="R425" s="623"/>
      <c r="S425" s="623"/>
      <c r="T425" s="62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28"/>
      <c r="B426" s="628"/>
      <c r="C426" s="628"/>
      <c r="D426" s="628"/>
      <c r="E426" s="628"/>
      <c r="F426" s="628"/>
      <c r="G426" s="628"/>
      <c r="H426" s="628"/>
      <c r="I426" s="628"/>
      <c r="J426" s="628"/>
      <c r="K426" s="628"/>
      <c r="L426" s="628"/>
      <c r="M426" s="628"/>
      <c r="N426" s="628"/>
      <c r="O426" s="629"/>
      <c r="P426" s="625" t="s">
        <v>40</v>
      </c>
      <c r="Q426" s="626"/>
      <c r="R426" s="626"/>
      <c r="S426" s="626"/>
      <c r="T426" s="626"/>
      <c r="U426" s="626"/>
      <c r="V426" s="627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28"/>
      <c r="B427" s="628"/>
      <c r="C427" s="628"/>
      <c r="D427" s="628"/>
      <c r="E427" s="628"/>
      <c r="F427" s="628"/>
      <c r="G427" s="628"/>
      <c r="H427" s="628"/>
      <c r="I427" s="628"/>
      <c r="J427" s="628"/>
      <c r="K427" s="628"/>
      <c r="L427" s="628"/>
      <c r="M427" s="628"/>
      <c r="N427" s="628"/>
      <c r="O427" s="629"/>
      <c r="P427" s="625" t="s">
        <v>40</v>
      </c>
      <c r="Q427" s="626"/>
      <c r="R427" s="626"/>
      <c r="S427" s="626"/>
      <c r="T427" s="626"/>
      <c r="U427" s="626"/>
      <c r="V427" s="627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20" t="s">
        <v>183</v>
      </c>
      <c r="B428" s="620"/>
      <c r="C428" s="620"/>
      <c r="D428" s="620"/>
      <c r="E428" s="620"/>
      <c r="F428" s="620"/>
      <c r="G428" s="620"/>
      <c r="H428" s="620"/>
      <c r="I428" s="620"/>
      <c r="J428" s="620"/>
      <c r="K428" s="620"/>
      <c r="L428" s="620"/>
      <c r="M428" s="620"/>
      <c r="N428" s="620"/>
      <c r="O428" s="620"/>
      <c r="P428" s="620"/>
      <c r="Q428" s="620"/>
      <c r="R428" s="620"/>
      <c r="S428" s="620"/>
      <c r="T428" s="620"/>
      <c r="U428" s="620"/>
      <c r="V428" s="620"/>
      <c r="W428" s="620"/>
      <c r="X428" s="620"/>
      <c r="Y428" s="620"/>
      <c r="Z428" s="620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21">
        <v>4607091384673</v>
      </c>
      <c r="E429" s="621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6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23"/>
      <c r="R429" s="623"/>
      <c r="S429" s="623"/>
      <c r="T429" s="624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28"/>
      <c r="B430" s="628"/>
      <c r="C430" s="628"/>
      <c r="D430" s="628"/>
      <c r="E430" s="628"/>
      <c r="F430" s="628"/>
      <c r="G430" s="628"/>
      <c r="H430" s="628"/>
      <c r="I430" s="628"/>
      <c r="J430" s="628"/>
      <c r="K430" s="628"/>
      <c r="L430" s="628"/>
      <c r="M430" s="628"/>
      <c r="N430" s="628"/>
      <c r="O430" s="629"/>
      <c r="P430" s="625" t="s">
        <v>40</v>
      </c>
      <c r="Q430" s="626"/>
      <c r="R430" s="626"/>
      <c r="S430" s="626"/>
      <c r="T430" s="626"/>
      <c r="U430" s="626"/>
      <c r="V430" s="627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28"/>
      <c r="B431" s="628"/>
      <c r="C431" s="628"/>
      <c r="D431" s="628"/>
      <c r="E431" s="628"/>
      <c r="F431" s="628"/>
      <c r="G431" s="628"/>
      <c r="H431" s="628"/>
      <c r="I431" s="628"/>
      <c r="J431" s="628"/>
      <c r="K431" s="628"/>
      <c r="L431" s="628"/>
      <c r="M431" s="628"/>
      <c r="N431" s="628"/>
      <c r="O431" s="629"/>
      <c r="P431" s="625" t="s">
        <v>40</v>
      </c>
      <c r="Q431" s="626"/>
      <c r="R431" s="626"/>
      <c r="S431" s="626"/>
      <c r="T431" s="626"/>
      <c r="U431" s="626"/>
      <c r="V431" s="627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36" t="s">
        <v>710</v>
      </c>
      <c r="B432" s="636"/>
      <c r="C432" s="636"/>
      <c r="D432" s="636"/>
      <c r="E432" s="636"/>
      <c r="F432" s="636"/>
      <c r="G432" s="636"/>
      <c r="H432" s="636"/>
      <c r="I432" s="636"/>
      <c r="J432" s="636"/>
      <c r="K432" s="636"/>
      <c r="L432" s="636"/>
      <c r="M432" s="636"/>
      <c r="N432" s="636"/>
      <c r="O432" s="636"/>
      <c r="P432" s="636"/>
      <c r="Q432" s="636"/>
      <c r="R432" s="636"/>
      <c r="S432" s="636"/>
      <c r="T432" s="636"/>
      <c r="U432" s="636"/>
      <c r="V432" s="636"/>
      <c r="W432" s="636"/>
      <c r="X432" s="636"/>
      <c r="Y432" s="636"/>
      <c r="Z432" s="636"/>
      <c r="AA432" s="65"/>
      <c r="AB432" s="65"/>
      <c r="AC432" s="79"/>
    </row>
    <row r="433" spans="1:68" ht="14.25" hidden="1" customHeight="1" x14ac:dyDescent="0.25">
      <c r="A433" s="620" t="s">
        <v>129</v>
      </c>
      <c r="B433" s="620"/>
      <c r="C433" s="620"/>
      <c r="D433" s="620"/>
      <c r="E433" s="620"/>
      <c r="F433" s="620"/>
      <c r="G433" s="620"/>
      <c r="H433" s="620"/>
      <c r="I433" s="620"/>
      <c r="J433" s="620"/>
      <c r="K433" s="620"/>
      <c r="L433" s="620"/>
      <c r="M433" s="620"/>
      <c r="N433" s="620"/>
      <c r="O433" s="620"/>
      <c r="P433" s="620"/>
      <c r="Q433" s="620"/>
      <c r="R433" s="620"/>
      <c r="S433" s="620"/>
      <c r="T433" s="620"/>
      <c r="U433" s="620"/>
      <c r="V433" s="620"/>
      <c r="W433" s="620"/>
      <c r="X433" s="620"/>
      <c r="Y433" s="620"/>
      <c r="Z433" s="620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21">
        <v>4680115884885</v>
      </c>
      <c r="E434" s="621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6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23"/>
      <c r="R434" s="623"/>
      <c r="S434" s="623"/>
      <c r="T434" s="624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21">
        <v>4680115884908</v>
      </c>
      <c r="E435" s="621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6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23"/>
      <c r="R435" s="623"/>
      <c r="S435" s="623"/>
      <c r="T435" s="62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28"/>
      <c r="B436" s="628"/>
      <c r="C436" s="628"/>
      <c r="D436" s="628"/>
      <c r="E436" s="628"/>
      <c r="F436" s="628"/>
      <c r="G436" s="628"/>
      <c r="H436" s="628"/>
      <c r="I436" s="628"/>
      <c r="J436" s="628"/>
      <c r="K436" s="628"/>
      <c r="L436" s="628"/>
      <c r="M436" s="628"/>
      <c r="N436" s="628"/>
      <c r="O436" s="629"/>
      <c r="P436" s="625" t="s">
        <v>40</v>
      </c>
      <c r="Q436" s="626"/>
      <c r="R436" s="626"/>
      <c r="S436" s="626"/>
      <c r="T436" s="626"/>
      <c r="U436" s="626"/>
      <c r="V436" s="627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28"/>
      <c r="B437" s="628"/>
      <c r="C437" s="628"/>
      <c r="D437" s="628"/>
      <c r="E437" s="628"/>
      <c r="F437" s="628"/>
      <c r="G437" s="628"/>
      <c r="H437" s="628"/>
      <c r="I437" s="628"/>
      <c r="J437" s="628"/>
      <c r="K437" s="628"/>
      <c r="L437" s="628"/>
      <c r="M437" s="628"/>
      <c r="N437" s="628"/>
      <c r="O437" s="629"/>
      <c r="P437" s="625" t="s">
        <v>40</v>
      </c>
      <c r="Q437" s="626"/>
      <c r="R437" s="626"/>
      <c r="S437" s="626"/>
      <c r="T437" s="626"/>
      <c r="U437" s="626"/>
      <c r="V437" s="627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20" t="s">
        <v>77</v>
      </c>
      <c r="B438" s="620"/>
      <c r="C438" s="620"/>
      <c r="D438" s="620"/>
      <c r="E438" s="620"/>
      <c r="F438" s="620"/>
      <c r="G438" s="620"/>
      <c r="H438" s="620"/>
      <c r="I438" s="620"/>
      <c r="J438" s="620"/>
      <c r="K438" s="620"/>
      <c r="L438" s="620"/>
      <c r="M438" s="620"/>
      <c r="N438" s="620"/>
      <c r="O438" s="620"/>
      <c r="P438" s="620"/>
      <c r="Q438" s="620"/>
      <c r="R438" s="620"/>
      <c r="S438" s="620"/>
      <c r="T438" s="620"/>
      <c r="U438" s="620"/>
      <c r="V438" s="620"/>
      <c r="W438" s="620"/>
      <c r="X438" s="620"/>
      <c r="Y438" s="620"/>
      <c r="Z438" s="620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21">
        <v>4607091384802</v>
      </c>
      <c r="E439" s="621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6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23"/>
      <c r="R439" s="623"/>
      <c r="S439" s="623"/>
      <c r="T439" s="624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28"/>
      <c r="B441" s="628"/>
      <c r="C441" s="628"/>
      <c r="D441" s="628"/>
      <c r="E441" s="628"/>
      <c r="F441" s="628"/>
      <c r="G441" s="628"/>
      <c r="H441" s="628"/>
      <c r="I441" s="628"/>
      <c r="J441" s="628"/>
      <c r="K441" s="628"/>
      <c r="L441" s="628"/>
      <c r="M441" s="628"/>
      <c r="N441" s="628"/>
      <c r="O441" s="629"/>
      <c r="P441" s="625" t="s">
        <v>40</v>
      </c>
      <c r="Q441" s="626"/>
      <c r="R441" s="626"/>
      <c r="S441" s="626"/>
      <c r="T441" s="626"/>
      <c r="U441" s="626"/>
      <c r="V441" s="627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20" t="s">
        <v>86</v>
      </c>
      <c r="B442" s="620"/>
      <c r="C442" s="620"/>
      <c r="D442" s="620"/>
      <c r="E442" s="620"/>
      <c r="F442" s="620"/>
      <c r="G442" s="620"/>
      <c r="H442" s="620"/>
      <c r="I442" s="620"/>
      <c r="J442" s="620"/>
      <c r="K442" s="620"/>
      <c r="L442" s="620"/>
      <c r="M442" s="620"/>
      <c r="N442" s="620"/>
      <c r="O442" s="620"/>
      <c r="P442" s="620"/>
      <c r="Q442" s="620"/>
      <c r="R442" s="620"/>
      <c r="S442" s="620"/>
      <c r="T442" s="620"/>
      <c r="U442" s="620"/>
      <c r="V442" s="620"/>
      <c r="W442" s="620"/>
      <c r="X442" s="620"/>
      <c r="Y442" s="620"/>
      <c r="Z442" s="620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21">
        <v>4607091384246</v>
      </c>
      <c r="E443" s="62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6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23"/>
      <c r="R443" s="623"/>
      <c r="S443" s="623"/>
      <c r="T443" s="62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21">
        <v>4607091384253</v>
      </c>
      <c r="E444" s="621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23"/>
      <c r="R444" s="623"/>
      <c r="S444" s="623"/>
      <c r="T444" s="62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21">
        <v>4607091384253</v>
      </c>
      <c r="E445" s="621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6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23"/>
      <c r="R445" s="623"/>
      <c r="S445" s="623"/>
      <c r="T445" s="624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41" t="s">
        <v>726</v>
      </c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1"/>
      <c r="P448" s="641"/>
      <c r="Q448" s="641"/>
      <c r="R448" s="641"/>
      <c r="S448" s="641"/>
      <c r="T448" s="641"/>
      <c r="U448" s="641"/>
      <c r="V448" s="641"/>
      <c r="W448" s="641"/>
      <c r="X448" s="641"/>
      <c r="Y448" s="641"/>
      <c r="Z448" s="641"/>
      <c r="AA448" s="54"/>
      <c r="AB448" s="54"/>
      <c r="AC448" s="54"/>
    </row>
    <row r="449" spans="1:68" ht="16.5" hidden="1" customHeight="1" x14ac:dyDescent="0.25">
      <c r="A449" s="636" t="s">
        <v>727</v>
      </c>
      <c r="B449" s="636"/>
      <c r="C449" s="636"/>
      <c r="D449" s="636"/>
      <c r="E449" s="636"/>
      <c r="F449" s="636"/>
      <c r="G449" s="636"/>
      <c r="H449" s="636"/>
      <c r="I449" s="636"/>
      <c r="J449" s="636"/>
      <c r="K449" s="636"/>
      <c r="L449" s="636"/>
      <c r="M449" s="636"/>
      <c r="N449" s="636"/>
      <c r="O449" s="636"/>
      <c r="P449" s="636"/>
      <c r="Q449" s="636"/>
      <c r="R449" s="636"/>
      <c r="S449" s="636"/>
      <c r="T449" s="636"/>
      <c r="U449" s="636"/>
      <c r="V449" s="636"/>
      <c r="W449" s="636"/>
      <c r="X449" s="636"/>
      <c r="Y449" s="636"/>
      <c r="Z449" s="636"/>
      <c r="AA449" s="65"/>
      <c r="AB449" s="65"/>
      <c r="AC449" s="79"/>
    </row>
    <row r="450" spans="1:68" ht="14.25" hidden="1" customHeight="1" x14ac:dyDescent="0.25">
      <c r="A450" s="620" t="s">
        <v>77</v>
      </c>
      <c r="B450" s="620"/>
      <c r="C450" s="620"/>
      <c r="D450" s="620"/>
      <c r="E450" s="620"/>
      <c r="F450" s="620"/>
      <c r="G450" s="620"/>
      <c r="H450" s="620"/>
      <c r="I450" s="620"/>
      <c r="J450" s="620"/>
      <c r="K450" s="620"/>
      <c r="L450" s="620"/>
      <c r="M450" s="620"/>
      <c r="N450" s="620"/>
      <c r="O450" s="620"/>
      <c r="P450" s="620"/>
      <c r="Q450" s="620"/>
      <c r="R450" s="620"/>
      <c r="S450" s="620"/>
      <c r="T450" s="620"/>
      <c r="U450" s="620"/>
      <c r="V450" s="620"/>
      <c r="W450" s="620"/>
      <c r="X450" s="620"/>
      <c r="Y450" s="620"/>
      <c r="Z450" s="620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21">
        <v>4680115886100</v>
      </c>
      <c r="E451" s="621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23"/>
      <c r="R451" s="623"/>
      <c r="S451" s="623"/>
      <c r="T451" s="624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21">
        <v>4680115886124</v>
      </c>
      <c r="E452" s="621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6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23"/>
      <c r="R452" s="623"/>
      <c r="S452" s="623"/>
      <c r="T452" s="624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21">
        <v>4607091384338</v>
      </c>
      <c r="E453" s="621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23"/>
      <c r="R453" s="623"/>
      <c r="S453" s="623"/>
      <c r="T453" s="624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21">
        <v>4680115883161</v>
      </c>
      <c r="E454" s="621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23"/>
      <c r="R454" s="623"/>
      <c r="S454" s="623"/>
      <c r="T454" s="624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21">
        <v>4607091389531</v>
      </c>
      <c r="E455" s="621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23"/>
      <c r="R455" s="623"/>
      <c r="S455" s="623"/>
      <c r="T455" s="624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21">
        <v>4607091384345</v>
      </c>
      <c r="E456" s="621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67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23"/>
      <c r="R456" s="623"/>
      <c r="S456" s="623"/>
      <c r="T456" s="624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28"/>
      <c r="B457" s="628"/>
      <c r="C457" s="628"/>
      <c r="D457" s="628"/>
      <c r="E457" s="628"/>
      <c r="F457" s="628"/>
      <c r="G457" s="628"/>
      <c r="H457" s="628"/>
      <c r="I457" s="628"/>
      <c r="J457" s="628"/>
      <c r="K457" s="628"/>
      <c r="L457" s="628"/>
      <c r="M457" s="628"/>
      <c r="N457" s="628"/>
      <c r="O457" s="629"/>
      <c r="P457" s="625" t="s">
        <v>40</v>
      </c>
      <c r="Q457" s="626"/>
      <c r="R457" s="626"/>
      <c r="S457" s="626"/>
      <c r="T457" s="626"/>
      <c r="U457" s="626"/>
      <c r="V457" s="627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28"/>
      <c r="B458" s="628"/>
      <c r="C458" s="628"/>
      <c r="D458" s="628"/>
      <c r="E458" s="628"/>
      <c r="F458" s="628"/>
      <c r="G458" s="628"/>
      <c r="H458" s="628"/>
      <c r="I458" s="628"/>
      <c r="J458" s="628"/>
      <c r="K458" s="628"/>
      <c r="L458" s="628"/>
      <c r="M458" s="628"/>
      <c r="N458" s="628"/>
      <c r="O458" s="629"/>
      <c r="P458" s="625" t="s">
        <v>40</v>
      </c>
      <c r="Q458" s="626"/>
      <c r="R458" s="626"/>
      <c r="S458" s="626"/>
      <c r="T458" s="626"/>
      <c r="U458" s="626"/>
      <c r="V458" s="627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20" t="s">
        <v>86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21">
        <v>4607091384352</v>
      </c>
      <c r="E460" s="621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6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23"/>
      <c r="R460" s="623"/>
      <c r="S460" s="623"/>
      <c r="T460" s="624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21">
        <v>4607091389654</v>
      </c>
      <c r="E461" s="621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66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23"/>
      <c r="R461" s="623"/>
      <c r="S461" s="623"/>
      <c r="T461" s="624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36" t="s">
        <v>750</v>
      </c>
      <c r="B464" s="636"/>
      <c r="C464" s="636"/>
      <c r="D464" s="636"/>
      <c r="E464" s="636"/>
      <c r="F464" s="636"/>
      <c r="G464" s="636"/>
      <c r="H464" s="636"/>
      <c r="I464" s="636"/>
      <c r="J464" s="636"/>
      <c r="K464" s="636"/>
      <c r="L464" s="636"/>
      <c r="M464" s="636"/>
      <c r="N464" s="636"/>
      <c r="O464" s="636"/>
      <c r="P464" s="636"/>
      <c r="Q464" s="636"/>
      <c r="R464" s="636"/>
      <c r="S464" s="636"/>
      <c r="T464" s="636"/>
      <c r="U464" s="636"/>
      <c r="V464" s="636"/>
      <c r="W464" s="636"/>
      <c r="X464" s="636"/>
      <c r="Y464" s="636"/>
      <c r="Z464" s="636"/>
      <c r="AA464" s="65"/>
      <c r="AB464" s="65"/>
      <c r="AC464" s="79"/>
    </row>
    <row r="465" spans="1:68" ht="14.25" hidden="1" customHeight="1" x14ac:dyDescent="0.25">
      <c r="A465" s="620" t="s">
        <v>166</v>
      </c>
      <c r="B465" s="620"/>
      <c r="C465" s="620"/>
      <c r="D465" s="620"/>
      <c r="E465" s="620"/>
      <c r="F465" s="620"/>
      <c r="G465" s="620"/>
      <c r="H465" s="620"/>
      <c r="I465" s="620"/>
      <c r="J465" s="620"/>
      <c r="K465" s="620"/>
      <c r="L465" s="620"/>
      <c r="M465" s="620"/>
      <c r="N465" s="620"/>
      <c r="O465" s="620"/>
      <c r="P465" s="620"/>
      <c r="Q465" s="620"/>
      <c r="R465" s="620"/>
      <c r="S465" s="620"/>
      <c r="T465" s="620"/>
      <c r="U465" s="620"/>
      <c r="V465" s="620"/>
      <c r="W465" s="620"/>
      <c r="X465" s="620"/>
      <c r="Y465" s="620"/>
      <c r="Z465" s="620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21">
        <v>4680115885240</v>
      </c>
      <c r="E466" s="621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23"/>
      <c r="R466" s="623"/>
      <c r="S466" s="623"/>
      <c r="T466" s="624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28"/>
      <c r="B467" s="628"/>
      <c r="C467" s="628"/>
      <c r="D467" s="628"/>
      <c r="E467" s="628"/>
      <c r="F467" s="628"/>
      <c r="G467" s="628"/>
      <c r="H467" s="628"/>
      <c r="I467" s="628"/>
      <c r="J467" s="628"/>
      <c r="K467" s="628"/>
      <c r="L467" s="628"/>
      <c r="M467" s="628"/>
      <c r="N467" s="628"/>
      <c r="O467" s="629"/>
      <c r="P467" s="625" t="s">
        <v>40</v>
      </c>
      <c r="Q467" s="626"/>
      <c r="R467" s="626"/>
      <c r="S467" s="626"/>
      <c r="T467" s="626"/>
      <c r="U467" s="626"/>
      <c r="V467" s="627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20" t="s">
        <v>77</v>
      </c>
      <c r="B469" s="620"/>
      <c r="C469" s="620"/>
      <c r="D469" s="620"/>
      <c r="E469" s="620"/>
      <c r="F469" s="620"/>
      <c r="G469" s="620"/>
      <c r="H469" s="620"/>
      <c r="I469" s="620"/>
      <c r="J469" s="620"/>
      <c r="K469" s="620"/>
      <c r="L469" s="620"/>
      <c r="M469" s="620"/>
      <c r="N469" s="620"/>
      <c r="O469" s="620"/>
      <c r="P469" s="620"/>
      <c r="Q469" s="620"/>
      <c r="R469" s="620"/>
      <c r="S469" s="620"/>
      <c r="T469" s="620"/>
      <c r="U469" s="620"/>
      <c r="V469" s="620"/>
      <c r="W469" s="620"/>
      <c r="X469" s="620"/>
      <c r="Y469" s="620"/>
      <c r="Z469" s="620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21">
        <v>4680115886094</v>
      </c>
      <c r="E470" s="62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6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23"/>
      <c r="R470" s="623"/>
      <c r="S470" s="623"/>
      <c r="T470" s="624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21">
        <v>4680115880771</v>
      </c>
      <c r="E471" s="621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23"/>
      <c r="R471" s="623"/>
      <c r="S471" s="623"/>
      <c r="T471" s="624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21">
        <v>4607091389500</v>
      </c>
      <c r="E472" s="621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23"/>
      <c r="R472" s="623"/>
      <c r="S472" s="623"/>
      <c r="T472" s="624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41" t="s">
        <v>762</v>
      </c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1"/>
      <c r="P475" s="641"/>
      <c r="Q475" s="641"/>
      <c r="R475" s="641"/>
      <c r="S475" s="641"/>
      <c r="T475" s="641"/>
      <c r="U475" s="641"/>
      <c r="V475" s="641"/>
      <c r="W475" s="641"/>
      <c r="X475" s="641"/>
      <c r="Y475" s="641"/>
      <c r="Z475" s="641"/>
      <c r="AA475" s="54"/>
      <c r="AB475" s="54"/>
      <c r="AC475" s="54"/>
    </row>
    <row r="476" spans="1:68" ht="16.5" hidden="1" customHeight="1" x14ac:dyDescent="0.25">
      <c r="A476" s="636" t="s">
        <v>762</v>
      </c>
      <c r="B476" s="636"/>
      <c r="C476" s="636"/>
      <c r="D476" s="636"/>
      <c r="E476" s="636"/>
      <c r="F476" s="636"/>
      <c r="G476" s="636"/>
      <c r="H476" s="636"/>
      <c r="I476" s="636"/>
      <c r="J476" s="636"/>
      <c r="K476" s="636"/>
      <c r="L476" s="636"/>
      <c r="M476" s="636"/>
      <c r="N476" s="636"/>
      <c r="O476" s="636"/>
      <c r="P476" s="636"/>
      <c r="Q476" s="636"/>
      <c r="R476" s="636"/>
      <c r="S476" s="636"/>
      <c r="T476" s="636"/>
      <c r="U476" s="636"/>
      <c r="V476" s="636"/>
      <c r="W476" s="636"/>
      <c r="X476" s="636"/>
      <c r="Y476" s="636"/>
      <c r="Z476" s="636"/>
      <c r="AA476" s="65"/>
      <c r="AB476" s="65"/>
      <c r="AC476" s="79"/>
    </row>
    <row r="477" spans="1:68" ht="14.25" hidden="1" customHeight="1" x14ac:dyDescent="0.25">
      <c r="A477" s="620" t="s">
        <v>129</v>
      </c>
      <c r="B477" s="620"/>
      <c r="C477" s="620"/>
      <c r="D477" s="620"/>
      <c r="E477" s="620"/>
      <c r="F477" s="620"/>
      <c r="G477" s="620"/>
      <c r="H477" s="620"/>
      <c r="I477" s="620"/>
      <c r="J477" s="620"/>
      <c r="K477" s="620"/>
      <c r="L477" s="620"/>
      <c r="M477" s="620"/>
      <c r="N477" s="620"/>
      <c r="O477" s="620"/>
      <c r="P477" s="620"/>
      <c r="Q477" s="620"/>
      <c r="R477" s="620"/>
      <c r="S477" s="620"/>
      <c r="T477" s="620"/>
      <c r="U477" s="620"/>
      <c r="V477" s="620"/>
      <c r="W477" s="620"/>
      <c r="X477" s="620"/>
      <c r="Y477" s="620"/>
      <c r="Z477" s="620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21">
        <v>4607091389067</v>
      </c>
      <c r="E478" s="621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23"/>
      <c r="R478" s="623"/>
      <c r="S478" s="623"/>
      <c r="T478" s="624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21">
        <v>4680115889576</v>
      </c>
      <c r="E479" s="621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23"/>
      <c r="R479" s="623"/>
      <c r="S479" s="623"/>
      <c r="T479" s="624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21">
        <v>4680115885271</v>
      </c>
      <c r="E480" s="621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6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23"/>
      <c r="R480" s="623"/>
      <c r="S480" s="623"/>
      <c r="T480" s="624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21">
        <v>4680115885226</v>
      </c>
      <c r="E481" s="621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6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23"/>
      <c r="R481" s="623"/>
      <c r="S481" s="623"/>
      <c r="T481" s="624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21">
        <v>4680115884502</v>
      </c>
      <c r="E482" s="621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23"/>
      <c r="R482" s="623"/>
      <c r="S482" s="623"/>
      <c r="T482" s="624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21">
        <v>4607091389104</v>
      </c>
      <c r="E483" s="621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6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23"/>
      <c r="R483" s="623"/>
      <c r="S483" s="623"/>
      <c r="T483" s="624"/>
      <c r="U483" s="39" t="s">
        <v>46</v>
      </c>
      <c r="V483" s="39" t="s">
        <v>46</v>
      </c>
      <c r="W483" s="40" t="s">
        <v>0</v>
      </c>
      <c r="X483" s="58">
        <v>70</v>
      </c>
      <c r="Y483" s="55">
        <f t="shared" si="67"/>
        <v>73.92</v>
      </c>
      <c r="Z483" s="41">
        <f t="shared" si="68"/>
        <v>0.16744000000000001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74.640151515151501</v>
      </c>
      <c r="BN483" s="78">
        <f t="shared" si="70"/>
        <v>78.819999999999993</v>
      </c>
      <c r="BO483" s="78">
        <f t="shared" si="71"/>
        <v>0.12747668997668998</v>
      </c>
      <c r="BP483" s="78">
        <f t="shared" si="72"/>
        <v>0.13461538461538464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21">
        <v>4680115886391</v>
      </c>
      <c r="E484" s="621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65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23"/>
      <c r="R484" s="623"/>
      <c r="S484" s="623"/>
      <c r="T484" s="624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21">
        <v>4680115880603</v>
      </c>
      <c r="E485" s="621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6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23"/>
      <c r="R485" s="623"/>
      <c r="S485" s="623"/>
      <c r="T485" s="624"/>
      <c r="U485" s="39" t="s">
        <v>46</v>
      </c>
      <c r="V485" s="39" t="s">
        <v>46</v>
      </c>
      <c r="W485" s="40" t="s">
        <v>0</v>
      </c>
      <c r="X485" s="58">
        <v>120</v>
      </c>
      <c r="Y485" s="55">
        <f t="shared" si="67"/>
        <v>120</v>
      </c>
      <c r="Z485" s="41">
        <f>IFERROR(IF(Y485=0,"",ROUNDUP(Y485/H485,0)*0.00902),"")</f>
        <v>0.22550000000000001</v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172.75000000000003</v>
      </c>
      <c r="BN485" s="78">
        <f t="shared" si="70"/>
        <v>172.75000000000003</v>
      </c>
      <c r="BO485" s="78">
        <f t="shared" si="71"/>
        <v>0.18939393939393939</v>
      </c>
      <c r="BP485" s="78">
        <f t="shared" si="72"/>
        <v>0.18939393939393939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21">
        <v>4607091389982</v>
      </c>
      <c r="E486" s="621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6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23"/>
      <c r="R486" s="623"/>
      <c r="S486" s="623"/>
      <c r="T486" s="624"/>
      <c r="U486" s="39" t="s">
        <v>46</v>
      </c>
      <c r="V486" s="39" t="s">
        <v>46</v>
      </c>
      <c r="W486" s="40" t="s">
        <v>0</v>
      </c>
      <c r="X486" s="58">
        <v>240</v>
      </c>
      <c r="Y486" s="55">
        <f t="shared" si="67"/>
        <v>240</v>
      </c>
      <c r="Z486" s="41">
        <f>IFERROR(IF(Y486=0,"",ROUNDUP(Y486/H486,0)*0.00902),"")</f>
        <v>0.45100000000000001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345.50000000000006</v>
      </c>
      <c r="BN486" s="78">
        <f t="shared" si="70"/>
        <v>345.50000000000006</v>
      </c>
      <c r="BO486" s="78">
        <f t="shared" si="71"/>
        <v>0.37878787878787878</v>
      </c>
      <c r="BP486" s="78">
        <f t="shared" si="72"/>
        <v>0.37878787878787878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88.257575757575751</v>
      </c>
      <c r="Y487" s="43">
        <f>IFERROR(Y478/H478,"0")+IFERROR(Y479/H479,"0")+IFERROR(Y480/H480,"0")+IFERROR(Y481/H481,"0")+IFERROR(Y482/H482,"0")+IFERROR(Y483/H483,"0")+IFERROR(Y484/H484,"0")+IFERROR(Y485/H485,"0")+IFERROR(Y486/H486,"0")</f>
        <v>89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0.84394000000000002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IFERROR(SUM(X478:X486),"0")</f>
        <v>430</v>
      </c>
      <c r="Y488" s="43">
        <f>IFERROR(SUM(Y478:Y486),"0")</f>
        <v>433.92</v>
      </c>
      <c r="Z488" s="42"/>
      <c r="AA488" s="67"/>
      <c r="AB488" s="67"/>
      <c r="AC488" s="67"/>
    </row>
    <row r="489" spans="1:68" ht="14.25" hidden="1" customHeight="1" x14ac:dyDescent="0.25">
      <c r="A489" s="620" t="s">
        <v>166</v>
      </c>
      <c r="B489" s="620"/>
      <c r="C489" s="620"/>
      <c r="D489" s="620"/>
      <c r="E489" s="620"/>
      <c r="F489" s="620"/>
      <c r="G489" s="620"/>
      <c r="H489" s="620"/>
      <c r="I489" s="620"/>
      <c r="J489" s="620"/>
      <c r="K489" s="620"/>
      <c r="L489" s="620"/>
      <c r="M489" s="620"/>
      <c r="N489" s="620"/>
      <c r="O489" s="620"/>
      <c r="P489" s="620"/>
      <c r="Q489" s="620"/>
      <c r="R489" s="620"/>
      <c r="S489" s="620"/>
      <c r="T489" s="620"/>
      <c r="U489" s="620"/>
      <c r="V489" s="620"/>
      <c r="W489" s="620"/>
      <c r="X489" s="620"/>
      <c r="Y489" s="620"/>
      <c r="Z489" s="620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21">
        <v>4607091388930</v>
      </c>
      <c r="E490" s="62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65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23"/>
      <c r="R490" s="623"/>
      <c r="S490" s="623"/>
      <c r="T490" s="624"/>
      <c r="U490" s="39" t="s">
        <v>46</v>
      </c>
      <c r="V490" s="39" t="s">
        <v>46</v>
      </c>
      <c r="W490" s="40" t="s">
        <v>0</v>
      </c>
      <c r="X490" s="58">
        <v>100</v>
      </c>
      <c r="Y490" s="55">
        <f>IFERROR(IF(X490="",0,CEILING((X490/$H490),1)*$H490),"")</f>
        <v>100.32000000000001</v>
      </c>
      <c r="Z490" s="41">
        <f>IFERROR(IF(Y490=0,"",ROUNDUP(Y490/H490,0)*0.01196),"")</f>
        <v>0.22724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106.62878787878788</v>
      </c>
      <c r="BN490" s="78">
        <f>IFERROR(Y490*I490/H490,"0")</f>
        <v>106.97</v>
      </c>
      <c r="BO490" s="78">
        <f>IFERROR(1/J490*(X490/H490),"0")</f>
        <v>0.18210955710955709</v>
      </c>
      <c r="BP490" s="78">
        <f>IFERROR(1/J490*(Y490/H490),"0")</f>
        <v>0.18269230769230771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21">
        <v>4680115886407</v>
      </c>
      <c r="E491" s="621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6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23"/>
      <c r="R491" s="623"/>
      <c r="S491" s="623"/>
      <c r="T491" s="62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21">
        <v>4680115880054</v>
      </c>
      <c r="E492" s="621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6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23"/>
      <c r="R492" s="623"/>
      <c r="S492" s="623"/>
      <c r="T492" s="624"/>
      <c r="U492" s="39" t="s">
        <v>46</v>
      </c>
      <c r="V492" s="39" t="s">
        <v>46</v>
      </c>
      <c r="W492" s="40" t="s">
        <v>0</v>
      </c>
      <c r="X492" s="58">
        <v>60</v>
      </c>
      <c r="Y492" s="55">
        <f>IFERROR(IF(X492="",0,CEILING((X492/$H492),1)*$H492),"")</f>
        <v>62.4</v>
      </c>
      <c r="Z492" s="41">
        <f>IFERROR(IF(Y492=0,"",ROUNDUP(Y492/H492,0)*0.00902),"")</f>
        <v>0.11726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86.375000000000014</v>
      </c>
      <c r="BN492" s="78">
        <f>IFERROR(Y492*I492/H492,"0")</f>
        <v>89.830000000000013</v>
      </c>
      <c r="BO492" s="78">
        <f>IFERROR(1/J492*(X492/H492),"0")</f>
        <v>9.4696969696969696E-2</v>
      </c>
      <c r="BP492" s="78">
        <f>IFERROR(1/J492*(Y492/H492),"0")</f>
        <v>9.8484848484848481E-2</v>
      </c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629"/>
      <c r="P493" s="625" t="s">
        <v>40</v>
      </c>
      <c r="Q493" s="626"/>
      <c r="R493" s="626"/>
      <c r="S493" s="626"/>
      <c r="T493" s="626"/>
      <c r="U493" s="626"/>
      <c r="V493" s="627"/>
      <c r="W493" s="42" t="s">
        <v>39</v>
      </c>
      <c r="X493" s="43">
        <f>IFERROR(X490/H490,"0")+IFERROR(X491/H491,"0")+IFERROR(X492/H492,"0")</f>
        <v>31.439393939393938</v>
      </c>
      <c r="Y493" s="43">
        <f>IFERROR(Y490/H490,"0")+IFERROR(Y491/H491,"0")+IFERROR(Y492/H492,"0")</f>
        <v>32</v>
      </c>
      <c r="Z493" s="43">
        <f>IFERROR(IF(Z490="",0,Z490),"0")+IFERROR(IF(Z491="",0,Z491),"0")+IFERROR(IF(Z492="",0,Z492),"0")</f>
        <v>0.34450000000000003</v>
      </c>
      <c r="AA493" s="67"/>
      <c r="AB493" s="67"/>
      <c r="AC493" s="67"/>
    </row>
    <row r="494" spans="1:68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629"/>
      <c r="P494" s="625" t="s">
        <v>40</v>
      </c>
      <c r="Q494" s="626"/>
      <c r="R494" s="626"/>
      <c r="S494" s="626"/>
      <c r="T494" s="626"/>
      <c r="U494" s="626"/>
      <c r="V494" s="627"/>
      <c r="W494" s="42" t="s">
        <v>0</v>
      </c>
      <c r="X494" s="43">
        <f>IFERROR(SUM(X490:X492),"0")</f>
        <v>160</v>
      </c>
      <c r="Y494" s="43">
        <f>IFERROR(SUM(Y490:Y492),"0")</f>
        <v>162.72</v>
      </c>
      <c r="Z494" s="42"/>
      <c r="AA494" s="67"/>
      <c r="AB494" s="67"/>
      <c r="AC494" s="67"/>
    </row>
    <row r="495" spans="1:68" ht="14.25" hidden="1" customHeight="1" x14ac:dyDescent="0.25">
      <c r="A495" s="620" t="s">
        <v>77</v>
      </c>
      <c r="B495" s="620"/>
      <c r="C495" s="620"/>
      <c r="D495" s="620"/>
      <c r="E495" s="620"/>
      <c r="F495" s="620"/>
      <c r="G495" s="620"/>
      <c r="H495" s="620"/>
      <c r="I495" s="620"/>
      <c r="J495" s="620"/>
      <c r="K495" s="620"/>
      <c r="L495" s="620"/>
      <c r="M495" s="620"/>
      <c r="N495" s="620"/>
      <c r="O495" s="620"/>
      <c r="P495" s="620"/>
      <c r="Q495" s="620"/>
      <c r="R495" s="620"/>
      <c r="S495" s="620"/>
      <c r="T495" s="620"/>
      <c r="U495" s="620"/>
      <c r="V495" s="620"/>
      <c r="W495" s="620"/>
      <c r="X495" s="620"/>
      <c r="Y495" s="620"/>
      <c r="Z495" s="620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21">
        <v>4680115883116</v>
      </c>
      <c r="E496" s="62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64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23"/>
      <c r="R496" s="623"/>
      <c r="S496" s="623"/>
      <c r="T496" s="62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21">
        <v>4680115883093</v>
      </c>
      <c r="E497" s="62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23"/>
      <c r="R497" s="623"/>
      <c r="S497" s="623"/>
      <c r="T497" s="62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21">
        <v>4680115883109</v>
      </c>
      <c r="E498" s="62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6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23"/>
      <c r="R498" s="623"/>
      <c r="S498" s="623"/>
      <c r="T498" s="624"/>
      <c r="U498" s="39" t="s">
        <v>46</v>
      </c>
      <c r="V498" s="39" t="s">
        <v>46</v>
      </c>
      <c r="W498" s="40" t="s">
        <v>0</v>
      </c>
      <c r="X498" s="58">
        <v>70</v>
      </c>
      <c r="Y498" s="55">
        <f t="shared" si="73"/>
        <v>73.92</v>
      </c>
      <c r="Z498" s="41">
        <f>IFERROR(IF(Y498=0,"",ROUNDUP(Y498/H498,0)*0.01196),"")</f>
        <v>0.16744000000000001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74.640151515151501</v>
      </c>
      <c r="BN498" s="78">
        <f t="shared" si="75"/>
        <v>78.819999999999993</v>
      </c>
      <c r="BO498" s="78">
        <f t="shared" si="76"/>
        <v>0.12747668997668998</v>
      </c>
      <c r="BP498" s="78">
        <f t="shared" si="77"/>
        <v>0.13461538461538464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21">
        <v>4680115882072</v>
      </c>
      <c r="E499" s="621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23"/>
      <c r="R499" s="623"/>
      <c r="S499" s="623"/>
      <c r="T499" s="624"/>
      <c r="U499" s="39" t="s">
        <v>46</v>
      </c>
      <c r="V499" s="39" t="s">
        <v>46</v>
      </c>
      <c r="W499" s="40" t="s">
        <v>0</v>
      </c>
      <c r="X499" s="58">
        <v>84</v>
      </c>
      <c r="Y499" s="55">
        <f t="shared" si="73"/>
        <v>86.399999999999991</v>
      </c>
      <c r="Z499" s="41">
        <f>IFERROR(IF(Y499=0,"",ROUNDUP(Y499/H499,0)*0.00902),"")</f>
        <v>0.16236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120.92500000000001</v>
      </c>
      <c r="BN499" s="78">
        <f t="shared" si="75"/>
        <v>124.38000000000001</v>
      </c>
      <c r="BO499" s="78">
        <f t="shared" si="76"/>
        <v>0.13257575757575757</v>
      </c>
      <c r="BP499" s="78">
        <f t="shared" si="77"/>
        <v>0.13636363636363635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21">
        <v>4680115882102</v>
      </c>
      <c r="E500" s="621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23"/>
      <c r="R500" s="623"/>
      <c r="S500" s="623"/>
      <c r="T500" s="62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21">
        <v>4680115882102</v>
      </c>
      <c r="E501" s="621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23"/>
      <c r="R501" s="623"/>
      <c r="S501" s="623"/>
      <c r="T501" s="62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21">
        <v>4680115882096</v>
      </c>
      <c r="E502" s="621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6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23"/>
      <c r="R502" s="623"/>
      <c r="S502" s="623"/>
      <c r="T502" s="624"/>
      <c r="U502" s="39" t="s">
        <v>46</v>
      </c>
      <c r="V502" s="39" t="s">
        <v>46</v>
      </c>
      <c r="W502" s="40" t="s">
        <v>0</v>
      </c>
      <c r="X502" s="58">
        <v>144</v>
      </c>
      <c r="Y502" s="55">
        <f t="shared" si="73"/>
        <v>144</v>
      </c>
      <c r="Z502" s="41">
        <f>IFERROR(IF(Y502=0,"",ROUNDUP(Y502/H502,0)*0.00902),"")</f>
        <v>0.27060000000000001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200.10000000000002</v>
      </c>
      <c r="BN502" s="78">
        <f t="shared" si="75"/>
        <v>200.10000000000002</v>
      </c>
      <c r="BO502" s="78">
        <f t="shared" si="76"/>
        <v>0.22727272727272729</v>
      </c>
      <c r="BP502" s="78">
        <f t="shared" si="77"/>
        <v>0.22727272727272729</v>
      </c>
    </row>
    <row r="503" spans="1:68" x14ac:dyDescent="0.2">
      <c r="A503" s="628"/>
      <c r="B503" s="628"/>
      <c r="C503" s="628"/>
      <c r="D503" s="628"/>
      <c r="E503" s="628"/>
      <c r="F503" s="628"/>
      <c r="G503" s="628"/>
      <c r="H503" s="628"/>
      <c r="I503" s="628"/>
      <c r="J503" s="628"/>
      <c r="K503" s="628"/>
      <c r="L503" s="628"/>
      <c r="M503" s="628"/>
      <c r="N503" s="628"/>
      <c r="O503" s="629"/>
      <c r="P503" s="625" t="s">
        <v>40</v>
      </c>
      <c r="Q503" s="626"/>
      <c r="R503" s="626"/>
      <c r="S503" s="626"/>
      <c r="T503" s="626"/>
      <c r="U503" s="626"/>
      <c r="V503" s="627"/>
      <c r="W503" s="42" t="s">
        <v>39</v>
      </c>
      <c r="X503" s="43">
        <f>IFERROR(X496/H496,"0")+IFERROR(X497/H497,"0")+IFERROR(X498/H498,"0")+IFERROR(X499/H499,"0")+IFERROR(X500/H500,"0")+IFERROR(X501/H501,"0")+IFERROR(X502/H502,"0")</f>
        <v>60.757575757575758</v>
      </c>
      <c r="Y503" s="43">
        <f>IFERROR(Y496/H496,"0")+IFERROR(Y497/H497,"0")+IFERROR(Y498/H498,"0")+IFERROR(Y499/H499,"0")+IFERROR(Y500/H500,"0")+IFERROR(Y501/H501,"0")+IFERROR(Y502/H502,"0")</f>
        <v>62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0.60040000000000004</v>
      </c>
      <c r="AA503" s="67"/>
      <c r="AB503" s="67"/>
      <c r="AC503" s="67"/>
    </row>
    <row r="504" spans="1:68" x14ac:dyDescent="0.2">
      <c r="A504" s="628"/>
      <c r="B504" s="628"/>
      <c r="C504" s="628"/>
      <c r="D504" s="628"/>
      <c r="E504" s="628"/>
      <c r="F504" s="628"/>
      <c r="G504" s="628"/>
      <c r="H504" s="628"/>
      <c r="I504" s="628"/>
      <c r="J504" s="628"/>
      <c r="K504" s="628"/>
      <c r="L504" s="628"/>
      <c r="M504" s="628"/>
      <c r="N504" s="628"/>
      <c r="O504" s="629"/>
      <c r="P504" s="625" t="s">
        <v>40</v>
      </c>
      <c r="Q504" s="626"/>
      <c r="R504" s="626"/>
      <c r="S504" s="626"/>
      <c r="T504" s="626"/>
      <c r="U504" s="626"/>
      <c r="V504" s="627"/>
      <c r="W504" s="42" t="s">
        <v>0</v>
      </c>
      <c r="X504" s="43">
        <f>IFERROR(SUM(X496:X502),"0")</f>
        <v>298</v>
      </c>
      <c r="Y504" s="43">
        <f>IFERROR(SUM(Y496:Y502),"0")</f>
        <v>304.32</v>
      </c>
      <c r="Z504" s="42"/>
      <c r="AA504" s="67"/>
      <c r="AB504" s="67"/>
      <c r="AC504" s="67"/>
    </row>
    <row r="505" spans="1:68" ht="27.75" hidden="1" customHeight="1" x14ac:dyDescent="0.2">
      <c r="A505" s="641" t="s">
        <v>809</v>
      </c>
      <c r="B505" s="641"/>
      <c r="C505" s="641"/>
      <c r="D505" s="641"/>
      <c r="E505" s="641"/>
      <c r="F505" s="641"/>
      <c r="G505" s="641"/>
      <c r="H505" s="641"/>
      <c r="I505" s="641"/>
      <c r="J505" s="641"/>
      <c r="K505" s="641"/>
      <c r="L505" s="641"/>
      <c r="M505" s="641"/>
      <c r="N505" s="641"/>
      <c r="O505" s="641"/>
      <c r="P505" s="641"/>
      <c r="Q505" s="641"/>
      <c r="R505" s="641"/>
      <c r="S505" s="641"/>
      <c r="T505" s="641"/>
      <c r="U505" s="641"/>
      <c r="V505" s="641"/>
      <c r="W505" s="641"/>
      <c r="X505" s="641"/>
      <c r="Y505" s="641"/>
      <c r="Z505" s="641"/>
      <c r="AA505" s="54"/>
      <c r="AB505" s="54"/>
      <c r="AC505" s="54"/>
    </row>
    <row r="506" spans="1:68" ht="16.5" hidden="1" customHeight="1" x14ac:dyDescent="0.25">
      <c r="A506" s="636" t="s">
        <v>809</v>
      </c>
      <c r="B506" s="636"/>
      <c r="C506" s="636"/>
      <c r="D506" s="636"/>
      <c r="E506" s="636"/>
      <c r="F506" s="636"/>
      <c r="G506" s="636"/>
      <c r="H506" s="636"/>
      <c r="I506" s="636"/>
      <c r="J506" s="636"/>
      <c r="K506" s="636"/>
      <c r="L506" s="636"/>
      <c r="M506" s="636"/>
      <c r="N506" s="636"/>
      <c r="O506" s="636"/>
      <c r="P506" s="636"/>
      <c r="Q506" s="636"/>
      <c r="R506" s="636"/>
      <c r="S506" s="636"/>
      <c r="T506" s="636"/>
      <c r="U506" s="636"/>
      <c r="V506" s="636"/>
      <c r="W506" s="636"/>
      <c r="X506" s="636"/>
      <c r="Y506" s="636"/>
      <c r="Z506" s="636"/>
      <c r="AA506" s="65"/>
      <c r="AB506" s="65"/>
      <c r="AC506" s="79"/>
    </row>
    <row r="507" spans="1:68" ht="14.25" hidden="1" customHeight="1" x14ac:dyDescent="0.25">
      <c r="A507" s="620" t="s">
        <v>129</v>
      </c>
      <c r="B507" s="620"/>
      <c r="C507" s="620"/>
      <c r="D507" s="620"/>
      <c r="E507" s="620"/>
      <c r="F507" s="620"/>
      <c r="G507" s="620"/>
      <c r="H507" s="620"/>
      <c r="I507" s="620"/>
      <c r="J507" s="620"/>
      <c r="K507" s="620"/>
      <c r="L507" s="620"/>
      <c r="M507" s="620"/>
      <c r="N507" s="620"/>
      <c r="O507" s="620"/>
      <c r="P507" s="620"/>
      <c r="Q507" s="620"/>
      <c r="R507" s="620"/>
      <c r="S507" s="620"/>
      <c r="T507" s="620"/>
      <c r="U507" s="620"/>
      <c r="V507" s="620"/>
      <c r="W507" s="620"/>
      <c r="X507" s="620"/>
      <c r="Y507" s="620"/>
      <c r="Z507" s="620"/>
      <c r="AA507" s="66"/>
      <c r="AB507" s="66"/>
      <c r="AC507" s="80"/>
    </row>
    <row r="508" spans="1:68" ht="27" customHeight="1" x14ac:dyDescent="0.25">
      <c r="A508" s="63" t="s">
        <v>810</v>
      </c>
      <c r="B508" s="63" t="s">
        <v>811</v>
      </c>
      <c r="C508" s="36">
        <v>4301011584</v>
      </c>
      <c r="D508" s="621">
        <v>4640242180564</v>
      </c>
      <c r="E508" s="621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64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23"/>
      <c r="R508" s="623"/>
      <c r="S508" s="623"/>
      <c r="T508" s="624"/>
      <c r="U508" s="39" t="s">
        <v>46</v>
      </c>
      <c r="V508" s="39" t="s">
        <v>46</v>
      </c>
      <c r="W508" s="40" t="s">
        <v>0</v>
      </c>
      <c r="X508" s="58">
        <v>50</v>
      </c>
      <c r="Y508" s="55">
        <f>IFERROR(IF(X508="",0,CEILING((X508/$H508),1)*$H508),"")</f>
        <v>60</v>
      </c>
      <c r="Z508" s="41">
        <f>IFERROR(IF(Y508=0,"",ROUNDUP(Y508/H508,0)*0.01898),"")</f>
        <v>9.4899999999999998E-2</v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51.708333333333336</v>
      </c>
      <c r="BN508" s="78">
        <f>IFERROR(Y508*I508/H508,"0")</f>
        <v>62.050000000000004</v>
      </c>
      <c r="BO508" s="78">
        <f>IFERROR(1/J508*(X508/H508),"0")</f>
        <v>6.5104166666666671E-2</v>
      </c>
      <c r="BP508" s="78">
        <f>IFERROR(1/J508*(Y508/H508),"0")</f>
        <v>7.8125E-2</v>
      </c>
    </row>
    <row r="509" spans="1:68" x14ac:dyDescent="0.2">
      <c r="A509" s="628"/>
      <c r="B509" s="628"/>
      <c r="C509" s="628"/>
      <c r="D509" s="628"/>
      <c r="E509" s="628"/>
      <c r="F509" s="628"/>
      <c r="G509" s="628"/>
      <c r="H509" s="628"/>
      <c r="I509" s="628"/>
      <c r="J509" s="628"/>
      <c r="K509" s="628"/>
      <c r="L509" s="628"/>
      <c r="M509" s="628"/>
      <c r="N509" s="628"/>
      <c r="O509" s="629"/>
      <c r="P509" s="625" t="s">
        <v>40</v>
      </c>
      <c r="Q509" s="626"/>
      <c r="R509" s="626"/>
      <c r="S509" s="626"/>
      <c r="T509" s="626"/>
      <c r="U509" s="626"/>
      <c r="V509" s="627"/>
      <c r="W509" s="42" t="s">
        <v>39</v>
      </c>
      <c r="X509" s="43">
        <f>IFERROR(X508/H508,"0")</f>
        <v>4.166666666666667</v>
      </c>
      <c r="Y509" s="43">
        <f>IFERROR(Y508/H508,"0")</f>
        <v>5</v>
      </c>
      <c r="Z509" s="43">
        <f>IFERROR(IF(Z508="",0,Z508),"0")</f>
        <v>9.4899999999999998E-2</v>
      </c>
      <c r="AA509" s="67"/>
      <c r="AB509" s="67"/>
      <c r="AC509" s="67"/>
    </row>
    <row r="510" spans="1:68" x14ac:dyDescent="0.2">
      <c r="A510" s="628"/>
      <c r="B510" s="628"/>
      <c r="C510" s="628"/>
      <c r="D510" s="628"/>
      <c r="E510" s="628"/>
      <c r="F510" s="628"/>
      <c r="G510" s="628"/>
      <c r="H510" s="628"/>
      <c r="I510" s="628"/>
      <c r="J510" s="628"/>
      <c r="K510" s="628"/>
      <c r="L510" s="628"/>
      <c r="M510" s="628"/>
      <c r="N510" s="628"/>
      <c r="O510" s="629"/>
      <c r="P510" s="625" t="s">
        <v>40</v>
      </c>
      <c r="Q510" s="626"/>
      <c r="R510" s="626"/>
      <c r="S510" s="626"/>
      <c r="T510" s="626"/>
      <c r="U510" s="626"/>
      <c r="V510" s="627"/>
      <c r="W510" s="42" t="s">
        <v>0</v>
      </c>
      <c r="X510" s="43">
        <f>IFERROR(SUM(X508:X508),"0")</f>
        <v>50</v>
      </c>
      <c r="Y510" s="43">
        <f>IFERROR(SUM(Y508:Y508),"0")</f>
        <v>60</v>
      </c>
      <c r="Z510" s="42"/>
      <c r="AA510" s="67"/>
      <c r="AB510" s="67"/>
      <c r="AC510" s="67"/>
    </row>
    <row r="511" spans="1:68" ht="14.25" hidden="1" customHeight="1" x14ac:dyDescent="0.25">
      <c r="A511" s="620" t="s">
        <v>166</v>
      </c>
      <c r="B511" s="620"/>
      <c r="C511" s="620"/>
      <c r="D511" s="620"/>
      <c r="E511" s="620"/>
      <c r="F511" s="620"/>
      <c r="G511" s="620"/>
      <c r="H511" s="620"/>
      <c r="I511" s="620"/>
      <c r="J511" s="620"/>
      <c r="K511" s="620"/>
      <c r="L511" s="620"/>
      <c r="M511" s="620"/>
      <c r="N511" s="620"/>
      <c r="O511" s="620"/>
      <c r="P511" s="620"/>
      <c r="Q511" s="620"/>
      <c r="R511" s="620"/>
      <c r="S511" s="620"/>
      <c r="T511" s="620"/>
      <c r="U511" s="620"/>
      <c r="V511" s="620"/>
      <c r="W511" s="620"/>
      <c r="X511" s="620"/>
      <c r="Y511" s="620"/>
      <c r="Z511" s="620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21">
        <v>4640242180519</v>
      </c>
      <c r="E512" s="621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6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23"/>
      <c r="R512" s="623"/>
      <c r="S512" s="623"/>
      <c r="T512" s="62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28"/>
      <c r="B513" s="628"/>
      <c r="C513" s="628"/>
      <c r="D513" s="628"/>
      <c r="E513" s="628"/>
      <c r="F513" s="628"/>
      <c r="G513" s="628"/>
      <c r="H513" s="628"/>
      <c r="I513" s="628"/>
      <c r="J513" s="628"/>
      <c r="K513" s="628"/>
      <c r="L513" s="628"/>
      <c r="M513" s="628"/>
      <c r="N513" s="628"/>
      <c r="O513" s="629"/>
      <c r="P513" s="625" t="s">
        <v>40</v>
      </c>
      <c r="Q513" s="626"/>
      <c r="R513" s="626"/>
      <c r="S513" s="626"/>
      <c r="T513" s="626"/>
      <c r="U513" s="626"/>
      <c r="V513" s="627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28"/>
      <c r="B514" s="628"/>
      <c r="C514" s="628"/>
      <c r="D514" s="628"/>
      <c r="E514" s="628"/>
      <c r="F514" s="628"/>
      <c r="G514" s="628"/>
      <c r="H514" s="628"/>
      <c r="I514" s="628"/>
      <c r="J514" s="628"/>
      <c r="K514" s="628"/>
      <c r="L514" s="628"/>
      <c r="M514" s="628"/>
      <c r="N514" s="628"/>
      <c r="O514" s="629"/>
      <c r="P514" s="625" t="s">
        <v>40</v>
      </c>
      <c r="Q514" s="626"/>
      <c r="R514" s="626"/>
      <c r="S514" s="626"/>
      <c r="T514" s="626"/>
      <c r="U514" s="626"/>
      <c r="V514" s="627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20" t="s">
        <v>77</v>
      </c>
      <c r="B515" s="620"/>
      <c r="C515" s="620"/>
      <c r="D515" s="620"/>
      <c r="E515" s="620"/>
      <c r="F515" s="620"/>
      <c r="G515" s="620"/>
      <c r="H515" s="620"/>
      <c r="I515" s="620"/>
      <c r="J515" s="620"/>
      <c r="K515" s="620"/>
      <c r="L515" s="620"/>
      <c r="M515" s="620"/>
      <c r="N515" s="620"/>
      <c r="O515" s="620"/>
      <c r="P515" s="620"/>
      <c r="Q515" s="620"/>
      <c r="R515" s="620"/>
      <c r="S515" s="620"/>
      <c r="T515" s="620"/>
      <c r="U515" s="620"/>
      <c r="V515" s="620"/>
      <c r="W515" s="620"/>
      <c r="X515" s="620"/>
      <c r="Y515" s="620"/>
      <c r="Z515" s="620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21">
        <v>4640242180595</v>
      </c>
      <c r="E516" s="621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3"/>
      <c r="R516" s="623"/>
      <c r="S516" s="623"/>
      <c r="T516" s="62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21">
        <v>4640242180595</v>
      </c>
      <c r="E517" s="621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6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23"/>
      <c r="R517" s="623"/>
      <c r="S517" s="623"/>
      <c r="T517" s="624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28"/>
      <c r="B518" s="628"/>
      <c r="C518" s="628"/>
      <c r="D518" s="628"/>
      <c r="E518" s="628"/>
      <c r="F518" s="628"/>
      <c r="G518" s="628"/>
      <c r="H518" s="628"/>
      <c r="I518" s="628"/>
      <c r="J518" s="628"/>
      <c r="K518" s="628"/>
      <c r="L518" s="628"/>
      <c r="M518" s="628"/>
      <c r="N518" s="628"/>
      <c r="O518" s="629"/>
      <c r="P518" s="625" t="s">
        <v>40</v>
      </c>
      <c r="Q518" s="626"/>
      <c r="R518" s="626"/>
      <c r="S518" s="626"/>
      <c r="T518" s="626"/>
      <c r="U518" s="626"/>
      <c r="V518" s="627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28"/>
      <c r="B519" s="628"/>
      <c r="C519" s="628"/>
      <c r="D519" s="628"/>
      <c r="E519" s="628"/>
      <c r="F519" s="628"/>
      <c r="G519" s="628"/>
      <c r="H519" s="628"/>
      <c r="I519" s="628"/>
      <c r="J519" s="628"/>
      <c r="K519" s="628"/>
      <c r="L519" s="628"/>
      <c r="M519" s="628"/>
      <c r="N519" s="628"/>
      <c r="O519" s="629"/>
      <c r="P519" s="625" t="s">
        <v>40</v>
      </c>
      <c r="Q519" s="626"/>
      <c r="R519" s="626"/>
      <c r="S519" s="626"/>
      <c r="T519" s="626"/>
      <c r="U519" s="626"/>
      <c r="V519" s="627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20" t="s">
        <v>86</v>
      </c>
      <c r="B520" s="620"/>
      <c r="C520" s="620"/>
      <c r="D520" s="620"/>
      <c r="E520" s="620"/>
      <c r="F520" s="620"/>
      <c r="G520" s="620"/>
      <c r="H520" s="620"/>
      <c r="I520" s="620"/>
      <c r="J520" s="620"/>
      <c r="K520" s="620"/>
      <c r="L520" s="620"/>
      <c r="M520" s="620"/>
      <c r="N520" s="620"/>
      <c r="O520" s="620"/>
      <c r="P520" s="620"/>
      <c r="Q520" s="620"/>
      <c r="R520" s="620"/>
      <c r="S520" s="620"/>
      <c r="T520" s="620"/>
      <c r="U520" s="620"/>
      <c r="V520" s="620"/>
      <c r="W520" s="620"/>
      <c r="X520" s="620"/>
      <c r="Y520" s="620"/>
      <c r="Z520" s="620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21">
        <v>4640242180533</v>
      </c>
      <c r="E521" s="621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23"/>
      <c r="R521" s="623"/>
      <c r="S521" s="623"/>
      <c r="T521" s="624"/>
      <c r="U521" s="39" t="s">
        <v>46</v>
      </c>
      <c r="V521" s="39" t="s">
        <v>46</v>
      </c>
      <c r="W521" s="40" t="s">
        <v>0</v>
      </c>
      <c r="X521" s="58">
        <v>850</v>
      </c>
      <c r="Y521" s="55">
        <f>IFERROR(IF(X521="",0,CEILING((X521/$H521),1)*$H521),"")</f>
        <v>855</v>
      </c>
      <c r="Z521" s="41">
        <f>IFERROR(IF(Y521=0,"",ROUNDUP(Y521/H521,0)*0.01898),"")</f>
        <v>1.8030999999999999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896.65555555555557</v>
      </c>
      <c r="BN521" s="78">
        <f>IFERROR(Y521*I521/H521,"0")</f>
        <v>901.93</v>
      </c>
      <c r="BO521" s="78">
        <f>IFERROR(1/J521*(X521/H521),"0")</f>
        <v>1.4756944444444444</v>
      </c>
      <c r="BP521" s="78">
        <f>IFERROR(1/J521*(Y521/H521),"0")</f>
        <v>1.484375</v>
      </c>
    </row>
    <row r="522" spans="1:68" x14ac:dyDescent="0.2">
      <c r="A522" s="628"/>
      <c r="B522" s="628"/>
      <c r="C522" s="628"/>
      <c r="D522" s="628"/>
      <c r="E522" s="628"/>
      <c r="F522" s="628"/>
      <c r="G522" s="628"/>
      <c r="H522" s="628"/>
      <c r="I522" s="628"/>
      <c r="J522" s="628"/>
      <c r="K522" s="628"/>
      <c r="L522" s="628"/>
      <c r="M522" s="628"/>
      <c r="N522" s="628"/>
      <c r="O522" s="629"/>
      <c r="P522" s="625" t="s">
        <v>40</v>
      </c>
      <c r="Q522" s="626"/>
      <c r="R522" s="626"/>
      <c r="S522" s="626"/>
      <c r="T522" s="626"/>
      <c r="U522" s="626"/>
      <c r="V522" s="627"/>
      <c r="W522" s="42" t="s">
        <v>39</v>
      </c>
      <c r="X522" s="43">
        <f>IFERROR(X521/H521,"0")</f>
        <v>94.444444444444443</v>
      </c>
      <c r="Y522" s="43">
        <f>IFERROR(Y521/H521,"0")</f>
        <v>95</v>
      </c>
      <c r="Z522" s="43">
        <f>IFERROR(IF(Z521="",0,Z521),"0")</f>
        <v>1.8030999999999999</v>
      </c>
      <c r="AA522" s="67"/>
      <c r="AB522" s="67"/>
      <c r="AC522" s="67"/>
    </row>
    <row r="523" spans="1:68" x14ac:dyDescent="0.2">
      <c r="A523" s="628"/>
      <c r="B523" s="628"/>
      <c r="C523" s="628"/>
      <c r="D523" s="628"/>
      <c r="E523" s="628"/>
      <c r="F523" s="628"/>
      <c r="G523" s="628"/>
      <c r="H523" s="628"/>
      <c r="I523" s="628"/>
      <c r="J523" s="628"/>
      <c r="K523" s="628"/>
      <c r="L523" s="628"/>
      <c r="M523" s="628"/>
      <c r="N523" s="628"/>
      <c r="O523" s="629"/>
      <c r="P523" s="625" t="s">
        <v>40</v>
      </c>
      <c r="Q523" s="626"/>
      <c r="R523" s="626"/>
      <c r="S523" s="626"/>
      <c r="T523" s="626"/>
      <c r="U523" s="626"/>
      <c r="V523" s="627"/>
      <c r="W523" s="42" t="s">
        <v>0</v>
      </c>
      <c r="X523" s="43">
        <f>IFERROR(SUM(X521:X521),"0")</f>
        <v>850</v>
      </c>
      <c r="Y523" s="43">
        <f>IFERROR(SUM(Y521:Y521),"0")</f>
        <v>855</v>
      </c>
      <c r="Z523" s="42"/>
      <c r="AA523" s="67"/>
      <c r="AB523" s="67"/>
      <c r="AC523" s="67"/>
    </row>
    <row r="524" spans="1:68" ht="14.25" hidden="1" customHeight="1" x14ac:dyDescent="0.25">
      <c r="A524" s="620" t="s">
        <v>183</v>
      </c>
      <c r="B524" s="620"/>
      <c r="C524" s="620"/>
      <c r="D524" s="620"/>
      <c r="E524" s="620"/>
      <c r="F524" s="620"/>
      <c r="G524" s="620"/>
      <c r="H524" s="620"/>
      <c r="I524" s="620"/>
      <c r="J524" s="620"/>
      <c r="K524" s="620"/>
      <c r="L524" s="620"/>
      <c r="M524" s="620"/>
      <c r="N524" s="620"/>
      <c r="O524" s="620"/>
      <c r="P524" s="620"/>
      <c r="Q524" s="620"/>
      <c r="R524" s="620"/>
      <c r="S524" s="620"/>
      <c r="T524" s="620"/>
      <c r="U524" s="620"/>
      <c r="V524" s="620"/>
      <c r="W524" s="620"/>
      <c r="X524" s="620"/>
      <c r="Y524" s="620"/>
      <c r="Z524" s="620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21">
        <v>4640242180120</v>
      </c>
      <c r="E525" s="621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23"/>
      <c r="R525" s="623"/>
      <c r="S525" s="623"/>
      <c r="T525" s="62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21">
        <v>4640242180137</v>
      </c>
      <c r="E526" s="621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63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23"/>
      <c r="R526" s="623"/>
      <c r="S526" s="623"/>
      <c r="T526" s="624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28"/>
      <c r="B527" s="628"/>
      <c r="C527" s="628"/>
      <c r="D527" s="628"/>
      <c r="E527" s="628"/>
      <c r="F527" s="628"/>
      <c r="G527" s="628"/>
      <c r="H527" s="628"/>
      <c r="I527" s="628"/>
      <c r="J527" s="628"/>
      <c r="K527" s="628"/>
      <c r="L527" s="628"/>
      <c r="M527" s="628"/>
      <c r="N527" s="628"/>
      <c r="O527" s="629"/>
      <c r="P527" s="625" t="s">
        <v>40</v>
      </c>
      <c r="Q527" s="626"/>
      <c r="R527" s="626"/>
      <c r="S527" s="626"/>
      <c r="T527" s="626"/>
      <c r="U527" s="626"/>
      <c r="V527" s="627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28"/>
      <c r="B528" s="628"/>
      <c r="C528" s="628"/>
      <c r="D528" s="628"/>
      <c r="E528" s="628"/>
      <c r="F528" s="628"/>
      <c r="G528" s="628"/>
      <c r="H528" s="628"/>
      <c r="I528" s="628"/>
      <c r="J528" s="628"/>
      <c r="K528" s="628"/>
      <c r="L528" s="628"/>
      <c r="M528" s="628"/>
      <c r="N528" s="628"/>
      <c r="O528" s="629"/>
      <c r="P528" s="625" t="s">
        <v>40</v>
      </c>
      <c r="Q528" s="626"/>
      <c r="R528" s="626"/>
      <c r="S528" s="626"/>
      <c r="T528" s="626"/>
      <c r="U528" s="626"/>
      <c r="V528" s="627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36" t="s">
        <v>830</v>
      </c>
      <c r="B529" s="636"/>
      <c r="C529" s="636"/>
      <c r="D529" s="636"/>
      <c r="E529" s="636"/>
      <c r="F529" s="636"/>
      <c r="G529" s="636"/>
      <c r="H529" s="636"/>
      <c r="I529" s="636"/>
      <c r="J529" s="636"/>
      <c r="K529" s="636"/>
      <c r="L529" s="636"/>
      <c r="M529" s="636"/>
      <c r="N529" s="636"/>
      <c r="O529" s="636"/>
      <c r="P529" s="636"/>
      <c r="Q529" s="636"/>
      <c r="R529" s="636"/>
      <c r="S529" s="636"/>
      <c r="T529" s="636"/>
      <c r="U529" s="636"/>
      <c r="V529" s="636"/>
      <c r="W529" s="636"/>
      <c r="X529" s="636"/>
      <c r="Y529" s="636"/>
      <c r="Z529" s="636"/>
      <c r="AA529" s="65"/>
      <c r="AB529" s="65"/>
      <c r="AC529" s="79"/>
    </row>
    <row r="530" spans="1:68" ht="14.25" hidden="1" customHeight="1" x14ac:dyDescent="0.25">
      <c r="A530" s="620" t="s">
        <v>166</v>
      </c>
      <c r="B530" s="620"/>
      <c r="C530" s="620"/>
      <c r="D530" s="620"/>
      <c r="E530" s="620"/>
      <c r="F530" s="620"/>
      <c r="G530" s="620"/>
      <c r="H530" s="620"/>
      <c r="I530" s="620"/>
      <c r="J530" s="620"/>
      <c r="K530" s="620"/>
      <c r="L530" s="620"/>
      <c r="M530" s="620"/>
      <c r="N530" s="620"/>
      <c r="O530" s="620"/>
      <c r="P530" s="620"/>
      <c r="Q530" s="620"/>
      <c r="R530" s="620"/>
      <c r="S530" s="620"/>
      <c r="T530" s="620"/>
      <c r="U530" s="620"/>
      <c r="V530" s="620"/>
      <c r="W530" s="620"/>
      <c r="X530" s="620"/>
      <c r="Y530" s="620"/>
      <c r="Z530" s="620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21">
        <v>4640242180090</v>
      </c>
      <c r="E531" s="621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62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23"/>
      <c r="R531" s="623"/>
      <c r="S531" s="623"/>
      <c r="T531" s="624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28"/>
      <c r="B532" s="628"/>
      <c r="C532" s="628"/>
      <c r="D532" s="628"/>
      <c r="E532" s="628"/>
      <c r="F532" s="628"/>
      <c r="G532" s="628"/>
      <c r="H532" s="628"/>
      <c r="I532" s="628"/>
      <c r="J532" s="628"/>
      <c r="K532" s="628"/>
      <c r="L532" s="628"/>
      <c r="M532" s="628"/>
      <c r="N532" s="628"/>
      <c r="O532" s="629"/>
      <c r="P532" s="625" t="s">
        <v>40</v>
      </c>
      <c r="Q532" s="626"/>
      <c r="R532" s="626"/>
      <c r="S532" s="626"/>
      <c r="T532" s="626"/>
      <c r="U532" s="626"/>
      <c r="V532" s="627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28"/>
      <c r="B533" s="628"/>
      <c r="C533" s="628"/>
      <c r="D533" s="628"/>
      <c r="E533" s="628"/>
      <c r="F533" s="628"/>
      <c r="G533" s="628"/>
      <c r="H533" s="628"/>
      <c r="I533" s="628"/>
      <c r="J533" s="628"/>
      <c r="K533" s="628"/>
      <c r="L533" s="628"/>
      <c r="M533" s="628"/>
      <c r="N533" s="628"/>
      <c r="O533" s="629"/>
      <c r="P533" s="625" t="s">
        <v>40</v>
      </c>
      <c r="Q533" s="626"/>
      <c r="R533" s="626"/>
      <c r="S533" s="626"/>
      <c r="T533" s="626"/>
      <c r="U533" s="626"/>
      <c r="V533" s="627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28"/>
      <c r="B534" s="628"/>
      <c r="C534" s="628"/>
      <c r="D534" s="628"/>
      <c r="E534" s="628"/>
      <c r="F534" s="628"/>
      <c r="G534" s="628"/>
      <c r="H534" s="628"/>
      <c r="I534" s="628"/>
      <c r="J534" s="628"/>
      <c r="K534" s="628"/>
      <c r="L534" s="628"/>
      <c r="M534" s="628"/>
      <c r="N534" s="628"/>
      <c r="O534" s="633"/>
      <c r="P534" s="630" t="s">
        <v>33</v>
      </c>
      <c r="Q534" s="631"/>
      <c r="R534" s="631"/>
      <c r="S534" s="631"/>
      <c r="T534" s="631"/>
      <c r="U534" s="631"/>
      <c r="V534" s="63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14571.7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14707.929999999998</v>
      </c>
      <c r="Z534" s="42"/>
      <c r="AA534" s="67"/>
      <c r="AB534" s="67"/>
      <c r="AC534" s="67"/>
    </row>
    <row r="535" spans="1:68" x14ac:dyDescent="0.2">
      <c r="A535" s="628"/>
      <c r="B535" s="628"/>
      <c r="C535" s="628"/>
      <c r="D535" s="628"/>
      <c r="E535" s="628"/>
      <c r="F535" s="628"/>
      <c r="G535" s="628"/>
      <c r="H535" s="628"/>
      <c r="I535" s="628"/>
      <c r="J535" s="628"/>
      <c r="K535" s="628"/>
      <c r="L535" s="628"/>
      <c r="M535" s="628"/>
      <c r="N535" s="628"/>
      <c r="O535" s="633"/>
      <c r="P535" s="630" t="s">
        <v>34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IFERROR(SUM(BM22:BM531),"0")</f>
        <v>15744.958926682086</v>
      </c>
      <c r="Y535" s="43">
        <f>IFERROR(SUM(BN22:BN531),"0")</f>
        <v>15890.86</v>
      </c>
      <c r="Z535" s="42"/>
      <c r="AA535" s="67"/>
      <c r="AB535" s="67"/>
      <c r="AC535" s="67"/>
    </row>
    <row r="536" spans="1:68" x14ac:dyDescent="0.2">
      <c r="A536" s="628"/>
      <c r="B536" s="628"/>
      <c r="C536" s="628"/>
      <c r="D536" s="628"/>
      <c r="E536" s="628"/>
      <c r="F536" s="628"/>
      <c r="G536" s="628"/>
      <c r="H536" s="628"/>
      <c r="I536" s="628"/>
      <c r="J536" s="628"/>
      <c r="K536" s="628"/>
      <c r="L536" s="628"/>
      <c r="M536" s="628"/>
      <c r="N536" s="628"/>
      <c r="O536" s="633"/>
      <c r="P536" s="630" t="s">
        <v>35</v>
      </c>
      <c r="Q536" s="631"/>
      <c r="R536" s="631"/>
      <c r="S536" s="631"/>
      <c r="T536" s="631"/>
      <c r="U536" s="631"/>
      <c r="V536" s="632"/>
      <c r="W536" s="42" t="s">
        <v>20</v>
      </c>
      <c r="X536" s="44">
        <f>ROUNDUP(SUM(BO22:BO531),0)</f>
        <v>28</v>
      </c>
      <c r="Y536" s="44">
        <f>ROUNDUP(SUM(BP22:BP531),0)</f>
        <v>28</v>
      </c>
      <c r="Z536" s="42"/>
      <c r="AA536" s="67"/>
      <c r="AB536" s="67"/>
      <c r="AC536" s="67"/>
    </row>
    <row r="537" spans="1:68" x14ac:dyDescent="0.2">
      <c r="A537" s="628"/>
      <c r="B537" s="628"/>
      <c r="C537" s="628"/>
      <c r="D537" s="628"/>
      <c r="E537" s="628"/>
      <c r="F537" s="628"/>
      <c r="G537" s="628"/>
      <c r="H537" s="628"/>
      <c r="I537" s="628"/>
      <c r="J537" s="628"/>
      <c r="K537" s="628"/>
      <c r="L537" s="628"/>
      <c r="M537" s="628"/>
      <c r="N537" s="628"/>
      <c r="O537" s="633"/>
      <c r="P537" s="630" t="s">
        <v>36</v>
      </c>
      <c r="Q537" s="631"/>
      <c r="R537" s="631"/>
      <c r="S537" s="631"/>
      <c r="T537" s="631"/>
      <c r="U537" s="631"/>
      <c r="V537" s="632"/>
      <c r="W537" s="42" t="s">
        <v>0</v>
      </c>
      <c r="X537" s="43">
        <f>GrossWeightTotal+PalletQtyTotal*25</f>
        <v>16444.958926682084</v>
      </c>
      <c r="Y537" s="43">
        <f>GrossWeightTotalR+PalletQtyTotalR*25</f>
        <v>16590.86</v>
      </c>
      <c r="Z537" s="42"/>
      <c r="AA537" s="67"/>
      <c r="AB537" s="67"/>
      <c r="AC537" s="67"/>
    </row>
    <row r="538" spans="1:68" x14ac:dyDescent="0.2">
      <c r="A538" s="628"/>
      <c r="B538" s="628"/>
      <c r="C538" s="628"/>
      <c r="D538" s="628"/>
      <c r="E538" s="628"/>
      <c r="F538" s="628"/>
      <c r="G538" s="628"/>
      <c r="H538" s="628"/>
      <c r="I538" s="628"/>
      <c r="J538" s="628"/>
      <c r="K538" s="628"/>
      <c r="L538" s="628"/>
      <c r="M538" s="628"/>
      <c r="N538" s="628"/>
      <c r="O538" s="633"/>
      <c r="P538" s="630" t="s">
        <v>37</v>
      </c>
      <c r="Q538" s="631"/>
      <c r="R538" s="631"/>
      <c r="S538" s="631"/>
      <c r="T538" s="631"/>
      <c r="U538" s="631"/>
      <c r="V538" s="63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3584.1096570521863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3611</v>
      </c>
      <c r="Z538" s="42"/>
      <c r="AA538" s="67"/>
      <c r="AB538" s="67"/>
      <c r="AC538" s="67"/>
    </row>
    <row r="539" spans="1:68" ht="14.25" hidden="1" x14ac:dyDescent="0.2">
      <c r="A539" s="628"/>
      <c r="B539" s="628"/>
      <c r="C539" s="628"/>
      <c r="D539" s="628"/>
      <c r="E539" s="628"/>
      <c r="F539" s="628"/>
      <c r="G539" s="628"/>
      <c r="H539" s="628"/>
      <c r="I539" s="628"/>
      <c r="J539" s="628"/>
      <c r="K539" s="628"/>
      <c r="L539" s="628"/>
      <c r="M539" s="628"/>
      <c r="N539" s="628"/>
      <c r="O539" s="633"/>
      <c r="P539" s="630" t="s">
        <v>38</v>
      </c>
      <c r="Q539" s="631"/>
      <c r="R539" s="631"/>
      <c r="S539" s="631"/>
      <c r="T539" s="631"/>
      <c r="U539" s="631"/>
      <c r="V539" s="63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32.239300000000007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616" t="s">
        <v>127</v>
      </c>
      <c r="E541" s="616" t="s">
        <v>127</v>
      </c>
      <c r="F541" s="616" t="s">
        <v>127</v>
      </c>
      <c r="G541" s="616" t="s">
        <v>127</v>
      </c>
      <c r="H541" s="616" t="s">
        <v>127</v>
      </c>
      <c r="I541" s="616" t="s">
        <v>127</v>
      </c>
      <c r="J541" s="616" t="s">
        <v>127</v>
      </c>
      <c r="K541" s="616" t="s">
        <v>336</v>
      </c>
      <c r="L541" s="616" t="s">
        <v>336</v>
      </c>
      <c r="M541" s="616" t="s">
        <v>336</v>
      </c>
      <c r="N541" s="617"/>
      <c r="O541" s="616" t="s">
        <v>336</v>
      </c>
      <c r="P541" s="616" t="s">
        <v>336</v>
      </c>
      <c r="Q541" s="616" t="s">
        <v>336</v>
      </c>
      <c r="R541" s="616" t="s">
        <v>336</v>
      </c>
      <c r="S541" s="616" t="s">
        <v>336</v>
      </c>
      <c r="T541" s="616" t="s">
        <v>336</v>
      </c>
      <c r="U541" s="616" t="s">
        <v>336</v>
      </c>
      <c r="V541" s="616" t="s">
        <v>666</v>
      </c>
      <c r="W541" s="616" t="s">
        <v>666</v>
      </c>
      <c r="X541" s="616" t="s">
        <v>726</v>
      </c>
      <c r="Y541" s="616" t="s">
        <v>726</v>
      </c>
      <c r="Z541" s="85" t="s">
        <v>762</v>
      </c>
      <c r="AA541" s="616" t="s">
        <v>809</v>
      </c>
      <c r="AB541" s="616" t="s">
        <v>809</v>
      </c>
      <c r="AC541" s="60"/>
      <c r="AF541" s="1"/>
    </row>
    <row r="542" spans="1:68" ht="14.25" customHeight="1" thickTop="1" x14ac:dyDescent="0.2">
      <c r="A542" s="618" t="s">
        <v>10</v>
      </c>
      <c r="B542" s="616" t="s">
        <v>76</v>
      </c>
      <c r="C542" s="616" t="s">
        <v>110</v>
      </c>
      <c r="D542" s="616" t="s">
        <v>128</v>
      </c>
      <c r="E542" s="616" t="s">
        <v>144</v>
      </c>
      <c r="F542" s="616" t="s">
        <v>190</v>
      </c>
      <c r="G542" s="616" t="s">
        <v>211</v>
      </c>
      <c r="H542" s="616" t="s">
        <v>253</v>
      </c>
      <c r="I542" s="616" t="s">
        <v>265</v>
      </c>
      <c r="J542" s="616" t="s">
        <v>127</v>
      </c>
      <c r="K542" s="616" t="s">
        <v>337</v>
      </c>
      <c r="L542" s="616" t="s">
        <v>358</v>
      </c>
      <c r="M542" s="616" t="s">
        <v>425</v>
      </c>
      <c r="N542" s="1"/>
      <c r="O542" s="616" t="s">
        <v>493</v>
      </c>
      <c r="P542" s="616" t="s">
        <v>526</v>
      </c>
      <c r="Q542" s="616" t="s">
        <v>542</v>
      </c>
      <c r="R542" s="616" t="s">
        <v>551</v>
      </c>
      <c r="S542" s="616" t="s">
        <v>572</v>
      </c>
      <c r="T542" s="616" t="s">
        <v>581</v>
      </c>
      <c r="U542" s="616" t="s">
        <v>656</v>
      </c>
      <c r="V542" s="616" t="s">
        <v>667</v>
      </c>
      <c r="W542" s="616" t="s">
        <v>710</v>
      </c>
      <c r="X542" s="616" t="s">
        <v>727</v>
      </c>
      <c r="Y542" s="616" t="s">
        <v>750</v>
      </c>
      <c r="Z542" s="616" t="s">
        <v>762</v>
      </c>
      <c r="AA542" s="616" t="s">
        <v>809</v>
      </c>
      <c r="AB542" s="616" t="s">
        <v>830</v>
      </c>
      <c r="AC542" s="60"/>
      <c r="AF542" s="1"/>
    </row>
    <row r="543" spans="1:68" ht="13.5" thickBot="1" x14ac:dyDescent="0.25">
      <c r="A543" s="619"/>
      <c r="B543" s="616"/>
      <c r="C543" s="616"/>
      <c r="D543" s="616"/>
      <c r="E543" s="616"/>
      <c r="F543" s="616"/>
      <c r="G543" s="616"/>
      <c r="H543" s="616"/>
      <c r="I543" s="616"/>
      <c r="J543" s="616"/>
      <c r="K543" s="616"/>
      <c r="L543" s="616"/>
      <c r="M543" s="616"/>
      <c r="N543" s="1"/>
      <c r="O543" s="616"/>
      <c r="P543" s="616"/>
      <c r="Q543" s="616"/>
      <c r="R543" s="616"/>
      <c r="S543" s="616"/>
      <c r="T543" s="616"/>
      <c r="U543" s="616"/>
      <c r="V543" s="616"/>
      <c r="W543" s="616"/>
      <c r="X543" s="616"/>
      <c r="Y543" s="616"/>
      <c r="Z543" s="616"/>
      <c r="AA543" s="616"/>
      <c r="AB543" s="61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32.64</v>
      </c>
      <c r="D544" s="52">
        <f>IFERROR(Y51*1,"0")+IFERROR(Y52*1,"0")+IFERROR(Y53*1,"0")+IFERROR(Y54*1,"0")</f>
        <v>471.20000000000005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671.1</v>
      </c>
      <c r="F544" s="52">
        <f>IFERROR(Y88*1,"0")+IFERROR(Y89*1,"0")+IFERROR(Y90*1,"0")+IFERROR(Y91*1,"0")+IFERROR(Y95*1,"0")+IFERROR(Y96*1,"0")+IFERROR(Y97*1,"0")+IFERROR(Y98*1,"0")</f>
        <v>1393.2000000000003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1476</v>
      </c>
      <c r="H544" s="52">
        <f>IFERROR(Y134*1,"0")+IFERROR(Y135*1,"0")+IFERROR(Y139*1,"0")+IFERROR(Y140*1,"0")+IFERROR(Y144*1,"0")+IFERROR(Y145*1,"0")</f>
        <v>255.92000000000002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146.88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409.07999999999993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1801.4999999999998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170.6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321.60000000000002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358.79999999999995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1142.05</v>
      </c>
      <c r="U544" s="52">
        <f>IFERROR(Y399*1,"0")+IFERROR(Y400*1,"0")+IFERROR(Y401*1,"0")</f>
        <v>1226.4000000000001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3015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900.95999999999992</v>
      </c>
      <c r="AA544" s="52">
        <f>IFERROR(Y508*1,"0")+IFERROR(Y512*1,"0")+IFERROR(Y516*1,"0")+IFERROR(Y517*1,"0")+IFERROR(Y521*1,"0")+IFERROR(Y525*1,"0")+IFERROR(Y526*1,"0")</f>
        <v>915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5,00"/>
        <filter val="1 140,00"/>
        <filter val="1 225,00"/>
        <filter val="10,50"/>
        <filter val="10,80"/>
        <filter val="100,00"/>
        <filter val="102,00"/>
        <filter val="105,00"/>
        <filter val="113,15"/>
        <filter val="12,00"/>
        <filter val="120,00"/>
        <filter val="122,50"/>
        <filter val="133,33"/>
        <filter val="14 571,70"/>
        <filter val="140,00"/>
        <filter val="143,50"/>
        <filter val="144,00"/>
        <filter val="145,20"/>
        <filter val="15 744,96"/>
        <filter val="150,00"/>
        <filter val="16 444,96"/>
        <filter val="16,67"/>
        <filter val="160,00"/>
        <filter val="17,00"/>
        <filter val="173,81"/>
        <filter val="175,00"/>
        <filter val="177,04"/>
        <filter val="18,75"/>
        <filter val="180,00"/>
        <filter val="2 400,00"/>
        <filter val="20,00"/>
        <filter val="200,00"/>
        <filter val="21,00"/>
        <filter val="240,00"/>
        <filter val="244,44"/>
        <filter val="25,00"/>
        <filter val="250,00"/>
        <filter val="28"/>
        <filter val="280,00"/>
        <filter val="282,72"/>
        <filter val="29,31"/>
        <filter val="298,00"/>
        <filter val="3 584,11"/>
        <filter val="3,50"/>
        <filter val="3,85"/>
        <filter val="30,00"/>
        <filter val="300,00"/>
        <filter val="31,25"/>
        <filter val="31,44"/>
        <filter val="32,00"/>
        <filter val="320,00"/>
        <filter val="350,00"/>
        <filter val="360,00"/>
        <filter val="37,50"/>
        <filter val="380,00"/>
        <filter val="4,17"/>
        <filter val="40,00"/>
        <filter val="400,00"/>
        <filter val="405,00"/>
        <filter val="414,66"/>
        <filter val="42,00"/>
        <filter val="430,00"/>
        <filter val="44,87"/>
        <filter val="45,00"/>
        <filter val="455,00"/>
        <filter val="470,00"/>
        <filter val="49,50"/>
        <filter val="50,00"/>
        <filter val="512,00"/>
        <filter val="52,50"/>
        <filter val="56,00"/>
        <filter val="58,33"/>
        <filter val="583,33"/>
        <filter val="585,00"/>
        <filter val="6,67"/>
        <filter val="60,00"/>
        <filter val="60,76"/>
        <filter val="600,00"/>
        <filter val="630,00"/>
        <filter val="655,00"/>
        <filter val="66,67"/>
        <filter val="7,00"/>
        <filter val="70,00"/>
        <filter val="700,00"/>
        <filter val="720,00"/>
        <filter val="75,00"/>
        <filter val="770,00"/>
        <filter val="78,40"/>
        <filter val="780,00"/>
        <filter val="80,00"/>
        <filter val="84,00"/>
        <filter val="85,00"/>
        <filter val="850,00"/>
        <filter val="88,26"/>
        <filter val="90,00"/>
        <filter val="92,00"/>
        <filter val="93,89"/>
        <filter val="94,44"/>
        <filter val="94,63"/>
        <filter val="96,52"/>
        <filter val="99,00"/>
      </filters>
    </filterColumn>
    <filterColumn colId="29" showButton="0"/>
    <filterColumn colId="30" showButton="0"/>
  </autoFilter>
  <dataConsolidate/>
  <mergeCells count="95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