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27B7231-0EE7-4FB2-B13B-7479814E61F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Z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BO427" i="2"/>
  <c r="BM427" i="2"/>
  <c r="Z427" i="2"/>
  <c r="Y427" i="2"/>
  <c r="BP427" i="2" s="1"/>
  <c r="P427" i="2"/>
  <c r="BO426" i="2"/>
  <c r="BM426" i="2"/>
  <c r="Y426" i="2"/>
  <c r="P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P423" i="2"/>
  <c r="X419" i="2"/>
  <c r="X418" i="2"/>
  <c r="BO417" i="2"/>
  <c r="BM417" i="2"/>
  <c r="Y417" i="2"/>
  <c r="Z417" i="2" s="1"/>
  <c r="P417" i="2"/>
  <c r="BO416" i="2"/>
  <c r="BM416" i="2"/>
  <c r="Y416" i="2"/>
  <c r="BN416" i="2" s="1"/>
  <c r="P416" i="2"/>
  <c r="BO415" i="2"/>
  <c r="BM415" i="2"/>
  <c r="Y415" i="2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Z408" i="2"/>
  <c r="Y408" i="2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P385" i="2"/>
  <c r="BO384" i="2"/>
  <c r="BM384" i="2"/>
  <c r="Y384" i="2"/>
  <c r="Z384" i="2" s="1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P367" i="2"/>
  <c r="BO366" i="2"/>
  <c r="BM366" i="2"/>
  <c r="Y366" i="2"/>
  <c r="P366" i="2"/>
  <c r="BP365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Z363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P345" i="2"/>
  <c r="BO344" i="2"/>
  <c r="BM344" i="2"/>
  <c r="Y344" i="2"/>
  <c r="BP344" i="2" s="1"/>
  <c r="P344" i="2"/>
  <c r="BO343" i="2"/>
  <c r="BM343" i="2"/>
  <c r="Y343" i="2"/>
  <c r="P343" i="2"/>
  <c r="BO342" i="2"/>
  <c r="BM342" i="2"/>
  <c r="Y342" i="2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Z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O327" i="2"/>
  <c r="BM327" i="2"/>
  <c r="Y327" i="2"/>
  <c r="P327" i="2"/>
  <c r="BO326" i="2"/>
  <c r="BM326" i="2"/>
  <c r="Y326" i="2"/>
  <c r="Y331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P311" i="2"/>
  <c r="X309" i="2"/>
  <c r="X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P304" i="2"/>
  <c r="BP303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P273" i="2"/>
  <c r="BO272" i="2"/>
  <c r="BM272" i="2"/>
  <c r="Z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P249" i="2"/>
  <c r="BO248" i="2"/>
  <c r="BM248" i="2"/>
  <c r="Y248" i="2"/>
  <c r="BP248" i="2" s="1"/>
  <c r="P248" i="2"/>
  <c r="X246" i="2"/>
  <c r="X245" i="2"/>
  <c r="BO244" i="2"/>
  <c r="BM244" i="2"/>
  <c r="Y244" i="2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Z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Z191" i="2"/>
  <c r="Y191" i="2"/>
  <c r="BN191" i="2" s="1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P166" i="2"/>
  <c r="X163" i="2"/>
  <c r="X162" i="2"/>
  <c r="BO161" i="2"/>
  <c r="BM161" i="2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D56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Z141" i="2" l="1"/>
  <c r="Y405" i="2"/>
  <c r="Z91" i="2"/>
  <c r="Z232" i="2"/>
  <c r="Z62" i="2"/>
  <c r="Z116" i="2"/>
  <c r="Z149" i="2"/>
  <c r="Z184" i="2"/>
  <c r="Z282" i="2"/>
  <c r="Z319" i="2"/>
  <c r="Z344" i="2"/>
  <c r="BN344" i="2"/>
  <c r="Z377" i="2"/>
  <c r="Z416" i="2"/>
  <c r="Z434" i="2"/>
  <c r="BP484" i="2"/>
  <c r="Y163" i="2"/>
  <c r="Y203" i="2"/>
  <c r="Y204" i="2"/>
  <c r="X555" i="2"/>
  <c r="Z28" i="2"/>
  <c r="Z88" i="2"/>
  <c r="BN88" i="2"/>
  <c r="Y93" i="2"/>
  <c r="Z98" i="2"/>
  <c r="Z139" i="2"/>
  <c r="Z142" i="2"/>
  <c r="Z143" i="2" s="1"/>
  <c r="BN142" i="2"/>
  <c r="Z161" i="2"/>
  <c r="Z162" i="2" s="1"/>
  <c r="Z187" i="2"/>
  <c r="Z230" i="2"/>
  <c r="BN230" i="2"/>
  <c r="Z242" i="2"/>
  <c r="Z265" i="2"/>
  <c r="Z275" i="2"/>
  <c r="Z306" i="2"/>
  <c r="Z329" i="2"/>
  <c r="Z337" i="2"/>
  <c r="Z372" i="2"/>
  <c r="BP391" i="2"/>
  <c r="Z409" i="2"/>
  <c r="Z411" i="2" s="1"/>
  <c r="Z425" i="2"/>
  <c r="Z457" i="2"/>
  <c r="Z458" i="2" s="1"/>
  <c r="Z478" i="2"/>
  <c r="BN478" i="2"/>
  <c r="W561" i="2"/>
  <c r="BN29" i="2"/>
  <c r="Y47" i="2"/>
  <c r="Y55" i="2"/>
  <c r="BP83" i="2"/>
  <c r="BN120" i="2"/>
  <c r="H561" i="2"/>
  <c r="Z132" i="2"/>
  <c r="BN140" i="2"/>
  <c r="BP166" i="2"/>
  <c r="BN166" i="2"/>
  <c r="Z166" i="2"/>
  <c r="BP185" i="2"/>
  <c r="BN185" i="2"/>
  <c r="Z185" i="2"/>
  <c r="BN198" i="2"/>
  <c r="Z198" i="2"/>
  <c r="BN208" i="2"/>
  <c r="Z208" i="2"/>
  <c r="BN226" i="2"/>
  <c r="Z226" i="2"/>
  <c r="BN231" i="2"/>
  <c r="BN234" i="2"/>
  <c r="BP234" i="2"/>
  <c r="BN240" i="2"/>
  <c r="Z240" i="2"/>
  <c r="BN249" i="2"/>
  <c r="Z249" i="2"/>
  <c r="BN264" i="2"/>
  <c r="BP269" i="2"/>
  <c r="BN269" i="2"/>
  <c r="Z269" i="2"/>
  <c r="BN284" i="2"/>
  <c r="BN304" i="2"/>
  <c r="Z304" i="2"/>
  <c r="BN327" i="2"/>
  <c r="Z327" i="2"/>
  <c r="BP346" i="2"/>
  <c r="Z346" i="2"/>
  <c r="BN366" i="2"/>
  <c r="Z366" i="2"/>
  <c r="BN375" i="2"/>
  <c r="BP383" i="2"/>
  <c r="BN383" i="2"/>
  <c r="Z383" i="2"/>
  <c r="Y387" i="2"/>
  <c r="Z385" i="2"/>
  <c r="BP415" i="2"/>
  <c r="Z415" i="2"/>
  <c r="Z418" i="2" s="1"/>
  <c r="BN426" i="2"/>
  <c r="BP426" i="2"/>
  <c r="BN429" i="2"/>
  <c r="BN441" i="2"/>
  <c r="Z441" i="2"/>
  <c r="BN470" i="2"/>
  <c r="BN479" i="2"/>
  <c r="BN489" i="2"/>
  <c r="BP503" i="2"/>
  <c r="BN503" i="2"/>
  <c r="Z503" i="2"/>
  <c r="BN515" i="2"/>
  <c r="BN30" i="2"/>
  <c r="Z41" i="2"/>
  <c r="BN41" i="2"/>
  <c r="BN42" i="2"/>
  <c r="Z51" i="2"/>
  <c r="BN52" i="2"/>
  <c r="Z53" i="2"/>
  <c r="BN53" i="2"/>
  <c r="BN54" i="2"/>
  <c r="Z64" i="2"/>
  <c r="BN64" i="2"/>
  <c r="BN65" i="2"/>
  <c r="Z72" i="2"/>
  <c r="BN77" i="2"/>
  <c r="Z83" i="2"/>
  <c r="Y85" i="2"/>
  <c r="BP90" i="2"/>
  <c r="Z95" i="2"/>
  <c r="BP98" i="2"/>
  <c r="BN121" i="2"/>
  <c r="BP132" i="2"/>
  <c r="BN135" i="2"/>
  <c r="Z135" i="2"/>
  <c r="Y143" i="2"/>
  <c r="BN156" i="2"/>
  <c r="BN178" i="2"/>
  <c r="Z178" i="2"/>
  <c r="BN181" i="2"/>
  <c r="Z181" i="2"/>
  <c r="BP211" i="2"/>
  <c r="BN211" i="2"/>
  <c r="Z211" i="2"/>
  <c r="BN225" i="2"/>
  <c r="Z225" i="2"/>
  <c r="BP226" i="2"/>
  <c r="BP240" i="2"/>
  <c r="BN241" i="2"/>
  <c r="BN244" i="2"/>
  <c r="BP244" i="2"/>
  <c r="BP273" i="2"/>
  <c r="BN273" i="2"/>
  <c r="Z273" i="2"/>
  <c r="BN283" i="2"/>
  <c r="Z283" i="2"/>
  <c r="BP295" i="2"/>
  <c r="BN295" i="2"/>
  <c r="Z295" i="2"/>
  <c r="Y298" i="2"/>
  <c r="BP304" i="2"/>
  <c r="BN305" i="2"/>
  <c r="BP307" i="2"/>
  <c r="BN307" i="2"/>
  <c r="Z307" i="2"/>
  <c r="Y313" i="2"/>
  <c r="Z311" i="2"/>
  <c r="Z312" i="2" s="1"/>
  <c r="BP327" i="2"/>
  <c r="BN328" i="2"/>
  <c r="BP342" i="2"/>
  <c r="BN342" i="2"/>
  <c r="Z342" i="2"/>
  <c r="Y369" i="2"/>
  <c r="Z365" i="2"/>
  <c r="BP366" i="2"/>
  <c r="BP367" i="2"/>
  <c r="Z367" i="2"/>
  <c r="BP385" i="2"/>
  <c r="BN396" i="2"/>
  <c r="BP423" i="2"/>
  <c r="BN423" i="2"/>
  <c r="Z423" i="2"/>
  <c r="BN428" i="2"/>
  <c r="Z428" i="2"/>
  <c r="BP441" i="2"/>
  <c r="BN453" i="2"/>
  <c r="BN501" i="2"/>
  <c r="Z501" i="2"/>
  <c r="BP538" i="2"/>
  <c r="Z538" i="2"/>
  <c r="Z539" i="2" s="1"/>
  <c r="BP141" i="2"/>
  <c r="BP161" i="2"/>
  <c r="Y170" i="2"/>
  <c r="BP187" i="2"/>
  <c r="BN202" i="2"/>
  <c r="BN235" i="2"/>
  <c r="BN260" i="2"/>
  <c r="BN290" i="2"/>
  <c r="BP329" i="2"/>
  <c r="Y370" i="2"/>
  <c r="BP363" i="2"/>
  <c r="BN364" i="2"/>
  <c r="BN384" i="2"/>
  <c r="Y412" i="2"/>
  <c r="BP408" i="2"/>
  <c r="BP416" i="2"/>
  <c r="BN417" i="2"/>
  <c r="BP434" i="2"/>
  <c r="Y437" i="2"/>
  <c r="BP457" i="2"/>
  <c r="BN504" i="2"/>
  <c r="Y531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55" i="2" s="1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Z266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Z386" i="2" s="1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69" i="2" s="1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Y352" i="2"/>
  <c r="Z391" i="2"/>
  <c r="BN403" i="2"/>
  <c r="Z426" i="2"/>
  <c r="Z436" i="2"/>
  <c r="Z437" i="2" s="1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Z454" i="2" s="1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Z322" i="2" s="1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347" i="2" l="1"/>
  <c r="Z251" i="2"/>
  <c r="Z297" i="2"/>
  <c r="Z480" i="2"/>
  <c r="Z338" i="2"/>
  <c r="X554" i="2"/>
  <c r="Z292" i="2"/>
  <c r="Z431" i="2"/>
  <c r="Z277" i="2"/>
  <c r="Z136" i="2"/>
  <c r="Z199" i="2"/>
  <c r="Z379" i="2"/>
  <c r="Z331" i="2"/>
  <c r="Z99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Y554" i="2" s="1"/>
  <c r="Z464" i="2"/>
  <c r="Z556" i="2" l="1"/>
</calcChain>
</file>

<file path=xl/sharedStrings.xml><?xml version="1.0" encoding="utf-8"?>
<sst xmlns="http://schemas.openxmlformats.org/spreadsheetml/2006/main" count="4202" uniqueCount="896">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</sst>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557" sqref="AA55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895</v>
      </c>
      <c r="I5" s="643"/>
      <c r="J5" s="643"/>
      <c r="K5" s="643"/>
      <c r="L5" s="643"/>
      <c r="M5" s="643"/>
      <c r="N5" s="72"/>
      <c r="P5" s="27" t="s">
        <v>4</v>
      </c>
      <c r="Q5" s="645">
        <v>46235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Суббота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0.45833333333333331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hidden="1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hidden="1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hidden="1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0</v>
      </c>
      <c r="Y431" s="43">
        <f>IFERROR(Y423/H423,"0")+IFERROR(Y424/H424,"0")+IFERROR(Y425/H425,"0")+IFERROR(Y426/H426,"0")+IFERROR(Y427/H427,"0")+IFERROR(Y428/H428,"0")+IFERROR(Y429/H429,"0")+IFERROR(Y430/H430,"0")</f>
        <v>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0</v>
      </c>
      <c r="Y432" s="43">
        <f>IFERROR(SUM(Y423:Y430),"0")</f>
        <v>0</v>
      </c>
      <c r="Z432" s="42"/>
      <c r="AA432" s="67"/>
      <c r="AB432" s="67"/>
      <c r="AC432" s="67"/>
    </row>
    <row r="433" spans="1:68" ht="14.25" hidden="1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hidden="1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4000</v>
      </c>
      <c r="Y461" s="55">
        <f>IFERROR(IF(X461="",0,CEILING((X461/$H461),1)*$H461),"")</f>
        <v>4005</v>
      </c>
      <c r="Z461" s="41">
        <f>IFERROR(IF(Y461=0,"",ROUNDUP(Y461/H461,0)*0.01898),"")</f>
        <v>8.4460999999999995</v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4219.5555555555557</v>
      </c>
      <c r="BN461" s="78">
        <f>IFERROR(Y461*I461/H461,"0")</f>
        <v>4224.83</v>
      </c>
      <c r="BO461" s="78">
        <f>IFERROR(1/J461*(X461/H461),"0")</f>
        <v>6.9444444444444446</v>
      </c>
      <c r="BP461" s="78">
        <f>IFERROR(1/J461*(Y461/H461),"0")</f>
        <v>6.953125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444.44444444444446</v>
      </c>
      <c r="Y464" s="43">
        <f>IFERROR(Y461/H461,"0")+IFERROR(Y462/H462,"0")+IFERROR(Y463/H463,"0")</f>
        <v>445</v>
      </c>
      <c r="Z464" s="43">
        <f>IFERROR(IF(Z461="",0,Z461),"0")+IFERROR(IF(Z462="",0,Z462),"0")+IFERROR(IF(Z463="",0,Z463),"0")</f>
        <v>8.4460999999999995</v>
      </c>
      <c r="AA464" s="67"/>
      <c r="AB464" s="67"/>
      <c r="AC464" s="67"/>
    </row>
    <row r="465" spans="1:68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4000</v>
      </c>
      <c r="Y465" s="43">
        <f>IFERROR(SUM(Y461:Y463),"0")</f>
        <v>4005</v>
      </c>
      <c r="Z465" s="42"/>
      <c r="AA465" s="67"/>
      <c r="AB465" s="67"/>
      <c r="AC465" s="67"/>
    </row>
    <row r="466" spans="1:68" ht="27.75" hidden="1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4000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4005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4219.5555555555557</v>
      </c>
      <c r="Y552" s="43">
        <f>IFERROR(SUM(BN22:BN548),"0")</f>
        <v>4224.83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7</v>
      </c>
      <c r="Y553" s="44">
        <f>ROUNDUP(SUM(BP22:BP548),0)</f>
        <v>7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4394.5555555555557</v>
      </c>
      <c r="Y554" s="43">
        <f>GrossWeightTotalR+PalletQtyTotalR*25</f>
        <v>4399.83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444.44444444444446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445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8.4460999999999995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0</v>
      </c>
      <c r="W561" s="52">
        <f>IFERROR(Y452*1,"0")+IFERROR(Y453*1,"0")+IFERROR(Y457*1,"0")+IFERROR(Y461*1,"0")+IFERROR(Y462*1,"0")+IFERROR(Y463*1,"0")</f>
        <v>4005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4 000,00"/>
        <filter val="4 219,56"/>
        <filter val="4 394,56"/>
        <filter val="444,44"/>
        <filter val="7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2026-07-28T12:30:57Z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