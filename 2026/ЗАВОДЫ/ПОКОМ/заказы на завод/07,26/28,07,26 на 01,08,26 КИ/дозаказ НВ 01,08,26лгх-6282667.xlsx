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1933EC3-64D8-49DB-9C85-B68C406A4B7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Y491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Z424" i="2"/>
  <c r="Y424" i="2"/>
  <c r="BP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Y418" i="2" s="1"/>
  <c r="P416" i="2"/>
  <c r="BO415" i="2"/>
  <c r="BM415" i="2"/>
  <c r="Z415" i="2"/>
  <c r="Y415" i="2"/>
  <c r="P415" i="2"/>
  <c r="BO414" i="2"/>
  <c r="BM414" i="2"/>
  <c r="Y414" i="2"/>
  <c r="BP414" i="2" s="1"/>
  <c r="P414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Z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M345" i="2"/>
  <c r="Z345" i="2"/>
  <c r="Y345" i="2"/>
  <c r="BN345" i="2" s="1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Z326" i="2"/>
  <c r="Y326" i="2"/>
  <c r="BN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M202" i="2"/>
  <c r="Y202" i="2"/>
  <c r="Y204" i="2" s="1"/>
  <c r="P202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O181" i="2"/>
  <c r="BM181" i="2"/>
  <c r="Y181" i="2"/>
  <c r="BN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P147" i="2"/>
  <c r="BO147" i="2"/>
  <c r="BN147" i="2"/>
  <c r="BM147" i="2"/>
  <c r="Y147" i="2"/>
  <c r="Z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H9" i="2" s="1"/>
  <c r="D7" i="2"/>
  <c r="Q6" i="2"/>
  <c r="P2" i="2"/>
  <c r="BN244" i="2" l="1"/>
  <c r="BP77" i="2"/>
  <c r="BP181" i="2"/>
  <c r="BN429" i="2"/>
  <c r="BN88" i="2"/>
  <c r="BN321" i="2"/>
  <c r="BN104" i="2"/>
  <c r="BP285" i="2"/>
  <c r="Z357" i="2"/>
  <c r="BN315" i="2"/>
  <c r="BN394" i="2"/>
  <c r="BN142" i="2"/>
  <c r="BN269" i="2"/>
  <c r="BN357" i="2"/>
  <c r="BP394" i="2"/>
  <c r="Z65" i="2"/>
  <c r="BP234" i="2"/>
  <c r="Y316" i="2"/>
  <c r="BP409" i="2"/>
  <c r="Z441" i="2"/>
  <c r="BN214" i="2"/>
  <c r="BP350" i="2"/>
  <c r="Z106" i="2"/>
  <c r="Y124" i="2"/>
  <c r="Z287" i="2"/>
  <c r="Y323" i="2"/>
  <c r="Z139" i="2"/>
  <c r="Y200" i="2"/>
  <c r="BN210" i="2"/>
  <c r="BN462" i="2"/>
  <c r="BP121" i="2"/>
  <c r="BP287" i="2"/>
  <c r="BN351" i="2"/>
  <c r="Z382" i="2"/>
  <c r="BN515" i="2"/>
  <c r="BN202" i="2"/>
  <c r="Y32" i="2"/>
  <c r="BP358" i="2"/>
  <c r="Y505" i="2"/>
  <c r="Z329" i="2"/>
  <c r="Y490" i="2"/>
  <c r="Z495" i="2"/>
  <c r="Z499" i="2"/>
  <c r="BN35" i="2"/>
  <c r="Y125" i="2"/>
  <c r="BN148" i="2"/>
  <c r="BN235" i="2"/>
  <c r="BP402" i="2"/>
  <c r="Y464" i="2"/>
  <c r="Z469" i="2"/>
  <c r="Z487" i="2"/>
  <c r="Z490" i="2" s="1"/>
  <c r="Z24" i="2"/>
  <c r="Z29" i="2"/>
  <c r="Z181" i="2"/>
  <c r="BN226" i="2"/>
  <c r="Y298" i="2"/>
  <c r="BN495" i="2"/>
  <c r="BN499" i="2"/>
  <c r="BP529" i="2"/>
  <c r="BP156" i="2"/>
  <c r="BP242" i="2"/>
  <c r="Y411" i="2"/>
  <c r="Y36" i="2"/>
  <c r="BN54" i="2"/>
  <c r="BN91" i="2"/>
  <c r="Z98" i="2"/>
  <c r="BN120" i="2"/>
  <c r="BN282" i="2"/>
  <c r="Z375" i="2"/>
  <c r="Z396" i="2"/>
  <c r="BP487" i="2"/>
  <c r="BP495" i="2"/>
  <c r="BP29" i="2"/>
  <c r="Y511" i="2"/>
  <c r="BN470" i="2"/>
  <c r="BN519" i="2"/>
  <c r="BN23" i="2"/>
  <c r="Z88" i="2"/>
  <c r="Z178" i="2"/>
  <c r="BN452" i="2"/>
  <c r="BN488" i="2"/>
  <c r="BN500" i="2"/>
  <c r="BN533" i="2"/>
  <c r="BP496" i="2"/>
  <c r="X550" i="2"/>
  <c r="BP78" i="2"/>
  <c r="Y170" i="2"/>
  <c r="Z350" i="2"/>
  <c r="BN424" i="2"/>
  <c r="Z501" i="2"/>
  <c r="Z31" i="2"/>
  <c r="BN154" i="2"/>
  <c r="BN42" i="2"/>
  <c r="Y92" i="2"/>
  <c r="BN179" i="2"/>
  <c r="Z198" i="2"/>
  <c r="Z199" i="2" s="1"/>
  <c r="BN288" i="2"/>
  <c r="BN303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547" i="2"/>
  <c r="Z548" i="2" s="1"/>
  <c r="R560" i="2"/>
  <c r="BN483" i="2"/>
  <c r="BN529" i="2"/>
  <c r="Z212" i="2"/>
  <c r="Z233" i="2"/>
  <c r="Z243" i="2"/>
  <c r="Z276" i="2"/>
  <c r="Z286" i="2"/>
  <c r="Z296" i="2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81" i="2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X553" i="2" l="1"/>
  <c r="Z297" i="2"/>
  <c r="Z99" i="2"/>
  <c r="Z109" i="2"/>
  <c r="Z385" i="2"/>
  <c r="Z391" i="2"/>
  <c r="Z398" i="2"/>
  <c r="Z504" i="2"/>
  <c r="Z479" i="2"/>
  <c r="Z417" i="2"/>
  <c r="Z378" i="2"/>
  <c r="Z368" i="2"/>
  <c r="Z442" i="2"/>
  <c r="Z520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<sst xmlns="http://schemas.openxmlformats.org/spreadsheetml/2006/main" count="4221" uniqueCount="909">
  <si>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</si>
  <si>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</si>
  <si>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</si>
  <si>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</si>
  <si>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</si>
  <si>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</si>
  <si>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</si>
  <si>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</si>
  <si>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</si>
  <si>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</si>
  <si>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</si>
  <si>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</si>
  <si>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</si>
  <si>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</si>
  <si>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</si>
  <si>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</si>
  <si>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</si>
  <si>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</si>
  <si>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</si>
  <si>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</si>
  <si>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</si>
  <si>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</si>
  <si>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</si>
  <si>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</si>
  <si>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</si>
  <si>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</si>
  <si>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</si>
  <si>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</si>
  <si>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</si>
  <si>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</si>
  <si>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</si>
  <si>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</si>
  <si>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</si>
  <si>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</si>
  <si>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</si>
  <si>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</si>
  <si>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</si>
  <si>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</si>
  <si>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</si>
  <si>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</si>
  <si>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</si>
  <si>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</si>
  <si>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</si>
  <si>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</si>
  <si>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</si>
  <si>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</si>
  <si>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</si>
  <si>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</si>
  <si>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</si>
  <si>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</si>
  <si>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</si>
  <si>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</si>
  <si>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</si>
  <si>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</si>
  <si>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</si>
  <si>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</si>
  <si>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</si>
  <si>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</si>
  <si>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</si>
  <si>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</si>
  <si>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</si>
  <si>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</si>
  <si>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</si>
  <si>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</si>
  <si>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</si>
  <si>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</si>
  <si>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</si>
  <si>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</si>
  <si>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</si>
  <si>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</si>
  <si>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</si>
  <si>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</si>
  <si>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</si>
  <si>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</si>
  <si>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</si>
  <si>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</si>
  <si>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</si>
  <si>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</si>
  <si>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</si>
  <si>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</si>
  <si>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</si>
  <si>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</si>
  <si>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</si>
  <si>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</si>
  <si>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</si>
  <si>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</si>
  <si>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</si>
  <si>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</si>
  <si>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</si>
  <si>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</si>
  <si>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</si>
  <si>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</si>
  <si>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</si>
  <si>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</si>
  <si>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</si>
  <si>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</si>
  <si>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</si>
  <si>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</si>
  <si>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</si>
  <si>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</si>
  <si>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</si>
  <si>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</si>
  <si>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</si>
  <si>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</si>
  <si>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</si>
  <si>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</si>
  <si>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</si>
  <si>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</si>
  <si>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</si>
  <si>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</si>
  <si>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</si>
  <si>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</si>
  <si>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</si>
  <si>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</si>
  <si>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</si>
  <si>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</si>
  <si>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</si>
  <si>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</si>
  <si>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</si>
  <si>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</si>
  <si>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</si>
  <si>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</si>
  <si>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</si>
  <si>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</si>
  <si>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</si>
  <si>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</si>
  <si>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</si>
  <si>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</si>
  <si>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</si>
  <si>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</si>
  <si>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</si>
  <si>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</si>
  <si>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</si>
  <si>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</si>
  <si>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</si>
  <si>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</si>
  <si>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</si>
  <si>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</si>
  <si>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</si>
  <si>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</si>
  <si>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</si>
  <si>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</si>
  <si>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</si>
  <si>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</si>
  <si>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</si>
  <si>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</si>
  <si>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</si>
  <si>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</si>
  <si>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</si>
  <si>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</si>
  <si>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</si>
  <si>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</si>
  <si>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</si>
  <si>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</si>
  <si>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</si>
  <si>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</si>
  <si>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</si>
  <si>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</si>
  <si>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</si>
  <si>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</si>
  <si>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</si>
  <si>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</si>
  <si>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</si>
  <si>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</si>
  <si>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</si>
  <si>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</si>
  <si>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</si>
  <si>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</si>
  <si>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</si>
  <si>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</si>
  <si>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</si>
  <si>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</si>
  <si>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</si>
  <si>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</si>
  <si>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</si>
  <si>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</si>
  <si>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</si>
  <si>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</si>
  <si>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</si>
  <si>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</si>
  <si>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</si>
  <si>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</si>
  <si>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</si>
  <si>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</si>
  <si>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</si>
  <si>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</si>
  <si>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</si>
  <si>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</si>
  <si>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</si>
  <si>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</si>
  <si>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</si>
  <si>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</si>
  <si>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</si>
  <si>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</si>
  <si>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</si>
  <si>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</si>
  <si>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</si>
  <si>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</si>
  <si>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</si>
  <si>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</si>
  <si>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</si>
  <si>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</si>
  <si>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</si>
  <si>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</si>
  <si>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</si>
  <si>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</si>
  <si>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</si>
  <si>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</si>
  <si>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</si>
  <si>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</si>
  <si>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</si>
  <si>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</si>
  <si>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</si>
  <si>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</si>
  <si>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</si>
  <si>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</si>
  <si>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</si>
  <si>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</si>
  <si>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</si>
  <si>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</si>
  <si>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</si>
  <si>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</si>
  <si>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</si>
  <si>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</si>
  <si>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</si>
  <si>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</si>
  <si>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</si>
  <si>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</si>
  <si>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</si>
  <si>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</si>
  <si>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</si>
  <si>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</si>
  <si>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</si>
  <si>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</si>
  <si>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</si>
  <si>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</si>
  <si>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</si>
  <si>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</si>
  <si>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</si>
  <si>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</si>
  <si>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</si>
  <si>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</si>
  <si>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</si>
  <si>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</si>
  <si>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</si>
  <si>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</si>
  <si>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</si>
  <si>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</si>
  <si>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</si>
  <si>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</si>
  <si>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</si>
  <si>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</si>
  <si>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</si>
  <si>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</si>
  <si>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</si>
  <si>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</si>
  <si>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</si>
  <si>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</si>
  <si>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</si>
  <si>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</si>
  <si>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</si>
  <si>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</si>
  <si>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</si>
  <si>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</si>
  <si>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</si>
  <si>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</si>
  <si>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</si>
  <si>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</si>
  <si>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</si>
  <si>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</si>
  <si>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</si>
  <si>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</si>
  <si>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</si>
  <si>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</si>
  <si>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</si>
  <si>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</si>
  <si>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</si>
  <si>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</si>
  <si>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</si>
  <si>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</si>
  <si>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</si>
  <si>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</si>
  <si>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</si>
  <si>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</si>
  <si>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</si>
  <si>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</si>
  <si>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</si>
  <si>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</si>
  <si>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</si>
  <si>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</si>
  <si>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</si>
  <si>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</si>
  <si>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</si>
  <si>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</si>
  <si>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</si>
  <si>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</si>
  <si>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</si>
  <si>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</si>
  <si>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</si>
  <si>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</si>
  <si>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</si>
  <si>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</si>
  <si>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</si>
  <si>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</si>
  <si>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</si>
  <si>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</si>
  <si>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</si>
  <si>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</si>
  <si>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</si>
  <si>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</si>
  <si>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</si>
  <si>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</si>
  <si>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</si>
  <si>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</si>
  <si>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</si>
  <si>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</si>
  <si>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</si>
  <si>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</si>
  <si>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</si>
  <si>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</si>
  <si>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</si>
  <si>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</si>
  <si>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</si>
  <si>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</si>
  <si>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</si>
  <si>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</si>
  <si>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</si>
  <si>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</si>
  <si>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</si>
  <si>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</si>
  <si>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</si>
  <si>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</si>
  <si>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</si>
  <si>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</si>
  <si>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</si>
  <si>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</si>
  <si>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</si>
  <si>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</si>
  <si>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</si>
  <si>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</si>
  <si>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</si>
  <si>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</si>
  <si>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</si>
  <si>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</si>
  <si>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</si>
  <si>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</si>
  <si>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</si>
  <si>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</si>
  <si>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</si>
  <si>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</si>
  <si>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</si>
  <si>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</si>
  <si>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</si>
  <si>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</si>
  <si>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</si>
  <si>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</si>
  <si>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</si>
  <si>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</si>
  <si>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</si>
  <si>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</si>
  <si>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</si>
  <si>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</si>
  <si>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</si>
  <si>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</si>
  <si>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</si>
  <si>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</si>
  <si>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</si>
  <si>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</si>
  <si>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</si>
  <si>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</si>
  <si>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</si>
  <si>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</si>
  <si>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</si>
  <si>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</si>
  <si>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</si>
  <si>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</si>
  <si>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</si>
  <si>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</si>
  <si>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</si>
  <si>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</si>
  <si>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</si>
  <si>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</si>
  <si>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</si>
  <si>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</si>
  <si>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</si>
  <si>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</si>
  <si>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</si>
  <si>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</si>
  <si>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</si>
  <si>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</si>
  <si>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</si>
  <si>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</si>
  <si>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</si>
  <si>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</si>
  <si>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</si>
  <si>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</si>
  <si>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</si>
  <si>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</si>
  <si>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</si>
  <si>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</si>
  <si>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</si>
  <si>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</si>
  <si>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</si>
  <si>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</si>
  <si>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</si>
  <si>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</si>
  <si>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</si>
  <si>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</si>
  <si>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</si>
  <si>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</si>
  <si>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</si>
  <si>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</si>
  <si>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</si>
  <si>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</si>
  <si>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</si>
  <si>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</si>
  <si>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</si>
  <si>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</si>
  <si>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</si>
  <si>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</si>
  <si>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</si>
  <si>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</si>
  <si>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</si>
  <si>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</si>
  <si>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</si>
  <si>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</si>
  <si>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</si>
  <si>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</si>
  <si>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</si>
  <si>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</si>
  <si>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</si>
  <si>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</si>
  <si>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</si>
  <si>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</si>
  <si>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</si>
  <si>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</si>
  <si>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</si>
  <si>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</si>
  <si>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</si>
  <si>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</si>
  <si>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</si>
  <si>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</si>
  <si>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</si>
  <si>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</si>
  <si>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</si>
  <si>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</si>
  <si>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</si>
  <si>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</si>
  <si>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</si>
  <si>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</si>
  <si>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</si>
  <si>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</si>
  <si>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</si>
  <si>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</si>
  <si>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</si>
  <si>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</si>
  <si>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</si>
  <si>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</si>
  <si>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</si>
  <si>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</si>
  <si>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</si>
  <si>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</si>
  <si>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</si>
  <si>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</si>
  <si>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</si>
  <si>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</si>
  <si>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</si>
  <si>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</si>
  <si>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</si>
  <si>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</si>
  <si>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</si>
  <si>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</si>
  <si>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</si>
  <si>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</si>
  <si>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</si>
  <si>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</si>
  <si>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</si>
  <si>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</si>
  <si>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</si>
  <si>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</si>
  <si>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</si>
  <si>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</si>
  <si>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</si>
  <si>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</si>
  <si>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</si>
  <si>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</si>
  <si>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</si>
  <si>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</si>
  <si>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</si>
  <si>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</si>
  <si>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</si>
  <si>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</si>
  <si>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</si>
  <si>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</si>
  <si>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</si>
  <si>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</si>
  <si>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</si>
  <si>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</si>
  <si>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</si>
  <si>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</si>
  <si>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</si>
  <si>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</si>
  <si>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</si>
  <si>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</si>
  <si>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</si>
  <si>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</si>
  <si>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</si>
  <si>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</si>
  <si>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</si>
  <si>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</si>
  <si>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</si>
  <si>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</si>
  <si>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</si>
  <si>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</si>
  <si>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</si>
  <si>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</si>
  <si>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</si>
  <si>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</si>
  <si>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</si>
  <si>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</si>
  <si>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</si>
  <si>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</si>
  <si>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</si>
  <si>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</si>
  <si>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</si>
  <si>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</si>
  <si>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</si>
  <si>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</si>
  <si>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</si>
  <si>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</si>
  <si>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</si>
  <si>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</si>
  <si>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</si>
  <si>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</si>
  <si>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</si>
  <si>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</si>
  <si>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</si>
  <si>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</si>
  <si>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</si>
  <si>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</si>
  <si>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</si>
  <si>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</si>
  <si>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</si>
  <si>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</si>
  <si>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</si>
  <si>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</si>
  <si>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</si>
  <si>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</si>
  <si>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</si>
  <si>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</si>
  <si>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</si>
  <si>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</si>
  <si>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</si>
  <si>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</si>
  <si>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</si>
  <si>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</si>
  <si>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</si>
  <si>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</si>
  <si>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</si>
  <si>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</si>
  <si>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</si>
  <si>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</si>
  <si>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</si>
  <si>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</si>
  <si>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</si>
  <si>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</si>
  <si>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</si>
  <si>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</si>
  <si>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</si>
  <si>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</si>
  <si>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</si>
  <si>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</si>
  <si>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</si>
  <si>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</si>
  <si>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</si>
  <si>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</si>
  <si>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</si>
  <si>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</si>
  <si>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</si>
  <si>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</si>
  <si>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</si>
  <si>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</si>
  <si>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</si>
  <si>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</si>
  <si>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</si>
  <si>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</si>
  <si>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</si>
  <si>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</si>
  <si>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</si>
  <si>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</si>
  <si>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</si>
  <si>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</si>
  <si>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</si>
  <si>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</si>
  <si>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</si>
  <si>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</si>
  <si>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</si>
  <si>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</si>
  <si>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</si>
  <si>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</si>
  <si>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</si>
  <si>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</si>
  <si>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</si>
  <si>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</si>
  <si>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</si>
  <si>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</si>
  <si>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</si>
  <si>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</si>
  <si>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</si>
  <si>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</si>
  <si>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</si>
  <si>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</si>
  <si>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</si>
  <si>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</si>
  <si>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</si>
  <si>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</si>
  <si>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</si>
  <si>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</si>
  <si>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</si>
  <si>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</si>
  <si>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</si>
  <si>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</si>
  <si>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</si>
  <si>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</si>
  <si>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</si>
  <si>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</si>
  <si>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</si>
  <si>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</si>
  <si>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</si>
  <si>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</si>
  <si>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</si>
  <si>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</si>
  <si>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</si>
  <si>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</si>
  <si>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</si>
  <si>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</si>
  <si>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</si>
  <si>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</si>
  <si>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</si>
  <si>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</si>
  <si>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</si>
  <si>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</si>
  <si>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</si>
  <si>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</si>
  <si>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</si>
  <si>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</si>
  <si>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</si>
  <si>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</si>
  <si>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</si>
  <si>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</si>
  <si>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</si>
  <si>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</si>
  <si>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</si>
  <si>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</si>
  <si>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</si>
  <si>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</si>
  <si>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</si>
  <si>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</si>
  <si>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</si>
  <si>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</si>
  <si>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</si>
  <si>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</si>
  <si>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</si>
  <si>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</si>
  <si>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</si>
  <si>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</si>
  <si>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</si>
  <si>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</si>
  <si>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</si>
  <si>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</si>
  <si>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</si>
  <si>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</si>
  <si>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</si>
  <si>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</si>
  <si>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</si>
  <si>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</si>
  <si>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</si>
  <si>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</si>
  <si>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</si>
  <si>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</si>
  <si>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</si>
  <si>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</si>
  <si>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</si>
  <si>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</si>
  <si>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</si>
  <si>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</si>
  <si>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</si>
  <si>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</si>
  <si>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</si>
  <si>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</si>
  <si>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</si>
  <si>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</si>
  <si>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</si>
  <si>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</si>
  <si>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</si>
  <si>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</si>
  <si>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</si>
  <si>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</si>
  <si>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</si>
  <si>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</si>
  <si>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</si>
  <si>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</si>
  <si>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</si>
  <si>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</si>
  <si>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</si>
  <si>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</si>
  <si>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</si>
  <si>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</si>
  <si>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</si>
  <si>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</si>
  <si>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</si>
  <si>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</si>
  <si>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</si>
  <si>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</si>
  <si>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</si>
  <si>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</si>
  <si>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</si>
  <si>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</si>
  <si>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</si>
  <si>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</si>
  <si>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</si>
  <si>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</si>
  <si>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</si>
  <si>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</si>
  <si>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</si>
  <si>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</si>
  <si>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</si>
  <si>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</si>
  <si>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</si>
  <si>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</si>
  <si>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</si>
  <si>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</si>
  <si>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</si>
  <si>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</si>
  <si>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</si>
  <si>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</si>
  <si>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</si>
  <si>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</si>
  <si>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</si>
  <si>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</si>
  <si>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</si>
  <si>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</si>
  <si>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</si>
  <si>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</si>
  <si>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</si>
  <si>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</si>
  <si>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</si>
  <si>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</si>
  <si>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</si>
  <si>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</si>
  <si>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</si>
  <si>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</si>
  <si>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</si>
  <si>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</si>
  <si>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</si>
  <si>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</si>
  <si>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</si>
  <si>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</si>
  <si>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</si>
  <si>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</si>
  <si>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</si>
  <si>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</si>
  <si>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</si>
  <si>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</si>
  <si>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</si>
  <si>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</si>
  <si>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</si>
  <si>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</si>
  <si>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</si>
  <si>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</si>
  <si>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</si>
  <si>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</si>
  <si>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</si>
  <si>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</si>
  <si>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</si>
  <si>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</si>
  <si>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</si>
  <si>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</si>
  <si>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</si>
  <si>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</si>
  <si>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</si>
  <si>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</si>
  <si>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</si>
  <si>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</si>
  <si>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</si>
  <si>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</si>
  <si>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</si>
  <si>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</si>
  <si>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</si>
  <si>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</si>
  <si>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</si>
  <si>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</si>
  <si>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</si>
  <si>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</si>
  <si>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</si>
  <si>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</si>
  <si>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</si>
  <si>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</si>
  <si>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</si>
  <si>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</si>
  <si>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</si>
  <si>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</si>
  <si>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</si>
  <si>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</si>
  <si>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</si>
  <si>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</si>
  <si>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</si>
  <si>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</si>
  <si>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</si>
  <si>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</si>
  <si>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</si>
  <si>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</si>
  <si>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</si>
  <si>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</si>
  <si>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</si>
  <si>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</si>
  <si>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</si>
  <si>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</si>
  <si>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</si>
  <si>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</si>
  <si>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</si>
  <si>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</si>
  <si>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</si>
  <si>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</si>
  <si>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</si>
  <si>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</si>
  <si>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</si>
  <si>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</si>
  <si>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</si>
  <si>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</si>
  <si>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</si>
  <si>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</si>
  <si>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</si>
  <si>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</si>
  <si>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</si>
  <si>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</si>
  <si>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</si>
  <si>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</si>
  <si>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</si>
  <si>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</si>
  <si>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</si>
  <si>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</si>
  <si>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</si>
  <si>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</si>
  <si>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</si>
  <si>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</si>
  <si>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</si>
  <si>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</si>
  <si>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</si>
  <si>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</si>
  <si>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</si>
  <si>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</si>
  <si>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</si>
  <si>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</si>
  <si>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</si>
  <si>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</si>
  <si>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</si>
  <si>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</si>
  <si>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</si>
  <si>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</si>
  <si>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</si>
  <si>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</si>
  <si>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</si>
  <si>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</si>
  <si>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</si>
  <si>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</si>
  <si>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</si>
  <si>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</si>
  <si>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</si>
  <si>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</si>
  <si>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</si>
  <si>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</si>
  <si>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</si>
  <si>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</si>
  <si>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</si>
  <si>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</si>
  <si>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</si>
  <si>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</si>
  <si>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</si>
  <si>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</si>
  <si>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</si>
  <si>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</si>
  <si>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</si>
  <si>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</si>
  <si>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</si>
  <si>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</si>
  <si>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</si>
  <si>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</si>
  <si>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</si>
  <si>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</si>
  <si>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</si>
  <si>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</si>
  <si>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</si>
  <si>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</si>
  <si>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</si>
  <si>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</si>
  <si>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</si>
  <si>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</si>
  <si>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</si>
  <si>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</si>
  <si>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</si>
  <si>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</si>
  <si>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</si>
  <si>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</si>
  <si>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</si>
  <si>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</si>
  <si>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</si>
  <si>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6282667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</si>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</sst>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66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67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 t="s">
        <v>907</v>
      </c>
      <c r="I5" s="986"/>
      <c r="J5" s="986"/>
      <c r="K5" s="986"/>
      <c r="L5" s="986"/>
      <c r="M5" s="986"/>
      <c r="N5" s="69"/>
      <c r="P5" s="26" t="s">
        <v>4</v>
      </c>
      <c r="Q5" s="988">
        <v>46235</v>
      </c>
      <c r="R5" s="988"/>
      <c r="T5" s="989" t="s">
        <v>3</v>
      </c>
      <c r="U5" s="990"/>
      <c r="V5" s="991" t="s">
        <v>867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 t="s">
        <v>883</v>
      </c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Суббота</v>
      </c>
      <c r="R6" s="966"/>
      <c r="T6" s="967" t="s">
        <v>5</v>
      </c>
      <c r="U6" s="968"/>
      <c r="V6" s="969" t="s">
        <v>69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 t="str">
        <f>IFERROR(VLOOKUP(DeliveryAddress,Table,3,0),1)</f>
        <v>6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57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0.66666666666666663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70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908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71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72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73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74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60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58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65</v>
      </c>
      <c r="L17" s="925" t="s">
        <v>63</v>
      </c>
      <c r="M17" s="925" t="s">
        <v>2</v>
      </c>
      <c r="N17" s="925" t="s">
        <v>62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55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59</v>
      </c>
      <c r="AB17" s="931" t="s">
        <v>19</v>
      </c>
      <c r="AC17" s="931" t="s">
        <v>64</v>
      </c>
      <c r="AD17" s="933" t="s">
        <v>56</v>
      </c>
      <c r="AE17" s="934"/>
      <c r="AF17" s="935"/>
      <c r="AG17" s="77"/>
      <c r="BD17" s="76" t="s">
        <v>61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hidden="1" customHeight="1" x14ac:dyDescent="0.2">
      <c r="A19" s="655" t="s">
        <v>75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hidden="1" customHeight="1" x14ac:dyDescent="0.25">
      <c r="A20" s="648" t="s">
        <v>75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hidden="1" customHeight="1" x14ac:dyDescent="0.25">
      <c r="A21" s="649" t="s">
        <v>76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9" t="s">
        <v>85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49" t="s">
        <v>103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hidden="1" customHeight="1" x14ac:dyDescent="0.25">
      <c r="A39" s="648" t="s">
        <v>109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hidden="1" customHeight="1" x14ac:dyDescent="0.25">
      <c r="A40" s="649" t="s">
        <v>85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5" t="s">
        <v>125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hidden="1" customHeight="1" x14ac:dyDescent="0.25">
      <c r="A49" s="648" t="s">
        <v>126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hidden="1" customHeight="1" x14ac:dyDescent="0.25">
      <c r="A50" s="649" t="s">
        <v>127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48" t="s">
        <v>142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hidden="1" customHeight="1" x14ac:dyDescent="0.25">
      <c r="A58" s="649" t="s">
        <v>127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49" t="s">
        <v>163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49" t="s">
        <v>85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49" t="s">
        <v>180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48" t="s">
        <v>187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hidden="1" customHeight="1" x14ac:dyDescent="0.25">
      <c r="A87" s="649" t="s">
        <v>127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49" t="s">
        <v>85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48" t="s">
        <v>208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hidden="1" customHeight="1" x14ac:dyDescent="0.25">
      <c r="A102" s="649" t="s">
        <v>127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9" t="s">
        <v>163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9" t="s">
        <v>85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9" t="s">
        <v>180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8" t="s">
        <v>247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hidden="1" customHeight="1" x14ac:dyDescent="0.25">
      <c r="A131" s="649" t="s">
        <v>127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49" t="s">
        <v>76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49" t="s">
        <v>85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48" t="s">
        <v>275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hidden="1" customHeight="1" x14ac:dyDescent="0.25">
      <c r="A153" s="649" t="s">
        <v>85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49" t="s">
        <v>103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48" t="s">
        <v>125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hidden="1" customHeight="1" x14ac:dyDescent="0.25">
      <c r="A165" s="649" t="s">
        <v>127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49" t="s">
        <v>163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49" t="s">
        <v>304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49" t="s">
        <v>76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49" t="s">
        <v>85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49" t="s">
        <v>103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49" t="s">
        <v>353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5" t="s">
        <v>357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hidden="1" customHeight="1" x14ac:dyDescent="0.25">
      <c r="A206" s="648" t="s">
        <v>358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hidden="1" customHeight="1" x14ac:dyDescent="0.25">
      <c r="A207" s="649" t="s">
        <v>127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48" t="s">
        <v>379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hidden="1" customHeight="1" x14ac:dyDescent="0.25">
      <c r="A218" s="649" t="s">
        <v>163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49" t="s">
        <v>76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49" t="s">
        <v>85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49" t="s">
        <v>103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49" t="s">
        <v>443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48" t="s">
        <v>446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hidden="1" customHeight="1" x14ac:dyDescent="0.25">
      <c r="A258" s="649" t="s">
        <v>127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49" t="s">
        <v>163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49" t="s">
        <v>76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49" t="s">
        <v>85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49" t="s">
        <v>180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48" t="s">
        <v>514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hidden="1" customHeight="1" x14ac:dyDescent="0.25">
      <c r="A300" s="649" t="s">
        <v>127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49" t="s">
        <v>163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49" t="s">
        <v>536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49" t="s">
        <v>353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48" t="s">
        <v>547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hidden="1" customHeight="1" x14ac:dyDescent="0.25">
      <c r="A325" s="649" t="s">
        <v>127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48" t="s">
        <v>563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hidden="1" customHeight="1" x14ac:dyDescent="0.25">
      <c r="A334" s="649" t="s">
        <v>85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48" t="s">
        <v>572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hidden="1" customHeight="1" x14ac:dyDescent="0.25">
      <c r="A341" s="649" t="s">
        <v>76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49" t="s">
        <v>85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48" t="s">
        <v>593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hidden="1" customHeight="1" x14ac:dyDescent="0.25">
      <c r="A355" s="649" t="s">
        <v>127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48" t="s">
        <v>602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hidden="1" customHeight="1" x14ac:dyDescent="0.25">
      <c r="A362" s="649" t="s">
        <v>127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hidden="1" customHeight="1" x14ac:dyDescent="0.25">
      <c r="A364" s="60" t="s">
        <v>606</v>
      </c>
      <c r="B364" s="60" t="s">
        <v>607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89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139</v>
      </c>
      <c r="L366" s="35" t="s">
        <v>46</v>
      </c>
      <c r="M366" s="36" t="s">
        <v>131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605</v>
      </c>
      <c r="AG366" s="75"/>
      <c r="AJ366" s="79" t="s">
        <v>46</v>
      </c>
      <c r="AK366" s="79">
        <v>0</v>
      </c>
      <c r="BB366" s="454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616</v>
      </c>
      <c r="AG367" s="75"/>
      <c r="AJ367" s="79" t="s">
        <v>46</v>
      </c>
      <c r="AK367" s="79">
        <v>0</v>
      </c>
      <c r="BB367" s="456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49" t="s">
        <v>76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hidden="1" customHeight="1" x14ac:dyDescent="0.25">
      <c r="A371" s="60" t="s">
        <v>617</v>
      </c>
      <c r="B371" s="60" t="s">
        <v>618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139</v>
      </c>
      <c r="L371" s="35" t="s">
        <v>46</v>
      </c>
      <c r="M371" s="36" t="s">
        <v>80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619</v>
      </c>
      <c r="AG371" s="75"/>
      <c r="AJ371" s="79" t="s">
        <v>46</v>
      </c>
      <c r="AK371" s="79">
        <v>0</v>
      </c>
      <c r="BB371" s="458" t="s">
        <v>66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hidden="1" customHeight="1" x14ac:dyDescent="0.25">
      <c r="A372" s="60" t="s">
        <v>620</v>
      </c>
      <c r="B372" s="60" t="s">
        <v>621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81</v>
      </c>
      <c r="L374" s="35" t="s">
        <v>46</v>
      </c>
      <c r="M374" s="36" t="s">
        <v>80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622</v>
      </c>
      <c r="AG374" s="75"/>
      <c r="AJ374" s="79" t="s">
        <v>46</v>
      </c>
      <c r="AK374" s="79">
        <v>0</v>
      </c>
      <c r="BB374" s="464" t="s">
        <v>66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630</v>
      </c>
      <c r="AG375" s="75"/>
      <c r="AJ375" s="79" t="s">
        <v>46</v>
      </c>
      <c r="AK375" s="79">
        <v>0</v>
      </c>
      <c r="BB375" s="466" t="s">
        <v>66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139</v>
      </c>
      <c r="L376" s="35" t="s">
        <v>46</v>
      </c>
      <c r="M376" s="36" t="s">
        <v>80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625</v>
      </c>
      <c r="AG376" s="75"/>
      <c r="AJ376" s="79" t="s">
        <v>46</v>
      </c>
      <c r="AK376" s="79">
        <v>0</v>
      </c>
      <c r="BB376" s="468" t="s">
        <v>66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hidden="1" customHeight="1" x14ac:dyDescent="0.25">
      <c r="A377" s="60" t="s">
        <v>633</v>
      </c>
      <c r="B377" s="60" t="s">
        <v>634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90</v>
      </c>
      <c r="L377" s="35" t="s">
        <v>46</v>
      </c>
      <c r="M377" s="36" t="s">
        <v>80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635</v>
      </c>
      <c r="AG377" s="75"/>
      <c r="AJ377" s="79" t="s">
        <v>46</v>
      </c>
      <c r="AK377" s="79">
        <v>0</v>
      </c>
      <c r="BB377" s="470" t="s">
        <v>66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hidden="1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hidden="1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hidden="1" customHeight="1" x14ac:dyDescent="0.25">
      <c r="A380" s="649" t="s">
        <v>85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hidden="1" customHeight="1" x14ac:dyDescent="0.25">
      <c r="A381" s="60" t="s">
        <v>636</v>
      </c>
      <c r="B381" s="60" t="s">
        <v>637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132</v>
      </c>
      <c r="L381" s="35" t="s">
        <v>46</v>
      </c>
      <c r="M381" s="36" t="s">
        <v>89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639</v>
      </c>
      <c r="B382" s="60" t="s">
        <v>640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90</v>
      </c>
      <c r="L384" s="35" t="s">
        <v>46</v>
      </c>
      <c r="M384" s="36" t="s">
        <v>89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638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idden="1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649" t="s">
        <v>180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hidden="1" customHeight="1" x14ac:dyDescent="0.25">
      <c r="A388" s="60" t="s">
        <v>647</v>
      </c>
      <c r="B388" s="60" t="s">
        <v>648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132</v>
      </c>
      <c r="L388" s="35" t="s">
        <v>46</v>
      </c>
      <c r="M388" s="36" t="s">
        <v>89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649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650</v>
      </c>
      <c r="B389" s="60" t="s">
        <v>651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hidden="1" customHeight="1" x14ac:dyDescent="0.25">
      <c r="A390" s="60" t="s">
        <v>653</v>
      </c>
      <c r="B390" s="60" t="s">
        <v>654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132</v>
      </c>
      <c r="L390" s="35" t="s">
        <v>46</v>
      </c>
      <c r="M390" s="36" t="s">
        <v>96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hidden="1" customHeight="1" x14ac:dyDescent="0.25">
      <c r="A393" s="649" t="s">
        <v>103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hidden="1" customHeight="1" x14ac:dyDescent="0.25">
      <c r="A394" s="60" t="s">
        <v>656</v>
      </c>
      <c r="B394" s="60" t="s">
        <v>657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139</v>
      </c>
      <c r="L394" s="35" t="s">
        <v>46</v>
      </c>
      <c r="M394" s="36" t="s">
        <v>108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658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659</v>
      </c>
      <c r="B395" s="60" t="s">
        <v>660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658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661</v>
      </c>
      <c r="B396" s="60" t="s">
        <v>662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90</v>
      </c>
      <c r="L396" s="35" t="s">
        <v>46</v>
      </c>
      <c r="M396" s="36" t="s">
        <v>108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658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663</v>
      </c>
      <c r="B397" s="60" t="s">
        <v>664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658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649" t="s">
        <v>665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hidden="1" customHeight="1" x14ac:dyDescent="0.25">
      <c r="A401" s="60" t="s">
        <v>666</v>
      </c>
      <c r="B401" s="60" t="s">
        <v>667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668</v>
      </c>
      <c r="AG401" s="75"/>
      <c r="AJ401" s="79" t="s">
        <v>46</v>
      </c>
      <c r="AK401" s="79">
        <v>0</v>
      </c>
      <c r="BB401" s="49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670</v>
      </c>
      <c r="B402" s="60" t="s">
        <v>671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669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668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672</v>
      </c>
      <c r="B403" s="60" t="s">
        <v>673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669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idden="1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hidden="1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hidden="1" customHeight="1" x14ac:dyDescent="0.25">
      <c r="A406" s="649" t="s">
        <v>674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hidden="1" customHeight="1" x14ac:dyDescent="0.25">
      <c r="A407" s="60" t="s">
        <v>675</v>
      </c>
      <c r="B407" s="60" t="s">
        <v>676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251</v>
      </c>
      <c r="AC407" s="499" t="s">
        <v>677</v>
      </c>
      <c r="AG407" s="75"/>
      <c r="AJ407" s="79" t="s">
        <v>46</v>
      </c>
      <c r="AK407" s="79">
        <v>0</v>
      </c>
      <c r="BB407" s="500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678</v>
      </c>
      <c r="B408" s="60" t="s">
        <v>679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139</v>
      </c>
      <c r="L408" s="35" t="s">
        <v>46</v>
      </c>
      <c r="M408" s="36" t="s">
        <v>669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90</v>
      </c>
      <c r="L409" s="35" t="s">
        <v>46</v>
      </c>
      <c r="M409" s="36" t="s">
        <v>669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251</v>
      </c>
      <c r="AC409" s="503" t="s">
        <v>677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hidden="1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hidden="1" customHeight="1" x14ac:dyDescent="0.25">
      <c r="A412" s="648" t="s">
        <v>683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hidden="1" customHeight="1" x14ac:dyDescent="0.25">
      <c r="A413" s="649" t="s">
        <v>85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hidden="1" customHeight="1" x14ac:dyDescent="0.25">
      <c r="A414" s="60" t="s">
        <v>684</v>
      </c>
      <c r="B414" s="60" t="s">
        <v>685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132</v>
      </c>
      <c r="L414" s="35" t="s">
        <v>46</v>
      </c>
      <c r="M414" s="36" t="s">
        <v>96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686</v>
      </c>
      <c r="AG414" s="75"/>
      <c r="AJ414" s="79" t="s">
        <v>46</v>
      </c>
      <c r="AK414" s="79">
        <v>0</v>
      </c>
      <c r="BB414" s="50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687</v>
      </c>
      <c r="B415" s="60" t="s">
        <v>688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90</v>
      </c>
      <c r="L415" s="35" t="s">
        <v>46</v>
      </c>
      <c r="M415" s="36" t="s">
        <v>89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90</v>
      </c>
      <c r="L416" s="35" t="s">
        <v>46</v>
      </c>
      <c r="M416" s="36" t="s">
        <v>96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hidden="1" customHeight="1" x14ac:dyDescent="0.2">
      <c r="A419" s="655" t="s">
        <v>693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hidden="1" customHeight="1" x14ac:dyDescent="0.25">
      <c r="A420" s="648" t="s">
        <v>694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hidden="1" customHeight="1" x14ac:dyDescent="0.25">
      <c r="A421" s="649" t="s">
        <v>127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hidden="1" customHeight="1" x14ac:dyDescent="0.25">
      <c r="A422" s="60" t="s">
        <v>695</v>
      </c>
      <c r="B422" s="60" t="s">
        <v>696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132</v>
      </c>
      <c r="L422" s="35" t="s">
        <v>46</v>
      </c>
      <c r="M422" s="36" t="s">
        <v>96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697</v>
      </c>
      <c r="AG422" s="75"/>
      <c r="AJ422" s="79" t="s">
        <v>46</v>
      </c>
      <c r="AK422" s="79">
        <v>0</v>
      </c>
      <c r="BB422" s="512" t="s">
        <v>66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698</v>
      </c>
      <c r="B423" s="60" t="s">
        <v>699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80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1100</v>
      </c>
      <c r="Y423" s="53">
        <f t="shared" si="47"/>
        <v>1110</v>
      </c>
      <c r="Z423" s="39">
        <f>IFERROR(IF(Y423=0,"",ROUNDUP(Y423/H423,0)*0.02175),"")</f>
        <v>1.6094999999999999</v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si="48"/>
        <v>1134.4666666666667</v>
      </c>
      <c r="BN423" s="75">
        <f t="shared" si="49"/>
        <v>1144.78</v>
      </c>
      <c r="BO423" s="75">
        <f t="shared" si="50"/>
        <v>1.5277777777777777</v>
      </c>
      <c r="BP423" s="75">
        <f t="shared" si="51"/>
        <v>1.5416666666666665</v>
      </c>
    </row>
    <row r="424" spans="1:68" ht="27" hidden="1" customHeight="1" x14ac:dyDescent="0.25">
      <c r="A424" s="60" t="s">
        <v>701</v>
      </c>
      <c r="B424" s="60" t="s">
        <v>702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704</v>
      </c>
      <c r="B425" s="60" t="s">
        <v>705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80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800</v>
      </c>
      <c r="Y425" s="53">
        <f t="shared" si="47"/>
        <v>810</v>
      </c>
      <c r="Z425" s="39">
        <f>IFERROR(IF(Y425=0,"",ROUNDUP(Y425/H425,0)*0.02175),"")</f>
        <v>1.1744999999999999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48"/>
        <v>825.06666666666672</v>
      </c>
      <c r="BN425" s="75">
        <f t="shared" si="49"/>
        <v>835.38</v>
      </c>
      <c r="BO425" s="75">
        <f t="shared" si="50"/>
        <v>1.1111111111111112</v>
      </c>
      <c r="BP425" s="75">
        <f t="shared" si="51"/>
        <v>1.125</v>
      </c>
    </row>
    <row r="426" spans="1:68" ht="27" customHeight="1" x14ac:dyDescent="0.25">
      <c r="A426" s="60" t="s">
        <v>707</v>
      </c>
      <c r="B426" s="60" t="s">
        <v>708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96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600</v>
      </c>
      <c r="Y426" s="53">
        <f t="shared" si="47"/>
        <v>600</v>
      </c>
      <c r="Z426" s="39">
        <f>IFERROR(IF(Y426=0,"",ROUNDUP(Y426/H426,0)*0.02175),"")</f>
        <v>0.86999999999999988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48"/>
        <v>618.79999999999995</v>
      </c>
      <c r="BN426" s="75">
        <f t="shared" si="49"/>
        <v>618.79999999999995</v>
      </c>
      <c r="BO426" s="75">
        <f t="shared" si="50"/>
        <v>0.83333333333333326</v>
      </c>
      <c r="BP426" s="75">
        <f t="shared" si="51"/>
        <v>0.83333333333333326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139</v>
      </c>
      <c r="L427" s="35" t="s">
        <v>46</v>
      </c>
      <c r="M427" s="36" t="s">
        <v>131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139</v>
      </c>
      <c r="L428" s="35" t="s">
        <v>46</v>
      </c>
      <c r="M428" s="36" t="s">
        <v>80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hidden="1" customHeight="1" x14ac:dyDescent="0.25">
      <c r="A429" s="60" t="s">
        <v>716</v>
      </c>
      <c r="B429" s="60" t="s">
        <v>717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166.66666666666666</v>
      </c>
      <c r="Y430" s="41">
        <f>IFERROR(Y422/H422,"0")+IFERROR(Y423/H423,"0")+IFERROR(Y424/H424,"0")+IFERROR(Y425/H425,"0")+IFERROR(Y426/H426,"0")+IFERROR(Y427/H427,"0")+IFERROR(Y428/H428,"0")+IFERROR(Y429/H429,"0")</f>
        <v>168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3.6539999999999999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2500</v>
      </c>
      <c r="Y431" s="41">
        <f>IFERROR(SUM(Y422:Y429),"0")</f>
        <v>2520</v>
      </c>
      <c r="Z431" s="40"/>
      <c r="AA431" s="64"/>
      <c r="AB431" s="64"/>
      <c r="AC431" s="64"/>
    </row>
    <row r="432" spans="1:68" ht="14.25" hidden="1" customHeight="1" x14ac:dyDescent="0.25">
      <c r="A432" s="649" t="s">
        <v>163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hidden="1" customHeight="1" x14ac:dyDescent="0.25">
      <c r="A433" s="60" t="s">
        <v>719</v>
      </c>
      <c r="B433" s="60" t="s">
        <v>720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132</v>
      </c>
      <c r="L433" s="35" t="s">
        <v>46</v>
      </c>
      <c r="M433" s="36" t="s">
        <v>131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721</v>
      </c>
      <c r="AG433" s="75"/>
      <c r="AJ433" s="79" t="s">
        <v>46</v>
      </c>
      <c r="AK433" s="79">
        <v>0</v>
      </c>
      <c r="BB433" s="528" t="s">
        <v>66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hidden="1" customHeight="1" x14ac:dyDescent="0.25">
      <c r="A434" s="60" t="s">
        <v>722</v>
      </c>
      <c r="B434" s="60" t="s">
        <v>723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139</v>
      </c>
      <c r="L435" s="35" t="s">
        <v>46</v>
      </c>
      <c r="M435" s="36" t="s">
        <v>131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hidden="1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49" t="s">
        <v>85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hidden="1" customHeight="1" x14ac:dyDescent="0.25">
      <c r="A439" s="60" t="s">
        <v>728</v>
      </c>
      <c r="B439" s="60" t="s">
        <v>729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132</v>
      </c>
      <c r="L439" s="35" t="s">
        <v>46</v>
      </c>
      <c r="M439" s="36" t="s">
        <v>89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730</v>
      </c>
      <c r="AG439" s="75"/>
      <c r="AJ439" s="79" t="s">
        <v>46</v>
      </c>
      <c r="AK439" s="79">
        <v>0</v>
      </c>
      <c r="BB439" s="53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hidden="1" customHeight="1" x14ac:dyDescent="0.25">
      <c r="A440" s="60" t="s">
        <v>731</v>
      </c>
      <c r="B440" s="60" t="s">
        <v>732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hidden="1" customHeight="1" x14ac:dyDescent="0.25">
      <c r="A441" s="60" t="s">
        <v>734</v>
      </c>
      <c r="B441" s="60" t="s">
        <v>735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132</v>
      </c>
      <c r="L441" s="35" t="s">
        <v>46</v>
      </c>
      <c r="M441" s="36" t="s">
        <v>89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hidden="1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hidden="1" customHeight="1" x14ac:dyDescent="0.25">
      <c r="A444" s="649" t="s">
        <v>180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hidden="1" customHeight="1" x14ac:dyDescent="0.25">
      <c r="A445" s="60" t="s">
        <v>737</v>
      </c>
      <c r="B445" s="60" t="s">
        <v>738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132</v>
      </c>
      <c r="L445" s="35" t="s">
        <v>46</v>
      </c>
      <c r="M445" s="36" t="s">
        <v>89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739</v>
      </c>
      <c r="AG445" s="75"/>
      <c r="AJ445" s="79" t="s">
        <v>46</v>
      </c>
      <c r="AK445" s="79">
        <v>0</v>
      </c>
      <c r="BB445" s="54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740</v>
      </c>
      <c r="B446" s="60" t="s">
        <v>741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132</v>
      </c>
      <c r="L446" s="35" t="s">
        <v>46</v>
      </c>
      <c r="M446" s="36" t="s">
        <v>89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648" t="s">
        <v>743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hidden="1" customHeight="1" x14ac:dyDescent="0.25">
      <c r="A450" s="649" t="s">
        <v>127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hidden="1" customHeight="1" x14ac:dyDescent="0.25">
      <c r="A451" s="60" t="s">
        <v>744</v>
      </c>
      <c r="B451" s="60" t="s">
        <v>745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132</v>
      </c>
      <c r="L451" s="35" t="s">
        <v>46</v>
      </c>
      <c r="M451" s="36" t="s">
        <v>80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746</v>
      </c>
      <c r="AG451" s="75"/>
      <c r="AJ451" s="79" t="s">
        <v>46</v>
      </c>
      <c r="AK451" s="79">
        <v>0</v>
      </c>
      <c r="BB451" s="54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hidden="1" customHeight="1" x14ac:dyDescent="0.25">
      <c r="A452" s="60" t="s">
        <v>747</v>
      </c>
      <c r="B452" s="60" t="s">
        <v>748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139</v>
      </c>
      <c r="L452" s="35" t="s">
        <v>46</v>
      </c>
      <c r="M452" s="36" t="s">
        <v>80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746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49" t="s">
        <v>76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hidden="1" customHeight="1" x14ac:dyDescent="0.25">
      <c r="A456" s="60" t="s">
        <v>749</v>
      </c>
      <c r="B456" s="60" t="s">
        <v>750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139</v>
      </c>
      <c r="L456" s="35" t="s">
        <v>46</v>
      </c>
      <c r="M456" s="36" t="s">
        <v>80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751</v>
      </c>
      <c r="AG456" s="75"/>
      <c r="AJ456" s="79" t="s">
        <v>46</v>
      </c>
      <c r="AK456" s="79">
        <v>0</v>
      </c>
      <c r="BB456" s="54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hidden="1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9" t="s">
        <v>85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hidden="1" customHeight="1" x14ac:dyDescent="0.25">
      <c r="A460" s="60" t="s">
        <v>752</v>
      </c>
      <c r="B460" s="60" t="s">
        <v>753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132</v>
      </c>
      <c r="L460" s="35" t="s">
        <v>46</v>
      </c>
      <c r="M460" s="36" t="s">
        <v>89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754</v>
      </c>
      <c r="AG460" s="75"/>
      <c r="AJ460" s="79" t="s">
        <v>46</v>
      </c>
      <c r="AK460" s="79">
        <v>0</v>
      </c>
      <c r="BB460" s="55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755</v>
      </c>
      <c r="B461" s="60" t="s">
        <v>756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90</v>
      </c>
      <c r="L461" s="35" t="s">
        <v>46</v>
      </c>
      <c r="M461" s="36" t="s">
        <v>89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754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755</v>
      </c>
      <c r="B462" s="60" t="s">
        <v>757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hidden="1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hidden="1" customHeight="1" x14ac:dyDescent="0.2">
      <c r="A465" s="655" t="s">
        <v>759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hidden="1" customHeight="1" x14ac:dyDescent="0.25">
      <c r="A466" s="648" t="s">
        <v>760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hidden="1" customHeight="1" x14ac:dyDescent="0.25">
      <c r="A467" s="649" t="s">
        <v>76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139</v>
      </c>
      <c r="L468" s="35" t="s">
        <v>46</v>
      </c>
      <c r="M468" s="36" t="s">
        <v>80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66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81</v>
      </c>
      <c r="L470" s="35" t="s">
        <v>46</v>
      </c>
      <c r="M470" s="36" t="s">
        <v>80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763</v>
      </c>
      <c r="AG470" s="75"/>
      <c r="AJ470" s="79" t="s">
        <v>46</v>
      </c>
      <c r="AK470" s="79">
        <v>0</v>
      </c>
      <c r="BB470" s="560" t="s">
        <v>66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hidden="1" customHeight="1" x14ac:dyDescent="0.25">
      <c r="A471" s="60" t="s">
        <v>769</v>
      </c>
      <c r="B471" s="60" t="s">
        <v>770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771</v>
      </c>
      <c r="AG471" s="75"/>
      <c r="AJ471" s="79" t="s">
        <v>46</v>
      </c>
      <c r="AK471" s="79">
        <v>0</v>
      </c>
      <c r="BB471" s="562" t="s">
        <v>66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hidden="1" customHeight="1" x14ac:dyDescent="0.25">
      <c r="A473" s="60" t="s">
        <v>775</v>
      </c>
      <c r="B473" s="60" t="s">
        <v>776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771</v>
      </c>
      <c r="AG473" s="75"/>
      <c r="AJ473" s="79" t="s">
        <v>46</v>
      </c>
      <c r="AK473" s="79">
        <v>0</v>
      </c>
      <c r="BB473" s="566" t="s">
        <v>66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hidden="1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649" t="s">
        <v>85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hidden="1" customHeight="1" x14ac:dyDescent="0.25">
      <c r="A477" s="60" t="s">
        <v>777</v>
      </c>
      <c r="B477" s="60" t="s">
        <v>778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139</v>
      </c>
      <c r="L477" s="35" t="s">
        <v>46</v>
      </c>
      <c r="M477" s="36" t="s">
        <v>89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779</v>
      </c>
      <c r="AG477" s="75"/>
      <c r="AJ477" s="79" t="s">
        <v>46</v>
      </c>
      <c r="AK477" s="79">
        <v>0</v>
      </c>
      <c r="BB477" s="568" t="s">
        <v>66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780</v>
      </c>
      <c r="B478" s="60" t="s">
        <v>781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90</v>
      </c>
      <c r="L478" s="35" t="s">
        <v>46</v>
      </c>
      <c r="M478" s="36" t="s">
        <v>89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idden="1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hidden="1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hidden="1" customHeight="1" x14ac:dyDescent="0.25">
      <c r="A481" s="648" t="s">
        <v>783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hidden="1" customHeight="1" x14ac:dyDescent="0.25">
      <c r="A482" s="649" t="s">
        <v>163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hidden="1" customHeight="1" x14ac:dyDescent="0.25">
      <c r="A483" s="60" t="s">
        <v>784</v>
      </c>
      <c r="B483" s="60" t="s">
        <v>785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90</v>
      </c>
      <c r="L483" s="35" t="s">
        <v>46</v>
      </c>
      <c r="M483" s="36" t="s">
        <v>80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786</v>
      </c>
      <c r="AG483" s="75"/>
      <c r="AJ483" s="79" t="s">
        <v>46</v>
      </c>
      <c r="AK483" s="79">
        <v>0</v>
      </c>
      <c r="BB483" s="572" t="s">
        <v>66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hidden="1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49" t="s">
        <v>76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hidden="1" customHeight="1" x14ac:dyDescent="0.25">
      <c r="A487" s="60" t="s">
        <v>787</v>
      </c>
      <c r="B487" s="60" t="s">
        <v>788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139</v>
      </c>
      <c r="L487" s="35" t="s">
        <v>46</v>
      </c>
      <c r="M487" s="36" t="s">
        <v>80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789</v>
      </c>
      <c r="AG487" s="75"/>
      <c r="AJ487" s="79" t="s">
        <v>46</v>
      </c>
      <c r="AK487" s="79">
        <v>0</v>
      </c>
      <c r="BB487" s="57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790</v>
      </c>
      <c r="B488" s="60" t="s">
        <v>791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81</v>
      </c>
      <c r="L488" s="35" t="s">
        <v>46</v>
      </c>
      <c r="M488" s="36" t="s">
        <v>80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792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idden="1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hidden="1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hidden="1" customHeight="1" x14ac:dyDescent="0.2">
      <c r="A492" s="655" t="s">
        <v>795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hidden="1" customHeight="1" x14ac:dyDescent="0.25">
      <c r="A493" s="648" t="s">
        <v>795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hidden="1" customHeight="1" x14ac:dyDescent="0.25">
      <c r="A494" s="649" t="s">
        <v>127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hidden="1" customHeight="1" x14ac:dyDescent="0.25">
      <c r="A495" s="60" t="s">
        <v>796</v>
      </c>
      <c r="B495" s="60" t="s">
        <v>797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132</v>
      </c>
      <c r="L495" s="35" t="s">
        <v>46</v>
      </c>
      <c r="M495" s="36" t="s">
        <v>89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130</v>
      </c>
      <c r="AG495" s="75"/>
      <c r="AJ495" s="79" t="s">
        <v>46</v>
      </c>
      <c r="AK495" s="79">
        <v>0</v>
      </c>
      <c r="BB495" s="580" t="s">
        <v>66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hidden="1" customHeight="1" x14ac:dyDescent="0.25">
      <c r="A496" s="60" t="s">
        <v>798</v>
      </c>
      <c r="B496" s="60" t="s">
        <v>799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131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800</v>
      </c>
      <c r="AG496" s="75"/>
      <c r="AJ496" s="79" t="s">
        <v>46</v>
      </c>
      <c r="AK496" s="79">
        <v>0</v>
      </c>
      <c r="BB496" s="582" t="s">
        <v>66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hidden="1" customHeight="1" x14ac:dyDescent="0.25">
      <c r="A497" s="60" t="s">
        <v>801</v>
      </c>
      <c r="B497" s="60" t="s">
        <v>802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hidden="1" customHeight="1" x14ac:dyDescent="0.25">
      <c r="A499" s="60" t="s">
        <v>807</v>
      </c>
      <c r="B499" s="60" t="s">
        <v>808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89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hidden="1" customHeight="1" x14ac:dyDescent="0.25">
      <c r="A500" s="60" t="s">
        <v>810</v>
      </c>
      <c r="B500" s="60" t="s">
        <v>811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131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90</v>
      </c>
      <c r="L501" s="35" t="s">
        <v>46</v>
      </c>
      <c r="M501" s="36" t="s">
        <v>89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130</v>
      </c>
      <c r="AG501" s="75"/>
      <c r="AJ501" s="79" t="s">
        <v>46</v>
      </c>
      <c r="AK501" s="79">
        <v>0</v>
      </c>
      <c r="BB501" s="592" t="s">
        <v>66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hidden="1" customHeight="1" x14ac:dyDescent="0.25">
      <c r="A502" s="60" t="s">
        <v>815</v>
      </c>
      <c r="B502" s="60" t="s">
        <v>816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139</v>
      </c>
      <c r="L502" s="35" t="s">
        <v>46</v>
      </c>
      <c r="M502" s="36" t="s">
        <v>89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hidden="1" customHeight="1" x14ac:dyDescent="0.25">
      <c r="A503" s="60" t="s">
        <v>817</v>
      </c>
      <c r="B503" s="60" t="s">
        <v>818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131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812</v>
      </c>
      <c r="AG503" s="75"/>
      <c r="AJ503" s="79" t="s">
        <v>46</v>
      </c>
      <c r="AK503" s="79">
        <v>0</v>
      </c>
      <c r="BB503" s="596" t="s">
        <v>66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hidden="1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hidden="1" customHeight="1" x14ac:dyDescent="0.25">
      <c r="A506" s="649" t="s">
        <v>163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hidden="1" customHeight="1" x14ac:dyDescent="0.25">
      <c r="A507" s="60" t="s">
        <v>819</v>
      </c>
      <c r="B507" s="60" t="s">
        <v>820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132</v>
      </c>
      <c r="L507" s="35" t="s">
        <v>46</v>
      </c>
      <c r="M507" s="36" t="s">
        <v>89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821</v>
      </c>
      <c r="AG507" s="75"/>
      <c r="AJ507" s="79" t="s">
        <v>46</v>
      </c>
      <c r="AK507" s="79">
        <v>0</v>
      </c>
      <c r="BB507" s="598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hidden="1" customHeight="1" x14ac:dyDescent="0.25">
      <c r="A508" s="60" t="s">
        <v>822</v>
      </c>
      <c r="B508" s="60" t="s">
        <v>823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131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821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824</v>
      </c>
      <c r="B509" s="60" t="s">
        <v>825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139</v>
      </c>
      <c r="L509" s="35" t="s">
        <v>46</v>
      </c>
      <c r="M509" s="36" t="s">
        <v>131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821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hidden="1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649" t="s">
        <v>76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hidden="1" customHeight="1" x14ac:dyDescent="0.25">
      <c r="A513" s="60" t="s">
        <v>826</v>
      </c>
      <c r="B513" s="60" t="s">
        <v>827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132</v>
      </c>
      <c r="L513" s="35" t="s">
        <v>46</v>
      </c>
      <c r="M513" s="36" t="s">
        <v>131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828</v>
      </c>
      <c r="AG513" s="75"/>
      <c r="AJ513" s="79" t="s">
        <v>46</v>
      </c>
      <c r="AK513" s="79">
        <v>0</v>
      </c>
      <c r="BB513" s="604" t="s">
        <v>66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hidden="1" customHeight="1" x14ac:dyDescent="0.25">
      <c r="A514" s="60" t="s">
        <v>829</v>
      </c>
      <c r="B514" s="60" t="s">
        <v>830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80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139</v>
      </c>
      <c r="L516" s="35" t="s">
        <v>46</v>
      </c>
      <c r="M516" s="36" t="s">
        <v>131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828</v>
      </c>
      <c r="AG516" s="75"/>
      <c r="AJ516" s="79" t="s">
        <v>46</v>
      </c>
      <c r="AK516" s="79">
        <v>0</v>
      </c>
      <c r="BB516" s="610" t="s">
        <v>66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hidden="1" customHeight="1" x14ac:dyDescent="0.25">
      <c r="A517" s="60" t="s">
        <v>837</v>
      </c>
      <c r="B517" s="60" t="s">
        <v>838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139</v>
      </c>
      <c r="L517" s="35" t="s">
        <v>46</v>
      </c>
      <c r="M517" s="36" t="s">
        <v>80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hidden="1" customHeight="1" x14ac:dyDescent="0.25">
      <c r="A518" s="60" t="s">
        <v>837</v>
      </c>
      <c r="B518" s="60" t="s">
        <v>839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831</v>
      </c>
      <c r="AG518" s="75"/>
      <c r="AJ518" s="79" t="s">
        <v>46</v>
      </c>
      <c r="AK518" s="79">
        <v>0</v>
      </c>
      <c r="BB518" s="614" t="s">
        <v>66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hidden="1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hidden="1" customHeight="1" x14ac:dyDescent="0.2">
      <c r="A522" s="655" t="s">
        <v>842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hidden="1" customHeight="1" x14ac:dyDescent="0.25">
      <c r="A523" s="648" t="s">
        <v>842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hidden="1" customHeight="1" x14ac:dyDescent="0.25">
      <c r="A524" s="649" t="s">
        <v>127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hidden="1" customHeight="1" x14ac:dyDescent="0.25">
      <c r="A525" s="60" t="s">
        <v>843</v>
      </c>
      <c r="B525" s="60" t="s">
        <v>844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132</v>
      </c>
      <c r="L525" s="35" t="s">
        <v>46</v>
      </c>
      <c r="M525" s="36" t="s">
        <v>131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845</v>
      </c>
      <c r="AG525" s="75"/>
      <c r="AJ525" s="79" t="s">
        <v>46</v>
      </c>
      <c r="AK525" s="79">
        <v>0</v>
      </c>
      <c r="BB525" s="618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49" t="s">
        <v>163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hidden="1" customHeight="1" x14ac:dyDescent="0.25">
      <c r="A529" s="60" t="s">
        <v>846</v>
      </c>
      <c r="B529" s="60" t="s">
        <v>847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132</v>
      </c>
      <c r="L529" s="35" t="s">
        <v>46</v>
      </c>
      <c r="M529" s="36" t="s">
        <v>131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848</v>
      </c>
      <c r="AG529" s="75"/>
      <c r="AJ529" s="79" t="s">
        <v>46</v>
      </c>
      <c r="AK529" s="79">
        <v>0</v>
      </c>
      <c r="BB529" s="62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9" t="s">
        <v>76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hidden="1" customHeight="1" x14ac:dyDescent="0.25">
      <c r="A533" s="60" t="s">
        <v>849</v>
      </c>
      <c r="B533" s="60" t="s">
        <v>850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139</v>
      </c>
      <c r="L533" s="35" t="s">
        <v>46</v>
      </c>
      <c r="M533" s="36" t="s">
        <v>80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851</v>
      </c>
      <c r="AG533" s="75"/>
      <c r="AJ533" s="79" t="s">
        <v>46</v>
      </c>
      <c r="AK533" s="79">
        <v>0</v>
      </c>
      <c r="BB533" s="62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9" t="s">
        <v>85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hidden="1" customHeight="1" x14ac:dyDescent="0.25">
      <c r="A537" s="60" t="s">
        <v>852</v>
      </c>
      <c r="B537" s="60" t="s">
        <v>853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132</v>
      </c>
      <c r="L537" s="35" t="s">
        <v>46</v>
      </c>
      <c r="M537" s="36" t="s">
        <v>89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854</v>
      </c>
      <c r="AG537" s="75"/>
      <c r="AJ537" s="79" t="s">
        <v>46</v>
      </c>
      <c r="AK537" s="79">
        <v>0</v>
      </c>
      <c r="BB537" s="62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9" t="s">
        <v>180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hidden="1" customHeight="1" x14ac:dyDescent="0.25">
      <c r="A541" s="60" t="s">
        <v>855</v>
      </c>
      <c r="B541" s="60" t="s">
        <v>856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132</v>
      </c>
      <c r="L541" s="35" t="s">
        <v>46</v>
      </c>
      <c r="M541" s="36" t="s">
        <v>89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857</v>
      </c>
      <c r="AG541" s="75"/>
      <c r="AJ541" s="79" t="s">
        <v>46</v>
      </c>
      <c r="AK541" s="79">
        <v>0</v>
      </c>
      <c r="BB541" s="62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hidden="1" customHeight="1" x14ac:dyDescent="0.25">
      <c r="A542" s="60" t="s">
        <v>858</v>
      </c>
      <c r="B542" s="60" t="s">
        <v>859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hidden="1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hidden="1" customHeight="1" x14ac:dyDescent="0.25">
      <c r="A545" s="648" t="s">
        <v>861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hidden="1" customHeight="1" x14ac:dyDescent="0.25">
      <c r="A546" s="649" t="s">
        <v>163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hidden="1" customHeight="1" x14ac:dyDescent="0.25">
      <c r="A547" s="60" t="s">
        <v>862</v>
      </c>
      <c r="B547" s="60" t="s">
        <v>863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132</v>
      </c>
      <c r="L547" s="35" t="s">
        <v>46</v>
      </c>
      <c r="M547" s="36" t="s">
        <v>131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864</v>
      </c>
      <c r="AG547" s="75"/>
      <c r="AJ547" s="79" t="s">
        <v>46</v>
      </c>
      <c r="AK547" s="79">
        <v>0</v>
      </c>
      <c r="BB547" s="630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2500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2520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2578.333333333333</v>
      </c>
      <c r="Y551" s="41">
        <f>IFERROR(SUM(BN22:BN547),"0")</f>
        <v>2598.96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4</v>
      </c>
      <c r="Y552" s="42">
        <f>ROUNDUP(SUM(BP22:BP547),0)</f>
        <v>4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2678.333333333333</v>
      </c>
      <c r="Y553" s="41">
        <f>GrossWeightTotalR+PalletQtyTotalR*25</f>
        <v>2698.96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166.66666666666666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168</v>
      </c>
      <c r="Z554" s="40"/>
      <c r="AA554" s="64"/>
      <c r="AB554" s="64"/>
      <c r="AC554" s="64"/>
    </row>
    <row r="555" spans="1:68" ht="14.25" hidden="1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3.6539999999999999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75</v>
      </c>
      <c r="C557" s="80" t="s">
        <v>45</v>
      </c>
      <c r="D557" s="631" t="s">
        <v>125</v>
      </c>
      <c r="E557" s="631" t="s">
        <v>125</v>
      </c>
      <c r="F557" s="631" t="s">
        <v>125</v>
      </c>
      <c r="G557" s="631" t="s">
        <v>125</v>
      </c>
      <c r="H557" s="631" t="s">
        <v>125</v>
      </c>
      <c r="I557" s="631" t="s">
        <v>125</v>
      </c>
      <c r="J557" s="631" t="s">
        <v>125</v>
      </c>
      <c r="K557" s="631" t="s">
        <v>357</v>
      </c>
      <c r="L557" s="631" t="s">
        <v>357</v>
      </c>
      <c r="M557" s="631" t="s">
        <v>357</v>
      </c>
      <c r="N557" s="632"/>
      <c r="O557" s="631" t="s">
        <v>357</v>
      </c>
      <c r="P557" s="631" t="s">
        <v>357</v>
      </c>
      <c r="Q557" s="631" t="s">
        <v>357</v>
      </c>
      <c r="R557" s="631" t="s">
        <v>357</v>
      </c>
      <c r="S557" s="631" t="s">
        <v>357</v>
      </c>
      <c r="T557" s="631" t="s">
        <v>357</v>
      </c>
      <c r="U557" s="631" t="s">
        <v>357</v>
      </c>
      <c r="V557" s="631" t="s">
        <v>693</v>
      </c>
      <c r="W557" s="631" t="s">
        <v>693</v>
      </c>
      <c r="X557" s="631" t="s">
        <v>759</v>
      </c>
      <c r="Y557" s="631" t="s">
        <v>759</v>
      </c>
      <c r="Z557" s="80" t="s">
        <v>795</v>
      </c>
      <c r="AA557" s="631" t="s">
        <v>842</v>
      </c>
      <c r="AB557" s="631" t="s">
        <v>842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75</v>
      </c>
      <c r="C558" s="631" t="s">
        <v>109</v>
      </c>
      <c r="D558" s="631" t="s">
        <v>126</v>
      </c>
      <c r="E558" s="631" t="s">
        <v>142</v>
      </c>
      <c r="F558" s="631" t="s">
        <v>187</v>
      </c>
      <c r="G558" s="631" t="s">
        <v>208</v>
      </c>
      <c r="H558" s="631" t="s">
        <v>247</v>
      </c>
      <c r="I558" s="631" t="s">
        <v>275</v>
      </c>
      <c r="J558" s="631" t="s">
        <v>125</v>
      </c>
      <c r="K558" s="631" t="s">
        <v>358</v>
      </c>
      <c r="L558" s="631" t="s">
        <v>379</v>
      </c>
      <c r="M558" s="631" t="s">
        <v>446</v>
      </c>
      <c r="N558" s="1"/>
      <c r="O558" s="631" t="s">
        <v>514</v>
      </c>
      <c r="P558" s="631" t="s">
        <v>547</v>
      </c>
      <c r="Q558" s="631" t="s">
        <v>563</v>
      </c>
      <c r="R558" s="631" t="s">
        <v>572</v>
      </c>
      <c r="S558" s="631" t="s">
        <v>593</v>
      </c>
      <c r="T558" s="631" t="s">
        <v>602</v>
      </c>
      <c r="U558" s="631" t="s">
        <v>683</v>
      </c>
      <c r="V558" s="631" t="s">
        <v>694</v>
      </c>
      <c r="W558" s="631" t="s">
        <v>743</v>
      </c>
      <c r="X558" s="631" t="s">
        <v>760</v>
      </c>
      <c r="Y558" s="631" t="s">
        <v>783</v>
      </c>
      <c r="Z558" s="631" t="s">
        <v>795</v>
      </c>
      <c r="AA558" s="631" t="s">
        <v>842</v>
      </c>
      <c r="AB558" s="631" t="s">
        <v>861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2520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66,67"/>
        <filter val="2 500,00"/>
        <filter val="2 578,33"/>
        <filter val="2 678,33"/>
        <filter val="4"/>
        <filter val="600,00"/>
        <filter val="800,00"/>
      </filters>
    </filterColumn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1" t="s">
        <v>866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868</v>
      </c>
      <c r="C6" s="51" t="s">
        <v>869</v>
      </c>
      <c r="D6" s="51" t="s">
        <v>870</v>
      </c>
      <c r="E6" s="51" t="s">
        <v>46</v>
      </c>
    </row>
    <row r="7" spans="2:8" x14ac:dyDescent="0.2">
      <c r="B7" s="51" t="s">
        <v>871</v>
      </c>
      <c r="C7" s="51" t="s">
        <v>872</v>
      </c>
      <c r="D7" s="51" t="s">
        <v>873</v>
      </c>
      <c r="E7" s="51" t="s">
        <v>46</v>
      </c>
    </row>
    <row r="8" spans="2:8" x14ac:dyDescent="0.2">
      <c r="B8" s="51" t="s">
        <v>874</v>
      </c>
      <c r="C8" s="51" t="s">
        <v>875</v>
      </c>
      <c r="D8" s="51" t="s">
        <v>876</v>
      </c>
      <c r="E8" s="51" t="s">
        <v>46</v>
      </c>
    </row>
    <row r="9" spans="2:8" x14ac:dyDescent="0.2">
      <c r="B9" s="51" t="s">
        <v>877</v>
      </c>
      <c r="C9" s="51" t="s">
        <v>878</v>
      </c>
      <c r="D9" s="51" t="s">
        <v>879</v>
      </c>
      <c r="E9" s="51" t="s">
        <v>46</v>
      </c>
    </row>
    <row r="10" spans="2:8" x14ac:dyDescent="0.2">
      <c r="B10" s="51" t="s">
        <v>880</v>
      </c>
      <c r="C10" s="51" t="s">
        <v>881</v>
      </c>
      <c r="D10" s="51" t="s">
        <v>882</v>
      </c>
      <c r="E10" s="51" t="s">
        <v>46</v>
      </c>
    </row>
    <row r="11" spans="2:8" x14ac:dyDescent="0.2">
      <c r="B11" s="51" t="s">
        <v>883</v>
      </c>
      <c r="C11" s="51" t="s">
        <v>884</v>
      </c>
      <c r="D11" s="51" t="s">
        <v>885</v>
      </c>
      <c r="E11" s="51" t="s">
        <v>46</v>
      </c>
    </row>
    <row r="12" spans="2:8" x14ac:dyDescent="0.2">
      <c r="B12" s="51" t="s">
        <v>886</v>
      </c>
      <c r="C12" s="51" t="s">
        <v>887</v>
      </c>
      <c r="D12" s="51" t="s">
        <v>888</v>
      </c>
      <c r="E12" s="51" t="s">
        <v>46</v>
      </c>
    </row>
    <row r="14" spans="2:8" x14ac:dyDescent="0.2">
      <c r="B14" s="51" t="s">
        <v>889</v>
      </c>
      <c r="C14" s="51" t="s">
        <v>869</v>
      </c>
      <c r="D14" s="51" t="s">
        <v>46</v>
      </c>
      <c r="E14" s="51" t="s">
        <v>46</v>
      </c>
    </row>
    <row r="16" spans="2:8" x14ac:dyDescent="0.2">
      <c r="B16" s="51" t="s">
        <v>890</v>
      </c>
      <c r="C16" s="51" t="s">
        <v>872</v>
      </c>
      <c r="D16" s="51" t="s">
        <v>46</v>
      </c>
      <c r="E16" s="51" t="s">
        <v>46</v>
      </c>
    </row>
    <row r="18" spans="2:5" x14ac:dyDescent="0.2">
      <c r="B18" s="51" t="s">
        <v>891</v>
      </c>
      <c r="C18" s="51" t="s">
        <v>875</v>
      </c>
      <c r="D18" s="51" t="s">
        <v>46</v>
      </c>
      <c r="E18" s="51" t="s">
        <v>46</v>
      </c>
    </row>
    <row r="20" spans="2:5" x14ac:dyDescent="0.2">
      <c r="B20" s="51" t="s">
        <v>892</v>
      </c>
      <c r="C20" s="51" t="s">
        <v>878</v>
      </c>
      <c r="D20" s="51" t="s">
        <v>46</v>
      </c>
      <c r="E20" s="51" t="s">
        <v>46</v>
      </c>
    </row>
    <row r="22" spans="2:5" x14ac:dyDescent="0.2">
      <c r="B22" s="51" t="s">
        <v>893</v>
      </c>
      <c r="C22" s="51" t="s">
        <v>881</v>
      </c>
      <c r="D22" s="51" t="s">
        <v>46</v>
      </c>
      <c r="E22" s="51" t="s">
        <v>46</v>
      </c>
    </row>
    <row r="24" spans="2:5" x14ac:dyDescent="0.2">
      <c r="B24" s="51" t="s">
        <v>894</v>
      </c>
      <c r="C24" s="51" t="s">
        <v>884</v>
      </c>
      <c r="D24" s="51" t="s">
        <v>46</v>
      </c>
      <c r="E24" s="51" t="s">
        <v>46</v>
      </c>
    </row>
    <row r="26" spans="2:5" x14ac:dyDescent="0.2">
      <c r="B26" s="51" t="s">
        <v>895</v>
      </c>
      <c r="C26" s="51" t="s">
        <v>887</v>
      </c>
      <c r="D26" s="51" t="s">
        <v>46</v>
      </c>
      <c r="E26" s="51" t="s">
        <v>46</v>
      </c>
    </row>
    <row r="28" spans="2:5" x14ac:dyDescent="0.2">
      <c r="B28" s="51" t="s">
        <v>896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906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2026-08-01T11:43:02Z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