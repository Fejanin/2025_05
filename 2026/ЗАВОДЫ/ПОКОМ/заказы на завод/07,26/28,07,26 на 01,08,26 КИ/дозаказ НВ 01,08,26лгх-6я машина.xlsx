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3D80D70-CD7E-40A2-9BD1-D6742D9EAC9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P541" i="1" s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X511" i="1"/>
  <c r="X510" i="1"/>
  <c r="BO509" i="1"/>
  <c r="BM509" i="1"/>
  <c r="Y509" i="1"/>
  <c r="P509" i="1"/>
  <c r="BO508" i="1"/>
  <c r="BM508" i="1"/>
  <c r="Y508" i="1"/>
  <c r="P508" i="1"/>
  <c r="BO507" i="1"/>
  <c r="BM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BP499" i="1" s="1"/>
  <c r="P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BO495" i="1"/>
  <c r="BM495" i="1"/>
  <c r="Z495" i="1"/>
  <c r="Y495" i="1"/>
  <c r="BN495" i="1" s="1"/>
  <c r="P495" i="1"/>
  <c r="X491" i="1"/>
  <c r="X490" i="1"/>
  <c r="BO489" i="1"/>
  <c r="BM489" i="1"/>
  <c r="Y489" i="1"/>
  <c r="BP489" i="1" s="1"/>
  <c r="P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0" i="1"/>
  <c r="X479" i="1"/>
  <c r="BP478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O470" i="1"/>
  <c r="BM470" i="1"/>
  <c r="Z470" i="1"/>
  <c r="Y470" i="1"/>
  <c r="BN470" i="1" s="1"/>
  <c r="P470" i="1"/>
  <c r="BO469" i="1"/>
  <c r="BM469" i="1"/>
  <c r="Y469" i="1"/>
  <c r="P469" i="1"/>
  <c r="BO468" i="1"/>
  <c r="BM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O460" i="1"/>
  <c r="BM460" i="1"/>
  <c r="Z460" i="1"/>
  <c r="Y460" i="1"/>
  <c r="Y464" i="1" s="1"/>
  <c r="P460" i="1"/>
  <c r="X458" i="1"/>
  <c r="Y457" i="1"/>
  <c r="X457" i="1"/>
  <c r="BO456" i="1"/>
  <c r="BM456" i="1"/>
  <c r="Y456" i="1"/>
  <c r="Y458" i="1" s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Z445" i="1"/>
  <c r="Y445" i="1"/>
  <c r="BN445" i="1" s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P439" i="1"/>
  <c r="X437" i="1"/>
  <c r="X436" i="1"/>
  <c r="BO435" i="1"/>
  <c r="BM435" i="1"/>
  <c r="Y435" i="1"/>
  <c r="BP435" i="1" s="1"/>
  <c r="P435" i="1"/>
  <c r="BO434" i="1"/>
  <c r="BM434" i="1"/>
  <c r="Y434" i="1"/>
  <c r="P434" i="1"/>
  <c r="BO433" i="1"/>
  <c r="BM433" i="1"/>
  <c r="Y433" i="1"/>
  <c r="P433" i="1"/>
  <c r="X431" i="1"/>
  <c r="X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M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M402" i="1"/>
  <c r="Y402" i="1"/>
  <c r="BP402" i="1" s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Z381" i="1"/>
  <c r="Y381" i="1"/>
  <c r="BN381" i="1" s="1"/>
  <c r="P381" i="1"/>
  <c r="X379" i="1"/>
  <c r="X378" i="1"/>
  <c r="BO377" i="1"/>
  <c r="BM377" i="1"/>
  <c r="Y377" i="1"/>
  <c r="P377" i="1"/>
  <c r="BO376" i="1"/>
  <c r="BM376" i="1"/>
  <c r="Y376" i="1"/>
  <c r="P376" i="1"/>
  <c r="BP375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BP371" i="1" s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BN356" i="1" s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O327" i="1"/>
  <c r="BM327" i="1"/>
  <c r="Z327" i="1"/>
  <c r="Y327" i="1"/>
  <c r="BN327" i="1" s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BP306" i="1" s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P302" i="1"/>
  <c r="BO302" i="1"/>
  <c r="BM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P295" i="1"/>
  <c r="X293" i="1"/>
  <c r="X292" i="1"/>
  <c r="BO291" i="1"/>
  <c r="BM291" i="1"/>
  <c r="Y291" i="1"/>
  <c r="BP291" i="1" s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Z287" i="1"/>
  <c r="Y287" i="1"/>
  <c r="BN287" i="1" s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Z271" i="1"/>
  <c r="Y271" i="1"/>
  <c r="BN271" i="1" s="1"/>
  <c r="P271" i="1"/>
  <c r="BO270" i="1"/>
  <c r="BM270" i="1"/>
  <c r="Y270" i="1"/>
  <c r="P270" i="1"/>
  <c r="BO269" i="1"/>
  <c r="BM269" i="1"/>
  <c r="Y269" i="1"/>
  <c r="P269" i="1"/>
  <c r="X267" i="1"/>
  <c r="Y266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Z249" i="1"/>
  <c r="Y249" i="1"/>
  <c r="BN249" i="1" s="1"/>
  <c r="P249" i="1"/>
  <c r="BO248" i="1"/>
  <c r="BM248" i="1"/>
  <c r="Y248" i="1"/>
  <c r="P248" i="1"/>
  <c r="X246" i="1"/>
  <c r="X245" i="1"/>
  <c r="BO244" i="1"/>
  <c r="BM244" i="1"/>
  <c r="Y244" i="1"/>
  <c r="P244" i="1"/>
  <c r="BO243" i="1"/>
  <c r="BM243" i="1"/>
  <c r="Y243" i="1"/>
  <c r="P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X238" i="1"/>
  <c r="X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Z233" i="1"/>
  <c r="Y233" i="1"/>
  <c r="BN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Z225" i="1"/>
  <c r="Y225" i="1"/>
  <c r="BN225" i="1" s="1"/>
  <c r="P225" i="1"/>
  <c r="BO224" i="1"/>
  <c r="BM224" i="1"/>
  <c r="Y224" i="1"/>
  <c r="P224" i="1"/>
  <c r="BO223" i="1"/>
  <c r="BM223" i="1"/>
  <c r="Y223" i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O214" i="1"/>
  <c r="BM214" i="1"/>
  <c r="Y214" i="1"/>
  <c r="BP214" i="1" s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BN210" i="1" s="1"/>
  <c r="P210" i="1"/>
  <c r="BO209" i="1"/>
  <c r="BM209" i="1"/>
  <c r="Y209" i="1"/>
  <c r="P209" i="1"/>
  <c r="BO208" i="1"/>
  <c r="BM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Y199" i="1"/>
  <c r="X199" i="1"/>
  <c r="BO198" i="1"/>
  <c r="BM198" i="1"/>
  <c r="Y198" i="1"/>
  <c r="BN198" i="1" s="1"/>
  <c r="P198" i="1"/>
  <c r="BO197" i="1"/>
  <c r="BM197" i="1"/>
  <c r="Y197" i="1"/>
  <c r="P197" i="1"/>
  <c r="X195" i="1"/>
  <c r="X194" i="1"/>
  <c r="BO193" i="1"/>
  <c r="BM193" i="1"/>
  <c r="Y193" i="1"/>
  <c r="P193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BN182" i="1" s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M172" i="1"/>
  <c r="Y172" i="1"/>
  <c r="BN172" i="1" s="1"/>
  <c r="X170" i="1"/>
  <c r="X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P155" i="1"/>
  <c r="BO154" i="1"/>
  <c r="BM154" i="1"/>
  <c r="Y154" i="1"/>
  <c r="BN154" i="1" s="1"/>
  <c r="P154" i="1"/>
  <c r="X151" i="1"/>
  <c r="X150" i="1"/>
  <c r="BO149" i="1"/>
  <c r="BM149" i="1"/>
  <c r="Y149" i="1"/>
  <c r="P149" i="1"/>
  <c r="BO148" i="1"/>
  <c r="BM148" i="1"/>
  <c r="Y148" i="1"/>
  <c r="P148" i="1"/>
  <c r="BO147" i="1"/>
  <c r="BM147" i="1"/>
  <c r="Y147" i="1"/>
  <c r="BN147" i="1" s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O139" i="1"/>
  <c r="BM139" i="1"/>
  <c r="Y139" i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BO133" i="1"/>
  <c r="BM133" i="1"/>
  <c r="Y133" i="1"/>
  <c r="BP133" i="1" s="1"/>
  <c r="P133" i="1"/>
  <c r="BO132" i="1"/>
  <c r="BM132" i="1"/>
  <c r="Y132" i="1"/>
  <c r="P132" i="1"/>
  <c r="X129" i="1"/>
  <c r="X128" i="1"/>
  <c r="BO127" i="1"/>
  <c r="BM127" i="1"/>
  <c r="Y127" i="1"/>
  <c r="BN127" i="1" s="1"/>
  <c r="P127" i="1"/>
  <c r="X125" i="1"/>
  <c r="X124" i="1"/>
  <c r="BO123" i="1"/>
  <c r="BM123" i="1"/>
  <c r="Y123" i="1"/>
  <c r="P123" i="1"/>
  <c r="BO122" i="1"/>
  <c r="BM122" i="1"/>
  <c r="Y122" i="1"/>
  <c r="BP122" i="1" s="1"/>
  <c r="P122" i="1"/>
  <c r="BO121" i="1"/>
  <c r="BM121" i="1"/>
  <c r="Y121" i="1"/>
  <c r="BN121" i="1" s="1"/>
  <c r="P121" i="1"/>
  <c r="BO120" i="1"/>
  <c r="BM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BN115" i="1" s="1"/>
  <c r="P115" i="1"/>
  <c r="BO114" i="1"/>
  <c r="BM114" i="1"/>
  <c r="Y114" i="1"/>
  <c r="BP114" i="1" s="1"/>
  <c r="P114" i="1"/>
  <c r="BO113" i="1"/>
  <c r="BM113" i="1"/>
  <c r="Y113" i="1"/>
  <c r="BN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BO105" i="1"/>
  <c r="BM105" i="1"/>
  <c r="Y105" i="1"/>
  <c r="BN105" i="1" s="1"/>
  <c r="P105" i="1"/>
  <c r="BO104" i="1"/>
  <c r="BM104" i="1"/>
  <c r="Y104" i="1"/>
  <c r="BP104" i="1" s="1"/>
  <c r="P104" i="1"/>
  <c r="BO103" i="1"/>
  <c r="BM103" i="1"/>
  <c r="Y103" i="1"/>
  <c r="P103" i="1"/>
  <c r="X100" i="1"/>
  <c r="X99" i="1"/>
  <c r="BO98" i="1"/>
  <c r="BM98" i="1"/>
  <c r="Y98" i="1"/>
  <c r="BN98" i="1" s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N90" i="1" s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X85" i="1"/>
  <c r="X84" i="1"/>
  <c r="BO83" i="1"/>
  <c r="BN83" i="1"/>
  <c r="BM83" i="1"/>
  <c r="Z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BN77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N59" i="1" s="1"/>
  <c r="P59" i="1"/>
  <c r="X56" i="1"/>
  <c r="X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N52" i="1" s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O42" i="1"/>
  <c r="BM42" i="1"/>
  <c r="Y42" i="1"/>
  <c r="BN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N22" i="1" l="1"/>
  <c r="BN30" i="1"/>
  <c r="BP54" i="1"/>
  <c r="BN54" i="1"/>
  <c r="Z54" i="1"/>
  <c r="BN71" i="1"/>
  <c r="BN139" i="1"/>
  <c r="Z139" i="1"/>
  <c r="BN167" i="1"/>
  <c r="BN180" i="1"/>
  <c r="BN192" i="1"/>
  <c r="Z192" i="1"/>
  <c r="BN214" i="1"/>
  <c r="BN241" i="1"/>
  <c r="Z241" i="1"/>
  <c r="BN275" i="1"/>
  <c r="BN283" i="1"/>
  <c r="BP304" i="1"/>
  <c r="BN304" i="1"/>
  <c r="Z304" i="1"/>
  <c r="BP320" i="1"/>
  <c r="BN320" i="1"/>
  <c r="Z320" i="1"/>
  <c r="BN336" i="1"/>
  <c r="Z336" i="1"/>
  <c r="BN365" i="1"/>
  <c r="BP377" i="1"/>
  <c r="BN377" i="1"/>
  <c r="Z377" i="1"/>
  <c r="BN389" i="1"/>
  <c r="Z389" i="1"/>
  <c r="BN425" i="1"/>
  <c r="Z425" i="1"/>
  <c r="BP487" i="1"/>
  <c r="BN487" i="1"/>
  <c r="Z487" i="1"/>
  <c r="Y490" i="1"/>
  <c r="BN499" i="1"/>
  <c r="BP509" i="1"/>
  <c r="BN509" i="1"/>
  <c r="Z509" i="1"/>
  <c r="Y527" i="1"/>
  <c r="Y526" i="1"/>
  <c r="BN525" i="1"/>
  <c r="BN541" i="1"/>
  <c r="BN28" i="1"/>
  <c r="C560" i="1"/>
  <c r="BN63" i="1"/>
  <c r="BP103" i="1"/>
  <c r="BN103" i="1"/>
  <c r="Z103" i="1"/>
  <c r="BP107" i="1"/>
  <c r="BN107" i="1"/>
  <c r="Z107" i="1"/>
  <c r="BP123" i="1"/>
  <c r="BN123" i="1"/>
  <c r="Z123" i="1"/>
  <c r="BN132" i="1"/>
  <c r="Z132" i="1"/>
  <c r="BP149" i="1"/>
  <c r="BN149" i="1"/>
  <c r="Z149" i="1"/>
  <c r="BN184" i="1"/>
  <c r="Z184" i="1"/>
  <c r="BN229" i="1"/>
  <c r="BP241" i="1"/>
  <c r="BP243" i="1"/>
  <c r="BN243" i="1"/>
  <c r="Z243" i="1"/>
  <c r="BN291" i="1"/>
  <c r="BN302" i="1"/>
  <c r="Z302" i="1"/>
  <c r="BP336" i="1"/>
  <c r="BN345" i="1"/>
  <c r="Z345" i="1"/>
  <c r="BN375" i="1"/>
  <c r="Z375" i="1"/>
  <c r="BP389" i="1"/>
  <c r="BN402" i="1"/>
  <c r="BN415" i="1"/>
  <c r="Z415" i="1"/>
  <c r="BP425" i="1"/>
  <c r="BP427" i="1"/>
  <c r="BN427" i="1"/>
  <c r="Z427" i="1"/>
  <c r="BP433" i="1"/>
  <c r="BN433" i="1"/>
  <c r="Z433" i="1"/>
  <c r="BP439" i="1"/>
  <c r="BN439" i="1"/>
  <c r="Z439" i="1"/>
  <c r="Y442" i="1"/>
  <c r="BN478" i="1"/>
  <c r="Z478" i="1"/>
  <c r="BN517" i="1"/>
  <c r="Y535" i="1"/>
  <c r="Y534" i="1"/>
  <c r="BN533" i="1"/>
  <c r="BN65" i="1"/>
  <c r="BN73" i="1"/>
  <c r="Y125" i="1"/>
  <c r="Y128" i="1"/>
  <c r="BP225" i="1"/>
  <c r="BP233" i="1"/>
  <c r="BP249" i="1"/>
  <c r="BP271" i="1"/>
  <c r="BP287" i="1"/>
  <c r="BN306" i="1"/>
  <c r="BP327" i="1"/>
  <c r="BN371" i="1"/>
  <c r="BP381" i="1"/>
  <c r="BN429" i="1"/>
  <c r="BN435" i="1"/>
  <c r="BN441" i="1"/>
  <c r="BP445" i="1"/>
  <c r="BN456" i="1"/>
  <c r="BP460" i="1"/>
  <c r="BP470" i="1"/>
  <c r="BN489" i="1"/>
  <c r="BP495" i="1"/>
  <c r="BN497" i="1"/>
  <c r="BN519" i="1"/>
  <c r="J9" i="1"/>
  <c r="Z42" i="1"/>
  <c r="BP42" i="1"/>
  <c r="Z52" i="1"/>
  <c r="BP52" i="1"/>
  <c r="Z59" i="1"/>
  <c r="BP59" i="1"/>
  <c r="BP154" i="1"/>
  <c r="BP208" i="1"/>
  <c r="Z208" i="1"/>
  <c r="BN343" i="1"/>
  <c r="BP343" i="1"/>
  <c r="Z343" i="1"/>
  <c r="BN351" i="1"/>
  <c r="BP351" i="1"/>
  <c r="Z351" i="1"/>
  <c r="BN373" i="1"/>
  <c r="BP373" i="1"/>
  <c r="Z373" i="1"/>
  <c r="BN423" i="1"/>
  <c r="BP423" i="1"/>
  <c r="Z423" i="1"/>
  <c r="BN507" i="1"/>
  <c r="BP507" i="1"/>
  <c r="Z507" i="1"/>
  <c r="Y531" i="1"/>
  <c r="Y530" i="1"/>
  <c r="BN529" i="1"/>
  <c r="BP529" i="1"/>
  <c r="Z529" i="1"/>
  <c r="Z530" i="1" s="1"/>
  <c r="F10" i="1"/>
  <c r="Z22" i="1"/>
  <c r="Y32" i="1"/>
  <c r="Z30" i="1"/>
  <c r="Z65" i="1"/>
  <c r="Y75" i="1"/>
  <c r="Z73" i="1"/>
  <c r="Y79" i="1"/>
  <c r="BP90" i="1"/>
  <c r="Z90" i="1"/>
  <c r="BP105" i="1"/>
  <c r="Z105" i="1"/>
  <c r="Z115" i="1"/>
  <c r="BP115" i="1"/>
  <c r="BP121" i="1"/>
  <c r="Z121" i="1"/>
  <c r="BP147" i="1"/>
  <c r="Z154" i="1"/>
  <c r="BP210" i="1"/>
  <c r="BN231" i="1"/>
  <c r="BP231" i="1"/>
  <c r="Z231" i="1"/>
  <c r="BN367" i="1"/>
  <c r="BP367" i="1"/>
  <c r="Z367" i="1"/>
  <c r="BN452" i="1"/>
  <c r="BP452" i="1"/>
  <c r="Z452" i="1"/>
  <c r="Y521" i="1"/>
  <c r="BN513" i="1"/>
  <c r="BP513" i="1"/>
  <c r="Z513" i="1"/>
  <c r="X554" i="1"/>
  <c r="Z28" i="1"/>
  <c r="Z63" i="1"/>
  <c r="Z71" i="1"/>
  <c r="Z77" i="1"/>
  <c r="BP77" i="1"/>
  <c r="BP139" i="1"/>
  <c r="Z147" i="1"/>
  <c r="BP182" i="1"/>
  <c r="Z182" i="1"/>
  <c r="BP192" i="1"/>
  <c r="BP198" i="1"/>
  <c r="Z198" i="1"/>
  <c r="BN208" i="1"/>
  <c r="Z210" i="1"/>
  <c r="BN395" i="1"/>
  <c r="BP395" i="1"/>
  <c r="Z395" i="1"/>
  <c r="Y485" i="1"/>
  <c r="Y484" i="1"/>
  <c r="BN483" i="1"/>
  <c r="BP483" i="1"/>
  <c r="Z483" i="1"/>
  <c r="Z484" i="1" s="1"/>
  <c r="Y539" i="1"/>
  <c r="Y538" i="1"/>
  <c r="BN537" i="1"/>
  <c r="BP537" i="1"/>
  <c r="Z537" i="1"/>
  <c r="Z538" i="1" s="1"/>
  <c r="F9" i="1"/>
  <c r="BP98" i="1"/>
  <c r="Z98" i="1"/>
  <c r="Y117" i="1"/>
  <c r="BP113" i="1"/>
  <c r="Z113" i="1"/>
  <c r="Y129" i="1"/>
  <c r="BP127" i="1"/>
  <c r="Z127" i="1"/>
  <c r="Z128" i="1" s="1"/>
  <c r="BP132" i="1"/>
  <c r="BP184" i="1"/>
  <c r="Y237" i="1"/>
  <c r="BN223" i="1"/>
  <c r="BP223" i="1"/>
  <c r="Z223" i="1"/>
  <c r="BN269" i="1"/>
  <c r="BP269" i="1"/>
  <c r="Z269" i="1"/>
  <c r="BN285" i="1"/>
  <c r="BP285" i="1"/>
  <c r="Z285" i="1"/>
  <c r="BN358" i="1"/>
  <c r="BP358" i="1"/>
  <c r="Z358" i="1"/>
  <c r="BN468" i="1"/>
  <c r="BP468" i="1"/>
  <c r="Z468" i="1"/>
  <c r="BN501" i="1"/>
  <c r="BP501" i="1"/>
  <c r="Z501" i="1"/>
  <c r="Y174" i="1"/>
  <c r="S560" i="1"/>
  <c r="Y92" i="1"/>
  <c r="Y100" i="1"/>
  <c r="Z167" i="1"/>
  <c r="Z172" i="1"/>
  <c r="BP172" i="1"/>
  <c r="Z180" i="1"/>
  <c r="Z214" i="1"/>
  <c r="Z229" i="1"/>
  <c r="Z275" i="1"/>
  <c r="Z283" i="1"/>
  <c r="Z291" i="1"/>
  <c r="Y297" i="1"/>
  <c r="Z306" i="1"/>
  <c r="Z356" i="1"/>
  <c r="BP356" i="1"/>
  <c r="Z365" i="1"/>
  <c r="Z371" i="1"/>
  <c r="Z402" i="1"/>
  <c r="Z429" i="1"/>
  <c r="Z435" i="1"/>
  <c r="Y443" i="1"/>
  <c r="Z441" i="1"/>
  <c r="Z456" i="1"/>
  <c r="Z457" i="1" s="1"/>
  <c r="BP456" i="1"/>
  <c r="BN460" i="1"/>
  <c r="Y491" i="1"/>
  <c r="Z489" i="1"/>
  <c r="Z499" i="1"/>
  <c r="Z519" i="1"/>
  <c r="Y359" i="1"/>
  <c r="Y385" i="1"/>
  <c r="Z497" i="1"/>
  <c r="Z517" i="1"/>
  <c r="Z525" i="1"/>
  <c r="Z526" i="1" s="1"/>
  <c r="BP525" i="1"/>
  <c r="Z533" i="1"/>
  <c r="Z534" i="1" s="1"/>
  <c r="BP533" i="1"/>
  <c r="Z541" i="1"/>
  <c r="Y25" i="1"/>
  <c r="Y37" i="1"/>
  <c r="Y47" i="1"/>
  <c r="Y80" i="1"/>
  <c r="Y33" i="1"/>
  <c r="Y55" i="1"/>
  <c r="Y68" i="1"/>
  <c r="Y74" i="1"/>
  <c r="Y84" i="1"/>
  <c r="Y93" i="1"/>
  <c r="Y99" i="1"/>
  <c r="Y110" i="1"/>
  <c r="Y118" i="1"/>
  <c r="Y124" i="1"/>
  <c r="BP140" i="1"/>
  <c r="BN140" i="1"/>
  <c r="Z140" i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3" i="1" s="1"/>
  <c r="X552" i="1"/>
  <c r="Z23" i="1"/>
  <c r="Z24" i="1" s="1"/>
  <c r="BN23" i="1"/>
  <c r="Y24" i="1"/>
  <c r="X550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60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Z84" i="1" s="1"/>
  <c r="BN82" i="1"/>
  <c r="BP82" i="1"/>
  <c r="Z89" i="1"/>
  <c r="BN89" i="1"/>
  <c r="Z91" i="1"/>
  <c r="BN91" i="1"/>
  <c r="Z95" i="1"/>
  <c r="BN95" i="1"/>
  <c r="BP95" i="1"/>
  <c r="Z97" i="1"/>
  <c r="BN97" i="1"/>
  <c r="G560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Y137" i="1"/>
  <c r="Z133" i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Z158" i="1" s="1"/>
  <c r="BP168" i="1"/>
  <c r="BN168" i="1"/>
  <c r="Z168" i="1"/>
  <c r="Y170" i="1"/>
  <c r="BP173" i="1"/>
  <c r="BN173" i="1"/>
  <c r="Z173" i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Y215" i="1"/>
  <c r="BP224" i="1"/>
  <c r="BN224" i="1"/>
  <c r="Z224" i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BP244" i="1"/>
  <c r="BN244" i="1"/>
  <c r="Z244" i="1"/>
  <c r="Y246" i="1"/>
  <c r="Y251" i="1"/>
  <c r="BP248" i="1"/>
  <c r="BN248" i="1"/>
  <c r="Z248" i="1"/>
  <c r="BP270" i="1"/>
  <c r="BN270" i="1"/>
  <c r="Z270" i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BP364" i="1"/>
  <c r="BN364" i="1"/>
  <c r="Z364" i="1"/>
  <c r="Y368" i="1"/>
  <c r="BP372" i="1"/>
  <c r="BN372" i="1"/>
  <c r="Z372" i="1"/>
  <c r="Y378" i="1"/>
  <c r="BP376" i="1"/>
  <c r="BN376" i="1"/>
  <c r="Z37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BP344" i="1"/>
  <c r="BN344" i="1"/>
  <c r="Z344" i="1"/>
  <c r="BP357" i="1"/>
  <c r="BN357" i="1"/>
  <c r="Z357" i="1"/>
  <c r="BP366" i="1"/>
  <c r="BN366" i="1"/>
  <c r="Z366" i="1"/>
  <c r="Y379" i="1"/>
  <c r="BP374" i="1"/>
  <c r="BN374" i="1"/>
  <c r="Z374" i="1"/>
  <c r="BP382" i="1"/>
  <c r="BN382" i="1"/>
  <c r="Z382" i="1"/>
  <c r="Z385" i="1" s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BP440" i="1"/>
  <c r="BN440" i="1"/>
  <c r="Z440" i="1"/>
  <c r="Z442" i="1" s="1"/>
  <c r="Y447" i="1"/>
  <c r="BP461" i="1"/>
  <c r="BN461" i="1"/>
  <c r="Z461" i="1"/>
  <c r="Z463" i="1" s="1"/>
  <c r="BP496" i="1"/>
  <c r="BN496" i="1"/>
  <c r="Z496" i="1"/>
  <c r="BP500" i="1"/>
  <c r="BN500" i="1"/>
  <c r="Z500" i="1"/>
  <c r="Y504" i="1"/>
  <c r="BP508" i="1"/>
  <c r="BN508" i="1"/>
  <c r="Z508" i="1"/>
  <c r="Z510" i="1" s="1"/>
  <c r="Y510" i="1"/>
  <c r="X560" i="1"/>
  <c r="Y474" i="1"/>
  <c r="BP471" i="1"/>
  <c r="BN471" i="1"/>
  <c r="Z471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Z520" i="1" s="1"/>
  <c r="BP518" i="1"/>
  <c r="BN518" i="1"/>
  <c r="Z518" i="1"/>
  <c r="Y543" i="1"/>
  <c r="Y560" i="1"/>
  <c r="Y505" i="1"/>
  <c r="Z368" i="1" l="1"/>
  <c r="Z490" i="1"/>
  <c r="Z359" i="1"/>
  <c r="Z174" i="1"/>
  <c r="Z136" i="1"/>
  <c r="Z352" i="1"/>
  <c r="Z143" i="1"/>
  <c r="Z504" i="1"/>
  <c r="Z331" i="1"/>
  <c r="Z378" i="1"/>
  <c r="Z109" i="1"/>
  <c r="Y552" i="1"/>
  <c r="Z194" i="1"/>
  <c r="Z404" i="1"/>
  <c r="Z474" i="1"/>
  <c r="Z277" i="1"/>
  <c r="Z237" i="1"/>
  <c r="Z67" i="1"/>
  <c r="Y551" i="1"/>
  <c r="Z215" i="1"/>
  <c r="Z410" i="1"/>
  <c r="Z124" i="1"/>
  <c r="Z99" i="1"/>
  <c r="Z92" i="1"/>
  <c r="Z32" i="1"/>
  <c r="Z169" i="1"/>
  <c r="Z430" i="1"/>
  <c r="Z398" i="1"/>
  <c r="Z292" i="1"/>
  <c r="Z188" i="1"/>
  <c r="Y554" i="1"/>
  <c r="Z347" i="1"/>
  <c r="Z338" i="1"/>
  <c r="Z308" i="1"/>
  <c r="Z251" i="1"/>
  <c r="Z245" i="1"/>
  <c r="Z117" i="1"/>
  <c r="Z391" i="1"/>
  <c r="Z322" i="1"/>
  <c r="Y550" i="1"/>
  <c r="Y553" i="1" l="1"/>
  <c r="Z555" i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<sst xmlns="http://schemas.openxmlformats.org/spreadsheetml/2006/main" count="2502" uniqueCount="908">
  <si>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</si>
  <si>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</si>
  <si>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</si>
  <si>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</si>
  <si>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</si>
  <si>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</si>
  <si>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</si>
  <si>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</si>
  <si>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</si>
  <si>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</si>
  <si>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</si>
  <si>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</si>
  <si>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</si>
  <si>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</si>
  <si>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</si>
  <si>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</si>
  <si>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</si>
  <si>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</si>
  <si>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</si>
  <si>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</si>
  <si>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</si>
  <si>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</si>
  <si>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</si>
  <si>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</si>
  <si>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</si>
  <si>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</si>
  <si>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</si>
  <si>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</si>
  <si>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</si>
  <si>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</si>
  <si>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</si>
  <si>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</si>
  <si>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</si>
  <si>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</si>
  <si>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</si>
  <si>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</si>
  <si>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</si>
  <si>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</si>
  <si>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</si>
  <si>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</si>
  <si>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</si>
  <si>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</si>
  <si>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</si>
  <si>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</si>
  <si>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</si>
  <si>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</si>
  <si>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</si>
  <si>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</si>
  <si>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</si>
  <si>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</si>
  <si>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</si>
  <si>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</si>
  <si>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</si>
  <si>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</si>
  <si>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</si>
  <si>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</si>
  <si>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</si>
  <si>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</si>
  <si>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</si>
  <si>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</si>
  <si>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</si>
  <si>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</si>
  <si>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</si>
  <si>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</si>
  <si>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</si>
  <si>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</si>
  <si>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</si>
  <si>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</si>
  <si>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</si>
  <si>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</si>
  <si>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</si>
  <si>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</si>
  <si>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</si>
  <si>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</si>
  <si>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</si>
  <si>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</si>
  <si>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</si>
  <si>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</si>
  <si>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</si>
  <si>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</si>
  <si>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</si>
  <si>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</si>
  <si>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</si>
  <si>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</si>
  <si>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</si>
  <si>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</si>
  <si>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</si>
  <si>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</si>
  <si>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</si>
  <si>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</si>
  <si>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</si>
  <si>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</si>
  <si>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</si>
  <si>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</si>
  <si>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</si>
  <si>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</si>
  <si>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</si>
  <si>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</si>
  <si>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</si>
  <si>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</si>
  <si>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</si>
  <si>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</si>
  <si>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</si>
  <si>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</si>
  <si>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</si>
  <si>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</si>
  <si>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</si>
  <si>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</si>
  <si>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</si>
  <si>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</si>
  <si>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</si>
  <si>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</si>
  <si>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</si>
  <si>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</si>
  <si>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</si>
  <si>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</si>
  <si>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</si>
  <si>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</si>
  <si>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</si>
  <si>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</si>
  <si>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</si>
  <si>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</si>
  <si>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</si>
  <si>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</si>
  <si>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</si>
  <si>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</si>
  <si>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</si>
  <si>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</si>
  <si>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</si>
  <si>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</si>
  <si>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</si>
  <si>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</si>
  <si>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</si>
  <si>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</si>
  <si>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</si>
  <si>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</si>
  <si>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</si>
  <si>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</si>
  <si>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</si>
  <si>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</si>
  <si>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</si>
  <si>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</si>
  <si>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</si>
  <si>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</si>
  <si>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</si>
  <si>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</si>
  <si>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</si>
  <si>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</si>
  <si>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</si>
  <si>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</si>
  <si>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</si>
  <si>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</si>
  <si>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</si>
  <si>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</si>
  <si>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</si>
  <si>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</si>
  <si>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</si>
  <si>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</si>
  <si>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</si>
  <si>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</si>
  <si>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</si>
  <si>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</si>
  <si>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</si>
  <si>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</si>
  <si>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</si>
  <si>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</si>
  <si>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</si>
  <si>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</si>
  <si>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</si>
  <si>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</si>
  <si>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</si>
  <si>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</si>
  <si>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</si>
  <si>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</si>
  <si>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</si>
  <si>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</si>
  <si>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</si>
  <si>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</si>
  <si>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</si>
  <si>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</si>
  <si>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</si>
  <si>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</si>
  <si>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</si>
  <si>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</si>
  <si>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</si>
  <si>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</si>
  <si>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</si>
  <si>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</si>
  <si>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</si>
  <si>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</si>
  <si>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</si>
  <si>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</si>
  <si>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</si>
  <si>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</si>
  <si>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</si>
  <si>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</si>
  <si>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</si>
  <si>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</si>
  <si>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</si>
  <si>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</si>
  <si>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</si>
  <si>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</si>
  <si>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</si>
  <si>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</si>
  <si>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</si>
  <si>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</si>
  <si>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</si>
  <si>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</si>
  <si>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</si>
  <si>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</si>
  <si>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</si>
  <si>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</si>
  <si>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</si>
  <si>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</si>
  <si>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</si>
  <si>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</si>
  <si>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</si>
  <si>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</si>
  <si>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</si>
  <si>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</si>
  <si>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</si>
  <si>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</si>
  <si>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</si>
  <si>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</si>
  <si>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</si>
  <si>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</si>
  <si>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</si>
  <si>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</si>
  <si>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</si>
  <si>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</si>
  <si>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</si>
  <si>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</si>
  <si>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</si>
  <si>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</si>
  <si>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</si>
  <si>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</si>
  <si>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</si>
  <si>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</si>
  <si>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</si>
  <si>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</si>
  <si>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</si>
  <si>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</si>
  <si>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</si>
  <si>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</si>
  <si>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</si>
  <si>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</si>
  <si>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</si>
  <si>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</si>
  <si>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</si>
  <si>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</si>
  <si>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</si>
  <si>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</si>
  <si>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</si>
  <si>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</si>
  <si>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</si>
  <si>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</si>
  <si>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</si>
  <si>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</si>
  <si>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</si>
  <si>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</si>
  <si>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</si>
  <si>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</si>
  <si>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</si>
  <si>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</si>
  <si>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</si>
  <si>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</si>
  <si>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</si>
  <si>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</si>
  <si>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</si>
  <si>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</si>
  <si>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</si>
  <si>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</si>
  <si>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</si>
  <si>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</si>
  <si>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</si>
  <si>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</si>
  <si>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</si>
  <si>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</si>
  <si>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</si>
  <si>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</si>
  <si>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</si>
  <si>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</si>
  <si>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</si>
  <si>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</si>
  <si>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</si>
  <si>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</si>
  <si>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</si>
  <si>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</si>
  <si>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</si>
  <si>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</si>
  <si>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</si>
  <si>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</si>
  <si>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</si>
  <si>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</si>
  <si>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</si>
  <si>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</si>
  <si>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</si>
  <si>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</si>
  <si>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</si>
  <si>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</si>
  <si>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</si>
  <si>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</si>
  <si>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</si>
  <si>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</si>
  <si>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</si>
  <si>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</si>
  <si>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</si>
  <si>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</si>
  <si>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</si>
  <si>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</si>
  <si>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</si>
  <si>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</si>
  <si>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</si>
  <si>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</si>
  <si>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</si>
  <si>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</si>
  <si>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</si>
  <si>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</si>
  <si>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</si>
  <si>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</si>
  <si>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</si>
  <si>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</si>
  <si>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</si>
  <si>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</si>
  <si>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</si>
  <si>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</si>
  <si>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</si>
  <si>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</si>
  <si>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</si>
  <si>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</si>
  <si>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</si>
  <si>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</si>
  <si>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</si>
  <si>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</si>
  <si>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</si>
  <si>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</si>
  <si>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</si>
  <si>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</si>
  <si>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</si>
  <si>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</si>
  <si>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</si>
  <si>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</si>
  <si>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</si>
  <si>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</si>
  <si>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</si>
  <si>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</si>
  <si>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</si>
  <si>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</si>
  <si>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</si>
  <si>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</si>
  <si>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</si>
  <si>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</si>
  <si>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</si>
  <si>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</si>
  <si>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</si>
  <si>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</si>
  <si>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</si>
  <si>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</si>
  <si>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</si>
  <si>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</si>
  <si>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</si>
  <si>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</si>
  <si>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</si>
  <si>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</si>
  <si>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</si>
  <si>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</si>
  <si>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</si>
  <si>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</si>
  <si>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</si>
  <si>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</si>
  <si>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</si>
  <si>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</si>
  <si>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</si>
  <si>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</si>
  <si>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</si>
  <si>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</si>
  <si>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</si>
  <si>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</si>
  <si>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</si>
  <si>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</si>
  <si>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</si>
  <si>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</si>
  <si>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</si>
  <si>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</si>
  <si>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</si>
  <si>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</si>
  <si>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</si>
  <si>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</si>
  <si>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</si>
  <si>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</si>
  <si>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</si>
  <si>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</si>
  <si>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</si>
  <si>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</si>
  <si>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</si>
  <si>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</si>
  <si>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</si>
  <si>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</si>
  <si>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</si>
  <si>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</si>
  <si>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</si>
  <si>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</si>
  <si>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</si>
  <si>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</si>
  <si>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</si>
  <si>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</si>
  <si>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</si>
  <si>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</si>
  <si>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</si>
  <si>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</si>
  <si>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</si>
  <si>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</si>
  <si>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</si>
  <si>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</si>
  <si>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</si>
  <si>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</si>
  <si>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</si>
  <si>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</si>
  <si>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</si>
  <si>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</si>
  <si>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</si>
  <si>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</si>
  <si>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</si>
  <si>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</si>
  <si>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</si>
  <si>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</si>
  <si>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</si>
  <si>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</si>
  <si>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</si>
  <si>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</si>
  <si>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</si>
  <si>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</si>
  <si>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</si>
  <si>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</si>
  <si>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</si>
  <si>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</si>
  <si>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</si>
  <si>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</si>
  <si>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</si>
  <si>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</si>
  <si>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</si>
  <si>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</si>
  <si>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</si>
  <si>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</si>
  <si>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</si>
  <si>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</si>
  <si>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</si>
  <si>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</si>
  <si>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</si>
  <si>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</si>
  <si>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</si>
  <si>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</si>
  <si>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</si>
  <si>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</si>
  <si>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</si>
  <si>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</si>
  <si>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</si>
  <si>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</si>
  <si>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</si>
  <si>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</si>
  <si>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</si>
  <si>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</si>
  <si>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</si>
  <si>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</si>
  <si>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</si>
  <si>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</si>
  <si>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</si>
  <si>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</si>
  <si>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</si>
  <si>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</si>
  <si>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</si>
  <si>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</si>
  <si>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</si>
  <si>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</si>
  <si>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</si>
  <si>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</si>
  <si>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</si>
  <si>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</si>
  <si>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</si>
  <si>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</si>
  <si>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</si>
  <si>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</si>
  <si>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</si>
  <si>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</si>
  <si>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</si>
  <si>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</si>
  <si>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</si>
  <si>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</si>
  <si>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</si>
  <si>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</si>
  <si>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</si>
  <si>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</si>
  <si>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</si>
  <si>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</si>
  <si>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</si>
  <si>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</si>
  <si>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</si>
  <si>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</si>
  <si>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</si>
  <si>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</si>
  <si>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</si>
  <si>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</si>
  <si>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</si>
  <si>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</si>
  <si>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</si>
  <si>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</si>
  <si>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</si>
  <si>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</si>
  <si>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</si>
  <si>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</si>
  <si>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</si>
  <si>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</si>
  <si>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</si>
  <si>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</si>
  <si>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</si>
  <si>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</si>
  <si>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</si>
  <si>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</si>
  <si>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</si>
  <si>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</si>
  <si>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</si>
  <si>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</si>
  <si>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</si>
  <si>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</si>
  <si>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</si>
  <si>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</si>
  <si>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</si>
  <si>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</si>
  <si>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</si>
  <si>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</si>
  <si>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</si>
  <si>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</si>
  <si>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</si>
  <si>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</si>
  <si>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</si>
  <si>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</si>
  <si>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</si>
  <si>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</si>
  <si>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</si>
  <si>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</si>
  <si>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</si>
  <si>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</si>
  <si>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</si>
  <si>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</si>
  <si>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</si>
  <si>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</si>
  <si>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</si>
  <si>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</si>
  <si>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</si>
  <si>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</si>
  <si>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</si>
  <si>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</si>
  <si>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</si>
  <si>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</si>
  <si>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</si>
  <si>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</si>
  <si>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</si>
  <si>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</si>
  <si>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</si>
  <si>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</si>
  <si>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</si>
  <si>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</si>
  <si>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</si>
  <si>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</si>
  <si>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</si>
  <si>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</si>
  <si>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</si>
  <si>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</si>
  <si>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</si>
  <si>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</si>
  <si>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</si>
  <si>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</si>
  <si>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</si>
  <si>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</si>
  <si>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</si>
  <si>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</si>
  <si>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</si>
  <si>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</si>
  <si>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</si>
  <si>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</si>
  <si>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</si>
  <si>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</si>
  <si>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</si>
  <si>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</si>
  <si>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</si>
  <si>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</si>
  <si>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</si>
  <si>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</si>
  <si>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</si>
  <si>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</si>
  <si>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</si>
  <si>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</si>
  <si>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</si>
  <si>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</si>
  <si>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</si>
  <si>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</si>
  <si>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</si>
  <si>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</si>
  <si>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</si>
  <si>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</si>
  <si>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</si>
  <si>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</si>
  <si>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</si>
  <si>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</si>
  <si>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</si>
  <si>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</si>
  <si>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</si>
  <si>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</si>
  <si>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</si>
  <si>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</si>
  <si>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</si>
  <si>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</si>
  <si>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</si>
  <si>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</si>
  <si>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</si>
  <si>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</si>
  <si>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</si>
  <si>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</si>
  <si>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</si>
  <si>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</si>
  <si>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</si>
  <si>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</si>
  <si>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</si>
  <si>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</si>
  <si>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</si>
  <si>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</si>
  <si>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</si>
  <si>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</si>
  <si>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</si>
  <si>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</si>
  <si>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</si>
  <si>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</si>
  <si>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</si>
  <si>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</si>
  <si>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</si>
  <si>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</si>
  <si>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</si>
  <si>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</si>
  <si>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</si>
  <si>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</si>
  <si>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</si>
  <si>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</si>
  <si>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</si>
  <si>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</si>
  <si>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</si>
  <si>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</si>
  <si>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</si>
  <si>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</si>
  <si>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</si>
  <si>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</si>
  <si>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</si>
  <si>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</si>
  <si>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</si>
  <si>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</si>
  <si>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</si>
  <si>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</si>
  <si>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</si>
  <si>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</si>
  <si>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</si>
  <si>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</si>
  <si>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</si>
  <si>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</si>
  <si>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</si>
  <si>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</si>
  <si>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</si>
  <si>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</si>
  <si>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</si>
  <si>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</si>
  <si>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</si>
  <si>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</si>
  <si>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</si>
  <si>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</si>
  <si>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</si>
  <si>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</si>
  <si>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</si>
  <si>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</si>
  <si>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</si>
  <si>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</si>
  <si>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</si>
  <si>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</si>
  <si>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</si>
  <si>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</si>
  <si>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</si>
  <si>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</si>
  <si>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</si>
  <si>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</si>
  <si>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</si>
  <si>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</si>
  <si>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</si>
  <si>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</si>
  <si>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</si>
  <si>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</si>
  <si>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</si>
  <si>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</si>
  <si>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</si>
  <si>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</si>
  <si>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</si>
  <si>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</si>
  <si>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</si>
  <si>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</si>
  <si>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</si>
  <si>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</si>
  <si>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</si>
  <si>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</si>
  <si>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</si>
  <si>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</si>
  <si>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</si>
  <si>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</si>
  <si>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</si>
  <si>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</si>
  <si>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</si>
  <si>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</si>
  <si>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</si>
  <si>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</si>
  <si>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</si>
  <si>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</si>
  <si>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</si>
  <si>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</si>
  <si>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</si>
  <si>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</si>
  <si>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</si>
  <si>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</si>
  <si>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</si>
  <si>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</si>
  <si>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</si>
  <si>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</si>
  <si>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</si>
  <si>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</si>
  <si>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</si>
  <si>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</si>
  <si>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</si>
  <si>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</si>
  <si>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</si>
  <si>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</si>
  <si>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</si>
  <si>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</si>
  <si>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</si>
  <si>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</si>
  <si>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</si>
  <si>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</si>
  <si>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</si>
  <si>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</si>
  <si>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</si>
  <si>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</si>
  <si>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</si>
  <si>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</si>
  <si>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</si>
  <si>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</si>
  <si>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</si>
  <si>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</si>
  <si>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</si>
  <si>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</si>
  <si>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</si>
  <si>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</si>
  <si>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</si>
  <si>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</si>
  <si>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</si>
  <si>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</si>
  <si>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</si>
  <si>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</si>
  <si>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</si>
  <si>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</si>
  <si>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</si>
  <si>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</si>
  <si>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</si>
  <si>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</si>
  <si>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</si>
  <si>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</si>
  <si>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</si>
  <si>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</si>
  <si>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</si>
  <si>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</si>
  <si>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</si>
  <si>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</si>
  <si>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</si>
  <si>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</si>
  <si>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</si>
  <si>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</si>
  <si>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</si>
  <si>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</si>
  <si>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</si>
  <si>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</si>
  <si>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</si>
  <si>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</si>
  <si>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</si>
  <si>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</si>
  <si>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</si>
  <si>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</si>
  <si>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</si>
  <si>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</si>
  <si>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</si>
  <si>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</si>
  <si>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</si>
  <si>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</si>
  <si>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</si>
  <si>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</si>
  <si>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</si>
  <si>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</si>
  <si>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</si>
  <si>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</si>
  <si>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</si>
  <si>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</si>
  <si>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</si>
  <si>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</si>
  <si>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</si>
  <si>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</si>
  <si>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</si>
  <si>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</si>
  <si>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</si>
  <si>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</si>
  <si>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</si>
  <si>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</si>
  <si>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</si>
  <si>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</si>
  <si>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</si>
  <si>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</si>
  <si>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</si>
  <si>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</si>
  <si>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</si>
  <si>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</si>
  <si>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</si>
  <si>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</si>
  <si>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</si>
  <si>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</si>
  <si>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</si>
  <si>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</si>
  <si>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</si>
  <si>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</si>
  <si>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</si>
  <si>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</si>
  <si>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</si>
  <si>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</si>
  <si>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</si>
  <si>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</si>
  <si>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</si>
  <si>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</si>
  <si>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</si>
  <si>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</si>
  <si>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</si>
  <si>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</si>
  <si>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</si>
  <si>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</si>
  <si>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</si>
  <si>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</si>
  <si>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</si>
  <si>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</si>
  <si>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</si>
  <si>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</si>
  <si>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</si>
  <si>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</si>
  <si>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</si>
  <si>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</si>
  <si>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</si>
  <si>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</si>
  <si>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</si>
  <si>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</si>
  <si>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</si>
  <si>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</si>
  <si>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</si>
  <si>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</si>
  <si>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</si>
  <si>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</si>
  <si>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</si>
  <si>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</si>
  <si>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</si>
  <si>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</si>
  <si>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</si>
  <si>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</si>
  <si>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</si>
  <si>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</si>
  <si>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</si>
  <si>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</si>
  <si>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</si>
  <si>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</si>
  <si>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</si>
  <si>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</si>
  <si>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</si>
  <si>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</si>
  <si>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</si>
  <si>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</si>
  <si>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</si>
  <si>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</si>
  <si>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</si>
  <si>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</si>
  <si>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</si>
  <si>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</si>
  <si>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</si>
  <si>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</si>
  <si>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</si>
  <si>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</si>
  <si>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</si>
  <si>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</si>
  <si>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</si>
  <si>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</si>
  <si>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</si>
  <si>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</si>
  <si>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</si>
  <si>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</si>
  <si>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</si>
  <si>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</si>
  <si>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</si>
  <si>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</si>
  <si>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</si>
  <si>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</si>
  <si>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</si>
  <si>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</si>
  <si>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машине 6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</si>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</sst>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906</v>
      </c>
      <c r="I5" s="897"/>
      <c r="J5" s="897"/>
      <c r="K5" s="897"/>
      <c r="L5" s="897"/>
      <c r="M5" s="705"/>
      <c r="N5" s="58"/>
      <c r="P5" s="24" t="s">
        <v>10</v>
      </c>
      <c r="Q5" s="942">
        <v>46235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882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Суббота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6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0.58333333333333337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907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26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27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28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29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30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31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32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33</v>
      </c>
      <c r="B17" s="680" t="s">
        <v>34</v>
      </c>
      <c r="C17" s="758" t="s">
        <v>35</v>
      </c>
      <c r="D17" s="680" t="s">
        <v>36</v>
      </c>
      <c r="E17" s="746"/>
      <c r="F17" s="680" t="s">
        <v>37</v>
      </c>
      <c r="G17" s="680" t="s">
        <v>38</v>
      </c>
      <c r="H17" s="680" t="s">
        <v>39</v>
      </c>
      <c r="I17" s="680" t="s">
        <v>40</v>
      </c>
      <c r="J17" s="680" t="s">
        <v>41</v>
      </c>
      <c r="K17" s="680" t="s">
        <v>42</v>
      </c>
      <c r="L17" s="680" t="s">
        <v>43</v>
      </c>
      <c r="M17" s="680" t="s">
        <v>44</v>
      </c>
      <c r="N17" s="680" t="s">
        <v>45</v>
      </c>
      <c r="O17" s="680" t="s">
        <v>46</v>
      </c>
      <c r="P17" s="680" t="s">
        <v>47</v>
      </c>
      <c r="Q17" s="745"/>
      <c r="R17" s="745"/>
      <c r="S17" s="745"/>
      <c r="T17" s="746"/>
      <c r="U17" s="988" t="s">
        <v>48</v>
      </c>
      <c r="V17" s="716"/>
      <c r="W17" s="680" t="s">
        <v>49</v>
      </c>
      <c r="X17" s="680" t="s">
        <v>50</v>
      </c>
      <c r="Y17" s="989" t="s">
        <v>51</v>
      </c>
      <c r="Z17" s="890" t="s">
        <v>52</v>
      </c>
      <c r="AA17" s="860" t="s">
        <v>53</v>
      </c>
      <c r="AB17" s="860" t="s">
        <v>54</v>
      </c>
      <c r="AC17" s="860" t="s">
        <v>55</v>
      </c>
      <c r="AD17" s="860" t="s">
        <v>56</v>
      </c>
      <c r="AE17" s="936"/>
      <c r="AF17" s="937"/>
      <c r="AG17" s="66"/>
      <c r="BD17" s="65" t="s">
        <v>57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58</v>
      </c>
      <c r="V18" s="67" t="s">
        <v>59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60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60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61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66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66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71</v>
      </c>
      <c r="Q24" s="651"/>
      <c r="R24" s="651"/>
      <c r="S24" s="651"/>
      <c r="T24" s="651"/>
      <c r="U24" s="651"/>
      <c r="V24" s="652"/>
      <c r="W24" s="37" t="s">
        <v>72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71</v>
      </c>
      <c r="Q25" s="651"/>
      <c r="R25" s="651"/>
      <c r="S25" s="651"/>
      <c r="T25" s="651"/>
      <c r="U25" s="651"/>
      <c r="V25" s="652"/>
      <c r="W25" s="37" t="s">
        <v>66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73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66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66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66</v>
      </c>
      <c r="X29" s="627">
        <v>43</v>
      </c>
      <c r="Y29" s="628">
        <f>IFERROR(IF(X29="",0,CEILING((X29/$H29),1)*$H29),"")</f>
        <v>43.2</v>
      </c>
      <c r="Z29" s="36">
        <f>IFERROR(IF(Y29=0,"",ROUNDUP(Y29/H29,0)*0.00651),"")</f>
        <v>0.15623999999999999</v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75.966666666666669</v>
      </c>
      <c r="BN29" s="64">
        <f>IFERROR(Y29*I29/H29,"0")</f>
        <v>76.320000000000007</v>
      </c>
      <c r="BO29" s="64">
        <f>IFERROR(1/J29*(X29/H29),"0")</f>
        <v>0.13125763125763126</v>
      </c>
      <c r="BP29" s="64">
        <f>IFERROR(1/J29*(Y29/H29),"0")</f>
        <v>0.13186813186813187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66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66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71</v>
      </c>
      <c r="Q32" s="651"/>
      <c r="R32" s="651"/>
      <c r="S32" s="651"/>
      <c r="T32" s="651"/>
      <c r="U32" s="651"/>
      <c r="V32" s="652"/>
      <c r="W32" s="37" t="s">
        <v>72</v>
      </c>
      <c r="X32" s="629">
        <f>IFERROR(X27/H27,"0")+IFERROR(X28/H28,"0")+IFERROR(X29/H29,"0")+IFERROR(X30/H30,"0")+IFERROR(X31/H31,"0")</f>
        <v>23.888888888888889</v>
      </c>
      <c r="Y32" s="629">
        <f>IFERROR(Y27/H27,"0")+IFERROR(Y28/H28,"0")+IFERROR(Y29/H29,"0")+IFERROR(Y30/H30,"0")+IFERROR(Y31/H31,"0")</f>
        <v>24</v>
      </c>
      <c r="Z32" s="629">
        <f>IFERROR(IF(Z27="",0,Z27),"0")+IFERROR(IF(Z28="",0,Z28),"0")+IFERROR(IF(Z29="",0,Z29),"0")+IFERROR(IF(Z30="",0,Z30),"0")+IFERROR(IF(Z31="",0,Z31),"0")</f>
        <v>0.15623999999999999</v>
      </c>
      <c r="AA32" s="630"/>
      <c r="AB32" s="630"/>
      <c r="AC32" s="630"/>
    </row>
    <row r="33" spans="1:68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71</v>
      </c>
      <c r="Q33" s="651"/>
      <c r="R33" s="651"/>
      <c r="S33" s="651"/>
      <c r="T33" s="651"/>
      <c r="U33" s="651"/>
      <c r="V33" s="652"/>
      <c r="W33" s="37" t="s">
        <v>66</v>
      </c>
      <c r="X33" s="629">
        <f>IFERROR(SUM(X27:X31),"0")</f>
        <v>43</v>
      </c>
      <c r="Y33" s="629">
        <f>IFERROR(SUM(Y27:Y31),"0")</f>
        <v>43.2</v>
      </c>
      <c r="Z33" s="37"/>
      <c r="AA33" s="630"/>
      <c r="AB33" s="630"/>
      <c r="AC33" s="630"/>
    </row>
    <row r="34" spans="1:68" ht="14.25" hidden="1" customHeight="1" x14ac:dyDescent="0.25">
      <c r="A34" s="654" t="s">
        <v>91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92</v>
      </c>
      <c r="B35" s="54" t="s">
        <v>93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76</v>
      </c>
      <c r="L35" s="32"/>
      <c r="M35" s="33" t="s">
        <v>94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66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95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71</v>
      </c>
      <c r="Q36" s="651"/>
      <c r="R36" s="651"/>
      <c r="S36" s="651"/>
      <c r="T36" s="651"/>
      <c r="U36" s="651"/>
      <c r="V36" s="652"/>
      <c r="W36" s="37" t="s">
        <v>72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71</v>
      </c>
      <c r="Q37" s="651"/>
      <c r="R37" s="651"/>
      <c r="S37" s="651"/>
      <c r="T37" s="651"/>
      <c r="U37" s="651"/>
      <c r="V37" s="652"/>
      <c r="W37" s="37" t="s">
        <v>66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97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98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73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99</v>
      </c>
      <c r="B41" s="54" t="s">
        <v>100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76</v>
      </c>
      <c r="L41" s="32"/>
      <c r="M41" s="33" t="s">
        <v>83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66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101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102</v>
      </c>
      <c r="B42" s="54" t="s">
        <v>103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66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105</v>
      </c>
      <c r="B43" s="54" t="s">
        <v>106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76</v>
      </c>
      <c r="L43" s="32"/>
      <c r="M43" s="33" t="s">
        <v>77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66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108</v>
      </c>
      <c r="B44" s="54" t="s">
        <v>109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76</v>
      </c>
      <c r="L44" s="32"/>
      <c r="M44" s="33" t="s">
        <v>77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66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110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111</v>
      </c>
      <c r="B45" s="54" t="s">
        <v>112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76</v>
      </c>
      <c r="L45" s="32"/>
      <c r="M45" s="33" t="s">
        <v>77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66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113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71</v>
      </c>
      <c r="Q46" s="651"/>
      <c r="R46" s="651"/>
      <c r="S46" s="651"/>
      <c r="T46" s="651"/>
      <c r="U46" s="651"/>
      <c r="V46" s="652"/>
      <c r="W46" s="37" t="s">
        <v>72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71</v>
      </c>
      <c r="Q47" s="651"/>
      <c r="R47" s="651"/>
      <c r="S47" s="651"/>
      <c r="T47" s="651"/>
      <c r="U47" s="651"/>
      <c r="V47" s="652"/>
      <c r="W47" s="37" t="s">
        <v>66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114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115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116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hidden="1" customHeight="1" x14ac:dyDescent="0.25">
      <c r="A51" s="54" t="s">
        <v>117</v>
      </c>
      <c r="B51" s="54" t="s">
        <v>118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119</v>
      </c>
      <c r="L51" s="32"/>
      <c r="M51" s="33" t="s">
        <v>120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66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121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122</v>
      </c>
      <c r="B52" s="54" t="s">
        <v>123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124</v>
      </c>
      <c r="L52" s="32"/>
      <c r="M52" s="33" t="s">
        <v>65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66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125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126</v>
      </c>
      <c r="B53" s="54" t="s">
        <v>127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128</v>
      </c>
      <c r="L53" s="32"/>
      <c r="M53" s="33" t="s">
        <v>77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66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121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129</v>
      </c>
      <c r="B54" s="54" t="s">
        <v>130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128</v>
      </c>
      <c r="L54" s="32"/>
      <c r="M54" s="33" t="s">
        <v>77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66</v>
      </c>
      <c r="X54" s="627">
        <v>14</v>
      </c>
      <c r="Y54" s="628">
        <f>IFERROR(IF(X54="",0,CEILING((X54/$H54),1)*$H54),"")</f>
        <v>14.8</v>
      </c>
      <c r="Z54" s="36">
        <f>IFERROR(IF(Y54=0,"",ROUNDUP(Y54/H54,0)*0.00902),"")</f>
        <v>3.6080000000000001E-2</v>
      </c>
      <c r="AA54" s="56"/>
      <c r="AB54" s="57"/>
      <c r="AC54" s="101" t="s">
        <v>121</v>
      </c>
      <c r="AG54" s="64"/>
      <c r="AJ54" s="68"/>
      <c r="AK54" s="68">
        <v>0</v>
      </c>
      <c r="BB54" s="102" t="s">
        <v>1</v>
      </c>
      <c r="BM54" s="64">
        <f>IFERROR(X54*I54/H54,"0")</f>
        <v>14.718918918918918</v>
      </c>
      <c r="BN54" s="64">
        <f>IFERROR(Y54*I54/H54,"0")</f>
        <v>15.56</v>
      </c>
      <c r="BO54" s="64">
        <f>IFERROR(1/J54*(X54/H54),"0")</f>
        <v>2.8665028665028666E-2</v>
      </c>
      <c r="BP54" s="64">
        <f>IFERROR(1/J54*(Y54/H54),"0")</f>
        <v>3.0303030303030304E-2</v>
      </c>
    </row>
    <row r="55" spans="1:68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71</v>
      </c>
      <c r="Q55" s="651"/>
      <c r="R55" s="651"/>
      <c r="S55" s="651"/>
      <c r="T55" s="651"/>
      <c r="U55" s="651"/>
      <c r="V55" s="652"/>
      <c r="W55" s="37" t="s">
        <v>72</v>
      </c>
      <c r="X55" s="629">
        <f>IFERROR(X51/H51,"0")+IFERROR(X52/H52,"0")+IFERROR(X53/H53,"0")+IFERROR(X54/H54,"0")</f>
        <v>3.7837837837837838</v>
      </c>
      <c r="Y55" s="629">
        <f>IFERROR(Y51/H51,"0")+IFERROR(Y52/H52,"0")+IFERROR(Y53/H53,"0")+IFERROR(Y54/H54,"0")</f>
        <v>4</v>
      </c>
      <c r="Z55" s="629">
        <f>IFERROR(IF(Z51="",0,Z51),"0")+IFERROR(IF(Z52="",0,Z52),"0")+IFERROR(IF(Z53="",0,Z53),"0")+IFERROR(IF(Z54="",0,Z54),"0")</f>
        <v>3.6080000000000001E-2</v>
      </c>
      <c r="AA55" s="630"/>
      <c r="AB55" s="630"/>
      <c r="AC55" s="630"/>
    </row>
    <row r="56" spans="1:68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71</v>
      </c>
      <c r="Q56" s="651"/>
      <c r="R56" s="651"/>
      <c r="S56" s="651"/>
      <c r="T56" s="651"/>
      <c r="U56" s="651"/>
      <c r="V56" s="652"/>
      <c r="W56" s="37" t="s">
        <v>66</v>
      </c>
      <c r="X56" s="629">
        <f>IFERROR(SUM(X51:X54),"0")</f>
        <v>14</v>
      </c>
      <c r="Y56" s="629">
        <f>IFERROR(SUM(Y51:Y54),"0")</f>
        <v>14.8</v>
      </c>
      <c r="Z56" s="37"/>
      <c r="AA56" s="630"/>
      <c r="AB56" s="630"/>
      <c r="AC56" s="630"/>
    </row>
    <row r="57" spans="1:68" ht="16.5" hidden="1" customHeight="1" x14ac:dyDescent="0.25">
      <c r="A57" s="657" t="s">
        <v>131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116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customHeight="1" x14ac:dyDescent="0.25">
      <c r="A59" s="54" t="s">
        <v>132</v>
      </c>
      <c r="B59" s="54" t="s">
        <v>133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119</v>
      </c>
      <c r="L59" s="32"/>
      <c r="M59" s="33" t="s">
        <v>77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66</v>
      </c>
      <c r="X59" s="627">
        <v>26</v>
      </c>
      <c r="Y59" s="628">
        <f t="shared" ref="Y59:Y66" si="0">IFERROR(IF(X59="",0,CEILING((X59/$H59),1)*$H59),"")</f>
        <v>33.599999999999994</v>
      </c>
      <c r="Z59" s="36">
        <f>IFERROR(IF(Y59=0,"",ROUNDUP(Y59/H59,0)*0.01898),"")</f>
        <v>5.6940000000000004E-2</v>
      </c>
      <c r="AA59" s="56"/>
      <c r="AB59" s="57"/>
      <c r="AC59" s="103" t="s">
        <v>134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26.951785714285716</v>
      </c>
      <c r="BN59" s="64">
        <f t="shared" ref="BN59:BN66" si="2">IFERROR(Y59*I59/H59,"0")</f>
        <v>34.829999999999991</v>
      </c>
      <c r="BO59" s="64">
        <f t="shared" ref="BO59:BO66" si="3">IFERROR(1/J59*(X59/H59),"0")</f>
        <v>3.6272321428571432E-2</v>
      </c>
      <c r="BP59" s="64">
        <f t="shared" ref="BP59:BP66" si="4">IFERROR(1/J59*(Y59/H59),"0")</f>
        <v>4.6874999999999993E-2</v>
      </c>
    </row>
    <row r="60" spans="1:68" ht="27" hidden="1" customHeight="1" x14ac:dyDescent="0.25">
      <c r="A60" s="54" t="s">
        <v>132</v>
      </c>
      <c r="B60" s="54" t="s">
        <v>135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119</v>
      </c>
      <c r="L60" s="32"/>
      <c r="M60" s="33" t="s">
        <v>120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66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136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137</v>
      </c>
      <c r="B61" s="54" t="s">
        <v>138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119</v>
      </c>
      <c r="L61" s="32"/>
      <c r="M61" s="33" t="s">
        <v>120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66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139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128</v>
      </c>
      <c r="L62" s="32"/>
      <c r="M62" s="33" t="s">
        <v>120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66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142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140</v>
      </c>
      <c r="B63" s="54" t="s">
        <v>143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128</v>
      </c>
      <c r="L63" s="32"/>
      <c r="M63" s="33" t="s">
        <v>120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66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142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144</v>
      </c>
      <c r="B64" s="54" t="s">
        <v>145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128</v>
      </c>
      <c r="L64" s="32"/>
      <c r="M64" s="33" t="s">
        <v>120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66</v>
      </c>
      <c r="X64" s="627">
        <v>10</v>
      </c>
      <c r="Y64" s="628">
        <f t="shared" si="0"/>
        <v>12</v>
      </c>
      <c r="Z64" s="36">
        <f>IFERROR(IF(Y64=0,"",ROUNDUP(Y64/H64,0)*0.00902),"")</f>
        <v>2.7060000000000001E-2</v>
      </c>
      <c r="AA64" s="56"/>
      <c r="AB64" s="57"/>
      <c r="AC64" s="113" t="s">
        <v>146</v>
      </c>
      <c r="AG64" s="64"/>
      <c r="AJ64" s="68"/>
      <c r="AK64" s="68">
        <v>0</v>
      </c>
      <c r="BB64" s="114" t="s">
        <v>1</v>
      </c>
      <c r="BM64" s="64">
        <f t="shared" si="1"/>
        <v>10.475000000000001</v>
      </c>
      <c r="BN64" s="64">
        <f t="shared" si="2"/>
        <v>12.57</v>
      </c>
      <c r="BO64" s="64">
        <f t="shared" si="3"/>
        <v>1.893939393939394E-2</v>
      </c>
      <c r="BP64" s="64">
        <f t="shared" si="4"/>
        <v>2.2727272727272728E-2</v>
      </c>
    </row>
    <row r="65" spans="1:68" ht="27" hidden="1" customHeight="1" x14ac:dyDescent="0.25">
      <c r="A65" s="54" t="s">
        <v>147</v>
      </c>
      <c r="B65" s="54" t="s">
        <v>148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76</v>
      </c>
      <c r="L65" s="32"/>
      <c r="M65" s="33" t="s">
        <v>120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66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136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149</v>
      </c>
      <c r="B66" s="54" t="s">
        <v>150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128</v>
      </c>
      <c r="L66" s="32"/>
      <c r="M66" s="33" t="s">
        <v>120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66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151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71</v>
      </c>
      <c r="Q67" s="651"/>
      <c r="R67" s="651"/>
      <c r="S67" s="651"/>
      <c r="T67" s="651"/>
      <c r="U67" s="651"/>
      <c r="V67" s="652"/>
      <c r="W67" s="37" t="s">
        <v>72</v>
      </c>
      <c r="X67" s="629">
        <f>IFERROR(X59/H59,"0")+IFERROR(X60/H60,"0")+IFERROR(X61/H61,"0")+IFERROR(X62/H62,"0")+IFERROR(X63/H63,"0")+IFERROR(X64/H64,"0")+IFERROR(X65/H65,"0")+IFERROR(X66/H66,"0")</f>
        <v>4.8214285714285712</v>
      </c>
      <c r="Y67" s="629">
        <f>IFERROR(Y59/H59,"0")+IFERROR(Y60/H60,"0")+IFERROR(Y61/H61,"0")+IFERROR(Y62/H62,"0")+IFERROR(Y63/H63,"0")+IFERROR(Y64/H64,"0")+IFERROR(Y65/H65,"0")+IFERROR(Y66/H66,"0")</f>
        <v>6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8.4000000000000005E-2</v>
      </c>
      <c r="AA67" s="630"/>
      <c r="AB67" s="630"/>
      <c r="AC67" s="630"/>
    </row>
    <row r="68" spans="1:68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71</v>
      </c>
      <c r="Q68" s="651"/>
      <c r="R68" s="651"/>
      <c r="S68" s="651"/>
      <c r="T68" s="651"/>
      <c r="U68" s="651"/>
      <c r="V68" s="652"/>
      <c r="W68" s="37" t="s">
        <v>66</v>
      </c>
      <c r="X68" s="629">
        <f>IFERROR(SUM(X59:X66),"0")</f>
        <v>36</v>
      </c>
      <c r="Y68" s="629">
        <f>IFERROR(SUM(Y59:Y66),"0")</f>
        <v>45.599999999999994</v>
      </c>
      <c r="Z68" s="37"/>
      <c r="AA68" s="630"/>
      <c r="AB68" s="630"/>
      <c r="AC68" s="630"/>
    </row>
    <row r="69" spans="1:68" ht="14.25" hidden="1" customHeight="1" x14ac:dyDescent="0.25">
      <c r="A69" s="654" t="s">
        <v>152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hidden="1" customHeight="1" x14ac:dyDescent="0.25">
      <c r="A70" s="54" t="s">
        <v>153</v>
      </c>
      <c r="B70" s="54" t="s">
        <v>154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119</v>
      </c>
      <c r="L70" s="32"/>
      <c r="M70" s="33" t="s">
        <v>120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66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156</v>
      </c>
      <c r="B71" s="54" t="s">
        <v>157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76</v>
      </c>
      <c r="L71" s="32"/>
      <c r="M71" s="33" t="s">
        <v>77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66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155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158</v>
      </c>
      <c r="B72" s="54" t="s">
        <v>159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124</v>
      </c>
      <c r="L72" s="32"/>
      <c r="M72" s="33" t="s">
        <v>65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66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161</v>
      </c>
      <c r="B73" s="54" t="s">
        <v>162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76</v>
      </c>
      <c r="L73" s="32"/>
      <c r="M73" s="33" t="s">
        <v>120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66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155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71</v>
      </c>
      <c r="Q74" s="651"/>
      <c r="R74" s="651"/>
      <c r="S74" s="651"/>
      <c r="T74" s="651"/>
      <c r="U74" s="651"/>
      <c r="V74" s="652"/>
      <c r="W74" s="37" t="s">
        <v>72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71</v>
      </c>
      <c r="Q75" s="651"/>
      <c r="R75" s="651"/>
      <c r="S75" s="651"/>
      <c r="T75" s="651"/>
      <c r="U75" s="651"/>
      <c r="V75" s="652"/>
      <c r="W75" s="37" t="s">
        <v>66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hidden="1" customHeight="1" x14ac:dyDescent="0.25">
      <c r="A76" s="654" t="s">
        <v>73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163</v>
      </c>
      <c r="B77" s="54" t="s">
        <v>164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76</v>
      </c>
      <c r="L77" s="32"/>
      <c r="M77" s="33" t="s">
        <v>77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66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76</v>
      </c>
      <c r="L78" s="32"/>
      <c r="M78" s="33" t="s">
        <v>77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66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71</v>
      </c>
      <c r="Q79" s="651"/>
      <c r="R79" s="651"/>
      <c r="S79" s="651"/>
      <c r="T79" s="651"/>
      <c r="U79" s="651"/>
      <c r="V79" s="652"/>
      <c r="W79" s="37" t="s">
        <v>72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71</v>
      </c>
      <c r="Q80" s="651"/>
      <c r="R80" s="651"/>
      <c r="S80" s="651"/>
      <c r="T80" s="651"/>
      <c r="U80" s="651"/>
      <c r="V80" s="652"/>
      <c r="W80" s="37" t="s">
        <v>66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169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customHeight="1" x14ac:dyDescent="0.25">
      <c r="A82" s="54" t="s">
        <v>170</v>
      </c>
      <c r="B82" s="54" t="s">
        <v>171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119</v>
      </c>
      <c r="L82" s="32"/>
      <c r="M82" s="33" t="s">
        <v>83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66</v>
      </c>
      <c r="X82" s="627">
        <v>32</v>
      </c>
      <c r="Y82" s="628">
        <f>IFERROR(IF(X82="",0,CEILING((X82/$H82),1)*$H82),"")</f>
        <v>39</v>
      </c>
      <c r="Z82" s="36">
        <f>IFERROR(IF(Y82=0,"",ROUNDUP(Y82/H82,0)*0.01898),"")</f>
        <v>9.4899999999999998E-2</v>
      </c>
      <c r="AA82" s="56"/>
      <c r="AB82" s="57"/>
      <c r="AC82" s="131" t="s">
        <v>172</v>
      </c>
      <c r="AG82" s="64"/>
      <c r="AJ82" s="68"/>
      <c r="AK82" s="68">
        <v>0</v>
      </c>
      <c r="BB82" s="132" t="s">
        <v>1</v>
      </c>
      <c r="BM82" s="64">
        <f>IFERROR(X82*I82/H82,"0")</f>
        <v>33.682051282051283</v>
      </c>
      <c r="BN82" s="64">
        <f>IFERROR(Y82*I82/H82,"0")</f>
        <v>41.050000000000011</v>
      </c>
      <c r="BO82" s="64">
        <f>IFERROR(1/J82*(X82/H82),"0")</f>
        <v>6.4102564102564111E-2</v>
      </c>
      <c r="BP82" s="64">
        <f>IFERROR(1/J82*(Y82/H82),"0")</f>
        <v>7.8125E-2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128</v>
      </c>
      <c r="L83" s="32"/>
      <c r="M83" s="33" t="s">
        <v>77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66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71</v>
      </c>
      <c r="Q84" s="651"/>
      <c r="R84" s="651"/>
      <c r="S84" s="651"/>
      <c r="T84" s="651"/>
      <c r="U84" s="651"/>
      <c r="V84" s="652"/>
      <c r="W84" s="37" t="s">
        <v>72</v>
      </c>
      <c r="X84" s="629">
        <f>IFERROR(X82/H82,"0")+IFERROR(X83/H83,"0")</f>
        <v>4.1025641025641031</v>
      </c>
      <c r="Y84" s="629">
        <f>IFERROR(Y82/H82,"0")+IFERROR(Y83/H83,"0")</f>
        <v>5</v>
      </c>
      <c r="Z84" s="629">
        <f>IFERROR(IF(Z82="",0,Z82),"0")+IFERROR(IF(Z83="",0,Z83),"0")</f>
        <v>9.4899999999999998E-2</v>
      </c>
      <c r="AA84" s="630"/>
      <c r="AB84" s="630"/>
      <c r="AC84" s="630"/>
    </row>
    <row r="85" spans="1:68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71</v>
      </c>
      <c r="Q85" s="651"/>
      <c r="R85" s="651"/>
      <c r="S85" s="651"/>
      <c r="T85" s="651"/>
      <c r="U85" s="651"/>
      <c r="V85" s="652"/>
      <c r="W85" s="37" t="s">
        <v>66</v>
      </c>
      <c r="X85" s="629">
        <f>IFERROR(SUM(X82:X83),"0")</f>
        <v>32</v>
      </c>
      <c r="Y85" s="629">
        <f>IFERROR(SUM(Y82:Y83),"0")</f>
        <v>39</v>
      </c>
      <c r="Z85" s="37"/>
      <c r="AA85" s="630"/>
      <c r="AB85" s="630"/>
      <c r="AC85" s="630"/>
    </row>
    <row r="86" spans="1:68" ht="16.5" hidden="1" customHeight="1" x14ac:dyDescent="0.25">
      <c r="A86" s="657" t="s">
        <v>176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116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177</v>
      </c>
      <c r="B88" s="54" t="s">
        <v>178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119</v>
      </c>
      <c r="L88" s="32"/>
      <c r="M88" s="33" t="s">
        <v>83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66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179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124</v>
      </c>
      <c r="L89" s="32"/>
      <c r="M89" s="33" t="s">
        <v>65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66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182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128</v>
      </c>
      <c r="L90" s="32"/>
      <c r="M90" s="33" t="s">
        <v>77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66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128</v>
      </c>
      <c r="L91" s="32"/>
      <c r="M91" s="33" t="s">
        <v>83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66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179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71</v>
      </c>
      <c r="Q92" s="651"/>
      <c r="R92" s="651"/>
      <c r="S92" s="651"/>
      <c r="T92" s="651"/>
      <c r="U92" s="651"/>
      <c r="V92" s="652"/>
      <c r="W92" s="37" t="s">
        <v>72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hidden="1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71</v>
      </c>
      <c r="Q93" s="651"/>
      <c r="R93" s="651"/>
      <c r="S93" s="651"/>
      <c r="T93" s="651"/>
      <c r="U93" s="651"/>
      <c r="V93" s="652"/>
      <c r="W93" s="37" t="s">
        <v>66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hidden="1" customHeight="1" x14ac:dyDescent="0.25">
      <c r="A94" s="654" t="s">
        <v>73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hidden="1" customHeight="1" x14ac:dyDescent="0.25">
      <c r="A95" s="54" t="s">
        <v>187</v>
      </c>
      <c r="B95" s="54" t="s">
        <v>188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119</v>
      </c>
      <c r="L95" s="32"/>
      <c r="M95" s="33" t="s">
        <v>83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66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66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192</v>
      </c>
      <c r="B97" s="54" t="s">
        <v>193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66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189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66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71</v>
      </c>
      <c r="Q99" s="651"/>
      <c r="R99" s="651"/>
      <c r="S99" s="651"/>
      <c r="T99" s="651"/>
      <c r="U99" s="651"/>
      <c r="V99" s="652"/>
      <c r="W99" s="37" t="s">
        <v>72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hidden="1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71</v>
      </c>
      <c r="Q100" s="651"/>
      <c r="R100" s="651"/>
      <c r="S100" s="651"/>
      <c r="T100" s="651"/>
      <c r="U100" s="651"/>
      <c r="V100" s="652"/>
      <c r="W100" s="37" t="s">
        <v>66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hidden="1" customHeight="1" x14ac:dyDescent="0.25">
      <c r="A101" s="657" t="s">
        <v>197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116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hidden="1" customHeight="1" x14ac:dyDescent="0.25">
      <c r="A103" s="54" t="s">
        <v>198</v>
      </c>
      <c r="B103" s="54" t="s">
        <v>199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119</v>
      </c>
      <c r="L103" s="32"/>
      <c r="M103" s="33" t="s">
        <v>120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66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200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201</v>
      </c>
      <c r="B104" s="54" t="s">
        <v>202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124</v>
      </c>
      <c r="L104" s="32"/>
      <c r="M104" s="33" t="s">
        <v>65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66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201</v>
      </c>
      <c r="B105" s="54" t="s">
        <v>204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124</v>
      </c>
      <c r="L105" s="32"/>
      <c r="M105" s="33" t="s">
        <v>65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66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205</v>
      </c>
      <c r="B106" s="54" t="s">
        <v>206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128</v>
      </c>
      <c r="L106" s="32"/>
      <c r="M106" s="33" t="s">
        <v>77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66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128</v>
      </c>
      <c r="L107" s="32"/>
      <c r="M107" s="33" t="s">
        <v>77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66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209</v>
      </c>
      <c r="B108" s="54" t="s">
        <v>210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128</v>
      </c>
      <c r="L108" s="32"/>
      <c r="M108" s="33" t="s">
        <v>77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66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71</v>
      </c>
      <c r="Q109" s="651"/>
      <c r="R109" s="651"/>
      <c r="S109" s="651"/>
      <c r="T109" s="651"/>
      <c r="U109" s="651"/>
      <c r="V109" s="652"/>
      <c r="W109" s="37" t="s">
        <v>72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hidden="1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71</v>
      </c>
      <c r="Q110" s="651"/>
      <c r="R110" s="651"/>
      <c r="S110" s="651"/>
      <c r="T110" s="651"/>
      <c r="U110" s="651"/>
      <c r="V110" s="652"/>
      <c r="W110" s="37" t="s">
        <v>66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152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customHeight="1" x14ac:dyDescent="0.25">
      <c r="A112" s="54" t="s">
        <v>211</v>
      </c>
      <c r="B112" s="54" t="s">
        <v>212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119</v>
      </c>
      <c r="L112" s="32"/>
      <c r="M112" s="33" t="s">
        <v>120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66</v>
      </c>
      <c r="X112" s="627">
        <v>66</v>
      </c>
      <c r="Y112" s="628">
        <f>IFERROR(IF(X112="",0,CEILING((X112/$H112),1)*$H112),"")</f>
        <v>75.600000000000009</v>
      </c>
      <c r="Z112" s="36">
        <f>IFERROR(IF(Y112=0,"",ROUNDUP(Y112/H112,0)*0.01898),"")</f>
        <v>0.13286000000000001</v>
      </c>
      <c r="AA112" s="56"/>
      <c r="AB112" s="57"/>
      <c r="AC112" s="163" t="s">
        <v>213</v>
      </c>
      <c r="AG112" s="64"/>
      <c r="AJ112" s="68"/>
      <c r="AK112" s="68">
        <v>0</v>
      </c>
      <c r="BB112" s="164" t="s">
        <v>1</v>
      </c>
      <c r="BM112" s="64">
        <f>IFERROR(X112*I112/H112,"0")</f>
        <v>68.505555555555546</v>
      </c>
      <c r="BN112" s="64">
        <f>IFERROR(Y112*I112/H112,"0")</f>
        <v>78.47</v>
      </c>
      <c r="BO112" s="64">
        <f>IFERROR(1/J112*(X112/H112),"0")</f>
        <v>9.5486111111111105E-2</v>
      </c>
      <c r="BP112" s="64">
        <f>IFERROR(1/J112*(Y112/H112),"0")</f>
        <v>0.109375</v>
      </c>
    </row>
    <row r="113" spans="1:68" ht="27" hidden="1" customHeight="1" x14ac:dyDescent="0.25">
      <c r="A113" s="54" t="s">
        <v>214</v>
      </c>
      <c r="B113" s="54" t="s">
        <v>215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216</v>
      </c>
      <c r="L113" s="32"/>
      <c r="M113" s="33" t="s">
        <v>65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66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218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216</v>
      </c>
      <c r="L114" s="32"/>
      <c r="M114" s="33" t="s">
        <v>65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66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217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64</v>
      </c>
      <c r="L115" s="32"/>
      <c r="M115" s="33" t="s">
        <v>120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66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213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221</v>
      </c>
      <c r="B116" s="54" t="s">
        <v>222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76</v>
      </c>
      <c r="L116" s="32"/>
      <c r="M116" s="33" t="s">
        <v>120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66</v>
      </c>
      <c r="X116" s="627">
        <v>19</v>
      </c>
      <c r="Y116" s="628">
        <f>IFERROR(IF(X116="",0,CEILING((X116/$H116),1)*$H116),"")</f>
        <v>19.2</v>
      </c>
      <c r="Z116" s="36">
        <f>IFERROR(IF(Y116=0,"",ROUNDUP(Y116/H116,0)*0.00651),"")</f>
        <v>5.2080000000000001E-2</v>
      </c>
      <c r="AA116" s="56"/>
      <c r="AB116" s="57"/>
      <c r="AC116" s="171" t="s">
        <v>213</v>
      </c>
      <c r="AG116" s="64"/>
      <c r="AJ116" s="68"/>
      <c r="AK116" s="68">
        <v>0</v>
      </c>
      <c r="BB116" s="172" t="s">
        <v>1</v>
      </c>
      <c r="BM116" s="64">
        <f>IFERROR(X116*I116/H116,"0")</f>
        <v>20.425000000000001</v>
      </c>
      <c r="BN116" s="64">
        <f>IFERROR(Y116*I116/H116,"0")</f>
        <v>20.64</v>
      </c>
      <c r="BO116" s="64">
        <f>IFERROR(1/J116*(X116/H116),"0")</f>
        <v>4.3498168498168503E-2</v>
      </c>
      <c r="BP116" s="64">
        <f>IFERROR(1/J116*(Y116/H116),"0")</f>
        <v>4.3956043956043959E-2</v>
      </c>
    </row>
    <row r="117" spans="1:68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71</v>
      </c>
      <c r="Q117" s="651"/>
      <c r="R117" s="651"/>
      <c r="S117" s="651"/>
      <c r="T117" s="651"/>
      <c r="U117" s="651"/>
      <c r="V117" s="652"/>
      <c r="W117" s="37" t="s">
        <v>72</v>
      </c>
      <c r="X117" s="629">
        <f>IFERROR(X112/H112,"0")+IFERROR(X113/H113,"0")+IFERROR(X114/H114,"0")+IFERROR(X115/H115,"0")+IFERROR(X116/H116,"0")</f>
        <v>14.027777777777779</v>
      </c>
      <c r="Y117" s="629">
        <f>IFERROR(Y112/H112,"0")+IFERROR(Y113/H113,"0")+IFERROR(Y114/H114,"0")+IFERROR(Y115/H115,"0")+IFERROR(Y116/H116,"0")</f>
        <v>15</v>
      </c>
      <c r="Z117" s="629">
        <f>IFERROR(IF(Z112="",0,Z112),"0")+IFERROR(IF(Z113="",0,Z113),"0")+IFERROR(IF(Z114="",0,Z114),"0")+IFERROR(IF(Z115="",0,Z115),"0")+IFERROR(IF(Z116="",0,Z116),"0")</f>
        <v>0.18493999999999999</v>
      </c>
      <c r="AA117" s="630"/>
      <c r="AB117" s="630"/>
      <c r="AC117" s="630"/>
    </row>
    <row r="118" spans="1:68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71</v>
      </c>
      <c r="Q118" s="651"/>
      <c r="R118" s="651"/>
      <c r="S118" s="651"/>
      <c r="T118" s="651"/>
      <c r="U118" s="651"/>
      <c r="V118" s="652"/>
      <c r="W118" s="37" t="s">
        <v>66</v>
      </c>
      <c r="X118" s="629">
        <f>IFERROR(SUM(X112:X116),"0")</f>
        <v>85</v>
      </c>
      <c r="Y118" s="629">
        <f>IFERROR(SUM(Y112:Y116),"0")</f>
        <v>94.800000000000011</v>
      </c>
      <c r="Z118" s="37"/>
      <c r="AA118" s="630"/>
      <c r="AB118" s="630"/>
      <c r="AC118" s="630"/>
    </row>
    <row r="119" spans="1:68" ht="14.25" hidden="1" customHeight="1" x14ac:dyDescent="0.25">
      <c r="A119" s="654" t="s">
        <v>73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hidden="1" customHeight="1" x14ac:dyDescent="0.25">
      <c r="A120" s="54" t="s">
        <v>223</v>
      </c>
      <c r="B120" s="54" t="s">
        <v>224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119</v>
      </c>
      <c r="L120" s="32"/>
      <c r="M120" s="33" t="s">
        <v>83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66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225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226</v>
      </c>
      <c r="B121" s="54" t="s">
        <v>227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76</v>
      </c>
      <c r="L121" s="32"/>
      <c r="M121" s="33" t="s">
        <v>83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66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225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76</v>
      </c>
      <c r="L122" s="32"/>
      <c r="M122" s="33" t="s">
        <v>83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66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225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230</v>
      </c>
      <c r="B123" s="54" t="s">
        <v>231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66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232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71</v>
      </c>
      <c r="Q124" s="651"/>
      <c r="R124" s="651"/>
      <c r="S124" s="651"/>
      <c r="T124" s="651"/>
      <c r="U124" s="651"/>
      <c r="V124" s="652"/>
      <c r="W124" s="37" t="s">
        <v>72</v>
      </c>
      <c r="X124" s="629">
        <f>IFERROR(X120/H120,"0")+IFERROR(X121/H121,"0")+IFERROR(X122/H122,"0")+IFERROR(X123/H123,"0")</f>
        <v>0</v>
      </c>
      <c r="Y124" s="629">
        <f>IFERROR(Y120/H120,"0")+IFERROR(Y121/H121,"0")+IFERROR(Y122/H122,"0")+IFERROR(Y123/H123,"0")</f>
        <v>0</v>
      </c>
      <c r="Z124" s="629">
        <f>IFERROR(IF(Z120="",0,Z120),"0")+IFERROR(IF(Z121="",0,Z121),"0")+IFERROR(IF(Z122="",0,Z122),"0")+IFERROR(IF(Z123="",0,Z123),"0")</f>
        <v>0</v>
      </c>
      <c r="AA124" s="630"/>
      <c r="AB124" s="630"/>
      <c r="AC124" s="630"/>
    </row>
    <row r="125" spans="1:68" hidden="1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71</v>
      </c>
      <c r="Q125" s="651"/>
      <c r="R125" s="651"/>
      <c r="S125" s="651"/>
      <c r="T125" s="651"/>
      <c r="U125" s="651"/>
      <c r="V125" s="652"/>
      <c r="W125" s="37" t="s">
        <v>66</v>
      </c>
      <c r="X125" s="629">
        <f>IFERROR(SUM(X120:X123),"0")</f>
        <v>0</v>
      </c>
      <c r="Y125" s="629">
        <f>IFERROR(SUM(Y120:Y123),"0")</f>
        <v>0</v>
      </c>
      <c r="Z125" s="37"/>
      <c r="AA125" s="630"/>
      <c r="AB125" s="630"/>
      <c r="AC125" s="630"/>
    </row>
    <row r="126" spans="1:68" ht="14.25" hidden="1" customHeight="1" x14ac:dyDescent="0.25">
      <c r="A126" s="654" t="s">
        <v>169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hidden="1" customHeight="1" x14ac:dyDescent="0.25">
      <c r="A127" s="54" t="s">
        <v>233</v>
      </c>
      <c r="B127" s="54" t="s">
        <v>234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76</v>
      </c>
      <c r="L127" s="32"/>
      <c r="M127" s="33" t="s">
        <v>77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66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235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71</v>
      </c>
      <c r="Q128" s="651"/>
      <c r="R128" s="651"/>
      <c r="S128" s="651"/>
      <c r="T128" s="651"/>
      <c r="U128" s="651"/>
      <c r="V128" s="652"/>
      <c r="W128" s="37" t="s">
        <v>72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hidden="1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71</v>
      </c>
      <c r="Q129" s="651"/>
      <c r="R129" s="651"/>
      <c r="S129" s="651"/>
      <c r="T129" s="651"/>
      <c r="U129" s="651"/>
      <c r="V129" s="652"/>
      <c r="W129" s="37" t="s">
        <v>66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hidden="1" customHeight="1" x14ac:dyDescent="0.25">
      <c r="A130" s="657" t="s">
        <v>236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116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237</v>
      </c>
      <c r="B132" s="54" t="s">
        <v>238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119</v>
      </c>
      <c r="L132" s="32"/>
      <c r="M132" s="33" t="s">
        <v>239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66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240</v>
      </c>
      <c r="AC132" s="183" t="s">
        <v>241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242</v>
      </c>
      <c r="B133" s="54" t="s">
        <v>243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128</v>
      </c>
      <c r="L133" s="32"/>
      <c r="M133" s="33" t="s">
        <v>239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66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240</v>
      </c>
      <c r="AC133" s="185" t="s">
        <v>241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244</v>
      </c>
      <c r="B134" s="54" t="s">
        <v>245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66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246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244</v>
      </c>
      <c r="B135" s="54" t="s">
        <v>247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66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246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71</v>
      </c>
      <c r="Q136" s="651"/>
      <c r="R136" s="651"/>
      <c r="S136" s="651"/>
      <c r="T136" s="651"/>
      <c r="U136" s="651"/>
      <c r="V136" s="652"/>
      <c r="W136" s="37" t="s">
        <v>72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71</v>
      </c>
      <c r="Q137" s="651"/>
      <c r="R137" s="651"/>
      <c r="S137" s="651"/>
      <c r="T137" s="651"/>
      <c r="U137" s="651"/>
      <c r="V137" s="652"/>
      <c r="W137" s="37" t="s">
        <v>66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61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248</v>
      </c>
      <c r="B139" s="54" t="s">
        <v>249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119</v>
      </c>
      <c r="L139" s="32"/>
      <c r="M139" s="33" t="s">
        <v>239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66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240</v>
      </c>
      <c r="AC139" s="191" t="s">
        <v>250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251</v>
      </c>
      <c r="B140" s="54" t="s">
        <v>252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64</v>
      </c>
      <c r="L140" s="32"/>
      <c r="M140" s="33" t="s">
        <v>239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66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240</v>
      </c>
      <c r="AC140" s="193" t="s">
        <v>250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253</v>
      </c>
      <c r="B141" s="54" t="s">
        <v>254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76</v>
      </c>
      <c r="L141" s="32"/>
      <c r="M141" s="33" t="s">
        <v>94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66</v>
      </c>
      <c r="X141" s="627">
        <v>3</v>
      </c>
      <c r="Y141" s="628">
        <f>IFERROR(IF(X141="",0,CEILING((X141/$H141),1)*$H141),"")</f>
        <v>5.6</v>
      </c>
      <c r="Z141" s="36">
        <f>IFERROR(IF(Y141=0,"",ROUNDUP(Y141/H141,0)*0.00651),"")</f>
        <v>1.302E-2</v>
      </c>
      <c r="AA141" s="56"/>
      <c r="AB141" s="57"/>
      <c r="AC141" s="195" t="s">
        <v>255</v>
      </c>
      <c r="AG141" s="64"/>
      <c r="AJ141" s="68"/>
      <c r="AK141" s="68">
        <v>0</v>
      </c>
      <c r="BB141" s="196" t="s">
        <v>1</v>
      </c>
      <c r="BM141" s="64">
        <f>IFERROR(X141*I141/H141,"0")</f>
        <v>3.2871428571428574</v>
      </c>
      <c r="BN141" s="64">
        <f>IFERROR(Y141*I141/H141,"0")</f>
        <v>6.1359999999999992</v>
      </c>
      <c r="BO141" s="64">
        <f>IFERROR(1/J141*(X141/H141),"0")</f>
        <v>5.8869701726844588E-3</v>
      </c>
      <c r="BP141" s="64">
        <f>IFERROR(1/J141*(Y141/H141),"0")</f>
        <v>1.098901098901099E-2</v>
      </c>
    </row>
    <row r="142" spans="1:68" ht="27" hidden="1" customHeight="1" x14ac:dyDescent="0.25">
      <c r="A142" s="54" t="s">
        <v>253</v>
      </c>
      <c r="B142" s="54" t="s">
        <v>256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76</v>
      </c>
      <c r="L142" s="32"/>
      <c r="M142" s="33" t="s">
        <v>94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66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255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71</v>
      </c>
      <c r="Q143" s="651"/>
      <c r="R143" s="651"/>
      <c r="S143" s="651"/>
      <c r="T143" s="651"/>
      <c r="U143" s="651"/>
      <c r="V143" s="652"/>
      <c r="W143" s="37" t="s">
        <v>72</v>
      </c>
      <c r="X143" s="629">
        <f>IFERROR(X139/H139,"0")+IFERROR(X140/H140,"0")+IFERROR(X141/H141,"0")+IFERROR(X142/H142,"0")</f>
        <v>1.0714285714285714</v>
      </c>
      <c r="Y143" s="629">
        <f>IFERROR(Y139/H139,"0")+IFERROR(Y140/H140,"0")+IFERROR(Y141/H141,"0")+IFERROR(Y142/H142,"0")</f>
        <v>2</v>
      </c>
      <c r="Z143" s="629">
        <f>IFERROR(IF(Z139="",0,Z139),"0")+IFERROR(IF(Z140="",0,Z140),"0")+IFERROR(IF(Z141="",0,Z141),"0")+IFERROR(IF(Z142="",0,Z142),"0")</f>
        <v>1.302E-2</v>
      </c>
      <c r="AA143" s="630"/>
      <c r="AB143" s="630"/>
      <c r="AC143" s="630"/>
    </row>
    <row r="144" spans="1:68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71</v>
      </c>
      <c r="Q144" s="651"/>
      <c r="R144" s="651"/>
      <c r="S144" s="651"/>
      <c r="T144" s="651"/>
      <c r="U144" s="651"/>
      <c r="V144" s="652"/>
      <c r="W144" s="37" t="s">
        <v>66</v>
      </c>
      <c r="X144" s="629">
        <f>IFERROR(SUM(X139:X142),"0")</f>
        <v>3</v>
      </c>
      <c r="Y144" s="629">
        <f>IFERROR(SUM(Y139:Y142),"0")</f>
        <v>5.6</v>
      </c>
      <c r="Z144" s="37"/>
      <c r="AA144" s="630"/>
      <c r="AB144" s="630"/>
      <c r="AC144" s="630"/>
    </row>
    <row r="145" spans="1:68" ht="14.25" hidden="1" customHeight="1" x14ac:dyDescent="0.25">
      <c r="A145" s="654" t="s">
        <v>73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257</v>
      </c>
      <c r="B146" s="54" t="s">
        <v>258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119</v>
      </c>
      <c r="L146" s="32"/>
      <c r="M146" s="33" t="s">
        <v>239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66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240</v>
      </c>
      <c r="AC146" s="199" t="s">
        <v>241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259</v>
      </c>
      <c r="B147" s="54" t="s">
        <v>260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76</v>
      </c>
      <c r="L147" s="32"/>
      <c r="M147" s="33" t="s">
        <v>239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66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240</v>
      </c>
      <c r="AC147" s="201" t="s">
        <v>241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261</v>
      </c>
      <c r="B148" s="54" t="s">
        <v>262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76</v>
      </c>
      <c r="L148" s="32"/>
      <c r="M148" s="33" t="s">
        <v>94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66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246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261</v>
      </c>
      <c r="B149" s="54" t="s">
        <v>263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76</v>
      </c>
      <c r="L149" s="32"/>
      <c r="M149" s="33" t="s">
        <v>94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66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246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71</v>
      </c>
      <c r="Q150" s="651"/>
      <c r="R150" s="651"/>
      <c r="S150" s="651"/>
      <c r="T150" s="651"/>
      <c r="U150" s="651"/>
      <c r="V150" s="652"/>
      <c r="W150" s="37" t="s">
        <v>72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71</v>
      </c>
      <c r="Q151" s="651"/>
      <c r="R151" s="651"/>
      <c r="S151" s="651"/>
      <c r="T151" s="651"/>
      <c r="U151" s="651"/>
      <c r="V151" s="652"/>
      <c r="W151" s="37" t="s">
        <v>66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7" t="s">
        <v>264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73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265</v>
      </c>
      <c r="B154" s="54" t="s">
        <v>266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66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267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268</v>
      </c>
      <c r="B155" s="54" t="s">
        <v>269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66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270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271</v>
      </c>
      <c r="B156" s="54" t="s">
        <v>272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76</v>
      </c>
      <c r="L156" s="32"/>
      <c r="M156" s="33" t="s">
        <v>83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66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273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274</v>
      </c>
      <c r="B157" s="54" t="s">
        <v>275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76</v>
      </c>
      <c r="L157" s="32"/>
      <c r="M157" s="33" t="s">
        <v>83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66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276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71</v>
      </c>
      <c r="Q158" s="651"/>
      <c r="R158" s="651"/>
      <c r="S158" s="651"/>
      <c r="T158" s="651"/>
      <c r="U158" s="651"/>
      <c r="V158" s="652"/>
      <c r="W158" s="37" t="s">
        <v>72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71</v>
      </c>
      <c r="Q159" s="651"/>
      <c r="R159" s="651"/>
      <c r="S159" s="651"/>
      <c r="T159" s="651"/>
      <c r="U159" s="651"/>
      <c r="V159" s="652"/>
      <c r="W159" s="37" t="s">
        <v>66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91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277</v>
      </c>
      <c r="B161" s="54" t="s">
        <v>278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279</v>
      </c>
      <c r="L161" s="32"/>
      <c r="M161" s="33" t="s">
        <v>280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66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281</v>
      </c>
      <c r="AG161" s="64"/>
      <c r="AJ161" s="68"/>
      <c r="AK161" s="68">
        <v>0</v>
      </c>
      <c r="BB161" s="216" t="s">
        <v>96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71</v>
      </c>
      <c r="Q162" s="651"/>
      <c r="R162" s="651"/>
      <c r="S162" s="651"/>
      <c r="T162" s="651"/>
      <c r="U162" s="651"/>
      <c r="V162" s="652"/>
      <c r="W162" s="37" t="s">
        <v>72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71</v>
      </c>
      <c r="Q163" s="651"/>
      <c r="R163" s="651"/>
      <c r="S163" s="651"/>
      <c r="T163" s="651"/>
      <c r="U163" s="651"/>
      <c r="V163" s="652"/>
      <c r="W163" s="37" t="s">
        <v>66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114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116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76</v>
      </c>
      <c r="L166" s="32"/>
      <c r="M166" s="33" t="s">
        <v>77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66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240</v>
      </c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285</v>
      </c>
      <c r="B167" s="54" t="s">
        <v>286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119</v>
      </c>
      <c r="L167" s="32"/>
      <c r="M167" s="33" t="s">
        <v>120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66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287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288</v>
      </c>
      <c r="B168" s="54" t="s">
        <v>289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128</v>
      </c>
      <c r="L168" s="32"/>
      <c r="M168" s="33" t="s">
        <v>120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66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290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71</v>
      </c>
      <c r="Q169" s="651"/>
      <c r="R169" s="651"/>
      <c r="S169" s="651"/>
      <c r="T169" s="651"/>
      <c r="U169" s="651"/>
      <c r="V169" s="652"/>
      <c r="W169" s="37" t="s">
        <v>72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71</v>
      </c>
      <c r="Q170" s="651"/>
      <c r="R170" s="651"/>
      <c r="S170" s="651"/>
      <c r="T170" s="651"/>
      <c r="U170" s="651"/>
      <c r="V170" s="652"/>
      <c r="W170" s="37" t="s">
        <v>66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152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291</v>
      </c>
      <c r="B172" s="54" t="s">
        <v>292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64</v>
      </c>
      <c r="L172" s="32"/>
      <c r="M172" s="33" t="s">
        <v>120</v>
      </c>
      <c r="N172" s="33"/>
      <c r="O172" s="32">
        <v>55</v>
      </c>
      <c r="P172" s="666" t="s">
        <v>293</v>
      </c>
      <c r="Q172" s="635"/>
      <c r="R172" s="635"/>
      <c r="S172" s="635"/>
      <c r="T172" s="636"/>
      <c r="U172" s="34"/>
      <c r="V172" s="34"/>
      <c r="W172" s="35" t="s">
        <v>66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240</v>
      </c>
      <c r="AC172" s="223" t="s">
        <v>294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295</v>
      </c>
      <c r="B173" s="54" t="s">
        <v>296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64</v>
      </c>
      <c r="L173" s="32"/>
      <c r="M173" s="33" t="s">
        <v>65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66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71</v>
      </c>
      <c r="Q174" s="651"/>
      <c r="R174" s="651"/>
      <c r="S174" s="651"/>
      <c r="T174" s="651"/>
      <c r="U174" s="651"/>
      <c r="V174" s="652"/>
      <c r="W174" s="37" t="s">
        <v>72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71</v>
      </c>
      <c r="Q175" s="651"/>
      <c r="R175" s="651"/>
      <c r="S175" s="651"/>
      <c r="T175" s="651"/>
      <c r="U175" s="651"/>
      <c r="V175" s="652"/>
      <c r="W175" s="37" t="s">
        <v>66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61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customHeight="1" x14ac:dyDescent="0.25">
      <c r="A177" s="54" t="s">
        <v>298</v>
      </c>
      <c r="B177" s="54" t="s">
        <v>299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128</v>
      </c>
      <c r="L177" s="32"/>
      <c r="M177" s="33" t="s">
        <v>65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66</v>
      </c>
      <c r="X177" s="627">
        <v>33</v>
      </c>
      <c r="Y177" s="628">
        <f t="shared" ref="Y177:Y187" si="10">IFERROR(IF(X177="",0,CEILING((X177/$H177),1)*$H177),"")</f>
        <v>35</v>
      </c>
      <c r="Z177" s="36">
        <f>IFERROR(IF(Y177=0,"",ROUNDUP(Y177/H177,0)*0.00902),"")</f>
        <v>9.0200000000000002E-2</v>
      </c>
      <c r="AA177" s="56"/>
      <c r="AB177" s="57"/>
      <c r="AC177" s="227" t="s">
        <v>300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34.791428571428568</v>
      </c>
      <c r="BN177" s="64">
        <f t="shared" ref="BN177:BN187" si="12">IFERROR(Y177*I177/H177,"0")</f>
        <v>36.9</v>
      </c>
      <c r="BO177" s="64">
        <f t="shared" ref="BO177:BO187" si="13">IFERROR(1/J177*(X177/H177),"0")</f>
        <v>7.1428571428571438E-2</v>
      </c>
      <c r="BP177" s="64">
        <f t="shared" ref="BP177:BP187" si="14">IFERROR(1/J177*(Y177/H177),"0")</f>
        <v>7.575757575757576E-2</v>
      </c>
    </row>
    <row r="178" spans="1:68" ht="27" hidden="1" customHeight="1" x14ac:dyDescent="0.25">
      <c r="A178" s="54" t="s">
        <v>301</v>
      </c>
      <c r="B178" s="54" t="s">
        <v>302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128</v>
      </c>
      <c r="L178" s="32"/>
      <c r="M178" s="33" t="s">
        <v>65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66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303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128</v>
      </c>
      <c r="L179" s="32"/>
      <c r="M179" s="33" t="s">
        <v>65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66</v>
      </c>
      <c r="X179" s="627">
        <v>26</v>
      </c>
      <c r="Y179" s="628">
        <f t="shared" si="10"/>
        <v>28</v>
      </c>
      <c r="Z179" s="36">
        <f>IFERROR(IF(Y179=0,"",ROUNDUP(Y179/H179,0)*0.00902),"")</f>
        <v>7.2160000000000002E-2</v>
      </c>
      <c r="AA179" s="56"/>
      <c r="AB179" s="57"/>
      <c r="AC179" s="231" t="s">
        <v>306</v>
      </c>
      <c r="AG179" s="64"/>
      <c r="AJ179" s="68"/>
      <c r="AK179" s="68">
        <v>0</v>
      </c>
      <c r="BB179" s="232" t="s">
        <v>1</v>
      </c>
      <c r="BM179" s="64">
        <f t="shared" si="11"/>
        <v>27.411428571428569</v>
      </c>
      <c r="BN179" s="64">
        <f t="shared" si="12"/>
        <v>29.52</v>
      </c>
      <c r="BO179" s="64">
        <f t="shared" si="13"/>
        <v>5.627705627705628E-2</v>
      </c>
      <c r="BP179" s="64">
        <f t="shared" si="14"/>
        <v>6.0606060606060608E-2</v>
      </c>
    </row>
    <row r="180" spans="1:68" ht="27" customHeight="1" x14ac:dyDescent="0.25">
      <c r="A180" s="54" t="s">
        <v>307</v>
      </c>
      <c r="B180" s="54" t="s">
        <v>308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128</v>
      </c>
      <c r="L180" s="32"/>
      <c r="M180" s="33" t="s">
        <v>65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66</v>
      </c>
      <c r="X180" s="627">
        <v>75</v>
      </c>
      <c r="Y180" s="628">
        <f t="shared" si="10"/>
        <v>77</v>
      </c>
      <c r="Z180" s="36">
        <f>IFERROR(IF(Y180=0,"",ROUNDUP(Y180/H180,0)*0.00902),"")</f>
        <v>0.19844000000000001</v>
      </c>
      <c r="AA180" s="56"/>
      <c r="AB180" s="57"/>
      <c r="AC180" s="233" t="s">
        <v>309</v>
      </c>
      <c r="AG180" s="64"/>
      <c r="AJ180" s="68"/>
      <c r="AK180" s="68">
        <v>0</v>
      </c>
      <c r="BB180" s="234" t="s">
        <v>1</v>
      </c>
      <c r="BM180" s="64">
        <f t="shared" si="11"/>
        <v>79.071428571428569</v>
      </c>
      <c r="BN180" s="64">
        <f t="shared" si="12"/>
        <v>81.179999999999993</v>
      </c>
      <c r="BO180" s="64">
        <f t="shared" si="13"/>
        <v>0.16233766233766234</v>
      </c>
      <c r="BP180" s="64">
        <f t="shared" si="14"/>
        <v>0.16666666666666669</v>
      </c>
    </row>
    <row r="181" spans="1:68" ht="16.5" hidden="1" customHeight="1" x14ac:dyDescent="0.25">
      <c r="A181" s="54" t="s">
        <v>310</v>
      </c>
      <c r="B181" s="54" t="s">
        <v>311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124</v>
      </c>
      <c r="L181" s="32"/>
      <c r="M181" s="33" t="s">
        <v>65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66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312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66</v>
      </c>
      <c r="X182" s="627">
        <v>24</v>
      </c>
      <c r="Y182" s="628">
        <f t="shared" si="10"/>
        <v>25.2</v>
      </c>
      <c r="Z182" s="36">
        <f>IFERROR(IF(Y182=0,"",ROUNDUP(Y182/H182,0)*0.00502),"")</f>
        <v>7.5300000000000006E-2</v>
      </c>
      <c r="AA182" s="56"/>
      <c r="AB182" s="57"/>
      <c r="AC182" s="237" t="s">
        <v>300</v>
      </c>
      <c r="AG182" s="64"/>
      <c r="AJ182" s="68"/>
      <c r="AK182" s="68">
        <v>0</v>
      </c>
      <c r="BB182" s="238" t="s">
        <v>1</v>
      </c>
      <c r="BM182" s="64">
        <f t="shared" si="11"/>
        <v>25.428571428571431</v>
      </c>
      <c r="BN182" s="64">
        <f t="shared" si="12"/>
        <v>26.700000000000003</v>
      </c>
      <c r="BO182" s="64">
        <f t="shared" si="13"/>
        <v>6.1050061050061062E-2</v>
      </c>
      <c r="BP182" s="64">
        <f t="shared" si="14"/>
        <v>6.4102564102564111E-2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124</v>
      </c>
      <c r="L183" s="32"/>
      <c r="M183" s="33" t="s">
        <v>65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66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317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315</v>
      </c>
      <c r="B184" s="54" t="s">
        <v>318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124</v>
      </c>
      <c r="L184" s="32"/>
      <c r="M184" s="33" t="s">
        <v>65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66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66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306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124</v>
      </c>
      <c r="L186" s="32"/>
      <c r="M186" s="33" t="s">
        <v>65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66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323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324</v>
      </c>
      <c r="B187" s="54" t="s">
        <v>325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64</v>
      </c>
      <c r="L187" s="32"/>
      <c r="M187" s="33" t="s">
        <v>65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66</v>
      </c>
      <c r="X187" s="627">
        <v>7</v>
      </c>
      <c r="Y187" s="628">
        <f t="shared" si="10"/>
        <v>8.4</v>
      </c>
      <c r="Z187" s="36">
        <f>IFERROR(IF(Y187=0,"",ROUNDUP(Y187/H187,0)*0.00502),"")</f>
        <v>2.5100000000000001E-2</v>
      </c>
      <c r="AA187" s="56"/>
      <c r="AB187" s="57"/>
      <c r="AC187" s="247" t="s">
        <v>309</v>
      </c>
      <c r="AG187" s="64"/>
      <c r="AJ187" s="68"/>
      <c r="AK187" s="68">
        <v>0</v>
      </c>
      <c r="BB187" s="248" t="s">
        <v>1</v>
      </c>
      <c r="BM187" s="64">
        <f t="shared" si="11"/>
        <v>7.4166666666666679</v>
      </c>
      <c r="BN187" s="64">
        <f t="shared" si="12"/>
        <v>8.9000000000000021</v>
      </c>
      <c r="BO187" s="64">
        <f t="shared" si="13"/>
        <v>1.780626780626781E-2</v>
      </c>
      <c r="BP187" s="64">
        <f t="shared" si="14"/>
        <v>2.1367521367521368E-2</v>
      </c>
    </row>
    <row r="188" spans="1:68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71</v>
      </c>
      <c r="Q188" s="651"/>
      <c r="R188" s="651"/>
      <c r="S188" s="651"/>
      <c r="T188" s="651"/>
      <c r="U188" s="651"/>
      <c r="V188" s="652"/>
      <c r="W188" s="37" t="s">
        <v>72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56.738095238095234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60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0.46120000000000005</v>
      </c>
      <c r="AA188" s="630"/>
      <c r="AB188" s="630"/>
      <c r="AC188" s="630"/>
    </row>
    <row r="189" spans="1:68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71</v>
      </c>
      <c r="Q189" s="651"/>
      <c r="R189" s="651"/>
      <c r="S189" s="651"/>
      <c r="T189" s="651"/>
      <c r="U189" s="651"/>
      <c r="V189" s="652"/>
      <c r="W189" s="37" t="s">
        <v>66</v>
      </c>
      <c r="X189" s="629">
        <f>IFERROR(SUM(X177:X187),"0")</f>
        <v>165</v>
      </c>
      <c r="Y189" s="629">
        <f>IFERROR(SUM(Y177:Y187),"0")</f>
        <v>173.6</v>
      </c>
      <c r="Z189" s="37"/>
      <c r="AA189" s="630"/>
      <c r="AB189" s="630"/>
      <c r="AC189" s="630"/>
    </row>
    <row r="190" spans="1:68" ht="14.25" hidden="1" customHeight="1" x14ac:dyDescent="0.25">
      <c r="A190" s="654" t="s">
        <v>73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326</v>
      </c>
      <c r="B191" s="54" t="s">
        <v>327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66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329</v>
      </c>
      <c r="B192" s="54" t="s">
        <v>330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76</v>
      </c>
      <c r="L192" s="32"/>
      <c r="M192" s="33" t="s">
        <v>83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66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331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332</v>
      </c>
      <c r="B193" s="54" t="s">
        <v>333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76</v>
      </c>
      <c r="L193" s="32"/>
      <c r="M193" s="33" t="s">
        <v>77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66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334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71</v>
      </c>
      <c r="Q194" s="651"/>
      <c r="R194" s="651"/>
      <c r="S194" s="651"/>
      <c r="T194" s="651"/>
      <c r="U194" s="651"/>
      <c r="V194" s="652"/>
      <c r="W194" s="37" t="s">
        <v>72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71</v>
      </c>
      <c r="Q195" s="651"/>
      <c r="R195" s="651"/>
      <c r="S195" s="651"/>
      <c r="T195" s="651"/>
      <c r="U195" s="651"/>
      <c r="V195" s="652"/>
      <c r="W195" s="37" t="s">
        <v>66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91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335</v>
      </c>
      <c r="B197" s="54" t="s">
        <v>336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337</v>
      </c>
      <c r="L197" s="32"/>
      <c r="M197" s="33" t="s">
        <v>280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66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338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339</v>
      </c>
      <c r="B198" s="54" t="s">
        <v>340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337</v>
      </c>
      <c r="L198" s="32"/>
      <c r="M198" s="33" t="s">
        <v>280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66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341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71</v>
      </c>
      <c r="Q199" s="651"/>
      <c r="R199" s="651"/>
      <c r="S199" s="651"/>
      <c r="T199" s="651"/>
      <c r="U199" s="651"/>
      <c r="V199" s="652"/>
      <c r="W199" s="37" t="s">
        <v>72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71</v>
      </c>
      <c r="Q200" s="651"/>
      <c r="R200" s="651"/>
      <c r="S200" s="651"/>
      <c r="T200" s="651"/>
      <c r="U200" s="651"/>
      <c r="V200" s="652"/>
      <c r="W200" s="37" t="s">
        <v>66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342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343</v>
      </c>
      <c r="B202" s="54" t="s">
        <v>344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337</v>
      </c>
      <c r="L202" s="32"/>
      <c r="M202" s="33" t="s">
        <v>280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66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345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71</v>
      </c>
      <c r="Q203" s="651"/>
      <c r="R203" s="651"/>
      <c r="S203" s="651"/>
      <c r="T203" s="651"/>
      <c r="U203" s="651"/>
      <c r="V203" s="652"/>
      <c r="W203" s="37" t="s">
        <v>72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71</v>
      </c>
      <c r="Q204" s="651"/>
      <c r="R204" s="651"/>
      <c r="S204" s="651"/>
      <c r="T204" s="651"/>
      <c r="U204" s="651"/>
      <c r="V204" s="652"/>
      <c r="W204" s="37" t="s">
        <v>66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346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347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116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348</v>
      </c>
      <c r="B208" s="54" t="s">
        <v>349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119</v>
      </c>
      <c r="L208" s="32"/>
      <c r="M208" s="33" t="s">
        <v>77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66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121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119</v>
      </c>
      <c r="L209" s="32"/>
      <c r="M209" s="33" t="s">
        <v>77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66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119</v>
      </c>
      <c r="L210" s="32"/>
      <c r="M210" s="33" t="s">
        <v>77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66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119</v>
      </c>
      <c r="L211" s="32"/>
      <c r="M211" s="33" t="s">
        <v>77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66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359</v>
      </c>
      <c r="B212" s="54" t="s">
        <v>360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119</v>
      </c>
      <c r="L212" s="32"/>
      <c r="M212" s="33" t="s">
        <v>77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66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361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362</v>
      </c>
      <c r="B213" s="54" t="s">
        <v>363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119</v>
      </c>
      <c r="L213" s="32"/>
      <c r="M213" s="33" t="s">
        <v>77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66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364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365</v>
      </c>
      <c r="B214" s="54" t="s">
        <v>366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119</v>
      </c>
      <c r="L214" s="32"/>
      <c r="M214" s="33" t="s">
        <v>77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66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367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71</v>
      </c>
      <c r="Q215" s="651"/>
      <c r="R215" s="651"/>
      <c r="S215" s="651"/>
      <c r="T215" s="651"/>
      <c r="U215" s="651"/>
      <c r="V215" s="652"/>
      <c r="W215" s="37" t="s">
        <v>72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71</v>
      </c>
      <c r="Q216" s="651"/>
      <c r="R216" s="651"/>
      <c r="S216" s="651"/>
      <c r="T216" s="651"/>
      <c r="U216" s="651"/>
      <c r="V216" s="652"/>
      <c r="W216" s="37" t="s">
        <v>66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368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152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369</v>
      </c>
      <c r="B219" s="54" t="s">
        <v>370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64</v>
      </c>
      <c r="L219" s="32"/>
      <c r="M219" s="33" t="s">
        <v>65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66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71</v>
      </c>
      <c r="Q220" s="651"/>
      <c r="R220" s="651"/>
      <c r="S220" s="651"/>
      <c r="T220" s="651"/>
      <c r="U220" s="651"/>
      <c r="V220" s="652"/>
      <c r="W220" s="37" t="s">
        <v>72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71</v>
      </c>
      <c r="Q221" s="651"/>
      <c r="R221" s="651"/>
      <c r="S221" s="651"/>
      <c r="T221" s="651"/>
      <c r="U221" s="651"/>
      <c r="V221" s="652"/>
      <c r="W221" s="37" t="s">
        <v>66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61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customHeight="1" x14ac:dyDescent="0.25">
      <c r="A223" s="54" t="s">
        <v>372</v>
      </c>
      <c r="B223" s="54" t="s">
        <v>373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128</v>
      </c>
      <c r="L223" s="32"/>
      <c r="M223" s="33" t="s">
        <v>65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66</v>
      </c>
      <c r="X223" s="627">
        <v>12</v>
      </c>
      <c r="Y223" s="628">
        <f t="shared" ref="Y223:Y236" si="21">IFERROR(IF(X223="",0,CEILING((X223/$H223),1)*$H223),"")</f>
        <v>12.600000000000001</v>
      </c>
      <c r="Z223" s="36">
        <f>IFERROR(IF(Y223=0,"",ROUNDUP(Y223/H223,0)*0.00902),"")</f>
        <v>2.7060000000000001E-2</v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12.714285714285715</v>
      </c>
      <c r="BN223" s="64">
        <f t="shared" ref="BN223:BN236" si="23">IFERROR(Y223*I223/H223,"0")</f>
        <v>13.350000000000001</v>
      </c>
      <c r="BO223" s="64">
        <f t="shared" ref="BO223:BO236" si="24">IFERROR(1/J223*(X223/H223),"0")</f>
        <v>2.1645021645021648E-2</v>
      </c>
      <c r="BP223" s="64">
        <f t="shared" ref="BP223:BP236" si="25">IFERROR(1/J223*(Y223/H223),"0")</f>
        <v>2.2727272727272728E-2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128</v>
      </c>
      <c r="L224" s="32"/>
      <c r="M224" s="33" t="s">
        <v>65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66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377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128</v>
      </c>
      <c r="L225" s="32"/>
      <c r="M225" s="33" t="s">
        <v>65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66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380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381</v>
      </c>
      <c r="B226" s="54" t="s">
        <v>382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64</v>
      </c>
      <c r="L226" s="32"/>
      <c r="M226" s="33" t="s">
        <v>65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66</v>
      </c>
      <c r="X226" s="627">
        <v>1</v>
      </c>
      <c r="Y226" s="628">
        <f t="shared" si="21"/>
        <v>1.6</v>
      </c>
      <c r="Z226" s="36">
        <f>IFERROR(IF(Y226=0,"",ROUNDUP(Y226/H226,0)*0.00556),"")</f>
        <v>1.112E-2</v>
      </c>
      <c r="AA226" s="56"/>
      <c r="AB226" s="57"/>
      <c r="AC226" s="283" t="s">
        <v>383</v>
      </c>
      <c r="AG226" s="64"/>
      <c r="AJ226" s="68"/>
      <c r="AK226" s="68">
        <v>0</v>
      </c>
      <c r="BB226" s="284" t="s">
        <v>1</v>
      </c>
      <c r="BM226" s="64">
        <f t="shared" si="22"/>
        <v>1.1625000000000001</v>
      </c>
      <c r="BN226" s="64">
        <f t="shared" si="23"/>
        <v>1.86</v>
      </c>
      <c r="BO226" s="64">
        <f t="shared" si="24"/>
        <v>4.96031746031746E-3</v>
      </c>
      <c r="BP226" s="64">
        <f t="shared" si="25"/>
        <v>7.9365079365079361E-3</v>
      </c>
    </row>
    <row r="227" spans="1:68" ht="27" customHeight="1" x14ac:dyDescent="0.25">
      <c r="A227" s="54" t="s">
        <v>384</v>
      </c>
      <c r="B227" s="54" t="s">
        <v>385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66</v>
      </c>
      <c r="X227" s="627">
        <v>102</v>
      </c>
      <c r="Y227" s="628">
        <f t="shared" si="21"/>
        <v>102.9</v>
      </c>
      <c r="Z227" s="36">
        <f t="shared" ref="Z227:Z232" si="26">IFERROR(IF(Y227=0,"",ROUNDUP(Y227/H227,0)*0.00502),"")</f>
        <v>0.24598</v>
      </c>
      <c r="AA227" s="56"/>
      <c r="AB227" s="57"/>
      <c r="AC227" s="285" t="s">
        <v>374</v>
      </c>
      <c r="AG227" s="64"/>
      <c r="AJ227" s="68"/>
      <c r="AK227" s="68">
        <v>0</v>
      </c>
      <c r="BB227" s="286" t="s">
        <v>1</v>
      </c>
      <c r="BM227" s="64">
        <f t="shared" si="22"/>
        <v>108.31428571428572</v>
      </c>
      <c r="BN227" s="64">
        <f t="shared" si="23"/>
        <v>109.27</v>
      </c>
      <c r="BO227" s="64">
        <f t="shared" si="24"/>
        <v>0.20757020757020758</v>
      </c>
      <c r="BP227" s="64">
        <f t="shared" si="25"/>
        <v>0.20940170940170943</v>
      </c>
    </row>
    <row r="228" spans="1:68" ht="27" hidden="1" customHeight="1" x14ac:dyDescent="0.25">
      <c r="A228" s="54" t="s">
        <v>386</v>
      </c>
      <c r="B228" s="54" t="s">
        <v>387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66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388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389</v>
      </c>
      <c r="B229" s="54" t="s">
        <v>390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66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377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391</v>
      </c>
      <c r="B230" s="54" t="s">
        <v>392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66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393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394</v>
      </c>
      <c r="B231" s="54" t="s">
        <v>395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66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397</v>
      </c>
      <c r="B232" s="54" t="s">
        <v>398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66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124</v>
      </c>
      <c r="L233" s="32"/>
      <c r="M233" s="33" t="s">
        <v>65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66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hidden="1" customHeight="1" x14ac:dyDescent="0.25">
      <c r="A234" s="54" t="s">
        <v>403</v>
      </c>
      <c r="B234" s="54" t="s">
        <v>404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66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380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405</v>
      </c>
      <c r="B235" s="54" t="s">
        <v>406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76</v>
      </c>
      <c r="L235" s="32"/>
      <c r="M235" s="33" t="s">
        <v>65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66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380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407</v>
      </c>
      <c r="B236" s="54" t="s">
        <v>408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64</v>
      </c>
      <c r="L236" s="32"/>
      <c r="M236" s="33" t="s">
        <v>65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66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409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71</v>
      </c>
      <c r="Q237" s="651"/>
      <c r="R237" s="651"/>
      <c r="S237" s="651"/>
      <c r="T237" s="651"/>
      <c r="U237" s="651"/>
      <c r="V237" s="652"/>
      <c r="W237" s="37" t="s">
        <v>72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52.678571428571431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54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0.28416000000000002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71</v>
      </c>
      <c r="Q238" s="651"/>
      <c r="R238" s="651"/>
      <c r="S238" s="651"/>
      <c r="T238" s="651"/>
      <c r="U238" s="651"/>
      <c r="V238" s="652"/>
      <c r="W238" s="37" t="s">
        <v>66</v>
      </c>
      <c r="X238" s="629">
        <f>IFERROR(SUM(X223:X236),"0")</f>
        <v>115</v>
      </c>
      <c r="Y238" s="629">
        <f>IFERROR(SUM(Y223:Y236),"0")</f>
        <v>117.10000000000001</v>
      </c>
      <c r="Z238" s="37"/>
      <c r="AA238" s="630"/>
      <c r="AB238" s="630"/>
      <c r="AC238" s="630"/>
    </row>
    <row r="239" spans="1:68" ht="14.25" hidden="1" customHeight="1" x14ac:dyDescent="0.25">
      <c r="A239" s="654" t="s">
        <v>73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410</v>
      </c>
      <c r="B240" s="54" t="s">
        <v>411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119</v>
      </c>
      <c r="L240" s="32"/>
      <c r="M240" s="33" t="s">
        <v>83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66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412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413</v>
      </c>
      <c r="B241" s="54" t="s">
        <v>414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119</v>
      </c>
      <c r="L241" s="32"/>
      <c r="M241" s="33" t="s">
        <v>83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66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415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416</v>
      </c>
      <c r="B242" s="54" t="s">
        <v>417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128</v>
      </c>
      <c r="L242" s="32"/>
      <c r="M242" s="33" t="s">
        <v>83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66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418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419</v>
      </c>
      <c r="B243" s="54" t="s">
        <v>420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128</v>
      </c>
      <c r="L243" s="32"/>
      <c r="M243" s="33" t="s">
        <v>83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66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421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422</v>
      </c>
      <c r="B244" s="54" t="s">
        <v>423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128</v>
      </c>
      <c r="L244" s="32"/>
      <c r="M244" s="33" t="s">
        <v>83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66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415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71</v>
      </c>
      <c r="Q245" s="651"/>
      <c r="R245" s="651"/>
      <c r="S245" s="651"/>
      <c r="T245" s="651"/>
      <c r="U245" s="651"/>
      <c r="V245" s="652"/>
      <c r="W245" s="37" t="s">
        <v>72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71</v>
      </c>
      <c r="Q246" s="651"/>
      <c r="R246" s="651"/>
      <c r="S246" s="651"/>
      <c r="T246" s="651"/>
      <c r="U246" s="651"/>
      <c r="V246" s="652"/>
      <c r="W246" s="37" t="s">
        <v>66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91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424</v>
      </c>
      <c r="B248" s="54" t="s">
        <v>425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337</v>
      </c>
      <c r="L248" s="32"/>
      <c r="M248" s="33" t="s">
        <v>280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66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426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427</v>
      </c>
      <c r="B249" s="54" t="s">
        <v>428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337</v>
      </c>
      <c r="L249" s="32"/>
      <c r="M249" s="33" t="s">
        <v>280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66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429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430</v>
      </c>
      <c r="B250" s="54" t="s">
        <v>431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337</v>
      </c>
      <c r="L250" s="32"/>
      <c r="M250" s="33" t="s">
        <v>280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66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429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71</v>
      </c>
      <c r="Q251" s="651"/>
      <c r="R251" s="651"/>
      <c r="S251" s="651"/>
      <c r="T251" s="651"/>
      <c r="U251" s="651"/>
      <c r="V251" s="652"/>
      <c r="W251" s="37" t="s">
        <v>72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71</v>
      </c>
      <c r="Q252" s="651"/>
      <c r="R252" s="651"/>
      <c r="S252" s="651"/>
      <c r="T252" s="651"/>
      <c r="U252" s="651"/>
      <c r="V252" s="652"/>
      <c r="W252" s="37" t="s">
        <v>66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432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customHeight="1" x14ac:dyDescent="0.25">
      <c r="A254" s="54" t="s">
        <v>433</v>
      </c>
      <c r="B254" s="54" t="s">
        <v>434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337</v>
      </c>
      <c r="L254" s="32"/>
      <c r="M254" s="33" t="s">
        <v>280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66</v>
      </c>
      <c r="X254" s="627">
        <v>3</v>
      </c>
      <c r="Y254" s="628">
        <f>IFERROR(IF(X254="",0,CEILING((X254/$H254),1)*$H254),"")</f>
        <v>3.7800000000000002</v>
      </c>
      <c r="Z254" s="36">
        <f>IFERROR(IF(Y254=0,"",ROUNDUP(Y254/H254,0)*0.0059),"")</f>
        <v>1.77E-2</v>
      </c>
      <c r="AA254" s="56"/>
      <c r="AB254" s="57"/>
      <c r="AC254" s="321" t="s">
        <v>429</v>
      </c>
      <c r="AG254" s="64"/>
      <c r="AJ254" s="68"/>
      <c r="AK254" s="68">
        <v>0</v>
      </c>
      <c r="BB254" s="322" t="s">
        <v>1</v>
      </c>
      <c r="BM254" s="64">
        <f>IFERROR(X254*I254/H254,"0")</f>
        <v>3.4523809523809521</v>
      </c>
      <c r="BN254" s="64">
        <f>IFERROR(Y254*I254/H254,"0")</f>
        <v>4.3499999999999996</v>
      </c>
      <c r="BO254" s="64">
        <f>IFERROR(1/J254*(X254/H254),"0")</f>
        <v>1.1022927689594356E-2</v>
      </c>
      <c r="BP254" s="64">
        <f>IFERROR(1/J254*(Y254/H254),"0")</f>
        <v>1.3888888888888888E-2</v>
      </c>
    </row>
    <row r="255" spans="1:68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71</v>
      </c>
      <c r="Q255" s="651"/>
      <c r="R255" s="651"/>
      <c r="S255" s="651"/>
      <c r="T255" s="651"/>
      <c r="U255" s="651"/>
      <c r="V255" s="652"/>
      <c r="W255" s="37" t="s">
        <v>72</v>
      </c>
      <c r="X255" s="629">
        <f>IFERROR(X254/H254,"0")</f>
        <v>2.3809523809523809</v>
      </c>
      <c r="Y255" s="629">
        <f>IFERROR(Y254/H254,"0")</f>
        <v>3</v>
      </c>
      <c r="Z255" s="629">
        <f>IFERROR(IF(Z254="",0,Z254),"0")</f>
        <v>1.77E-2</v>
      </c>
      <c r="AA255" s="630"/>
      <c r="AB255" s="630"/>
      <c r="AC255" s="630"/>
    </row>
    <row r="256" spans="1:68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71</v>
      </c>
      <c r="Q256" s="651"/>
      <c r="R256" s="651"/>
      <c r="S256" s="651"/>
      <c r="T256" s="651"/>
      <c r="U256" s="651"/>
      <c r="V256" s="652"/>
      <c r="W256" s="37" t="s">
        <v>66</v>
      </c>
      <c r="X256" s="629">
        <f>IFERROR(SUM(X254:X254),"0")</f>
        <v>3</v>
      </c>
      <c r="Y256" s="629">
        <f>IFERROR(SUM(Y254:Y254),"0")</f>
        <v>3.7800000000000002</v>
      </c>
      <c r="Z256" s="37"/>
      <c r="AA256" s="630"/>
      <c r="AB256" s="630"/>
      <c r="AC256" s="630"/>
    </row>
    <row r="257" spans="1:68" ht="16.5" hidden="1" customHeight="1" x14ac:dyDescent="0.25">
      <c r="A257" s="657" t="s">
        <v>435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116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436</v>
      </c>
      <c r="B259" s="54" t="s">
        <v>437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119</v>
      </c>
      <c r="L259" s="32"/>
      <c r="M259" s="33" t="s">
        <v>120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66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438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439</v>
      </c>
      <c r="B260" s="54" t="s">
        <v>440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76</v>
      </c>
      <c r="L260" s="32"/>
      <c r="M260" s="33" t="s">
        <v>120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66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438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71</v>
      </c>
      <c r="Q261" s="651"/>
      <c r="R261" s="651"/>
      <c r="S261" s="651"/>
      <c r="T261" s="651"/>
      <c r="U261" s="651"/>
      <c r="V261" s="652"/>
      <c r="W261" s="37" t="s">
        <v>72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71</v>
      </c>
      <c r="Q262" s="651"/>
      <c r="R262" s="651"/>
      <c r="S262" s="651"/>
      <c r="T262" s="651"/>
      <c r="U262" s="651"/>
      <c r="V262" s="652"/>
      <c r="W262" s="37" t="s">
        <v>66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152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441</v>
      </c>
      <c r="B264" s="54" t="s">
        <v>442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119</v>
      </c>
      <c r="L264" s="32"/>
      <c r="M264" s="33" t="s">
        <v>120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66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443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444</v>
      </c>
      <c r="B265" s="54" t="s">
        <v>445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76</v>
      </c>
      <c r="L265" s="32"/>
      <c r="M265" s="33" t="s">
        <v>120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66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443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71</v>
      </c>
      <c r="Q266" s="651"/>
      <c r="R266" s="651"/>
      <c r="S266" s="651"/>
      <c r="T266" s="651"/>
      <c r="U266" s="651"/>
      <c r="V266" s="652"/>
      <c r="W266" s="37" t="s">
        <v>72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71</v>
      </c>
      <c r="Q267" s="651"/>
      <c r="R267" s="651"/>
      <c r="S267" s="651"/>
      <c r="T267" s="651"/>
      <c r="U267" s="651"/>
      <c r="V267" s="652"/>
      <c r="W267" s="37" t="s">
        <v>66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61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customHeight="1" x14ac:dyDescent="0.25">
      <c r="A269" s="54" t="s">
        <v>446</v>
      </c>
      <c r="B269" s="54" t="s">
        <v>447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128</v>
      </c>
      <c r="L269" s="32"/>
      <c r="M269" s="33" t="s">
        <v>65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66</v>
      </c>
      <c r="X269" s="627">
        <v>19</v>
      </c>
      <c r="Y269" s="628">
        <f t="shared" ref="Y269:Y276" si="27">IFERROR(IF(X269="",0,CEILING((X269/$H269),1)*$H269),"")</f>
        <v>21.6</v>
      </c>
      <c r="Z269" s="36">
        <f>IFERROR(IF(Y269=0,"",ROUNDUP(Y269/H269,0)*0.00902),"")</f>
        <v>3.6080000000000001E-2</v>
      </c>
      <c r="AA269" s="56"/>
      <c r="AB269" s="57"/>
      <c r="AC269" s="331" t="s">
        <v>448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19.668518518518518</v>
      </c>
      <c r="BN269" s="64">
        <f t="shared" ref="BN269:BN276" si="29">IFERROR(Y269*I269/H269,"0")</f>
        <v>22.36</v>
      </c>
      <c r="BO269" s="64">
        <f t="shared" ref="BO269:BO276" si="30">IFERROR(1/J269*(X269/H269),"0")</f>
        <v>2.6655443322109985E-2</v>
      </c>
      <c r="BP269" s="64">
        <f t="shared" ref="BP269:BP276" si="31">IFERROR(1/J269*(Y269/H269),"0")</f>
        <v>3.0303030303030304E-2</v>
      </c>
    </row>
    <row r="270" spans="1:68" ht="27" customHeight="1" x14ac:dyDescent="0.25">
      <c r="A270" s="54" t="s">
        <v>449</v>
      </c>
      <c r="B270" s="54" t="s">
        <v>450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128</v>
      </c>
      <c r="L270" s="32"/>
      <c r="M270" s="33" t="s">
        <v>65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66</v>
      </c>
      <c r="X270" s="627">
        <v>30</v>
      </c>
      <c r="Y270" s="628">
        <f t="shared" si="27"/>
        <v>32.400000000000006</v>
      </c>
      <c r="Z270" s="36">
        <f>IFERROR(IF(Y270=0,"",ROUNDUP(Y270/H270,0)*0.00902),"")</f>
        <v>5.4120000000000001E-2</v>
      </c>
      <c r="AA270" s="56"/>
      <c r="AB270" s="57"/>
      <c r="AC270" s="333" t="s">
        <v>451</v>
      </c>
      <c r="AG270" s="64"/>
      <c r="AJ270" s="68"/>
      <c r="AK270" s="68">
        <v>0</v>
      </c>
      <c r="BB270" s="334" t="s">
        <v>1</v>
      </c>
      <c r="BM270" s="64">
        <f t="shared" si="28"/>
        <v>31.05555555555555</v>
      </c>
      <c r="BN270" s="64">
        <f t="shared" si="29"/>
        <v>33.54</v>
      </c>
      <c r="BO270" s="64">
        <f t="shared" si="30"/>
        <v>4.208754208754209E-2</v>
      </c>
      <c r="BP270" s="64">
        <f t="shared" si="31"/>
        <v>4.5454545454545463E-2</v>
      </c>
    </row>
    <row r="271" spans="1:68" ht="27" hidden="1" customHeight="1" x14ac:dyDescent="0.25">
      <c r="A271" s="54" t="s">
        <v>452</v>
      </c>
      <c r="B271" s="54" t="s">
        <v>453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128</v>
      </c>
      <c r="L271" s="32"/>
      <c r="M271" s="33" t="s">
        <v>65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66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454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customHeight="1" x14ac:dyDescent="0.25">
      <c r="A272" s="54" t="s">
        <v>455</v>
      </c>
      <c r="B272" s="54" t="s">
        <v>456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128</v>
      </c>
      <c r="L272" s="32"/>
      <c r="M272" s="33" t="s">
        <v>65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66</v>
      </c>
      <c r="X272" s="627">
        <v>21</v>
      </c>
      <c r="Y272" s="628">
        <f t="shared" si="27"/>
        <v>21.6</v>
      </c>
      <c r="Z272" s="36">
        <f>IFERROR(IF(Y272=0,"",ROUNDUP(Y272/H272,0)*0.00902),"")</f>
        <v>3.6080000000000001E-2</v>
      </c>
      <c r="AA272" s="56"/>
      <c r="AB272" s="57"/>
      <c r="AC272" s="337" t="s">
        <v>457</v>
      </c>
      <c r="AG272" s="64"/>
      <c r="AJ272" s="68"/>
      <c r="AK272" s="68">
        <v>0</v>
      </c>
      <c r="BB272" s="338" t="s">
        <v>1</v>
      </c>
      <c r="BM272" s="64">
        <f t="shared" si="28"/>
        <v>21.738888888888887</v>
      </c>
      <c r="BN272" s="64">
        <f t="shared" si="29"/>
        <v>22.36</v>
      </c>
      <c r="BO272" s="64">
        <f t="shared" si="30"/>
        <v>2.9461279461279462E-2</v>
      </c>
      <c r="BP272" s="64">
        <f t="shared" si="31"/>
        <v>3.0303030303030304E-2</v>
      </c>
    </row>
    <row r="273" spans="1:68" ht="27" customHeight="1" x14ac:dyDescent="0.25">
      <c r="A273" s="54" t="s">
        <v>458</v>
      </c>
      <c r="B273" s="54" t="s">
        <v>459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64</v>
      </c>
      <c r="L273" s="32"/>
      <c r="M273" s="33" t="s">
        <v>65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66</v>
      </c>
      <c r="X273" s="627">
        <v>40</v>
      </c>
      <c r="Y273" s="628">
        <f t="shared" si="27"/>
        <v>41.4</v>
      </c>
      <c r="Z273" s="36">
        <f>IFERROR(IF(Y273=0,"",ROUNDUP(Y273/H273,0)*0.00502),"")</f>
        <v>0.11546000000000001</v>
      </c>
      <c r="AA273" s="56"/>
      <c r="AB273" s="57"/>
      <c r="AC273" s="339" t="s">
        <v>448</v>
      </c>
      <c r="AG273" s="64"/>
      <c r="AJ273" s="68"/>
      <c r="AK273" s="68">
        <v>0</v>
      </c>
      <c r="BB273" s="340" t="s">
        <v>1</v>
      </c>
      <c r="BM273" s="64">
        <f t="shared" si="28"/>
        <v>42.888888888888893</v>
      </c>
      <c r="BN273" s="64">
        <f t="shared" si="29"/>
        <v>44.39</v>
      </c>
      <c r="BO273" s="64">
        <f t="shared" si="30"/>
        <v>9.4966761633428307E-2</v>
      </c>
      <c r="BP273" s="64">
        <f t="shared" si="31"/>
        <v>9.8290598290598302E-2</v>
      </c>
    </row>
    <row r="274" spans="1:68" ht="27" customHeight="1" x14ac:dyDescent="0.25">
      <c r="A274" s="54" t="s">
        <v>460</v>
      </c>
      <c r="B274" s="54" t="s">
        <v>461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64</v>
      </c>
      <c r="L274" s="32"/>
      <c r="M274" s="33" t="s">
        <v>65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66</v>
      </c>
      <c r="X274" s="627">
        <v>8</v>
      </c>
      <c r="Y274" s="628">
        <f t="shared" si="27"/>
        <v>9</v>
      </c>
      <c r="Z274" s="36">
        <f>IFERROR(IF(Y274=0,"",ROUNDUP(Y274/H274,0)*0.00502),"")</f>
        <v>2.5100000000000001E-2</v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28"/>
        <v>8.4444444444444446</v>
      </c>
      <c r="BN274" s="64">
        <f t="shared" si="29"/>
        <v>9.4999999999999982</v>
      </c>
      <c r="BO274" s="64">
        <f t="shared" si="30"/>
        <v>1.8993352326685663E-2</v>
      </c>
      <c r="BP274" s="64">
        <f t="shared" si="31"/>
        <v>2.1367521367521368E-2</v>
      </c>
    </row>
    <row r="275" spans="1:68" ht="27" hidden="1" customHeight="1" x14ac:dyDescent="0.25">
      <c r="A275" s="54" t="s">
        <v>462</v>
      </c>
      <c r="B275" s="54" t="s">
        <v>463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64</v>
      </c>
      <c r="L275" s="32"/>
      <c r="M275" s="33" t="s">
        <v>65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66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454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464</v>
      </c>
      <c r="B276" s="54" t="s">
        <v>465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64</v>
      </c>
      <c r="L276" s="32"/>
      <c r="M276" s="33" t="s">
        <v>65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66</v>
      </c>
      <c r="X276" s="627">
        <v>62</v>
      </c>
      <c r="Y276" s="628">
        <f t="shared" si="27"/>
        <v>63</v>
      </c>
      <c r="Z276" s="36">
        <f>IFERROR(IF(Y276=0,"",ROUNDUP(Y276/H276,0)*0.00502),"")</f>
        <v>0.1757</v>
      </c>
      <c r="AA276" s="56"/>
      <c r="AB276" s="57"/>
      <c r="AC276" s="345" t="s">
        <v>457</v>
      </c>
      <c r="AG276" s="64"/>
      <c r="AJ276" s="68"/>
      <c r="AK276" s="68">
        <v>0</v>
      </c>
      <c r="BB276" s="346" t="s">
        <v>1</v>
      </c>
      <c r="BM276" s="64">
        <f t="shared" si="28"/>
        <v>65.444444444444443</v>
      </c>
      <c r="BN276" s="64">
        <f t="shared" si="29"/>
        <v>66.499999999999986</v>
      </c>
      <c r="BO276" s="64">
        <f t="shared" si="30"/>
        <v>0.14719848053181386</v>
      </c>
      <c r="BP276" s="64">
        <f t="shared" si="31"/>
        <v>0.1495726495726496</v>
      </c>
    </row>
    <row r="277" spans="1:68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71</v>
      </c>
      <c r="Q277" s="651"/>
      <c r="R277" s="651"/>
      <c r="S277" s="651"/>
      <c r="T277" s="651"/>
      <c r="U277" s="651"/>
      <c r="V277" s="652"/>
      <c r="W277" s="37" t="s">
        <v>72</v>
      </c>
      <c r="X277" s="629">
        <f>IFERROR(X269/H269,"0")+IFERROR(X270/H270,"0")+IFERROR(X271/H271,"0")+IFERROR(X272/H272,"0")+IFERROR(X273/H273,"0")+IFERROR(X274/H274,"0")+IFERROR(X275/H275,"0")+IFERROR(X276/H276,"0")</f>
        <v>74.074074074074076</v>
      </c>
      <c r="Y277" s="629">
        <f>IFERROR(Y269/H269,"0")+IFERROR(Y270/H270,"0")+IFERROR(Y271/H271,"0")+IFERROR(Y272/H272,"0")+IFERROR(Y273/H273,"0")+IFERROR(Y274/H274,"0")+IFERROR(Y275/H275,"0")+IFERROR(Y276/H276,"0")</f>
        <v>77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0.44254000000000004</v>
      </c>
      <c r="AA277" s="630"/>
      <c r="AB277" s="630"/>
      <c r="AC277" s="630"/>
    </row>
    <row r="278" spans="1:68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71</v>
      </c>
      <c r="Q278" s="651"/>
      <c r="R278" s="651"/>
      <c r="S278" s="651"/>
      <c r="T278" s="651"/>
      <c r="U278" s="651"/>
      <c r="V278" s="652"/>
      <c r="W278" s="37" t="s">
        <v>66</v>
      </c>
      <c r="X278" s="629">
        <f>IFERROR(SUM(X269:X276),"0")</f>
        <v>180</v>
      </c>
      <c r="Y278" s="629">
        <f>IFERROR(SUM(Y269:Y276),"0")</f>
        <v>189</v>
      </c>
      <c r="Z278" s="37"/>
      <c r="AA278" s="630"/>
      <c r="AB278" s="630"/>
      <c r="AC278" s="630"/>
    </row>
    <row r="279" spans="1:68" ht="14.25" hidden="1" customHeight="1" x14ac:dyDescent="0.25">
      <c r="A279" s="654" t="s">
        <v>73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customHeight="1" x14ac:dyDescent="0.25">
      <c r="A280" s="54" t="s">
        <v>466</v>
      </c>
      <c r="B280" s="54" t="s">
        <v>467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119</v>
      </c>
      <c r="L280" s="32"/>
      <c r="M280" s="33" t="s">
        <v>77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66</v>
      </c>
      <c r="X280" s="627">
        <v>6</v>
      </c>
      <c r="Y280" s="628">
        <f t="shared" ref="Y280:Y291" si="32">IFERROR(IF(X280="",0,CEILING((X280/$H280),1)*$H280),"")</f>
        <v>8.1</v>
      </c>
      <c r="Z280" s="36">
        <f>IFERROR(IF(Y280=0,"",ROUNDUP(Y280/H280,0)*0.01898),"")</f>
        <v>1.898E-2</v>
      </c>
      <c r="AA280" s="56"/>
      <c r="AB280" s="57"/>
      <c r="AC280" s="347" t="s">
        <v>468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6.3659259259259251</v>
      </c>
      <c r="BN280" s="64">
        <f t="shared" ref="BN280:BN291" si="34">IFERROR(Y280*I280/H280,"0")</f>
        <v>8.5939999999999994</v>
      </c>
      <c r="BO280" s="64">
        <f t="shared" ref="BO280:BO291" si="35">IFERROR(1/J280*(X280/H280),"0")</f>
        <v>1.1574074074074075E-2</v>
      </c>
      <c r="BP280" s="64">
        <f t="shared" ref="BP280:BP291" si="36">IFERROR(1/J280*(Y280/H280),"0")</f>
        <v>1.5625E-2</v>
      </c>
    </row>
    <row r="281" spans="1:68" ht="27" customHeight="1" x14ac:dyDescent="0.25">
      <c r="A281" s="54" t="s">
        <v>469</v>
      </c>
      <c r="B281" s="54" t="s">
        <v>470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119</v>
      </c>
      <c r="L281" s="32"/>
      <c r="M281" s="33" t="s">
        <v>77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66</v>
      </c>
      <c r="X281" s="627">
        <v>4</v>
      </c>
      <c r="Y281" s="628">
        <f t="shared" si="32"/>
        <v>8.1</v>
      </c>
      <c r="Z281" s="36">
        <f>IFERROR(IF(Y281=0,"",ROUNDUP(Y281/H281,0)*0.01898),"")</f>
        <v>1.898E-2</v>
      </c>
      <c r="AA281" s="56"/>
      <c r="AB281" s="57"/>
      <c r="AC281" s="349" t="s">
        <v>471</v>
      </c>
      <c r="AG281" s="64"/>
      <c r="AJ281" s="68"/>
      <c r="AK281" s="68">
        <v>0</v>
      </c>
      <c r="BB281" s="350" t="s">
        <v>1</v>
      </c>
      <c r="BM281" s="64">
        <f t="shared" si="33"/>
        <v>4.2350617283950625</v>
      </c>
      <c r="BN281" s="64">
        <f t="shared" si="34"/>
        <v>8.5760000000000005</v>
      </c>
      <c r="BO281" s="64">
        <f t="shared" si="35"/>
        <v>7.7160493827160498E-3</v>
      </c>
      <c r="BP281" s="64">
        <f t="shared" si="36"/>
        <v>1.5625E-2</v>
      </c>
    </row>
    <row r="282" spans="1:68" ht="27" customHeight="1" x14ac:dyDescent="0.25">
      <c r="A282" s="54" t="s">
        <v>472</v>
      </c>
      <c r="B282" s="54" t="s">
        <v>473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119</v>
      </c>
      <c r="L282" s="32"/>
      <c r="M282" s="33" t="s">
        <v>77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66</v>
      </c>
      <c r="X282" s="627">
        <v>260</v>
      </c>
      <c r="Y282" s="628">
        <f t="shared" si="32"/>
        <v>261</v>
      </c>
      <c r="Z282" s="36">
        <f>IFERROR(IF(Y282=0,"",ROUNDUP(Y282/H282,0)*0.01898),"")</f>
        <v>0.56940000000000002</v>
      </c>
      <c r="AA282" s="56"/>
      <c r="AB282" s="57"/>
      <c r="AC282" s="351" t="s">
        <v>474</v>
      </c>
      <c r="AG282" s="64"/>
      <c r="AJ282" s="68"/>
      <c r="AK282" s="68">
        <v>0</v>
      </c>
      <c r="BB282" s="352" t="s">
        <v>1</v>
      </c>
      <c r="BM282" s="64">
        <f t="shared" si="33"/>
        <v>274.76321839080464</v>
      </c>
      <c r="BN282" s="64">
        <f t="shared" si="34"/>
        <v>275.82000000000005</v>
      </c>
      <c r="BO282" s="64">
        <f t="shared" si="35"/>
        <v>0.4669540229885058</v>
      </c>
      <c r="BP282" s="64">
        <f t="shared" si="36"/>
        <v>0.46875000000000006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76</v>
      </c>
      <c r="L283" s="32"/>
      <c r="M283" s="33" t="s">
        <v>77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66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468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hidden="1" customHeight="1" x14ac:dyDescent="0.25">
      <c r="A284" s="54" t="s">
        <v>477</v>
      </c>
      <c r="B284" s="54" t="s">
        <v>478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76</v>
      </c>
      <c r="L284" s="32"/>
      <c r="M284" s="33" t="s">
        <v>83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66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479</v>
      </c>
      <c r="B285" s="54" t="s">
        <v>480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128</v>
      </c>
      <c r="L285" s="32"/>
      <c r="M285" s="33" t="s">
        <v>77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66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481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66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474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hidden="1" customHeight="1" x14ac:dyDescent="0.25">
      <c r="A287" s="54" t="s">
        <v>484</v>
      </c>
      <c r="B287" s="54" t="s">
        <v>485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119</v>
      </c>
      <c r="L287" s="32"/>
      <c r="M287" s="33" t="s">
        <v>77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66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481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hidden="1" customHeight="1" x14ac:dyDescent="0.25">
      <c r="A288" s="54" t="s">
        <v>486</v>
      </c>
      <c r="B288" s="54" t="s">
        <v>487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66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474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hidden="1" customHeight="1" x14ac:dyDescent="0.25">
      <c r="A289" s="54" t="s">
        <v>488</v>
      </c>
      <c r="B289" s="54" t="s">
        <v>489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76</v>
      </c>
      <c r="L289" s="32"/>
      <c r="M289" s="33" t="s">
        <v>83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66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490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hidden="1" customHeight="1" x14ac:dyDescent="0.25">
      <c r="A290" s="54" t="s">
        <v>491</v>
      </c>
      <c r="B290" s="54" t="s">
        <v>492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66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493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hidden="1" customHeight="1" x14ac:dyDescent="0.25">
      <c r="A291" s="54" t="s">
        <v>494</v>
      </c>
      <c r="B291" s="54" t="s">
        <v>495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76</v>
      </c>
      <c r="L291" s="32"/>
      <c r="M291" s="33" t="s">
        <v>77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66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496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71</v>
      </c>
      <c r="Q292" s="651"/>
      <c r="R292" s="651"/>
      <c r="S292" s="651"/>
      <c r="T292" s="651"/>
      <c r="U292" s="651"/>
      <c r="V292" s="652"/>
      <c r="W292" s="37" t="s">
        <v>72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31.119625372498938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32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0.60736000000000001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71</v>
      </c>
      <c r="Q293" s="651"/>
      <c r="R293" s="651"/>
      <c r="S293" s="651"/>
      <c r="T293" s="651"/>
      <c r="U293" s="651"/>
      <c r="V293" s="652"/>
      <c r="W293" s="37" t="s">
        <v>66</v>
      </c>
      <c r="X293" s="629">
        <f>IFERROR(SUM(X280:X291),"0")</f>
        <v>270</v>
      </c>
      <c r="Y293" s="629">
        <f>IFERROR(SUM(Y280:Y291),"0")</f>
        <v>277.2</v>
      </c>
      <c r="Z293" s="37"/>
      <c r="AA293" s="630"/>
      <c r="AB293" s="630"/>
      <c r="AC293" s="630"/>
    </row>
    <row r="294" spans="1:68" ht="14.25" hidden="1" customHeight="1" x14ac:dyDescent="0.25">
      <c r="A294" s="654" t="s">
        <v>169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hidden="1" customHeight="1" x14ac:dyDescent="0.25">
      <c r="A295" s="54" t="s">
        <v>497</v>
      </c>
      <c r="B295" s="54" t="s">
        <v>498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76</v>
      </c>
      <c r="L295" s="32"/>
      <c r="M295" s="33" t="s">
        <v>83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66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499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500</v>
      </c>
      <c r="B296" s="54" t="s">
        <v>501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76</v>
      </c>
      <c r="L296" s="32"/>
      <c r="M296" s="33" t="s">
        <v>77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66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502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71</v>
      </c>
      <c r="Q297" s="651"/>
      <c r="R297" s="651"/>
      <c r="S297" s="651"/>
      <c r="T297" s="651"/>
      <c r="U297" s="651"/>
      <c r="V297" s="652"/>
      <c r="W297" s="37" t="s">
        <v>72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hidden="1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71</v>
      </c>
      <c r="Q298" s="651"/>
      <c r="R298" s="651"/>
      <c r="S298" s="651"/>
      <c r="T298" s="651"/>
      <c r="U298" s="651"/>
      <c r="V298" s="652"/>
      <c r="W298" s="37" t="s">
        <v>66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hidden="1" customHeight="1" x14ac:dyDescent="0.25">
      <c r="A299" s="657" t="s">
        <v>503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116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504</v>
      </c>
      <c r="B301" s="54" t="s">
        <v>505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119</v>
      </c>
      <c r="L301" s="32"/>
      <c r="M301" s="33" t="s">
        <v>120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66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506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507</v>
      </c>
      <c r="B302" s="54" t="s">
        <v>508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119</v>
      </c>
      <c r="L302" s="32"/>
      <c r="M302" s="33" t="s">
        <v>120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66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509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119</v>
      </c>
      <c r="L303" s="32"/>
      <c r="M303" s="33" t="s">
        <v>120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66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364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512</v>
      </c>
      <c r="B304" s="54" t="s">
        <v>513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128</v>
      </c>
      <c r="L304" s="32"/>
      <c r="M304" s="33" t="s">
        <v>120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66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506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514</v>
      </c>
      <c r="B305" s="54" t="s">
        <v>515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128</v>
      </c>
      <c r="L305" s="32"/>
      <c r="M305" s="33" t="s">
        <v>120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66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516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517</v>
      </c>
      <c r="B306" s="54" t="s">
        <v>518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76</v>
      </c>
      <c r="L306" s="32"/>
      <c r="M306" s="33" t="s">
        <v>120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66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519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520</v>
      </c>
      <c r="B307" s="54" t="s">
        <v>521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128</v>
      </c>
      <c r="L307" s="32"/>
      <c r="M307" s="33" t="s">
        <v>120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66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364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71</v>
      </c>
      <c r="Q308" s="651"/>
      <c r="R308" s="651"/>
      <c r="S308" s="651"/>
      <c r="T308" s="651"/>
      <c r="U308" s="651"/>
      <c r="V308" s="652"/>
      <c r="W308" s="37" t="s">
        <v>72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71</v>
      </c>
      <c r="Q309" s="651"/>
      <c r="R309" s="651"/>
      <c r="S309" s="651"/>
      <c r="T309" s="651"/>
      <c r="U309" s="651"/>
      <c r="V309" s="652"/>
      <c r="W309" s="37" t="s">
        <v>66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152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522</v>
      </c>
      <c r="B311" s="54" t="s">
        <v>523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64</v>
      </c>
      <c r="L311" s="32"/>
      <c r="M311" s="33" t="s">
        <v>77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66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524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71</v>
      </c>
      <c r="Q312" s="651"/>
      <c r="R312" s="651"/>
      <c r="S312" s="651"/>
      <c r="T312" s="651"/>
      <c r="U312" s="651"/>
      <c r="V312" s="652"/>
      <c r="W312" s="37" t="s">
        <v>72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71</v>
      </c>
      <c r="Q313" s="651"/>
      <c r="R313" s="651"/>
      <c r="S313" s="651"/>
      <c r="T313" s="651"/>
      <c r="U313" s="651"/>
      <c r="V313" s="652"/>
      <c r="W313" s="37" t="s">
        <v>66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525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526</v>
      </c>
      <c r="B315" s="54" t="s">
        <v>527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337</v>
      </c>
      <c r="L315" s="32"/>
      <c r="M315" s="33" t="s">
        <v>280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66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528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71</v>
      </c>
      <c r="Q316" s="651"/>
      <c r="R316" s="651"/>
      <c r="S316" s="651"/>
      <c r="T316" s="651"/>
      <c r="U316" s="651"/>
      <c r="V316" s="652"/>
      <c r="W316" s="37" t="s">
        <v>72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71</v>
      </c>
      <c r="Q317" s="651"/>
      <c r="R317" s="651"/>
      <c r="S317" s="651"/>
      <c r="T317" s="651"/>
      <c r="U317" s="651"/>
      <c r="V317" s="652"/>
      <c r="W317" s="37" t="s">
        <v>66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342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529</v>
      </c>
      <c r="B319" s="54" t="s">
        <v>530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337</v>
      </c>
      <c r="L319" s="32"/>
      <c r="M319" s="33" t="s">
        <v>280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66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531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532</v>
      </c>
      <c r="B320" s="54" t="s">
        <v>533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337</v>
      </c>
      <c r="L320" s="32"/>
      <c r="M320" s="33" t="s">
        <v>280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66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531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534</v>
      </c>
      <c r="B321" s="54" t="s">
        <v>535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337</v>
      </c>
      <c r="L321" s="32"/>
      <c r="M321" s="33" t="s">
        <v>280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66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531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71</v>
      </c>
      <c r="Q322" s="651"/>
      <c r="R322" s="651"/>
      <c r="S322" s="651"/>
      <c r="T322" s="651"/>
      <c r="U322" s="651"/>
      <c r="V322" s="652"/>
      <c r="W322" s="37" t="s">
        <v>72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71</v>
      </c>
      <c r="Q323" s="651"/>
      <c r="R323" s="651"/>
      <c r="S323" s="651"/>
      <c r="T323" s="651"/>
      <c r="U323" s="651"/>
      <c r="V323" s="652"/>
      <c r="W323" s="37" t="s">
        <v>66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536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116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537</v>
      </c>
      <c r="B326" s="54" t="s">
        <v>538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119</v>
      </c>
      <c r="L326" s="32"/>
      <c r="M326" s="33" t="s">
        <v>120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66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539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540</v>
      </c>
      <c r="B327" s="54" t="s">
        <v>541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119</v>
      </c>
      <c r="L327" s="32"/>
      <c r="M327" s="33" t="s">
        <v>120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66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542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543</v>
      </c>
      <c r="B328" s="54" t="s">
        <v>544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119</v>
      </c>
      <c r="L328" s="32"/>
      <c r="M328" s="33" t="s">
        <v>120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66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545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546</v>
      </c>
      <c r="B329" s="54" t="s">
        <v>547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128</v>
      </c>
      <c r="L329" s="32"/>
      <c r="M329" s="33" t="s">
        <v>120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66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548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549</v>
      </c>
      <c r="B330" s="54" t="s">
        <v>550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128</v>
      </c>
      <c r="L330" s="32"/>
      <c r="M330" s="33" t="s">
        <v>120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66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551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71</v>
      </c>
      <c r="Q331" s="651"/>
      <c r="R331" s="651"/>
      <c r="S331" s="651"/>
      <c r="T331" s="651"/>
      <c r="U331" s="651"/>
      <c r="V331" s="652"/>
      <c r="W331" s="37" t="s">
        <v>72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71</v>
      </c>
      <c r="Q332" s="651"/>
      <c r="R332" s="651"/>
      <c r="S332" s="651"/>
      <c r="T332" s="651"/>
      <c r="U332" s="651"/>
      <c r="V332" s="652"/>
      <c r="W332" s="37" t="s">
        <v>66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552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73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553</v>
      </c>
      <c r="B335" s="54" t="s">
        <v>554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66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555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556</v>
      </c>
      <c r="B336" s="54" t="s">
        <v>557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76</v>
      </c>
      <c r="L336" s="32"/>
      <c r="M336" s="33" t="s">
        <v>83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66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558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559</v>
      </c>
      <c r="B337" s="54" t="s">
        <v>560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76</v>
      </c>
      <c r="L337" s="32"/>
      <c r="M337" s="33" t="s">
        <v>77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66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555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71</v>
      </c>
      <c r="Q338" s="651"/>
      <c r="R338" s="651"/>
      <c r="S338" s="651"/>
      <c r="T338" s="651"/>
      <c r="U338" s="651"/>
      <c r="V338" s="652"/>
      <c r="W338" s="37" t="s">
        <v>72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hidden="1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71</v>
      </c>
      <c r="Q339" s="651"/>
      <c r="R339" s="651"/>
      <c r="S339" s="651"/>
      <c r="T339" s="651"/>
      <c r="U339" s="651"/>
      <c r="V339" s="652"/>
      <c r="W339" s="37" t="s">
        <v>66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hidden="1" customHeight="1" x14ac:dyDescent="0.25">
      <c r="A340" s="657" t="s">
        <v>561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61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562</v>
      </c>
      <c r="B342" s="54" t="s">
        <v>563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66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396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64</v>
      </c>
      <c r="L343" s="32"/>
      <c r="M343" s="33" t="s">
        <v>65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66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66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76</v>
      </c>
      <c r="L345" s="32"/>
      <c r="M345" s="33" t="s">
        <v>65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66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573</v>
      </c>
      <c r="B346" s="54" t="s">
        <v>574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64</v>
      </c>
      <c r="L346" s="32"/>
      <c r="M346" s="33" t="s">
        <v>65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66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71</v>
      </c>
      <c r="Q347" s="651"/>
      <c r="R347" s="651"/>
      <c r="S347" s="651"/>
      <c r="T347" s="651"/>
      <c r="U347" s="651"/>
      <c r="V347" s="652"/>
      <c r="W347" s="37" t="s">
        <v>72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71</v>
      </c>
      <c r="Q348" s="651"/>
      <c r="R348" s="651"/>
      <c r="S348" s="651"/>
      <c r="T348" s="651"/>
      <c r="U348" s="651"/>
      <c r="V348" s="652"/>
      <c r="W348" s="37" t="s">
        <v>66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73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576</v>
      </c>
      <c r="B350" s="54" t="s">
        <v>577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128</v>
      </c>
      <c r="L350" s="32"/>
      <c r="M350" s="33" t="s">
        <v>77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66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579</v>
      </c>
      <c r="B351" s="54" t="s">
        <v>580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128</v>
      </c>
      <c r="L351" s="32"/>
      <c r="M351" s="33" t="s">
        <v>77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66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581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71</v>
      </c>
      <c r="Q352" s="651"/>
      <c r="R352" s="651"/>
      <c r="S352" s="651"/>
      <c r="T352" s="651"/>
      <c r="U352" s="651"/>
      <c r="V352" s="652"/>
      <c r="W352" s="37" t="s">
        <v>72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71</v>
      </c>
      <c r="Q353" s="651"/>
      <c r="R353" s="651"/>
      <c r="S353" s="651"/>
      <c r="T353" s="651"/>
      <c r="U353" s="651"/>
      <c r="V353" s="652"/>
      <c r="W353" s="37" t="s">
        <v>66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582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116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customHeight="1" x14ac:dyDescent="0.25">
      <c r="A356" s="54" t="s">
        <v>583</v>
      </c>
      <c r="B356" s="54" t="s">
        <v>584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119</v>
      </c>
      <c r="L356" s="32"/>
      <c r="M356" s="33" t="s">
        <v>77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66</v>
      </c>
      <c r="X356" s="627">
        <v>10</v>
      </c>
      <c r="Y356" s="628">
        <f>IFERROR(IF(X356="",0,CEILING((X356/$H356),1)*$H356),"")</f>
        <v>15.6</v>
      </c>
      <c r="Z356" s="36">
        <f>IFERROR(IF(Y356=0,"",ROUNDUP(Y356/H356,0)*0.01898),"")</f>
        <v>3.7960000000000001E-2</v>
      </c>
      <c r="AA356" s="56"/>
      <c r="AB356" s="57"/>
      <c r="AC356" s="429" t="s">
        <v>355</v>
      </c>
      <c r="AG356" s="64"/>
      <c r="AJ356" s="68"/>
      <c r="AK356" s="68">
        <v>0</v>
      </c>
      <c r="BB356" s="430" t="s">
        <v>1</v>
      </c>
      <c r="BM356" s="64">
        <f>IFERROR(X356*I356/H356,"0")</f>
        <v>10.525641025641027</v>
      </c>
      <c r="BN356" s="64">
        <f>IFERROR(Y356*I356/H356,"0")</f>
        <v>16.420000000000002</v>
      </c>
      <c r="BO356" s="64">
        <f>IFERROR(1/J356*(X356/H356),"0")</f>
        <v>2.0032051282051284E-2</v>
      </c>
      <c r="BP356" s="64">
        <f>IFERROR(1/J356*(Y356/H356),"0")</f>
        <v>3.125E-2</v>
      </c>
    </row>
    <row r="357" spans="1:68" ht="27" customHeight="1" x14ac:dyDescent="0.25">
      <c r="A357" s="54" t="s">
        <v>585</v>
      </c>
      <c r="B357" s="54" t="s">
        <v>586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119</v>
      </c>
      <c r="L357" s="32"/>
      <c r="M357" s="33" t="s">
        <v>77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66</v>
      </c>
      <c r="X357" s="627">
        <v>93</v>
      </c>
      <c r="Y357" s="628">
        <f>IFERROR(IF(X357="",0,CEILING((X357/$H357),1)*$H357),"")</f>
        <v>93.6</v>
      </c>
      <c r="Z357" s="36">
        <f>IFERROR(IF(Y357=0,"",ROUNDUP(Y357/H357,0)*0.01898),"")</f>
        <v>0.22776000000000002</v>
      </c>
      <c r="AA357" s="56"/>
      <c r="AB357" s="57"/>
      <c r="AC357" s="431" t="s">
        <v>587</v>
      </c>
      <c r="AG357" s="64"/>
      <c r="AJ357" s="68"/>
      <c r="AK357" s="68">
        <v>0</v>
      </c>
      <c r="BB357" s="432" t="s">
        <v>1</v>
      </c>
      <c r="BM357" s="64">
        <f>IFERROR(X357*I357/H357,"0")</f>
        <v>97.888461538461556</v>
      </c>
      <c r="BN357" s="64">
        <f>IFERROR(Y357*I357/H357,"0")</f>
        <v>98.52000000000001</v>
      </c>
      <c r="BO357" s="64">
        <f>IFERROR(1/J357*(X357/H357),"0")</f>
        <v>0.18629807692307693</v>
      </c>
      <c r="BP357" s="64">
        <f>IFERROR(1/J357*(Y357/H357),"0")</f>
        <v>0.1875</v>
      </c>
    </row>
    <row r="358" spans="1:68" ht="27" customHeight="1" x14ac:dyDescent="0.25">
      <c r="A358" s="54" t="s">
        <v>588</v>
      </c>
      <c r="B358" s="54" t="s">
        <v>589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119</v>
      </c>
      <c r="L358" s="32"/>
      <c r="M358" s="33" t="s">
        <v>77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66</v>
      </c>
      <c r="X358" s="627">
        <v>12</v>
      </c>
      <c r="Y358" s="628">
        <f>IFERROR(IF(X358="",0,CEILING((X358/$H358),1)*$H358),"")</f>
        <v>15.6</v>
      </c>
      <c r="Z358" s="36">
        <f>IFERROR(IF(Y358=0,"",ROUNDUP(Y358/H358,0)*0.01898),"")</f>
        <v>3.7960000000000001E-2</v>
      </c>
      <c r="AA358" s="56"/>
      <c r="AB358" s="57"/>
      <c r="AC358" s="433" t="s">
        <v>590</v>
      </c>
      <c r="AG358" s="64"/>
      <c r="AJ358" s="68"/>
      <c r="AK358" s="68">
        <v>0</v>
      </c>
      <c r="BB358" s="434" t="s">
        <v>1</v>
      </c>
      <c r="BM358" s="64">
        <f>IFERROR(X358*I358/H358,"0")</f>
        <v>12.630769230769232</v>
      </c>
      <c r="BN358" s="64">
        <f>IFERROR(Y358*I358/H358,"0")</f>
        <v>16.420000000000002</v>
      </c>
      <c r="BO358" s="64">
        <f>IFERROR(1/J358*(X358/H358),"0")</f>
        <v>2.403846153846154E-2</v>
      </c>
      <c r="BP358" s="64">
        <f>IFERROR(1/J358*(Y358/H358),"0")</f>
        <v>3.125E-2</v>
      </c>
    </row>
    <row r="359" spans="1:68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71</v>
      </c>
      <c r="Q359" s="651"/>
      <c r="R359" s="651"/>
      <c r="S359" s="651"/>
      <c r="T359" s="651"/>
      <c r="U359" s="651"/>
      <c r="V359" s="652"/>
      <c r="W359" s="37" t="s">
        <v>72</v>
      </c>
      <c r="X359" s="629">
        <f>IFERROR(X356/H356,"0")+IFERROR(X357/H357,"0")+IFERROR(X358/H358,"0")</f>
        <v>14.743589743589745</v>
      </c>
      <c r="Y359" s="629">
        <f>IFERROR(Y356/H356,"0")+IFERROR(Y357/H357,"0")+IFERROR(Y358/H358,"0")</f>
        <v>16</v>
      </c>
      <c r="Z359" s="629">
        <f>IFERROR(IF(Z356="",0,Z356),"0")+IFERROR(IF(Z357="",0,Z357),"0")+IFERROR(IF(Z358="",0,Z358),"0")</f>
        <v>0.30368000000000001</v>
      </c>
      <c r="AA359" s="630"/>
      <c r="AB359" s="630"/>
      <c r="AC359" s="630"/>
    </row>
    <row r="360" spans="1:68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71</v>
      </c>
      <c r="Q360" s="651"/>
      <c r="R360" s="651"/>
      <c r="S360" s="651"/>
      <c r="T360" s="651"/>
      <c r="U360" s="651"/>
      <c r="V360" s="652"/>
      <c r="W360" s="37" t="s">
        <v>66</v>
      </c>
      <c r="X360" s="629">
        <f>IFERROR(SUM(X356:X358),"0")</f>
        <v>115</v>
      </c>
      <c r="Y360" s="629">
        <f>IFERROR(SUM(Y356:Y358),"0")</f>
        <v>124.79999999999998</v>
      </c>
      <c r="Z360" s="37"/>
      <c r="AA360" s="630"/>
      <c r="AB360" s="630"/>
      <c r="AC360" s="630"/>
    </row>
    <row r="361" spans="1:68" ht="16.5" hidden="1" customHeight="1" x14ac:dyDescent="0.25">
      <c r="A361" s="657" t="s">
        <v>591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116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592</v>
      </c>
      <c r="B363" s="54" t="s">
        <v>593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119</v>
      </c>
      <c r="L363" s="32"/>
      <c r="M363" s="33" t="s">
        <v>120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66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595</v>
      </c>
      <c r="B364" s="54" t="s">
        <v>596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119</v>
      </c>
      <c r="L364" s="32"/>
      <c r="M364" s="33" t="s">
        <v>120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66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597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119</v>
      </c>
      <c r="L365" s="32"/>
      <c r="M365" s="33" t="s">
        <v>77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66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601</v>
      </c>
      <c r="B366" s="54" t="s">
        <v>602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128</v>
      </c>
      <c r="L366" s="32"/>
      <c r="M366" s="33" t="s">
        <v>120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66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594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603</v>
      </c>
      <c r="B367" s="54" t="s">
        <v>604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128</v>
      </c>
      <c r="L367" s="32"/>
      <c r="M367" s="33" t="s">
        <v>120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66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71</v>
      </c>
      <c r="Q368" s="651"/>
      <c r="R368" s="651"/>
      <c r="S368" s="651"/>
      <c r="T368" s="651"/>
      <c r="U368" s="651"/>
      <c r="V368" s="652"/>
      <c r="W368" s="37" t="s">
        <v>72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71</v>
      </c>
      <c r="Q369" s="651"/>
      <c r="R369" s="651"/>
      <c r="S369" s="651"/>
      <c r="T369" s="651"/>
      <c r="U369" s="651"/>
      <c r="V369" s="652"/>
      <c r="W369" s="37" t="s">
        <v>66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61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606</v>
      </c>
      <c r="B371" s="54" t="s">
        <v>607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128</v>
      </c>
      <c r="L371" s="32"/>
      <c r="M371" s="33" t="s">
        <v>65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66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128</v>
      </c>
      <c r="L372" s="32"/>
      <c r="M372" s="33" t="s">
        <v>65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66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128</v>
      </c>
      <c r="L373" s="32"/>
      <c r="M373" s="33" t="s">
        <v>65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66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64</v>
      </c>
      <c r="L374" s="32"/>
      <c r="M374" s="33" t="s">
        <v>65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66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611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617</v>
      </c>
      <c r="B375" s="54" t="s">
        <v>618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64</v>
      </c>
      <c r="L375" s="32"/>
      <c r="M375" s="33" t="s">
        <v>65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66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619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620</v>
      </c>
      <c r="B376" s="54" t="s">
        <v>621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128</v>
      </c>
      <c r="L376" s="32"/>
      <c r="M376" s="33" t="s">
        <v>65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66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614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622</v>
      </c>
      <c r="B377" s="54" t="s">
        <v>623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76</v>
      </c>
      <c r="L377" s="32"/>
      <c r="M377" s="33" t="s">
        <v>65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66</v>
      </c>
      <c r="X377" s="627">
        <v>28</v>
      </c>
      <c r="Y377" s="628">
        <f t="shared" si="42"/>
        <v>28.8</v>
      </c>
      <c r="Z377" s="36">
        <f>IFERROR(IF(Y377=0,"",ROUNDUP(Y377/H377,0)*0.00651),"")</f>
        <v>0.10416</v>
      </c>
      <c r="AA377" s="56"/>
      <c r="AB377" s="57"/>
      <c r="AC377" s="457" t="s">
        <v>624</v>
      </c>
      <c r="AG377" s="64"/>
      <c r="AJ377" s="68"/>
      <c r="AK377" s="68">
        <v>0</v>
      </c>
      <c r="BB377" s="458" t="s">
        <v>1</v>
      </c>
      <c r="BM377" s="64">
        <f t="shared" si="43"/>
        <v>31.546666666666667</v>
      </c>
      <c r="BN377" s="64">
        <f t="shared" si="44"/>
        <v>32.448</v>
      </c>
      <c r="BO377" s="64">
        <f t="shared" si="45"/>
        <v>8.5470085470085472E-2</v>
      </c>
      <c r="BP377" s="64">
        <f t="shared" si="46"/>
        <v>8.7912087912087919E-2</v>
      </c>
    </row>
    <row r="378" spans="1:68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71</v>
      </c>
      <c r="Q378" s="651"/>
      <c r="R378" s="651"/>
      <c r="S378" s="651"/>
      <c r="T378" s="651"/>
      <c r="U378" s="651"/>
      <c r="V378" s="652"/>
      <c r="W378" s="37" t="s">
        <v>72</v>
      </c>
      <c r="X378" s="629">
        <f>IFERROR(X371/H371,"0")+IFERROR(X372/H372,"0")+IFERROR(X373/H373,"0")+IFERROR(X374/H374,"0")+IFERROR(X375/H375,"0")+IFERROR(X376/H376,"0")+IFERROR(X377/H377,"0")</f>
        <v>15.555555555555555</v>
      </c>
      <c r="Y378" s="629">
        <f>IFERROR(Y371/H371,"0")+IFERROR(Y372/H372,"0")+IFERROR(Y373/H373,"0")+IFERROR(Y374/H374,"0")+IFERROR(Y375/H375,"0")+IFERROR(Y376/H376,"0")+IFERROR(Y377/H377,"0")</f>
        <v>16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0.10416</v>
      </c>
      <c r="AA378" s="630"/>
      <c r="AB378" s="630"/>
      <c r="AC378" s="630"/>
    </row>
    <row r="379" spans="1:68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71</v>
      </c>
      <c r="Q379" s="651"/>
      <c r="R379" s="651"/>
      <c r="S379" s="651"/>
      <c r="T379" s="651"/>
      <c r="U379" s="651"/>
      <c r="V379" s="652"/>
      <c r="W379" s="37" t="s">
        <v>66</v>
      </c>
      <c r="X379" s="629">
        <f>IFERROR(SUM(X371:X377),"0")</f>
        <v>28</v>
      </c>
      <c r="Y379" s="629">
        <f>IFERROR(SUM(Y371:Y377),"0")</f>
        <v>28.8</v>
      </c>
      <c r="Z379" s="37"/>
      <c r="AA379" s="630"/>
      <c r="AB379" s="630"/>
      <c r="AC379" s="630"/>
    </row>
    <row r="380" spans="1:68" ht="14.25" hidden="1" customHeight="1" x14ac:dyDescent="0.25">
      <c r="A380" s="654" t="s">
        <v>73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625</v>
      </c>
      <c r="B381" s="54" t="s">
        <v>626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119</v>
      </c>
      <c r="L381" s="32"/>
      <c r="M381" s="33" t="s">
        <v>77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66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627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628</v>
      </c>
      <c r="B382" s="54" t="s">
        <v>629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119</v>
      </c>
      <c r="L382" s="32"/>
      <c r="M382" s="33" t="s">
        <v>77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66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630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631</v>
      </c>
      <c r="B383" s="54" t="s">
        <v>632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119</v>
      </c>
      <c r="L383" s="32"/>
      <c r="M383" s="33" t="s">
        <v>77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66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633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634</v>
      </c>
      <c r="B384" s="54" t="s">
        <v>635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76</v>
      </c>
      <c r="L384" s="32"/>
      <c r="M384" s="33" t="s">
        <v>77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66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627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71</v>
      </c>
      <c r="Q385" s="651"/>
      <c r="R385" s="651"/>
      <c r="S385" s="651"/>
      <c r="T385" s="651"/>
      <c r="U385" s="651"/>
      <c r="V385" s="652"/>
      <c r="W385" s="37" t="s">
        <v>72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71</v>
      </c>
      <c r="Q386" s="651"/>
      <c r="R386" s="651"/>
      <c r="S386" s="651"/>
      <c r="T386" s="651"/>
      <c r="U386" s="651"/>
      <c r="V386" s="652"/>
      <c r="W386" s="37" t="s">
        <v>66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169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customHeight="1" x14ac:dyDescent="0.25">
      <c r="A388" s="54" t="s">
        <v>636</v>
      </c>
      <c r="B388" s="54" t="s">
        <v>637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119</v>
      </c>
      <c r="L388" s="32"/>
      <c r="M388" s="33" t="s">
        <v>77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66</v>
      </c>
      <c r="X388" s="627">
        <v>26</v>
      </c>
      <c r="Y388" s="628">
        <f>IFERROR(IF(X388="",0,CEILING((X388/$H388),1)*$H388),"")</f>
        <v>33.6</v>
      </c>
      <c r="Z388" s="36">
        <f>IFERROR(IF(Y388=0,"",ROUNDUP(Y388/H388,0)*0.01898),"")</f>
        <v>7.5920000000000001E-2</v>
      </c>
      <c r="AA388" s="56"/>
      <c r="AB388" s="57"/>
      <c r="AC388" s="467" t="s">
        <v>638</v>
      </c>
      <c r="AG388" s="64"/>
      <c r="AJ388" s="68"/>
      <c r="AK388" s="68">
        <v>0</v>
      </c>
      <c r="BB388" s="468" t="s">
        <v>1</v>
      </c>
      <c r="BM388" s="64">
        <f>IFERROR(X388*I388/H388,"0")</f>
        <v>27.529047619047617</v>
      </c>
      <c r="BN388" s="64">
        <f>IFERROR(Y388*I388/H388,"0")</f>
        <v>35.576000000000001</v>
      </c>
      <c r="BO388" s="64">
        <f>IFERROR(1/J388*(X388/H388),"0")</f>
        <v>4.8363095238095233E-2</v>
      </c>
      <c r="BP388" s="64">
        <f>IFERROR(1/J388*(Y388/H388),"0")</f>
        <v>6.25E-2</v>
      </c>
    </row>
    <row r="389" spans="1:68" ht="27" hidden="1" customHeight="1" x14ac:dyDescent="0.25">
      <c r="A389" s="54" t="s">
        <v>639</v>
      </c>
      <c r="B389" s="54" t="s">
        <v>640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119</v>
      </c>
      <c r="L389" s="32"/>
      <c r="M389" s="33" t="s">
        <v>77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66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hidden="1" customHeight="1" x14ac:dyDescent="0.25">
      <c r="A390" s="54" t="s">
        <v>642</v>
      </c>
      <c r="B390" s="54" t="s">
        <v>643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119</v>
      </c>
      <c r="L390" s="32"/>
      <c r="M390" s="33" t="s">
        <v>83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66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644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71</v>
      </c>
      <c r="Q391" s="651"/>
      <c r="R391" s="651"/>
      <c r="S391" s="651"/>
      <c r="T391" s="651"/>
      <c r="U391" s="651"/>
      <c r="V391" s="652"/>
      <c r="W391" s="37" t="s">
        <v>72</v>
      </c>
      <c r="X391" s="629">
        <f>IFERROR(X388/H388,"0")+IFERROR(X389/H389,"0")+IFERROR(X390/H390,"0")</f>
        <v>3.0952380952380949</v>
      </c>
      <c r="Y391" s="629">
        <f>IFERROR(Y388/H388,"0")+IFERROR(Y389/H389,"0")+IFERROR(Y390/H390,"0")</f>
        <v>4</v>
      </c>
      <c r="Z391" s="629">
        <f>IFERROR(IF(Z388="",0,Z388),"0")+IFERROR(IF(Z389="",0,Z389),"0")+IFERROR(IF(Z390="",0,Z390),"0")</f>
        <v>7.5920000000000001E-2</v>
      </c>
      <c r="AA391" s="630"/>
      <c r="AB391" s="630"/>
      <c r="AC391" s="630"/>
    </row>
    <row r="392" spans="1:68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71</v>
      </c>
      <c r="Q392" s="651"/>
      <c r="R392" s="651"/>
      <c r="S392" s="651"/>
      <c r="T392" s="651"/>
      <c r="U392" s="651"/>
      <c r="V392" s="652"/>
      <c r="W392" s="37" t="s">
        <v>66</v>
      </c>
      <c r="X392" s="629">
        <f>IFERROR(SUM(X388:X390),"0")</f>
        <v>26</v>
      </c>
      <c r="Y392" s="629">
        <f>IFERROR(SUM(Y388:Y390),"0")</f>
        <v>33.6</v>
      </c>
      <c r="Z392" s="37"/>
      <c r="AA392" s="630"/>
      <c r="AB392" s="630"/>
      <c r="AC392" s="630"/>
    </row>
    <row r="393" spans="1:68" ht="14.25" hidden="1" customHeight="1" x14ac:dyDescent="0.25">
      <c r="A393" s="654" t="s">
        <v>91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645</v>
      </c>
      <c r="B394" s="54" t="s">
        <v>646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128</v>
      </c>
      <c r="L394" s="32"/>
      <c r="M394" s="33" t="s">
        <v>94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66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647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128</v>
      </c>
      <c r="L395" s="32"/>
      <c r="M395" s="33" t="s">
        <v>94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66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647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650</v>
      </c>
      <c r="B396" s="54" t="s">
        <v>651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76</v>
      </c>
      <c r="L396" s="32"/>
      <c r="M396" s="33" t="s">
        <v>94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66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647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652</v>
      </c>
      <c r="B397" s="54" t="s">
        <v>653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76</v>
      </c>
      <c r="L397" s="32"/>
      <c r="M397" s="33" t="s">
        <v>94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66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647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71</v>
      </c>
      <c r="Q398" s="651"/>
      <c r="R398" s="651"/>
      <c r="S398" s="651"/>
      <c r="T398" s="651"/>
      <c r="U398" s="651"/>
      <c r="V398" s="652"/>
      <c r="W398" s="37" t="s">
        <v>72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71</v>
      </c>
      <c r="Q399" s="651"/>
      <c r="R399" s="651"/>
      <c r="S399" s="651"/>
      <c r="T399" s="651"/>
      <c r="U399" s="651"/>
      <c r="V399" s="652"/>
      <c r="W399" s="37" t="s">
        <v>66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654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customHeight="1" x14ac:dyDescent="0.25">
      <c r="A401" s="54" t="s">
        <v>655</v>
      </c>
      <c r="B401" s="54" t="s">
        <v>656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76</v>
      </c>
      <c r="L401" s="32"/>
      <c r="M401" s="33" t="s">
        <v>657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66</v>
      </c>
      <c r="X401" s="627">
        <v>2</v>
      </c>
      <c r="Y401" s="628">
        <f>IFERROR(IF(X401="",0,CEILING((X401/$H401),1)*$H401),"")</f>
        <v>2</v>
      </c>
      <c r="Z401" s="36">
        <f>IFERROR(IF(Y401=0,"",ROUNDUP(Y401/H401,0)*0.00474),"")</f>
        <v>4.7400000000000003E-3</v>
      </c>
      <c r="AA401" s="56"/>
      <c r="AB401" s="57"/>
      <c r="AC401" s="481" t="s">
        <v>658</v>
      </c>
      <c r="AG401" s="64"/>
      <c r="AJ401" s="68"/>
      <c r="AK401" s="68">
        <v>0</v>
      </c>
      <c r="BB401" s="482" t="s">
        <v>1</v>
      </c>
      <c r="BM401" s="64">
        <f>IFERROR(X401*I401/H401,"0")</f>
        <v>2.2400000000000002</v>
      </c>
      <c r="BN401" s="64">
        <f>IFERROR(Y401*I401/H401,"0")</f>
        <v>2.2400000000000002</v>
      </c>
      <c r="BO401" s="64">
        <f>IFERROR(1/J401*(X401/H401),"0")</f>
        <v>4.2016806722689074E-3</v>
      </c>
      <c r="BP401" s="64">
        <f>IFERROR(1/J401*(Y401/H401),"0")</f>
        <v>4.2016806722689074E-3</v>
      </c>
    </row>
    <row r="402" spans="1:68" ht="27" customHeight="1" x14ac:dyDescent="0.25">
      <c r="A402" s="54" t="s">
        <v>659</v>
      </c>
      <c r="B402" s="54" t="s">
        <v>660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76</v>
      </c>
      <c r="L402" s="32"/>
      <c r="M402" s="33" t="s">
        <v>657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66</v>
      </c>
      <c r="X402" s="627">
        <v>6</v>
      </c>
      <c r="Y402" s="628">
        <f>IFERROR(IF(X402="",0,CEILING((X402/$H402),1)*$H402),"")</f>
        <v>6</v>
      </c>
      <c r="Z402" s="36">
        <f>IFERROR(IF(Y402=0,"",ROUNDUP(Y402/H402,0)*0.00474),"")</f>
        <v>1.422E-2</v>
      </c>
      <c r="AA402" s="56"/>
      <c r="AB402" s="57"/>
      <c r="AC402" s="483" t="s">
        <v>658</v>
      </c>
      <c r="AG402" s="64"/>
      <c r="AJ402" s="68"/>
      <c r="AK402" s="68">
        <v>0</v>
      </c>
      <c r="BB402" s="484" t="s">
        <v>1</v>
      </c>
      <c r="BM402" s="64">
        <f>IFERROR(X402*I402/H402,"0")</f>
        <v>6.7200000000000006</v>
      </c>
      <c r="BN402" s="64">
        <f>IFERROR(Y402*I402/H402,"0")</f>
        <v>6.7200000000000006</v>
      </c>
      <c r="BO402" s="64">
        <f>IFERROR(1/J402*(X402/H402),"0")</f>
        <v>1.2605042016806723E-2</v>
      </c>
      <c r="BP402" s="64">
        <f>IFERROR(1/J402*(Y402/H402),"0")</f>
        <v>1.2605042016806723E-2</v>
      </c>
    </row>
    <row r="403" spans="1:68" ht="27" hidden="1" customHeight="1" x14ac:dyDescent="0.25">
      <c r="A403" s="54" t="s">
        <v>661</v>
      </c>
      <c r="B403" s="54" t="s">
        <v>662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76</v>
      </c>
      <c r="L403" s="32"/>
      <c r="M403" s="33" t="s">
        <v>657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66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71</v>
      </c>
      <c r="Q404" s="651"/>
      <c r="R404" s="651"/>
      <c r="S404" s="651"/>
      <c r="T404" s="651"/>
      <c r="U404" s="651"/>
      <c r="V404" s="652"/>
      <c r="W404" s="37" t="s">
        <v>72</v>
      </c>
      <c r="X404" s="629">
        <f>IFERROR(X401/H401,"0")+IFERROR(X402/H402,"0")+IFERROR(X403/H403,"0")</f>
        <v>4</v>
      </c>
      <c r="Y404" s="629">
        <f>IFERROR(Y401/H401,"0")+IFERROR(Y402/H402,"0")+IFERROR(Y403/H403,"0")</f>
        <v>4</v>
      </c>
      <c r="Z404" s="629">
        <f>IFERROR(IF(Z401="",0,Z401),"0")+IFERROR(IF(Z402="",0,Z402),"0")+IFERROR(IF(Z403="",0,Z403),"0")</f>
        <v>1.8960000000000001E-2</v>
      </c>
      <c r="AA404" s="630"/>
      <c r="AB404" s="630"/>
      <c r="AC404" s="630"/>
    </row>
    <row r="405" spans="1:68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71</v>
      </c>
      <c r="Q405" s="651"/>
      <c r="R405" s="651"/>
      <c r="S405" s="651"/>
      <c r="T405" s="651"/>
      <c r="U405" s="651"/>
      <c r="V405" s="652"/>
      <c r="W405" s="37" t="s">
        <v>66</v>
      </c>
      <c r="X405" s="629">
        <f>IFERROR(SUM(X401:X403),"0")</f>
        <v>8</v>
      </c>
      <c r="Y405" s="629">
        <f>IFERROR(SUM(Y401:Y403),"0")</f>
        <v>8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663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664</v>
      </c>
      <c r="B407" s="54" t="s">
        <v>665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76</v>
      </c>
      <c r="L407" s="32"/>
      <c r="M407" s="33" t="s">
        <v>657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66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240</v>
      </c>
      <c r="AC407" s="487" t="s">
        <v>666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667</v>
      </c>
      <c r="B408" s="54" t="s">
        <v>668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128</v>
      </c>
      <c r="L408" s="32"/>
      <c r="M408" s="33" t="s">
        <v>657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66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240</v>
      </c>
      <c r="AC408" s="489" t="s">
        <v>669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670</v>
      </c>
      <c r="B409" s="54" t="s">
        <v>671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76</v>
      </c>
      <c r="L409" s="32"/>
      <c r="M409" s="33" t="s">
        <v>657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66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240</v>
      </c>
      <c r="AC409" s="491" t="s">
        <v>666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71</v>
      </c>
      <c r="Q410" s="651"/>
      <c r="R410" s="651"/>
      <c r="S410" s="651"/>
      <c r="T410" s="651"/>
      <c r="U410" s="651"/>
      <c r="V410" s="652"/>
      <c r="W410" s="37" t="s">
        <v>72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71</v>
      </c>
      <c r="Q411" s="651"/>
      <c r="R411" s="651"/>
      <c r="S411" s="651"/>
      <c r="T411" s="651"/>
      <c r="U411" s="651"/>
      <c r="V411" s="652"/>
      <c r="W411" s="37" t="s">
        <v>66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672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73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673</v>
      </c>
      <c r="B414" s="54" t="s">
        <v>674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119</v>
      </c>
      <c r="L414" s="32"/>
      <c r="M414" s="33" t="s">
        <v>83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66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676</v>
      </c>
      <c r="B415" s="54" t="s">
        <v>677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76</v>
      </c>
      <c r="L415" s="32"/>
      <c r="M415" s="33" t="s">
        <v>77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66</v>
      </c>
      <c r="X415" s="627">
        <v>9</v>
      </c>
      <c r="Y415" s="628">
        <f>IFERROR(IF(X415="",0,CEILING((X415/$H415),1)*$H415),"")</f>
        <v>10.5</v>
      </c>
      <c r="Z415" s="36">
        <f>IFERROR(IF(Y415=0,"",ROUNDUP(Y415/H415,0)*0.00651),"")</f>
        <v>3.2550000000000003E-2</v>
      </c>
      <c r="AA415" s="56"/>
      <c r="AB415" s="57"/>
      <c r="AC415" s="495" t="s">
        <v>678</v>
      </c>
      <c r="AG415" s="64"/>
      <c r="AJ415" s="68"/>
      <c r="AK415" s="68">
        <v>0</v>
      </c>
      <c r="BB415" s="496" t="s">
        <v>1</v>
      </c>
      <c r="BM415" s="64">
        <f>IFERROR(X415*I415/H415,"0")</f>
        <v>10.08</v>
      </c>
      <c r="BN415" s="64">
        <f>IFERROR(Y415*I415/H415,"0")</f>
        <v>11.759999999999998</v>
      </c>
      <c r="BO415" s="64">
        <f>IFERROR(1/J415*(X415/H415),"0")</f>
        <v>2.3547880690737835E-2</v>
      </c>
      <c r="BP415" s="64">
        <f>IFERROR(1/J415*(Y415/H415),"0")</f>
        <v>2.7472527472527476E-2</v>
      </c>
    </row>
    <row r="416" spans="1:68" ht="27" customHeight="1" x14ac:dyDescent="0.25">
      <c r="A416" s="54" t="s">
        <v>679</v>
      </c>
      <c r="B416" s="54" t="s">
        <v>680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76</v>
      </c>
      <c r="L416" s="32"/>
      <c r="M416" s="33" t="s">
        <v>83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66</v>
      </c>
      <c r="X416" s="627">
        <v>45</v>
      </c>
      <c r="Y416" s="628">
        <f>IFERROR(IF(X416="",0,CEILING((X416/$H416),1)*$H416),"")</f>
        <v>46.2</v>
      </c>
      <c r="Z416" s="36">
        <f>IFERROR(IF(Y416=0,"",ROUNDUP(Y416/H416,0)*0.00651),"")</f>
        <v>0.14322000000000001</v>
      </c>
      <c r="AA416" s="56"/>
      <c r="AB416" s="57"/>
      <c r="AC416" s="497" t="s">
        <v>681</v>
      </c>
      <c r="AG416" s="64"/>
      <c r="AJ416" s="68"/>
      <c r="AK416" s="68">
        <v>0</v>
      </c>
      <c r="BB416" s="498" t="s">
        <v>1</v>
      </c>
      <c r="BM416" s="64">
        <f>IFERROR(X416*I416/H416,"0")</f>
        <v>50.142857142857139</v>
      </c>
      <c r="BN416" s="64">
        <f>IFERROR(Y416*I416/H416,"0")</f>
        <v>51.48</v>
      </c>
      <c r="BO416" s="64">
        <f>IFERROR(1/J416*(X416/H416),"0")</f>
        <v>0.11773940345368916</v>
      </c>
      <c r="BP416" s="64">
        <f>IFERROR(1/J416*(Y416/H416),"0")</f>
        <v>0.12087912087912089</v>
      </c>
    </row>
    <row r="417" spans="1:68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71</v>
      </c>
      <c r="Q417" s="651"/>
      <c r="R417" s="651"/>
      <c r="S417" s="651"/>
      <c r="T417" s="651"/>
      <c r="U417" s="651"/>
      <c r="V417" s="652"/>
      <c r="W417" s="37" t="s">
        <v>72</v>
      </c>
      <c r="X417" s="629">
        <f>IFERROR(X414/H414,"0")+IFERROR(X415/H415,"0")+IFERROR(X416/H416,"0")</f>
        <v>25.714285714285712</v>
      </c>
      <c r="Y417" s="629">
        <f>IFERROR(Y414/H414,"0")+IFERROR(Y415/H415,"0")+IFERROR(Y416/H416,"0")</f>
        <v>27</v>
      </c>
      <c r="Z417" s="629">
        <f>IFERROR(IF(Z414="",0,Z414),"0")+IFERROR(IF(Z415="",0,Z415),"0")+IFERROR(IF(Z416="",0,Z416),"0")</f>
        <v>0.17577000000000001</v>
      </c>
      <c r="AA417" s="630"/>
      <c r="AB417" s="630"/>
      <c r="AC417" s="630"/>
    </row>
    <row r="418" spans="1:68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71</v>
      </c>
      <c r="Q418" s="651"/>
      <c r="R418" s="651"/>
      <c r="S418" s="651"/>
      <c r="T418" s="651"/>
      <c r="U418" s="651"/>
      <c r="V418" s="652"/>
      <c r="W418" s="37" t="s">
        <v>66</v>
      </c>
      <c r="X418" s="629">
        <f>IFERROR(SUM(X414:X416),"0")</f>
        <v>54</v>
      </c>
      <c r="Y418" s="629">
        <f>IFERROR(SUM(Y414:Y416),"0")</f>
        <v>56.7</v>
      </c>
      <c r="Z418" s="37"/>
      <c r="AA418" s="630"/>
      <c r="AB418" s="630"/>
      <c r="AC418" s="630"/>
    </row>
    <row r="419" spans="1:68" ht="27.75" hidden="1" customHeight="1" x14ac:dyDescent="0.2">
      <c r="A419" s="660" t="s">
        <v>682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683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116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customHeight="1" x14ac:dyDescent="0.25">
      <c r="A422" s="54" t="s">
        <v>684</v>
      </c>
      <c r="B422" s="54" t="s">
        <v>685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119</v>
      </c>
      <c r="L422" s="32"/>
      <c r="M422" s="33" t="s">
        <v>83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66</v>
      </c>
      <c r="X422" s="627">
        <v>31</v>
      </c>
      <c r="Y422" s="628">
        <f t="shared" ref="Y422:Y429" si="47">IFERROR(IF(X422="",0,CEILING((X422/$H422),1)*$H422),"")</f>
        <v>45</v>
      </c>
      <c r="Z422" s="36">
        <f>IFERROR(IF(Y422=0,"",ROUNDUP(Y422/H422,0)*0.02175),"")</f>
        <v>6.5250000000000002E-2</v>
      </c>
      <c r="AA422" s="56"/>
      <c r="AB422" s="57"/>
      <c r="AC422" s="499" t="s">
        <v>686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31.971333333333334</v>
      </c>
      <c r="BN422" s="64">
        <f t="shared" ref="BN422:BN429" si="49">IFERROR(Y422*I422/H422,"0")</f>
        <v>46.41</v>
      </c>
      <c r="BO422" s="64">
        <f t="shared" ref="BO422:BO429" si="50">IFERROR(1/J422*(X422/H422),"0")</f>
        <v>4.3055555555555555E-2</v>
      </c>
      <c r="BP422" s="64">
        <f t="shared" ref="BP422:BP429" si="51">IFERROR(1/J422*(Y422/H422),"0")</f>
        <v>6.25E-2</v>
      </c>
    </row>
    <row r="423" spans="1:68" ht="37.5" hidden="1" customHeight="1" x14ac:dyDescent="0.25">
      <c r="A423" s="54" t="s">
        <v>687</v>
      </c>
      <c r="B423" s="54" t="s">
        <v>688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119</v>
      </c>
      <c r="L423" s="32"/>
      <c r="M423" s="33" t="s">
        <v>65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66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119</v>
      </c>
      <c r="L424" s="32"/>
      <c r="M424" s="33" t="s">
        <v>120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66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hidden="1" customHeight="1" x14ac:dyDescent="0.25">
      <c r="A425" s="54" t="s">
        <v>693</v>
      </c>
      <c r="B425" s="54" t="s">
        <v>694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119</v>
      </c>
      <c r="L425" s="32"/>
      <c r="M425" s="33" t="s">
        <v>65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66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695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696</v>
      </c>
      <c r="B426" s="54" t="s">
        <v>697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119</v>
      </c>
      <c r="L426" s="32"/>
      <c r="M426" s="33" t="s">
        <v>83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66</v>
      </c>
      <c r="X426" s="627">
        <v>300</v>
      </c>
      <c r="Y426" s="628">
        <f t="shared" si="47"/>
        <v>300</v>
      </c>
      <c r="Z426" s="36">
        <f>IFERROR(IF(Y426=0,"",ROUNDUP(Y426/H426,0)*0.02175),"")</f>
        <v>0.43499999999999994</v>
      </c>
      <c r="AA426" s="56"/>
      <c r="AB426" s="57"/>
      <c r="AC426" s="507" t="s">
        <v>698</v>
      </c>
      <c r="AG426" s="64"/>
      <c r="AJ426" s="68"/>
      <c r="AK426" s="68">
        <v>0</v>
      </c>
      <c r="BB426" s="508" t="s">
        <v>1</v>
      </c>
      <c r="BM426" s="64">
        <f t="shared" si="48"/>
        <v>309.39999999999998</v>
      </c>
      <c r="BN426" s="64">
        <f t="shared" si="49"/>
        <v>309.39999999999998</v>
      </c>
      <c r="BO426" s="64">
        <f t="shared" si="50"/>
        <v>0.41666666666666663</v>
      </c>
      <c r="BP426" s="64">
        <f t="shared" si="51"/>
        <v>0.41666666666666663</v>
      </c>
    </row>
    <row r="427" spans="1:68" ht="27" hidden="1" customHeight="1" x14ac:dyDescent="0.25">
      <c r="A427" s="54" t="s">
        <v>699</v>
      </c>
      <c r="B427" s="54" t="s">
        <v>700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128</v>
      </c>
      <c r="L427" s="32"/>
      <c r="M427" s="33" t="s">
        <v>120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66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701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702</v>
      </c>
      <c r="B428" s="54" t="s">
        <v>703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128</v>
      </c>
      <c r="L428" s="32"/>
      <c r="M428" s="33" t="s">
        <v>65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66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704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705</v>
      </c>
      <c r="B429" s="54" t="s">
        <v>706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128</v>
      </c>
      <c r="L429" s="32"/>
      <c r="M429" s="33" t="s">
        <v>65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66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707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71</v>
      </c>
      <c r="Q430" s="651"/>
      <c r="R430" s="651"/>
      <c r="S430" s="651"/>
      <c r="T430" s="651"/>
      <c r="U430" s="651"/>
      <c r="V430" s="652"/>
      <c r="W430" s="37" t="s">
        <v>72</v>
      </c>
      <c r="X430" s="629">
        <f>IFERROR(X422/H422,"0")+IFERROR(X423/H423,"0")+IFERROR(X424/H424,"0")+IFERROR(X425/H425,"0")+IFERROR(X426/H426,"0")+IFERROR(X427/H427,"0")+IFERROR(X428/H428,"0")+IFERROR(X429/H429,"0")</f>
        <v>22.066666666666666</v>
      </c>
      <c r="Y430" s="629">
        <f>IFERROR(Y422/H422,"0")+IFERROR(Y423/H423,"0")+IFERROR(Y424/H424,"0")+IFERROR(Y425/H425,"0")+IFERROR(Y426/H426,"0")+IFERROR(Y427/H427,"0")+IFERROR(Y428/H428,"0")+IFERROR(Y429/H429,"0")</f>
        <v>23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0.50024999999999997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71</v>
      </c>
      <c r="Q431" s="651"/>
      <c r="R431" s="651"/>
      <c r="S431" s="651"/>
      <c r="T431" s="651"/>
      <c r="U431" s="651"/>
      <c r="V431" s="652"/>
      <c r="W431" s="37" t="s">
        <v>66</v>
      </c>
      <c r="X431" s="629">
        <f>IFERROR(SUM(X422:X429),"0")</f>
        <v>331</v>
      </c>
      <c r="Y431" s="629">
        <f>IFERROR(SUM(Y422:Y429),"0")</f>
        <v>345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152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hidden="1" customHeight="1" x14ac:dyDescent="0.25">
      <c r="A433" s="54" t="s">
        <v>708</v>
      </c>
      <c r="B433" s="54" t="s">
        <v>709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119</v>
      </c>
      <c r="L433" s="32"/>
      <c r="M433" s="33" t="s">
        <v>120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66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710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hidden="1" customHeight="1" x14ac:dyDescent="0.25">
      <c r="A434" s="54" t="s">
        <v>711</v>
      </c>
      <c r="B434" s="54" t="s">
        <v>712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119</v>
      </c>
      <c r="L434" s="32"/>
      <c r="M434" s="33" t="s">
        <v>120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66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713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714</v>
      </c>
      <c r="B435" s="54" t="s">
        <v>715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128</v>
      </c>
      <c r="L435" s="32"/>
      <c r="M435" s="33" t="s">
        <v>120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66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716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idden="1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71</v>
      </c>
      <c r="Q436" s="651"/>
      <c r="R436" s="651"/>
      <c r="S436" s="651"/>
      <c r="T436" s="651"/>
      <c r="U436" s="651"/>
      <c r="V436" s="652"/>
      <c r="W436" s="37" t="s">
        <v>72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hidden="1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71</v>
      </c>
      <c r="Q437" s="651"/>
      <c r="R437" s="651"/>
      <c r="S437" s="651"/>
      <c r="T437" s="651"/>
      <c r="U437" s="651"/>
      <c r="V437" s="652"/>
      <c r="W437" s="37" t="s">
        <v>66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hidden="1" customHeight="1" x14ac:dyDescent="0.25">
      <c r="A438" s="654" t="s">
        <v>73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717</v>
      </c>
      <c r="B439" s="54" t="s">
        <v>718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119</v>
      </c>
      <c r="L439" s="32"/>
      <c r="M439" s="33" t="s">
        <v>77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66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719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720</v>
      </c>
      <c r="B440" s="54" t="s">
        <v>721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119</v>
      </c>
      <c r="L440" s="32"/>
      <c r="M440" s="33" t="s">
        <v>77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66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722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723</v>
      </c>
      <c r="B441" s="54" t="s">
        <v>724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119</v>
      </c>
      <c r="L441" s="32"/>
      <c r="M441" s="33" t="s">
        <v>77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66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725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71</v>
      </c>
      <c r="Q442" s="651"/>
      <c r="R442" s="651"/>
      <c r="S442" s="651"/>
      <c r="T442" s="651"/>
      <c r="U442" s="651"/>
      <c r="V442" s="652"/>
      <c r="W442" s="37" t="s">
        <v>72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71</v>
      </c>
      <c r="Q443" s="651"/>
      <c r="R443" s="651"/>
      <c r="S443" s="651"/>
      <c r="T443" s="651"/>
      <c r="U443" s="651"/>
      <c r="V443" s="652"/>
      <c r="W443" s="37" t="s">
        <v>66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169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726</v>
      </c>
      <c r="B445" s="54" t="s">
        <v>727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119</v>
      </c>
      <c r="L445" s="32"/>
      <c r="M445" s="33" t="s">
        <v>77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66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728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729</v>
      </c>
      <c r="B446" s="54" t="s">
        <v>730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119</v>
      </c>
      <c r="L446" s="32"/>
      <c r="M446" s="33" t="s">
        <v>77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66</v>
      </c>
      <c r="X446" s="627">
        <v>234</v>
      </c>
      <c r="Y446" s="628">
        <f>IFERROR(IF(X446="",0,CEILING((X446/$H446),1)*$H446),"")</f>
        <v>234</v>
      </c>
      <c r="Z446" s="36">
        <f>IFERROR(IF(Y446=0,"",ROUNDUP(Y446/H446,0)*0.01898),"")</f>
        <v>0.49348000000000003</v>
      </c>
      <c r="AA446" s="56"/>
      <c r="AB446" s="57"/>
      <c r="AC446" s="529" t="s">
        <v>731</v>
      </c>
      <c r="AG446" s="64"/>
      <c r="AJ446" s="68"/>
      <c r="AK446" s="68">
        <v>0</v>
      </c>
      <c r="BB446" s="530" t="s">
        <v>1</v>
      </c>
      <c r="BM446" s="64">
        <f>IFERROR(X446*I446/H446,"0")</f>
        <v>246.84399999999999</v>
      </c>
      <c r="BN446" s="64">
        <f>IFERROR(Y446*I446/H446,"0")</f>
        <v>246.84399999999999</v>
      </c>
      <c r="BO446" s="64">
        <f>IFERROR(1/J446*(X446/H446),"0")</f>
        <v>0.40625</v>
      </c>
      <c r="BP446" s="64">
        <f>IFERROR(1/J446*(Y446/H446),"0")</f>
        <v>0.40625</v>
      </c>
    </row>
    <row r="447" spans="1:68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71</v>
      </c>
      <c r="Q447" s="651"/>
      <c r="R447" s="651"/>
      <c r="S447" s="651"/>
      <c r="T447" s="651"/>
      <c r="U447" s="651"/>
      <c r="V447" s="652"/>
      <c r="W447" s="37" t="s">
        <v>72</v>
      </c>
      <c r="X447" s="629">
        <f>IFERROR(X445/H445,"0")+IFERROR(X446/H446,"0")</f>
        <v>26</v>
      </c>
      <c r="Y447" s="629">
        <f>IFERROR(Y445/H445,"0")+IFERROR(Y446/H446,"0")</f>
        <v>26</v>
      </c>
      <c r="Z447" s="629">
        <f>IFERROR(IF(Z445="",0,Z445),"0")+IFERROR(IF(Z446="",0,Z446),"0")</f>
        <v>0.49348000000000003</v>
      </c>
      <c r="AA447" s="630"/>
      <c r="AB447" s="630"/>
      <c r="AC447" s="630"/>
    </row>
    <row r="448" spans="1:68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71</v>
      </c>
      <c r="Q448" s="651"/>
      <c r="R448" s="651"/>
      <c r="S448" s="651"/>
      <c r="T448" s="651"/>
      <c r="U448" s="651"/>
      <c r="V448" s="652"/>
      <c r="W448" s="37" t="s">
        <v>66</v>
      </c>
      <c r="X448" s="629">
        <f>IFERROR(SUM(X445:X446),"0")</f>
        <v>234</v>
      </c>
      <c r="Y448" s="629">
        <f>IFERROR(SUM(Y445:Y446),"0")</f>
        <v>234</v>
      </c>
      <c r="Z448" s="37"/>
      <c r="AA448" s="630"/>
      <c r="AB448" s="630"/>
      <c r="AC448" s="630"/>
    </row>
    <row r="449" spans="1:68" ht="16.5" hidden="1" customHeight="1" x14ac:dyDescent="0.25">
      <c r="A449" s="657" t="s">
        <v>732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116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733</v>
      </c>
      <c r="B451" s="54" t="s">
        <v>734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119</v>
      </c>
      <c r="L451" s="32"/>
      <c r="M451" s="33" t="s">
        <v>65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66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735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736</v>
      </c>
      <c r="B452" s="54" t="s">
        <v>737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128</v>
      </c>
      <c r="L452" s="32"/>
      <c r="M452" s="33" t="s">
        <v>65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66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735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71</v>
      </c>
      <c r="Q453" s="651"/>
      <c r="R453" s="651"/>
      <c r="S453" s="651"/>
      <c r="T453" s="651"/>
      <c r="U453" s="651"/>
      <c r="V453" s="652"/>
      <c r="W453" s="37" t="s">
        <v>72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71</v>
      </c>
      <c r="Q454" s="651"/>
      <c r="R454" s="651"/>
      <c r="S454" s="651"/>
      <c r="T454" s="651"/>
      <c r="U454" s="651"/>
      <c r="V454" s="652"/>
      <c r="W454" s="37" t="s">
        <v>66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61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738</v>
      </c>
      <c r="B456" s="54" t="s">
        <v>739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128</v>
      </c>
      <c r="L456" s="32"/>
      <c r="M456" s="33" t="s">
        <v>65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66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740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71</v>
      </c>
      <c r="Q457" s="651"/>
      <c r="R457" s="651"/>
      <c r="S457" s="651"/>
      <c r="T457" s="651"/>
      <c r="U457" s="651"/>
      <c r="V457" s="652"/>
      <c r="W457" s="37" t="s">
        <v>72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71</v>
      </c>
      <c r="Q458" s="651"/>
      <c r="R458" s="651"/>
      <c r="S458" s="651"/>
      <c r="T458" s="651"/>
      <c r="U458" s="651"/>
      <c r="V458" s="652"/>
      <c r="W458" s="37" t="s">
        <v>66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73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hidden="1" customHeight="1" x14ac:dyDescent="0.25">
      <c r="A460" s="54" t="s">
        <v>741</v>
      </c>
      <c r="B460" s="54" t="s">
        <v>742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119</v>
      </c>
      <c r="L460" s="32"/>
      <c r="M460" s="33" t="s">
        <v>77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66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743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744</v>
      </c>
      <c r="B461" s="54" t="s">
        <v>745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76</v>
      </c>
      <c r="L461" s="32"/>
      <c r="M461" s="33" t="s">
        <v>77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66</v>
      </c>
      <c r="X461" s="627">
        <v>12</v>
      </c>
      <c r="Y461" s="628">
        <f>IFERROR(IF(X461="",0,CEILING((X461/$H461),1)*$H461),"")</f>
        <v>12</v>
      </c>
      <c r="Z461" s="36">
        <f>IFERROR(IF(Y461=0,"",ROUNDUP(Y461/H461,0)*0.00651),"")</f>
        <v>3.2550000000000003E-2</v>
      </c>
      <c r="AA461" s="56"/>
      <c r="AB461" s="57"/>
      <c r="AC461" s="539" t="s">
        <v>743</v>
      </c>
      <c r="AG461" s="64"/>
      <c r="AJ461" s="68"/>
      <c r="AK461" s="68">
        <v>0</v>
      </c>
      <c r="BB461" s="540" t="s">
        <v>1</v>
      </c>
      <c r="BM461" s="64">
        <f>IFERROR(X461*I461/H461,"0")</f>
        <v>13.320000000000002</v>
      </c>
      <c r="BN461" s="64">
        <f>IFERROR(Y461*I461/H461,"0")</f>
        <v>13.320000000000002</v>
      </c>
      <c r="BO461" s="64">
        <f>IFERROR(1/J461*(X461/H461),"0")</f>
        <v>2.7472527472527476E-2</v>
      </c>
      <c r="BP461" s="64">
        <f>IFERROR(1/J461*(Y461/H461),"0")</f>
        <v>2.7472527472527476E-2</v>
      </c>
    </row>
    <row r="462" spans="1:68" ht="27" hidden="1" customHeight="1" x14ac:dyDescent="0.25">
      <c r="A462" s="54" t="s">
        <v>744</v>
      </c>
      <c r="B462" s="54" t="s">
        <v>746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76</v>
      </c>
      <c r="L462" s="32"/>
      <c r="M462" s="33" t="s">
        <v>77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66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747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71</v>
      </c>
      <c r="Q463" s="651"/>
      <c r="R463" s="651"/>
      <c r="S463" s="651"/>
      <c r="T463" s="651"/>
      <c r="U463" s="651"/>
      <c r="V463" s="652"/>
      <c r="W463" s="37" t="s">
        <v>72</v>
      </c>
      <c r="X463" s="629">
        <f>IFERROR(X460/H460,"0")+IFERROR(X461/H461,"0")+IFERROR(X462/H462,"0")</f>
        <v>5</v>
      </c>
      <c r="Y463" s="629">
        <f>IFERROR(Y460/H460,"0")+IFERROR(Y461/H461,"0")+IFERROR(Y462/H462,"0")</f>
        <v>5</v>
      </c>
      <c r="Z463" s="629">
        <f>IFERROR(IF(Z460="",0,Z460),"0")+IFERROR(IF(Z461="",0,Z461),"0")+IFERROR(IF(Z462="",0,Z462),"0")</f>
        <v>3.2550000000000003E-2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71</v>
      </c>
      <c r="Q464" s="651"/>
      <c r="R464" s="651"/>
      <c r="S464" s="651"/>
      <c r="T464" s="651"/>
      <c r="U464" s="651"/>
      <c r="V464" s="652"/>
      <c r="W464" s="37" t="s">
        <v>66</v>
      </c>
      <c r="X464" s="629">
        <f>IFERROR(SUM(X460:X462),"0")</f>
        <v>12</v>
      </c>
      <c r="Y464" s="629">
        <f>IFERROR(SUM(Y460:Y462),"0")</f>
        <v>12</v>
      </c>
      <c r="Z464" s="37"/>
      <c r="AA464" s="630"/>
      <c r="AB464" s="630"/>
      <c r="AC464" s="630"/>
    </row>
    <row r="465" spans="1:68" ht="27.75" hidden="1" customHeight="1" x14ac:dyDescent="0.2">
      <c r="A465" s="660" t="s">
        <v>748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749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61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750</v>
      </c>
      <c r="B468" s="54" t="s">
        <v>751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128</v>
      </c>
      <c r="L468" s="32"/>
      <c r="M468" s="33" t="s">
        <v>65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66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753</v>
      </c>
      <c r="B469" s="54" t="s">
        <v>754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128</v>
      </c>
      <c r="L469" s="32"/>
      <c r="M469" s="33" t="s">
        <v>65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66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755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756</v>
      </c>
      <c r="B470" s="54" t="s">
        <v>757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64</v>
      </c>
      <c r="L470" s="32"/>
      <c r="M470" s="33" t="s">
        <v>65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66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752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758</v>
      </c>
      <c r="B471" s="54" t="s">
        <v>759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64</v>
      </c>
      <c r="L471" s="32"/>
      <c r="M471" s="33" t="s">
        <v>65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66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760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761</v>
      </c>
      <c r="B472" s="54" t="s">
        <v>762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66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763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764</v>
      </c>
      <c r="B473" s="54" t="s">
        <v>765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66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760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71</v>
      </c>
      <c r="Q474" s="651"/>
      <c r="R474" s="651"/>
      <c r="S474" s="651"/>
      <c r="T474" s="651"/>
      <c r="U474" s="651"/>
      <c r="V474" s="652"/>
      <c r="W474" s="37" t="s">
        <v>72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71</v>
      </c>
      <c r="Q475" s="651"/>
      <c r="R475" s="651"/>
      <c r="S475" s="651"/>
      <c r="T475" s="651"/>
      <c r="U475" s="651"/>
      <c r="V475" s="652"/>
      <c r="W475" s="37" t="s">
        <v>66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73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766</v>
      </c>
      <c r="B477" s="54" t="s">
        <v>767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128</v>
      </c>
      <c r="L477" s="32"/>
      <c r="M477" s="33" t="s">
        <v>77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66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768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769</v>
      </c>
      <c r="B478" s="54" t="s">
        <v>770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76</v>
      </c>
      <c r="L478" s="32"/>
      <c r="M478" s="33" t="s">
        <v>77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66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771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71</v>
      </c>
      <c r="Q479" s="651"/>
      <c r="R479" s="651"/>
      <c r="S479" s="651"/>
      <c r="T479" s="651"/>
      <c r="U479" s="651"/>
      <c r="V479" s="652"/>
      <c r="W479" s="37" t="s">
        <v>72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71</v>
      </c>
      <c r="Q480" s="651"/>
      <c r="R480" s="651"/>
      <c r="S480" s="651"/>
      <c r="T480" s="651"/>
      <c r="U480" s="651"/>
      <c r="V480" s="652"/>
      <c r="W480" s="37" t="s">
        <v>66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772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152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773</v>
      </c>
      <c r="B483" s="54" t="s">
        <v>774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76</v>
      </c>
      <c r="L483" s="32"/>
      <c r="M483" s="33" t="s">
        <v>65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66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775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71</v>
      </c>
      <c r="Q484" s="651"/>
      <c r="R484" s="651"/>
      <c r="S484" s="651"/>
      <c r="T484" s="651"/>
      <c r="U484" s="651"/>
      <c r="V484" s="652"/>
      <c r="W484" s="37" t="s">
        <v>72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71</v>
      </c>
      <c r="Q485" s="651"/>
      <c r="R485" s="651"/>
      <c r="S485" s="651"/>
      <c r="T485" s="651"/>
      <c r="U485" s="651"/>
      <c r="V485" s="652"/>
      <c r="W485" s="37" t="s">
        <v>66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61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776</v>
      </c>
      <c r="B487" s="54" t="s">
        <v>777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128</v>
      </c>
      <c r="L487" s="32"/>
      <c r="M487" s="33" t="s">
        <v>65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66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778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779</v>
      </c>
      <c r="B488" s="54" t="s">
        <v>780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64</v>
      </c>
      <c r="L488" s="32"/>
      <c r="M488" s="33" t="s">
        <v>65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66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781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782</v>
      </c>
      <c r="B489" s="54" t="s">
        <v>783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64</v>
      </c>
      <c r="L489" s="32"/>
      <c r="M489" s="33" t="s">
        <v>65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66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781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71</v>
      </c>
      <c r="Q490" s="651"/>
      <c r="R490" s="651"/>
      <c r="S490" s="651"/>
      <c r="T490" s="651"/>
      <c r="U490" s="651"/>
      <c r="V490" s="652"/>
      <c r="W490" s="37" t="s">
        <v>72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71</v>
      </c>
      <c r="Q491" s="651"/>
      <c r="R491" s="651"/>
      <c r="S491" s="651"/>
      <c r="T491" s="651"/>
      <c r="U491" s="651"/>
      <c r="V491" s="652"/>
      <c r="W491" s="37" t="s">
        <v>66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784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784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116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customHeight="1" x14ac:dyDescent="0.25">
      <c r="A495" s="54" t="s">
        <v>785</v>
      </c>
      <c r="B495" s="54" t="s">
        <v>786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119</v>
      </c>
      <c r="L495" s="32"/>
      <c r="M495" s="33" t="s">
        <v>77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66</v>
      </c>
      <c r="X495" s="627">
        <v>43</v>
      </c>
      <c r="Y495" s="628">
        <f t="shared" ref="Y495:Y503" si="57">IFERROR(IF(X495="",0,CEILING((X495/$H495),1)*$H495),"")</f>
        <v>47.52</v>
      </c>
      <c r="Z495" s="36">
        <f t="shared" ref="Z495:Z500" si="58">IFERROR(IF(Y495=0,"",ROUNDUP(Y495/H495,0)*0.01196),"")</f>
        <v>0.10764</v>
      </c>
      <c r="AA495" s="56"/>
      <c r="AB495" s="57"/>
      <c r="AC495" s="567" t="s">
        <v>121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45.850378787878789</v>
      </c>
      <c r="BN495" s="64">
        <f t="shared" ref="BN495:BN503" si="60">IFERROR(Y495*I495/H495,"0")</f>
        <v>50.669999999999995</v>
      </c>
      <c r="BO495" s="64">
        <f t="shared" ref="BO495:BO503" si="61">IFERROR(1/J495*(X495/H495),"0")</f>
        <v>7.8307109557109553E-2</v>
      </c>
      <c r="BP495" s="64">
        <f t="shared" ref="BP495:BP503" si="62">IFERROR(1/J495*(Y495/H495),"0")</f>
        <v>8.6538461538461536E-2</v>
      </c>
    </row>
    <row r="496" spans="1:68" ht="16.5" hidden="1" customHeight="1" x14ac:dyDescent="0.25">
      <c r="A496" s="54" t="s">
        <v>787</v>
      </c>
      <c r="B496" s="54" t="s">
        <v>788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119</v>
      </c>
      <c r="L496" s="32"/>
      <c r="M496" s="33" t="s">
        <v>120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66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789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790</v>
      </c>
      <c r="B497" s="54" t="s">
        <v>791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119</v>
      </c>
      <c r="L497" s="32"/>
      <c r="M497" s="33" t="s">
        <v>120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66</v>
      </c>
      <c r="X497" s="627">
        <v>4</v>
      </c>
      <c r="Y497" s="628">
        <f t="shared" si="57"/>
        <v>5.28</v>
      </c>
      <c r="Z497" s="36">
        <f t="shared" si="58"/>
        <v>1.196E-2</v>
      </c>
      <c r="AA497" s="56"/>
      <c r="AB497" s="57"/>
      <c r="AC497" s="571" t="s">
        <v>792</v>
      </c>
      <c r="AG497" s="64"/>
      <c r="AJ497" s="68"/>
      <c r="AK497" s="68">
        <v>0</v>
      </c>
      <c r="BB497" s="572" t="s">
        <v>1</v>
      </c>
      <c r="BM497" s="64">
        <f t="shared" si="59"/>
        <v>4.2651515151515147</v>
      </c>
      <c r="BN497" s="64">
        <f t="shared" si="60"/>
        <v>5.63</v>
      </c>
      <c r="BO497" s="64">
        <f t="shared" si="61"/>
        <v>7.2843822843822849E-3</v>
      </c>
      <c r="BP497" s="64">
        <f t="shared" si="62"/>
        <v>9.6153846153846159E-3</v>
      </c>
    </row>
    <row r="498" spans="1:68" ht="27" customHeight="1" x14ac:dyDescent="0.25">
      <c r="A498" s="54" t="s">
        <v>793</v>
      </c>
      <c r="B498" s="54" t="s">
        <v>794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119</v>
      </c>
      <c r="L498" s="32"/>
      <c r="M498" s="33" t="s">
        <v>120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66</v>
      </c>
      <c r="X498" s="627">
        <v>400</v>
      </c>
      <c r="Y498" s="628">
        <f t="shared" si="57"/>
        <v>401.28000000000003</v>
      </c>
      <c r="Z498" s="36">
        <f t="shared" si="58"/>
        <v>0.90895999999999999</v>
      </c>
      <c r="AA498" s="56"/>
      <c r="AB498" s="57"/>
      <c r="AC498" s="573" t="s">
        <v>795</v>
      </c>
      <c r="AG498" s="64"/>
      <c r="AJ498" s="68"/>
      <c r="AK498" s="68">
        <v>0</v>
      </c>
      <c r="BB498" s="574" t="s">
        <v>1</v>
      </c>
      <c r="BM498" s="64">
        <f t="shared" si="59"/>
        <v>426.5151515151515</v>
      </c>
      <c r="BN498" s="64">
        <f t="shared" si="60"/>
        <v>427.88</v>
      </c>
      <c r="BO498" s="64">
        <f t="shared" si="61"/>
        <v>0.72843822843822836</v>
      </c>
      <c r="BP498" s="64">
        <f t="shared" si="62"/>
        <v>0.73076923076923084</v>
      </c>
    </row>
    <row r="499" spans="1:68" ht="16.5" hidden="1" customHeight="1" x14ac:dyDescent="0.25">
      <c r="A499" s="54" t="s">
        <v>796</v>
      </c>
      <c r="B499" s="54" t="s">
        <v>797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119</v>
      </c>
      <c r="L499" s="32"/>
      <c r="M499" s="33" t="s">
        <v>77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66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798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hidden="1" customHeight="1" x14ac:dyDescent="0.25">
      <c r="A500" s="54" t="s">
        <v>799</v>
      </c>
      <c r="B500" s="54" t="s">
        <v>800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119</v>
      </c>
      <c r="L500" s="32"/>
      <c r="M500" s="33" t="s">
        <v>120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66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801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hidden="1" customHeight="1" x14ac:dyDescent="0.25">
      <c r="A501" s="54" t="s">
        <v>802</v>
      </c>
      <c r="B501" s="54" t="s">
        <v>803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76</v>
      </c>
      <c r="L501" s="32"/>
      <c r="M501" s="33" t="s">
        <v>77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66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121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804</v>
      </c>
      <c r="B502" s="54" t="s">
        <v>805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128</v>
      </c>
      <c r="L502" s="32"/>
      <c r="M502" s="33" t="s">
        <v>77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66</v>
      </c>
      <c r="X502" s="627">
        <v>8</v>
      </c>
      <c r="Y502" s="628">
        <f t="shared" si="57"/>
        <v>9.6</v>
      </c>
      <c r="Z502" s="36">
        <f>IFERROR(IF(Y502=0,"",ROUNDUP(Y502/H502,0)*0.00902),"")</f>
        <v>1.804E-2</v>
      </c>
      <c r="AA502" s="56"/>
      <c r="AB502" s="57"/>
      <c r="AC502" s="581" t="s">
        <v>121</v>
      </c>
      <c r="AG502" s="64"/>
      <c r="AJ502" s="68"/>
      <c r="AK502" s="68">
        <v>0</v>
      </c>
      <c r="BB502" s="582" t="s">
        <v>1</v>
      </c>
      <c r="BM502" s="64">
        <f t="shared" si="59"/>
        <v>11.516666666666667</v>
      </c>
      <c r="BN502" s="64">
        <f t="shared" si="60"/>
        <v>13.82</v>
      </c>
      <c r="BO502" s="64">
        <f t="shared" si="61"/>
        <v>1.2626262626262628E-2</v>
      </c>
      <c r="BP502" s="64">
        <f t="shared" si="62"/>
        <v>1.5151515151515152E-2</v>
      </c>
    </row>
    <row r="503" spans="1:68" ht="27" hidden="1" customHeight="1" x14ac:dyDescent="0.25">
      <c r="A503" s="54" t="s">
        <v>806</v>
      </c>
      <c r="B503" s="54" t="s">
        <v>807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128</v>
      </c>
      <c r="L503" s="32"/>
      <c r="M503" s="33" t="s">
        <v>120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66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801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71</v>
      </c>
      <c r="Q504" s="651"/>
      <c r="R504" s="651"/>
      <c r="S504" s="651"/>
      <c r="T504" s="651"/>
      <c r="U504" s="651"/>
      <c r="V504" s="652"/>
      <c r="W504" s="37" t="s">
        <v>72</v>
      </c>
      <c r="X504" s="629">
        <f>IFERROR(X495/H495,"0")+IFERROR(X496/H496,"0")+IFERROR(X497/H497,"0")+IFERROR(X498/H498,"0")+IFERROR(X499/H499,"0")+IFERROR(X500/H500,"0")+IFERROR(X501/H501,"0")+IFERROR(X502/H502,"0")+IFERROR(X503/H503,"0")</f>
        <v>86.325757575757578</v>
      </c>
      <c r="Y504" s="629">
        <f>IFERROR(Y495/H495,"0")+IFERROR(Y496/H496,"0")+IFERROR(Y497/H497,"0")+IFERROR(Y498/H498,"0")+IFERROR(Y499/H499,"0")+IFERROR(Y500/H500,"0")+IFERROR(Y501/H501,"0")+IFERROR(Y502/H502,"0")+IFERROR(Y503/H503,"0")</f>
        <v>88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1.0466</v>
      </c>
      <c r="AA504" s="630"/>
      <c r="AB504" s="630"/>
      <c r="AC504" s="630"/>
    </row>
    <row r="505" spans="1:68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71</v>
      </c>
      <c r="Q505" s="651"/>
      <c r="R505" s="651"/>
      <c r="S505" s="651"/>
      <c r="T505" s="651"/>
      <c r="U505" s="651"/>
      <c r="V505" s="652"/>
      <c r="W505" s="37" t="s">
        <v>66</v>
      </c>
      <c r="X505" s="629">
        <f>IFERROR(SUM(X495:X503),"0")</f>
        <v>455</v>
      </c>
      <c r="Y505" s="629">
        <f>IFERROR(SUM(Y495:Y503),"0")</f>
        <v>463.68000000000006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152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hidden="1" customHeight="1" x14ac:dyDescent="0.25">
      <c r="A507" s="54" t="s">
        <v>808</v>
      </c>
      <c r="B507" s="54" t="s">
        <v>809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119</v>
      </c>
      <c r="L507" s="32"/>
      <c r="M507" s="33" t="s">
        <v>77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66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810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811</v>
      </c>
      <c r="B508" s="54" t="s">
        <v>812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76</v>
      </c>
      <c r="L508" s="32"/>
      <c r="M508" s="33" t="s">
        <v>120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66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810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813</v>
      </c>
      <c r="B509" s="54" t="s">
        <v>814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128</v>
      </c>
      <c r="L509" s="32"/>
      <c r="M509" s="33" t="s">
        <v>120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66</v>
      </c>
      <c r="X509" s="627">
        <v>18</v>
      </c>
      <c r="Y509" s="628">
        <f>IFERROR(IF(X509="",0,CEILING((X509/$H509),1)*$H509),"")</f>
        <v>19.2</v>
      </c>
      <c r="Z509" s="36">
        <f>IFERROR(IF(Y509=0,"",ROUNDUP(Y509/H509,0)*0.00902),"")</f>
        <v>3.6080000000000001E-2</v>
      </c>
      <c r="AA509" s="56"/>
      <c r="AB509" s="57"/>
      <c r="AC509" s="589" t="s">
        <v>810</v>
      </c>
      <c r="AG509" s="64"/>
      <c r="AJ509" s="68"/>
      <c r="AK509" s="68">
        <v>0</v>
      </c>
      <c r="BB509" s="590" t="s">
        <v>1</v>
      </c>
      <c r="BM509" s="64">
        <f>IFERROR(X509*I509/H509,"0")</f>
        <v>25.912500000000001</v>
      </c>
      <c r="BN509" s="64">
        <f>IFERROR(Y509*I509/H509,"0")</f>
        <v>27.64</v>
      </c>
      <c r="BO509" s="64">
        <f>IFERROR(1/J509*(X509/H509),"0")</f>
        <v>2.8409090909090912E-2</v>
      </c>
      <c r="BP509" s="64">
        <f>IFERROR(1/J509*(Y509/H509),"0")</f>
        <v>3.0303030303030304E-2</v>
      </c>
    </row>
    <row r="510" spans="1:68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71</v>
      </c>
      <c r="Q510" s="651"/>
      <c r="R510" s="651"/>
      <c r="S510" s="651"/>
      <c r="T510" s="651"/>
      <c r="U510" s="651"/>
      <c r="V510" s="652"/>
      <c r="W510" s="37" t="s">
        <v>72</v>
      </c>
      <c r="X510" s="629">
        <f>IFERROR(X507/H507,"0")+IFERROR(X508/H508,"0")+IFERROR(X509/H509,"0")</f>
        <v>3.75</v>
      </c>
      <c r="Y510" s="629">
        <f>IFERROR(Y507/H507,"0")+IFERROR(Y508/H508,"0")+IFERROR(Y509/H509,"0")</f>
        <v>4</v>
      </c>
      <c r="Z510" s="629">
        <f>IFERROR(IF(Z507="",0,Z507),"0")+IFERROR(IF(Z508="",0,Z508),"0")+IFERROR(IF(Z509="",0,Z509),"0")</f>
        <v>3.6080000000000001E-2</v>
      </c>
      <c r="AA510" s="630"/>
      <c r="AB510" s="630"/>
      <c r="AC510" s="630"/>
    </row>
    <row r="511" spans="1:68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71</v>
      </c>
      <c r="Q511" s="651"/>
      <c r="R511" s="651"/>
      <c r="S511" s="651"/>
      <c r="T511" s="651"/>
      <c r="U511" s="651"/>
      <c r="V511" s="652"/>
      <c r="W511" s="37" t="s">
        <v>66</v>
      </c>
      <c r="X511" s="629">
        <f>IFERROR(SUM(X507:X509),"0")</f>
        <v>18</v>
      </c>
      <c r="Y511" s="629">
        <f>IFERROR(SUM(Y507:Y509),"0")</f>
        <v>19.2</v>
      </c>
      <c r="Z511" s="37"/>
      <c r="AA511" s="630"/>
      <c r="AB511" s="630"/>
      <c r="AC511" s="630"/>
    </row>
    <row r="512" spans="1:68" ht="14.25" hidden="1" customHeight="1" x14ac:dyDescent="0.25">
      <c r="A512" s="654" t="s">
        <v>61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hidden="1" customHeight="1" x14ac:dyDescent="0.25">
      <c r="A513" s="54" t="s">
        <v>815</v>
      </c>
      <c r="B513" s="54" t="s">
        <v>816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119</v>
      </c>
      <c r="L513" s="32"/>
      <c r="M513" s="33" t="s">
        <v>120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66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817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818</v>
      </c>
      <c r="B514" s="54" t="s">
        <v>819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119</v>
      </c>
      <c r="L514" s="32"/>
      <c r="M514" s="33" t="s">
        <v>65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66</v>
      </c>
      <c r="X514" s="627">
        <v>36</v>
      </c>
      <c r="Y514" s="628">
        <f t="shared" si="63"/>
        <v>36.96</v>
      </c>
      <c r="Z514" s="36">
        <f>IFERROR(IF(Y514=0,"",ROUNDUP(Y514/H514,0)*0.01196),"")</f>
        <v>8.3720000000000003E-2</v>
      </c>
      <c r="AA514" s="56"/>
      <c r="AB514" s="57"/>
      <c r="AC514" s="593" t="s">
        <v>820</v>
      </c>
      <c r="AG514" s="64"/>
      <c r="AJ514" s="68"/>
      <c r="AK514" s="68">
        <v>0</v>
      </c>
      <c r="BB514" s="594" t="s">
        <v>1</v>
      </c>
      <c r="BM514" s="64">
        <f t="shared" si="64"/>
        <v>38.386363636363633</v>
      </c>
      <c r="BN514" s="64">
        <f t="shared" si="65"/>
        <v>39.409999999999997</v>
      </c>
      <c r="BO514" s="64">
        <f t="shared" si="66"/>
        <v>6.555944055944056E-2</v>
      </c>
      <c r="BP514" s="64">
        <f t="shared" si="67"/>
        <v>6.7307692307692318E-2</v>
      </c>
    </row>
    <row r="515" spans="1:68" ht="27" hidden="1" customHeight="1" x14ac:dyDescent="0.25">
      <c r="A515" s="54" t="s">
        <v>821</v>
      </c>
      <c r="B515" s="54" t="s">
        <v>822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119</v>
      </c>
      <c r="L515" s="32"/>
      <c r="M515" s="33" t="s">
        <v>65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66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823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hidden="1" customHeight="1" x14ac:dyDescent="0.25">
      <c r="A516" s="54" t="s">
        <v>824</v>
      </c>
      <c r="B516" s="54" t="s">
        <v>825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128</v>
      </c>
      <c r="L516" s="32"/>
      <c r="M516" s="33" t="s">
        <v>120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66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817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826</v>
      </c>
      <c r="B517" s="54" t="s">
        <v>827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128</v>
      </c>
      <c r="L517" s="32"/>
      <c r="M517" s="33" t="s">
        <v>65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66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820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826</v>
      </c>
      <c r="B518" s="54" t="s">
        <v>828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128</v>
      </c>
      <c r="L518" s="32"/>
      <c r="M518" s="33" t="s">
        <v>65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66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820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829</v>
      </c>
      <c r="B519" s="54" t="s">
        <v>830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128</v>
      </c>
      <c r="L519" s="32"/>
      <c r="M519" s="33" t="s">
        <v>65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66</v>
      </c>
      <c r="X519" s="627">
        <v>4</v>
      </c>
      <c r="Y519" s="628">
        <f t="shared" si="63"/>
        <v>4.8</v>
      </c>
      <c r="Z519" s="36">
        <f>IFERROR(IF(Y519=0,"",ROUNDUP(Y519/H519,0)*0.00902),"")</f>
        <v>9.0200000000000002E-3</v>
      </c>
      <c r="AA519" s="56"/>
      <c r="AB519" s="57"/>
      <c r="AC519" s="603" t="s">
        <v>823</v>
      </c>
      <c r="AG519" s="64"/>
      <c r="AJ519" s="68"/>
      <c r="AK519" s="68">
        <v>0</v>
      </c>
      <c r="BB519" s="604" t="s">
        <v>1</v>
      </c>
      <c r="BM519" s="64">
        <f t="shared" si="64"/>
        <v>5.5583333333333336</v>
      </c>
      <c r="BN519" s="64">
        <f t="shared" si="65"/>
        <v>6.67</v>
      </c>
      <c r="BO519" s="64">
        <f t="shared" si="66"/>
        <v>6.3131313131313139E-3</v>
      </c>
      <c r="BP519" s="64">
        <f t="shared" si="67"/>
        <v>7.575757575757576E-3</v>
      </c>
    </row>
    <row r="520" spans="1:68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71</v>
      </c>
      <c r="Q520" s="651"/>
      <c r="R520" s="651"/>
      <c r="S520" s="651"/>
      <c r="T520" s="651"/>
      <c r="U520" s="651"/>
      <c r="V520" s="652"/>
      <c r="W520" s="37" t="s">
        <v>72</v>
      </c>
      <c r="X520" s="629">
        <f>IFERROR(X513/H513,"0")+IFERROR(X514/H514,"0")+IFERROR(X515/H515,"0")+IFERROR(X516/H516,"0")+IFERROR(X517/H517,"0")+IFERROR(X518/H518,"0")+IFERROR(X519/H519,"0")</f>
        <v>7.6515151515151505</v>
      </c>
      <c r="Y520" s="629">
        <f>IFERROR(Y513/H513,"0")+IFERROR(Y514/H514,"0")+IFERROR(Y515/H515,"0")+IFERROR(Y516/H516,"0")+IFERROR(Y517/H517,"0")+IFERROR(Y518/H518,"0")+IFERROR(Y519/H519,"0")</f>
        <v>8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9.2740000000000003E-2</v>
      </c>
      <c r="AA520" s="630"/>
      <c r="AB520" s="630"/>
      <c r="AC520" s="630"/>
    </row>
    <row r="521" spans="1:68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71</v>
      </c>
      <c r="Q521" s="651"/>
      <c r="R521" s="651"/>
      <c r="S521" s="651"/>
      <c r="T521" s="651"/>
      <c r="U521" s="651"/>
      <c r="V521" s="652"/>
      <c r="W521" s="37" t="s">
        <v>66</v>
      </c>
      <c r="X521" s="629">
        <f>IFERROR(SUM(X513:X519),"0")</f>
        <v>40</v>
      </c>
      <c r="Y521" s="629">
        <f>IFERROR(SUM(Y513:Y519),"0")</f>
        <v>41.76</v>
      </c>
      <c r="Z521" s="37"/>
      <c r="AA521" s="630"/>
      <c r="AB521" s="630"/>
      <c r="AC521" s="630"/>
    </row>
    <row r="522" spans="1:68" ht="27.75" hidden="1" customHeight="1" x14ac:dyDescent="0.2">
      <c r="A522" s="660" t="s">
        <v>831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831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116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832</v>
      </c>
      <c r="B525" s="54" t="s">
        <v>833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119</v>
      </c>
      <c r="L525" s="32"/>
      <c r="M525" s="33" t="s">
        <v>120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66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834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71</v>
      </c>
      <c r="Q526" s="651"/>
      <c r="R526" s="651"/>
      <c r="S526" s="651"/>
      <c r="T526" s="651"/>
      <c r="U526" s="651"/>
      <c r="V526" s="652"/>
      <c r="W526" s="37" t="s">
        <v>72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71</v>
      </c>
      <c r="Q527" s="651"/>
      <c r="R527" s="651"/>
      <c r="S527" s="651"/>
      <c r="T527" s="651"/>
      <c r="U527" s="651"/>
      <c r="V527" s="652"/>
      <c r="W527" s="37" t="s">
        <v>66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152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835</v>
      </c>
      <c r="B529" s="54" t="s">
        <v>836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119</v>
      </c>
      <c r="L529" s="32"/>
      <c r="M529" s="33" t="s">
        <v>120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66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837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71</v>
      </c>
      <c r="Q530" s="651"/>
      <c r="R530" s="651"/>
      <c r="S530" s="651"/>
      <c r="T530" s="651"/>
      <c r="U530" s="651"/>
      <c r="V530" s="652"/>
      <c r="W530" s="37" t="s">
        <v>72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71</v>
      </c>
      <c r="Q531" s="651"/>
      <c r="R531" s="651"/>
      <c r="S531" s="651"/>
      <c r="T531" s="651"/>
      <c r="U531" s="651"/>
      <c r="V531" s="652"/>
      <c r="W531" s="37" t="s">
        <v>66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61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838</v>
      </c>
      <c r="B533" s="54" t="s">
        <v>839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128</v>
      </c>
      <c r="L533" s="32"/>
      <c r="M533" s="33" t="s">
        <v>65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66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840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71</v>
      </c>
      <c r="Q534" s="651"/>
      <c r="R534" s="651"/>
      <c r="S534" s="651"/>
      <c r="T534" s="651"/>
      <c r="U534" s="651"/>
      <c r="V534" s="652"/>
      <c r="W534" s="37" t="s">
        <v>72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71</v>
      </c>
      <c r="Q535" s="651"/>
      <c r="R535" s="651"/>
      <c r="S535" s="651"/>
      <c r="T535" s="651"/>
      <c r="U535" s="651"/>
      <c r="V535" s="652"/>
      <c r="W535" s="37" t="s">
        <v>66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73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841</v>
      </c>
      <c r="B537" s="54" t="s">
        <v>842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119</v>
      </c>
      <c r="L537" s="32"/>
      <c r="M537" s="33" t="s">
        <v>77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66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843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71</v>
      </c>
      <c r="Q538" s="651"/>
      <c r="R538" s="651"/>
      <c r="S538" s="651"/>
      <c r="T538" s="651"/>
      <c r="U538" s="651"/>
      <c r="V538" s="652"/>
      <c r="W538" s="37" t="s">
        <v>72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71</v>
      </c>
      <c r="Q539" s="651"/>
      <c r="R539" s="651"/>
      <c r="S539" s="651"/>
      <c r="T539" s="651"/>
      <c r="U539" s="651"/>
      <c r="V539" s="652"/>
      <c r="W539" s="37" t="s">
        <v>66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169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844</v>
      </c>
      <c r="B541" s="54" t="s">
        <v>845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119</v>
      </c>
      <c r="L541" s="32"/>
      <c r="M541" s="33" t="s">
        <v>77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66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846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847</v>
      </c>
      <c r="B542" s="54" t="s">
        <v>848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119</v>
      </c>
      <c r="L542" s="32"/>
      <c r="M542" s="33" t="s">
        <v>77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66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849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71</v>
      </c>
      <c r="Q543" s="651"/>
      <c r="R543" s="651"/>
      <c r="S543" s="651"/>
      <c r="T543" s="651"/>
      <c r="U543" s="651"/>
      <c r="V543" s="652"/>
      <c r="W543" s="37" t="s">
        <v>72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71</v>
      </c>
      <c r="Q544" s="651"/>
      <c r="R544" s="651"/>
      <c r="S544" s="651"/>
      <c r="T544" s="651"/>
      <c r="U544" s="651"/>
      <c r="V544" s="652"/>
      <c r="W544" s="37" t="s">
        <v>66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850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152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851</v>
      </c>
      <c r="B547" s="54" t="s">
        <v>852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119</v>
      </c>
      <c r="L547" s="32"/>
      <c r="M547" s="33" t="s">
        <v>120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66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853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71</v>
      </c>
      <c r="Q548" s="651"/>
      <c r="R548" s="651"/>
      <c r="S548" s="651"/>
      <c r="T548" s="651"/>
      <c r="U548" s="651"/>
      <c r="V548" s="652"/>
      <c r="W548" s="37" t="s">
        <v>72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71</v>
      </c>
      <c r="Q549" s="651"/>
      <c r="R549" s="651"/>
      <c r="S549" s="651"/>
      <c r="T549" s="651"/>
      <c r="U549" s="651"/>
      <c r="V549" s="652"/>
      <c r="W549" s="37" t="s">
        <v>66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854</v>
      </c>
      <c r="Q550" s="715"/>
      <c r="R550" s="715"/>
      <c r="S550" s="715"/>
      <c r="T550" s="715"/>
      <c r="U550" s="715"/>
      <c r="V550" s="716"/>
      <c r="W550" s="37" t="s">
        <v>66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2267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2371.2200000000003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855</v>
      </c>
      <c r="Q551" s="715"/>
      <c r="R551" s="715"/>
      <c r="S551" s="715"/>
      <c r="T551" s="715"/>
      <c r="U551" s="715"/>
      <c r="V551" s="716"/>
      <c r="W551" s="37" t="s">
        <v>66</v>
      </c>
      <c r="X551" s="629">
        <f>IFERROR(SUM(BM22:BM547),"0")</f>
        <v>2437.2233659822855</v>
      </c>
      <c r="Y551" s="629">
        <f>IFERROR(SUM(BN22:BN547),"0")</f>
        <v>2548.5240000000003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856</v>
      </c>
      <c r="Q552" s="715"/>
      <c r="R552" s="715"/>
      <c r="S552" s="715"/>
      <c r="T552" s="715"/>
      <c r="U552" s="715"/>
      <c r="V552" s="716"/>
      <c r="W552" s="37" t="s">
        <v>857</v>
      </c>
      <c r="X552" s="38">
        <f>ROUNDUP(SUM(BO22:BO547),0)</f>
        <v>5</v>
      </c>
      <c r="Y552" s="38">
        <f>ROUNDUP(SUM(BP22:BP547),0)</f>
        <v>5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858</v>
      </c>
      <c r="Q553" s="715"/>
      <c r="R553" s="715"/>
      <c r="S553" s="715"/>
      <c r="T553" s="715"/>
      <c r="U553" s="715"/>
      <c r="V553" s="716"/>
      <c r="W553" s="37" t="s">
        <v>66</v>
      </c>
      <c r="X553" s="629">
        <f>GrossWeightTotal+PalletQtyTotal*25</f>
        <v>2562.2233659822855</v>
      </c>
      <c r="Y553" s="629">
        <f>GrossWeightTotalR+PalletQtyTotalR*25</f>
        <v>2673.5240000000003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859</v>
      </c>
      <c r="Q554" s="715"/>
      <c r="R554" s="715"/>
      <c r="S554" s="715"/>
      <c r="T554" s="715"/>
      <c r="U554" s="715"/>
      <c r="V554" s="716"/>
      <c r="W554" s="37" t="s">
        <v>857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482.58979869267216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503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860</v>
      </c>
      <c r="Q555" s="715"/>
      <c r="R555" s="715"/>
      <c r="S555" s="715"/>
      <c r="T555" s="715"/>
      <c r="U555" s="715"/>
      <c r="V555" s="716"/>
      <c r="W555" s="39" t="s">
        <v>861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5.2623299999999995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862</v>
      </c>
      <c r="B557" s="624" t="s">
        <v>60</v>
      </c>
      <c r="C557" s="624" t="s">
        <v>97</v>
      </c>
      <c r="D557" s="637" t="s">
        <v>114</v>
      </c>
      <c r="E557" s="806"/>
      <c r="F557" s="806"/>
      <c r="G557" s="806"/>
      <c r="H557" s="806"/>
      <c r="I557" s="806"/>
      <c r="J557" s="777"/>
      <c r="K557" s="637" t="s">
        <v>346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682</v>
      </c>
      <c r="W557" s="777"/>
      <c r="X557" s="637" t="s">
        <v>748</v>
      </c>
      <c r="Y557" s="777"/>
      <c r="Z557" s="624" t="s">
        <v>784</v>
      </c>
      <c r="AA557" s="637" t="s">
        <v>831</v>
      </c>
      <c r="AB557" s="777"/>
      <c r="AC557" s="52"/>
      <c r="AF557" s="625"/>
    </row>
    <row r="558" spans="1:68" ht="14.25" customHeight="1" thickTop="1" x14ac:dyDescent="0.2">
      <c r="A558" s="772" t="s">
        <v>863</v>
      </c>
      <c r="B558" s="637" t="s">
        <v>60</v>
      </c>
      <c r="C558" s="637" t="s">
        <v>98</v>
      </c>
      <c r="D558" s="637" t="s">
        <v>115</v>
      </c>
      <c r="E558" s="637" t="s">
        <v>131</v>
      </c>
      <c r="F558" s="637" t="s">
        <v>176</v>
      </c>
      <c r="G558" s="637" t="s">
        <v>197</v>
      </c>
      <c r="H558" s="637" t="s">
        <v>236</v>
      </c>
      <c r="I558" s="637" t="s">
        <v>264</v>
      </c>
      <c r="J558" s="637" t="s">
        <v>114</v>
      </c>
      <c r="K558" s="637" t="s">
        <v>347</v>
      </c>
      <c r="L558" s="637" t="s">
        <v>368</v>
      </c>
      <c r="M558" s="637" t="s">
        <v>435</v>
      </c>
      <c r="N558" s="625"/>
      <c r="O558" s="637" t="s">
        <v>503</v>
      </c>
      <c r="P558" s="637" t="s">
        <v>536</v>
      </c>
      <c r="Q558" s="637" t="s">
        <v>552</v>
      </c>
      <c r="R558" s="637" t="s">
        <v>561</v>
      </c>
      <c r="S558" s="637" t="s">
        <v>582</v>
      </c>
      <c r="T558" s="637" t="s">
        <v>591</v>
      </c>
      <c r="U558" s="637" t="s">
        <v>672</v>
      </c>
      <c r="V558" s="637" t="s">
        <v>683</v>
      </c>
      <c r="W558" s="637" t="s">
        <v>732</v>
      </c>
      <c r="X558" s="637" t="s">
        <v>749</v>
      </c>
      <c r="Y558" s="637" t="s">
        <v>772</v>
      </c>
      <c r="Z558" s="637" t="s">
        <v>784</v>
      </c>
      <c r="AA558" s="637" t="s">
        <v>831</v>
      </c>
      <c r="AB558" s="637" t="s">
        <v>850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864</v>
      </c>
      <c r="B560" s="46">
        <f>IFERROR(Y22*1,"0")+IFERROR(Y23*1,"0")+IFERROR(Y27*1,"0")+IFERROR(Y28*1,"0")+IFERROR(Y29*1,"0")+IFERROR(Y30*1,"0")+IFERROR(Y31*1,"0")+IFERROR(Y35*1,"0")</f>
        <v>43.2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14.8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84.6</v>
      </c>
      <c r="F560" s="46">
        <f>IFERROR(Y88*1,"0")+IFERROR(Y89*1,"0")+IFERROR(Y90*1,"0")+IFERROR(Y91*1,"0")+IFERROR(Y95*1,"0")+IFERROR(Y96*1,"0")+IFERROR(Y97*1,"0")+IFERROR(Y98*1,"0")</f>
        <v>0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94.800000000000011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5.6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173.6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120.88000000000001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466.2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124.79999999999998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70.400000000000006</v>
      </c>
      <c r="U560" s="46">
        <f>IFERROR(Y414*1,"0")+IFERROR(Y415*1,"0")+IFERROR(Y416*1,"0")</f>
        <v>56.7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579</v>
      </c>
      <c r="W560" s="46">
        <f>IFERROR(Y451*1,"0")+IFERROR(Y452*1,"0")+IFERROR(Y456*1,"0")+IFERROR(Y460*1,"0")+IFERROR(Y461*1,"0")+IFERROR(Y462*1,"0")</f>
        <v>12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524.64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00"/>
        <filter val="1,07"/>
        <filter val="10,00"/>
        <filter val="102,00"/>
        <filter val="115,00"/>
        <filter val="12,00"/>
        <filter val="14,00"/>
        <filter val="14,03"/>
        <filter val="14,74"/>
        <filter val="15,56"/>
        <filter val="165,00"/>
        <filter val="18,00"/>
        <filter val="180,00"/>
        <filter val="19,00"/>
        <filter val="2 267,00"/>
        <filter val="2 437,22"/>
        <filter val="2 562,22"/>
        <filter val="2,00"/>
        <filter val="2,38"/>
        <filter val="21,00"/>
        <filter val="22,07"/>
        <filter val="23,89"/>
        <filter val="234,00"/>
        <filter val="24,00"/>
        <filter val="25,71"/>
        <filter val="26,00"/>
        <filter val="260,00"/>
        <filter val="270,00"/>
        <filter val="28,00"/>
        <filter val="3,00"/>
        <filter val="3,10"/>
        <filter val="3,75"/>
        <filter val="3,78"/>
        <filter val="30,00"/>
        <filter val="300,00"/>
        <filter val="31,00"/>
        <filter val="31,12"/>
        <filter val="32,00"/>
        <filter val="33,00"/>
        <filter val="331,00"/>
        <filter val="36,00"/>
        <filter val="4,00"/>
        <filter val="4,10"/>
        <filter val="4,82"/>
        <filter val="40,00"/>
        <filter val="400,00"/>
        <filter val="43,00"/>
        <filter val="45,00"/>
        <filter val="455,00"/>
        <filter val="482,59"/>
        <filter val="5"/>
        <filter val="5,00"/>
        <filter val="52,68"/>
        <filter val="54,00"/>
        <filter val="56,74"/>
        <filter val="6,00"/>
        <filter val="62,00"/>
        <filter val="66,00"/>
        <filter val="7,00"/>
        <filter val="7,65"/>
        <filter val="74,07"/>
        <filter val="75,00"/>
        <filter val="8,00"/>
        <filter val="85,00"/>
        <filter val="86,33"/>
        <filter val="9,00"/>
        <filter val="93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52"/>
    </row>
    <row r="3" spans="2:8" x14ac:dyDescent="0.2">
      <c r="B3" s="47" t="s">
        <v>866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867</v>
      </c>
      <c r="C6" s="47" t="s">
        <v>868</v>
      </c>
      <c r="D6" s="47" t="s">
        <v>869</v>
      </c>
      <c r="E6" s="47"/>
    </row>
    <row r="7" spans="2:8" x14ac:dyDescent="0.2">
      <c r="B7" s="47" t="s">
        <v>870</v>
      </c>
      <c r="C7" s="47" t="s">
        <v>871</v>
      </c>
      <c r="D7" s="47" t="s">
        <v>872</v>
      </c>
      <c r="E7" s="47"/>
    </row>
    <row r="8" spans="2:8" x14ac:dyDescent="0.2">
      <c r="B8" s="47" t="s">
        <v>873</v>
      </c>
      <c r="C8" s="47" t="s">
        <v>874</v>
      </c>
      <c r="D8" s="47" t="s">
        <v>875</v>
      </c>
      <c r="E8" s="47"/>
    </row>
    <row r="9" spans="2:8" x14ac:dyDescent="0.2">
      <c r="B9" s="47" t="s">
        <v>876</v>
      </c>
      <c r="C9" s="47" t="s">
        <v>877</v>
      </c>
      <c r="D9" s="47" t="s">
        <v>878</v>
      </c>
      <c r="E9" s="47"/>
    </row>
    <row r="10" spans="2:8" x14ac:dyDescent="0.2">
      <c r="B10" s="47" t="s">
        <v>879</v>
      </c>
      <c r="C10" s="47" t="s">
        <v>880</v>
      </c>
      <c r="D10" s="47" t="s">
        <v>881</v>
      </c>
      <c r="E10" s="47"/>
    </row>
    <row r="11" spans="2:8" x14ac:dyDescent="0.2">
      <c r="B11" s="47" t="s">
        <v>882</v>
      </c>
      <c r="C11" s="47" t="s">
        <v>883</v>
      </c>
      <c r="D11" s="47" t="s">
        <v>884</v>
      </c>
      <c r="E11" s="47"/>
    </row>
    <row r="12" spans="2:8" x14ac:dyDescent="0.2">
      <c r="B12" s="47" t="s">
        <v>885</v>
      </c>
      <c r="C12" s="47" t="s">
        <v>886</v>
      </c>
      <c r="D12" s="47" t="s">
        <v>887</v>
      </c>
      <c r="E12" s="47"/>
    </row>
    <row r="14" spans="2:8" x14ac:dyDescent="0.2">
      <c r="B14" s="47" t="s">
        <v>888</v>
      </c>
      <c r="C14" s="47" t="s">
        <v>868</v>
      </c>
      <c r="D14" s="47"/>
      <c r="E14" s="47"/>
    </row>
    <row r="16" spans="2:8" x14ac:dyDescent="0.2">
      <c r="B16" s="47" t="s">
        <v>889</v>
      </c>
      <c r="C16" s="47" t="s">
        <v>871</v>
      </c>
      <c r="D16" s="47"/>
      <c r="E16" s="47"/>
    </row>
    <row r="18" spans="2:5" x14ac:dyDescent="0.2">
      <c r="B18" s="47" t="s">
        <v>890</v>
      </c>
      <c r="C18" s="47" t="s">
        <v>874</v>
      </c>
      <c r="D18" s="47"/>
      <c r="E18" s="47"/>
    </row>
    <row r="20" spans="2:5" x14ac:dyDescent="0.2">
      <c r="B20" s="47" t="s">
        <v>891</v>
      </c>
      <c r="C20" s="47" t="s">
        <v>877</v>
      </c>
      <c r="D20" s="47"/>
      <c r="E20" s="47"/>
    </row>
    <row r="22" spans="2:5" x14ac:dyDescent="0.2">
      <c r="B22" s="47" t="s">
        <v>892</v>
      </c>
      <c r="C22" s="47" t="s">
        <v>880</v>
      </c>
      <c r="D22" s="47"/>
      <c r="E22" s="47"/>
    </row>
    <row r="24" spans="2:5" x14ac:dyDescent="0.2">
      <c r="B24" s="47" t="s">
        <v>893</v>
      </c>
      <c r="C24" s="47" t="s">
        <v>883</v>
      </c>
      <c r="D24" s="47"/>
      <c r="E24" s="47"/>
    </row>
    <row r="26" spans="2:5" x14ac:dyDescent="0.2">
      <c r="B26" s="47" t="s">
        <v>894</v>
      </c>
      <c r="C26" s="47" t="s">
        <v>886</v>
      </c>
      <c r="D26" s="47"/>
      <c r="E26" s="47"/>
    </row>
    <row r="28" spans="2:5" x14ac:dyDescent="0.2">
      <c r="B28" s="47" t="s">
        <v>895</v>
      </c>
      <c r="C28" s="47"/>
      <c r="D28" s="47"/>
      <c r="E28" s="47"/>
    </row>
    <row r="29" spans="2:5" x14ac:dyDescent="0.2">
      <c r="B29" s="47" t="s">
        <v>896</v>
      </c>
      <c r="C29" s="47"/>
      <c r="D29" s="47"/>
      <c r="E29" s="47"/>
    </row>
    <row r="30" spans="2:5" x14ac:dyDescent="0.2">
      <c r="B30" s="47" t="s">
        <v>897</v>
      </c>
      <c r="C30" s="47"/>
      <c r="D30" s="47"/>
      <c r="E30" s="47"/>
    </row>
    <row r="31" spans="2:5" x14ac:dyDescent="0.2">
      <c r="B31" s="47" t="s">
        <v>898</v>
      </c>
      <c r="C31" s="47"/>
      <c r="D31" s="47"/>
      <c r="E31" s="47"/>
    </row>
    <row r="32" spans="2:5" x14ac:dyDescent="0.2">
      <c r="B32" s="47" t="s">
        <v>899</v>
      </c>
      <c r="C32" s="47"/>
      <c r="D32" s="47"/>
      <c r="E32" s="47"/>
    </row>
    <row r="33" spans="2:5" x14ac:dyDescent="0.2">
      <c r="B33" s="47" t="s">
        <v>900</v>
      </c>
      <c r="C33" s="47"/>
      <c r="D33" s="47"/>
      <c r="E33" s="47"/>
    </row>
    <row r="34" spans="2:5" x14ac:dyDescent="0.2">
      <c r="B34" s="47" t="s">
        <v>901</v>
      </c>
      <c r="C34" s="47"/>
      <c r="D34" s="47"/>
      <c r="E34" s="47"/>
    </row>
    <row r="35" spans="2:5" x14ac:dyDescent="0.2">
      <c r="B35" s="47" t="s">
        <v>902</v>
      </c>
      <c r="C35" s="47"/>
      <c r="D35" s="47"/>
      <c r="E35" s="47"/>
    </row>
    <row r="36" spans="2:5" x14ac:dyDescent="0.2">
      <c r="B36" s="47" t="s">
        <v>903</v>
      </c>
      <c r="C36" s="47"/>
      <c r="D36" s="47"/>
      <c r="E36" s="47"/>
    </row>
    <row r="37" spans="2:5" x14ac:dyDescent="0.2">
      <c r="B37" s="47" t="s">
        <v>904</v>
      </c>
      <c r="C37" s="47"/>
      <c r="D37" s="47"/>
      <c r="E37" s="47"/>
    </row>
    <row r="38" spans="2:5" x14ac:dyDescent="0.2">
      <c r="B38" s="47" t="s">
        <v>905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2026-07-29T13:23:08Z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