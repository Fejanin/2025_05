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D65783-18FF-42F2-9A33-98B3ACE149E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BN468" i="1" s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8" i="1"/>
  <c r="Y457" i="1"/>
  <c r="X457" i="1"/>
  <c r="BO456" i="1"/>
  <c r="BM456" i="1"/>
  <c r="Y456" i="1"/>
  <c r="BN456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O441" i="1"/>
  <c r="BM441" i="1"/>
  <c r="Y441" i="1"/>
  <c r="BN441" i="1" s="1"/>
  <c r="P441" i="1"/>
  <c r="BO440" i="1"/>
  <c r="BM440" i="1"/>
  <c r="Y440" i="1"/>
  <c r="P440" i="1"/>
  <c r="BO439" i="1"/>
  <c r="BM439" i="1"/>
  <c r="Y439" i="1"/>
  <c r="BN439" i="1" s="1"/>
  <c r="P439" i="1"/>
  <c r="X437" i="1"/>
  <c r="X436" i="1"/>
  <c r="BO435" i="1"/>
  <c r="BM435" i="1"/>
  <c r="Y435" i="1"/>
  <c r="BN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BN423" i="1" s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N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P356" i="1" s="1"/>
  <c r="P356" i="1"/>
  <c r="X353" i="1"/>
  <c r="X352" i="1"/>
  <c r="BO351" i="1"/>
  <c r="BM351" i="1"/>
  <c r="Z351" i="1"/>
  <c r="Y351" i="1"/>
  <c r="BN351" i="1" s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N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P295" i="1" s="1"/>
  <c r="P295" i="1"/>
  <c r="X293" i="1"/>
  <c r="X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Z285" i="1"/>
  <c r="Y285" i="1"/>
  <c r="BN285" i="1" s="1"/>
  <c r="P285" i="1"/>
  <c r="BO284" i="1"/>
  <c r="BM284" i="1"/>
  <c r="Y284" i="1"/>
  <c r="P284" i="1"/>
  <c r="BO283" i="1"/>
  <c r="BM283" i="1"/>
  <c r="Y283" i="1"/>
  <c r="BN283" i="1" s="1"/>
  <c r="P283" i="1"/>
  <c r="BO282" i="1"/>
  <c r="BM282" i="1"/>
  <c r="Y282" i="1"/>
  <c r="P282" i="1"/>
  <c r="BO281" i="1"/>
  <c r="BM281" i="1"/>
  <c r="Y281" i="1"/>
  <c r="BN281" i="1" s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P241" i="1" s="1"/>
  <c r="P241" i="1"/>
  <c r="BP240" i="1"/>
  <c r="BO240" i="1"/>
  <c r="BM240" i="1"/>
  <c r="Y240" i="1"/>
  <c r="P240" i="1"/>
  <c r="X238" i="1"/>
  <c r="X237" i="1"/>
  <c r="BO236" i="1"/>
  <c r="BM236" i="1"/>
  <c r="Z236" i="1"/>
  <c r="Y236" i="1"/>
  <c r="BN236" i="1" s="1"/>
  <c r="P236" i="1"/>
  <c r="BO235" i="1"/>
  <c r="BM235" i="1"/>
  <c r="Y235" i="1"/>
  <c r="BP235" i="1" s="1"/>
  <c r="P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Z228" i="1"/>
  <c r="Y228" i="1"/>
  <c r="BN228" i="1" s="1"/>
  <c r="P228" i="1"/>
  <c r="BO227" i="1"/>
  <c r="BM227" i="1"/>
  <c r="Y227" i="1"/>
  <c r="BP227" i="1" s="1"/>
  <c r="P227" i="1"/>
  <c r="BO226" i="1"/>
  <c r="BM226" i="1"/>
  <c r="Z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N224" i="1" s="1"/>
  <c r="P224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K560" i="1" s="1"/>
  <c r="P208" i="1"/>
  <c r="X204" i="1"/>
  <c r="X203" i="1"/>
  <c r="BO202" i="1"/>
  <c r="BM202" i="1"/>
  <c r="Y202" i="1"/>
  <c r="Y203" i="1" s="1"/>
  <c r="P202" i="1"/>
  <c r="X200" i="1"/>
  <c r="X199" i="1"/>
  <c r="BO198" i="1"/>
  <c r="BM198" i="1"/>
  <c r="Y198" i="1"/>
  <c r="BP198" i="1" s="1"/>
  <c r="P198" i="1"/>
  <c r="BO197" i="1"/>
  <c r="BM197" i="1"/>
  <c r="Y197" i="1"/>
  <c r="P197" i="1"/>
  <c r="X195" i="1"/>
  <c r="X194" i="1"/>
  <c r="BO193" i="1"/>
  <c r="BM193" i="1"/>
  <c r="Y193" i="1"/>
  <c r="BN193" i="1" s="1"/>
  <c r="P193" i="1"/>
  <c r="BO192" i="1"/>
  <c r="BM192" i="1"/>
  <c r="Y192" i="1"/>
  <c r="BP192" i="1" s="1"/>
  <c r="P192" i="1"/>
  <c r="BO191" i="1"/>
  <c r="BM191" i="1"/>
  <c r="Y191" i="1"/>
  <c r="BN191" i="1" s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Y175" i="1" s="1"/>
  <c r="X170" i="1"/>
  <c r="X169" i="1"/>
  <c r="BO168" i="1"/>
  <c r="BM168" i="1"/>
  <c r="Z168" i="1"/>
  <c r="Y168" i="1"/>
  <c r="BN168" i="1" s="1"/>
  <c r="P168" i="1"/>
  <c r="BO167" i="1"/>
  <c r="BM167" i="1"/>
  <c r="Y167" i="1"/>
  <c r="BP167" i="1" s="1"/>
  <c r="P167" i="1"/>
  <c r="BO166" i="1"/>
  <c r="BM166" i="1"/>
  <c r="Y166" i="1"/>
  <c r="BN166" i="1" s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BP155" i="1" s="1"/>
  <c r="P155" i="1"/>
  <c r="BO154" i="1"/>
  <c r="BM154" i="1"/>
  <c r="Y154" i="1"/>
  <c r="I560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O146" i="1"/>
  <c r="BM146" i="1"/>
  <c r="Y146" i="1"/>
  <c r="BN146" i="1" s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BP140" i="1" s="1"/>
  <c r="P140" i="1"/>
  <c r="BO139" i="1"/>
  <c r="BM139" i="1"/>
  <c r="Y139" i="1"/>
  <c r="Y144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O83" i="1"/>
  <c r="BM83" i="1"/>
  <c r="Y83" i="1"/>
  <c r="BN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N77" i="1"/>
  <c r="BM77" i="1"/>
  <c r="Z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96" i="1" l="1"/>
  <c r="BN96" i="1"/>
  <c r="Z96" i="1"/>
  <c r="BP123" i="1"/>
  <c r="BN123" i="1"/>
  <c r="Z123" i="1"/>
  <c r="BP157" i="1"/>
  <c r="BN157" i="1"/>
  <c r="Z157" i="1"/>
  <c r="BP173" i="1"/>
  <c r="BN173" i="1"/>
  <c r="Z173" i="1"/>
  <c r="BN211" i="1"/>
  <c r="Z211" i="1"/>
  <c r="BP230" i="1"/>
  <c r="BN230" i="1"/>
  <c r="Z230" i="1"/>
  <c r="BN242" i="1"/>
  <c r="Z242" i="1"/>
  <c r="BP271" i="1"/>
  <c r="BN271" i="1"/>
  <c r="Z271" i="1"/>
  <c r="BN320" i="1"/>
  <c r="BN329" i="1"/>
  <c r="BP345" i="1"/>
  <c r="BN345" i="1"/>
  <c r="Z345" i="1"/>
  <c r="BP375" i="1"/>
  <c r="BN375" i="1"/>
  <c r="Z375" i="1"/>
  <c r="BP381" i="1"/>
  <c r="BN381" i="1"/>
  <c r="Z381" i="1"/>
  <c r="BP389" i="1"/>
  <c r="BN389" i="1"/>
  <c r="Z389" i="1"/>
  <c r="BP415" i="1"/>
  <c r="BN415" i="1"/>
  <c r="Z415" i="1"/>
  <c r="BN433" i="1"/>
  <c r="BN452" i="1"/>
  <c r="Z452" i="1"/>
  <c r="BN462" i="1"/>
  <c r="BP495" i="1"/>
  <c r="BN495" i="1"/>
  <c r="Z495" i="1"/>
  <c r="BN499" i="1"/>
  <c r="BP509" i="1"/>
  <c r="BN509" i="1"/>
  <c r="Z509" i="1"/>
  <c r="Y527" i="1"/>
  <c r="Y526" i="1"/>
  <c r="BN525" i="1"/>
  <c r="BN541" i="1"/>
  <c r="Z42" i="1"/>
  <c r="BN42" i="1"/>
  <c r="Z59" i="1"/>
  <c r="BN59" i="1"/>
  <c r="Z71" i="1"/>
  <c r="BN71" i="1"/>
  <c r="BP107" i="1"/>
  <c r="BN107" i="1"/>
  <c r="Z107" i="1"/>
  <c r="BP142" i="1"/>
  <c r="BN142" i="1"/>
  <c r="Z142" i="1"/>
  <c r="BN183" i="1"/>
  <c r="L560" i="1"/>
  <c r="Y246" i="1"/>
  <c r="Z240" i="1"/>
  <c r="BP250" i="1"/>
  <c r="BN250" i="1"/>
  <c r="Z250" i="1"/>
  <c r="BP287" i="1"/>
  <c r="BN287" i="1"/>
  <c r="Z287" i="1"/>
  <c r="BN295" i="1"/>
  <c r="BN304" i="1"/>
  <c r="BN356" i="1"/>
  <c r="BN427" i="1"/>
  <c r="Y463" i="1"/>
  <c r="BP470" i="1"/>
  <c r="BN470" i="1"/>
  <c r="Z470" i="1"/>
  <c r="BP478" i="1"/>
  <c r="BN478" i="1"/>
  <c r="Z478" i="1"/>
  <c r="BN489" i="1"/>
  <c r="BN517" i="1"/>
  <c r="Y535" i="1"/>
  <c r="Y534" i="1"/>
  <c r="BN533" i="1"/>
  <c r="Y117" i="1"/>
  <c r="BP168" i="1"/>
  <c r="Y189" i="1"/>
  <c r="BP226" i="1"/>
  <c r="BN289" i="1"/>
  <c r="BN363" i="1"/>
  <c r="BN377" i="1"/>
  <c r="BN383" i="1"/>
  <c r="BN408" i="1"/>
  <c r="BN472" i="1"/>
  <c r="BN487" i="1"/>
  <c r="BN497" i="1"/>
  <c r="BN519" i="1"/>
  <c r="Y256" i="1"/>
  <c r="Y255" i="1"/>
  <c r="BN254" i="1"/>
  <c r="BP254" i="1"/>
  <c r="BP259" i="1"/>
  <c r="Z259" i="1"/>
  <c r="Y277" i="1"/>
  <c r="BN269" i="1"/>
  <c r="BP269" i="1"/>
  <c r="BP343" i="1"/>
  <c r="BP358" i="1"/>
  <c r="Z358" i="1"/>
  <c r="BP365" i="1"/>
  <c r="Z365" i="1"/>
  <c r="BP423" i="1"/>
  <c r="BN507" i="1"/>
  <c r="BP507" i="1"/>
  <c r="Z507" i="1"/>
  <c r="Y531" i="1"/>
  <c r="Y530" i="1"/>
  <c r="BN529" i="1"/>
  <c r="BP529" i="1"/>
  <c r="Z529" i="1"/>
  <c r="Z530" i="1" s="1"/>
  <c r="F9" i="1"/>
  <c r="BN22" i="1"/>
  <c r="BN30" i="1"/>
  <c r="C560" i="1"/>
  <c r="Z44" i="1"/>
  <c r="BP44" i="1"/>
  <c r="D560" i="1"/>
  <c r="Z54" i="1"/>
  <c r="BP54" i="1"/>
  <c r="Z61" i="1"/>
  <c r="BP61" i="1"/>
  <c r="BN65" i="1"/>
  <c r="BN73" i="1"/>
  <c r="Z83" i="1"/>
  <c r="BP83" i="1"/>
  <c r="F560" i="1"/>
  <c r="Z90" i="1"/>
  <c r="BP90" i="1"/>
  <c r="Y100" i="1"/>
  <c r="Z98" i="1"/>
  <c r="BP98" i="1"/>
  <c r="Z105" i="1"/>
  <c r="BP105" i="1"/>
  <c r="Z113" i="1"/>
  <c r="BP113" i="1"/>
  <c r="Z121" i="1"/>
  <c r="BP121" i="1"/>
  <c r="Z127" i="1"/>
  <c r="Z128" i="1" s="1"/>
  <c r="BP127" i="1"/>
  <c r="BN132" i="1"/>
  <c r="BN140" i="1"/>
  <c r="BN155" i="1"/>
  <c r="BN161" i="1"/>
  <c r="Y162" i="1"/>
  <c r="Z166" i="1"/>
  <c r="BP166" i="1"/>
  <c r="Z177" i="1"/>
  <c r="BP177" i="1"/>
  <c r="BN181" i="1"/>
  <c r="Z185" i="1"/>
  <c r="BN187" i="1"/>
  <c r="Z193" i="1"/>
  <c r="BP193" i="1"/>
  <c r="Y199" i="1"/>
  <c r="BP197" i="1"/>
  <c r="Z197" i="1"/>
  <c r="BN209" i="1"/>
  <c r="BP211" i="1"/>
  <c r="Z234" i="1"/>
  <c r="BP234" i="1"/>
  <c r="Y252" i="1"/>
  <c r="BN248" i="1"/>
  <c r="BP248" i="1"/>
  <c r="Z254" i="1"/>
  <c r="Z255" i="1" s="1"/>
  <c r="Z269" i="1"/>
  <c r="BP273" i="1"/>
  <c r="Z273" i="1"/>
  <c r="Z283" i="1"/>
  <c r="BP283" i="1"/>
  <c r="BP291" i="1"/>
  <c r="Z291" i="1"/>
  <c r="Z343" i="1"/>
  <c r="BP367" i="1"/>
  <c r="Y379" i="1"/>
  <c r="BP371" i="1"/>
  <c r="Z371" i="1"/>
  <c r="BP395" i="1"/>
  <c r="BP402" i="1"/>
  <c r="Z402" i="1"/>
  <c r="Z423" i="1"/>
  <c r="Y521" i="1"/>
  <c r="BN513" i="1"/>
  <c r="BP513" i="1"/>
  <c r="Z513" i="1"/>
  <c r="J9" i="1"/>
  <c r="Y150" i="1"/>
  <c r="Z183" i="1"/>
  <c r="Y238" i="1"/>
  <c r="BP224" i="1"/>
  <c r="Z224" i="1"/>
  <c r="BP228" i="1"/>
  <c r="BN240" i="1"/>
  <c r="BP242" i="1"/>
  <c r="Z248" i="1"/>
  <c r="BN259" i="1"/>
  <c r="BN358" i="1"/>
  <c r="BN365" i="1"/>
  <c r="Z367" i="1"/>
  <c r="BP373" i="1"/>
  <c r="Z395" i="1"/>
  <c r="BP429" i="1"/>
  <c r="Z429" i="1"/>
  <c r="BP435" i="1"/>
  <c r="Z435" i="1"/>
  <c r="BP441" i="1"/>
  <c r="Z441" i="1"/>
  <c r="BP468" i="1"/>
  <c r="Y539" i="1"/>
  <c r="Y538" i="1"/>
  <c r="BN537" i="1"/>
  <c r="BP537" i="1"/>
  <c r="Z537" i="1"/>
  <c r="Z538" i="1" s="1"/>
  <c r="F10" i="1"/>
  <c r="Z22" i="1"/>
  <c r="Y32" i="1"/>
  <c r="Z30" i="1"/>
  <c r="Z65" i="1"/>
  <c r="Y75" i="1"/>
  <c r="Z73" i="1"/>
  <c r="Y79" i="1"/>
  <c r="BN127" i="1"/>
  <c r="Y128" i="1"/>
  <c r="Z132" i="1"/>
  <c r="Z140" i="1"/>
  <c r="Z146" i="1"/>
  <c r="BP146" i="1"/>
  <c r="Z155" i="1"/>
  <c r="Z161" i="1"/>
  <c r="Z162" i="1" s="1"/>
  <c r="BP161" i="1"/>
  <c r="BN177" i="1"/>
  <c r="Z181" i="1"/>
  <c r="BN185" i="1"/>
  <c r="Z187" i="1"/>
  <c r="Y195" i="1"/>
  <c r="BP191" i="1"/>
  <c r="Z191" i="1"/>
  <c r="BN197" i="1"/>
  <c r="Z209" i="1"/>
  <c r="BP232" i="1"/>
  <c r="Z232" i="1"/>
  <c r="BP236" i="1"/>
  <c r="BN273" i="1"/>
  <c r="BP281" i="1"/>
  <c r="Z281" i="1"/>
  <c r="BP285" i="1"/>
  <c r="BN291" i="1"/>
  <c r="BP306" i="1"/>
  <c r="Z306" i="1"/>
  <c r="BP351" i="1"/>
  <c r="BN371" i="1"/>
  <c r="Z373" i="1"/>
  <c r="BN402" i="1"/>
  <c r="BP452" i="1"/>
  <c r="Y458" i="1"/>
  <c r="BP456" i="1"/>
  <c r="Z456" i="1"/>
  <c r="Z457" i="1" s="1"/>
  <c r="Z468" i="1"/>
  <c r="Y485" i="1"/>
  <c r="Y484" i="1"/>
  <c r="BN483" i="1"/>
  <c r="BP483" i="1"/>
  <c r="Z483" i="1"/>
  <c r="Z484" i="1" s="1"/>
  <c r="BN501" i="1"/>
  <c r="BP501" i="1"/>
  <c r="Z501" i="1"/>
  <c r="Y443" i="1"/>
  <c r="Y491" i="1"/>
  <c r="Z489" i="1"/>
  <c r="Z499" i="1"/>
  <c r="Z519" i="1"/>
  <c r="Z289" i="1"/>
  <c r="Z295" i="1"/>
  <c r="Z304" i="1"/>
  <c r="Z320" i="1"/>
  <c r="Z329" i="1"/>
  <c r="Z356" i="1"/>
  <c r="Z363" i="1"/>
  <c r="Z377" i="1"/>
  <c r="Z383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68" i="1"/>
  <c r="Y99" i="1"/>
  <c r="Y110" i="1"/>
  <c r="Y137" i="1"/>
  <c r="Y158" i="1"/>
  <c r="Y174" i="1"/>
  <c r="Y204" i="1"/>
  <c r="Y216" i="1"/>
  <c r="Y221" i="1"/>
  <c r="Y237" i="1"/>
  <c r="Y245" i="1"/>
  <c r="Y251" i="1"/>
  <c r="Y262" i="1"/>
  <c r="Y267" i="1"/>
  <c r="BP264" i="1"/>
  <c r="BN264" i="1"/>
  <c r="Z264" i="1"/>
  <c r="Z266" i="1" s="1"/>
  <c r="BP272" i="1"/>
  <c r="BN272" i="1"/>
  <c r="Z272" i="1"/>
  <c r="BP276" i="1"/>
  <c r="BN276" i="1"/>
  <c r="Z276" i="1"/>
  <c r="Y278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Y323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BP374" i="1"/>
  <c r="BN374" i="1"/>
  <c r="Z374" i="1"/>
  <c r="Y378" i="1"/>
  <c r="BP382" i="1"/>
  <c r="BN382" i="1"/>
  <c r="Z382" i="1"/>
  <c r="BP390" i="1"/>
  <c r="BN390" i="1"/>
  <c r="Z390" i="1"/>
  <c r="Y392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25" i="1"/>
  <c r="Y33" i="1"/>
  <c r="Y37" i="1"/>
  <c r="Y47" i="1"/>
  <c r="Y55" i="1"/>
  <c r="Y74" i="1"/>
  <c r="Y80" i="1"/>
  <c r="Y84" i="1"/>
  <c r="Y93" i="1"/>
  <c r="Y118" i="1"/>
  <c r="Y124" i="1"/>
  <c r="Y143" i="1"/>
  <c r="Y151" i="1"/>
  <c r="Y169" i="1"/>
  <c r="Y188" i="1"/>
  <c r="Y194" i="1"/>
  <c r="Y200" i="1"/>
  <c r="H9" i="1"/>
  <c r="B560" i="1"/>
  <c r="X551" i="1"/>
  <c r="X553" i="1" s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9" i="1"/>
  <c r="BN89" i="1"/>
  <c r="Z91" i="1"/>
  <c r="BN91" i="1"/>
  <c r="Y92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Z133" i="1"/>
  <c r="BN133" i="1"/>
  <c r="Z135" i="1"/>
  <c r="BN135" i="1"/>
  <c r="Y136" i="1"/>
  <c r="Z139" i="1"/>
  <c r="BN139" i="1"/>
  <c r="BP139" i="1"/>
  <c r="Z141" i="1"/>
  <c r="BN141" i="1"/>
  <c r="Z147" i="1"/>
  <c r="BN147" i="1"/>
  <c r="Z149" i="1"/>
  <c r="BN149" i="1"/>
  <c r="Z154" i="1"/>
  <c r="BN154" i="1"/>
  <c r="BP154" i="1"/>
  <c r="Z156" i="1"/>
  <c r="BN156" i="1"/>
  <c r="Y159" i="1"/>
  <c r="J560" i="1"/>
  <c r="Z167" i="1"/>
  <c r="Z169" i="1" s="1"/>
  <c r="BN167" i="1"/>
  <c r="Y170" i="1"/>
  <c r="Z172" i="1"/>
  <c r="BN172" i="1"/>
  <c r="BP172" i="1"/>
  <c r="Z178" i="1"/>
  <c r="BN178" i="1"/>
  <c r="Z180" i="1"/>
  <c r="BN180" i="1"/>
  <c r="Z182" i="1"/>
  <c r="BN182" i="1"/>
  <c r="Z184" i="1"/>
  <c r="BN184" i="1"/>
  <c r="Z186" i="1"/>
  <c r="BN186" i="1"/>
  <c r="Z192" i="1"/>
  <c r="Z194" i="1" s="1"/>
  <c r="BN192" i="1"/>
  <c r="Z198" i="1"/>
  <c r="Z199" i="1" s="1"/>
  <c r="BN198" i="1"/>
  <c r="Z202" i="1"/>
  <c r="Z203" i="1" s="1"/>
  <c r="BN202" i="1"/>
  <c r="BP202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Z241" i="1"/>
  <c r="BN241" i="1"/>
  <c r="Z243" i="1"/>
  <c r="BN243" i="1"/>
  <c r="Z249" i="1"/>
  <c r="Z251" i="1" s="1"/>
  <c r="BN249" i="1"/>
  <c r="M560" i="1"/>
  <c r="Y261" i="1"/>
  <c r="Z260" i="1"/>
  <c r="Z261" i="1" s="1"/>
  <c r="BN260" i="1"/>
  <c r="Y266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Y297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Y359" i="1"/>
  <c r="Z368" i="1"/>
  <c r="BP364" i="1"/>
  <c r="BN364" i="1"/>
  <c r="Z364" i="1"/>
  <c r="Y368" i="1"/>
  <c r="BP372" i="1"/>
  <c r="BN372" i="1"/>
  <c r="Z372" i="1"/>
  <c r="BP376" i="1"/>
  <c r="BN376" i="1"/>
  <c r="Z376" i="1"/>
  <c r="Y385" i="1"/>
  <c r="BP384" i="1"/>
  <c r="BN384" i="1"/>
  <c r="Z384" i="1"/>
  <c r="Y386" i="1"/>
  <c r="Y391" i="1"/>
  <c r="BP388" i="1"/>
  <c r="BN388" i="1"/>
  <c r="Z388" i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490" i="1" l="1"/>
  <c r="Z404" i="1"/>
  <c r="Z391" i="1"/>
  <c r="Z322" i="1"/>
  <c r="Z174" i="1"/>
  <c r="Z136" i="1"/>
  <c r="Z84" i="1"/>
  <c r="Z67" i="1"/>
  <c r="Z504" i="1"/>
  <c r="Z378" i="1"/>
  <c r="Z150" i="1"/>
  <c r="Y551" i="1"/>
  <c r="Y553" i="1" s="1"/>
  <c r="Z338" i="1"/>
  <c r="Z520" i="1"/>
  <c r="Z245" i="1"/>
  <c r="Z143" i="1"/>
  <c r="Z92" i="1"/>
  <c r="Z32" i="1"/>
  <c r="Z474" i="1"/>
  <c r="Z109" i="1"/>
  <c r="Z410" i="1"/>
  <c r="Z188" i="1"/>
  <c r="Y552" i="1"/>
  <c r="Z385" i="1"/>
  <c r="Y554" i="1"/>
  <c r="Z430" i="1"/>
  <c r="Z398" i="1"/>
  <c r="Z292" i="1"/>
  <c r="Z347" i="1"/>
  <c r="Z277" i="1"/>
  <c r="Z237" i="1"/>
  <c r="Z215" i="1"/>
  <c r="Z158" i="1"/>
  <c r="Z124" i="1"/>
  <c r="Z99" i="1"/>
  <c r="Y550" i="1"/>
  <c r="Z331" i="1"/>
  <c r="Z308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<sst xmlns="http://schemas.openxmlformats.org/spreadsheetml/2006/main" count="2502" uniqueCount="908">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</sst>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120" sqref="AA120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46235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868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400</v>
      </c>
      <c r="Y120" s="628">
        <f>IFERROR(IF(X120="",0,CEILING((X120/$H120),1)*$H120),"")</f>
        <v>405</v>
      </c>
      <c r="Z120" s="36">
        <f>IFERROR(IF(Y120=0,"",ROUNDUP(Y120/H120,0)*0.01898),"")</f>
        <v>0.94900000000000007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424.09876543209879</v>
      </c>
      <c r="BN120" s="64">
        <f>IFERROR(Y120*I120/H120,"0")</f>
        <v>429.4</v>
      </c>
      <c r="BO120" s="64">
        <f>IFERROR(1/J120*(X120/H120),"0")</f>
        <v>0.77160493827160492</v>
      </c>
      <c r="BP120" s="64">
        <f>IFERROR(1/J120*(Y120/H120),"0")</f>
        <v>0.78125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49.382716049382715</v>
      </c>
      <c r="Y124" s="629">
        <f>IFERROR(Y120/H120,"0")+IFERROR(Y121/H121,"0")+IFERROR(Y122/H122,"0")+IFERROR(Y123/H123,"0")</f>
        <v>50</v>
      </c>
      <c r="Z124" s="629">
        <f>IFERROR(IF(Z120="",0,Z120),"0")+IFERROR(IF(Z121="",0,Z121),"0")+IFERROR(IF(Z122="",0,Z122),"0")+IFERROR(IF(Z123="",0,Z123),"0")</f>
        <v>0.94900000000000007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400</v>
      </c>
      <c r="Y125" s="629">
        <f>IFERROR(SUM(Y120:Y123),"0")</f>
        <v>405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70</v>
      </c>
      <c r="Y234" s="628">
        <f t="shared" si="21"/>
        <v>71.400000000000006</v>
      </c>
      <c r="Z234" s="36">
        <f>IFERROR(IF(Y234=0,"",ROUNDUP(Y234/H234,0)*0.00502),"")</f>
        <v>0.17068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73.333333333333329</v>
      </c>
      <c r="BN234" s="64">
        <f t="shared" si="23"/>
        <v>74.8</v>
      </c>
      <c r="BO234" s="64">
        <f t="shared" si="24"/>
        <v>0.14245014245014245</v>
      </c>
      <c r="BP234" s="64">
        <f t="shared" si="25"/>
        <v>0.14529914529914531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33.333333333333329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0.17068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70</v>
      </c>
      <c r="Y238" s="629">
        <f>IFERROR(SUM(Y223:Y236),"0")</f>
        <v>71.400000000000006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920</v>
      </c>
      <c r="Y286" s="628">
        <f t="shared" si="32"/>
        <v>921.59999999999991</v>
      </c>
      <c r="Z286" s="36">
        <f>IFERROR(IF(Y286=0,"",ROUNDUP(Y286/H286,0)*0.00651),"")</f>
        <v>2.4998399999999998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1016.6000000000001</v>
      </c>
      <c r="BN286" s="64">
        <f t="shared" si="34"/>
        <v>1018.3680000000001</v>
      </c>
      <c r="BO286" s="64">
        <f t="shared" si="35"/>
        <v>2.1062271062271067</v>
      </c>
      <c r="BP286" s="64">
        <f t="shared" si="36"/>
        <v>2.1098901098901099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112</v>
      </c>
      <c r="Y289" s="628">
        <f t="shared" si="32"/>
        <v>112.8</v>
      </c>
      <c r="Z289" s="36">
        <f>IFERROR(IF(Y289=0,"",ROUNDUP(Y289/H289,0)*0.00651),"")</f>
        <v>0.30597000000000002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123.76</v>
      </c>
      <c r="BN289" s="64">
        <f t="shared" si="34"/>
        <v>124.64400000000001</v>
      </c>
      <c r="BO289" s="64">
        <f t="shared" si="35"/>
        <v>0.25641025641025644</v>
      </c>
      <c r="BP289" s="64">
        <f t="shared" si="36"/>
        <v>0.25824175824175827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180</v>
      </c>
      <c r="Y290" s="628">
        <f t="shared" si="32"/>
        <v>180</v>
      </c>
      <c r="Z290" s="36">
        <f>IFERROR(IF(Y290=0,"",ROUNDUP(Y290/H290,0)*0.00651),"")</f>
        <v>0.48825000000000002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199.35</v>
      </c>
      <c r="BN290" s="64">
        <f t="shared" si="34"/>
        <v>199.35</v>
      </c>
      <c r="BO290" s="64">
        <f t="shared" si="35"/>
        <v>0.41208791208791212</v>
      </c>
      <c r="BP290" s="64">
        <f t="shared" si="36"/>
        <v>0.41208791208791212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505.00000000000006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506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3.2940599999999995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1212</v>
      </c>
      <c r="Y293" s="629">
        <f>IFERROR(SUM(Y280:Y291),"0")</f>
        <v>1214.3999999999999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hidden="1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hidden="1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2500</v>
      </c>
      <c r="Y433" s="628">
        <f>IFERROR(IF(X433="",0,CEILING((X433/$H433),1)*$H433),"")</f>
        <v>2505</v>
      </c>
      <c r="Z433" s="36">
        <f>IFERROR(IF(Y433=0,"",ROUNDUP(Y433/H433,0)*0.02175),"")</f>
        <v>3.6322499999999995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2578.3333333333335</v>
      </c>
      <c r="BN433" s="64">
        <f>IFERROR(Y433*I433/H433,"0")</f>
        <v>2583.4899999999998</v>
      </c>
      <c r="BO433" s="64">
        <f>IFERROR(1/J433*(X433/H433),"0")</f>
        <v>3.4722222222222219</v>
      </c>
      <c r="BP433" s="64">
        <f>IFERROR(1/J433*(Y433/H433),"0")</f>
        <v>3.4791666666666665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166.66666666666666</v>
      </c>
      <c r="Y436" s="629">
        <f>IFERROR(Y433/H433,"0")+IFERROR(Y434/H434,"0")+IFERROR(Y435/H435,"0")</f>
        <v>167</v>
      </c>
      <c r="Z436" s="629">
        <f>IFERROR(IF(Z433="",0,Z433),"0")+IFERROR(IF(Z434="",0,Z434),"0")+IFERROR(IF(Z435="",0,Z435),"0")</f>
        <v>3.6322499999999995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2500</v>
      </c>
      <c r="Y437" s="629">
        <f>IFERROR(SUM(Y433:Y435),"0")</f>
        <v>2505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1200</v>
      </c>
      <c r="Y460" s="628">
        <f>IFERROR(IF(X460="",0,CEILING((X460/$H460),1)*$H460),"")</f>
        <v>1206</v>
      </c>
      <c r="Z460" s="36">
        <f>IFERROR(IF(Y460=0,"",ROUNDUP(Y460/H460,0)*0.01898),"")</f>
        <v>2.54332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1265.8666666666666</v>
      </c>
      <c r="BN460" s="64">
        <f>IFERROR(Y460*I460/H460,"0")</f>
        <v>1272.1959999999999</v>
      </c>
      <c r="BO460" s="64">
        <f>IFERROR(1/J460*(X460/H460),"0")</f>
        <v>2.0833333333333335</v>
      </c>
      <c r="BP460" s="64">
        <f>IFERROR(1/J460*(Y460/H460),"0")</f>
        <v>2.09375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133.33333333333334</v>
      </c>
      <c r="Y463" s="629">
        <f>IFERROR(Y460/H460,"0")+IFERROR(Y461/H461,"0")+IFERROR(Y462/H462,"0")</f>
        <v>134</v>
      </c>
      <c r="Z463" s="629">
        <f>IFERROR(IF(Z460="",0,Z460),"0")+IFERROR(IF(Z461="",0,Z461),"0")+IFERROR(IF(Z462="",0,Z462),"0")</f>
        <v>2.54332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1200</v>
      </c>
      <c r="Y464" s="629">
        <f>IFERROR(SUM(Y460:Y462),"0")</f>
        <v>1206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5382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5401.7999999999993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5681.3420987654326</v>
      </c>
      <c r="Y551" s="629">
        <f>IFERROR(SUM(BN22:BN547),"0")</f>
        <v>5702.2479999999996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10</v>
      </c>
      <c r="Y552" s="38">
        <f>ROUNDUP(SUM(BP22:BP547),0)</f>
        <v>10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5931.3420987654326</v>
      </c>
      <c r="Y553" s="629">
        <f>GrossWeightTotalR+PalletQtyTotalR*25</f>
        <v>5952.2479999999996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887.71604938271616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891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10.589309999999999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405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71.400000000000006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1214.3999999999999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2505</v>
      </c>
      <c r="W560" s="46">
        <f>IFERROR(Y451*1,"0")+IFERROR(Y452*1,"0")+IFERROR(Y456*1,"0")+IFERROR(Y460*1,"0")+IFERROR(Y461*1,"0")+IFERROR(Y462*1,"0")</f>
        <v>1206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12,00"/>
        <filter val="10"/>
        <filter val="112,00"/>
        <filter val="133,33"/>
        <filter val="166,67"/>
        <filter val="180,00"/>
        <filter val="2 500,00"/>
        <filter val="33,33"/>
        <filter val="400,00"/>
        <filter val="49,38"/>
        <filter val="5 382,00"/>
        <filter val="5 681,34"/>
        <filter val="5 931,34"/>
        <filter val="505,00"/>
        <filter val="70,00"/>
        <filter val="887,72"/>
        <filter val="920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