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A76422-04A4-4BB8-9061-16BE4EB716D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N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BP478" i="1" s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Y447" i="1"/>
  <c r="X447" i="1"/>
  <c r="BO446" i="1"/>
  <c r="BM446" i="1"/>
  <c r="Y446" i="1"/>
  <c r="BP446" i="1" s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BP422" i="1" s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BN414" i="1" s="1"/>
  <c r="P414" i="1"/>
  <c r="X411" i="1"/>
  <c r="X410" i="1"/>
  <c r="BO409" i="1"/>
  <c r="BM409" i="1"/>
  <c r="Y409" i="1"/>
  <c r="P409" i="1"/>
  <c r="BO408" i="1"/>
  <c r="BM408" i="1"/>
  <c r="Y408" i="1"/>
  <c r="Y410" i="1" s="1"/>
  <c r="P408" i="1"/>
  <c r="BO407" i="1"/>
  <c r="BM407" i="1"/>
  <c r="Y407" i="1"/>
  <c r="BP407" i="1" s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Y378" i="1" s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N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Z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BN269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O259" i="1"/>
  <c r="BM259" i="1"/>
  <c r="Y259" i="1"/>
  <c r="BP259" i="1" s="1"/>
  <c r="P259" i="1"/>
  <c r="X256" i="1"/>
  <c r="X255" i="1"/>
  <c r="BO254" i="1"/>
  <c r="BM254" i="1"/>
  <c r="Y254" i="1"/>
  <c r="P254" i="1"/>
  <c r="X252" i="1"/>
  <c r="X251" i="1"/>
  <c r="BP250" i="1"/>
  <c r="BO250" i="1"/>
  <c r="BM250" i="1"/>
  <c r="Y250" i="1"/>
  <c r="P250" i="1"/>
  <c r="BO249" i="1"/>
  <c r="BM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BN244" i="1" s="1"/>
  <c r="P244" i="1"/>
  <c r="BO243" i="1"/>
  <c r="BM243" i="1"/>
  <c r="Y243" i="1"/>
  <c r="BP243" i="1" s="1"/>
  <c r="P243" i="1"/>
  <c r="BO242" i="1"/>
  <c r="BM242" i="1"/>
  <c r="Y242" i="1"/>
  <c r="BN242" i="1" s="1"/>
  <c r="P242" i="1"/>
  <c r="BO241" i="1"/>
  <c r="BM241" i="1"/>
  <c r="Y241" i="1"/>
  <c r="BP241" i="1" s="1"/>
  <c r="P241" i="1"/>
  <c r="BO240" i="1"/>
  <c r="BM240" i="1"/>
  <c r="Y240" i="1"/>
  <c r="BN240" i="1" s="1"/>
  <c r="P240" i="1"/>
  <c r="X238" i="1"/>
  <c r="X237" i="1"/>
  <c r="BO236" i="1"/>
  <c r="BM236" i="1"/>
  <c r="Y236" i="1"/>
  <c r="BN236" i="1" s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BN228" i="1" s="1"/>
  <c r="P228" i="1"/>
  <c r="BO227" i="1"/>
  <c r="BM227" i="1"/>
  <c r="Y227" i="1"/>
  <c r="BP227" i="1" s="1"/>
  <c r="P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O213" i="1"/>
  <c r="BM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Z197" i="1"/>
  <c r="Y197" i="1"/>
  <c r="Y199" i="1" s="1"/>
  <c r="P197" i="1"/>
  <c r="X195" i="1"/>
  <c r="X194" i="1"/>
  <c r="BO193" i="1"/>
  <c r="BM193" i="1"/>
  <c r="Y193" i="1"/>
  <c r="P193" i="1"/>
  <c r="BO192" i="1"/>
  <c r="BM192" i="1"/>
  <c r="Y192" i="1"/>
  <c r="P192" i="1"/>
  <c r="BO191" i="1"/>
  <c r="BM191" i="1"/>
  <c r="Y191" i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O185" i="1"/>
  <c r="BM185" i="1"/>
  <c r="Z185" i="1"/>
  <c r="Y185" i="1"/>
  <c r="BN185" i="1" s="1"/>
  <c r="P185" i="1"/>
  <c r="BO184" i="1"/>
  <c r="BM184" i="1"/>
  <c r="Y184" i="1"/>
  <c r="BP184" i="1" s="1"/>
  <c r="P184" i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Z177" i="1"/>
  <c r="Y177" i="1"/>
  <c r="BN177" i="1" s="1"/>
  <c r="P177" i="1"/>
  <c r="X175" i="1"/>
  <c r="X174" i="1"/>
  <c r="BO173" i="1"/>
  <c r="BM173" i="1"/>
  <c r="Y173" i="1"/>
  <c r="P173" i="1"/>
  <c r="BO172" i="1"/>
  <c r="BM172" i="1"/>
  <c r="Y172" i="1"/>
  <c r="Y174" i="1" s="1"/>
  <c r="X170" i="1"/>
  <c r="X169" i="1"/>
  <c r="BO168" i="1"/>
  <c r="BM168" i="1"/>
  <c r="Y168" i="1"/>
  <c r="P168" i="1"/>
  <c r="BO167" i="1"/>
  <c r="BM167" i="1"/>
  <c r="Y167" i="1"/>
  <c r="P167" i="1"/>
  <c r="BP166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BN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P147" i="1"/>
  <c r="BO146" i="1"/>
  <c r="BM146" i="1"/>
  <c r="Y146" i="1"/>
  <c r="BN146" i="1" s="1"/>
  <c r="P146" i="1"/>
  <c r="X144" i="1"/>
  <c r="X143" i="1"/>
  <c r="BO142" i="1"/>
  <c r="BM142" i="1"/>
  <c r="Y142" i="1"/>
  <c r="BN142" i="1" s="1"/>
  <c r="P142" i="1"/>
  <c r="BO141" i="1"/>
  <c r="BM141" i="1"/>
  <c r="Y141" i="1"/>
  <c r="BP141" i="1" s="1"/>
  <c r="P141" i="1"/>
  <c r="BO140" i="1"/>
  <c r="BM140" i="1"/>
  <c r="Y140" i="1"/>
  <c r="BP140" i="1" s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M134" i="1"/>
  <c r="Y134" i="1"/>
  <c r="BN134" i="1" s="1"/>
  <c r="P134" i="1"/>
  <c r="BO133" i="1"/>
  <c r="BM133" i="1"/>
  <c r="Y133" i="1"/>
  <c r="P133" i="1"/>
  <c r="BO132" i="1"/>
  <c r="BM132" i="1"/>
  <c r="Y132" i="1"/>
  <c r="BP132" i="1" s="1"/>
  <c r="P132" i="1"/>
  <c r="X129" i="1"/>
  <c r="X128" i="1"/>
  <c r="BP127" i="1"/>
  <c r="BO127" i="1"/>
  <c r="BM127" i="1"/>
  <c r="Y127" i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O121" i="1"/>
  <c r="BM121" i="1"/>
  <c r="Z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Z105" i="1"/>
  <c r="Y105" i="1"/>
  <c r="BN105" i="1" s="1"/>
  <c r="P105" i="1"/>
  <c r="BO104" i="1"/>
  <c r="BM104" i="1"/>
  <c r="Y104" i="1"/>
  <c r="P104" i="1"/>
  <c r="BO103" i="1"/>
  <c r="BM103" i="1"/>
  <c r="Y103" i="1"/>
  <c r="BN103" i="1" s="1"/>
  <c r="P103" i="1"/>
  <c r="X100" i="1"/>
  <c r="X99" i="1"/>
  <c r="BO98" i="1"/>
  <c r="BM98" i="1"/>
  <c r="Z98" i="1"/>
  <c r="Y98" i="1"/>
  <c r="BN98" i="1" s="1"/>
  <c r="P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O90" i="1"/>
  <c r="BM90" i="1"/>
  <c r="Z90" i="1"/>
  <c r="Y90" i="1"/>
  <c r="BN90" i="1" s="1"/>
  <c r="P90" i="1"/>
  <c r="BO89" i="1"/>
  <c r="BM89" i="1"/>
  <c r="Y89" i="1"/>
  <c r="P89" i="1"/>
  <c r="BO88" i="1"/>
  <c r="BM88" i="1"/>
  <c r="Y88" i="1"/>
  <c r="BN88" i="1" s="1"/>
  <c r="P88" i="1"/>
  <c r="X85" i="1"/>
  <c r="X84" i="1"/>
  <c r="BO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P60" i="1"/>
  <c r="BO59" i="1"/>
  <c r="BM59" i="1"/>
  <c r="Y59" i="1"/>
  <c r="BN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C560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50" i="1" s="1"/>
  <c r="X24" i="1"/>
  <c r="BO23" i="1"/>
  <c r="BM23" i="1"/>
  <c r="Y23" i="1"/>
  <c r="Y25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4" i="1" l="1"/>
  <c r="BP54" i="1"/>
  <c r="BP61" i="1"/>
  <c r="BN113" i="1"/>
  <c r="Z113" i="1"/>
  <c r="BN132" i="1"/>
  <c r="Y163" i="1"/>
  <c r="Y162" i="1"/>
  <c r="BN161" i="1"/>
  <c r="BP168" i="1"/>
  <c r="BN168" i="1"/>
  <c r="Z168" i="1"/>
  <c r="Y195" i="1"/>
  <c r="Z191" i="1"/>
  <c r="BP230" i="1"/>
  <c r="BN230" i="1"/>
  <c r="Z230" i="1"/>
  <c r="BN259" i="1"/>
  <c r="BP271" i="1"/>
  <c r="BN271" i="1"/>
  <c r="Z271" i="1"/>
  <c r="BN304" i="1"/>
  <c r="BP375" i="1"/>
  <c r="BN375" i="1"/>
  <c r="Z375" i="1"/>
  <c r="BP381" i="1"/>
  <c r="BN381" i="1"/>
  <c r="Z381" i="1"/>
  <c r="BP389" i="1"/>
  <c r="BN389" i="1"/>
  <c r="Z389" i="1"/>
  <c r="BN424" i="1"/>
  <c r="BN440" i="1"/>
  <c r="BN478" i="1"/>
  <c r="Y527" i="1"/>
  <c r="Y526" i="1"/>
  <c r="BN525" i="1"/>
  <c r="BN22" i="1"/>
  <c r="Z28" i="1"/>
  <c r="BN28" i="1"/>
  <c r="BN30" i="1"/>
  <c r="Z44" i="1"/>
  <c r="Z54" i="1"/>
  <c r="Z61" i="1"/>
  <c r="Z63" i="1"/>
  <c r="BN63" i="1"/>
  <c r="BN65" i="1"/>
  <c r="Z71" i="1"/>
  <c r="BN71" i="1"/>
  <c r="BN73" i="1"/>
  <c r="Z77" i="1"/>
  <c r="BN77" i="1"/>
  <c r="Y80" i="1"/>
  <c r="BN83" i="1"/>
  <c r="BP83" i="1"/>
  <c r="BP113" i="1"/>
  <c r="BP115" i="1"/>
  <c r="BN115" i="1"/>
  <c r="Z115" i="1"/>
  <c r="Y129" i="1"/>
  <c r="Z127" i="1"/>
  <c r="Z128" i="1" s="1"/>
  <c r="BN166" i="1"/>
  <c r="Z166" i="1"/>
  <c r="BP173" i="1"/>
  <c r="BN173" i="1"/>
  <c r="Z173" i="1"/>
  <c r="BN181" i="1"/>
  <c r="BP191" i="1"/>
  <c r="BP193" i="1"/>
  <c r="BN193" i="1"/>
  <c r="Z193" i="1"/>
  <c r="BN211" i="1"/>
  <c r="BN250" i="1"/>
  <c r="Z250" i="1"/>
  <c r="BN289" i="1"/>
  <c r="BP327" i="1"/>
  <c r="BN327" i="1"/>
  <c r="Z327" i="1"/>
  <c r="BP336" i="1"/>
  <c r="BN336" i="1"/>
  <c r="Z336" i="1"/>
  <c r="BN365" i="1"/>
  <c r="BP403" i="1"/>
  <c r="BN403" i="1"/>
  <c r="Z403" i="1"/>
  <c r="BN470" i="1"/>
  <c r="BN487" i="1"/>
  <c r="BP501" i="1"/>
  <c r="BN501" i="1"/>
  <c r="Z501" i="1"/>
  <c r="BP507" i="1"/>
  <c r="BN507" i="1"/>
  <c r="Z507" i="1"/>
  <c r="Y510" i="1"/>
  <c r="BN517" i="1"/>
  <c r="Y535" i="1"/>
  <c r="Y534" i="1"/>
  <c r="BN533" i="1"/>
  <c r="BP90" i="1"/>
  <c r="BP98" i="1"/>
  <c r="BP105" i="1"/>
  <c r="BP121" i="1"/>
  <c r="BN140" i="1"/>
  <c r="Y151" i="1"/>
  <c r="BN155" i="1"/>
  <c r="BP177" i="1"/>
  <c r="BP185" i="1"/>
  <c r="BP197" i="1"/>
  <c r="BN232" i="1"/>
  <c r="BP244" i="1"/>
  <c r="Y262" i="1"/>
  <c r="BN273" i="1"/>
  <c r="BN281" i="1"/>
  <c r="BN320" i="1"/>
  <c r="BN329" i="1"/>
  <c r="BN363" i="1"/>
  <c r="BN371" i="1"/>
  <c r="BN377" i="1"/>
  <c r="BN383" i="1"/>
  <c r="BN407" i="1"/>
  <c r="BN422" i="1"/>
  <c r="BN446" i="1"/>
  <c r="Y464" i="1"/>
  <c r="BN472" i="1"/>
  <c r="BN489" i="1"/>
  <c r="BN497" i="1"/>
  <c r="BN503" i="1"/>
  <c r="BN509" i="1"/>
  <c r="BN519" i="1"/>
  <c r="Y405" i="1"/>
  <c r="BN401" i="1"/>
  <c r="Y404" i="1"/>
  <c r="BP401" i="1"/>
  <c r="Z401" i="1"/>
  <c r="Z42" i="1"/>
  <c r="BP42" i="1"/>
  <c r="Z52" i="1"/>
  <c r="BP52" i="1"/>
  <c r="Z59" i="1"/>
  <c r="BP59" i="1"/>
  <c r="Z88" i="1"/>
  <c r="BP88" i="1"/>
  <c r="Z96" i="1"/>
  <c r="BP96" i="1"/>
  <c r="Z103" i="1"/>
  <c r="BP103" i="1"/>
  <c r="Z134" i="1"/>
  <c r="BP134" i="1"/>
  <c r="Y143" i="1"/>
  <c r="Z142" i="1"/>
  <c r="BP142" i="1"/>
  <c r="Y150" i="1"/>
  <c r="Z148" i="1"/>
  <c r="BP148" i="1"/>
  <c r="I560" i="1"/>
  <c r="Z157" i="1"/>
  <c r="BP157" i="1"/>
  <c r="Z183" i="1"/>
  <c r="BP183" i="1"/>
  <c r="Z213" i="1"/>
  <c r="BP213" i="1"/>
  <c r="L560" i="1"/>
  <c r="BP228" i="1"/>
  <c r="Z236" i="1"/>
  <c r="BP242" i="1"/>
  <c r="Y256" i="1"/>
  <c r="Y255" i="1"/>
  <c r="BN254" i="1"/>
  <c r="BP254" i="1"/>
  <c r="BP269" i="1"/>
  <c r="Z285" i="1"/>
  <c r="BP343" i="1"/>
  <c r="BN416" i="1"/>
  <c r="BP416" i="1"/>
  <c r="Z416" i="1"/>
  <c r="BN426" i="1"/>
  <c r="BP426" i="1"/>
  <c r="Z426" i="1"/>
  <c r="BN513" i="1"/>
  <c r="BP513" i="1"/>
  <c r="Z513" i="1"/>
  <c r="Z22" i="1"/>
  <c r="Y33" i="1"/>
  <c r="Z30" i="1"/>
  <c r="Z65" i="1"/>
  <c r="Y74" i="1"/>
  <c r="Z73" i="1"/>
  <c r="Y79" i="1"/>
  <c r="BN127" i="1"/>
  <c r="Y128" i="1"/>
  <c r="Z132" i="1"/>
  <c r="Z140" i="1"/>
  <c r="Z146" i="1"/>
  <c r="BP146" i="1"/>
  <c r="Z155" i="1"/>
  <c r="Z161" i="1"/>
  <c r="Z162" i="1" s="1"/>
  <c r="BP161" i="1"/>
  <c r="Y169" i="1"/>
  <c r="Y188" i="1"/>
  <c r="Z181" i="1"/>
  <c r="BN191" i="1"/>
  <c r="Y194" i="1"/>
  <c r="BN197" i="1"/>
  <c r="Y200" i="1"/>
  <c r="K560" i="1"/>
  <c r="Z211" i="1"/>
  <c r="Z228" i="1"/>
  <c r="Z242" i="1"/>
  <c r="Z254" i="1"/>
  <c r="Z255" i="1" s="1"/>
  <c r="Z269" i="1"/>
  <c r="BP291" i="1"/>
  <c r="Z291" i="1"/>
  <c r="Z343" i="1"/>
  <c r="BN373" i="1"/>
  <c r="BP373" i="1"/>
  <c r="Z373" i="1"/>
  <c r="BN409" i="1"/>
  <c r="BP409" i="1"/>
  <c r="Z409" i="1"/>
  <c r="BN434" i="1"/>
  <c r="BP434" i="1"/>
  <c r="Z434" i="1"/>
  <c r="Y539" i="1"/>
  <c r="Y538" i="1"/>
  <c r="BN537" i="1"/>
  <c r="BP537" i="1"/>
  <c r="Z537" i="1"/>
  <c r="Z538" i="1" s="1"/>
  <c r="BP226" i="1"/>
  <c r="Z226" i="1"/>
  <c r="BP236" i="1"/>
  <c r="Y245" i="1"/>
  <c r="BP240" i="1"/>
  <c r="Z240" i="1"/>
  <c r="BP285" i="1"/>
  <c r="BP306" i="1"/>
  <c r="Z306" i="1"/>
  <c r="BN351" i="1"/>
  <c r="BP351" i="1"/>
  <c r="Z351" i="1"/>
  <c r="BP469" i="1"/>
  <c r="BN469" i="1"/>
  <c r="Z469" i="1"/>
  <c r="Y485" i="1"/>
  <c r="Y484" i="1"/>
  <c r="BN483" i="1"/>
  <c r="BP483" i="1"/>
  <c r="Z483" i="1"/>
  <c r="Z484" i="1" s="1"/>
  <c r="BN499" i="1"/>
  <c r="BP499" i="1"/>
  <c r="Z499" i="1"/>
  <c r="Y531" i="1"/>
  <c r="Y530" i="1"/>
  <c r="BN529" i="1"/>
  <c r="BP529" i="1"/>
  <c r="Z529" i="1"/>
  <c r="Z530" i="1" s="1"/>
  <c r="X554" i="1"/>
  <c r="Y68" i="1"/>
  <c r="Y93" i="1"/>
  <c r="Y110" i="1"/>
  <c r="Y189" i="1"/>
  <c r="Y237" i="1"/>
  <c r="BP224" i="1"/>
  <c r="Z224" i="1"/>
  <c r="BP234" i="1"/>
  <c r="Z234" i="1"/>
  <c r="Y252" i="1"/>
  <c r="BN248" i="1"/>
  <c r="BP248" i="1"/>
  <c r="BP275" i="1"/>
  <c r="Z275" i="1"/>
  <c r="BP283" i="1"/>
  <c r="Z283" i="1"/>
  <c r="BN358" i="1"/>
  <c r="BP358" i="1"/>
  <c r="Z358" i="1"/>
  <c r="BN367" i="1"/>
  <c r="BP367" i="1"/>
  <c r="Z367" i="1"/>
  <c r="BN395" i="1"/>
  <c r="BP395" i="1"/>
  <c r="Z395" i="1"/>
  <c r="BN451" i="1"/>
  <c r="BP451" i="1"/>
  <c r="Z451" i="1"/>
  <c r="S560" i="1"/>
  <c r="Y418" i="1"/>
  <c r="Y431" i="1"/>
  <c r="Y443" i="1"/>
  <c r="Y297" i="1"/>
  <c r="Y322" i="1"/>
  <c r="Z356" i="1"/>
  <c r="BP356" i="1"/>
  <c r="Z365" i="1"/>
  <c r="Z371" i="1"/>
  <c r="Z407" i="1"/>
  <c r="Z414" i="1"/>
  <c r="Z417" i="1" s="1"/>
  <c r="BP414" i="1"/>
  <c r="Z424" i="1"/>
  <c r="Z440" i="1"/>
  <c r="Z472" i="1"/>
  <c r="Z489" i="1"/>
  <c r="Z560" i="1"/>
  <c r="Z497" i="1"/>
  <c r="Z519" i="1"/>
  <c r="Y543" i="1"/>
  <c r="Z232" i="1"/>
  <c r="Y251" i="1"/>
  <c r="Z259" i="1"/>
  <c r="Z273" i="1"/>
  <c r="Z281" i="1"/>
  <c r="Z289" i="1"/>
  <c r="Z295" i="1"/>
  <c r="BP295" i="1"/>
  <c r="Z304" i="1"/>
  <c r="Z320" i="1"/>
  <c r="Z329" i="1"/>
  <c r="Y359" i="1"/>
  <c r="Z363" i="1"/>
  <c r="Z377" i="1"/>
  <c r="Y385" i="1"/>
  <c r="Z383" i="1"/>
  <c r="Y392" i="1"/>
  <c r="Y417" i="1"/>
  <c r="Z422" i="1"/>
  <c r="Z446" i="1"/>
  <c r="Z470" i="1"/>
  <c r="Z478" i="1"/>
  <c r="Z487" i="1"/>
  <c r="Z495" i="1"/>
  <c r="BP495" i="1"/>
  <c r="Z503" i="1"/>
  <c r="Y511" i="1"/>
  <c r="Z509" i="1"/>
  <c r="Z517" i="1"/>
  <c r="Z525" i="1"/>
  <c r="Z526" i="1" s="1"/>
  <c r="BP525" i="1"/>
  <c r="Z533" i="1"/>
  <c r="Z534" i="1" s="1"/>
  <c r="BP533" i="1"/>
  <c r="Z541" i="1"/>
  <c r="BP541" i="1"/>
  <c r="H9" i="1"/>
  <c r="A10" i="1"/>
  <c r="B560" i="1"/>
  <c r="X551" i="1"/>
  <c r="X55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60" i="1"/>
  <c r="Z89" i="1"/>
  <c r="BN89" i="1"/>
  <c r="BP89" i="1"/>
  <c r="Z91" i="1"/>
  <c r="BN91" i="1"/>
  <c r="Y92" i="1"/>
  <c r="Z95" i="1"/>
  <c r="BN95" i="1"/>
  <c r="BP95" i="1"/>
  <c r="Z97" i="1"/>
  <c r="BN97" i="1"/>
  <c r="Y100" i="1"/>
  <c r="G560" i="1"/>
  <c r="Y109" i="1"/>
  <c r="Z104" i="1"/>
  <c r="BN104" i="1"/>
  <c r="BP104" i="1"/>
  <c r="Z106" i="1"/>
  <c r="BN106" i="1"/>
  <c r="Z108" i="1"/>
  <c r="BN108" i="1"/>
  <c r="BP114" i="1"/>
  <c r="BN114" i="1"/>
  <c r="Z114" i="1"/>
  <c r="BP122" i="1"/>
  <c r="BN122" i="1"/>
  <c r="Z122" i="1"/>
  <c r="BP135" i="1"/>
  <c r="BN135" i="1"/>
  <c r="Z135" i="1"/>
  <c r="F9" i="1"/>
  <c r="J9" i="1"/>
  <c r="Y47" i="1"/>
  <c r="Y55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Y137" i="1"/>
  <c r="BP133" i="1"/>
  <c r="BN133" i="1"/>
  <c r="Z133" i="1"/>
  <c r="H560" i="1"/>
  <c r="Y136" i="1"/>
  <c r="Z139" i="1"/>
  <c r="BN139" i="1"/>
  <c r="BP139" i="1"/>
  <c r="Z141" i="1"/>
  <c r="BN141" i="1"/>
  <c r="Y144" i="1"/>
  <c r="Z147" i="1"/>
  <c r="BN147" i="1"/>
  <c r="BP147" i="1"/>
  <c r="Z149" i="1"/>
  <c r="BN149" i="1"/>
  <c r="Z154" i="1"/>
  <c r="BN154" i="1"/>
  <c r="BP154" i="1"/>
  <c r="Z156" i="1"/>
  <c r="BN156" i="1"/>
  <c r="Y159" i="1"/>
  <c r="J560" i="1"/>
  <c r="Z167" i="1"/>
  <c r="Z169" i="1" s="1"/>
  <c r="BN167" i="1"/>
  <c r="BP167" i="1"/>
  <c r="Y170" i="1"/>
  <c r="Z172" i="1"/>
  <c r="Z174" i="1" s="1"/>
  <c r="BN172" i="1"/>
  <c r="BP172" i="1"/>
  <c r="Y175" i="1"/>
  <c r="Z178" i="1"/>
  <c r="BN178" i="1"/>
  <c r="BP178" i="1"/>
  <c r="Z180" i="1"/>
  <c r="BN180" i="1"/>
  <c r="Z182" i="1"/>
  <c r="BN182" i="1"/>
  <c r="Z184" i="1"/>
  <c r="BN184" i="1"/>
  <c r="Z186" i="1"/>
  <c r="BN186" i="1"/>
  <c r="Z192" i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BN241" i="1"/>
  <c r="Z243" i="1"/>
  <c r="BN243" i="1"/>
  <c r="Y246" i="1"/>
  <c r="Z249" i="1"/>
  <c r="Z251" i="1" s="1"/>
  <c r="BN249" i="1"/>
  <c r="BP249" i="1"/>
  <c r="M560" i="1"/>
  <c r="Z260" i="1"/>
  <c r="Z261" i="1" s="1"/>
  <c r="BN260" i="1"/>
  <c r="BP260" i="1"/>
  <c r="Y261" i="1"/>
  <c r="Z264" i="1"/>
  <c r="Z266" i="1" s="1"/>
  <c r="BN264" i="1"/>
  <c r="BP264" i="1"/>
  <c r="Y267" i="1"/>
  <c r="Y277" i="1"/>
  <c r="Z270" i="1"/>
  <c r="BN270" i="1"/>
  <c r="Z272" i="1"/>
  <c r="BN272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Y158" i="1"/>
  <c r="Y216" i="1"/>
  <c r="Y221" i="1"/>
  <c r="BP274" i="1"/>
  <c r="BN274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O560" i="1"/>
  <c r="Y309" i="1"/>
  <c r="Y308" i="1"/>
  <c r="BP301" i="1"/>
  <c r="BN301" i="1"/>
  <c r="Z301" i="1"/>
  <c r="Z305" i="1"/>
  <c r="BN305" i="1"/>
  <c r="Z307" i="1"/>
  <c r="BN307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BP402" i="1"/>
  <c r="BN402" i="1"/>
  <c r="Z402" i="1"/>
  <c r="Y411" i="1"/>
  <c r="BP415" i="1"/>
  <c r="BN415" i="1"/>
  <c r="Z415" i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W560" i="1"/>
  <c r="BP462" i="1"/>
  <c r="BN462" i="1"/>
  <c r="Z462" i="1"/>
  <c r="X560" i="1"/>
  <c r="Y474" i="1"/>
  <c r="Y475" i="1"/>
  <c r="BP468" i="1"/>
  <c r="BN468" i="1"/>
  <c r="Z468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08" i="1"/>
  <c r="BN408" i="1"/>
  <c r="Z408" i="1"/>
  <c r="Z410" i="1" s="1"/>
  <c r="BP423" i="1"/>
  <c r="BN423" i="1"/>
  <c r="Z423" i="1"/>
  <c r="BP427" i="1"/>
  <c r="BN427" i="1"/>
  <c r="Z427" i="1"/>
  <c r="BP435" i="1"/>
  <c r="BN435" i="1"/>
  <c r="Z435" i="1"/>
  <c r="Y437" i="1"/>
  <c r="Y442" i="1"/>
  <c r="BP439" i="1"/>
  <c r="BN439" i="1"/>
  <c r="Z439" i="1"/>
  <c r="Z442" i="1" s="1"/>
  <c r="BP452" i="1"/>
  <c r="BN452" i="1"/>
  <c r="Z452" i="1"/>
  <c r="Y454" i="1"/>
  <c r="Y457" i="1"/>
  <c r="BP456" i="1"/>
  <c r="BN456" i="1"/>
  <c r="Z456" i="1"/>
  <c r="Z457" i="1" s="1"/>
  <c r="Y458" i="1"/>
  <c r="Y463" i="1"/>
  <c r="BP460" i="1"/>
  <c r="BN460" i="1"/>
  <c r="Z460" i="1"/>
  <c r="BP471" i="1"/>
  <c r="BN471" i="1"/>
  <c r="Z471" i="1"/>
  <c r="BP488" i="1"/>
  <c r="BN488" i="1"/>
  <c r="Z488" i="1"/>
  <c r="BP498" i="1"/>
  <c r="BN498" i="1"/>
  <c r="Z498" i="1"/>
  <c r="BP502" i="1"/>
  <c r="BN502" i="1"/>
  <c r="Z502" i="1"/>
  <c r="BP514" i="1"/>
  <c r="BN514" i="1"/>
  <c r="Z514" i="1"/>
  <c r="BP518" i="1"/>
  <c r="BN518" i="1"/>
  <c r="Z518" i="1"/>
  <c r="Y560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Y490" i="1"/>
  <c r="BP496" i="1"/>
  <c r="BN496" i="1"/>
  <c r="Z496" i="1"/>
  <c r="BP500" i="1"/>
  <c r="BN500" i="1"/>
  <c r="Z500" i="1"/>
  <c r="Y504" i="1"/>
  <c r="BP508" i="1"/>
  <c r="BN508" i="1"/>
  <c r="Z508" i="1"/>
  <c r="Y521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490" i="1" l="1"/>
  <c r="Z453" i="1"/>
  <c r="Z404" i="1"/>
  <c r="Z322" i="1"/>
  <c r="Z297" i="1"/>
  <c r="Z277" i="1"/>
  <c r="Z215" i="1"/>
  <c r="Z194" i="1"/>
  <c r="Z158" i="1"/>
  <c r="Z136" i="1"/>
  <c r="Z92" i="1"/>
  <c r="Z67" i="1"/>
  <c r="Z368" i="1"/>
  <c r="Y551" i="1"/>
  <c r="Z447" i="1"/>
  <c r="Z188" i="1"/>
  <c r="Z150" i="1"/>
  <c r="Y552" i="1"/>
  <c r="Y550" i="1"/>
  <c r="Z510" i="1"/>
  <c r="Z245" i="1"/>
  <c r="Z237" i="1"/>
  <c r="Z109" i="1"/>
  <c r="Z504" i="1"/>
  <c r="Z520" i="1"/>
  <c r="Z463" i="1"/>
  <c r="Z430" i="1"/>
  <c r="Z378" i="1"/>
  <c r="Z124" i="1"/>
  <c r="Z55" i="1"/>
  <c r="Z46" i="1"/>
  <c r="Z436" i="1"/>
  <c r="Z385" i="1"/>
  <c r="Z338" i="1"/>
  <c r="Z331" i="1"/>
  <c r="Z292" i="1"/>
  <c r="Z32" i="1"/>
  <c r="X553" i="1"/>
  <c r="Z347" i="1"/>
  <c r="Z474" i="1"/>
  <c r="Z398" i="1"/>
  <c r="Z308" i="1"/>
  <c r="Z143" i="1"/>
  <c r="Z117" i="1"/>
  <c r="Z99" i="1"/>
  <c r="Z74" i="1"/>
  <c r="Y554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<sst xmlns="http://schemas.openxmlformats.org/spreadsheetml/2006/main" count="2502" uniqueCount="908">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</sst>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95" sqref="AA95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800</v>
      </c>
      <c r="Y95" s="628">
        <f>IFERROR(IF(X95="",0,CEILING((X95/$H95),1)*$H95),"")</f>
        <v>801.9</v>
      </c>
      <c r="Z95" s="36">
        <f>IFERROR(IF(Y95=0,"",ROUNDUP(Y95/H95,0)*0.01898),"")</f>
        <v>1.8790200000000001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848.79012345679018</v>
      </c>
      <c r="BN95" s="64">
        <f>IFERROR(Y95*I95/H95,"0")</f>
        <v>850.80600000000004</v>
      </c>
      <c r="BO95" s="64">
        <f>IFERROR(1/J95*(X95/H95),"0")</f>
        <v>1.5432098765432098</v>
      </c>
      <c r="BP95" s="64">
        <f>IFERROR(1/J95*(Y95/H95),"0")</f>
        <v>1.546875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98.76543209876543</v>
      </c>
      <c r="Y99" s="629">
        <f>IFERROR(Y95/H95,"0")+IFERROR(Y96/H96,"0")+IFERROR(Y97/H97,"0")+IFERROR(Y98/H98,"0")</f>
        <v>99</v>
      </c>
      <c r="Z99" s="629">
        <f>IFERROR(IF(Z95="",0,Z95),"0")+IFERROR(IF(Z96="",0,Z96),"0")+IFERROR(IF(Z97="",0,Z97),"0")+IFERROR(IF(Z98="",0,Z98),"0")</f>
        <v>1.8790200000000001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800</v>
      </c>
      <c r="Y100" s="629">
        <f>IFERROR(SUM(Y95:Y98),"0")</f>
        <v>801.9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2300</v>
      </c>
      <c r="Y120" s="628">
        <f>IFERROR(IF(X120="",0,CEILING((X120/$H120),1)*$H120),"")</f>
        <v>2300.4</v>
      </c>
      <c r="Z120" s="36">
        <f>IFERROR(IF(Y120=0,"",ROUNDUP(Y120/H120,0)*0.01898),"")</f>
        <v>5.39032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2438.5679012345677</v>
      </c>
      <c r="BN120" s="64">
        <f>IFERROR(Y120*I120/H120,"0")</f>
        <v>2438.9919999999997</v>
      </c>
      <c r="BO120" s="64">
        <f>IFERROR(1/J120*(X120/H120),"0")</f>
        <v>4.4367283950617287</v>
      </c>
      <c r="BP120" s="64">
        <f>IFERROR(1/J120*(Y120/H120),"0")</f>
        <v>4.4375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283.95061728395063</v>
      </c>
      <c r="Y124" s="629">
        <f>IFERROR(Y120/H120,"0")+IFERROR(Y121/H121,"0")+IFERROR(Y122/H122,"0")+IFERROR(Y123/H123,"0")</f>
        <v>284</v>
      </c>
      <c r="Z124" s="629">
        <f>IFERROR(IF(Z120="",0,Z120),"0")+IFERROR(IF(Z121="",0,Z121),"0")+IFERROR(IF(Z122="",0,Z122),"0")+IFERROR(IF(Z123="",0,Z123),"0")</f>
        <v>5.39032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2300</v>
      </c>
      <c r="Y125" s="629">
        <f>IFERROR(SUM(Y120:Y123),"0")</f>
        <v>2300.4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140</v>
      </c>
      <c r="Y234" s="628">
        <f t="shared" si="21"/>
        <v>140.70000000000002</v>
      </c>
      <c r="Z234" s="36">
        <f>IFERROR(IF(Y234=0,"",ROUNDUP(Y234/H234,0)*0.00502),"")</f>
        <v>0.33634000000000003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146.66666666666666</v>
      </c>
      <c r="BN234" s="64">
        <f t="shared" si="23"/>
        <v>147.40000000000003</v>
      </c>
      <c r="BO234" s="64">
        <f t="shared" si="24"/>
        <v>0.28490028490028491</v>
      </c>
      <c r="BP234" s="64">
        <f t="shared" si="25"/>
        <v>0.28632478632478636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0.33634000000000003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140</v>
      </c>
      <c r="Y238" s="629">
        <f>IFERROR(SUM(Y223:Y236),"0")</f>
        <v>140.70000000000002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1200</v>
      </c>
      <c r="Y286" s="628">
        <f t="shared" si="32"/>
        <v>1200</v>
      </c>
      <c r="Z286" s="36">
        <f>IFERROR(IF(Y286=0,"",ROUNDUP(Y286/H286,0)*0.00651),"")</f>
        <v>3.2549999999999999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1326</v>
      </c>
      <c r="BN286" s="64">
        <f t="shared" si="34"/>
        <v>1326</v>
      </c>
      <c r="BO286" s="64">
        <f t="shared" si="35"/>
        <v>2.7472527472527473</v>
      </c>
      <c r="BP286" s="64">
        <f t="shared" si="36"/>
        <v>2.7472527472527473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80</v>
      </c>
      <c r="Y289" s="628">
        <f t="shared" si="32"/>
        <v>81.599999999999994</v>
      </c>
      <c r="Z289" s="36">
        <f>IFERROR(IF(Y289=0,"",ROUNDUP(Y289/H289,0)*0.00651),"")</f>
        <v>0.22134000000000001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88.40000000000002</v>
      </c>
      <c r="BN289" s="64">
        <f t="shared" si="34"/>
        <v>90.168000000000006</v>
      </c>
      <c r="BO289" s="64">
        <f t="shared" si="35"/>
        <v>0.18315018315018317</v>
      </c>
      <c r="BP289" s="64">
        <f t="shared" si="36"/>
        <v>0.18681318681318682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240</v>
      </c>
      <c r="Y290" s="628">
        <f t="shared" si="32"/>
        <v>240</v>
      </c>
      <c r="Z290" s="36">
        <f>IFERROR(IF(Y290=0,"",ROUNDUP(Y290/H290,0)*0.00651),"")</f>
        <v>0.65100000000000002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265.8</v>
      </c>
      <c r="BN290" s="64">
        <f t="shared" si="34"/>
        <v>265.8</v>
      </c>
      <c r="BO290" s="64">
        <f t="shared" si="35"/>
        <v>0.5494505494505495</v>
      </c>
      <c r="BP290" s="64">
        <f t="shared" si="36"/>
        <v>0.5494505494505495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633.33333333333337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634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4.1273400000000002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1520</v>
      </c>
      <c r="Y293" s="629">
        <f>IFERROR(SUM(Y280:Y291),"0")</f>
        <v>1521.6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160</v>
      </c>
      <c r="Y337" s="628">
        <f>IFERROR(IF(X337="",0,CEILING((X337/$H337),1)*$H337),"")</f>
        <v>160.79999999999998</v>
      </c>
      <c r="Z337" s="36">
        <f>IFERROR(IF(Y337=0,"",ROUNDUP(Y337/H337,0)*0.00651),"")</f>
        <v>0.43617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172</v>
      </c>
      <c r="BN337" s="64">
        <f>IFERROR(Y337*I337/H337,"0")</f>
        <v>172.85999999999999</v>
      </c>
      <c r="BO337" s="64">
        <f>IFERROR(1/J337*(X337/H337),"0")</f>
        <v>0.36630036630036633</v>
      </c>
      <c r="BP337" s="64">
        <f>IFERROR(1/J337*(Y337/H337),"0")</f>
        <v>0.36813186813186816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160</v>
      </c>
      <c r="Y339" s="629">
        <f>IFERROR(SUM(Y335:Y337),"0")</f>
        <v>160.79999999999998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88</v>
      </c>
      <c r="Y416" s="628">
        <f>IFERROR(IF(X416="",0,CEILING((X416/$H416),1)*$H416),"")</f>
        <v>88.2</v>
      </c>
      <c r="Z416" s="36">
        <f>IFERROR(IF(Y416=0,"",ROUNDUP(Y416/H416,0)*0.00651),"")</f>
        <v>0.27342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98.05714285714285</v>
      </c>
      <c r="BN416" s="64">
        <f>IFERROR(Y416*I416/H416,"0")</f>
        <v>98.28</v>
      </c>
      <c r="BO416" s="64">
        <f>IFERROR(1/J416*(X416/H416),"0")</f>
        <v>0.23024594453165884</v>
      </c>
      <c r="BP416" s="64">
        <f>IFERROR(1/J416*(Y416/H416),"0")</f>
        <v>0.23076923076923078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41.904761904761905</v>
      </c>
      <c r="Y417" s="629">
        <f>IFERROR(Y414/H414,"0")+IFERROR(Y415/H415,"0")+IFERROR(Y416/H416,"0")</f>
        <v>42</v>
      </c>
      <c r="Z417" s="629">
        <f>IFERROR(IF(Z414="",0,Z414),"0")+IFERROR(IF(Z415="",0,Z415),"0")+IFERROR(IF(Z416="",0,Z416),"0")</f>
        <v>0.27342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88</v>
      </c>
      <c r="Y418" s="629">
        <f>IFERROR(SUM(Y414:Y416),"0")</f>
        <v>88.2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1400</v>
      </c>
      <c r="Y433" s="628">
        <f>IFERROR(IF(X433="",0,CEILING((X433/$H433),1)*$H433),"")</f>
        <v>1410</v>
      </c>
      <c r="Z433" s="36">
        <f>IFERROR(IF(Y433=0,"",ROUNDUP(Y433/H433,0)*0.02175),"")</f>
        <v>2.0444999999999998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1443.8666666666666</v>
      </c>
      <c r="BN433" s="64">
        <f>IFERROR(Y433*I433/H433,"0")</f>
        <v>1454.18</v>
      </c>
      <c r="BO433" s="64">
        <f>IFERROR(1/J433*(X433/H433),"0")</f>
        <v>1.9444444444444442</v>
      </c>
      <c r="BP433" s="64">
        <f>IFERROR(1/J433*(Y433/H433),"0")</f>
        <v>1.9583333333333333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93.333333333333329</v>
      </c>
      <c r="Y436" s="629">
        <f>IFERROR(Y433/H433,"0")+IFERROR(Y434/H434,"0")+IFERROR(Y435/H435,"0")</f>
        <v>94</v>
      </c>
      <c r="Z436" s="629">
        <f>IFERROR(IF(Z433="",0,Z433),"0")+IFERROR(IF(Z434="",0,Z434),"0")+IFERROR(IF(Z435="",0,Z435),"0")</f>
        <v>2.0444999999999998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1400</v>
      </c>
      <c r="Y437" s="629">
        <f>IFERROR(SUM(Y433:Y435),"0")</f>
        <v>1410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6000</v>
      </c>
      <c r="Y460" s="628">
        <f>IFERROR(IF(X460="",0,CEILING((X460/$H460),1)*$H460),"")</f>
        <v>6003</v>
      </c>
      <c r="Z460" s="36">
        <f>IFERROR(IF(Y460=0,"",ROUNDUP(Y460/H460,0)*0.01898),"")</f>
        <v>12.659660000000001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6329.333333333333</v>
      </c>
      <c r="BN460" s="64">
        <f>IFERROR(Y460*I460/H460,"0")</f>
        <v>6332.4979999999996</v>
      </c>
      <c r="BO460" s="64">
        <f>IFERROR(1/J460*(X460/H460),"0")</f>
        <v>10.416666666666666</v>
      </c>
      <c r="BP460" s="64">
        <f>IFERROR(1/J460*(Y460/H460),"0")</f>
        <v>10.421875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666.66666666666663</v>
      </c>
      <c r="Y463" s="629">
        <f>IFERROR(Y460/H460,"0")+IFERROR(Y461/H461,"0")+IFERROR(Y462/H462,"0")</f>
        <v>667</v>
      </c>
      <c r="Z463" s="629">
        <f>IFERROR(IF(Z460="",0,Z460),"0")+IFERROR(IF(Z461="",0,Z461),"0")+IFERROR(IF(Z462="",0,Z462),"0")</f>
        <v>12.659660000000001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6000</v>
      </c>
      <c r="Y464" s="629">
        <f>IFERROR(SUM(Y460:Y462),"0")</f>
        <v>6003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12408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12426.6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13157.481834215167</v>
      </c>
      <c r="Y551" s="629">
        <f>IFERROR(SUM(BN22:BN547),"0")</f>
        <v>13176.984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23</v>
      </c>
      <c r="Y552" s="38">
        <f>ROUNDUP(SUM(BP22:BP547),0)</f>
        <v>23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13732.481834215167</v>
      </c>
      <c r="Y553" s="629">
        <f>GrossWeightTotalR+PalletQtyTotalR*25</f>
        <v>13751.984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1951.2874779541444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1954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27.14677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801.9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2300.4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140.70000000000002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1521.6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160.79999999999998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88.2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1410</v>
      </c>
      <c r="W560" s="46">
        <f>IFERROR(Y451*1,"0")+IFERROR(Y452*1,"0")+IFERROR(Y456*1,"0")+IFERROR(Y460*1,"0")+IFERROR(Y461*1,"0")+IFERROR(Y462*1,"0")</f>
        <v>6003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400,00"/>
        <filter val="1 520,00"/>
        <filter val="1 951,29"/>
        <filter val="12 408,00"/>
        <filter val="13 157,48"/>
        <filter val="13 732,48"/>
        <filter val="140,00"/>
        <filter val="160,00"/>
        <filter val="2 300,00"/>
        <filter val="23"/>
        <filter val="240,00"/>
        <filter val="283,95"/>
        <filter val="41,90"/>
        <filter val="6 000,00"/>
        <filter val="633,33"/>
        <filter val="66,67"/>
        <filter val="666,67"/>
        <filter val="80,00"/>
        <filter val="800,00"/>
        <filter val="88,00"/>
        <filter val="93,33"/>
        <filter val="98,77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