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18AAF2-DC60-41A5-ADBD-4039A8482BA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BN542" i="1" s="1"/>
  <c r="P542" i="1"/>
  <c r="BO541" i="1"/>
  <c r="BM541" i="1"/>
  <c r="Y541" i="1"/>
  <c r="Y543" i="1" s="1"/>
  <c r="P541" i="1"/>
  <c r="X539" i="1"/>
  <c r="X538" i="1"/>
  <c r="BO537" i="1"/>
  <c r="BM537" i="1"/>
  <c r="Y537" i="1"/>
  <c r="Y539" i="1" s="1"/>
  <c r="P537" i="1"/>
  <c r="X535" i="1"/>
  <c r="Y534" i="1"/>
  <c r="X534" i="1"/>
  <c r="BO533" i="1"/>
  <c r="BN533" i="1"/>
  <c r="BM533" i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X526" i="1"/>
  <c r="BO525" i="1"/>
  <c r="BM525" i="1"/>
  <c r="Y525" i="1"/>
  <c r="Y526" i="1" s="1"/>
  <c r="P525" i="1"/>
  <c r="X521" i="1"/>
  <c r="X520" i="1"/>
  <c r="BO519" i="1"/>
  <c r="BM519" i="1"/>
  <c r="Y519" i="1"/>
  <c r="BN519" i="1" s="1"/>
  <c r="P519" i="1"/>
  <c r="BO518" i="1"/>
  <c r="BM518" i="1"/>
  <c r="Y518" i="1"/>
  <c r="BN518" i="1" s="1"/>
  <c r="P518" i="1"/>
  <c r="BO517" i="1"/>
  <c r="BN517" i="1"/>
  <c r="BM517" i="1"/>
  <c r="Z517" i="1"/>
  <c r="Y517" i="1"/>
  <c r="BP517" i="1" s="1"/>
  <c r="P517" i="1"/>
  <c r="BO516" i="1"/>
  <c r="BM516" i="1"/>
  <c r="Y516" i="1"/>
  <c r="BN516" i="1" s="1"/>
  <c r="P516" i="1"/>
  <c r="BO515" i="1"/>
  <c r="BM515" i="1"/>
  <c r="Z515" i="1"/>
  <c r="Y515" i="1"/>
  <c r="BN515" i="1" s="1"/>
  <c r="P515" i="1"/>
  <c r="BO514" i="1"/>
  <c r="BM514" i="1"/>
  <c r="Y514" i="1"/>
  <c r="BN514" i="1" s="1"/>
  <c r="P514" i="1"/>
  <c r="BP513" i="1"/>
  <c r="BO513" i="1"/>
  <c r="BN513" i="1"/>
  <c r="BM513" i="1"/>
  <c r="Z513" i="1"/>
  <c r="Y513" i="1"/>
  <c r="P513" i="1"/>
  <c r="X511" i="1"/>
  <c r="X510" i="1"/>
  <c r="BO509" i="1"/>
  <c r="BN509" i="1"/>
  <c r="BM509" i="1"/>
  <c r="Z509" i="1"/>
  <c r="Y509" i="1"/>
  <c r="BP509" i="1" s="1"/>
  <c r="P509" i="1"/>
  <c r="BO508" i="1"/>
  <c r="BM508" i="1"/>
  <c r="Y508" i="1"/>
  <c r="BN508" i="1" s="1"/>
  <c r="P508" i="1"/>
  <c r="BP507" i="1"/>
  <c r="BO507" i="1"/>
  <c r="BM507" i="1"/>
  <c r="Z507" i="1"/>
  <c r="Y507" i="1"/>
  <c r="P507" i="1"/>
  <c r="X505" i="1"/>
  <c r="X504" i="1"/>
  <c r="BO503" i="1"/>
  <c r="BM503" i="1"/>
  <c r="Y503" i="1"/>
  <c r="BN503" i="1" s="1"/>
  <c r="P503" i="1"/>
  <c r="BO502" i="1"/>
  <c r="BM502" i="1"/>
  <c r="Y502" i="1"/>
  <c r="BN502" i="1" s="1"/>
  <c r="P502" i="1"/>
  <c r="BO501" i="1"/>
  <c r="BN501" i="1"/>
  <c r="BM501" i="1"/>
  <c r="Z501" i="1"/>
  <c r="Y501" i="1"/>
  <c r="BP501" i="1" s="1"/>
  <c r="P501" i="1"/>
  <c r="BO500" i="1"/>
  <c r="BM500" i="1"/>
  <c r="Y500" i="1"/>
  <c r="BN500" i="1" s="1"/>
  <c r="P500" i="1"/>
  <c r="BO499" i="1"/>
  <c r="BM499" i="1"/>
  <c r="Z499" i="1"/>
  <c r="Y499" i="1"/>
  <c r="BN499" i="1" s="1"/>
  <c r="P499" i="1"/>
  <c r="BO498" i="1"/>
  <c r="BM498" i="1"/>
  <c r="Y498" i="1"/>
  <c r="BN498" i="1" s="1"/>
  <c r="P498" i="1"/>
  <c r="BP497" i="1"/>
  <c r="BO497" i="1"/>
  <c r="BM497" i="1"/>
  <c r="Z497" i="1"/>
  <c r="Y497" i="1"/>
  <c r="BN497" i="1" s="1"/>
  <c r="P497" i="1"/>
  <c r="BO496" i="1"/>
  <c r="BM496" i="1"/>
  <c r="Y496" i="1"/>
  <c r="BN496" i="1" s="1"/>
  <c r="P496" i="1"/>
  <c r="BO495" i="1"/>
  <c r="BM495" i="1"/>
  <c r="Y495" i="1"/>
  <c r="BN495" i="1" s="1"/>
  <c r="P495" i="1"/>
  <c r="X491" i="1"/>
  <c r="X490" i="1"/>
  <c r="BP489" i="1"/>
  <c r="BO489" i="1"/>
  <c r="BM489" i="1"/>
  <c r="Z489" i="1"/>
  <c r="Y489" i="1"/>
  <c r="BN489" i="1" s="1"/>
  <c r="P489" i="1"/>
  <c r="BO488" i="1"/>
  <c r="BM488" i="1"/>
  <c r="Y488" i="1"/>
  <c r="BN488" i="1" s="1"/>
  <c r="P488" i="1"/>
  <c r="BO487" i="1"/>
  <c r="BM487" i="1"/>
  <c r="Y487" i="1"/>
  <c r="Y491" i="1" s="1"/>
  <c r="P487" i="1"/>
  <c r="X485" i="1"/>
  <c r="Y484" i="1"/>
  <c r="X484" i="1"/>
  <c r="BP483" i="1"/>
  <c r="BO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BN477" i="1" s="1"/>
  <c r="P477" i="1"/>
  <c r="X475" i="1"/>
  <c r="X474" i="1"/>
  <c r="BO473" i="1"/>
  <c r="BM473" i="1"/>
  <c r="Y473" i="1"/>
  <c r="BN473" i="1" s="1"/>
  <c r="P473" i="1"/>
  <c r="BO472" i="1"/>
  <c r="BM472" i="1"/>
  <c r="Y472" i="1"/>
  <c r="BP472" i="1" s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BN469" i="1" s="1"/>
  <c r="P469" i="1"/>
  <c r="BO468" i="1"/>
  <c r="BM468" i="1"/>
  <c r="Y468" i="1"/>
  <c r="BN468" i="1" s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BP460" i="1" s="1"/>
  <c r="P460" i="1"/>
  <c r="X458" i="1"/>
  <c r="X457" i="1"/>
  <c r="BO456" i="1"/>
  <c r="BM456" i="1"/>
  <c r="Y456" i="1"/>
  <c r="BP456" i="1" s="1"/>
  <c r="P456" i="1"/>
  <c r="X454" i="1"/>
  <c r="X453" i="1"/>
  <c r="BO452" i="1"/>
  <c r="BM452" i="1"/>
  <c r="Y452" i="1"/>
  <c r="BP452" i="1" s="1"/>
  <c r="P452" i="1"/>
  <c r="BO451" i="1"/>
  <c r="BM451" i="1"/>
  <c r="Y451" i="1"/>
  <c r="Y454" i="1" s="1"/>
  <c r="P451" i="1"/>
  <c r="X448" i="1"/>
  <c r="X447" i="1"/>
  <c r="BO446" i="1"/>
  <c r="BM446" i="1"/>
  <c r="Y446" i="1"/>
  <c r="BN446" i="1" s="1"/>
  <c r="P446" i="1"/>
  <c r="BO445" i="1"/>
  <c r="BN445" i="1"/>
  <c r="BM445" i="1"/>
  <c r="Y445" i="1"/>
  <c r="P445" i="1"/>
  <c r="X443" i="1"/>
  <c r="X442" i="1"/>
  <c r="BO441" i="1"/>
  <c r="BN441" i="1"/>
  <c r="BM441" i="1"/>
  <c r="Y441" i="1"/>
  <c r="BP441" i="1" s="1"/>
  <c r="P441" i="1"/>
  <c r="BO440" i="1"/>
  <c r="BM440" i="1"/>
  <c r="Y440" i="1"/>
  <c r="P440" i="1"/>
  <c r="BP439" i="1"/>
  <c r="BO439" i="1"/>
  <c r="BN439" i="1"/>
  <c r="BM439" i="1"/>
  <c r="Y439" i="1"/>
  <c r="Z439" i="1" s="1"/>
  <c r="P439" i="1"/>
  <c r="X437" i="1"/>
  <c r="X436" i="1"/>
  <c r="BO435" i="1"/>
  <c r="BN435" i="1"/>
  <c r="BM435" i="1"/>
  <c r="Z435" i="1"/>
  <c r="Y435" i="1"/>
  <c r="BP435" i="1" s="1"/>
  <c r="P435" i="1"/>
  <c r="BO434" i="1"/>
  <c r="BM434" i="1"/>
  <c r="Y434" i="1"/>
  <c r="BN434" i="1" s="1"/>
  <c r="P434" i="1"/>
  <c r="BO433" i="1"/>
  <c r="BN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N428" i="1"/>
  <c r="BM428" i="1"/>
  <c r="Y428" i="1"/>
  <c r="P428" i="1"/>
  <c r="BP427" i="1"/>
  <c r="BO427" i="1"/>
  <c r="BN427" i="1"/>
  <c r="BM427" i="1"/>
  <c r="Y427" i="1"/>
  <c r="Z427" i="1" s="1"/>
  <c r="P427" i="1"/>
  <c r="BO426" i="1"/>
  <c r="BM426" i="1"/>
  <c r="Y426" i="1"/>
  <c r="BN426" i="1" s="1"/>
  <c r="P426" i="1"/>
  <c r="BO425" i="1"/>
  <c r="BN425" i="1"/>
  <c r="BM425" i="1"/>
  <c r="Y425" i="1"/>
  <c r="BP425" i="1" s="1"/>
  <c r="P425" i="1"/>
  <c r="BO424" i="1"/>
  <c r="BM424" i="1"/>
  <c r="Y424" i="1"/>
  <c r="P424" i="1"/>
  <c r="BP423" i="1"/>
  <c r="BO423" i="1"/>
  <c r="BN423" i="1"/>
  <c r="BM423" i="1"/>
  <c r="Y423" i="1"/>
  <c r="Z423" i="1" s="1"/>
  <c r="P423" i="1"/>
  <c r="BO422" i="1"/>
  <c r="BM422" i="1"/>
  <c r="Y422" i="1"/>
  <c r="P422" i="1"/>
  <c r="X418" i="1"/>
  <c r="X417" i="1"/>
  <c r="BO416" i="1"/>
  <c r="BM416" i="1"/>
  <c r="Y416" i="1"/>
  <c r="BN416" i="1" s="1"/>
  <c r="P416" i="1"/>
  <c r="BO415" i="1"/>
  <c r="BM415" i="1"/>
  <c r="Y415" i="1"/>
  <c r="BN415" i="1" s="1"/>
  <c r="P415" i="1"/>
  <c r="BO414" i="1"/>
  <c r="BN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N408" i="1" s="1"/>
  <c r="P408" i="1"/>
  <c r="BO407" i="1"/>
  <c r="BM407" i="1"/>
  <c r="Y407" i="1"/>
  <c r="BN407" i="1" s="1"/>
  <c r="P407" i="1"/>
  <c r="X405" i="1"/>
  <c r="X404" i="1"/>
  <c r="BO403" i="1"/>
  <c r="BM403" i="1"/>
  <c r="Y403" i="1"/>
  <c r="BN403" i="1" s="1"/>
  <c r="P403" i="1"/>
  <c r="BP402" i="1"/>
  <c r="BO402" i="1"/>
  <c r="BN402" i="1"/>
  <c r="BM402" i="1"/>
  <c r="Y402" i="1"/>
  <c r="Z402" i="1" s="1"/>
  <c r="P402" i="1"/>
  <c r="BO401" i="1"/>
  <c r="BM401" i="1"/>
  <c r="Y401" i="1"/>
  <c r="P401" i="1"/>
  <c r="X399" i="1"/>
  <c r="X398" i="1"/>
  <c r="BO397" i="1"/>
  <c r="BM397" i="1"/>
  <c r="Y397" i="1"/>
  <c r="BN397" i="1" s="1"/>
  <c r="P397" i="1"/>
  <c r="BO396" i="1"/>
  <c r="BM396" i="1"/>
  <c r="Y396" i="1"/>
  <c r="Y398" i="1" s="1"/>
  <c r="P396" i="1"/>
  <c r="BO395" i="1"/>
  <c r="BM395" i="1"/>
  <c r="Z395" i="1"/>
  <c r="Y395" i="1"/>
  <c r="BN395" i="1" s="1"/>
  <c r="P395" i="1"/>
  <c r="BP394" i="1"/>
  <c r="BO394" i="1"/>
  <c r="BM394" i="1"/>
  <c r="Z394" i="1"/>
  <c r="Y394" i="1"/>
  <c r="P394" i="1"/>
  <c r="X392" i="1"/>
  <c r="X391" i="1"/>
  <c r="BO390" i="1"/>
  <c r="BM390" i="1"/>
  <c r="Y390" i="1"/>
  <c r="BN390" i="1" s="1"/>
  <c r="P390" i="1"/>
  <c r="BO389" i="1"/>
  <c r="BM389" i="1"/>
  <c r="Y389" i="1"/>
  <c r="BN389" i="1" s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BN383" i="1" s="1"/>
  <c r="P383" i="1"/>
  <c r="BO382" i="1"/>
  <c r="BM382" i="1"/>
  <c r="Y382" i="1"/>
  <c r="BN382" i="1" s="1"/>
  <c r="P382" i="1"/>
  <c r="BO381" i="1"/>
  <c r="BM381" i="1"/>
  <c r="Y381" i="1"/>
  <c r="P381" i="1"/>
  <c r="X379" i="1"/>
  <c r="X378" i="1"/>
  <c r="BO377" i="1"/>
  <c r="BM377" i="1"/>
  <c r="Z377" i="1"/>
  <c r="Y377" i="1"/>
  <c r="BN377" i="1" s="1"/>
  <c r="P377" i="1"/>
  <c r="BO376" i="1"/>
  <c r="BM376" i="1"/>
  <c r="Y376" i="1"/>
  <c r="BN376" i="1" s="1"/>
  <c r="P376" i="1"/>
  <c r="BO375" i="1"/>
  <c r="BN375" i="1"/>
  <c r="BM375" i="1"/>
  <c r="Y375" i="1"/>
  <c r="BP375" i="1" s="1"/>
  <c r="P375" i="1"/>
  <c r="BP374" i="1"/>
  <c r="BO374" i="1"/>
  <c r="BM374" i="1"/>
  <c r="Z374" i="1"/>
  <c r="Y374" i="1"/>
  <c r="BN374" i="1" s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BN371" i="1" s="1"/>
  <c r="P371" i="1"/>
  <c r="X369" i="1"/>
  <c r="X368" i="1"/>
  <c r="BO367" i="1"/>
  <c r="BM367" i="1"/>
  <c r="Y367" i="1"/>
  <c r="BP367" i="1" s="1"/>
  <c r="P367" i="1"/>
  <c r="BP366" i="1"/>
  <c r="BO366" i="1"/>
  <c r="BM366" i="1"/>
  <c r="Y366" i="1"/>
  <c r="BN366" i="1" s="1"/>
  <c r="P366" i="1"/>
  <c r="BO365" i="1"/>
  <c r="BM365" i="1"/>
  <c r="Y365" i="1"/>
  <c r="BN365" i="1" s="1"/>
  <c r="P365" i="1"/>
  <c r="BO364" i="1"/>
  <c r="BM364" i="1"/>
  <c r="Y364" i="1"/>
  <c r="P364" i="1"/>
  <c r="BO363" i="1"/>
  <c r="BN363" i="1"/>
  <c r="BM363" i="1"/>
  <c r="Y363" i="1"/>
  <c r="Y368" i="1" s="1"/>
  <c r="P363" i="1"/>
  <c r="X360" i="1"/>
  <c r="X359" i="1"/>
  <c r="BO358" i="1"/>
  <c r="BN358" i="1"/>
  <c r="BM358" i="1"/>
  <c r="Y358" i="1"/>
  <c r="BP358" i="1" s="1"/>
  <c r="P358" i="1"/>
  <c r="BO357" i="1"/>
  <c r="BM357" i="1"/>
  <c r="Y357" i="1"/>
  <c r="BP357" i="1" s="1"/>
  <c r="P357" i="1"/>
  <c r="BP356" i="1"/>
  <c r="BO356" i="1"/>
  <c r="BM356" i="1"/>
  <c r="Z356" i="1"/>
  <c r="Y356" i="1"/>
  <c r="P356" i="1"/>
  <c r="X353" i="1"/>
  <c r="X352" i="1"/>
  <c r="BO351" i="1"/>
  <c r="BM351" i="1"/>
  <c r="Z351" i="1"/>
  <c r="Y351" i="1"/>
  <c r="BN351" i="1" s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N345" i="1"/>
  <c r="BM345" i="1"/>
  <c r="Y345" i="1"/>
  <c r="BP345" i="1" s="1"/>
  <c r="P345" i="1"/>
  <c r="BP344" i="1"/>
  <c r="BO344" i="1"/>
  <c r="BM344" i="1"/>
  <c r="Z344" i="1"/>
  <c r="Y344" i="1"/>
  <c r="BN344" i="1" s="1"/>
  <c r="P344" i="1"/>
  <c r="BP343" i="1"/>
  <c r="BO343" i="1"/>
  <c r="BM343" i="1"/>
  <c r="Z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Z336" i="1"/>
  <c r="Y336" i="1"/>
  <c r="BP336" i="1" s="1"/>
  <c r="P336" i="1"/>
  <c r="BO335" i="1"/>
  <c r="BM335" i="1"/>
  <c r="Z335" i="1"/>
  <c r="Y335" i="1"/>
  <c r="P335" i="1"/>
  <c r="X332" i="1"/>
  <c r="X331" i="1"/>
  <c r="BO330" i="1"/>
  <c r="BM330" i="1"/>
  <c r="Z330" i="1"/>
  <c r="Y330" i="1"/>
  <c r="BN330" i="1" s="1"/>
  <c r="P330" i="1"/>
  <c r="BP329" i="1"/>
  <c r="BO329" i="1"/>
  <c r="BM329" i="1"/>
  <c r="Z329" i="1"/>
  <c r="Y329" i="1"/>
  <c r="BN329" i="1" s="1"/>
  <c r="P329" i="1"/>
  <c r="BO328" i="1"/>
  <c r="BM328" i="1"/>
  <c r="Y328" i="1"/>
  <c r="Y332" i="1" s="1"/>
  <c r="P328" i="1"/>
  <c r="BO327" i="1"/>
  <c r="BN327" i="1"/>
  <c r="BM327" i="1"/>
  <c r="Z327" i="1"/>
  <c r="Y327" i="1"/>
  <c r="BP327" i="1" s="1"/>
  <c r="P327" i="1"/>
  <c r="BO326" i="1"/>
  <c r="BM326" i="1"/>
  <c r="Z326" i="1"/>
  <c r="Y326" i="1"/>
  <c r="P326" i="1"/>
  <c r="X323" i="1"/>
  <c r="X322" i="1"/>
  <c r="BO321" i="1"/>
  <c r="BM321" i="1"/>
  <c r="Y321" i="1"/>
  <c r="BN321" i="1" s="1"/>
  <c r="P321" i="1"/>
  <c r="BP320" i="1"/>
  <c r="BO320" i="1"/>
  <c r="BM320" i="1"/>
  <c r="Z320" i="1"/>
  <c r="Y320" i="1"/>
  <c r="BN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M306" i="1"/>
  <c r="Z306" i="1"/>
  <c r="Y306" i="1"/>
  <c r="BN306" i="1" s="1"/>
  <c r="P306" i="1"/>
  <c r="BO305" i="1"/>
  <c r="BM305" i="1"/>
  <c r="Z305" i="1"/>
  <c r="Y305" i="1"/>
  <c r="BN305" i="1" s="1"/>
  <c r="P305" i="1"/>
  <c r="BP304" i="1"/>
  <c r="BO304" i="1"/>
  <c r="BM304" i="1"/>
  <c r="Y304" i="1"/>
  <c r="BN304" i="1" s="1"/>
  <c r="P304" i="1"/>
  <c r="BO303" i="1"/>
  <c r="BN303" i="1"/>
  <c r="BM303" i="1"/>
  <c r="Y303" i="1"/>
  <c r="P303" i="1"/>
  <c r="BP302" i="1"/>
  <c r="BO302" i="1"/>
  <c r="BM302" i="1"/>
  <c r="Z302" i="1"/>
  <c r="Y302" i="1"/>
  <c r="BN302" i="1" s="1"/>
  <c r="P302" i="1"/>
  <c r="BO301" i="1"/>
  <c r="BM301" i="1"/>
  <c r="Y301" i="1"/>
  <c r="BN301" i="1" s="1"/>
  <c r="P301" i="1"/>
  <c r="X298" i="1"/>
  <c r="X297" i="1"/>
  <c r="BO296" i="1"/>
  <c r="BM296" i="1"/>
  <c r="Y296" i="1"/>
  <c r="BN296" i="1" s="1"/>
  <c r="P296" i="1"/>
  <c r="BO295" i="1"/>
  <c r="BN295" i="1"/>
  <c r="BM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BN290" i="1" s="1"/>
  <c r="P290" i="1"/>
  <c r="BO289" i="1"/>
  <c r="BM289" i="1"/>
  <c r="Y289" i="1"/>
  <c r="BN289" i="1" s="1"/>
  <c r="P289" i="1"/>
  <c r="BO288" i="1"/>
  <c r="BM288" i="1"/>
  <c r="Y288" i="1"/>
  <c r="BP288" i="1" s="1"/>
  <c r="P288" i="1"/>
  <c r="BP287" i="1"/>
  <c r="BO287" i="1"/>
  <c r="BM287" i="1"/>
  <c r="Y287" i="1"/>
  <c r="Z287" i="1" s="1"/>
  <c r="P287" i="1"/>
  <c r="BP286" i="1"/>
  <c r="BO286" i="1"/>
  <c r="BM286" i="1"/>
  <c r="Z286" i="1"/>
  <c r="Y286" i="1"/>
  <c r="BN286" i="1" s="1"/>
  <c r="P286" i="1"/>
  <c r="BO285" i="1"/>
  <c r="BM285" i="1"/>
  <c r="Y285" i="1"/>
  <c r="BN285" i="1" s="1"/>
  <c r="P285" i="1"/>
  <c r="BO284" i="1"/>
  <c r="BM284" i="1"/>
  <c r="Y284" i="1"/>
  <c r="BP284" i="1" s="1"/>
  <c r="P284" i="1"/>
  <c r="BO283" i="1"/>
  <c r="BM283" i="1"/>
  <c r="Y283" i="1"/>
  <c r="BN283" i="1" s="1"/>
  <c r="P283" i="1"/>
  <c r="BP282" i="1"/>
  <c r="BO282" i="1"/>
  <c r="BM282" i="1"/>
  <c r="Z282" i="1"/>
  <c r="Y282" i="1"/>
  <c r="BN282" i="1" s="1"/>
  <c r="P282" i="1"/>
  <c r="BO281" i="1"/>
  <c r="BM281" i="1"/>
  <c r="Y281" i="1"/>
  <c r="BN281" i="1" s="1"/>
  <c r="P281" i="1"/>
  <c r="BO280" i="1"/>
  <c r="BN280" i="1"/>
  <c r="BM280" i="1"/>
  <c r="Y280" i="1"/>
  <c r="P280" i="1"/>
  <c r="X278" i="1"/>
  <c r="X277" i="1"/>
  <c r="BO276" i="1"/>
  <c r="BN276" i="1"/>
  <c r="BM276" i="1"/>
  <c r="Y276" i="1"/>
  <c r="BP276" i="1" s="1"/>
  <c r="P276" i="1"/>
  <c r="BO275" i="1"/>
  <c r="BM275" i="1"/>
  <c r="Y275" i="1"/>
  <c r="BP275" i="1" s="1"/>
  <c r="P275" i="1"/>
  <c r="BP274" i="1"/>
  <c r="BO274" i="1"/>
  <c r="BM274" i="1"/>
  <c r="Z274" i="1"/>
  <c r="Y274" i="1"/>
  <c r="BN274" i="1" s="1"/>
  <c r="P274" i="1"/>
  <c r="BO273" i="1"/>
  <c r="BM273" i="1"/>
  <c r="Y273" i="1"/>
  <c r="BN273" i="1" s="1"/>
  <c r="P273" i="1"/>
  <c r="BO272" i="1"/>
  <c r="BN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M270" i="1"/>
  <c r="Z270" i="1"/>
  <c r="Y270" i="1"/>
  <c r="BN270" i="1" s="1"/>
  <c r="P270" i="1"/>
  <c r="BO269" i="1"/>
  <c r="BM269" i="1"/>
  <c r="Y269" i="1"/>
  <c r="P269" i="1"/>
  <c r="X267" i="1"/>
  <c r="X266" i="1"/>
  <c r="BO265" i="1"/>
  <c r="BM265" i="1"/>
  <c r="Y265" i="1"/>
  <c r="BN265" i="1" s="1"/>
  <c r="P265" i="1"/>
  <c r="BO264" i="1"/>
  <c r="BM264" i="1"/>
  <c r="Y264" i="1"/>
  <c r="Y266" i="1" s="1"/>
  <c r="P264" i="1"/>
  <c r="X262" i="1"/>
  <c r="X261" i="1"/>
  <c r="BO260" i="1"/>
  <c r="BM260" i="1"/>
  <c r="Y260" i="1"/>
  <c r="Y262" i="1" s="1"/>
  <c r="P260" i="1"/>
  <c r="BP259" i="1"/>
  <c r="BO259" i="1"/>
  <c r="BM259" i="1"/>
  <c r="Z259" i="1"/>
  <c r="Y259" i="1"/>
  <c r="BN259" i="1" s="1"/>
  <c r="P259" i="1"/>
  <c r="Y256" i="1"/>
  <c r="X256" i="1"/>
  <c r="Y255" i="1"/>
  <c r="X255" i="1"/>
  <c r="BP254" i="1"/>
  <c r="BO254" i="1"/>
  <c r="BM254" i="1"/>
  <c r="Y254" i="1"/>
  <c r="Z254" i="1" s="1"/>
  <c r="Z255" i="1" s="1"/>
  <c r="P254" i="1"/>
  <c r="X252" i="1"/>
  <c r="X251" i="1"/>
  <c r="BP250" i="1"/>
  <c r="BO250" i="1"/>
  <c r="BM250" i="1"/>
  <c r="Z250" i="1"/>
  <c r="Y250" i="1"/>
  <c r="BN250" i="1" s="1"/>
  <c r="P250" i="1"/>
  <c r="BO249" i="1"/>
  <c r="BM249" i="1"/>
  <c r="Y249" i="1"/>
  <c r="BN249" i="1" s="1"/>
  <c r="P249" i="1"/>
  <c r="BO248" i="1"/>
  <c r="BM248" i="1"/>
  <c r="Y248" i="1"/>
  <c r="BN248" i="1" s="1"/>
  <c r="P248" i="1"/>
  <c r="X246" i="1"/>
  <c r="X245" i="1"/>
  <c r="BO244" i="1"/>
  <c r="BM244" i="1"/>
  <c r="Y244" i="1"/>
  <c r="BN244" i="1" s="1"/>
  <c r="P244" i="1"/>
  <c r="BO243" i="1"/>
  <c r="BN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Z241" i="1"/>
  <c r="Y241" i="1"/>
  <c r="BN241" i="1" s="1"/>
  <c r="P241" i="1"/>
  <c r="BO240" i="1"/>
  <c r="BM240" i="1"/>
  <c r="Y240" i="1"/>
  <c r="Y245" i="1" s="1"/>
  <c r="P240" i="1"/>
  <c r="X238" i="1"/>
  <c r="X237" i="1"/>
  <c r="BO236" i="1"/>
  <c r="BM236" i="1"/>
  <c r="Y236" i="1"/>
  <c r="BN236" i="1" s="1"/>
  <c r="P236" i="1"/>
  <c r="BO235" i="1"/>
  <c r="BM235" i="1"/>
  <c r="Y235" i="1"/>
  <c r="BP235" i="1" s="1"/>
  <c r="P235" i="1"/>
  <c r="BO234" i="1"/>
  <c r="BN234" i="1"/>
  <c r="BM234" i="1"/>
  <c r="Z234" i="1"/>
  <c r="Y234" i="1"/>
  <c r="BP234" i="1" s="1"/>
  <c r="P234" i="1"/>
  <c r="BP233" i="1"/>
  <c r="BO233" i="1"/>
  <c r="BM233" i="1"/>
  <c r="Y233" i="1"/>
  <c r="BN233" i="1" s="1"/>
  <c r="P233" i="1"/>
  <c r="BO232" i="1"/>
  <c r="BM232" i="1"/>
  <c r="Y232" i="1"/>
  <c r="BN232" i="1" s="1"/>
  <c r="P232" i="1"/>
  <c r="BO231" i="1"/>
  <c r="BN231" i="1"/>
  <c r="BM231" i="1"/>
  <c r="Y231" i="1"/>
  <c r="BP231" i="1" s="1"/>
  <c r="P231" i="1"/>
  <c r="BP230" i="1"/>
  <c r="BO230" i="1"/>
  <c r="BN230" i="1"/>
  <c r="BM230" i="1"/>
  <c r="Y230" i="1"/>
  <c r="Z230" i="1" s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P226" i="1"/>
  <c r="BO226" i="1"/>
  <c r="BM226" i="1"/>
  <c r="Z226" i="1"/>
  <c r="Y226" i="1"/>
  <c r="BN226" i="1" s="1"/>
  <c r="P226" i="1"/>
  <c r="BO225" i="1"/>
  <c r="BM225" i="1"/>
  <c r="Y225" i="1"/>
  <c r="BN225" i="1" s="1"/>
  <c r="P225" i="1"/>
  <c r="BO224" i="1"/>
  <c r="BM224" i="1"/>
  <c r="Y224" i="1"/>
  <c r="P224" i="1"/>
  <c r="BO223" i="1"/>
  <c r="BN223" i="1"/>
  <c r="BM223" i="1"/>
  <c r="Y223" i="1"/>
  <c r="P223" i="1"/>
  <c r="X221" i="1"/>
  <c r="Y220" i="1"/>
  <c r="X220" i="1"/>
  <c r="BO219" i="1"/>
  <c r="BM219" i="1"/>
  <c r="Y219" i="1"/>
  <c r="BN219" i="1" s="1"/>
  <c r="P219" i="1"/>
  <c r="X216" i="1"/>
  <c r="X215" i="1"/>
  <c r="BO214" i="1"/>
  <c r="BN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Z212" i="1"/>
  <c r="Y212" i="1"/>
  <c r="BN212" i="1" s="1"/>
  <c r="P212" i="1"/>
  <c r="BO211" i="1"/>
  <c r="BM211" i="1"/>
  <c r="Y211" i="1"/>
  <c r="P211" i="1"/>
  <c r="BO210" i="1"/>
  <c r="BM210" i="1"/>
  <c r="Y210" i="1"/>
  <c r="BP210" i="1" s="1"/>
  <c r="P210" i="1"/>
  <c r="BP209" i="1"/>
  <c r="BO209" i="1"/>
  <c r="BM209" i="1"/>
  <c r="Z209" i="1"/>
  <c r="Y209" i="1"/>
  <c r="BN209" i="1" s="1"/>
  <c r="P209" i="1"/>
  <c r="BO208" i="1"/>
  <c r="BM208" i="1"/>
  <c r="Z208" i="1"/>
  <c r="Y208" i="1"/>
  <c r="BN208" i="1" s="1"/>
  <c r="P208" i="1"/>
  <c r="X204" i="1"/>
  <c r="X203" i="1"/>
  <c r="BP202" i="1"/>
  <c r="BO202" i="1"/>
  <c r="BM202" i="1"/>
  <c r="Y202" i="1"/>
  <c r="Y203" i="1" s="1"/>
  <c r="P202" i="1"/>
  <c r="X200" i="1"/>
  <c r="X199" i="1"/>
  <c r="BO198" i="1"/>
  <c r="BM198" i="1"/>
  <c r="Y198" i="1"/>
  <c r="BN198" i="1" s="1"/>
  <c r="P198" i="1"/>
  <c r="BO197" i="1"/>
  <c r="BM197" i="1"/>
  <c r="Y197" i="1"/>
  <c r="P197" i="1"/>
  <c r="X195" i="1"/>
  <c r="X194" i="1"/>
  <c r="BO193" i="1"/>
  <c r="BM193" i="1"/>
  <c r="Y193" i="1"/>
  <c r="P193" i="1"/>
  <c r="BO192" i="1"/>
  <c r="BN192" i="1"/>
  <c r="BM192" i="1"/>
  <c r="Y192" i="1"/>
  <c r="P192" i="1"/>
  <c r="BP191" i="1"/>
  <c r="BO191" i="1"/>
  <c r="BM191" i="1"/>
  <c r="Z191" i="1"/>
  <c r="Y191" i="1"/>
  <c r="Y195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N186" i="1" s="1"/>
  <c r="P186" i="1"/>
  <c r="BO185" i="1"/>
  <c r="BM185" i="1"/>
  <c r="Y185" i="1"/>
  <c r="P185" i="1"/>
  <c r="BO184" i="1"/>
  <c r="BN184" i="1"/>
  <c r="BM184" i="1"/>
  <c r="Y184" i="1"/>
  <c r="BP184" i="1" s="1"/>
  <c r="P184" i="1"/>
  <c r="BP183" i="1"/>
  <c r="BO183" i="1"/>
  <c r="BM183" i="1"/>
  <c r="Z183" i="1"/>
  <c r="Y183" i="1"/>
  <c r="BN183" i="1" s="1"/>
  <c r="P183" i="1"/>
  <c r="BP182" i="1"/>
  <c r="BO182" i="1"/>
  <c r="BM182" i="1"/>
  <c r="Z182" i="1"/>
  <c r="Y182" i="1"/>
  <c r="BN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N179" i="1"/>
  <c r="BM179" i="1"/>
  <c r="Z179" i="1"/>
  <c r="Y179" i="1"/>
  <c r="BP179" i="1" s="1"/>
  <c r="P179" i="1"/>
  <c r="BP178" i="1"/>
  <c r="BO178" i="1"/>
  <c r="BM178" i="1"/>
  <c r="Y178" i="1"/>
  <c r="BN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N172" i="1"/>
  <c r="BM172" i="1"/>
  <c r="Y172" i="1"/>
  <c r="X170" i="1"/>
  <c r="X169" i="1"/>
  <c r="BO168" i="1"/>
  <c r="BN168" i="1"/>
  <c r="BM168" i="1"/>
  <c r="Z168" i="1"/>
  <c r="Y168" i="1"/>
  <c r="BP168" i="1" s="1"/>
  <c r="P168" i="1"/>
  <c r="BO167" i="1"/>
  <c r="BM167" i="1"/>
  <c r="Y167" i="1"/>
  <c r="BN167" i="1" s="1"/>
  <c r="P167" i="1"/>
  <c r="BO166" i="1"/>
  <c r="BN166" i="1"/>
  <c r="BM166" i="1"/>
  <c r="Z166" i="1"/>
  <c r="Y166" i="1"/>
  <c r="BP166" i="1" s="1"/>
  <c r="P166" i="1"/>
  <c r="X163" i="1"/>
  <c r="X162" i="1"/>
  <c r="BO161" i="1"/>
  <c r="BM161" i="1"/>
  <c r="Y161" i="1"/>
  <c r="Y163" i="1" s="1"/>
  <c r="P161" i="1"/>
  <c r="X159" i="1"/>
  <c r="X158" i="1"/>
  <c r="BP157" i="1"/>
  <c r="BO157" i="1"/>
  <c r="BM157" i="1"/>
  <c r="Y157" i="1"/>
  <c r="Z157" i="1" s="1"/>
  <c r="P157" i="1"/>
  <c r="BO156" i="1"/>
  <c r="BN156" i="1"/>
  <c r="BM156" i="1"/>
  <c r="Y156" i="1"/>
  <c r="P156" i="1"/>
  <c r="BP155" i="1"/>
  <c r="BO155" i="1"/>
  <c r="BM155" i="1"/>
  <c r="Z155" i="1"/>
  <c r="Y155" i="1"/>
  <c r="BN155" i="1" s="1"/>
  <c r="P155" i="1"/>
  <c r="BO154" i="1"/>
  <c r="BM154" i="1"/>
  <c r="Z154" i="1"/>
  <c r="Y154" i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Y148" i="1"/>
  <c r="Z148" i="1" s="1"/>
  <c r="P148" i="1"/>
  <c r="BO147" i="1"/>
  <c r="BM147" i="1"/>
  <c r="Y147" i="1"/>
  <c r="BN147" i="1" s="1"/>
  <c r="P147" i="1"/>
  <c r="BP146" i="1"/>
  <c r="BO146" i="1"/>
  <c r="BN146" i="1"/>
  <c r="BM146" i="1"/>
  <c r="Z146" i="1"/>
  <c r="Y146" i="1"/>
  <c r="P146" i="1"/>
  <c r="X144" i="1"/>
  <c r="X143" i="1"/>
  <c r="BP142" i="1"/>
  <c r="BO142" i="1"/>
  <c r="BN142" i="1"/>
  <c r="BM142" i="1"/>
  <c r="Y142" i="1"/>
  <c r="Z142" i="1" s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BN135" i="1" s="1"/>
  <c r="P135" i="1"/>
  <c r="BO134" i="1"/>
  <c r="BM134" i="1"/>
  <c r="Y134" i="1"/>
  <c r="BP134" i="1" s="1"/>
  <c r="P134" i="1"/>
  <c r="BO133" i="1"/>
  <c r="BM133" i="1"/>
  <c r="Y133" i="1"/>
  <c r="BP133" i="1" s="1"/>
  <c r="P133" i="1"/>
  <c r="BP132" i="1"/>
  <c r="BO132" i="1"/>
  <c r="BM132" i="1"/>
  <c r="Z132" i="1"/>
  <c r="Y132" i="1"/>
  <c r="BN132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N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N114" i="1" s="1"/>
  <c r="P114" i="1"/>
  <c r="BP113" i="1"/>
  <c r="BO113" i="1"/>
  <c r="BN113" i="1"/>
  <c r="BM113" i="1"/>
  <c r="Y113" i="1"/>
  <c r="Z113" i="1" s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N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X93" i="1"/>
  <c r="X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BN89" i="1" s="1"/>
  <c r="P89" i="1"/>
  <c r="BO88" i="1"/>
  <c r="BN88" i="1"/>
  <c r="BM88" i="1"/>
  <c r="Z88" i="1"/>
  <c r="Y88" i="1"/>
  <c r="BP88" i="1" s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N71" i="1" s="1"/>
  <c r="P71" i="1"/>
  <c r="BO70" i="1"/>
  <c r="BM70" i="1"/>
  <c r="Y70" i="1"/>
  <c r="BP70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N64" i="1" s="1"/>
  <c r="P64" i="1"/>
  <c r="BP63" i="1"/>
  <c r="BO63" i="1"/>
  <c r="BN63" i="1"/>
  <c r="BM63" i="1"/>
  <c r="Y63" i="1"/>
  <c r="Z63" i="1" s="1"/>
  <c r="P63" i="1"/>
  <c r="BO62" i="1"/>
  <c r="BM62" i="1"/>
  <c r="Y62" i="1"/>
  <c r="BP62" i="1" s="1"/>
  <c r="P62" i="1"/>
  <c r="BO61" i="1"/>
  <c r="BN61" i="1"/>
  <c r="BM61" i="1"/>
  <c r="Z61" i="1"/>
  <c r="Y61" i="1"/>
  <c r="BP61" i="1" s="1"/>
  <c r="P61" i="1"/>
  <c r="BO60" i="1"/>
  <c r="BM60" i="1"/>
  <c r="Y60" i="1"/>
  <c r="BN60" i="1" s="1"/>
  <c r="P60" i="1"/>
  <c r="BP59" i="1"/>
  <c r="BO59" i="1"/>
  <c r="BM59" i="1"/>
  <c r="Z59" i="1"/>
  <c r="Y59" i="1"/>
  <c r="BN59" i="1" s="1"/>
  <c r="P59" i="1"/>
  <c r="X56" i="1"/>
  <c r="X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P52" i="1"/>
  <c r="BO52" i="1"/>
  <c r="BM52" i="1"/>
  <c r="Z52" i="1"/>
  <c r="Y52" i="1"/>
  <c r="BN52" i="1" s="1"/>
  <c r="P52" i="1"/>
  <c r="BO51" i="1"/>
  <c r="BM51" i="1"/>
  <c r="Y51" i="1"/>
  <c r="P51" i="1"/>
  <c r="X47" i="1"/>
  <c r="X46" i="1"/>
  <c r="BO45" i="1"/>
  <c r="BM45" i="1"/>
  <c r="Y45" i="1"/>
  <c r="BN45" i="1" s="1"/>
  <c r="P45" i="1"/>
  <c r="BP44" i="1"/>
  <c r="BO44" i="1"/>
  <c r="BM44" i="1"/>
  <c r="Z44" i="1"/>
  <c r="Y44" i="1"/>
  <c r="BN44" i="1" s="1"/>
  <c r="P44" i="1"/>
  <c r="BO43" i="1"/>
  <c r="BM43" i="1"/>
  <c r="Y43" i="1"/>
  <c r="BP43" i="1" s="1"/>
  <c r="P43" i="1"/>
  <c r="BP42" i="1"/>
  <c r="BO42" i="1"/>
  <c r="BM42" i="1"/>
  <c r="Y42" i="1"/>
  <c r="Z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N31" i="1" s="1"/>
  <c r="P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Z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N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N42" i="1" l="1"/>
  <c r="BP71" i="1"/>
  <c r="BP77" i="1"/>
  <c r="Z134" i="1"/>
  <c r="BN157" i="1"/>
  <c r="BN254" i="1"/>
  <c r="Y261" i="1"/>
  <c r="BP283" i="1"/>
  <c r="BN287" i="1"/>
  <c r="Z291" i="1"/>
  <c r="Z301" i="1"/>
  <c r="S560" i="1"/>
  <c r="Z373" i="1"/>
  <c r="Z396" i="1"/>
  <c r="BP408" i="1"/>
  <c r="Z416" i="1"/>
  <c r="Y457" i="1"/>
  <c r="Z487" i="1"/>
  <c r="Z495" i="1"/>
  <c r="BN180" i="1"/>
  <c r="BN235" i="1"/>
  <c r="BN134" i="1"/>
  <c r="BN291" i="1"/>
  <c r="BN396" i="1"/>
  <c r="Y458" i="1"/>
  <c r="BN487" i="1"/>
  <c r="Z98" i="1"/>
  <c r="Z105" i="1"/>
  <c r="Z225" i="1"/>
  <c r="Z249" i="1"/>
  <c r="BP301" i="1"/>
  <c r="Q560" i="1"/>
  <c r="BP373" i="1"/>
  <c r="Z384" i="1"/>
  <c r="Z429" i="1"/>
  <c r="BP495" i="1"/>
  <c r="Z541" i="1"/>
  <c r="BN284" i="1"/>
  <c r="BN367" i="1"/>
  <c r="BP396" i="1"/>
  <c r="Z452" i="1"/>
  <c r="BP487" i="1"/>
  <c r="BN98" i="1"/>
  <c r="BN105" i="1"/>
  <c r="Z229" i="1"/>
  <c r="BN264" i="1"/>
  <c r="Z271" i="1"/>
  <c r="Z321" i="1"/>
  <c r="BP377" i="1"/>
  <c r="BN384" i="1"/>
  <c r="BN429" i="1"/>
  <c r="Z460" i="1"/>
  <c r="Y479" i="1"/>
  <c r="BP499" i="1"/>
  <c r="BP515" i="1"/>
  <c r="BP225" i="1"/>
  <c r="BP249" i="1"/>
  <c r="BN288" i="1"/>
  <c r="BN452" i="1"/>
  <c r="BP541" i="1"/>
  <c r="Z73" i="1"/>
  <c r="Z178" i="1"/>
  <c r="BP208" i="1"/>
  <c r="Z233" i="1"/>
  <c r="BN271" i="1"/>
  <c r="Z275" i="1"/>
  <c r="BP305" i="1"/>
  <c r="BP335" i="1"/>
  <c r="Z357" i="1"/>
  <c r="BN460" i="1"/>
  <c r="Z473" i="1"/>
  <c r="BN28" i="1"/>
  <c r="Z22" i="1"/>
  <c r="Y80" i="1"/>
  <c r="BN191" i="1"/>
  <c r="Z198" i="1"/>
  <c r="BP229" i="1"/>
  <c r="Y297" i="1"/>
  <c r="BP321" i="1"/>
  <c r="Y399" i="1"/>
  <c r="U560" i="1"/>
  <c r="Y437" i="1"/>
  <c r="Z500" i="1"/>
  <c r="Z516" i="1"/>
  <c r="BN22" i="1"/>
  <c r="BN73" i="1"/>
  <c r="Y85" i="1"/>
  <c r="BP212" i="1"/>
  <c r="BN275" i="1"/>
  <c r="BN357" i="1"/>
  <c r="Y386" i="1"/>
  <c r="Y510" i="1"/>
  <c r="Z510" i="1"/>
  <c r="Y109" i="1"/>
  <c r="Y174" i="1"/>
  <c r="Z186" i="1"/>
  <c r="BP198" i="1"/>
  <c r="Z365" i="1"/>
  <c r="Y392" i="1"/>
  <c r="Z407" i="1"/>
  <c r="BN483" i="1"/>
  <c r="Z525" i="1"/>
  <c r="Z526" i="1" s="1"/>
  <c r="Y144" i="1"/>
  <c r="Y331" i="1"/>
  <c r="BN336" i="1"/>
  <c r="C560" i="1"/>
  <c r="Z83" i="1"/>
  <c r="Z107" i="1"/>
  <c r="BP186" i="1"/>
  <c r="Y278" i="1"/>
  <c r="Z290" i="1"/>
  <c r="BP365" i="1"/>
  <c r="Z415" i="1"/>
  <c r="Z456" i="1"/>
  <c r="Z457" i="1" s="1"/>
  <c r="Z477" i="1"/>
  <c r="Z479" i="1" s="1"/>
  <c r="BP525" i="1"/>
  <c r="X554" i="1"/>
  <c r="Z71" i="1"/>
  <c r="Z77" i="1"/>
  <c r="BN83" i="1"/>
  <c r="BN107" i="1"/>
  <c r="Z202" i="1"/>
  <c r="Z203" i="1" s="1"/>
  <c r="Z283" i="1"/>
  <c r="BP326" i="1"/>
  <c r="BP351" i="1"/>
  <c r="Z408" i="1"/>
  <c r="BN456" i="1"/>
  <c r="Z508" i="1"/>
  <c r="BN227" i="1"/>
  <c r="BN260" i="1"/>
  <c r="BP290" i="1"/>
  <c r="Z366" i="1"/>
  <c r="BP415" i="1"/>
  <c r="BN462" i="1"/>
  <c r="BN77" i="1"/>
  <c r="BN210" i="1"/>
  <c r="BP241" i="1"/>
  <c r="Z304" i="1"/>
  <c r="BP330" i="1"/>
  <c r="Y359" i="1"/>
  <c r="Z383" i="1"/>
  <c r="J9" i="1"/>
  <c r="D560" i="1"/>
  <c r="Y55" i="1"/>
  <c r="Y68" i="1"/>
  <c r="Y93" i="1"/>
  <c r="Y110" i="1"/>
  <c r="Y118" i="1"/>
  <c r="Y143" i="1"/>
  <c r="BP167" i="1"/>
  <c r="BN177" i="1"/>
  <c r="Y188" i="1"/>
  <c r="BP177" i="1"/>
  <c r="Z177" i="1"/>
  <c r="BN185" i="1"/>
  <c r="BP185" i="1"/>
  <c r="Z185" i="1"/>
  <c r="BN193" i="1"/>
  <c r="BP193" i="1"/>
  <c r="Z193" i="1"/>
  <c r="A10" i="1"/>
  <c r="B560" i="1"/>
  <c r="X552" i="1"/>
  <c r="Z23" i="1"/>
  <c r="BP23" i="1"/>
  <c r="X550" i="1"/>
  <c r="Z27" i="1"/>
  <c r="BP27" i="1"/>
  <c r="BN29" i="1"/>
  <c r="Z31" i="1"/>
  <c r="BP31" i="1"/>
  <c r="Z35" i="1"/>
  <c r="Z36" i="1" s="1"/>
  <c r="BP35" i="1"/>
  <c r="Z41" i="1"/>
  <c r="BP41" i="1"/>
  <c r="BN43" i="1"/>
  <c r="Z45" i="1"/>
  <c r="BP45" i="1"/>
  <c r="Z51" i="1"/>
  <c r="BP51" i="1"/>
  <c r="BN53" i="1"/>
  <c r="E560" i="1"/>
  <c r="Z60" i="1"/>
  <c r="Z67" i="1" s="1"/>
  <c r="BP60" i="1"/>
  <c r="BN62" i="1"/>
  <c r="Z64" i="1"/>
  <c r="BP64" i="1"/>
  <c r="BN66" i="1"/>
  <c r="Y67" i="1"/>
  <c r="BN70" i="1"/>
  <c r="Z72" i="1"/>
  <c r="BP72" i="1"/>
  <c r="Y75" i="1"/>
  <c r="BN78" i="1"/>
  <c r="BN82" i="1"/>
  <c r="F560" i="1"/>
  <c r="Z89" i="1"/>
  <c r="Z92" i="1" s="1"/>
  <c r="BP89" i="1"/>
  <c r="BN91" i="1"/>
  <c r="Y92" i="1"/>
  <c r="BN95" i="1"/>
  <c r="Z97" i="1"/>
  <c r="BP97" i="1"/>
  <c r="Y100" i="1"/>
  <c r="BN104" i="1"/>
  <c r="Z106" i="1"/>
  <c r="BP106" i="1"/>
  <c r="BN108" i="1"/>
  <c r="BN112" i="1"/>
  <c r="Z114" i="1"/>
  <c r="BP114" i="1"/>
  <c r="BN116" i="1"/>
  <c r="Y117" i="1"/>
  <c r="BN120" i="1"/>
  <c r="Z122" i="1"/>
  <c r="BP122" i="1"/>
  <c r="Y125" i="1"/>
  <c r="BN133" i="1"/>
  <c r="Z135" i="1"/>
  <c r="BP135" i="1"/>
  <c r="Z139" i="1"/>
  <c r="BP139" i="1"/>
  <c r="BN141" i="1"/>
  <c r="Y150" i="1"/>
  <c r="Z147" i="1"/>
  <c r="BP147" i="1"/>
  <c r="BN149" i="1"/>
  <c r="I560" i="1"/>
  <c r="Y159" i="1"/>
  <c r="BN154" i="1"/>
  <c r="BP154" i="1"/>
  <c r="BN161" i="1"/>
  <c r="Y162" i="1"/>
  <c r="J560" i="1"/>
  <c r="Z167" i="1"/>
  <c r="Z169" i="1" s="1"/>
  <c r="Y169" i="1"/>
  <c r="BN173" i="1"/>
  <c r="BP173" i="1"/>
  <c r="Z173" i="1"/>
  <c r="BN211" i="1"/>
  <c r="BP211" i="1"/>
  <c r="Z211" i="1"/>
  <c r="BN228" i="1"/>
  <c r="BP228" i="1"/>
  <c r="Z228" i="1"/>
  <c r="H9" i="1"/>
  <c r="F9" i="1"/>
  <c r="Y25" i="1"/>
  <c r="Y33" i="1"/>
  <c r="Y37" i="1"/>
  <c r="Y47" i="1"/>
  <c r="Y74" i="1"/>
  <c r="Y99" i="1"/>
  <c r="Y124" i="1"/>
  <c r="Y137" i="1"/>
  <c r="BP156" i="1"/>
  <c r="Z156" i="1"/>
  <c r="Z158" i="1" s="1"/>
  <c r="Y158" i="1"/>
  <c r="BN181" i="1"/>
  <c r="BP181" i="1"/>
  <c r="Z181" i="1"/>
  <c r="Y189" i="1"/>
  <c r="Y237" i="1"/>
  <c r="X551" i="1"/>
  <c r="X553" i="1" s="1"/>
  <c r="Y24" i="1"/>
  <c r="BN27" i="1"/>
  <c r="Z29" i="1"/>
  <c r="BN35" i="1"/>
  <c r="BN41" i="1"/>
  <c r="Z43" i="1"/>
  <c r="Y46" i="1"/>
  <c r="BN51" i="1"/>
  <c r="Z53" i="1"/>
  <c r="Y56" i="1"/>
  <c r="Z62" i="1"/>
  <c r="Z66" i="1"/>
  <c r="Z70" i="1"/>
  <c r="Z74" i="1" s="1"/>
  <c r="Z78" i="1"/>
  <c r="Z82" i="1"/>
  <c r="Z84" i="1" s="1"/>
  <c r="BP82" i="1"/>
  <c r="Z91" i="1"/>
  <c r="Z95" i="1"/>
  <c r="Z99" i="1" s="1"/>
  <c r="G560" i="1"/>
  <c r="Z104" i="1"/>
  <c r="Z109" i="1" s="1"/>
  <c r="Z108" i="1"/>
  <c r="Z112" i="1"/>
  <c r="Z116" i="1"/>
  <c r="Z120" i="1"/>
  <c r="Z124" i="1" s="1"/>
  <c r="H560" i="1"/>
  <c r="Z133" i="1"/>
  <c r="Y136" i="1"/>
  <c r="BN139" i="1"/>
  <c r="Z141" i="1"/>
  <c r="Z149" i="1"/>
  <c r="Y151" i="1"/>
  <c r="Z161" i="1"/>
  <c r="Z162" i="1" s="1"/>
  <c r="BP161" i="1"/>
  <c r="Y170" i="1"/>
  <c r="Y194" i="1"/>
  <c r="BN197" i="1"/>
  <c r="Y199" i="1"/>
  <c r="Y200" i="1"/>
  <c r="BP197" i="1"/>
  <c r="Z197" i="1"/>
  <c r="Z199" i="1" s="1"/>
  <c r="Y215" i="1"/>
  <c r="BN224" i="1"/>
  <c r="BP224" i="1"/>
  <c r="Z224" i="1"/>
  <c r="Y252" i="1"/>
  <c r="Y277" i="1"/>
  <c r="BP296" i="1"/>
  <c r="Y298" i="1"/>
  <c r="BN319" i="1"/>
  <c r="Y322" i="1"/>
  <c r="BP319" i="1"/>
  <c r="Z319" i="1"/>
  <c r="Z322" i="1" s="1"/>
  <c r="BN372" i="1"/>
  <c r="BP372" i="1"/>
  <c r="Z372" i="1"/>
  <c r="Y204" i="1"/>
  <c r="L560" i="1"/>
  <c r="Z232" i="1"/>
  <c r="BP232" i="1"/>
  <c r="Z236" i="1"/>
  <c r="BP236" i="1"/>
  <c r="Z240" i="1"/>
  <c r="BP240" i="1"/>
  <c r="Z244" i="1"/>
  <c r="BP244" i="1"/>
  <c r="Z248" i="1"/>
  <c r="Z251" i="1" s="1"/>
  <c r="BP248" i="1"/>
  <c r="Y251" i="1"/>
  <c r="Z265" i="1"/>
  <c r="BP265" i="1"/>
  <c r="Z269" i="1"/>
  <c r="BP269" i="1"/>
  <c r="Z273" i="1"/>
  <c r="BP273" i="1"/>
  <c r="Y293" i="1"/>
  <c r="Z281" i="1"/>
  <c r="BP281" i="1"/>
  <c r="Z285" i="1"/>
  <c r="BP285" i="1"/>
  <c r="Z289" i="1"/>
  <c r="BP289" i="1"/>
  <c r="Y292" i="1"/>
  <c r="Z296" i="1"/>
  <c r="Y316" i="1"/>
  <c r="BN315" i="1"/>
  <c r="Y317" i="1"/>
  <c r="BP315" i="1"/>
  <c r="Z315" i="1"/>
  <c r="Z316" i="1" s="1"/>
  <c r="Y323" i="1"/>
  <c r="R560" i="1"/>
  <c r="Y347" i="1"/>
  <c r="BN342" i="1"/>
  <c r="Y348" i="1"/>
  <c r="BP342" i="1"/>
  <c r="Z342" i="1"/>
  <c r="BN350" i="1"/>
  <c r="Y352" i="1"/>
  <c r="Y353" i="1"/>
  <c r="BP350" i="1"/>
  <c r="Z350" i="1"/>
  <c r="Z352" i="1" s="1"/>
  <c r="Z172" i="1"/>
  <c r="BP172" i="1"/>
  <c r="Y175" i="1"/>
  <c r="Z180" i="1"/>
  <c r="Z184" i="1"/>
  <c r="Z192" i="1"/>
  <c r="BP192" i="1"/>
  <c r="BN202" i="1"/>
  <c r="Z210" i="1"/>
  <c r="Z214" i="1"/>
  <c r="Z219" i="1"/>
  <c r="Z220" i="1" s="1"/>
  <c r="BP219" i="1"/>
  <c r="Z223" i="1"/>
  <c r="BP223" i="1"/>
  <c r="Z227" i="1"/>
  <c r="Z231" i="1"/>
  <c r="Z235" i="1"/>
  <c r="Y238" i="1"/>
  <c r="Z243" i="1"/>
  <c r="Y246" i="1"/>
  <c r="M560" i="1"/>
  <c r="Z260" i="1"/>
  <c r="Z261" i="1" s="1"/>
  <c r="BP260" i="1"/>
  <c r="Z264" i="1"/>
  <c r="Z266" i="1" s="1"/>
  <c r="BP264" i="1"/>
  <c r="Y267" i="1"/>
  <c r="Z272" i="1"/>
  <c r="Z276" i="1"/>
  <c r="Z280" i="1"/>
  <c r="BP280" i="1"/>
  <c r="Z284" i="1"/>
  <c r="Z288" i="1"/>
  <c r="Z295" i="1"/>
  <c r="Z297" i="1" s="1"/>
  <c r="BP295" i="1"/>
  <c r="Y312" i="1"/>
  <c r="BN311" i="1"/>
  <c r="Y313" i="1"/>
  <c r="BP311" i="1"/>
  <c r="Z311" i="1"/>
  <c r="Z312" i="1" s="1"/>
  <c r="Y338" i="1"/>
  <c r="BN337" i="1"/>
  <c r="BP337" i="1"/>
  <c r="Z337" i="1"/>
  <c r="Z338" i="1" s="1"/>
  <c r="BN346" i="1"/>
  <c r="BP346" i="1"/>
  <c r="Z346" i="1"/>
  <c r="K560" i="1"/>
  <c r="Y216" i="1"/>
  <c r="Y221" i="1"/>
  <c r="BN240" i="1"/>
  <c r="BN269" i="1"/>
  <c r="BP303" i="1"/>
  <c r="Z303" i="1"/>
  <c r="BN307" i="1"/>
  <c r="BP307" i="1"/>
  <c r="Z307" i="1"/>
  <c r="BN328" i="1"/>
  <c r="BP328" i="1"/>
  <c r="Z328" i="1"/>
  <c r="Z331" i="1" s="1"/>
  <c r="Y369" i="1"/>
  <c r="BN364" i="1"/>
  <c r="BP364" i="1"/>
  <c r="Z364" i="1"/>
  <c r="Y378" i="1"/>
  <c r="Y385" i="1"/>
  <c r="BP409" i="1"/>
  <c r="Z409" i="1"/>
  <c r="Y411" i="1"/>
  <c r="Y431" i="1"/>
  <c r="BN422" i="1"/>
  <c r="BP422" i="1"/>
  <c r="BP446" i="1"/>
  <c r="Y448" i="1"/>
  <c r="BP469" i="1"/>
  <c r="AB560" i="1"/>
  <c r="Y548" i="1"/>
  <c r="BN547" i="1"/>
  <c r="BP547" i="1"/>
  <c r="Y549" i="1"/>
  <c r="BN326" i="1"/>
  <c r="BN335" i="1"/>
  <c r="T560" i="1"/>
  <c r="Z376" i="1"/>
  <c r="BP376" i="1"/>
  <c r="Y379" i="1"/>
  <c r="BN381" i="1"/>
  <c r="Z382" i="1"/>
  <c r="BP382" i="1"/>
  <c r="Z390" i="1"/>
  <c r="BP390" i="1"/>
  <c r="Y404" i="1"/>
  <c r="BP401" i="1"/>
  <c r="Z401" i="1"/>
  <c r="BP403" i="1"/>
  <c r="Y405" i="1"/>
  <c r="Y410" i="1"/>
  <c r="Z422" i="1"/>
  <c r="BP424" i="1"/>
  <c r="Z424" i="1"/>
  <c r="BP426" i="1"/>
  <c r="BP434" i="1"/>
  <c r="BP440" i="1"/>
  <c r="Z440" i="1"/>
  <c r="Y442" i="1"/>
  <c r="Y447" i="1"/>
  <c r="Z446" i="1"/>
  <c r="BP461" i="1"/>
  <c r="Z461" i="1"/>
  <c r="Z463" i="1" s="1"/>
  <c r="Y463" i="1"/>
  <c r="X560" i="1"/>
  <c r="Y474" i="1"/>
  <c r="Z469" i="1"/>
  <c r="BP471" i="1"/>
  <c r="Z471" i="1"/>
  <c r="BN472" i="1"/>
  <c r="BP473" i="1"/>
  <c r="Y475" i="1"/>
  <c r="BP496" i="1"/>
  <c r="Z503" i="1"/>
  <c r="BP503" i="1"/>
  <c r="Y511" i="1"/>
  <c r="Z519" i="1"/>
  <c r="BP519" i="1"/>
  <c r="Z537" i="1"/>
  <c r="Z538" i="1" s="1"/>
  <c r="BP537" i="1"/>
  <c r="Z547" i="1"/>
  <c r="Z548" i="1" s="1"/>
  <c r="V560" i="1"/>
  <c r="O560" i="1"/>
  <c r="Y309" i="1"/>
  <c r="P560" i="1"/>
  <c r="Y339" i="1"/>
  <c r="Z345" i="1"/>
  <c r="BN356" i="1"/>
  <c r="Z358" i="1"/>
  <c r="Z359" i="1" s="1"/>
  <c r="Z363" i="1"/>
  <c r="Z368" i="1" s="1"/>
  <c r="BP363" i="1"/>
  <c r="Z367" i="1"/>
  <c r="Z371" i="1"/>
  <c r="BP371" i="1"/>
  <c r="Z375" i="1"/>
  <c r="BN394" i="1"/>
  <c r="BP395" i="1"/>
  <c r="Z403" i="1"/>
  <c r="BN409" i="1"/>
  <c r="Y417" i="1"/>
  <c r="BP414" i="1"/>
  <c r="Z414" i="1"/>
  <c r="Z417" i="1" s="1"/>
  <c r="BP416" i="1"/>
  <c r="Y418" i="1"/>
  <c r="Z426" i="1"/>
  <c r="BP428" i="1"/>
  <c r="Z428" i="1"/>
  <c r="Y430" i="1"/>
  <c r="Z434" i="1"/>
  <c r="Y436" i="1"/>
  <c r="Y443" i="1"/>
  <c r="Z445" i="1"/>
  <c r="BP445" i="1"/>
  <c r="BN451" i="1"/>
  <c r="W560" i="1"/>
  <c r="BP451" i="1"/>
  <c r="Y464" i="1"/>
  <c r="Z468" i="1"/>
  <c r="BP468" i="1"/>
  <c r="Y480" i="1"/>
  <c r="BP488" i="1"/>
  <c r="Z488" i="1"/>
  <c r="Z490" i="1" s="1"/>
  <c r="Y490" i="1"/>
  <c r="Y505" i="1"/>
  <c r="Z496" i="1"/>
  <c r="BP498" i="1"/>
  <c r="Z498" i="1"/>
  <c r="BP500" i="1"/>
  <c r="BN507" i="1"/>
  <c r="BP508" i="1"/>
  <c r="BP514" i="1"/>
  <c r="Z514" i="1"/>
  <c r="BP516" i="1"/>
  <c r="BN525" i="1"/>
  <c r="Z533" i="1"/>
  <c r="Z534" i="1" s="1"/>
  <c r="BP533" i="1"/>
  <c r="BN541" i="1"/>
  <c r="BP542" i="1"/>
  <c r="Y544" i="1"/>
  <c r="Y560" i="1"/>
  <c r="Y308" i="1"/>
  <c r="Y360" i="1"/>
  <c r="BP381" i="1"/>
  <c r="Z381" i="1"/>
  <c r="Z385" i="1" s="1"/>
  <c r="BP383" i="1"/>
  <c r="BP389" i="1"/>
  <c r="Z389" i="1"/>
  <c r="Z391" i="1" s="1"/>
  <c r="Y391" i="1"/>
  <c r="BP397" i="1"/>
  <c r="Z397" i="1"/>
  <c r="Z398" i="1" s="1"/>
  <c r="BN401" i="1"/>
  <c r="BP407" i="1"/>
  <c r="BN424" i="1"/>
  <c r="Z425" i="1"/>
  <c r="Z433" i="1"/>
  <c r="Z436" i="1" s="1"/>
  <c r="BN440" i="1"/>
  <c r="Z441" i="1"/>
  <c r="Z451" i="1"/>
  <c r="Z453" i="1" s="1"/>
  <c r="Y453" i="1"/>
  <c r="BN461" i="1"/>
  <c r="Z462" i="1"/>
  <c r="BN471" i="1"/>
  <c r="Z472" i="1"/>
  <c r="BP477" i="1"/>
  <c r="BP502" i="1"/>
  <c r="Z502" i="1"/>
  <c r="Y504" i="1"/>
  <c r="Y521" i="1"/>
  <c r="BP518" i="1"/>
  <c r="Z518" i="1"/>
  <c r="Y520" i="1"/>
  <c r="Y527" i="1"/>
  <c r="AA560" i="1"/>
  <c r="BN537" i="1"/>
  <c r="Y538" i="1"/>
  <c r="Z542" i="1"/>
  <c r="Z543" i="1" s="1"/>
  <c r="Z560" i="1"/>
  <c r="Z79" i="1" l="1"/>
  <c r="Z308" i="1"/>
  <c r="Z215" i="1"/>
  <c r="Z410" i="1"/>
  <c r="Y552" i="1"/>
  <c r="Z194" i="1"/>
  <c r="Z136" i="1"/>
  <c r="Y551" i="1"/>
  <c r="Y553" i="1" s="1"/>
  <c r="Z174" i="1"/>
  <c r="Z150" i="1"/>
  <c r="Z24" i="1"/>
  <c r="Z378" i="1"/>
  <c r="Z520" i="1"/>
  <c r="Z447" i="1"/>
  <c r="Z474" i="1"/>
  <c r="Z442" i="1"/>
  <c r="Z55" i="1"/>
  <c r="Z32" i="1"/>
  <c r="Z555" i="1" s="1"/>
  <c r="Z504" i="1"/>
  <c r="Z347" i="1"/>
  <c r="Z277" i="1"/>
  <c r="Z117" i="1"/>
  <c r="Y550" i="1"/>
  <c r="Z46" i="1"/>
  <c r="Z430" i="1"/>
  <c r="Z404" i="1"/>
  <c r="Z292" i="1"/>
  <c r="Z237" i="1"/>
  <c r="Z245" i="1"/>
  <c r="Y554" i="1"/>
  <c r="Z143" i="1"/>
  <c r="Z188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<sst xmlns="http://schemas.openxmlformats.org/spreadsheetml/2006/main" count="2502" uniqueCount="908">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</sst>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0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7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73" sqref="AA273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904" t="s">
        <v>0</v>
      </c>
      <c r="E1" s="708"/>
      <c r="F1" s="708"/>
      <c r="G1" s="12" t="s">
        <v>1</v>
      </c>
      <c r="H1" s="904" t="s">
        <v>2</v>
      </c>
      <c r="I1" s="708"/>
      <c r="J1" s="708"/>
      <c r="K1" s="708"/>
      <c r="L1" s="708"/>
      <c r="M1" s="708"/>
      <c r="N1" s="708"/>
      <c r="O1" s="708"/>
      <c r="P1" s="708"/>
      <c r="Q1" s="708"/>
      <c r="R1" s="969" t="s">
        <v>3</v>
      </c>
      <c r="S1" s="708"/>
      <c r="T1" s="70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893" t="s">
        <v>8</v>
      </c>
      <c r="B5" s="734"/>
      <c r="C5" s="651"/>
      <c r="D5" s="742"/>
      <c r="E5" s="744"/>
      <c r="F5" s="702" t="s">
        <v>9</v>
      </c>
      <c r="G5" s="651"/>
      <c r="H5" s="742" t="s">
        <v>907</v>
      </c>
      <c r="I5" s="743"/>
      <c r="J5" s="743"/>
      <c r="K5" s="743"/>
      <c r="L5" s="743"/>
      <c r="M5" s="744"/>
      <c r="N5" s="58"/>
      <c r="P5" s="24" t="s">
        <v>10</v>
      </c>
      <c r="Q5" s="703">
        <v>46235</v>
      </c>
      <c r="R5" s="704"/>
      <c r="T5" s="830" t="s">
        <v>11</v>
      </c>
      <c r="U5" s="831"/>
      <c r="V5" s="832" t="s">
        <v>12</v>
      </c>
      <c r="W5" s="704"/>
      <c r="AB5" s="51"/>
      <c r="AC5" s="51"/>
      <c r="AD5" s="51"/>
      <c r="AE5" s="51"/>
    </row>
    <row r="6" spans="1:32" s="621" customFormat="1" ht="24" customHeight="1" x14ac:dyDescent="0.2">
      <c r="A6" s="893" t="s">
        <v>13</v>
      </c>
      <c r="B6" s="734"/>
      <c r="C6" s="651"/>
      <c r="D6" s="749" t="s">
        <v>868</v>
      </c>
      <c r="E6" s="750"/>
      <c r="F6" s="750"/>
      <c r="G6" s="750"/>
      <c r="H6" s="750"/>
      <c r="I6" s="750"/>
      <c r="J6" s="750"/>
      <c r="K6" s="750"/>
      <c r="L6" s="750"/>
      <c r="M6" s="704"/>
      <c r="N6" s="59"/>
      <c r="P6" s="24" t="s">
        <v>14</v>
      </c>
      <c r="Q6" s="705" t="str">
        <f>IF(Q5=0," ",CHOOSE(WEEKDAY(Q5,2),"Понедельник","Вторник","Среда","Четверг","Пятница","Суббота","Воскресенье"))</f>
        <v>Суббота</v>
      </c>
      <c r="R6" s="641"/>
      <c r="T6" s="840" t="s">
        <v>15</v>
      </c>
      <c r="U6" s="831"/>
      <c r="V6" s="763" t="s">
        <v>16</v>
      </c>
      <c r="W6" s="764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949" t="str">
        <f>IFERROR(VLOOKUP(DeliveryAddress,Table,3,0),1)</f>
        <v>1</v>
      </c>
      <c r="E7" s="950"/>
      <c r="F7" s="950"/>
      <c r="G7" s="950"/>
      <c r="H7" s="950"/>
      <c r="I7" s="950"/>
      <c r="J7" s="950"/>
      <c r="K7" s="950"/>
      <c r="L7" s="950"/>
      <c r="M7" s="836"/>
      <c r="N7" s="60"/>
      <c r="P7" s="24"/>
      <c r="Q7" s="42"/>
      <c r="R7" s="42"/>
      <c r="T7" s="646"/>
      <c r="U7" s="831"/>
      <c r="V7" s="765"/>
      <c r="W7" s="766"/>
      <c r="AB7" s="51"/>
      <c r="AC7" s="51"/>
      <c r="AD7" s="51"/>
      <c r="AE7" s="51"/>
    </row>
    <row r="8" spans="1:32" s="621" customFormat="1" ht="25.5" customHeight="1" x14ac:dyDescent="0.2">
      <c r="A8" s="654" t="s">
        <v>17</v>
      </c>
      <c r="B8" s="634"/>
      <c r="C8" s="635"/>
      <c r="D8" s="957"/>
      <c r="E8" s="958"/>
      <c r="F8" s="958"/>
      <c r="G8" s="958"/>
      <c r="H8" s="958"/>
      <c r="I8" s="958"/>
      <c r="J8" s="958"/>
      <c r="K8" s="958"/>
      <c r="L8" s="958"/>
      <c r="M8" s="959"/>
      <c r="N8" s="61"/>
      <c r="P8" s="24" t="s">
        <v>18</v>
      </c>
      <c r="Q8" s="835">
        <v>0.54166666666666663</v>
      </c>
      <c r="R8" s="836"/>
      <c r="T8" s="646"/>
      <c r="U8" s="831"/>
      <c r="V8" s="765"/>
      <c r="W8" s="766"/>
      <c r="AB8" s="51"/>
      <c r="AC8" s="51"/>
      <c r="AD8" s="51"/>
      <c r="AE8" s="51"/>
    </row>
    <row r="9" spans="1:32" s="621" customFormat="1" ht="39.950000000000003" customHeight="1" x14ac:dyDescent="0.2">
      <c r="A9" s="6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14"/>
      <c r="E9" s="715"/>
      <c r="F9" s="6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807" t="str">
        <f>IF(AND($A$9="Тип доверенности/получателя при получении в адресе перегруза:",$D$9="Разовая доверенность"),"Введите ФИО","")</f>
        <v/>
      </c>
      <c r="I9" s="715"/>
      <c r="J9" s="8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5"/>
      <c r="L9" s="715"/>
      <c r="M9" s="715"/>
      <c r="N9" s="619"/>
      <c r="P9" s="26" t="s">
        <v>19</v>
      </c>
      <c r="Q9" s="901"/>
      <c r="R9" s="686"/>
      <c r="T9" s="646"/>
      <c r="U9" s="831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6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14"/>
      <c r="E10" s="715"/>
      <c r="F10" s="6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778" t="str">
        <f>IFERROR(VLOOKUP($D$10,Proxy,2,FALSE),"")</f>
        <v/>
      </c>
      <c r="I10" s="646"/>
      <c r="J10" s="646"/>
      <c r="K10" s="646"/>
      <c r="L10" s="646"/>
      <c r="M10" s="646"/>
      <c r="N10" s="620"/>
      <c r="P10" s="26" t="s">
        <v>20</v>
      </c>
      <c r="Q10" s="841"/>
      <c r="R10" s="842"/>
      <c r="U10" s="24" t="s">
        <v>21</v>
      </c>
      <c r="V10" s="975" t="s">
        <v>22</v>
      </c>
      <c r="W10" s="764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91"/>
      <c r="R11" s="704"/>
      <c r="U11" s="24" t="s">
        <v>25</v>
      </c>
      <c r="V11" s="685" t="s">
        <v>26</v>
      </c>
      <c r="W11" s="686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6" t="s">
        <v>27</v>
      </c>
      <c r="B12" s="734"/>
      <c r="C12" s="734"/>
      <c r="D12" s="734"/>
      <c r="E12" s="734"/>
      <c r="F12" s="734"/>
      <c r="G12" s="734"/>
      <c r="H12" s="734"/>
      <c r="I12" s="734"/>
      <c r="J12" s="734"/>
      <c r="K12" s="734"/>
      <c r="L12" s="734"/>
      <c r="M12" s="651"/>
      <c r="N12" s="62"/>
      <c r="P12" s="24" t="s">
        <v>28</v>
      </c>
      <c r="Q12" s="835"/>
      <c r="R12" s="836"/>
      <c r="S12" s="23"/>
      <c r="U12" s="24"/>
      <c r="V12" s="708"/>
      <c r="W12" s="646"/>
      <c r="AB12" s="51"/>
      <c r="AC12" s="51"/>
      <c r="AD12" s="51"/>
      <c r="AE12" s="51"/>
    </row>
    <row r="13" spans="1:32" s="621" customFormat="1" ht="23.25" customHeight="1" x14ac:dyDescent="0.2">
      <c r="A13" s="816" t="s">
        <v>29</v>
      </c>
      <c r="B13" s="734"/>
      <c r="C13" s="734"/>
      <c r="D13" s="734"/>
      <c r="E13" s="734"/>
      <c r="F13" s="734"/>
      <c r="G13" s="734"/>
      <c r="H13" s="734"/>
      <c r="I13" s="734"/>
      <c r="J13" s="734"/>
      <c r="K13" s="734"/>
      <c r="L13" s="734"/>
      <c r="M13" s="651"/>
      <c r="N13" s="62"/>
      <c r="O13" s="26"/>
      <c r="P13" s="26" t="s">
        <v>30</v>
      </c>
      <c r="Q13" s="685"/>
      <c r="R13" s="68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6" t="s">
        <v>31</v>
      </c>
      <c r="B14" s="734"/>
      <c r="C14" s="734"/>
      <c r="D14" s="734"/>
      <c r="E14" s="734"/>
      <c r="F14" s="734"/>
      <c r="G14" s="734"/>
      <c r="H14" s="734"/>
      <c r="I14" s="734"/>
      <c r="J14" s="734"/>
      <c r="K14" s="734"/>
      <c r="L14" s="734"/>
      <c r="M14" s="65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18" t="s">
        <v>32</v>
      </c>
      <c r="B15" s="734"/>
      <c r="C15" s="734"/>
      <c r="D15" s="734"/>
      <c r="E15" s="734"/>
      <c r="F15" s="734"/>
      <c r="G15" s="734"/>
      <c r="H15" s="734"/>
      <c r="I15" s="734"/>
      <c r="J15" s="734"/>
      <c r="K15" s="734"/>
      <c r="L15" s="734"/>
      <c r="M15" s="651"/>
      <c r="N15" s="63"/>
      <c r="P15" s="867" t="s">
        <v>33</v>
      </c>
      <c r="Q15" s="708"/>
      <c r="R15" s="708"/>
      <c r="S15" s="708"/>
      <c r="T15" s="70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8"/>
      <c r="Q16" s="868"/>
      <c r="R16" s="868"/>
      <c r="S16" s="868"/>
      <c r="T16" s="8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8" t="s">
        <v>34</v>
      </c>
      <c r="B17" s="658" t="s">
        <v>35</v>
      </c>
      <c r="C17" s="903" t="s">
        <v>36</v>
      </c>
      <c r="D17" s="658" t="s">
        <v>37</v>
      </c>
      <c r="E17" s="659"/>
      <c r="F17" s="658" t="s">
        <v>38</v>
      </c>
      <c r="G17" s="658" t="s">
        <v>39</v>
      </c>
      <c r="H17" s="658" t="s">
        <v>40</v>
      </c>
      <c r="I17" s="658" t="s">
        <v>41</v>
      </c>
      <c r="J17" s="658" t="s">
        <v>42</v>
      </c>
      <c r="K17" s="658" t="s">
        <v>43</v>
      </c>
      <c r="L17" s="658" t="s">
        <v>44</v>
      </c>
      <c r="M17" s="658" t="s">
        <v>45</v>
      </c>
      <c r="N17" s="658" t="s">
        <v>46</v>
      </c>
      <c r="O17" s="658" t="s">
        <v>47</v>
      </c>
      <c r="P17" s="658" t="s">
        <v>48</v>
      </c>
      <c r="Q17" s="909"/>
      <c r="R17" s="909"/>
      <c r="S17" s="909"/>
      <c r="T17" s="659"/>
      <c r="U17" s="650" t="s">
        <v>49</v>
      </c>
      <c r="V17" s="651"/>
      <c r="W17" s="658" t="s">
        <v>50</v>
      </c>
      <c r="X17" s="658" t="s">
        <v>51</v>
      </c>
      <c r="Y17" s="652" t="s">
        <v>52</v>
      </c>
      <c r="Z17" s="755" t="s">
        <v>53</v>
      </c>
      <c r="AA17" s="696" t="s">
        <v>54</v>
      </c>
      <c r="AB17" s="696" t="s">
        <v>55</v>
      </c>
      <c r="AC17" s="696" t="s">
        <v>56</v>
      </c>
      <c r="AD17" s="696" t="s">
        <v>57</v>
      </c>
      <c r="AE17" s="697"/>
      <c r="AF17" s="698"/>
      <c r="AG17" s="66"/>
      <c r="BD17" s="65" t="s">
        <v>58</v>
      </c>
    </row>
    <row r="18" spans="1:68" ht="14.25" customHeight="1" x14ac:dyDescent="0.2">
      <c r="A18" s="695"/>
      <c r="B18" s="695"/>
      <c r="C18" s="695"/>
      <c r="D18" s="660"/>
      <c r="E18" s="66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660"/>
      <c r="Q18" s="910"/>
      <c r="R18" s="910"/>
      <c r="S18" s="910"/>
      <c r="T18" s="661"/>
      <c r="U18" s="67" t="s">
        <v>59</v>
      </c>
      <c r="V18" s="67" t="s">
        <v>60</v>
      </c>
      <c r="W18" s="695"/>
      <c r="X18" s="695"/>
      <c r="Y18" s="653"/>
      <c r="Z18" s="756"/>
      <c r="AA18" s="757"/>
      <c r="AB18" s="757"/>
      <c r="AC18" s="757"/>
      <c r="AD18" s="699"/>
      <c r="AE18" s="700"/>
      <c r="AF18" s="701"/>
      <c r="AG18" s="66"/>
      <c r="BD18" s="65"/>
    </row>
    <row r="19" spans="1:68" ht="27.75" hidden="1" customHeight="1" x14ac:dyDescent="0.2">
      <c r="A19" s="687" t="s">
        <v>61</v>
      </c>
      <c r="B19" s="688"/>
      <c r="C19" s="688"/>
      <c r="D19" s="688"/>
      <c r="E19" s="688"/>
      <c r="F19" s="688"/>
      <c r="G19" s="688"/>
      <c r="H19" s="688"/>
      <c r="I19" s="688"/>
      <c r="J19" s="688"/>
      <c r="K19" s="688"/>
      <c r="L19" s="688"/>
      <c r="M19" s="688"/>
      <c r="N19" s="688"/>
      <c r="O19" s="688"/>
      <c r="P19" s="688"/>
      <c r="Q19" s="688"/>
      <c r="R19" s="688"/>
      <c r="S19" s="688"/>
      <c r="T19" s="688"/>
      <c r="U19" s="688"/>
      <c r="V19" s="688"/>
      <c r="W19" s="688"/>
      <c r="X19" s="688"/>
      <c r="Y19" s="688"/>
      <c r="Z19" s="688"/>
      <c r="AA19" s="48"/>
      <c r="AB19" s="48"/>
      <c r="AC19" s="48"/>
    </row>
    <row r="20" spans="1:68" ht="16.5" hidden="1" customHeight="1" x14ac:dyDescent="0.25">
      <c r="A20" s="656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2"/>
      <c r="AB20" s="622"/>
      <c r="AC20" s="622"/>
    </row>
    <row r="21" spans="1:68" ht="14.25" hidden="1" customHeight="1" x14ac:dyDescent="0.25">
      <c r="A21" s="648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7"/>
      <c r="R22" s="637"/>
      <c r="S22" s="637"/>
      <c r="T22" s="638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7"/>
      <c r="R23" s="637"/>
      <c r="S23" s="637"/>
      <c r="T23" s="638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5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7"/>
      <c r="P24" s="633" t="s">
        <v>72</v>
      </c>
      <c r="Q24" s="634"/>
      <c r="R24" s="634"/>
      <c r="S24" s="634"/>
      <c r="T24" s="634"/>
      <c r="U24" s="634"/>
      <c r="V24" s="635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7"/>
      <c r="P25" s="633" t="s">
        <v>72</v>
      </c>
      <c r="Q25" s="634"/>
      <c r="R25" s="634"/>
      <c r="S25" s="634"/>
      <c r="T25" s="634"/>
      <c r="U25" s="634"/>
      <c r="V25" s="635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48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7"/>
      <c r="R27" s="637"/>
      <c r="S27" s="637"/>
      <c r="T27" s="638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6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7"/>
      <c r="R28" s="637"/>
      <c r="S28" s="637"/>
      <c r="T28" s="638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7"/>
      <c r="R29" s="637"/>
      <c r="S29" s="637"/>
      <c r="T29" s="638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7"/>
      <c r="R30" s="637"/>
      <c r="S30" s="637"/>
      <c r="T30" s="638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6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7"/>
      <c r="R31" s="637"/>
      <c r="S31" s="637"/>
      <c r="T31" s="638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5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7"/>
      <c r="P32" s="633" t="s">
        <v>72</v>
      </c>
      <c r="Q32" s="634"/>
      <c r="R32" s="634"/>
      <c r="S32" s="634"/>
      <c r="T32" s="634"/>
      <c r="U32" s="634"/>
      <c r="V32" s="635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7"/>
      <c r="P33" s="633" t="s">
        <v>72</v>
      </c>
      <c r="Q33" s="634"/>
      <c r="R33" s="634"/>
      <c r="S33" s="634"/>
      <c r="T33" s="634"/>
      <c r="U33" s="634"/>
      <c r="V33" s="635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48" t="s">
        <v>92</v>
      </c>
      <c r="B34" s="646"/>
      <c r="C34" s="646"/>
      <c r="D34" s="646"/>
      <c r="E34" s="646"/>
      <c r="F34" s="646"/>
      <c r="G34" s="646"/>
      <c r="H34" s="646"/>
      <c r="I34" s="646"/>
      <c r="J34" s="646"/>
      <c r="K34" s="646"/>
      <c r="L34" s="646"/>
      <c r="M34" s="646"/>
      <c r="N34" s="646"/>
      <c r="O34" s="646"/>
      <c r="P34" s="646"/>
      <c r="Q34" s="646"/>
      <c r="R34" s="646"/>
      <c r="S34" s="646"/>
      <c r="T34" s="646"/>
      <c r="U34" s="646"/>
      <c r="V34" s="646"/>
      <c r="W34" s="646"/>
      <c r="X34" s="646"/>
      <c r="Y34" s="646"/>
      <c r="Z34" s="646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40">
        <v>4607091388503</v>
      </c>
      <c r="E35" s="641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7"/>
      <c r="R35" s="637"/>
      <c r="S35" s="637"/>
      <c r="T35" s="638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5"/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7"/>
      <c r="P36" s="633" t="s">
        <v>72</v>
      </c>
      <c r="Q36" s="634"/>
      <c r="R36" s="634"/>
      <c r="S36" s="634"/>
      <c r="T36" s="634"/>
      <c r="U36" s="634"/>
      <c r="V36" s="635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46"/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7"/>
      <c r="P37" s="633" t="s">
        <v>72</v>
      </c>
      <c r="Q37" s="634"/>
      <c r="R37" s="634"/>
      <c r="S37" s="634"/>
      <c r="T37" s="634"/>
      <c r="U37" s="634"/>
      <c r="V37" s="635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87" t="s">
        <v>98</v>
      </c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688"/>
      <c r="O38" s="688"/>
      <c r="P38" s="688"/>
      <c r="Q38" s="688"/>
      <c r="R38" s="688"/>
      <c r="S38" s="688"/>
      <c r="T38" s="688"/>
      <c r="U38" s="688"/>
      <c r="V38" s="688"/>
      <c r="W38" s="688"/>
      <c r="X38" s="688"/>
      <c r="Y38" s="688"/>
      <c r="Z38" s="688"/>
      <c r="AA38" s="48"/>
      <c r="AB38" s="48"/>
      <c r="AC38" s="48"/>
    </row>
    <row r="39" spans="1:68" ht="16.5" hidden="1" customHeight="1" x14ac:dyDescent="0.25">
      <c r="A39" s="656" t="s">
        <v>99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22"/>
      <c r="AB39" s="622"/>
      <c r="AC39" s="622"/>
    </row>
    <row r="40" spans="1:68" ht="14.25" hidden="1" customHeight="1" x14ac:dyDescent="0.25">
      <c r="A40" s="648" t="s">
        <v>74</v>
      </c>
      <c r="B40" s="646"/>
      <c r="C40" s="646"/>
      <c r="D40" s="646"/>
      <c r="E40" s="646"/>
      <c r="F40" s="646"/>
      <c r="G40" s="646"/>
      <c r="H40" s="646"/>
      <c r="I40" s="646"/>
      <c r="J40" s="646"/>
      <c r="K40" s="646"/>
      <c r="L40" s="646"/>
      <c r="M40" s="646"/>
      <c r="N40" s="646"/>
      <c r="O40" s="646"/>
      <c r="P40" s="646"/>
      <c r="Q40" s="646"/>
      <c r="R40" s="646"/>
      <c r="S40" s="646"/>
      <c r="T40" s="646"/>
      <c r="U40" s="646"/>
      <c r="V40" s="646"/>
      <c r="W40" s="646"/>
      <c r="X40" s="646"/>
      <c r="Y40" s="646"/>
      <c r="Z40" s="646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40">
        <v>4680115889354</v>
      </c>
      <c r="E41" s="641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7"/>
      <c r="R41" s="637"/>
      <c r="S41" s="637"/>
      <c r="T41" s="638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40">
        <v>4680115888463</v>
      </c>
      <c r="E42" s="641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93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7"/>
      <c r="R42" s="637"/>
      <c r="S42" s="637"/>
      <c r="T42" s="638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40">
        <v>4680115888494</v>
      </c>
      <c r="E43" s="641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5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7"/>
      <c r="R43" s="637"/>
      <c r="S43" s="637"/>
      <c r="T43" s="638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40">
        <v>4680115888272</v>
      </c>
      <c r="E44" s="641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96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7"/>
      <c r="R44" s="637"/>
      <c r="S44" s="637"/>
      <c r="T44" s="638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40">
        <v>4680115888364</v>
      </c>
      <c r="E45" s="641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7"/>
      <c r="R45" s="637"/>
      <c r="S45" s="637"/>
      <c r="T45" s="638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5"/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7"/>
      <c r="P46" s="633" t="s">
        <v>72</v>
      </c>
      <c r="Q46" s="634"/>
      <c r="R46" s="634"/>
      <c r="S46" s="634"/>
      <c r="T46" s="634"/>
      <c r="U46" s="634"/>
      <c r="V46" s="635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46"/>
      <c r="B47" s="646"/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7"/>
      <c r="P47" s="633" t="s">
        <v>72</v>
      </c>
      <c r="Q47" s="634"/>
      <c r="R47" s="634"/>
      <c r="S47" s="634"/>
      <c r="T47" s="634"/>
      <c r="U47" s="634"/>
      <c r="V47" s="635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87" t="s">
        <v>115</v>
      </c>
      <c r="B48" s="688"/>
      <c r="C48" s="688"/>
      <c r="D48" s="688"/>
      <c r="E48" s="688"/>
      <c r="F48" s="688"/>
      <c r="G48" s="688"/>
      <c r="H48" s="688"/>
      <c r="I48" s="688"/>
      <c r="J48" s="688"/>
      <c r="K48" s="688"/>
      <c r="L48" s="688"/>
      <c r="M48" s="688"/>
      <c r="N48" s="688"/>
      <c r="O48" s="688"/>
      <c r="P48" s="688"/>
      <c r="Q48" s="688"/>
      <c r="R48" s="688"/>
      <c r="S48" s="688"/>
      <c r="T48" s="688"/>
      <c r="U48" s="688"/>
      <c r="V48" s="688"/>
      <c r="W48" s="688"/>
      <c r="X48" s="688"/>
      <c r="Y48" s="688"/>
      <c r="Z48" s="688"/>
      <c r="AA48" s="48"/>
      <c r="AB48" s="48"/>
      <c r="AC48" s="48"/>
    </row>
    <row r="49" spans="1:68" ht="16.5" hidden="1" customHeight="1" x14ac:dyDescent="0.25">
      <c r="A49" s="656" t="s">
        <v>116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22"/>
      <c r="AB49" s="622"/>
      <c r="AC49" s="622"/>
    </row>
    <row r="50" spans="1:68" ht="14.25" hidden="1" customHeight="1" x14ac:dyDescent="0.25">
      <c r="A50" s="648" t="s">
        <v>117</v>
      </c>
      <c r="B50" s="646"/>
      <c r="C50" s="646"/>
      <c r="D50" s="646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  <c r="Z50" s="646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40">
        <v>4607091385670</v>
      </c>
      <c r="E51" s="641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7"/>
      <c r="R51" s="637"/>
      <c r="S51" s="637"/>
      <c r="T51" s="638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40">
        <v>4680115887725</v>
      </c>
      <c r="E52" s="641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9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7"/>
      <c r="R52" s="637"/>
      <c r="S52" s="637"/>
      <c r="T52" s="638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40">
        <v>4607091385687</v>
      </c>
      <c r="E53" s="641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7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7"/>
      <c r="R53" s="637"/>
      <c r="S53" s="637"/>
      <c r="T53" s="638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40">
        <v>4680115882539</v>
      </c>
      <c r="E54" s="641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7"/>
      <c r="R54" s="637"/>
      <c r="S54" s="637"/>
      <c r="T54" s="638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45"/>
      <c r="B55" s="646"/>
      <c r="C55" s="646"/>
      <c r="D55" s="646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7"/>
      <c r="P55" s="633" t="s">
        <v>72</v>
      </c>
      <c r="Q55" s="634"/>
      <c r="R55" s="634"/>
      <c r="S55" s="634"/>
      <c r="T55" s="634"/>
      <c r="U55" s="634"/>
      <c r="V55" s="635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46"/>
      <c r="B56" s="646"/>
      <c r="C56" s="646"/>
      <c r="D56" s="646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7"/>
      <c r="P56" s="633" t="s">
        <v>72</v>
      </c>
      <c r="Q56" s="634"/>
      <c r="R56" s="634"/>
      <c r="S56" s="634"/>
      <c r="T56" s="634"/>
      <c r="U56" s="634"/>
      <c r="V56" s="635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6" t="s">
        <v>132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22"/>
      <c r="AB57" s="622"/>
      <c r="AC57" s="622"/>
    </row>
    <row r="58" spans="1:68" ht="14.25" hidden="1" customHeight="1" x14ac:dyDescent="0.25">
      <c r="A58" s="648" t="s">
        <v>117</v>
      </c>
      <c r="B58" s="646"/>
      <c r="C58" s="646"/>
      <c r="D58" s="646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6"/>
      <c r="P58" s="646"/>
      <c r="Q58" s="646"/>
      <c r="R58" s="646"/>
      <c r="S58" s="646"/>
      <c r="T58" s="646"/>
      <c r="U58" s="646"/>
      <c r="V58" s="646"/>
      <c r="W58" s="646"/>
      <c r="X58" s="646"/>
      <c r="Y58" s="646"/>
      <c r="Z58" s="646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40">
        <v>4680115885882</v>
      </c>
      <c r="E59" s="641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7"/>
      <c r="R59" s="637"/>
      <c r="S59" s="637"/>
      <c r="T59" s="638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40">
        <v>4680115885882</v>
      </c>
      <c r="E60" s="641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6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7"/>
      <c r="R60" s="637"/>
      <c r="S60" s="637"/>
      <c r="T60" s="638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40">
        <v>4680115881426</v>
      </c>
      <c r="E61" s="641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7"/>
      <c r="R61" s="637"/>
      <c r="S61" s="637"/>
      <c r="T61" s="638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40">
        <v>4680115880283</v>
      </c>
      <c r="E62" s="641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7"/>
      <c r="R62" s="637"/>
      <c r="S62" s="637"/>
      <c r="T62" s="638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40">
        <v>4680115880283</v>
      </c>
      <c r="E63" s="641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91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7"/>
      <c r="R63" s="637"/>
      <c r="S63" s="637"/>
      <c r="T63" s="638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40">
        <v>4680115881525</v>
      </c>
      <c r="E64" s="641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7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7"/>
      <c r="R64" s="637"/>
      <c r="S64" s="637"/>
      <c r="T64" s="638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40">
        <v>4680115885899</v>
      </c>
      <c r="E65" s="641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6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7"/>
      <c r="R65" s="637"/>
      <c r="S65" s="637"/>
      <c r="T65" s="638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40">
        <v>4680115881419</v>
      </c>
      <c r="E66" s="641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7"/>
      <c r="R66" s="637"/>
      <c r="S66" s="637"/>
      <c r="T66" s="638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45"/>
      <c r="B67" s="646"/>
      <c r="C67" s="646"/>
      <c r="D67" s="646"/>
      <c r="E67" s="646"/>
      <c r="F67" s="646"/>
      <c r="G67" s="646"/>
      <c r="H67" s="646"/>
      <c r="I67" s="646"/>
      <c r="J67" s="646"/>
      <c r="K67" s="646"/>
      <c r="L67" s="646"/>
      <c r="M67" s="646"/>
      <c r="N67" s="646"/>
      <c r="O67" s="647"/>
      <c r="P67" s="633" t="s">
        <v>72</v>
      </c>
      <c r="Q67" s="634"/>
      <c r="R67" s="634"/>
      <c r="S67" s="634"/>
      <c r="T67" s="634"/>
      <c r="U67" s="634"/>
      <c r="V67" s="635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46"/>
      <c r="B68" s="646"/>
      <c r="C68" s="646"/>
      <c r="D68" s="646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7"/>
      <c r="P68" s="633" t="s">
        <v>72</v>
      </c>
      <c r="Q68" s="634"/>
      <c r="R68" s="634"/>
      <c r="S68" s="634"/>
      <c r="T68" s="634"/>
      <c r="U68" s="634"/>
      <c r="V68" s="635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48" t="s">
        <v>153</v>
      </c>
      <c r="B69" s="646"/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646"/>
      <c r="Q69" s="646"/>
      <c r="R69" s="646"/>
      <c r="S69" s="646"/>
      <c r="T69" s="646"/>
      <c r="U69" s="646"/>
      <c r="V69" s="646"/>
      <c r="W69" s="646"/>
      <c r="X69" s="646"/>
      <c r="Y69" s="646"/>
      <c r="Z69" s="646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40">
        <v>4680115881440</v>
      </c>
      <c r="E70" s="641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6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7"/>
      <c r="R70" s="637"/>
      <c r="S70" s="637"/>
      <c r="T70" s="638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40">
        <v>4680115885950</v>
      </c>
      <c r="E71" s="641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6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7"/>
      <c r="R71" s="637"/>
      <c r="S71" s="637"/>
      <c r="T71" s="638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40">
        <v>4680115887688</v>
      </c>
      <c r="E72" s="641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6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7"/>
      <c r="R72" s="637"/>
      <c r="S72" s="637"/>
      <c r="T72" s="638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40">
        <v>4680115881433</v>
      </c>
      <c r="E73" s="641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98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7"/>
      <c r="R73" s="637"/>
      <c r="S73" s="637"/>
      <c r="T73" s="638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5"/>
      <c r="B74" s="646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7"/>
      <c r="P74" s="633" t="s">
        <v>72</v>
      </c>
      <c r="Q74" s="634"/>
      <c r="R74" s="634"/>
      <c r="S74" s="634"/>
      <c r="T74" s="634"/>
      <c r="U74" s="634"/>
      <c r="V74" s="635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46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7"/>
      <c r="P75" s="633" t="s">
        <v>72</v>
      </c>
      <c r="Q75" s="634"/>
      <c r="R75" s="634"/>
      <c r="S75" s="634"/>
      <c r="T75" s="634"/>
      <c r="U75" s="634"/>
      <c r="V75" s="635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48" t="s">
        <v>74</v>
      </c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V76" s="646"/>
      <c r="W76" s="646"/>
      <c r="X76" s="646"/>
      <c r="Y76" s="646"/>
      <c r="Z76" s="646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40">
        <v>4680115884311</v>
      </c>
      <c r="E77" s="641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7"/>
      <c r="R77" s="637"/>
      <c r="S77" s="637"/>
      <c r="T77" s="638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40">
        <v>4680115884403</v>
      </c>
      <c r="E78" s="641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89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7"/>
      <c r="R78" s="637"/>
      <c r="S78" s="637"/>
      <c r="T78" s="638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5"/>
      <c r="B79" s="646"/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7"/>
      <c r="P79" s="633" t="s">
        <v>72</v>
      </c>
      <c r="Q79" s="634"/>
      <c r="R79" s="634"/>
      <c r="S79" s="634"/>
      <c r="T79" s="634"/>
      <c r="U79" s="634"/>
      <c r="V79" s="635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46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7"/>
      <c r="P80" s="633" t="s">
        <v>72</v>
      </c>
      <c r="Q80" s="634"/>
      <c r="R80" s="634"/>
      <c r="S80" s="634"/>
      <c r="T80" s="634"/>
      <c r="U80" s="634"/>
      <c r="V80" s="635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48" t="s">
        <v>170</v>
      </c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646"/>
      <c r="Q81" s="646"/>
      <c r="R81" s="646"/>
      <c r="S81" s="646"/>
      <c r="T81" s="646"/>
      <c r="U81" s="646"/>
      <c r="V81" s="646"/>
      <c r="W81" s="646"/>
      <c r="X81" s="646"/>
      <c r="Y81" s="646"/>
      <c r="Z81" s="646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40">
        <v>4680115881532</v>
      </c>
      <c r="E82" s="641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68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7"/>
      <c r="R82" s="637"/>
      <c r="S82" s="637"/>
      <c r="T82" s="638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40">
        <v>4680115881464</v>
      </c>
      <c r="E83" s="641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7"/>
      <c r="R83" s="637"/>
      <c r="S83" s="637"/>
      <c r="T83" s="638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45"/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7"/>
      <c r="P84" s="633" t="s">
        <v>72</v>
      </c>
      <c r="Q84" s="634"/>
      <c r="R84" s="634"/>
      <c r="S84" s="634"/>
      <c r="T84" s="634"/>
      <c r="U84" s="634"/>
      <c r="V84" s="635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46"/>
      <c r="B85" s="646"/>
      <c r="C85" s="646"/>
      <c r="D85" s="646"/>
      <c r="E85" s="646"/>
      <c r="F85" s="646"/>
      <c r="G85" s="646"/>
      <c r="H85" s="646"/>
      <c r="I85" s="646"/>
      <c r="J85" s="646"/>
      <c r="K85" s="646"/>
      <c r="L85" s="646"/>
      <c r="M85" s="646"/>
      <c r="N85" s="646"/>
      <c r="O85" s="647"/>
      <c r="P85" s="633" t="s">
        <v>72</v>
      </c>
      <c r="Q85" s="634"/>
      <c r="R85" s="634"/>
      <c r="S85" s="634"/>
      <c r="T85" s="634"/>
      <c r="U85" s="634"/>
      <c r="V85" s="635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6" t="s">
        <v>177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22"/>
      <c r="AB86" s="622"/>
      <c r="AC86" s="622"/>
    </row>
    <row r="87" spans="1:68" ht="14.25" hidden="1" customHeight="1" x14ac:dyDescent="0.25">
      <c r="A87" s="648" t="s">
        <v>117</v>
      </c>
      <c r="B87" s="646"/>
      <c r="C87" s="646"/>
      <c r="D87" s="646"/>
      <c r="E87" s="646"/>
      <c r="F87" s="646"/>
      <c r="G87" s="646"/>
      <c r="H87" s="646"/>
      <c r="I87" s="646"/>
      <c r="J87" s="646"/>
      <c r="K87" s="646"/>
      <c r="L87" s="646"/>
      <c r="M87" s="646"/>
      <c r="N87" s="646"/>
      <c r="O87" s="646"/>
      <c r="P87" s="646"/>
      <c r="Q87" s="646"/>
      <c r="R87" s="646"/>
      <c r="S87" s="646"/>
      <c r="T87" s="646"/>
      <c r="U87" s="646"/>
      <c r="V87" s="646"/>
      <c r="W87" s="646"/>
      <c r="X87" s="646"/>
      <c r="Y87" s="646"/>
      <c r="Z87" s="646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40">
        <v>4680115881327</v>
      </c>
      <c r="E88" s="641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7"/>
      <c r="R88" s="637"/>
      <c r="S88" s="637"/>
      <c r="T88" s="638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40">
        <v>4680115887732</v>
      </c>
      <c r="E89" s="641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7"/>
      <c r="R89" s="637"/>
      <c r="S89" s="637"/>
      <c r="T89" s="638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40">
        <v>4680115881518</v>
      </c>
      <c r="E90" s="641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7"/>
      <c r="R90" s="637"/>
      <c r="S90" s="637"/>
      <c r="T90" s="638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40">
        <v>4680115881303</v>
      </c>
      <c r="E91" s="641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1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7"/>
      <c r="R91" s="637"/>
      <c r="S91" s="637"/>
      <c r="T91" s="638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45"/>
      <c r="B92" s="646"/>
      <c r="C92" s="646"/>
      <c r="D92" s="646"/>
      <c r="E92" s="646"/>
      <c r="F92" s="646"/>
      <c r="G92" s="646"/>
      <c r="H92" s="646"/>
      <c r="I92" s="646"/>
      <c r="J92" s="646"/>
      <c r="K92" s="646"/>
      <c r="L92" s="646"/>
      <c r="M92" s="646"/>
      <c r="N92" s="646"/>
      <c r="O92" s="647"/>
      <c r="P92" s="633" t="s">
        <v>72</v>
      </c>
      <c r="Q92" s="634"/>
      <c r="R92" s="634"/>
      <c r="S92" s="634"/>
      <c r="T92" s="634"/>
      <c r="U92" s="634"/>
      <c r="V92" s="635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46"/>
      <c r="B93" s="646"/>
      <c r="C93" s="646"/>
      <c r="D93" s="646"/>
      <c r="E93" s="646"/>
      <c r="F93" s="646"/>
      <c r="G93" s="646"/>
      <c r="H93" s="646"/>
      <c r="I93" s="646"/>
      <c r="J93" s="646"/>
      <c r="K93" s="646"/>
      <c r="L93" s="646"/>
      <c r="M93" s="646"/>
      <c r="N93" s="646"/>
      <c r="O93" s="647"/>
      <c r="P93" s="633" t="s">
        <v>72</v>
      </c>
      <c r="Q93" s="634"/>
      <c r="R93" s="634"/>
      <c r="S93" s="634"/>
      <c r="T93" s="634"/>
      <c r="U93" s="634"/>
      <c r="V93" s="635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48" t="s">
        <v>74</v>
      </c>
      <c r="B94" s="646"/>
      <c r="C94" s="646"/>
      <c r="D94" s="646"/>
      <c r="E94" s="646"/>
      <c r="F94" s="646"/>
      <c r="G94" s="646"/>
      <c r="H94" s="646"/>
      <c r="I94" s="646"/>
      <c r="J94" s="646"/>
      <c r="K94" s="646"/>
      <c r="L94" s="646"/>
      <c r="M94" s="646"/>
      <c r="N94" s="646"/>
      <c r="O94" s="646"/>
      <c r="P94" s="646"/>
      <c r="Q94" s="646"/>
      <c r="R94" s="646"/>
      <c r="S94" s="646"/>
      <c r="T94" s="646"/>
      <c r="U94" s="646"/>
      <c r="V94" s="646"/>
      <c r="W94" s="646"/>
      <c r="X94" s="646"/>
      <c r="Y94" s="646"/>
      <c r="Z94" s="646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40">
        <v>4607091386967</v>
      </c>
      <c r="E95" s="641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7"/>
      <c r="R95" s="637"/>
      <c r="S95" s="637"/>
      <c r="T95" s="638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40">
        <v>4680115884953</v>
      </c>
      <c r="E96" s="641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7"/>
      <c r="R96" s="637"/>
      <c r="S96" s="637"/>
      <c r="T96" s="638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40">
        <v>4607091385731</v>
      </c>
      <c r="E97" s="641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4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7"/>
      <c r="R97" s="637"/>
      <c r="S97" s="637"/>
      <c r="T97" s="638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40">
        <v>4680115880894</v>
      </c>
      <c r="E98" s="641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7"/>
      <c r="R98" s="637"/>
      <c r="S98" s="637"/>
      <c r="T98" s="638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45"/>
      <c r="B99" s="646"/>
      <c r="C99" s="646"/>
      <c r="D99" s="646"/>
      <c r="E99" s="646"/>
      <c r="F99" s="646"/>
      <c r="G99" s="646"/>
      <c r="H99" s="646"/>
      <c r="I99" s="646"/>
      <c r="J99" s="646"/>
      <c r="K99" s="646"/>
      <c r="L99" s="646"/>
      <c r="M99" s="646"/>
      <c r="N99" s="646"/>
      <c r="O99" s="647"/>
      <c r="P99" s="633" t="s">
        <v>72</v>
      </c>
      <c r="Q99" s="634"/>
      <c r="R99" s="634"/>
      <c r="S99" s="634"/>
      <c r="T99" s="634"/>
      <c r="U99" s="634"/>
      <c r="V99" s="635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46"/>
      <c r="B100" s="646"/>
      <c r="C100" s="646"/>
      <c r="D100" s="646"/>
      <c r="E100" s="646"/>
      <c r="F100" s="646"/>
      <c r="G100" s="646"/>
      <c r="H100" s="646"/>
      <c r="I100" s="646"/>
      <c r="J100" s="646"/>
      <c r="K100" s="646"/>
      <c r="L100" s="646"/>
      <c r="M100" s="646"/>
      <c r="N100" s="646"/>
      <c r="O100" s="647"/>
      <c r="P100" s="633" t="s">
        <v>72</v>
      </c>
      <c r="Q100" s="634"/>
      <c r="R100" s="634"/>
      <c r="S100" s="634"/>
      <c r="T100" s="634"/>
      <c r="U100" s="634"/>
      <c r="V100" s="635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6" t="s">
        <v>198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22"/>
      <c r="AB101" s="622"/>
      <c r="AC101" s="622"/>
    </row>
    <row r="102" spans="1:68" ht="14.25" hidden="1" customHeight="1" x14ac:dyDescent="0.25">
      <c r="A102" s="648" t="s">
        <v>117</v>
      </c>
      <c r="B102" s="646"/>
      <c r="C102" s="646"/>
      <c r="D102" s="646"/>
      <c r="E102" s="646"/>
      <c r="F102" s="646"/>
      <c r="G102" s="646"/>
      <c r="H102" s="646"/>
      <c r="I102" s="646"/>
      <c r="J102" s="646"/>
      <c r="K102" s="646"/>
      <c r="L102" s="646"/>
      <c r="M102" s="646"/>
      <c r="N102" s="646"/>
      <c r="O102" s="646"/>
      <c r="P102" s="646"/>
      <c r="Q102" s="646"/>
      <c r="R102" s="646"/>
      <c r="S102" s="646"/>
      <c r="T102" s="646"/>
      <c r="U102" s="646"/>
      <c r="V102" s="646"/>
      <c r="W102" s="646"/>
      <c r="X102" s="646"/>
      <c r="Y102" s="646"/>
      <c r="Z102" s="646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40">
        <v>4680115882133</v>
      </c>
      <c r="E103" s="641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9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7"/>
      <c r="R103" s="637"/>
      <c r="S103" s="637"/>
      <c r="T103" s="638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40">
        <v>4680115887718</v>
      </c>
      <c r="E104" s="641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7"/>
      <c r="R104" s="637"/>
      <c r="S104" s="637"/>
      <c r="T104" s="638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40">
        <v>4680115887718</v>
      </c>
      <c r="E105" s="641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9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7"/>
      <c r="R105" s="637"/>
      <c r="S105" s="637"/>
      <c r="T105" s="638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40">
        <v>4680115880269</v>
      </c>
      <c r="E106" s="641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7"/>
      <c r="R106" s="637"/>
      <c r="S106" s="637"/>
      <c r="T106" s="638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40">
        <v>4680115880429</v>
      </c>
      <c r="E107" s="641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7"/>
      <c r="R107" s="637"/>
      <c r="S107" s="637"/>
      <c r="T107" s="638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40">
        <v>4680115881457</v>
      </c>
      <c r="E108" s="641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7"/>
      <c r="R108" s="637"/>
      <c r="S108" s="637"/>
      <c r="T108" s="638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45"/>
      <c r="B109" s="646"/>
      <c r="C109" s="646"/>
      <c r="D109" s="646"/>
      <c r="E109" s="646"/>
      <c r="F109" s="646"/>
      <c r="G109" s="646"/>
      <c r="H109" s="646"/>
      <c r="I109" s="646"/>
      <c r="J109" s="646"/>
      <c r="K109" s="646"/>
      <c r="L109" s="646"/>
      <c r="M109" s="646"/>
      <c r="N109" s="646"/>
      <c r="O109" s="647"/>
      <c r="P109" s="633" t="s">
        <v>72</v>
      </c>
      <c r="Q109" s="634"/>
      <c r="R109" s="634"/>
      <c r="S109" s="634"/>
      <c r="T109" s="634"/>
      <c r="U109" s="634"/>
      <c r="V109" s="635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46"/>
      <c r="B110" s="646"/>
      <c r="C110" s="646"/>
      <c r="D110" s="646"/>
      <c r="E110" s="646"/>
      <c r="F110" s="646"/>
      <c r="G110" s="646"/>
      <c r="H110" s="646"/>
      <c r="I110" s="646"/>
      <c r="J110" s="646"/>
      <c r="K110" s="646"/>
      <c r="L110" s="646"/>
      <c r="M110" s="646"/>
      <c r="N110" s="646"/>
      <c r="O110" s="647"/>
      <c r="P110" s="633" t="s">
        <v>72</v>
      </c>
      <c r="Q110" s="634"/>
      <c r="R110" s="634"/>
      <c r="S110" s="634"/>
      <c r="T110" s="634"/>
      <c r="U110" s="634"/>
      <c r="V110" s="635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48" t="s">
        <v>153</v>
      </c>
      <c r="B111" s="646"/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  <c r="R111" s="646"/>
      <c r="S111" s="646"/>
      <c r="T111" s="646"/>
      <c r="U111" s="646"/>
      <c r="V111" s="646"/>
      <c r="W111" s="646"/>
      <c r="X111" s="646"/>
      <c r="Y111" s="646"/>
      <c r="Z111" s="646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40">
        <v>4680115881488</v>
      </c>
      <c r="E112" s="641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7"/>
      <c r="R112" s="637"/>
      <c r="S112" s="637"/>
      <c r="T112" s="638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40">
        <v>4680115887664</v>
      </c>
      <c r="E113" s="641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91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7"/>
      <c r="R113" s="637"/>
      <c r="S113" s="637"/>
      <c r="T113" s="638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40">
        <v>4680115887664</v>
      </c>
      <c r="E114" s="641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7"/>
      <c r="R114" s="637"/>
      <c r="S114" s="637"/>
      <c r="T114" s="638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40">
        <v>4680115882775</v>
      </c>
      <c r="E115" s="641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7"/>
      <c r="R115" s="637"/>
      <c r="S115" s="637"/>
      <c r="T115" s="638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40">
        <v>4680115880658</v>
      </c>
      <c r="E116" s="641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91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7"/>
      <c r="R116" s="637"/>
      <c r="S116" s="637"/>
      <c r="T116" s="638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45"/>
      <c r="B117" s="646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646"/>
      <c r="N117" s="646"/>
      <c r="O117" s="647"/>
      <c r="P117" s="633" t="s">
        <v>72</v>
      </c>
      <c r="Q117" s="634"/>
      <c r="R117" s="634"/>
      <c r="S117" s="634"/>
      <c r="T117" s="634"/>
      <c r="U117" s="634"/>
      <c r="V117" s="635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46"/>
      <c r="B118" s="646"/>
      <c r="C118" s="646"/>
      <c r="D118" s="646"/>
      <c r="E118" s="646"/>
      <c r="F118" s="646"/>
      <c r="G118" s="646"/>
      <c r="H118" s="646"/>
      <c r="I118" s="646"/>
      <c r="J118" s="646"/>
      <c r="K118" s="646"/>
      <c r="L118" s="646"/>
      <c r="M118" s="646"/>
      <c r="N118" s="646"/>
      <c r="O118" s="647"/>
      <c r="P118" s="633" t="s">
        <v>72</v>
      </c>
      <c r="Q118" s="634"/>
      <c r="R118" s="634"/>
      <c r="S118" s="634"/>
      <c r="T118" s="634"/>
      <c r="U118" s="634"/>
      <c r="V118" s="635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48" t="s">
        <v>74</v>
      </c>
      <c r="B119" s="646"/>
      <c r="C119" s="646"/>
      <c r="D119" s="646"/>
      <c r="E119" s="646"/>
      <c r="F119" s="646"/>
      <c r="G119" s="646"/>
      <c r="H119" s="646"/>
      <c r="I119" s="646"/>
      <c r="J119" s="646"/>
      <c r="K119" s="646"/>
      <c r="L119" s="646"/>
      <c r="M119" s="646"/>
      <c r="N119" s="646"/>
      <c r="O119" s="646"/>
      <c r="P119" s="646"/>
      <c r="Q119" s="646"/>
      <c r="R119" s="646"/>
      <c r="S119" s="646"/>
      <c r="T119" s="646"/>
      <c r="U119" s="646"/>
      <c r="V119" s="646"/>
      <c r="W119" s="646"/>
      <c r="X119" s="646"/>
      <c r="Y119" s="646"/>
      <c r="Z119" s="646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40">
        <v>4607091385168</v>
      </c>
      <c r="E120" s="641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9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7"/>
      <c r="R120" s="637"/>
      <c r="S120" s="637"/>
      <c r="T120" s="638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40">
        <v>4607091383256</v>
      </c>
      <c r="E121" s="641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6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7"/>
      <c r="R121" s="637"/>
      <c r="S121" s="637"/>
      <c r="T121" s="638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40">
        <v>4607091385748</v>
      </c>
      <c r="E122" s="641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7"/>
      <c r="R122" s="637"/>
      <c r="S122" s="637"/>
      <c r="T122" s="638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40">
        <v>4680115884533</v>
      </c>
      <c r="E123" s="641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7"/>
      <c r="R123" s="637"/>
      <c r="S123" s="637"/>
      <c r="T123" s="638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5"/>
      <c r="B124" s="646"/>
      <c r="C124" s="646"/>
      <c r="D124" s="646"/>
      <c r="E124" s="646"/>
      <c r="F124" s="646"/>
      <c r="G124" s="646"/>
      <c r="H124" s="646"/>
      <c r="I124" s="646"/>
      <c r="J124" s="646"/>
      <c r="K124" s="646"/>
      <c r="L124" s="646"/>
      <c r="M124" s="646"/>
      <c r="N124" s="646"/>
      <c r="O124" s="647"/>
      <c r="P124" s="633" t="s">
        <v>72</v>
      </c>
      <c r="Q124" s="634"/>
      <c r="R124" s="634"/>
      <c r="S124" s="634"/>
      <c r="T124" s="634"/>
      <c r="U124" s="634"/>
      <c r="V124" s="635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47"/>
      <c r="P125" s="633" t="s">
        <v>72</v>
      </c>
      <c r="Q125" s="634"/>
      <c r="R125" s="634"/>
      <c r="S125" s="634"/>
      <c r="T125" s="634"/>
      <c r="U125" s="634"/>
      <c r="V125" s="635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48" t="s">
        <v>170</v>
      </c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6"/>
      <c r="P126" s="646"/>
      <c r="Q126" s="646"/>
      <c r="R126" s="646"/>
      <c r="S126" s="646"/>
      <c r="T126" s="646"/>
      <c r="U126" s="646"/>
      <c r="V126" s="646"/>
      <c r="W126" s="646"/>
      <c r="X126" s="646"/>
      <c r="Y126" s="646"/>
      <c r="Z126" s="646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40">
        <v>4680115880238</v>
      </c>
      <c r="E127" s="641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7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7"/>
      <c r="R127" s="637"/>
      <c r="S127" s="637"/>
      <c r="T127" s="638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45"/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7"/>
      <c r="P128" s="633" t="s">
        <v>72</v>
      </c>
      <c r="Q128" s="634"/>
      <c r="R128" s="634"/>
      <c r="S128" s="634"/>
      <c r="T128" s="634"/>
      <c r="U128" s="634"/>
      <c r="V128" s="635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46"/>
      <c r="B129" s="646"/>
      <c r="C129" s="646"/>
      <c r="D129" s="646"/>
      <c r="E129" s="646"/>
      <c r="F129" s="646"/>
      <c r="G129" s="646"/>
      <c r="H129" s="646"/>
      <c r="I129" s="646"/>
      <c r="J129" s="646"/>
      <c r="K129" s="646"/>
      <c r="L129" s="646"/>
      <c r="M129" s="646"/>
      <c r="N129" s="646"/>
      <c r="O129" s="647"/>
      <c r="P129" s="633" t="s">
        <v>72</v>
      </c>
      <c r="Q129" s="634"/>
      <c r="R129" s="634"/>
      <c r="S129" s="634"/>
      <c r="T129" s="634"/>
      <c r="U129" s="634"/>
      <c r="V129" s="635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6" t="s">
        <v>237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22"/>
      <c r="AB130" s="622"/>
      <c r="AC130" s="622"/>
    </row>
    <row r="131" spans="1:68" ht="14.25" hidden="1" customHeight="1" x14ac:dyDescent="0.25">
      <c r="A131" s="648" t="s">
        <v>117</v>
      </c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40">
        <v>4680115888784</v>
      </c>
      <c r="E132" s="641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88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7"/>
      <c r="R132" s="637"/>
      <c r="S132" s="637"/>
      <c r="T132" s="638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40">
        <v>4680115888845</v>
      </c>
      <c r="E133" s="641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71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7"/>
      <c r="R133" s="637"/>
      <c r="S133" s="637"/>
      <c r="T133" s="638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40">
        <v>4680115882577</v>
      </c>
      <c r="E134" s="641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7"/>
      <c r="R134" s="637"/>
      <c r="S134" s="637"/>
      <c r="T134" s="638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40">
        <v>4680115882577</v>
      </c>
      <c r="E135" s="641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7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7"/>
      <c r="R135" s="637"/>
      <c r="S135" s="637"/>
      <c r="T135" s="638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45"/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7"/>
      <c r="P136" s="633" t="s">
        <v>72</v>
      </c>
      <c r="Q136" s="634"/>
      <c r="R136" s="634"/>
      <c r="S136" s="634"/>
      <c r="T136" s="634"/>
      <c r="U136" s="634"/>
      <c r="V136" s="635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46"/>
      <c r="B137" s="646"/>
      <c r="C137" s="646"/>
      <c r="D137" s="646"/>
      <c r="E137" s="646"/>
      <c r="F137" s="646"/>
      <c r="G137" s="646"/>
      <c r="H137" s="646"/>
      <c r="I137" s="646"/>
      <c r="J137" s="646"/>
      <c r="K137" s="646"/>
      <c r="L137" s="646"/>
      <c r="M137" s="646"/>
      <c r="N137" s="646"/>
      <c r="O137" s="647"/>
      <c r="P137" s="633" t="s">
        <v>72</v>
      </c>
      <c r="Q137" s="634"/>
      <c r="R137" s="634"/>
      <c r="S137" s="634"/>
      <c r="T137" s="634"/>
      <c r="U137" s="634"/>
      <c r="V137" s="635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48" t="s">
        <v>62</v>
      </c>
      <c r="B138" s="646"/>
      <c r="C138" s="646"/>
      <c r="D138" s="646"/>
      <c r="E138" s="646"/>
      <c r="F138" s="646"/>
      <c r="G138" s="646"/>
      <c r="H138" s="646"/>
      <c r="I138" s="646"/>
      <c r="J138" s="646"/>
      <c r="K138" s="646"/>
      <c r="L138" s="646"/>
      <c r="M138" s="646"/>
      <c r="N138" s="646"/>
      <c r="O138" s="646"/>
      <c r="P138" s="646"/>
      <c r="Q138" s="646"/>
      <c r="R138" s="646"/>
      <c r="S138" s="646"/>
      <c r="T138" s="646"/>
      <c r="U138" s="646"/>
      <c r="V138" s="646"/>
      <c r="W138" s="646"/>
      <c r="X138" s="646"/>
      <c r="Y138" s="646"/>
      <c r="Z138" s="646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40">
        <v>4680115888913</v>
      </c>
      <c r="E139" s="641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72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7"/>
      <c r="R139" s="637"/>
      <c r="S139" s="637"/>
      <c r="T139" s="638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40">
        <v>4680115888920</v>
      </c>
      <c r="E140" s="641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3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7"/>
      <c r="R140" s="637"/>
      <c r="S140" s="637"/>
      <c r="T140" s="638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0">
        <v>4680115883444</v>
      </c>
      <c r="E141" s="641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7"/>
      <c r="R141" s="637"/>
      <c r="S141" s="637"/>
      <c r="T141" s="638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0">
        <v>4680115883444</v>
      </c>
      <c r="E142" s="641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7"/>
      <c r="R142" s="637"/>
      <c r="S142" s="637"/>
      <c r="T142" s="638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5"/>
      <c r="B143" s="646"/>
      <c r="C143" s="646"/>
      <c r="D143" s="646"/>
      <c r="E143" s="646"/>
      <c r="F143" s="646"/>
      <c r="G143" s="646"/>
      <c r="H143" s="646"/>
      <c r="I143" s="646"/>
      <c r="J143" s="646"/>
      <c r="K143" s="646"/>
      <c r="L143" s="646"/>
      <c r="M143" s="646"/>
      <c r="N143" s="646"/>
      <c r="O143" s="647"/>
      <c r="P143" s="633" t="s">
        <v>72</v>
      </c>
      <c r="Q143" s="634"/>
      <c r="R143" s="634"/>
      <c r="S143" s="634"/>
      <c r="T143" s="634"/>
      <c r="U143" s="634"/>
      <c r="V143" s="635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46"/>
      <c r="B144" s="646"/>
      <c r="C144" s="646"/>
      <c r="D144" s="646"/>
      <c r="E144" s="646"/>
      <c r="F144" s="646"/>
      <c r="G144" s="646"/>
      <c r="H144" s="646"/>
      <c r="I144" s="646"/>
      <c r="J144" s="646"/>
      <c r="K144" s="646"/>
      <c r="L144" s="646"/>
      <c r="M144" s="646"/>
      <c r="N144" s="646"/>
      <c r="O144" s="647"/>
      <c r="P144" s="633" t="s">
        <v>72</v>
      </c>
      <c r="Q144" s="634"/>
      <c r="R144" s="634"/>
      <c r="S144" s="634"/>
      <c r="T144" s="634"/>
      <c r="U144" s="634"/>
      <c r="V144" s="635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48" t="s">
        <v>74</v>
      </c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46"/>
      <c r="P145" s="646"/>
      <c r="Q145" s="646"/>
      <c r="R145" s="646"/>
      <c r="S145" s="646"/>
      <c r="T145" s="646"/>
      <c r="U145" s="646"/>
      <c r="V145" s="646"/>
      <c r="W145" s="646"/>
      <c r="X145" s="646"/>
      <c r="Y145" s="646"/>
      <c r="Z145" s="646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40">
        <v>4680115888937</v>
      </c>
      <c r="E146" s="641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691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7"/>
      <c r="R146" s="637"/>
      <c r="S146" s="637"/>
      <c r="T146" s="638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40">
        <v>4680115888944</v>
      </c>
      <c r="E147" s="641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99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7"/>
      <c r="R147" s="637"/>
      <c r="S147" s="637"/>
      <c r="T147" s="638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40">
        <v>4680115882584</v>
      </c>
      <c r="E148" s="641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9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7"/>
      <c r="R148" s="637"/>
      <c r="S148" s="637"/>
      <c r="T148" s="638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40">
        <v>4680115882584</v>
      </c>
      <c r="E149" s="641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7"/>
      <c r="R149" s="637"/>
      <c r="S149" s="637"/>
      <c r="T149" s="638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5"/>
      <c r="B150" s="646"/>
      <c r="C150" s="646"/>
      <c r="D150" s="646"/>
      <c r="E150" s="646"/>
      <c r="F150" s="646"/>
      <c r="G150" s="646"/>
      <c r="H150" s="646"/>
      <c r="I150" s="646"/>
      <c r="J150" s="646"/>
      <c r="K150" s="646"/>
      <c r="L150" s="646"/>
      <c r="M150" s="646"/>
      <c r="N150" s="646"/>
      <c r="O150" s="647"/>
      <c r="P150" s="633" t="s">
        <v>72</v>
      </c>
      <c r="Q150" s="634"/>
      <c r="R150" s="634"/>
      <c r="S150" s="634"/>
      <c r="T150" s="634"/>
      <c r="U150" s="634"/>
      <c r="V150" s="635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46"/>
      <c r="B151" s="646"/>
      <c r="C151" s="646"/>
      <c r="D151" s="646"/>
      <c r="E151" s="646"/>
      <c r="F151" s="646"/>
      <c r="G151" s="646"/>
      <c r="H151" s="646"/>
      <c r="I151" s="646"/>
      <c r="J151" s="646"/>
      <c r="K151" s="646"/>
      <c r="L151" s="646"/>
      <c r="M151" s="646"/>
      <c r="N151" s="646"/>
      <c r="O151" s="647"/>
      <c r="P151" s="633" t="s">
        <v>72</v>
      </c>
      <c r="Q151" s="634"/>
      <c r="R151" s="634"/>
      <c r="S151" s="634"/>
      <c r="T151" s="634"/>
      <c r="U151" s="634"/>
      <c r="V151" s="635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6" t="s">
        <v>265</v>
      </c>
      <c r="B152" s="646"/>
      <c r="C152" s="646"/>
      <c r="D152" s="646"/>
      <c r="E152" s="646"/>
      <c r="F152" s="646"/>
      <c r="G152" s="646"/>
      <c r="H152" s="646"/>
      <c r="I152" s="646"/>
      <c r="J152" s="646"/>
      <c r="K152" s="646"/>
      <c r="L152" s="646"/>
      <c r="M152" s="646"/>
      <c r="N152" s="646"/>
      <c r="O152" s="646"/>
      <c r="P152" s="646"/>
      <c r="Q152" s="646"/>
      <c r="R152" s="646"/>
      <c r="S152" s="646"/>
      <c r="T152" s="646"/>
      <c r="U152" s="646"/>
      <c r="V152" s="646"/>
      <c r="W152" s="646"/>
      <c r="X152" s="646"/>
      <c r="Y152" s="646"/>
      <c r="Z152" s="646"/>
      <c r="AA152" s="622"/>
      <c r="AB152" s="622"/>
      <c r="AC152" s="622"/>
    </row>
    <row r="153" spans="1:68" ht="14.25" hidden="1" customHeight="1" x14ac:dyDescent="0.25">
      <c r="A153" s="648" t="s">
        <v>74</v>
      </c>
      <c r="B153" s="646"/>
      <c r="C153" s="646"/>
      <c r="D153" s="646"/>
      <c r="E153" s="646"/>
      <c r="F153" s="646"/>
      <c r="G153" s="646"/>
      <c r="H153" s="646"/>
      <c r="I153" s="646"/>
      <c r="J153" s="646"/>
      <c r="K153" s="646"/>
      <c r="L153" s="646"/>
      <c r="M153" s="646"/>
      <c r="N153" s="646"/>
      <c r="O153" s="646"/>
      <c r="P153" s="646"/>
      <c r="Q153" s="646"/>
      <c r="R153" s="646"/>
      <c r="S153" s="646"/>
      <c r="T153" s="646"/>
      <c r="U153" s="646"/>
      <c r="V153" s="646"/>
      <c r="W153" s="646"/>
      <c r="X153" s="646"/>
      <c r="Y153" s="646"/>
      <c r="Z153" s="646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40">
        <v>4680115888203</v>
      </c>
      <c r="E154" s="641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79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7"/>
      <c r="R154" s="637"/>
      <c r="S154" s="637"/>
      <c r="T154" s="638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40">
        <v>4680115888180</v>
      </c>
      <c r="E155" s="641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7"/>
      <c r="R155" s="637"/>
      <c r="S155" s="637"/>
      <c r="T155" s="638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40">
        <v>4680115888197</v>
      </c>
      <c r="E156" s="641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2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7"/>
      <c r="R156" s="637"/>
      <c r="S156" s="637"/>
      <c r="T156" s="638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40">
        <v>4680115888210</v>
      </c>
      <c r="E157" s="641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97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7"/>
      <c r="R157" s="637"/>
      <c r="S157" s="637"/>
      <c r="T157" s="638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45"/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7"/>
      <c r="P158" s="633" t="s">
        <v>72</v>
      </c>
      <c r="Q158" s="634"/>
      <c r="R158" s="634"/>
      <c r="S158" s="634"/>
      <c r="T158" s="634"/>
      <c r="U158" s="634"/>
      <c r="V158" s="635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46"/>
      <c r="B159" s="646"/>
      <c r="C159" s="646"/>
      <c r="D159" s="646"/>
      <c r="E159" s="646"/>
      <c r="F159" s="646"/>
      <c r="G159" s="646"/>
      <c r="H159" s="646"/>
      <c r="I159" s="646"/>
      <c r="J159" s="646"/>
      <c r="K159" s="646"/>
      <c r="L159" s="646"/>
      <c r="M159" s="646"/>
      <c r="N159" s="646"/>
      <c r="O159" s="647"/>
      <c r="P159" s="633" t="s">
        <v>72</v>
      </c>
      <c r="Q159" s="634"/>
      <c r="R159" s="634"/>
      <c r="S159" s="634"/>
      <c r="T159" s="634"/>
      <c r="U159" s="634"/>
      <c r="V159" s="635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48" t="s">
        <v>92</v>
      </c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6"/>
      <c r="P160" s="646"/>
      <c r="Q160" s="646"/>
      <c r="R160" s="646"/>
      <c r="S160" s="646"/>
      <c r="T160" s="646"/>
      <c r="U160" s="646"/>
      <c r="V160" s="646"/>
      <c r="W160" s="646"/>
      <c r="X160" s="646"/>
      <c r="Y160" s="646"/>
      <c r="Z160" s="646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40">
        <v>4680115889132</v>
      </c>
      <c r="E161" s="641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79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7"/>
      <c r="R161" s="637"/>
      <c r="S161" s="637"/>
      <c r="T161" s="638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5"/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7"/>
      <c r="P162" s="633" t="s">
        <v>72</v>
      </c>
      <c r="Q162" s="634"/>
      <c r="R162" s="634"/>
      <c r="S162" s="634"/>
      <c r="T162" s="634"/>
      <c r="U162" s="634"/>
      <c r="V162" s="635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46"/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7"/>
      <c r="P163" s="633" t="s">
        <v>72</v>
      </c>
      <c r="Q163" s="634"/>
      <c r="R163" s="634"/>
      <c r="S163" s="634"/>
      <c r="T163" s="634"/>
      <c r="U163" s="634"/>
      <c r="V163" s="635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6" t="s">
        <v>115</v>
      </c>
      <c r="B164" s="646"/>
      <c r="C164" s="646"/>
      <c r="D164" s="646"/>
      <c r="E164" s="646"/>
      <c r="F164" s="646"/>
      <c r="G164" s="646"/>
      <c r="H164" s="646"/>
      <c r="I164" s="646"/>
      <c r="J164" s="646"/>
      <c r="K164" s="646"/>
      <c r="L164" s="646"/>
      <c r="M164" s="646"/>
      <c r="N164" s="646"/>
      <c r="O164" s="646"/>
      <c r="P164" s="646"/>
      <c r="Q164" s="646"/>
      <c r="R164" s="646"/>
      <c r="S164" s="646"/>
      <c r="T164" s="646"/>
      <c r="U164" s="646"/>
      <c r="V164" s="646"/>
      <c r="W164" s="646"/>
      <c r="X164" s="646"/>
      <c r="Y164" s="646"/>
      <c r="Z164" s="646"/>
      <c r="AA164" s="622"/>
      <c r="AB164" s="622"/>
      <c r="AC164" s="622"/>
    </row>
    <row r="165" spans="1:68" ht="14.25" hidden="1" customHeight="1" x14ac:dyDescent="0.25">
      <c r="A165" s="648" t="s">
        <v>117</v>
      </c>
      <c r="B165" s="646"/>
      <c r="C165" s="646"/>
      <c r="D165" s="646"/>
      <c r="E165" s="646"/>
      <c r="F165" s="646"/>
      <c r="G165" s="646"/>
      <c r="H165" s="646"/>
      <c r="I165" s="646"/>
      <c r="J165" s="646"/>
      <c r="K165" s="646"/>
      <c r="L165" s="646"/>
      <c r="M165" s="646"/>
      <c r="N165" s="646"/>
      <c r="O165" s="646"/>
      <c r="P165" s="646"/>
      <c r="Q165" s="646"/>
      <c r="R165" s="646"/>
      <c r="S165" s="646"/>
      <c r="T165" s="646"/>
      <c r="U165" s="646"/>
      <c r="V165" s="646"/>
      <c r="W165" s="646"/>
      <c r="X165" s="646"/>
      <c r="Y165" s="646"/>
      <c r="Z165" s="646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40">
        <v>4680115888876</v>
      </c>
      <c r="E166" s="641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9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7"/>
      <c r="R166" s="637"/>
      <c r="S166" s="637"/>
      <c r="T166" s="638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40">
        <v>4680115887374</v>
      </c>
      <c r="E167" s="641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89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7"/>
      <c r="R167" s="637"/>
      <c r="S167" s="637"/>
      <c r="T167" s="638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40">
        <v>4607091384604</v>
      </c>
      <c r="E168" s="641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9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7"/>
      <c r="R168" s="637"/>
      <c r="S168" s="637"/>
      <c r="T168" s="638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45"/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7"/>
      <c r="P169" s="633" t="s">
        <v>72</v>
      </c>
      <c r="Q169" s="634"/>
      <c r="R169" s="634"/>
      <c r="S169" s="634"/>
      <c r="T169" s="634"/>
      <c r="U169" s="634"/>
      <c r="V169" s="635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46"/>
      <c r="B170" s="646"/>
      <c r="C170" s="646"/>
      <c r="D170" s="646"/>
      <c r="E170" s="646"/>
      <c r="F170" s="646"/>
      <c r="G170" s="646"/>
      <c r="H170" s="646"/>
      <c r="I170" s="646"/>
      <c r="J170" s="646"/>
      <c r="K170" s="646"/>
      <c r="L170" s="646"/>
      <c r="M170" s="646"/>
      <c r="N170" s="646"/>
      <c r="O170" s="647"/>
      <c r="P170" s="633" t="s">
        <v>72</v>
      </c>
      <c r="Q170" s="634"/>
      <c r="R170" s="634"/>
      <c r="S170" s="634"/>
      <c r="T170" s="634"/>
      <c r="U170" s="634"/>
      <c r="V170" s="635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48" t="s">
        <v>153</v>
      </c>
      <c r="B171" s="646"/>
      <c r="C171" s="646"/>
      <c r="D171" s="646"/>
      <c r="E171" s="646"/>
      <c r="F171" s="646"/>
      <c r="G171" s="646"/>
      <c r="H171" s="646"/>
      <c r="I171" s="646"/>
      <c r="J171" s="646"/>
      <c r="K171" s="646"/>
      <c r="L171" s="646"/>
      <c r="M171" s="646"/>
      <c r="N171" s="646"/>
      <c r="O171" s="646"/>
      <c r="P171" s="646"/>
      <c r="Q171" s="646"/>
      <c r="R171" s="646"/>
      <c r="S171" s="646"/>
      <c r="T171" s="646"/>
      <c r="U171" s="646"/>
      <c r="V171" s="646"/>
      <c r="W171" s="646"/>
      <c r="X171" s="646"/>
      <c r="Y171" s="646"/>
      <c r="Z171" s="646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40">
        <v>4680115889491</v>
      </c>
      <c r="E172" s="641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979" t="s">
        <v>294</v>
      </c>
      <c r="Q172" s="637"/>
      <c r="R172" s="637"/>
      <c r="S172" s="637"/>
      <c r="T172" s="638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40">
        <v>4680115887695</v>
      </c>
      <c r="E173" s="641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95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7"/>
      <c r="R173" s="637"/>
      <c r="S173" s="637"/>
      <c r="T173" s="638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45"/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7"/>
      <c r="P174" s="633" t="s">
        <v>72</v>
      </c>
      <c r="Q174" s="634"/>
      <c r="R174" s="634"/>
      <c r="S174" s="634"/>
      <c r="T174" s="634"/>
      <c r="U174" s="634"/>
      <c r="V174" s="635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46"/>
      <c r="B175" s="646"/>
      <c r="C175" s="646"/>
      <c r="D175" s="646"/>
      <c r="E175" s="646"/>
      <c r="F175" s="646"/>
      <c r="G175" s="646"/>
      <c r="H175" s="646"/>
      <c r="I175" s="646"/>
      <c r="J175" s="646"/>
      <c r="K175" s="646"/>
      <c r="L175" s="646"/>
      <c r="M175" s="646"/>
      <c r="N175" s="646"/>
      <c r="O175" s="647"/>
      <c r="P175" s="633" t="s">
        <v>72</v>
      </c>
      <c r="Q175" s="634"/>
      <c r="R175" s="634"/>
      <c r="S175" s="634"/>
      <c r="T175" s="634"/>
      <c r="U175" s="634"/>
      <c r="V175" s="635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48" t="s">
        <v>62</v>
      </c>
      <c r="B176" s="646"/>
      <c r="C176" s="646"/>
      <c r="D176" s="646"/>
      <c r="E176" s="646"/>
      <c r="F176" s="646"/>
      <c r="G176" s="646"/>
      <c r="H176" s="646"/>
      <c r="I176" s="646"/>
      <c r="J176" s="646"/>
      <c r="K176" s="646"/>
      <c r="L176" s="646"/>
      <c r="M176" s="646"/>
      <c r="N176" s="646"/>
      <c r="O176" s="646"/>
      <c r="P176" s="646"/>
      <c r="Q176" s="646"/>
      <c r="R176" s="646"/>
      <c r="S176" s="646"/>
      <c r="T176" s="646"/>
      <c r="U176" s="646"/>
      <c r="V176" s="646"/>
      <c r="W176" s="646"/>
      <c r="X176" s="646"/>
      <c r="Y176" s="646"/>
      <c r="Z176" s="646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40">
        <v>4680115887428</v>
      </c>
      <c r="E177" s="641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7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7"/>
      <c r="R177" s="637"/>
      <c r="S177" s="637"/>
      <c r="T177" s="638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40">
        <v>4680115889170</v>
      </c>
      <c r="E178" s="641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78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7"/>
      <c r="R178" s="637"/>
      <c r="S178" s="637"/>
      <c r="T178" s="638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40">
        <v>4680115887398</v>
      </c>
      <c r="E179" s="641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2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7"/>
      <c r="R179" s="637"/>
      <c r="S179" s="637"/>
      <c r="T179" s="638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40">
        <v>4680115887336</v>
      </c>
      <c r="E180" s="641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8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7"/>
      <c r="R180" s="637"/>
      <c r="S180" s="637"/>
      <c r="T180" s="638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40">
        <v>4680115887787</v>
      </c>
      <c r="E181" s="641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7"/>
      <c r="R181" s="637"/>
      <c r="S181" s="637"/>
      <c r="T181" s="638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40">
        <v>4680115887503</v>
      </c>
      <c r="E182" s="641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8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7"/>
      <c r="R182" s="637"/>
      <c r="S182" s="637"/>
      <c r="T182" s="638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40">
        <v>4680115887763</v>
      </c>
      <c r="E183" s="641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7"/>
      <c r="R183" s="637"/>
      <c r="S183" s="637"/>
      <c r="T183" s="638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40">
        <v>4680115887763</v>
      </c>
      <c r="E184" s="641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94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7"/>
      <c r="R184" s="637"/>
      <c r="S184" s="637"/>
      <c r="T184" s="638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40">
        <v>4680115887480</v>
      </c>
      <c r="E185" s="641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6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7"/>
      <c r="R185" s="637"/>
      <c r="S185" s="637"/>
      <c r="T185" s="638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40">
        <v>4680115888067</v>
      </c>
      <c r="E186" s="641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68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7"/>
      <c r="R186" s="637"/>
      <c r="S186" s="637"/>
      <c r="T186" s="638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40">
        <v>4680115887435</v>
      </c>
      <c r="E187" s="641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9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7"/>
      <c r="R187" s="637"/>
      <c r="S187" s="637"/>
      <c r="T187" s="638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45"/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7"/>
      <c r="P188" s="633" t="s">
        <v>72</v>
      </c>
      <c r="Q188" s="634"/>
      <c r="R188" s="634"/>
      <c r="S188" s="634"/>
      <c r="T188" s="634"/>
      <c r="U188" s="634"/>
      <c r="V188" s="635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46"/>
      <c r="B189" s="646"/>
      <c r="C189" s="646"/>
      <c r="D189" s="646"/>
      <c r="E189" s="646"/>
      <c r="F189" s="646"/>
      <c r="G189" s="646"/>
      <c r="H189" s="646"/>
      <c r="I189" s="646"/>
      <c r="J189" s="646"/>
      <c r="K189" s="646"/>
      <c r="L189" s="646"/>
      <c r="M189" s="646"/>
      <c r="N189" s="646"/>
      <c r="O189" s="647"/>
      <c r="P189" s="633" t="s">
        <v>72</v>
      </c>
      <c r="Q189" s="634"/>
      <c r="R189" s="634"/>
      <c r="S189" s="634"/>
      <c r="T189" s="634"/>
      <c r="U189" s="634"/>
      <c r="V189" s="635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48" t="s">
        <v>74</v>
      </c>
      <c r="B190" s="646"/>
      <c r="C190" s="646"/>
      <c r="D190" s="646"/>
      <c r="E190" s="646"/>
      <c r="F190" s="646"/>
      <c r="G190" s="646"/>
      <c r="H190" s="646"/>
      <c r="I190" s="646"/>
      <c r="J190" s="646"/>
      <c r="K190" s="646"/>
      <c r="L190" s="646"/>
      <c r="M190" s="646"/>
      <c r="N190" s="646"/>
      <c r="O190" s="646"/>
      <c r="P190" s="646"/>
      <c r="Q190" s="646"/>
      <c r="R190" s="646"/>
      <c r="S190" s="646"/>
      <c r="T190" s="646"/>
      <c r="U190" s="646"/>
      <c r="V190" s="646"/>
      <c r="W190" s="646"/>
      <c r="X190" s="646"/>
      <c r="Y190" s="646"/>
      <c r="Z190" s="646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40">
        <v>4680115888395</v>
      </c>
      <c r="E191" s="641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7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7"/>
      <c r="R191" s="637"/>
      <c r="S191" s="637"/>
      <c r="T191" s="638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40">
        <v>4680115888371</v>
      </c>
      <c r="E192" s="641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9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7"/>
      <c r="R192" s="637"/>
      <c r="S192" s="637"/>
      <c r="T192" s="638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40">
        <v>4680115887459</v>
      </c>
      <c r="E193" s="641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7"/>
      <c r="R193" s="637"/>
      <c r="S193" s="637"/>
      <c r="T193" s="638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5"/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7"/>
      <c r="P194" s="633" t="s">
        <v>72</v>
      </c>
      <c r="Q194" s="634"/>
      <c r="R194" s="634"/>
      <c r="S194" s="634"/>
      <c r="T194" s="634"/>
      <c r="U194" s="634"/>
      <c r="V194" s="635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46"/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47"/>
      <c r="P195" s="633" t="s">
        <v>72</v>
      </c>
      <c r="Q195" s="634"/>
      <c r="R195" s="634"/>
      <c r="S195" s="634"/>
      <c r="T195" s="634"/>
      <c r="U195" s="634"/>
      <c r="V195" s="635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48" t="s">
        <v>92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40">
        <v>4680115889026</v>
      </c>
      <c r="E197" s="641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8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7"/>
      <c r="R197" s="637"/>
      <c r="S197" s="637"/>
      <c r="T197" s="638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40">
        <v>4680115889088</v>
      </c>
      <c r="E198" s="641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7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7"/>
      <c r="R198" s="637"/>
      <c r="S198" s="637"/>
      <c r="T198" s="638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5"/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7"/>
      <c r="P199" s="633" t="s">
        <v>72</v>
      </c>
      <c r="Q199" s="634"/>
      <c r="R199" s="634"/>
      <c r="S199" s="634"/>
      <c r="T199" s="634"/>
      <c r="U199" s="634"/>
      <c r="V199" s="635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46"/>
      <c r="B200" s="646"/>
      <c r="C200" s="646"/>
      <c r="D200" s="646"/>
      <c r="E200" s="646"/>
      <c r="F200" s="646"/>
      <c r="G200" s="646"/>
      <c r="H200" s="646"/>
      <c r="I200" s="646"/>
      <c r="J200" s="646"/>
      <c r="K200" s="646"/>
      <c r="L200" s="646"/>
      <c r="M200" s="646"/>
      <c r="N200" s="646"/>
      <c r="O200" s="647"/>
      <c r="P200" s="633" t="s">
        <v>72</v>
      </c>
      <c r="Q200" s="634"/>
      <c r="R200" s="634"/>
      <c r="S200" s="634"/>
      <c r="T200" s="634"/>
      <c r="U200" s="634"/>
      <c r="V200" s="635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48" t="s">
        <v>343</v>
      </c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6"/>
      <c r="P201" s="646"/>
      <c r="Q201" s="646"/>
      <c r="R201" s="646"/>
      <c r="S201" s="646"/>
      <c r="T201" s="646"/>
      <c r="U201" s="646"/>
      <c r="V201" s="646"/>
      <c r="W201" s="646"/>
      <c r="X201" s="646"/>
      <c r="Y201" s="646"/>
      <c r="Z201" s="646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40">
        <v>4680115889033</v>
      </c>
      <c r="E202" s="641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6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7"/>
      <c r="R202" s="637"/>
      <c r="S202" s="637"/>
      <c r="T202" s="638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45"/>
      <c r="B203" s="646"/>
      <c r="C203" s="646"/>
      <c r="D203" s="646"/>
      <c r="E203" s="646"/>
      <c r="F203" s="646"/>
      <c r="G203" s="646"/>
      <c r="H203" s="646"/>
      <c r="I203" s="646"/>
      <c r="J203" s="646"/>
      <c r="K203" s="646"/>
      <c r="L203" s="646"/>
      <c r="M203" s="646"/>
      <c r="N203" s="646"/>
      <c r="O203" s="647"/>
      <c r="P203" s="633" t="s">
        <v>72</v>
      </c>
      <c r="Q203" s="634"/>
      <c r="R203" s="634"/>
      <c r="S203" s="634"/>
      <c r="T203" s="634"/>
      <c r="U203" s="634"/>
      <c r="V203" s="635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46"/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7"/>
      <c r="P204" s="633" t="s">
        <v>72</v>
      </c>
      <c r="Q204" s="634"/>
      <c r="R204" s="634"/>
      <c r="S204" s="634"/>
      <c r="T204" s="634"/>
      <c r="U204" s="634"/>
      <c r="V204" s="635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87" t="s">
        <v>347</v>
      </c>
      <c r="B205" s="688"/>
      <c r="C205" s="688"/>
      <c r="D205" s="688"/>
      <c r="E205" s="688"/>
      <c r="F205" s="688"/>
      <c r="G205" s="688"/>
      <c r="H205" s="688"/>
      <c r="I205" s="688"/>
      <c r="J205" s="688"/>
      <c r="K205" s="688"/>
      <c r="L205" s="688"/>
      <c r="M205" s="688"/>
      <c r="N205" s="688"/>
      <c r="O205" s="688"/>
      <c r="P205" s="688"/>
      <c r="Q205" s="688"/>
      <c r="R205" s="688"/>
      <c r="S205" s="688"/>
      <c r="T205" s="688"/>
      <c r="U205" s="688"/>
      <c r="V205" s="688"/>
      <c r="W205" s="688"/>
      <c r="X205" s="688"/>
      <c r="Y205" s="688"/>
      <c r="Z205" s="688"/>
      <c r="AA205" s="48"/>
      <c r="AB205" s="48"/>
      <c r="AC205" s="48"/>
    </row>
    <row r="206" spans="1:68" ht="16.5" hidden="1" customHeight="1" x14ac:dyDescent="0.25">
      <c r="A206" s="656" t="s">
        <v>348</v>
      </c>
      <c r="B206" s="646"/>
      <c r="C206" s="646"/>
      <c r="D206" s="646"/>
      <c r="E206" s="646"/>
      <c r="F206" s="646"/>
      <c r="G206" s="646"/>
      <c r="H206" s="646"/>
      <c r="I206" s="646"/>
      <c r="J206" s="646"/>
      <c r="K206" s="646"/>
      <c r="L206" s="646"/>
      <c r="M206" s="646"/>
      <c r="N206" s="646"/>
      <c r="O206" s="646"/>
      <c r="P206" s="646"/>
      <c r="Q206" s="646"/>
      <c r="R206" s="646"/>
      <c r="S206" s="646"/>
      <c r="T206" s="646"/>
      <c r="U206" s="646"/>
      <c r="V206" s="646"/>
      <c r="W206" s="646"/>
      <c r="X206" s="646"/>
      <c r="Y206" s="646"/>
      <c r="Z206" s="646"/>
      <c r="AA206" s="622"/>
      <c r="AB206" s="622"/>
      <c r="AC206" s="622"/>
    </row>
    <row r="207" spans="1:68" ht="14.25" hidden="1" customHeight="1" x14ac:dyDescent="0.25">
      <c r="A207" s="648" t="s">
        <v>117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40">
        <v>4607091383423</v>
      </c>
      <c r="E208" s="641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96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7"/>
      <c r="R208" s="637"/>
      <c r="S208" s="637"/>
      <c r="T208" s="638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40">
        <v>4680115888760</v>
      </c>
      <c r="E209" s="641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99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7"/>
      <c r="R209" s="637"/>
      <c r="S209" s="637"/>
      <c r="T209" s="638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40">
        <v>4680115888807</v>
      </c>
      <c r="E210" s="641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86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7"/>
      <c r="R210" s="637"/>
      <c r="S210" s="637"/>
      <c r="T210" s="638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40">
        <v>4680115888852</v>
      </c>
      <c r="E211" s="641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6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7"/>
      <c r="R211" s="637"/>
      <c r="S211" s="637"/>
      <c r="T211" s="638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40">
        <v>4680115886957</v>
      </c>
      <c r="E212" s="641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7"/>
      <c r="R212" s="637"/>
      <c r="S212" s="637"/>
      <c r="T212" s="638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40">
        <v>4680115885660</v>
      </c>
      <c r="E213" s="641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97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7"/>
      <c r="R213" s="637"/>
      <c r="S213" s="637"/>
      <c r="T213" s="638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40">
        <v>4680115886773</v>
      </c>
      <c r="E214" s="641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78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7"/>
      <c r="R214" s="637"/>
      <c r="S214" s="637"/>
      <c r="T214" s="638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45"/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7"/>
      <c r="P215" s="633" t="s">
        <v>72</v>
      </c>
      <c r="Q215" s="634"/>
      <c r="R215" s="634"/>
      <c r="S215" s="634"/>
      <c r="T215" s="634"/>
      <c r="U215" s="634"/>
      <c r="V215" s="635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46"/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7"/>
      <c r="P216" s="633" t="s">
        <v>72</v>
      </c>
      <c r="Q216" s="634"/>
      <c r="R216" s="634"/>
      <c r="S216" s="634"/>
      <c r="T216" s="634"/>
      <c r="U216" s="634"/>
      <c r="V216" s="635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6" t="s">
        <v>369</v>
      </c>
      <c r="B217" s="646"/>
      <c r="C217" s="646"/>
      <c r="D217" s="646"/>
      <c r="E217" s="646"/>
      <c r="F217" s="646"/>
      <c r="G217" s="646"/>
      <c r="H217" s="646"/>
      <c r="I217" s="646"/>
      <c r="J217" s="646"/>
      <c r="K217" s="646"/>
      <c r="L217" s="646"/>
      <c r="M217" s="646"/>
      <c r="N217" s="646"/>
      <c r="O217" s="646"/>
      <c r="P217" s="646"/>
      <c r="Q217" s="646"/>
      <c r="R217" s="646"/>
      <c r="S217" s="646"/>
      <c r="T217" s="646"/>
      <c r="U217" s="646"/>
      <c r="V217" s="646"/>
      <c r="W217" s="646"/>
      <c r="X217" s="646"/>
      <c r="Y217" s="646"/>
      <c r="Z217" s="646"/>
      <c r="AA217" s="622"/>
      <c r="AB217" s="622"/>
      <c r="AC217" s="622"/>
    </row>
    <row r="218" spans="1:68" ht="14.25" hidden="1" customHeight="1" x14ac:dyDescent="0.25">
      <c r="A218" s="648" t="s">
        <v>153</v>
      </c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46"/>
      <c r="P218" s="646"/>
      <c r="Q218" s="646"/>
      <c r="R218" s="646"/>
      <c r="S218" s="646"/>
      <c r="T218" s="646"/>
      <c r="U218" s="646"/>
      <c r="V218" s="646"/>
      <c r="W218" s="646"/>
      <c r="X218" s="646"/>
      <c r="Y218" s="646"/>
      <c r="Z218" s="646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40">
        <v>4680115886223</v>
      </c>
      <c r="E219" s="641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7"/>
      <c r="R219" s="637"/>
      <c r="S219" s="637"/>
      <c r="T219" s="638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45"/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7"/>
      <c r="P220" s="633" t="s">
        <v>72</v>
      </c>
      <c r="Q220" s="634"/>
      <c r="R220" s="634"/>
      <c r="S220" s="634"/>
      <c r="T220" s="634"/>
      <c r="U220" s="634"/>
      <c r="V220" s="635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46"/>
      <c r="B221" s="646"/>
      <c r="C221" s="646"/>
      <c r="D221" s="646"/>
      <c r="E221" s="646"/>
      <c r="F221" s="646"/>
      <c r="G221" s="646"/>
      <c r="H221" s="646"/>
      <c r="I221" s="646"/>
      <c r="J221" s="646"/>
      <c r="K221" s="646"/>
      <c r="L221" s="646"/>
      <c r="M221" s="646"/>
      <c r="N221" s="646"/>
      <c r="O221" s="647"/>
      <c r="P221" s="633" t="s">
        <v>72</v>
      </c>
      <c r="Q221" s="634"/>
      <c r="R221" s="634"/>
      <c r="S221" s="634"/>
      <c r="T221" s="634"/>
      <c r="U221" s="634"/>
      <c r="V221" s="635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48" t="s">
        <v>62</v>
      </c>
      <c r="B222" s="646"/>
      <c r="C222" s="646"/>
      <c r="D222" s="646"/>
      <c r="E222" s="646"/>
      <c r="F222" s="646"/>
      <c r="G222" s="646"/>
      <c r="H222" s="646"/>
      <c r="I222" s="646"/>
      <c r="J222" s="646"/>
      <c r="K222" s="646"/>
      <c r="L222" s="646"/>
      <c r="M222" s="646"/>
      <c r="N222" s="646"/>
      <c r="O222" s="646"/>
      <c r="P222" s="646"/>
      <c r="Q222" s="646"/>
      <c r="R222" s="646"/>
      <c r="S222" s="646"/>
      <c r="T222" s="646"/>
      <c r="U222" s="646"/>
      <c r="V222" s="646"/>
      <c r="W222" s="646"/>
      <c r="X222" s="646"/>
      <c r="Y222" s="646"/>
      <c r="Z222" s="646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40">
        <v>4680115880993</v>
      </c>
      <c r="E223" s="641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9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7"/>
      <c r="R223" s="637"/>
      <c r="S223" s="637"/>
      <c r="T223" s="638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40">
        <v>4680115881761</v>
      </c>
      <c r="E224" s="641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7"/>
      <c r="R224" s="637"/>
      <c r="S224" s="637"/>
      <c r="T224" s="638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40">
        <v>4680115881563</v>
      </c>
      <c r="E225" s="641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7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7"/>
      <c r="R225" s="637"/>
      <c r="S225" s="637"/>
      <c r="T225" s="638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40">
        <v>4680115887565</v>
      </c>
      <c r="E226" s="641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7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7"/>
      <c r="R226" s="637"/>
      <c r="S226" s="637"/>
      <c r="T226" s="638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40">
        <v>4680115880986</v>
      </c>
      <c r="E227" s="641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7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7"/>
      <c r="R227" s="637"/>
      <c r="S227" s="637"/>
      <c r="T227" s="638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40">
        <v>4680115887213</v>
      </c>
      <c r="E228" s="641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7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7"/>
      <c r="R228" s="637"/>
      <c r="S228" s="637"/>
      <c r="T228" s="638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40">
        <v>4680115881785</v>
      </c>
      <c r="E229" s="641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7"/>
      <c r="R229" s="637"/>
      <c r="S229" s="637"/>
      <c r="T229" s="638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40">
        <v>4680115888432</v>
      </c>
      <c r="E230" s="641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7"/>
      <c r="R230" s="637"/>
      <c r="S230" s="637"/>
      <c r="T230" s="638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40">
        <v>4680115888104</v>
      </c>
      <c r="E231" s="641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9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7"/>
      <c r="R231" s="637"/>
      <c r="S231" s="637"/>
      <c r="T231" s="638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40">
        <v>4680115886537</v>
      </c>
      <c r="E232" s="641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7"/>
      <c r="R232" s="637"/>
      <c r="S232" s="637"/>
      <c r="T232" s="638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40">
        <v>4680115887596</v>
      </c>
      <c r="E233" s="641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7"/>
      <c r="R233" s="637"/>
      <c r="S233" s="637"/>
      <c r="T233" s="638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40">
        <v>4680115881679</v>
      </c>
      <c r="E234" s="641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96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7"/>
      <c r="R234" s="637"/>
      <c r="S234" s="637"/>
      <c r="T234" s="638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40">
        <v>4680115880191</v>
      </c>
      <c r="E235" s="641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7"/>
      <c r="R235" s="637"/>
      <c r="S235" s="637"/>
      <c r="T235" s="638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40">
        <v>4680115883963</v>
      </c>
      <c r="E236" s="641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9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7"/>
      <c r="R236" s="637"/>
      <c r="S236" s="637"/>
      <c r="T236" s="638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45"/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7"/>
      <c r="P237" s="633" t="s">
        <v>72</v>
      </c>
      <c r="Q237" s="634"/>
      <c r="R237" s="634"/>
      <c r="S237" s="634"/>
      <c r="T237" s="634"/>
      <c r="U237" s="634"/>
      <c r="V237" s="635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46"/>
      <c r="B238" s="646"/>
      <c r="C238" s="646"/>
      <c r="D238" s="646"/>
      <c r="E238" s="646"/>
      <c r="F238" s="646"/>
      <c r="G238" s="646"/>
      <c r="H238" s="646"/>
      <c r="I238" s="646"/>
      <c r="J238" s="646"/>
      <c r="K238" s="646"/>
      <c r="L238" s="646"/>
      <c r="M238" s="646"/>
      <c r="N238" s="646"/>
      <c r="O238" s="647"/>
      <c r="P238" s="633" t="s">
        <v>72</v>
      </c>
      <c r="Q238" s="634"/>
      <c r="R238" s="634"/>
      <c r="S238" s="634"/>
      <c r="T238" s="634"/>
      <c r="U238" s="634"/>
      <c r="V238" s="635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48" t="s">
        <v>74</v>
      </c>
      <c r="B239" s="646"/>
      <c r="C239" s="646"/>
      <c r="D239" s="646"/>
      <c r="E239" s="646"/>
      <c r="F239" s="646"/>
      <c r="G239" s="646"/>
      <c r="H239" s="646"/>
      <c r="I239" s="646"/>
      <c r="J239" s="646"/>
      <c r="K239" s="646"/>
      <c r="L239" s="646"/>
      <c r="M239" s="646"/>
      <c r="N239" s="646"/>
      <c r="O239" s="646"/>
      <c r="P239" s="646"/>
      <c r="Q239" s="646"/>
      <c r="R239" s="646"/>
      <c r="S239" s="646"/>
      <c r="T239" s="646"/>
      <c r="U239" s="646"/>
      <c r="V239" s="646"/>
      <c r="W239" s="646"/>
      <c r="X239" s="646"/>
      <c r="Y239" s="646"/>
      <c r="Z239" s="646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40">
        <v>4680115888692</v>
      </c>
      <c r="E240" s="641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9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7"/>
      <c r="R240" s="637"/>
      <c r="S240" s="637"/>
      <c r="T240" s="638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40">
        <v>4680115888722</v>
      </c>
      <c r="E241" s="641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7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7"/>
      <c r="R241" s="637"/>
      <c r="S241" s="637"/>
      <c r="T241" s="638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40">
        <v>4680115888951</v>
      </c>
      <c r="E242" s="641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94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7"/>
      <c r="R242" s="637"/>
      <c r="S242" s="637"/>
      <c r="T242" s="638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40">
        <v>4680115888975</v>
      </c>
      <c r="E243" s="641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7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7"/>
      <c r="R243" s="637"/>
      <c r="S243" s="637"/>
      <c r="T243" s="638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40">
        <v>4680115888982</v>
      </c>
      <c r="E244" s="641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7"/>
      <c r="R244" s="637"/>
      <c r="S244" s="637"/>
      <c r="T244" s="638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5"/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7"/>
      <c r="P245" s="633" t="s">
        <v>72</v>
      </c>
      <c r="Q245" s="634"/>
      <c r="R245" s="634"/>
      <c r="S245" s="634"/>
      <c r="T245" s="634"/>
      <c r="U245" s="634"/>
      <c r="V245" s="635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46"/>
      <c r="B246" s="646"/>
      <c r="C246" s="646"/>
      <c r="D246" s="646"/>
      <c r="E246" s="646"/>
      <c r="F246" s="646"/>
      <c r="G246" s="646"/>
      <c r="H246" s="646"/>
      <c r="I246" s="646"/>
      <c r="J246" s="646"/>
      <c r="K246" s="646"/>
      <c r="L246" s="646"/>
      <c r="M246" s="646"/>
      <c r="N246" s="646"/>
      <c r="O246" s="647"/>
      <c r="P246" s="633" t="s">
        <v>72</v>
      </c>
      <c r="Q246" s="634"/>
      <c r="R246" s="634"/>
      <c r="S246" s="634"/>
      <c r="T246" s="634"/>
      <c r="U246" s="634"/>
      <c r="V246" s="635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48" t="s">
        <v>92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40">
        <v>4680115886780</v>
      </c>
      <c r="E248" s="641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7"/>
      <c r="R248" s="637"/>
      <c r="S248" s="637"/>
      <c r="T248" s="638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40">
        <v>4680115886742</v>
      </c>
      <c r="E249" s="641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9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7"/>
      <c r="R249" s="637"/>
      <c r="S249" s="637"/>
      <c r="T249" s="638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40">
        <v>4680115886766</v>
      </c>
      <c r="E250" s="641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7"/>
      <c r="R250" s="637"/>
      <c r="S250" s="637"/>
      <c r="T250" s="638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5"/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7"/>
      <c r="P251" s="633" t="s">
        <v>72</v>
      </c>
      <c r="Q251" s="634"/>
      <c r="R251" s="634"/>
      <c r="S251" s="634"/>
      <c r="T251" s="634"/>
      <c r="U251" s="634"/>
      <c r="V251" s="635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46"/>
      <c r="B252" s="646"/>
      <c r="C252" s="646"/>
      <c r="D252" s="646"/>
      <c r="E252" s="646"/>
      <c r="F252" s="646"/>
      <c r="G252" s="646"/>
      <c r="H252" s="646"/>
      <c r="I252" s="646"/>
      <c r="J252" s="646"/>
      <c r="K252" s="646"/>
      <c r="L252" s="646"/>
      <c r="M252" s="646"/>
      <c r="N252" s="646"/>
      <c r="O252" s="647"/>
      <c r="P252" s="633" t="s">
        <v>72</v>
      </c>
      <c r="Q252" s="634"/>
      <c r="R252" s="634"/>
      <c r="S252" s="634"/>
      <c r="T252" s="634"/>
      <c r="U252" s="634"/>
      <c r="V252" s="635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48" t="s">
        <v>433</v>
      </c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6"/>
      <c r="P253" s="646"/>
      <c r="Q253" s="646"/>
      <c r="R253" s="646"/>
      <c r="S253" s="646"/>
      <c r="T253" s="646"/>
      <c r="U253" s="646"/>
      <c r="V253" s="646"/>
      <c r="W253" s="646"/>
      <c r="X253" s="646"/>
      <c r="Y253" s="646"/>
      <c r="Z253" s="646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40">
        <v>4680115886797</v>
      </c>
      <c r="E254" s="641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7"/>
      <c r="R254" s="637"/>
      <c r="S254" s="637"/>
      <c r="T254" s="638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45"/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7"/>
      <c r="P255" s="633" t="s">
        <v>72</v>
      </c>
      <c r="Q255" s="634"/>
      <c r="R255" s="634"/>
      <c r="S255" s="634"/>
      <c r="T255" s="634"/>
      <c r="U255" s="634"/>
      <c r="V255" s="635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46"/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7"/>
      <c r="P256" s="633" t="s">
        <v>72</v>
      </c>
      <c r="Q256" s="634"/>
      <c r="R256" s="634"/>
      <c r="S256" s="634"/>
      <c r="T256" s="634"/>
      <c r="U256" s="634"/>
      <c r="V256" s="635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6" t="s">
        <v>436</v>
      </c>
      <c r="B257" s="646"/>
      <c r="C257" s="646"/>
      <c r="D257" s="646"/>
      <c r="E257" s="646"/>
      <c r="F257" s="646"/>
      <c r="G257" s="646"/>
      <c r="H257" s="646"/>
      <c r="I257" s="646"/>
      <c r="J257" s="646"/>
      <c r="K257" s="646"/>
      <c r="L257" s="646"/>
      <c r="M257" s="646"/>
      <c r="N257" s="646"/>
      <c r="O257" s="646"/>
      <c r="P257" s="646"/>
      <c r="Q257" s="646"/>
      <c r="R257" s="646"/>
      <c r="S257" s="646"/>
      <c r="T257" s="646"/>
      <c r="U257" s="646"/>
      <c r="V257" s="646"/>
      <c r="W257" s="646"/>
      <c r="X257" s="646"/>
      <c r="Y257" s="646"/>
      <c r="Z257" s="646"/>
      <c r="AA257" s="622"/>
      <c r="AB257" s="622"/>
      <c r="AC257" s="622"/>
    </row>
    <row r="258" spans="1:68" ht="14.25" hidden="1" customHeight="1" x14ac:dyDescent="0.25">
      <c r="A258" s="648" t="s">
        <v>117</v>
      </c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46"/>
      <c r="P258" s="646"/>
      <c r="Q258" s="646"/>
      <c r="R258" s="646"/>
      <c r="S258" s="646"/>
      <c r="T258" s="646"/>
      <c r="U258" s="646"/>
      <c r="V258" s="646"/>
      <c r="W258" s="646"/>
      <c r="X258" s="646"/>
      <c r="Y258" s="646"/>
      <c r="Z258" s="646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40">
        <v>4680115881402</v>
      </c>
      <c r="E259" s="641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9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7"/>
      <c r="R259" s="637"/>
      <c r="S259" s="637"/>
      <c r="T259" s="638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40">
        <v>4680115881396</v>
      </c>
      <c r="E260" s="641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7"/>
      <c r="R260" s="637"/>
      <c r="S260" s="637"/>
      <c r="T260" s="638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5"/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7"/>
      <c r="P261" s="633" t="s">
        <v>72</v>
      </c>
      <c r="Q261" s="634"/>
      <c r="R261" s="634"/>
      <c r="S261" s="634"/>
      <c r="T261" s="634"/>
      <c r="U261" s="634"/>
      <c r="V261" s="635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46"/>
      <c r="B262" s="646"/>
      <c r="C262" s="646"/>
      <c r="D262" s="646"/>
      <c r="E262" s="646"/>
      <c r="F262" s="646"/>
      <c r="G262" s="646"/>
      <c r="H262" s="646"/>
      <c r="I262" s="646"/>
      <c r="J262" s="646"/>
      <c r="K262" s="646"/>
      <c r="L262" s="646"/>
      <c r="M262" s="646"/>
      <c r="N262" s="646"/>
      <c r="O262" s="647"/>
      <c r="P262" s="633" t="s">
        <v>72</v>
      </c>
      <c r="Q262" s="634"/>
      <c r="R262" s="634"/>
      <c r="S262" s="634"/>
      <c r="T262" s="634"/>
      <c r="U262" s="634"/>
      <c r="V262" s="635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48" t="s">
        <v>153</v>
      </c>
      <c r="B263" s="646"/>
      <c r="C263" s="646"/>
      <c r="D263" s="646"/>
      <c r="E263" s="646"/>
      <c r="F263" s="646"/>
      <c r="G263" s="646"/>
      <c r="H263" s="646"/>
      <c r="I263" s="646"/>
      <c r="J263" s="646"/>
      <c r="K263" s="646"/>
      <c r="L263" s="646"/>
      <c r="M263" s="646"/>
      <c r="N263" s="646"/>
      <c r="O263" s="646"/>
      <c r="P263" s="646"/>
      <c r="Q263" s="646"/>
      <c r="R263" s="646"/>
      <c r="S263" s="646"/>
      <c r="T263" s="646"/>
      <c r="U263" s="646"/>
      <c r="V263" s="646"/>
      <c r="W263" s="646"/>
      <c r="X263" s="646"/>
      <c r="Y263" s="646"/>
      <c r="Z263" s="646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40">
        <v>4680115882935</v>
      </c>
      <c r="E264" s="641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8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7"/>
      <c r="R264" s="637"/>
      <c r="S264" s="637"/>
      <c r="T264" s="638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40">
        <v>4680115880764</v>
      </c>
      <c r="E265" s="641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9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7"/>
      <c r="R265" s="637"/>
      <c r="S265" s="637"/>
      <c r="T265" s="638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45"/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7"/>
      <c r="P266" s="633" t="s">
        <v>72</v>
      </c>
      <c r="Q266" s="634"/>
      <c r="R266" s="634"/>
      <c r="S266" s="634"/>
      <c r="T266" s="634"/>
      <c r="U266" s="634"/>
      <c r="V266" s="635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46"/>
      <c r="B267" s="646"/>
      <c r="C267" s="646"/>
      <c r="D267" s="646"/>
      <c r="E267" s="646"/>
      <c r="F267" s="646"/>
      <c r="G267" s="646"/>
      <c r="H267" s="646"/>
      <c r="I267" s="646"/>
      <c r="J267" s="646"/>
      <c r="K267" s="646"/>
      <c r="L267" s="646"/>
      <c r="M267" s="646"/>
      <c r="N267" s="646"/>
      <c r="O267" s="647"/>
      <c r="P267" s="633" t="s">
        <v>72</v>
      </c>
      <c r="Q267" s="634"/>
      <c r="R267" s="634"/>
      <c r="S267" s="634"/>
      <c r="T267" s="634"/>
      <c r="U267" s="634"/>
      <c r="V267" s="635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48" t="s">
        <v>62</v>
      </c>
      <c r="B268" s="646"/>
      <c r="C268" s="646"/>
      <c r="D268" s="646"/>
      <c r="E268" s="646"/>
      <c r="F268" s="646"/>
      <c r="G268" s="646"/>
      <c r="H268" s="646"/>
      <c r="I268" s="646"/>
      <c r="J268" s="646"/>
      <c r="K268" s="646"/>
      <c r="L268" s="646"/>
      <c r="M268" s="646"/>
      <c r="N268" s="646"/>
      <c r="O268" s="646"/>
      <c r="P268" s="646"/>
      <c r="Q268" s="646"/>
      <c r="R268" s="646"/>
      <c r="S268" s="646"/>
      <c r="T268" s="646"/>
      <c r="U268" s="646"/>
      <c r="V268" s="646"/>
      <c r="W268" s="646"/>
      <c r="X268" s="646"/>
      <c r="Y268" s="646"/>
      <c r="Z268" s="646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40">
        <v>4680115882683</v>
      </c>
      <c r="E269" s="641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7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7"/>
      <c r="R269" s="637"/>
      <c r="S269" s="637"/>
      <c r="T269" s="638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40">
        <v>4680115882690</v>
      </c>
      <c r="E270" s="641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7"/>
      <c r="R270" s="637"/>
      <c r="S270" s="637"/>
      <c r="T270" s="638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40">
        <v>4680115882669</v>
      </c>
      <c r="E271" s="641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95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7"/>
      <c r="R271" s="637"/>
      <c r="S271" s="637"/>
      <c r="T271" s="638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40">
        <v>4680115882676</v>
      </c>
      <c r="E272" s="641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7"/>
      <c r="R272" s="637"/>
      <c r="S272" s="637"/>
      <c r="T272" s="638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40">
        <v>4680115884014</v>
      </c>
      <c r="E273" s="641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7"/>
      <c r="R273" s="637"/>
      <c r="S273" s="637"/>
      <c r="T273" s="638"/>
      <c r="U273" s="34"/>
      <c r="V273" s="34"/>
      <c r="W273" s="35" t="s">
        <v>67</v>
      </c>
      <c r="X273" s="627">
        <v>102</v>
      </c>
      <c r="Y273" s="628">
        <f t="shared" si="27"/>
        <v>102.60000000000001</v>
      </c>
      <c r="Z273" s="36">
        <f>IFERROR(IF(Y273=0,"",ROUNDUP(Y273/H273,0)*0.00502),"")</f>
        <v>0.28614000000000001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109.36666666666666</v>
      </c>
      <c r="BN273" s="64">
        <f t="shared" si="29"/>
        <v>110.00999999999999</v>
      </c>
      <c r="BO273" s="64">
        <f t="shared" si="30"/>
        <v>0.24216524216524218</v>
      </c>
      <c r="BP273" s="64">
        <f t="shared" si="31"/>
        <v>0.24358974358974361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40">
        <v>4680115884007</v>
      </c>
      <c r="E274" s="641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77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7"/>
      <c r="R274" s="637"/>
      <c r="S274" s="637"/>
      <c r="T274" s="638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40">
        <v>4680115884038</v>
      </c>
      <c r="E275" s="641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9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7"/>
      <c r="R275" s="637"/>
      <c r="S275" s="637"/>
      <c r="T275" s="638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40">
        <v>4680115884021</v>
      </c>
      <c r="E276" s="641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7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7"/>
      <c r="R276" s="637"/>
      <c r="S276" s="637"/>
      <c r="T276" s="638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45"/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7"/>
      <c r="P277" s="633" t="s">
        <v>72</v>
      </c>
      <c r="Q277" s="634"/>
      <c r="R277" s="634"/>
      <c r="S277" s="634"/>
      <c r="T277" s="634"/>
      <c r="U277" s="634"/>
      <c r="V277" s="635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56.666666666666664</v>
      </c>
      <c r="Y277" s="629">
        <f>IFERROR(Y269/H269,"0")+IFERROR(Y270/H270,"0")+IFERROR(Y271/H271,"0")+IFERROR(Y272/H272,"0")+IFERROR(Y273/H273,"0")+IFERROR(Y274/H274,"0")+IFERROR(Y275/H275,"0")+IFERROR(Y276/H276,"0")</f>
        <v>57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0.28614000000000001</v>
      </c>
      <c r="AA277" s="630"/>
      <c r="AB277" s="630"/>
      <c r="AC277" s="630"/>
    </row>
    <row r="278" spans="1:68" x14ac:dyDescent="0.2">
      <c r="A278" s="646"/>
      <c r="B278" s="646"/>
      <c r="C278" s="646"/>
      <c r="D278" s="646"/>
      <c r="E278" s="646"/>
      <c r="F278" s="646"/>
      <c r="G278" s="646"/>
      <c r="H278" s="646"/>
      <c r="I278" s="646"/>
      <c r="J278" s="646"/>
      <c r="K278" s="646"/>
      <c r="L278" s="646"/>
      <c r="M278" s="646"/>
      <c r="N278" s="646"/>
      <c r="O278" s="647"/>
      <c r="P278" s="633" t="s">
        <v>72</v>
      </c>
      <c r="Q278" s="634"/>
      <c r="R278" s="634"/>
      <c r="S278" s="634"/>
      <c r="T278" s="634"/>
      <c r="U278" s="634"/>
      <c r="V278" s="635"/>
      <c r="W278" s="37" t="s">
        <v>67</v>
      </c>
      <c r="X278" s="629">
        <f>IFERROR(SUM(X269:X276),"0")</f>
        <v>102</v>
      </c>
      <c r="Y278" s="629">
        <f>IFERROR(SUM(Y269:Y276),"0")</f>
        <v>102.60000000000001</v>
      </c>
      <c r="Z278" s="37"/>
      <c r="AA278" s="630"/>
      <c r="AB278" s="630"/>
      <c r="AC278" s="630"/>
    </row>
    <row r="279" spans="1:68" ht="14.25" hidden="1" customHeight="1" x14ac:dyDescent="0.25">
      <c r="A279" s="648" t="s">
        <v>74</v>
      </c>
      <c r="B279" s="646"/>
      <c r="C279" s="646"/>
      <c r="D279" s="646"/>
      <c r="E279" s="646"/>
      <c r="F279" s="646"/>
      <c r="G279" s="646"/>
      <c r="H279" s="646"/>
      <c r="I279" s="646"/>
      <c r="J279" s="646"/>
      <c r="K279" s="646"/>
      <c r="L279" s="646"/>
      <c r="M279" s="646"/>
      <c r="N279" s="646"/>
      <c r="O279" s="646"/>
      <c r="P279" s="646"/>
      <c r="Q279" s="646"/>
      <c r="R279" s="646"/>
      <c r="S279" s="646"/>
      <c r="T279" s="646"/>
      <c r="U279" s="646"/>
      <c r="V279" s="646"/>
      <c r="W279" s="646"/>
      <c r="X279" s="646"/>
      <c r="Y279" s="646"/>
      <c r="Z279" s="646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40">
        <v>4680115881594</v>
      </c>
      <c r="E280" s="641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9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7"/>
      <c r="R280" s="637"/>
      <c r="S280" s="637"/>
      <c r="T280" s="638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40">
        <v>4680115881617</v>
      </c>
      <c r="E281" s="641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9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7"/>
      <c r="R281" s="637"/>
      <c r="S281" s="637"/>
      <c r="T281" s="638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40">
        <v>4680115880573</v>
      </c>
      <c r="E282" s="641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73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7"/>
      <c r="R282" s="637"/>
      <c r="S282" s="637"/>
      <c r="T282" s="638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40">
        <v>4680115882195</v>
      </c>
      <c r="E283" s="641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7"/>
      <c r="R283" s="637"/>
      <c r="S283" s="637"/>
      <c r="T283" s="638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40">
        <v>4680115882607</v>
      </c>
      <c r="E284" s="641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9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7"/>
      <c r="R284" s="637"/>
      <c r="S284" s="637"/>
      <c r="T284" s="638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40">
        <v>4680115882607</v>
      </c>
      <c r="E285" s="641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5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7"/>
      <c r="R285" s="637"/>
      <c r="S285" s="637"/>
      <c r="T285" s="638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4301051666</v>
      </c>
      <c r="D286" s="640">
        <v>4680115880092</v>
      </c>
      <c r="E286" s="641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9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7"/>
      <c r="R286" s="637"/>
      <c r="S286" s="637"/>
      <c r="T286" s="638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40">
        <v>4680115889064</v>
      </c>
      <c r="E287" s="641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93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7"/>
      <c r="R287" s="637"/>
      <c r="S287" s="637"/>
      <c r="T287" s="638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40">
        <v>4680115880221</v>
      </c>
      <c r="E288" s="641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6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7"/>
      <c r="R288" s="637"/>
      <c r="S288" s="637"/>
      <c r="T288" s="638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40">
        <v>4680115880504</v>
      </c>
      <c r="E289" s="641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7"/>
      <c r="R289" s="637"/>
      <c r="S289" s="637"/>
      <c r="T289" s="638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492</v>
      </c>
      <c r="B290" s="54" t="s">
        <v>493</v>
      </c>
      <c r="C290" s="31">
        <v>4301051410</v>
      </c>
      <c r="D290" s="640">
        <v>4680115882164</v>
      </c>
      <c r="E290" s="641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9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7"/>
      <c r="R290" s="637"/>
      <c r="S290" s="637"/>
      <c r="T290" s="638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40">
        <v>4680115888340</v>
      </c>
      <c r="E291" s="641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6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7"/>
      <c r="R291" s="637"/>
      <c r="S291" s="637"/>
      <c r="T291" s="638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hidden="1" x14ac:dyDescent="0.2">
      <c r="A292" s="645"/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7"/>
      <c r="P292" s="633" t="s">
        <v>72</v>
      </c>
      <c r="Q292" s="634"/>
      <c r="R292" s="634"/>
      <c r="S292" s="634"/>
      <c r="T292" s="634"/>
      <c r="U292" s="634"/>
      <c r="V292" s="635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hidden="1" x14ac:dyDescent="0.2">
      <c r="A293" s="646"/>
      <c r="B293" s="646"/>
      <c r="C293" s="646"/>
      <c r="D293" s="646"/>
      <c r="E293" s="646"/>
      <c r="F293" s="646"/>
      <c r="G293" s="646"/>
      <c r="H293" s="646"/>
      <c r="I293" s="646"/>
      <c r="J293" s="646"/>
      <c r="K293" s="646"/>
      <c r="L293" s="646"/>
      <c r="M293" s="646"/>
      <c r="N293" s="646"/>
      <c r="O293" s="647"/>
      <c r="P293" s="633" t="s">
        <v>72</v>
      </c>
      <c r="Q293" s="634"/>
      <c r="R293" s="634"/>
      <c r="S293" s="634"/>
      <c r="T293" s="634"/>
      <c r="U293" s="634"/>
      <c r="V293" s="635"/>
      <c r="W293" s="37" t="s">
        <v>67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hidden="1" customHeight="1" x14ac:dyDescent="0.25">
      <c r="A294" s="648" t="s">
        <v>170</v>
      </c>
      <c r="B294" s="646"/>
      <c r="C294" s="646"/>
      <c r="D294" s="646"/>
      <c r="E294" s="646"/>
      <c r="F294" s="646"/>
      <c r="G294" s="646"/>
      <c r="H294" s="646"/>
      <c r="I294" s="646"/>
      <c r="J294" s="646"/>
      <c r="K294" s="646"/>
      <c r="L294" s="646"/>
      <c r="M294" s="646"/>
      <c r="N294" s="646"/>
      <c r="O294" s="646"/>
      <c r="P294" s="646"/>
      <c r="Q294" s="646"/>
      <c r="R294" s="646"/>
      <c r="S294" s="646"/>
      <c r="T294" s="646"/>
      <c r="U294" s="646"/>
      <c r="V294" s="646"/>
      <c r="W294" s="646"/>
      <c r="X294" s="646"/>
      <c r="Y294" s="646"/>
      <c r="Z294" s="646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40">
        <v>4680115880818</v>
      </c>
      <c r="E295" s="641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7"/>
      <c r="R295" s="637"/>
      <c r="S295" s="637"/>
      <c r="T295" s="638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40">
        <v>4680115880801</v>
      </c>
      <c r="E296" s="641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7"/>
      <c r="R296" s="637"/>
      <c r="S296" s="637"/>
      <c r="T296" s="638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45"/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7"/>
      <c r="P297" s="633" t="s">
        <v>72</v>
      </c>
      <c r="Q297" s="634"/>
      <c r="R297" s="634"/>
      <c r="S297" s="634"/>
      <c r="T297" s="634"/>
      <c r="U297" s="634"/>
      <c r="V297" s="635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46"/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7"/>
      <c r="P298" s="633" t="s">
        <v>72</v>
      </c>
      <c r="Q298" s="634"/>
      <c r="R298" s="634"/>
      <c r="S298" s="634"/>
      <c r="T298" s="634"/>
      <c r="U298" s="634"/>
      <c r="V298" s="635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6" t="s">
        <v>504</v>
      </c>
      <c r="B299" s="646"/>
      <c r="C299" s="646"/>
      <c r="D299" s="646"/>
      <c r="E299" s="646"/>
      <c r="F299" s="646"/>
      <c r="G299" s="646"/>
      <c r="H299" s="646"/>
      <c r="I299" s="646"/>
      <c r="J299" s="646"/>
      <c r="K299" s="646"/>
      <c r="L299" s="646"/>
      <c r="M299" s="646"/>
      <c r="N299" s="646"/>
      <c r="O299" s="646"/>
      <c r="P299" s="646"/>
      <c r="Q299" s="646"/>
      <c r="R299" s="646"/>
      <c r="S299" s="646"/>
      <c r="T299" s="646"/>
      <c r="U299" s="646"/>
      <c r="V299" s="646"/>
      <c r="W299" s="646"/>
      <c r="X299" s="646"/>
      <c r="Y299" s="646"/>
      <c r="Z299" s="646"/>
      <c r="AA299" s="622"/>
      <c r="AB299" s="622"/>
      <c r="AC299" s="622"/>
    </row>
    <row r="300" spans="1:68" ht="14.25" hidden="1" customHeight="1" x14ac:dyDescent="0.25">
      <c r="A300" s="648" t="s">
        <v>117</v>
      </c>
      <c r="B300" s="646"/>
      <c r="C300" s="646"/>
      <c r="D300" s="646"/>
      <c r="E300" s="646"/>
      <c r="F300" s="646"/>
      <c r="G300" s="646"/>
      <c r="H300" s="646"/>
      <c r="I300" s="646"/>
      <c r="J300" s="646"/>
      <c r="K300" s="646"/>
      <c r="L300" s="646"/>
      <c r="M300" s="646"/>
      <c r="N300" s="646"/>
      <c r="O300" s="646"/>
      <c r="P300" s="646"/>
      <c r="Q300" s="646"/>
      <c r="R300" s="646"/>
      <c r="S300" s="646"/>
      <c r="T300" s="646"/>
      <c r="U300" s="646"/>
      <c r="V300" s="646"/>
      <c r="W300" s="646"/>
      <c r="X300" s="646"/>
      <c r="Y300" s="646"/>
      <c r="Z300" s="646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40">
        <v>4680115884137</v>
      </c>
      <c r="E301" s="641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7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7"/>
      <c r="R301" s="637"/>
      <c r="S301" s="637"/>
      <c r="T301" s="638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40">
        <v>4680115884236</v>
      </c>
      <c r="E302" s="641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9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7"/>
      <c r="R302" s="637"/>
      <c r="S302" s="637"/>
      <c r="T302" s="638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40">
        <v>4680115884175</v>
      </c>
      <c r="E303" s="641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7"/>
      <c r="R303" s="637"/>
      <c r="S303" s="637"/>
      <c r="T303" s="638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40">
        <v>4680115884144</v>
      </c>
      <c r="E304" s="641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7"/>
      <c r="R304" s="637"/>
      <c r="S304" s="637"/>
      <c r="T304" s="638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40">
        <v>4680115886551</v>
      </c>
      <c r="E305" s="641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9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7"/>
      <c r="R305" s="637"/>
      <c r="S305" s="637"/>
      <c r="T305" s="638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40">
        <v>4680115887282</v>
      </c>
      <c r="E306" s="641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0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7"/>
      <c r="R306" s="637"/>
      <c r="S306" s="637"/>
      <c r="T306" s="638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40">
        <v>4680115884205</v>
      </c>
      <c r="E307" s="641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6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7"/>
      <c r="R307" s="637"/>
      <c r="S307" s="637"/>
      <c r="T307" s="638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45"/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7"/>
      <c r="P308" s="633" t="s">
        <v>72</v>
      </c>
      <c r="Q308" s="634"/>
      <c r="R308" s="634"/>
      <c r="S308" s="634"/>
      <c r="T308" s="634"/>
      <c r="U308" s="634"/>
      <c r="V308" s="635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46"/>
      <c r="B309" s="646"/>
      <c r="C309" s="646"/>
      <c r="D309" s="646"/>
      <c r="E309" s="646"/>
      <c r="F309" s="646"/>
      <c r="G309" s="646"/>
      <c r="H309" s="646"/>
      <c r="I309" s="646"/>
      <c r="J309" s="646"/>
      <c r="K309" s="646"/>
      <c r="L309" s="646"/>
      <c r="M309" s="646"/>
      <c r="N309" s="646"/>
      <c r="O309" s="647"/>
      <c r="P309" s="633" t="s">
        <v>72</v>
      </c>
      <c r="Q309" s="634"/>
      <c r="R309" s="634"/>
      <c r="S309" s="634"/>
      <c r="T309" s="634"/>
      <c r="U309" s="634"/>
      <c r="V309" s="635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48" t="s">
        <v>153</v>
      </c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46"/>
      <c r="P310" s="646"/>
      <c r="Q310" s="646"/>
      <c r="R310" s="646"/>
      <c r="S310" s="646"/>
      <c r="T310" s="646"/>
      <c r="U310" s="646"/>
      <c r="V310" s="646"/>
      <c r="W310" s="646"/>
      <c r="X310" s="646"/>
      <c r="Y310" s="646"/>
      <c r="Z310" s="646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40">
        <v>4680115885981</v>
      </c>
      <c r="E311" s="641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7"/>
      <c r="R311" s="637"/>
      <c r="S311" s="637"/>
      <c r="T311" s="638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5"/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7"/>
      <c r="P312" s="633" t="s">
        <v>72</v>
      </c>
      <c r="Q312" s="634"/>
      <c r="R312" s="634"/>
      <c r="S312" s="634"/>
      <c r="T312" s="634"/>
      <c r="U312" s="634"/>
      <c r="V312" s="635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46"/>
      <c r="B313" s="646"/>
      <c r="C313" s="646"/>
      <c r="D313" s="646"/>
      <c r="E313" s="646"/>
      <c r="F313" s="646"/>
      <c r="G313" s="646"/>
      <c r="H313" s="646"/>
      <c r="I313" s="646"/>
      <c r="J313" s="646"/>
      <c r="K313" s="646"/>
      <c r="L313" s="646"/>
      <c r="M313" s="646"/>
      <c r="N313" s="646"/>
      <c r="O313" s="647"/>
      <c r="P313" s="633" t="s">
        <v>72</v>
      </c>
      <c r="Q313" s="634"/>
      <c r="R313" s="634"/>
      <c r="S313" s="634"/>
      <c r="T313" s="634"/>
      <c r="U313" s="634"/>
      <c r="V313" s="635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48" t="s">
        <v>526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40">
        <v>4680115886803</v>
      </c>
      <c r="E315" s="641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9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7"/>
      <c r="R315" s="637"/>
      <c r="S315" s="637"/>
      <c r="T315" s="638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45"/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7"/>
      <c r="P316" s="633" t="s">
        <v>72</v>
      </c>
      <c r="Q316" s="634"/>
      <c r="R316" s="634"/>
      <c r="S316" s="634"/>
      <c r="T316" s="634"/>
      <c r="U316" s="634"/>
      <c r="V316" s="635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46"/>
      <c r="B317" s="646"/>
      <c r="C317" s="646"/>
      <c r="D317" s="646"/>
      <c r="E317" s="646"/>
      <c r="F317" s="646"/>
      <c r="G317" s="646"/>
      <c r="H317" s="646"/>
      <c r="I317" s="646"/>
      <c r="J317" s="646"/>
      <c r="K317" s="646"/>
      <c r="L317" s="646"/>
      <c r="M317" s="646"/>
      <c r="N317" s="646"/>
      <c r="O317" s="647"/>
      <c r="P317" s="633" t="s">
        <v>72</v>
      </c>
      <c r="Q317" s="634"/>
      <c r="R317" s="634"/>
      <c r="S317" s="634"/>
      <c r="T317" s="634"/>
      <c r="U317" s="634"/>
      <c r="V317" s="635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48" t="s">
        <v>343</v>
      </c>
      <c r="B318" s="646"/>
      <c r="C318" s="646"/>
      <c r="D318" s="646"/>
      <c r="E318" s="646"/>
      <c r="F318" s="646"/>
      <c r="G318" s="646"/>
      <c r="H318" s="646"/>
      <c r="I318" s="646"/>
      <c r="J318" s="646"/>
      <c r="K318" s="646"/>
      <c r="L318" s="646"/>
      <c r="M318" s="646"/>
      <c r="N318" s="646"/>
      <c r="O318" s="646"/>
      <c r="P318" s="646"/>
      <c r="Q318" s="646"/>
      <c r="R318" s="646"/>
      <c r="S318" s="646"/>
      <c r="T318" s="646"/>
      <c r="U318" s="646"/>
      <c r="V318" s="646"/>
      <c r="W318" s="646"/>
      <c r="X318" s="646"/>
      <c r="Y318" s="646"/>
      <c r="Z318" s="646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40">
        <v>4680115886704</v>
      </c>
      <c r="E319" s="641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6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7"/>
      <c r="R319" s="637"/>
      <c r="S319" s="637"/>
      <c r="T319" s="638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40">
        <v>4680115886681</v>
      </c>
      <c r="E320" s="641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7"/>
      <c r="R320" s="637"/>
      <c r="S320" s="637"/>
      <c r="T320" s="638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40">
        <v>4680115886735</v>
      </c>
      <c r="E321" s="641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7"/>
      <c r="R321" s="637"/>
      <c r="S321" s="637"/>
      <c r="T321" s="638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45"/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7"/>
      <c r="P322" s="633" t="s">
        <v>72</v>
      </c>
      <c r="Q322" s="634"/>
      <c r="R322" s="634"/>
      <c r="S322" s="634"/>
      <c r="T322" s="634"/>
      <c r="U322" s="634"/>
      <c r="V322" s="635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46"/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7"/>
      <c r="P323" s="633" t="s">
        <v>72</v>
      </c>
      <c r="Q323" s="634"/>
      <c r="R323" s="634"/>
      <c r="S323" s="634"/>
      <c r="T323" s="634"/>
      <c r="U323" s="634"/>
      <c r="V323" s="635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6" t="s">
        <v>537</v>
      </c>
      <c r="B324" s="646"/>
      <c r="C324" s="646"/>
      <c r="D324" s="646"/>
      <c r="E324" s="646"/>
      <c r="F324" s="646"/>
      <c r="G324" s="646"/>
      <c r="H324" s="646"/>
      <c r="I324" s="646"/>
      <c r="J324" s="646"/>
      <c r="K324" s="646"/>
      <c r="L324" s="646"/>
      <c r="M324" s="646"/>
      <c r="N324" s="646"/>
      <c r="O324" s="646"/>
      <c r="P324" s="646"/>
      <c r="Q324" s="646"/>
      <c r="R324" s="646"/>
      <c r="S324" s="646"/>
      <c r="T324" s="646"/>
      <c r="U324" s="646"/>
      <c r="V324" s="646"/>
      <c r="W324" s="646"/>
      <c r="X324" s="646"/>
      <c r="Y324" s="646"/>
      <c r="Z324" s="646"/>
      <c r="AA324" s="622"/>
      <c r="AB324" s="622"/>
      <c r="AC324" s="622"/>
    </row>
    <row r="325" spans="1:68" ht="14.25" hidden="1" customHeight="1" x14ac:dyDescent="0.25">
      <c r="A325" s="648" t="s">
        <v>117</v>
      </c>
      <c r="B325" s="646"/>
      <c r="C325" s="646"/>
      <c r="D325" s="646"/>
      <c r="E325" s="646"/>
      <c r="F325" s="646"/>
      <c r="G325" s="646"/>
      <c r="H325" s="646"/>
      <c r="I325" s="646"/>
      <c r="J325" s="646"/>
      <c r="K325" s="646"/>
      <c r="L325" s="646"/>
      <c r="M325" s="646"/>
      <c r="N325" s="646"/>
      <c r="O325" s="646"/>
      <c r="P325" s="646"/>
      <c r="Q325" s="646"/>
      <c r="R325" s="646"/>
      <c r="S325" s="646"/>
      <c r="T325" s="646"/>
      <c r="U325" s="646"/>
      <c r="V325" s="646"/>
      <c r="W325" s="646"/>
      <c r="X325" s="646"/>
      <c r="Y325" s="646"/>
      <c r="Z325" s="646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40">
        <v>4680115885837</v>
      </c>
      <c r="E326" s="641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9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7"/>
      <c r="R326" s="637"/>
      <c r="S326" s="637"/>
      <c r="T326" s="638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40">
        <v>4680115887237</v>
      </c>
      <c r="E327" s="641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7"/>
      <c r="R327" s="637"/>
      <c r="S327" s="637"/>
      <c r="T327" s="638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40">
        <v>4680115885806</v>
      </c>
      <c r="E328" s="641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7"/>
      <c r="R328" s="637"/>
      <c r="S328" s="637"/>
      <c r="T328" s="638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40">
        <v>4680115885844</v>
      </c>
      <c r="E329" s="641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7"/>
      <c r="R329" s="637"/>
      <c r="S329" s="637"/>
      <c r="T329" s="638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40">
        <v>4680115885820</v>
      </c>
      <c r="E330" s="641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7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7"/>
      <c r="R330" s="637"/>
      <c r="S330" s="637"/>
      <c r="T330" s="638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45"/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7"/>
      <c r="P331" s="633" t="s">
        <v>72</v>
      </c>
      <c r="Q331" s="634"/>
      <c r="R331" s="634"/>
      <c r="S331" s="634"/>
      <c r="T331" s="634"/>
      <c r="U331" s="634"/>
      <c r="V331" s="635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46"/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7"/>
      <c r="P332" s="633" t="s">
        <v>72</v>
      </c>
      <c r="Q332" s="634"/>
      <c r="R332" s="634"/>
      <c r="S332" s="634"/>
      <c r="T332" s="634"/>
      <c r="U332" s="634"/>
      <c r="V332" s="635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6" t="s">
        <v>553</v>
      </c>
      <c r="B333" s="646"/>
      <c r="C333" s="646"/>
      <c r="D333" s="646"/>
      <c r="E333" s="646"/>
      <c r="F333" s="646"/>
      <c r="G333" s="646"/>
      <c r="H333" s="646"/>
      <c r="I333" s="646"/>
      <c r="J333" s="646"/>
      <c r="K333" s="646"/>
      <c r="L333" s="646"/>
      <c r="M333" s="646"/>
      <c r="N333" s="646"/>
      <c r="O333" s="646"/>
      <c r="P333" s="646"/>
      <c r="Q333" s="646"/>
      <c r="R333" s="646"/>
      <c r="S333" s="646"/>
      <c r="T333" s="646"/>
      <c r="U333" s="646"/>
      <c r="V333" s="646"/>
      <c r="W333" s="646"/>
      <c r="X333" s="646"/>
      <c r="Y333" s="646"/>
      <c r="Z333" s="646"/>
      <c r="AA333" s="622"/>
      <c r="AB333" s="622"/>
      <c r="AC333" s="622"/>
    </row>
    <row r="334" spans="1:68" ht="14.25" hidden="1" customHeight="1" x14ac:dyDescent="0.25">
      <c r="A334" s="648" t="s">
        <v>74</v>
      </c>
      <c r="B334" s="646"/>
      <c r="C334" s="646"/>
      <c r="D334" s="646"/>
      <c r="E334" s="646"/>
      <c r="F334" s="646"/>
      <c r="G334" s="646"/>
      <c r="H334" s="646"/>
      <c r="I334" s="646"/>
      <c r="J334" s="646"/>
      <c r="K334" s="646"/>
      <c r="L334" s="646"/>
      <c r="M334" s="646"/>
      <c r="N334" s="646"/>
      <c r="O334" s="646"/>
      <c r="P334" s="646"/>
      <c r="Q334" s="646"/>
      <c r="R334" s="646"/>
      <c r="S334" s="646"/>
      <c r="T334" s="646"/>
      <c r="U334" s="646"/>
      <c r="V334" s="646"/>
      <c r="W334" s="646"/>
      <c r="X334" s="646"/>
      <c r="Y334" s="646"/>
      <c r="Z334" s="646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40">
        <v>4680115886186</v>
      </c>
      <c r="E335" s="641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7"/>
      <c r="R335" s="637"/>
      <c r="S335" s="637"/>
      <c r="T335" s="638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40">
        <v>4680115881228</v>
      </c>
      <c r="E336" s="641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7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7"/>
      <c r="R336" s="637"/>
      <c r="S336" s="637"/>
      <c r="T336" s="638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40">
        <v>4680115881211</v>
      </c>
      <c r="E337" s="641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92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7"/>
      <c r="R337" s="637"/>
      <c r="S337" s="637"/>
      <c r="T337" s="638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45"/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7"/>
      <c r="P338" s="633" t="s">
        <v>72</v>
      </c>
      <c r="Q338" s="634"/>
      <c r="R338" s="634"/>
      <c r="S338" s="634"/>
      <c r="T338" s="634"/>
      <c r="U338" s="634"/>
      <c r="V338" s="635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46"/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7"/>
      <c r="P339" s="633" t="s">
        <v>72</v>
      </c>
      <c r="Q339" s="634"/>
      <c r="R339" s="634"/>
      <c r="S339" s="634"/>
      <c r="T339" s="634"/>
      <c r="U339" s="634"/>
      <c r="V339" s="635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6" t="s">
        <v>562</v>
      </c>
      <c r="B340" s="646"/>
      <c r="C340" s="646"/>
      <c r="D340" s="646"/>
      <c r="E340" s="646"/>
      <c r="F340" s="646"/>
      <c r="G340" s="646"/>
      <c r="H340" s="646"/>
      <c r="I340" s="646"/>
      <c r="J340" s="646"/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  <c r="AA340" s="622"/>
      <c r="AB340" s="622"/>
      <c r="AC340" s="622"/>
    </row>
    <row r="341" spans="1:68" ht="14.25" hidden="1" customHeight="1" x14ac:dyDescent="0.25">
      <c r="A341" s="648" t="s">
        <v>62</v>
      </c>
      <c r="B341" s="646"/>
      <c r="C341" s="646"/>
      <c r="D341" s="646"/>
      <c r="E341" s="646"/>
      <c r="F341" s="646"/>
      <c r="G341" s="646"/>
      <c r="H341" s="646"/>
      <c r="I341" s="646"/>
      <c r="J341" s="646"/>
      <c r="K341" s="646"/>
      <c r="L341" s="646"/>
      <c r="M341" s="646"/>
      <c r="N341" s="646"/>
      <c r="O341" s="646"/>
      <c r="P341" s="646"/>
      <c r="Q341" s="646"/>
      <c r="R341" s="646"/>
      <c r="S341" s="646"/>
      <c r="T341" s="646"/>
      <c r="U341" s="646"/>
      <c r="V341" s="646"/>
      <c r="W341" s="646"/>
      <c r="X341" s="646"/>
      <c r="Y341" s="646"/>
      <c r="Z341" s="646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40">
        <v>4680115888319</v>
      </c>
      <c r="E342" s="641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6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7"/>
      <c r="R342" s="637"/>
      <c r="S342" s="637"/>
      <c r="T342" s="638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40">
        <v>4680115884700</v>
      </c>
      <c r="E343" s="641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7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7"/>
      <c r="R343" s="637"/>
      <c r="S343" s="637"/>
      <c r="T343" s="638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40">
        <v>4680115880344</v>
      </c>
      <c r="E344" s="641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7"/>
      <c r="R344" s="637"/>
      <c r="S344" s="637"/>
      <c r="T344" s="638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40">
        <v>4680115886919</v>
      </c>
      <c r="E345" s="641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77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7"/>
      <c r="R345" s="637"/>
      <c r="S345" s="637"/>
      <c r="T345" s="638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40">
        <v>4680115883970</v>
      </c>
      <c r="E346" s="641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74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7"/>
      <c r="R346" s="637"/>
      <c r="S346" s="637"/>
      <c r="T346" s="638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5"/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7"/>
      <c r="P347" s="633" t="s">
        <v>72</v>
      </c>
      <c r="Q347" s="634"/>
      <c r="R347" s="634"/>
      <c r="S347" s="634"/>
      <c r="T347" s="634"/>
      <c r="U347" s="634"/>
      <c r="V347" s="635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46"/>
      <c r="B348" s="646"/>
      <c r="C348" s="646"/>
      <c r="D348" s="646"/>
      <c r="E348" s="646"/>
      <c r="F348" s="646"/>
      <c r="G348" s="646"/>
      <c r="H348" s="646"/>
      <c r="I348" s="646"/>
      <c r="J348" s="646"/>
      <c r="K348" s="646"/>
      <c r="L348" s="646"/>
      <c r="M348" s="646"/>
      <c r="N348" s="646"/>
      <c r="O348" s="647"/>
      <c r="P348" s="633" t="s">
        <v>72</v>
      </c>
      <c r="Q348" s="634"/>
      <c r="R348" s="634"/>
      <c r="S348" s="634"/>
      <c r="T348" s="634"/>
      <c r="U348" s="634"/>
      <c r="V348" s="635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48" t="s">
        <v>74</v>
      </c>
      <c r="B349" s="646"/>
      <c r="C349" s="646"/>
      <c r="D349" s="646"/>
      <c r="E349" s="646"/>
      <c r="F349" s="646"/>
      <c r="G349" s="646"/>
      <c r="H349" s="646"/>
      <c r="I349" s="646"/>
      <c r="J349" s="646"/>
      <c r="K349" s="646"/>
      <c r="L349" s="646"/>
      <c r="M349" s="646"/>
      <c r="N349" s="646"/>
      <c r="O349" s="646"/>
      <c r="P349" s="646"/>
      <c r="Q349" s="646"/>
      <c r="R349" s="646"/>
      <c r="S349" s="646"/>
      <c r="T349" s="646"/>
      <c r="U349" s="646"/>
      <c r="V349" s="646"/>
      <c r="W349" s="646"/>
      <c r="X349" s="646"/>
      <c r="Y349" s="646"/>
      <c r="Z349" s="646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40">
        <v>4680115884618</v>
      </c>
      <c r="E350" s="641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92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7"/>
      <c r="R350" s="637"/>
      <c r="S350" s="637"/>
      <c r="T350" s="638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40">
        <v>4680115887114</v>
      </c>
      <c r="E351" s="641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7"/>
      <c r="R351" s="637"/>
      <c r="S351" s="637"/>
      <c r="T351" s="638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5"/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7"/>
      <c r="P352" s="633" t="s">
        <v>72</v>
      </c>
      <c r="Q352" s="634"/>
      <c r="R352" s="634"/>
      <c r="S352" s="634"/>
      <c r="T352" s="634"/>
      <c r="U352" s="634"/>
      <c r="V352" s="635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46"/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7"/>
      <c r="P353" s="633" t="s">
        <v>72</v>
      </c>
      <c r="Q353" s="634"/>
      <c r="R353" s="634"/>
      <c r="S353" s="634"/>
      <c r="T353" s="634"/>
      <c r="U353" s="634"/>
      <c r="V353" s="635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6" t="s">
        <v>583</v>
      </c>
      <c r="B354" s="646"/>
      <c r="C354" s="646"/>
      <c r="D354" s="646"/>
      <c r="E354" s="646"/>
      <c r="F354" s="646"/>
      <c r="G354" s="646"/>
      <c r="H354" s="646"/>
      <c r="I354" s="646"/>
      <c r="J354" s="646"/>
      <c r="K354" s="646"/>
      <c r="L354" s="646"/>
      <c r="M354" s="646"/>
      <c r="N354" s="646"/>
      <c r="O354" s="646"/>
      <c r="P354" s="646"/>
      <c r="Q354" s="646"/>
      <c r="R354" s="646"/>
      <c r="S354" s="646"/>
      <c r="T354" s="646"/>
      <c r="U354" s="646"/>
      <c r="V354" s="646"/>
      <c r="W354" s="646"/>
      <c r="X354" s="646"/>
      <c r="Y354" s="646"/>
      <c r="Z354" s="646"/>
      <c r="AA354" s="622"/>
      <c r="AB354" s="622"/>
      <c r="AC354" s="622"/>
    </row>
    <row r="355" spans="1:68" ht="14.25" hidden="1" customHeight="1" x14ac:dyDescent="0.25">
      <c r="A355" s="648" t="s">
        <v>117</v>
      </c>
      <c r="B355" s="646"/>
      <c r="C355" s="646"/>
      <c r="D355" s="646"/>
      <c r="E355" s="646"/>
      <c r="F355" s="646"/>
      <c r="G355" s="646"/>
      <c r="H355" s="646"/>
      <c r="I355" s="646"/>
      <c r="J355" s="646"/>
      <c r="K355" s="646"/>
      <c r="L355" s="646"/>
      <c r="M355" s="646"/>
      <c r="N355" s="646"/>
      <c r="O355" s="646"/>
      <c r="P355" s="646"/>
      <c r="Q355" s="646"/>
      <c r="R355" s="646"/>
      <c r="S355" s="646"/>
      <c r="T355" s="646"/>
      <c r="U355" s="646"/>
      <c r="V355" s="646"/>
      <c r="W355" s="646"/>
      <c r="X355" s="646"/>
      <c r="Y355" s="646"/>
      <c r="Z355" s="646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40">
        <v>4680115887947</v>
      </c>
      <c r="E356" s="641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7"/>
      <c r="R356" s="637"/>
      <c r="S356" s="637"/>
      <c r="T356" s="638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40">
        <v>4680115887978</v>
      </c>
      <c r="E357" s="641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69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7"/>
      <c r="R357" s="637"/>
      <c r="S357" s="637"/>
      <c r="T357" s="638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40">
        <v>4680115887992</v>
      </c>
      <c r="E358" s="641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8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7"/>
      <c r="R358" s="637"/>
      <c r="S358" s="637"/>
      <c r="T358" s="638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45"/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7"/>
      <c r="P359" s="633" t="s">
        <v>72</v>
      </c>
      <c r="Q359" s="634"/>
      <c r="R359" s="634"/>
      <c r="S359" s="634"/>
      <c r="T359" s="634"/>
      <c r="U359" s="634"/>
      <c r="V359" s="635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46"/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7"/>
      <c r="P360" s="633" t="s">
        <v>72</v>
      </c>
      <c r="Q360" s="634"/>
      <c r="R360" s="634"/>
      <c r="S360" s="634"/>
      <c r="T360" s="634"/>
      <c r="U360" s="634"/>
      <c r="V360" s="635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6" t="s">
        <v>592</v>
      </c>
      <c r="B361" s="646"/>
      <c r="C361" s="646"/>
      <c r="D361" s="646"/>
      <c r="E361" s="646"/>
      <c r="F361" s="646"/>
      <c r="G361" s="646"/>
      <c r="H361" s="646"/>
      <c r="I361" s="646"/>
      <c r="J361" s="646"/>
      <c r="K361" s="646"/>
      <c r="L361" s="646"/>
      <c r="M361" s="646"/>
      <c r="N361" s="646"/>
      <c r="O361" s="646"/>
      <c r="P361" s="646"/>
      <c r="Q361" s="646"/>
      <c r="R361" s="646"/>
      <c r="S361" s="646"/>
      <c r="T361" s="646"/>
      <c r="U361" s="646"/>
      <c r="V361" s="646"/>
      <c r="W361" s="646"/>
      <c r="X361" s="646"/>
      <c r="Y361" s="646"/>
      <c r="Z361" s="646"/>
      <c r="AA361" s="622"/>
      <c r="AB361" s="622"/>
      <c r="AC361" s="622"/>
    </row>
    <row r="362" spans="1:68" ht="14.25" hidden="1" customHeight="1" x14ac:dyDescent="0.25">
      <c r="A362" s="648" t="s">
        <v>117</v>
      </c>
      <c r="B362" s="646"/>
      <c r="C362" s="646"/>
      <c r="D362" s="646"/>
      <c r="E362" s="646"/>
      <c r="F362" s="646"/>
      <c r="G362" s="646"/>
      <c r="H362" s="646"/>
      <c r="I362" s="646"/>
      <c r="J362" s="646"/>
      <c r="K362" s="646"/>
      <c r="L362" s="646"/>
      <c r="M362" s="646"/>
      <c r="N362" s="646"/>
      <c r="O362" s="646"/>
      <c r="P362" s="646"/>
      <c r="Q362" s="646"/>
      <c r="R362" s="646"/>
      <c r="S362" s="646"/>
      <c r="T362" s="646"/>
      <c r="U362" s="646"/>
      <c r="V362" s="646"/>
      <c r="W362" s="646"/>
      <c r="X362" s="646"/>
      <c r="Y362" s="646"/>
      <c r="Z362" s="646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40">
        <v>4680115887190</v>
      </c>
      <c r="E363" s="641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6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7"/>
      <c r="R363" s="637"/>
      <c r="S363" s="637"/>
      <c r="T363" s="638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40">
        <v>4680115887138</v>
      </c>
      <c r="E364" s="641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7"/>
      <c r="R364" s="637"/>
      <c r="S364" s="637"/>
      <c r="T364" s="638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40">
        <v>4680115885554</v>
      </c>
      <c r="E365" s="641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7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7"/>
      <c r="R365" s="637"/>
      <c r="S365" s="637"/>
      <c r="T365" s="638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40">
        <v>4680115887220</v>
      </c>
      <c r="E366" s="641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98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7"/>
      <c r="R366" s="637"/>
      <c r="S366" s="637"/>
      <c r="T366" s="638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40">
        <v>4680115885608</v>
      </c>
      <c r="E367" s="641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7"/>
      <c r="R367" s="637"/>
      <c r="S367" s="637"/>
      <c r="T367" s="638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45"/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7"/>
      <c r="P368" s="633" t="s">
        <v>72</v>
      </c>
      <c r="Q368" s="634"/>
      <c r="R368" s="634"/>
      <c r="S368" s="634"/>
      <c r="T368" s="634"/>
      <c r="U368" s="634"/>
      <c r="V368" s="635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46"/>
      <c r="B369" s="646"/>
      <c r="C369" s="646"/>
      <c r="D369" s="646"/>
      <c r="E369" s="646"/>
      <c r="F369" s="646"/>
      <c r="G369" s="646"/>
      <c r="H369" s="646"/>
      <c r="I369" s="646"/>
      <c r="J369" s="646"/>
      <c r="K369" s="646"/>
      <c r="L369" s="646"/>
      <c r="M369" s="646"/>
      <c r="N369" s="646"/>
      <c r="O369" s="647"/>
      <c r="P369" s="633" t="s">
        <v>72</v>
      </c>
      <c r="Q369" s="634"/>
      <c r="R369" s="634"/>
      <c r="S369" s="634"/>
      <c r="T369" s="634"/>
      <c r="U369" s="634"/>
      <c r="V369" s="635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48" t="s">
        <v>62</v>
      </c>
      <c r="B370" s="646"/>
      <c r="C370" s="646"/>
      <c r="D370" s="646"/>
      <c r="E370" s="646"/>
      <c r="F370" s="646"/>
      <c r="G370" s="646"/>
      <c r="H370" s="646"/>
      <c r="I370" s="646"/>
      <c r="J370" s="646"/>
      <c r="K370" s="646"/>
      <c r="L370" s="646"/>
      <c r="M370" s="646"/>
      <c r="N370" s="646"/>
      <c r="O370" s="646"/>
      <c r="P370" s="646"/>
      <c r="Q370" s="646"/>
      <c r="R370" s="646"/>
      <c r="S370" s="646"/>
      <c r="T370" s="646"/>
      <c r="U370" s="646"/>
      <c r="V370" s="646"/>
      <c r="W370" s="646"/>
      <c r="X370" s="646"/>
      <c r="Y370" s="646"/>
      <c r="Z370" s="646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40">
        <v>4607091387193</v>
      </c>
      <c r="E371" s="641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8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7"/>
      <c r="R371" s="637"/>
      <c r="S371" s="637"/>
      <c r="T371" s="638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40">
        <v>4607091387230</v>
      </c>
      <c r="E372" s="641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7"/>
      <c r="R372" s="637"/>
      <c r="S372" s="637"/>
      <c r="T372" s="638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40">
        <v>4607091387292</v>
      </c>
      <c r="E373" s="641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6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7"/>
      <c r="R373" s="637"/>
      <c r="S373" s="637"/>
      <c r="T373" s="638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40">
        <v>4607091387285</v>
      </c>
      <c r="E374" s="641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7"/>
      <c r="R374" s="637"/>
      <c r="S374" s="637"/>
      <c r="T374" s="638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40">
        <v>4607091389845</v>
      </c>
      <c r="E375" s="641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7"/>
      <c r="R375" s="637"/>
      <c r="S375" s="637"/>
      <c r="T375" s="638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40">
        <v>4680115887442</v>
      </c>
      <c r="E376" s="641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7"/>
      <c r="R376" s="637"/>
      <c r="S376" s="637"/>
      <c r="T376" s="638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40">
        <v>4607091383836</v>
      </c>
      <c r="E377" s="641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7"/>
      <c r="R377" s="637"/>
      <c r="S377" s="637"/>
      <c r="T377" s="638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45"/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7"/>
      <c r="P378" s="633" t="s">
        <v>72</v>
      </c>
      <c r="Q378" s="634"/>
      <c r="R378" s="634"/>
      <c r="S378" s="634"/>
      <c r="T378" s="634"/>
      <c r="U378" s="634"/>
      <c r="V378" s="635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46"/>
      <c r="B379" s="646"/>
      <c r="C379" s="646"/>
      <c r="D379" s="646"/>
      <c r="E379" s="646"/>
      <c r="F379" s="646"/>
      <c r="G379" s="646"/>
      <c r="H379" s="646"/>
      <c r="I379" s="646"/>
      <c r="J379" s="646"/>
      <c r="K379" s="646"/>
      <c r="L379" s="646"/>
      <c r="M379" s="646"/>
      <c r="N379" s="646"/>
      <c r="O379" s="647"/>
      <c r="P379" s="633" t="s">
        <v>72</v>
      </c>
      <c r="Q379" s="634"/>
      <c r="R379" s="634"/>
      <c r="S379" s="634"/>
      <c r="T379" s="634"/>
      <c r="U379" s="634"/>
      <c r="V379" s="635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48" t="s">
        <v>74</v>
      </c>
      <c r="B380" s="646"/>
      <c r="C380" s="646"/>
      <c r="D380" s="646"/>
      <c r="E380" s="646"/>
      <c r="F380" s="646"/>
      <c r="G380" s="646"/>
      <c r="H380" s="646"/>
      <c r="I380" s="646"/>
      <c r="J380" s="646"/>
      <c r="K380" s="646"/>
      <c r="L380" s="646"/>
      <c r="M380" s="646"/>
      <c r="N380" s="646"/>
      <c r="O380" s="646"/>
      <c r="P380" s="646"/>
      <c r="Q380" s="646"/>
      <c r="R380" s="646"/>
      <c r="S380" s="646"/>
      <c r="T380" s="646"/>
      <c r="U380" s="646"/>
      <c r="V380" s="646"/>
      <c r="W380" s="646"/>
      <c r="X380" s="646"/>
      <c r="Y380" s="646"/>
      <c r="Z380" s="646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40">
        <v>4607091387766</v>
      </c>
      <c r="E381" s="641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9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7"/>
      <c r="R381" s="637"/>
      <c r="S381" s="637"/>
      <c r="T381" s="638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40">
        <v>4607091387957</v>
      </c>
      <c r="E382" s="641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93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7"/>
      <c r="R382" s="637"/>
      <c r="S382" s="637"/>
      <c r="T382" s="638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40">
        <v>4607091387964</v>
      </c>
      <c r="E383" s="641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66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7"/>
      <c r="R383" s="637"/>
      <c r="S383" s="637"/>
      <c r="T383" s="638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40">
        <v>4680115884588</v>
      </c>
      <c r="E384" s="641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9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7"/>
      <c r="R384" s="637"/>
      <c r="S384" s="637"/>
      <c r="T384" s="638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45"/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7"/>
      <c r="P385" s="633" t="s">
        <v>72</v>
      </c>
      <c r="Q385" s="634"/>
      <c r="R385" s="634"/>
      <c r="S385" s="634"/>
      <c r="T385" s="634"/>
      <c r="U385" s="634"/>
      <c r="V385" s="635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46"/>
      <c r="B386" s="646"/>
      <c r="C386" s="646"/>
      <c r="D386" s="646"/>
      <c r="E386" s="646"/>
      <c r="F386" s="646"/>
      <c r="G386" s="646"/>
      <c r="H386" s="646"/>
      <c r="I386" s="646"/>
      <c r="J386" s="646"/>
      <c r="K386" s="646"/>
      <c r="L386" s="646"/>
      <c r="M386" s="646"/>
      <c r="N386" s="646"/>
      <c r="O386" s="647"/>
      <c r="P386" s="633" t="s">
        <v>72</v>
      </c>
      <c r="Q386" s="634"/>
      <c r="R386" s="634"/>
      <c r="S386" s="634"/>
      <c r="T386" s="634"/>
      <c r="U386" s="634"/>
      <c r="V386" s="635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48" t="s">
        <v>170</v>
      </c>
      <c r="B387" s="646"/>
      <c r="C387" s="646"/>
      <c r="D387" s="646"/>
      <c r="E387" s="646"/>
      <c r="F387" s="646"/>
      <c r="G387" s="646"/>
      <c r="H387" s="646"/>
      <c r="I387" s="646"/>
      <c r="J387" s="646"/>
      <c r="K387" s="646"/>
      <c r="L387" s="646"/>
      <c r="M387" s="646"/>
      <c r="N387" s="646"/>
      <c r="O387" s="646"/>
      <c r="P387" s="646"/>
      <c r="Q387" s="646"/>
      <c r="R387" s="646"/>
      <c r="S387" s="646"/>
      <c r="T387" s="646"/>
      <c r="U387" s="646"/>
      <c r="V387" s="646"/>
      <c r="W387" s="646"/>
      <c r="X387" s="646"/>
      <c r="Y387" s="646"/>
      <c r="Z387" s="646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40">
        <v>4607091380880</v>
      </c>
      <c r="E388" s="641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7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7"/>
      <c r="R388" s="637"/>
      <c r="S388" s="637"/>
      <c r="T388" s="638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40">
        <v>4607091384482</v>
      </c>
      <c r="E389" s="641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9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7"/>
      <c r="R389" s="637"/>
      <c r="S389" s="637"/>
      <c r="T389" s="638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40">
        <v>4607091380897</v>
      </c>
      <c r="E390" s="641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7"/>
      <c r="R390" s="637"/>
      <c r="S390" s="637"/>
      <c r="T390" s="638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5"/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7"/>
      <c r="P391" s="633" t="s">
        <v>72</v>
      </c>
      <c r="Q391" s="634"/>
      <c r="R391" s="634"/>
      <c r="S391" s="634"/>
      <c r="T391" s="634"/>
      <c r="U391" s="634"/>
      <c r="V391" s="635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46"/>
      <c r="B392" s="646"/>
      <c r="C392" s="646"/>
      <c r="D392" s="646"/>
      <c r="E392" s="646"/>
      <c r="F392" s="646"/>
      <c r="G392" s="646"/>
      <c r="H392" s="646"/>
      <c r="I392" s="646"/>
      <c r="J392" s="646"/>
      <c r="K392" s="646"/>
      <c r="L392" s="646"/>
      <c r="M392" s="646"/>
      <c r="N392" s="646"/>
      <c r="O392" s="647"/>
      <c r="P392" s="633" t="s">
        <v>72</v>
      </c>
      <c r="Q392" s="634"/>
      <c r="R392" s="634"/>
      <c r="S392" s="634"/>
      <c r="T392" s="634"/>
      <c r="U392" s="634"/>
      <c r="V392" s="635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48" t="s">
        <v>92</v>
      </c>
      <c r="B393" s="646"/>
      <c r="C393" s="646"/>
      <c r="D393" s="646"/>
      <c r="E393" s="646"/>
      <c r="F393" s="646"/>
      <c r="G393" s="646"/>
      <c r="H393" s="646"/>
      <c r="I393" s="646"/>
      <c r="J393" s="646"/>
      <c r="K393" s="646"/>
      <c r="L393" s="646"/>
      <c r="M393" s="646"/>
      <c r="N393" s="646"/>
      <c r="O393" s="646"/>
      <c r="P393" s="646"/>
      <c r="Q393" s="646"/>
      <c r="R393" s="646"/>
      <c r="S393" s="646"/>
      <c r="T393" s="646"/>
      <c r="U393" s="646"/>
      <c r="V393" s="646"/>
      <c r="W393" s="646"/>
      <c r="X393" s="646"/>
      <c r="Y393" s="646"/>
      <c r="Z393" s="646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40">
        <v>4607091388381</v>
      </c>
      <c r="E394" s="641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9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7"/>
      <c r="R394" s="637"/>
      <c r="S394" s="637"/>
      <c r="T394" s="638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40">
        <v>4607091388374</v>
      </c>
      <c r="E395" s="641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79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7"/>
      <c r="R395" s="637"/>
      <c r="S395" s="637"/>
      <c r="T395" s="638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40">
        <v>4607091383102</v>
      </c>
      <c r="E396" s="641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7"/>
      <c r="R396" s="637"/>
      <c r="S396" s="637"/>
      <c r="T396" s="638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40">
        <v>4607091388404</v>
      </c>
      <c r="E397" s="641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7"/>
      <c r="R397" s="637"/>
      <c r="S397" s="637"/>
      <c r="T397" s="638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45"/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7"/>
      <c r="P398" s="633" t="s">
        <v>72</v>
      </c>
      <c r="Q398" s="634"/>
      <c r="R398" s="634"/>
      <c r="S398" s="634"/>
      <c r="T398" s="634"/>
      <c r="U398" s="634"/>
      <c r="V398" s="635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46"/>
      <c r="B399" s="646"/>
      <c r="C399" s="646"/>
      <c r="D399" s="646"/>
      <c r="E399" s="646"/>
      <c r="F399" s="646"/>
      <c r="G399" s="646"/>
      <c r="H399" s="646"/>
      <c r="I399" s="646"/>
      <c r="J399" s="646"/>
      <c r="K399" s="646"/>
      <c r="L399" s="646"/>
      <c r="M399" s="646"/>
      <c r="N399" s="646"/>
      <c r="O399" s="647"/>
      <c r="P399" s="633" t="s">
        <v>72</v>
      </c>
      <c r="Q399" s="634"/>
      <c r="R399" s="634"/>
      <c r="S399" s="634"/>
      <c r="T399" s="634"/>
      <c r="U399" s="634"/>
      <c r="V399" s="635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48" t="s">
        <v>655</v>
      </c>
      <c r="B400" s="646"/>
      <c r="C400" s="646"/>
      <c r="D400" s="646"/>
      <c r="E400" s="646"/>
      <c r="F400" s="646"/>
      <c r="G400" s="646"/>
      <c r="H400" s="646"/>
      <c r="I400" s="646"/>
      <c r="J400" s="646"/>
      <c r="K400" s="646"/>
      <c r="L400" s="646"/>
      <c r="M400" s="646"/>
      <c r="N400" s="646"/>
      <c r="O400" s="646"/>
      <c r="P400" s="646"/>
      <c r="Q400" s="646"/>
      <c r="R400" s="646"/>
      <c r="S400" s="646"/>
      <c r="T400" s="646"/>
      <c r="U400" s="646"/>
      <c r="V400" s="646"/>
      <c r="W400" s="646"/>
      <c r="X400" s="646"/>
      <c r="Y400" s="646"/>
      <c r="Z400" s="646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40">
        <v>4680115881808</v>
      </c>
      <c r="E401" s="641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9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7"/>
      <c r="R401" s="637"/>
      <c r="S401" s="637"/>
      <c r="T401" s="638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40">
        <v>4680115881822</v>
      </c>
      <c r="E402" s="641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9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7"/>
      <c r="R402" s="637"/>
      <c r="S402" s="637"/>
      <c r="T402" s="638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40">
        <v>4680115880016</v>
      </c>
      <c r="E403" s="641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7"/>
      <c r="R403" s="637"/>
      <c r="S403" s="637"/>
      <c r="T403" s="638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5"/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7"/>
      <c r="P404" s="633" t="s">
        <v>72</v>
      </c>
      <c r="Q404" s="634"/>
      <c r="R404" s="634"/>
      <c r="S404" s="634"/>
      <c r="T404" s="634"/>
      <c r="U404" s="634"/>
      <c r="V404" s="635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46"/>
      <c r="B405" s="646"/>
      <c r="C405" s="646"/>
      <c r="D405" s="646"/>
      <c r="E405" s="646"/>
      <c r="F405" s="646"/>
      <c r="G405" s="646"/>
      <c r="H405" s="646"/>
      <c r="I405" s="646"/>
      <c r="J405" s="646"/>
      <c r="K405" s="646"/>
      <c r="L405" s="646"/>
      <c r="M405" s="646"/>
      <c r="N405" s="646"/>
      <c r="O405" s="647"/>
      <c r="P405" s="633" t="s">
        <v>72</v>
      </c>
      <c r="Q405" s="634"/>
      <c r="R405" s="634"/>
      <c r="S405" s="634"/>
      <c r="T405" s="634"/>
      <c r="U405" s="634"/>
      <c r="V405" s="635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48" t="s">
        <v>664</v>
      </c>
      <c r="B406" s="646"/>
      <c r="C406" s="646"/>
      <c r="D406" s="646"/>
      <c r="E406" s="646"/>
      <c r="F406" s="646"/>
      <c r="G406" s="646"/>
      <c r="H406" s="646"/>
      <c r="I406" s="646"/>
      <c r="J406" s="646"/>
      <c r="K406" s="646"/>
      <c r="L406" s="646"/>
      <c r="M406" s="646"/>
      <c r="N406" s="646"/>
      <c r="O406" s="646"/>
      <c r="P406" s="646"/>
      <c r="Q406" s="646"/>
      <c r="R406" s="646"/>
      <c r="S406" s="646"/>
      <c r="T406" s="646"/>
      <c r="U406" s="646"/>
      <c r="V406" s="646"/>
      <c r="W406" s="646"/>
      <c r="X406" s="646"/>
      <c r="Y406" s="646"/>
      <c r="Z406" s="646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40">
        <v>4680115888678</v>
      </c>
      <c r="E407" s="641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7"/>
      <c r="R407" s="637"/>
      <c r="S407" s="637"/>
      <c r="T407" s="638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40">
        <v>4680115888654</v>
      </c>
      <c r="E408" s="641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6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7"/>
      <c r="R408" s="637"/>
      <c r="S408" s="637"/>
      <c r="T408" s="638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40">
        <v>4680115888753</v>
      </c>
      <c r="E409" s="641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73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7"/>
      <c r="R409" s="637"/>
      <c r="S409" s="637"/>
      <c r="T409" s="638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45"/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7"/>
      <c r="P410" s="633" t="s">
        <v>72</v>
      </c>
      <c r="Q410" s="634"/>
      <c r="R410" s="634"/>
      <c r="S410" s="634"/>
      <c r="T410" s="634"/>
      <c r="U410" s="634"/>
      <c r="V410" s="635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46"/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7"/>
      <c r="P411" s="633" t="s">
        <v>72</v>
      </c>
      <c r="Q411" s="634"/>
      <c r="R411" s="634"/>
      <c r="S411" s="634"/>
      <c r="T411" s="634"/>
      <c r="U411" s="634"/>
      <c r="V411" s="635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6" t="s">
        <v>673</v>
      </c>
      <c r="B412" s="646"/>
      <c r="C412" s="646"/>
      <c r="D412" s="646"/>
      <c r="E412" s="646"/>
      <c r="F412" s="646"/>
      <c r="G412" s="646"/>
      <c r="H412" s="646"/>
      <c r="I412" s="646"/>
      <c r="J412" s="646"/>
      <c r="K412" s="646"/>
      <c r="L412" s="646"/>
      <c r="M412" s="646"/>
      <c r="N412" s="646"/>
      <c r="O412" s="646"/>
      <c r="P412" s="646"/>
      <c r="Q412" s="646"/>
      <c r="R412" s="646"/>
      <c r="S412" s="646"/>
      <c r="T412" s="646"/>
      <c r="U412" s="646"/>
      <c r="V412" s="646"/>
      <c r="W412" s="646"/>
      <c r="X412" s="646"/>
      <c r="Y412" s="646"/>
      <c r="Z412" s="646"/>
      <c r="AA412" s="622"/>
      <c r="AB412" s="622"/>
      <c r="AC412" s="622"/>
    </row>
    <row r="413" spans="1:68" ht="14.25" hidden="1" customHeight="1" x14ac:dyDescent="0.25">
      <c r="A413" s="648" t="s">
        <v>74</v>
      </c>
      <c r="B413" s="646"/>
      <c r="C413" s="646"/>
      <c r="D413" s="646"/>
      <c r="E413" s="646"/>
      <c r="F413" s="646"/>
      <c r="G413" s="646"/>
      <c r="H413" s="646"/>
      <c r="I413" s="646"/>
      <c r="J413" s="646"/>
      <c r="K413" s="646"/>
      <c r="L413" s="646"/>
      <c r="M413" s="646"/>
      <c r="N413" s="646"/>
      <c r="O413" s="646"/>
      <c r="P413" s="646"/>
      <c r="Q413" s="646"/>
      <c r="R413" s="646"/>
      <c r="S413" s="646"/>
      <c r="T413" s="646"/>
      <c r="U413" s="646"/>
      <c r="V413" s="646"/>
      <c r="W413" s="646"/>
      <c r="X413" s="646"/>
      <c r="Y413" s="646"/>
      <c r="Z413" s="646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40">
        <v>4607091387919</v>
      </c>
      <c r="E414" s="641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9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7"/>
      <c r="R414" s="637"/>
      <c r="S414" s="637"/>
      <c r="T414" s="638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40">
        <v>4680115883604</v>
      </c>
      <c r="E415" s="641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7"/>
      <c r="R415" s="637"/>
      <c r="S415" s="637"/>
      <c r="T415" s="638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40">
        <v>4680115883567</v>
      </c>
      <c r="E416" s="641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8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7"/>
      <c r="R416" s="637"/>
      <c r="S416" s="637"/>
      <c r="T416" s="638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45"/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7"/>
      <c r="P417" s="633" t="s">
        <v>72</v>
      </c>
      <c r="Q417" s="634"/>
      <c r="R417" s="634"/>
      <c r="S417" s="634"/>
      <c r="T417" s="634"/>
      <c r="U417" s="634"/>
      <c r="V417" s="635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46"/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7"/>
      <c r="P418" s="633" t="s">
        <v>72</v>
      </c>
      <c r="Q418" s="634"/>
      <c r="R418" s="634"/>
      <c r="S418" s="634"/>
      <c r="T418" s="634"/>
      <c r="U418" s="634"/>
      <c r="V418" s="635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87" t="s">
        <v>683</v>
      </c>
      <c r="B419" s="688"/>
      <c r="C419" s="688"/>
      <c r="D419" s="688"/>
      <c r="E419" s="688"/>
      <c r="F419" s="688"/>
      <c r="G419" s="688"/>
      <c r="H419" s="688"/>
      <c r="I419" s="688"/>
      <c r="J419" s="688"/>
      <c r="K419" s="688"/>
      <c r="L419" s="688"/>
      <c r="M419" s="688"/>
      <c r="N419" s="688"/>
      <c r="O419" s="688"/>
      <c r="P419" s="688"/>
      <c r="Q419" s="688"/>
      <c r="R419" s="688"/>
      <c r="S419" s="688"/>
      <c r="T419" s="688"/>
      <c r="U419" s="688"/>
      <c r="V419" s="688"/>
      <c r="W419" s="688"/>
      <c r="X419" s="688"/>
      <c r="Y419" s="688"/>
      <c r="Z419" s="688"/>
      <c r="AA419" s="48"/>
      <c r="AB419" s="48"/>
      <c r="AC419" s="48"/>
    </row>
    <row r="420" spans="1:68" ht="16.5" hidden="1" customHeight="1" x14ac:dyDescent="0.25">
      <c r="A420" s="656" t="s">
        <v>684</v>
      </c>
      <c r="B420" s="646"/>
      <c r="C420" s="646"/>
      <c r="D420" s="646"/>
      <c r="E420" s="646"/>
      <c r="F420" s="646"/>
      <c r="G420" s="646"/>
      <c r="H420" s="646"/>
      <c r="I420" s="646"/>
      <c r="J420" s="646"/>
      <c r="K420" s="646"/>
      <c r="L420" s="646"/>
      <c r="M420" s="646"/>
      <c r="N420" s="646"/>
      <c r="O420" s="646"/>
      <c r="P420" s="646"/>
      <c r="Q420" s="646"/>
      <c r="R420" s="646"/>
      <c r="S420" s="646"/>
      <c r="T420" s="646"/>
      <c r="U420" s="646"/>
      <c r="V420" s="646"/>
      <c r="W420" s="646"/>
      <c r="X420" s="646"/>
      <c r="Y420" s="646"/>
      <c r="Z420" s="646"/>
      <c r="AA420" s="622"/>
      <c r="AB420" s="622"/>
      <c r="AC420" s="622"/>
    </row>
    <row r="421" spans="1:68" ht="14.25" hidden="1" customHeight="1" x14ac:dyDescent="0.25">
      <c r="A421" s="648" t="s">
        <v>117</v>
      </c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46"/>
      <c r="P421" s="646"/>
      <c r="Q421" s="646"/>
      <c r="R421" s="646"/>
      <c r="S421" s="646"/>
      <c r="T421" s="646"/>
      <c r="U421" s="646"/>
      <c r="V421" s="646"/>
      <c r="W421" s="646"/>
      <c r="X421" s="646"/>
      <c r="Y421" s="646"/>
      <c r="Z421" s="646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40">
        <v>4680115888401</v>
      </c>
      <c r="E422" s="641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87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7"/>
      <c r="R422" s="637"/>
      <c r="S422" s="637"/>
      <c r="T422" s="638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40">
        <v>4680115884847</v>
      </c>
      <c r="E423" s="641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9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7"/>
      <c r="R423" s="637"/>
      <c r="S423" s="637"/>
      <c r="T423" s="638"/>
      <c r="U423" s="34"/>
      <c r="V423" s="34"/>
      <c r="W423" s="35" t="s">
        <v>67</v>
      </c>
      <c r="X423" s="627">
        <v>815</v>
      </c>
      <c r="Y423" s="628">
        <f t="shared" si="47"/>
        <v>825</v>
      </c>
      <c r="Z423" s="36">
        <f>IFERROR(IF(Y423=0,"",ROUNDUP(Y423/H423,0)*0.02175),"")</f>
        <v>1.1962499999999998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840.53666666666675</v>
      </c>
      <c r="BN423" s="64">
        <f t="shared" si="49"/>
        <v>850.85</v>
      </c>
      <c r="BO423" s="64">
        <f t="shared" si="50"/>
        <v>1.1319444444444444</v>
      </c>
      <c r="BP423" s="64">
        <f t="shared" si="51"/>
        <v>1.1458333333333333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40">
        <v>4680115884854</v>
      </c>
      <c r="E424" s="641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7"/>
      <c r="R424" s="637"/>
      <c r="S424" s="637"/>
      <c r="T424" s="638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40">
        <v>4680115884830</v>
      </c>
      <c r="E425" s="641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7"/>
      <c r="R425" s="637"/>
      <c r="S425" s="637"/>
      <c r="T425" s="638"/>
      <c r="U425" s="34"/>
      <c r="V425" s="34"/>
      <c r="W425" s="35" t="s">
        <v>67</v>
      </c>
      <c r="X425" s="627">
        <v>440</v>
      </c>
      <c r="Y425" s="628">
        <f t="shared" si="47"/>
        <v>450</v>
      </c>
      <c r="Z425" s="36">
        <f>IFERROR(IF(Y425=0,"",ROUNDUP(Y425/H425,0)*0.02175),"")</f>
        <v>0.65249999999999997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453.78666666666669</v>
      </c>
      <c r="BN425" s="64">
        <f t="shared" si="49"/>
        <v>464.1</v>
      </c>
      <c r="BO425" s="64">
        <f t="shared" si="50"/>
        <v>0.61111111111111105</v>
      </c>
      <c r="BP425" s="64">
        <f t="shared" si="51"/>
        <v>0.625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40">
        <v>4680115889231</v>
      </c>
      <c r="E426" s="641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7"/>
      <c r="R426" s="637"/>
      <c r="S426" s="637"/>
      <c r="T426" s="638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40">
        <v>4680115882638</v>
      </c>
      <c r="E427" s="641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7"/>
      <c r="R427" s="637"/>
      <c r="S427" s="637"/>
      <c r="T427" s="638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40">
        <v>4680115884922</v>
      </c>
      <c r="E428" s="641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7"/>
      <c r="R428" s="637"/>
      <c r="S428" s="637"/>
      <c r="T428" s="638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40">
        <v>4680115884861</v>
      </c>
      <c r="E429" s="641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7"/>
      <c r="R429" s="637"/>
      <c r="S429" s="637"/>
      <c r="T429" s="638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45"/>
      <c r="B430" s="646"/>
      <c r="C430" s="646"/>
      <c r="D430" s="646"/>
      <c r="E430" s="646"/>
      <c r="F430" s="646"/>
      <c r="G430" s="646"/>
      <c r="H430" s="646"/>
      <c r="I430" s="646"/>
      <c r="J430" s="646"/>
      <c r="K430" s="646"/>
      <c r="L430" s="646"/>
      <c r="M430" s="646"/>
      <c r="N430" s="646"/>
      <c r="O430" s="647"/>
      <c r="P430" s="633" t="s">
        <v>72</v>
      </c>
      <c r="Q430" s="634"/>
      <c r="R430" s="634"/>
      <c r="S430" s="634"/>
      <c r="T430" s="634"/>
      <c r="U430" s="634"/>
      <c r="V430" s="635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83.666666666666671</v>
      </c>
      <c r="Y430" s="629">
        <f>IFERROR(Y422/H422,"0")+IFERROR(Y423/H423,"0")+IFERROR(Y424/H424,"0")+IFERROR(Y425/H425,"0")+IFERROR(Y426/H426,"0")+IFERROR(Y427/H427,"0")+IFERROR(Y428/H428,"0")+IFERROR(Y429/H429,"0")</f>
        <v>85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1.8487499999999999</v>
      </c>
      <c r="AA430" s="630"/>
      <c r="AB430" s="630"/>
      <c r="AC430" s="630"/>
    </row>
    <row r="431" spans="1:68" x14ac:dyDescent="0.2">
      <c r="A431" s="646"/>
      <c r="B431" s="646"/>
      <c r="C431" s="646"/>
      <c r="D431" s="646"/>
      <c r="E431" s="646"/>
      <c r="F431" s="646"/>
      <c r="G431" s="646"/>
      <c r="H431" s="646"/>
      <c r="I431" s="646"/>
      <c r="J431" s="646"/>
      <c r="K431" s="646"/>
      <c r="L431" s="646"/>
      <c r="M431" s="646"/>
      <c r="N431" s="646"/>
      <c r="O431" s="647"/>
      <c r="P431" s="633" t="s">
        <v>72</v>
      </c>
      <c r="Q431" s="634"/>
      <c r="R431" s="634"/>
      <c r="S431" s="634"/>
      <c r="T431" s="634"/>
      <c r="U431" s="634"/>
      <c r="V431" s="635"/>
      <c r="W431" s="37" t="s">
        <v>67</v>
      </c>
      <c r="X431" s="629">
        <f>IFERROR(SUM(X422:X429),"0")</f>
        <v>1255</v>
      </c>
      <c r="Y431" s="629">
        <f>IFERROR(SUM(Y422:Y429),"0")</f>
        <v>1275</v>
      </c>
      <c r="Z431" s="37"/>
      <c r="AA431" s="630"/>
      <c r="AB431" s="630"/>
      <c r="AC431" s="630"/>
    </row>
    <row r="432" spans="1:68" ht="14.25" hidden="1" customHeight="1" x14ac:dyDescent="0.25">
      <c r="A432" s="648" t="s">
        <v>153</v>
      </c>
      <c r="B432" s="646"/>
      <c r="C432" s="646"/>
      <c r="D432" s="646"/>
      <c r="E432" s="646"/>
      <c r="F432" s="646"/>
      <c r="G432" s="646"/>
      <c r="H432" s="646"/>
      <c r="I432" s="646"/>
      <c r="J432" s="646"/>
      <c r="K432" s="646"/>
      <c r="L432" s="646"/>
      <c r="M432" s="646"/>
      <c r="N432" s="646"/>
      <c r="O432" s="646"/>
      <c r="P432" s="646"/>
      <c r="Q432" s="646"/>
      <c r="R432" s="646"/>
      <c r="S432" s="646"/>
      <c r="T432" s="646"/>
      <c r="U432" s="646"/>
      <c r="V432" s="646"/>
      <c r="W432" s="646"/>
      <c r="X432" s="646"/>
      <c r="Y432" s="646"/>
      <c r="Z432" s="646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40">
        <v>4607091383980</v>
      </c>
      <c r="E433" s="641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7"/>
      <c r="R433" s="637"/>
      <c r="S433" s="637"/>
      <c r="T433" s="638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40">
        <v>4680115888425</v>
      </c>
      <c r="E434" s="641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7"/>
      <c r="R434" s="637"/>
      <c r="S434" s="637"/>
      <c r="T434" s="638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40">
        <v>4607091384178</v>
      </c>
      <c r="E435" s="641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66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7"/>
      <c r="R435" s="637"/>
      <c r="S435" s="637"/>
      <c r="T435" s="638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45"/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7"/>
      <c r="P436" s="633" t="s">
        <v>72</v>
      </c>
      <c r="Q436" s="634"/>
      <c r="R436" s="634"/>
      <c r="S436" s="634"/>
      <c r="T436" s="634"/>
      <c r="U436" s="634"/>
      <c r="V436" s="635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46"/>
      <c r="B437" s="646"/>
      <c r="C437" s="646"/>
      <c r="D437" s="646"/>
      <c r="E437" s="646"/>
      <c r="F437" s="646"/>
      <c r="G437" s="646"/>
      <c r="H437" s="646"/>
      <c r="I437" s="646"/>
      <c r="J437" s="646"/>
      <c r="K437" s="646"/>
      <c r="L437" s="646"/>
      <c r="M437" s="646"/>
      <c r="N437" s="646"/>
      <c r="O437" s="647"/>
      <c r="P437" s="633" t="s">
        <v>72</v>
      </c>
      <c r="Q437" s="634"/>
      <c r="R437" s="634"/>
      <c r="S437" s="634"/>
      <c r="T437" s="634"/>
      <c r="U437" s="634"/>
      <c r="V437" s="635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48" t="s">
        <v>74</v>
      </c>
      <c r="B438" s="646"/>
      <c r="C438" s="646"/>
      <c r="D438" s="646"/>
      <c r="E438" s="646"/>
      <c r="F438" s="646"/>
      <c r="G438" s="646"/>
      <c r="H438" s="646"/>
      <c r="I438" s="646"/>
      <c r="J438" s="646"/>
      <c r="K438" s="646"/>
      <c r="L438" s="646"/>
      <c r="M438" s="646"/>
      <c r="N438" s="646"/>
      <c r="O438" s="646"/>
      <c r="P438" s="646"/>
      <c r="Q438" s="646"/>
      <c r="R438" s="646"/>
      <c r="S438" s="646"/>
      <c r="T438" s="646"/>
      <c r="U438" s="646"/>
      <c r="V438" s="646"/>
      <c r="W438" s="646"/>
      <c r="X438" s="646"/>
      <c r="Y438" s="646"/>
      <c r="Z438" s="646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40">
        <v>4607091383928</v>
      </c>
      <c r="E439" s="641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7"/>
      <c r="R439" s="637"/>
      <c r="S439" s="637"/>
      <c r="T439" s="638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40">
        <v>4607091384260</v>
      </c>
      <c r="E440" s="641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7"/>
      <c r="R440" s="637"/>
      <c r="S440" s="637"/>
      <c r="T440" s="638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40">
        <v>4680115889538</v>
      </c>
      <c r="E441" s="641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7"/>
      <c r="R441" s="637"/>
      <c r="S441" s="637"/>
      <c r="T441" s="638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45"/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7"/>
      <c r="P442" s="633" t="s">
        <v>72</v>
      </c>
      <c r="Q442" s="634"/>
      <c r="R442" s="634"/>
      <c r="S442" s="634"/>
      <c r="T442" s="634"/>
      <c r="U442" s="634"/>
      <c r="V442" s="635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46"/>
      <c r="B443" s="646"/>
      <c r="C443" s="646"/>
      <c r="D443" s="646"/>
      <c r="E443" s="646"/>
      <c r="F443" s="646"/>
      <c r="G443" s="646"/>
      <c r="H443" s="646"/>
      <c r="I443" s="646"/>
      <c r="J443" s="646"/>
      <c r="K443" s="646"/>
      <c r="L443" s="646"/>
      <c r="M443" s="646"/>
      <c r="N443" s="646"/>
      <c r="O443" s="647"/>
      <c r="P443" s="633" t="s">
        <v>72</v>
      </c>
      <c r="Q443" s="634"/>
      <c r="R443" s="634"/>
      <c r="S443" s="634"/>
      <c r="T443" s="634"/>
      <c r="U443" s="634"/>
      <c r="V443" s="635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48" t="s">
        <v>170</v>
      </c>
      <c r="B444" s="646"/>
      <c r="C444" s="646"/>
      <c r="D444" s="646"/>
      <c r="E444" s="646"/>
      <c r="F444" s="646"/>
      <c r="G444" s="646"/>
      <c r="H444" s="646"/>
      <c r="I444" s="646"/>
      <c r="J444" s="646"/>
      <c r="K444" s="646"/>
      <c r="L444" s="646"/>
      <c r="M444" s="646"/>
      <c r="N444" s="646"/>
      <c r="O444" s="646"/>
      <c r="P444" s="646"/>
      <c r="Q444" s="646"/>
      <c r="R444" s="646"/>
      <c r="S444" s="646"/>
      <c r="T444" s="646"/>
      <c r="U444" s="646"/>
      <c r="V444" s="646"/>
      <c r="W444" s="646"/>
      <c r="X444" s="646"/>
      <c r="Y444" s="646"/>
      <c r="Z444" s="646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40">
        <v>4680115889545</v>
      </c>
      <c r="E445" s="641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9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7"/>
      <c r="R445" s="637"/>
      <c r="S445" s="637"/>
      <c r="T445" s="638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40">
        <v>4607091384673</v>
      </c>
      <c r="E446" s="641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2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7"/>
      <c r="R446" s="637"/>
      <c r="S446" s="637"/>
      <c r="T446" s="638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45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7"/>
      <c r="P447" s="633" t="s">
        <v>72</v>
      </c>
      <c r="Q447" s="634"/>
      <c r="R447" s="634"/>
      <c r="S447" s="634"/>
      <c r="T447" s="634"/>
      <c r="U447" s="634"/>
      <c r="V447" s="635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46"/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7"/>
      <c r="P448" s="633" t="s">
        <v>72</v>
      </c>
      <c r="Q448" s="634"/>
      <c r="R448" s="634"/>
      <c r="S448" s="634"/>
      <c r="T448" s="634"/>
      <c r="U448" s="634"/>
      <c r="V448" s="635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6" t="s">
        <v>733</v>
      </c>
      <c r="B449" s="646"/>
      <c r="C449" s="646"/>
      <c r="D449" s="646"/>
      <c r="E449" s="646"/>
      <c r="F449" s="646"/>
      <c r="G449" s="646"/>
      <c r="H449" s="646"/>
      <c r="I449" s="646"/>
      <c r="J449" s="646"/>
      <c r="K449" s="646"/>
      <c r="L449" s="646"/>
      <c r="M449" s="646"/>
      <c r="N449" s="646"/>
      <c r="O449" s="646"/>
      <c r="P449" s="646"/>
      <c r="Q449" s="646"/>
      <c r="R449" s="646"/>
      <c r="S449" s="646"/>
      <c r="T449" s="646"/>
      <c r="U449" s="646"/>
      <c r="V449" s="646"/>
      <c r="W449" s="646"/>
      <c r="X449" s="646"/>
      <c r="Y449" s="646"/>
      <c r="Z449" s="646"/>
      <c r="AA449" s="622"/>
      <c r="AB449" s="622"/>
      <c r="AC449" s="622"/>
    </row>
    <row r="450" spans="1:68" ht="14.25" hidden="1" customHeight="1" x14ac:dyDescent="0.25">
      <c r="A450" s="648" t="s">
        <v>117</v>
      </c>
      <c r="B450" s="646"/>
      <c r="C450" s="646"/>
      <c r="D450" s="646"/>
      <c r="E450" s="646"/>
      <c r="F450" s="646"/>
      <c r="G450" s="646"/>
      <c r="H450" s="646"/>
      <c r="I450" s="646"/>
      <c r="J450" s="646"/>
      <c r="K450" s="646"/>
      <c r="L450" s="646"/>
      <c r="M450" s="646"/>
      <c r="N450" s="646"/>
      <c r="O450" s="646"/>
      <c r="P450" s="646"/>
      <c r="Q450" s="646"/>
      <c r="R450" s="646"/>
      <c r="S450" s="646"/>
      <c r="T450" s="646"/>
      <c r="U450" s="646"/>
      <c r="V450" s="646"/>
      <c r="W450" s="646"/>
      <c r="X450" s="646"/>
      <c r="Y450" s="646"/>
      <c r="Z450" s="646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40">
        <v>4680115884885</v>
      </c>
      <c r="E451" s="641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7"/>
      <c r="R451" s="637"/>
      <c r="S451" s="637"/>
      <c r="T451" s="638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40">
        <v>4680115884908</v>
      </c>
      <c r="E452" s="641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7"/>
      <c r="R452" s="637"/>
      <c r="S452" s="637"/>
      <c r="T452" s="638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45"/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7"/>
      <c r="P453" s="633" t="s">
        <v>72</v>
      </c>
      <c r="Q453" s="634"/>
      <c r="R453" s="634"/>
      <c r="S453" s="634"/>
      <c r="T453" s="634"/>
      <c r="U453" s="634"/>
      <c r="V453" s="635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46"/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7"/>
      <c r="P454" s="633" t="s">
        <v>72</v>
      </c>
      <c r="Q454" s="634"/>
      <c r="R454" s="634"/>
      <c r="S454" s="634"/>
      <c r="T454" s="634"/>
      <c r="U454" s="634"/>
      <c r="V454" s="635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48" t="s">
        <v>62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40">
        <v>4607091384802</v>
      </c>
      <c r="E456" s="641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9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7"/>
      <c r="R456" s="637"/>
      <c r="S456" s="637"/>
      <c r="T456" s="638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45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7"/>
      <c r="P457" s="633" t="s">
        <v>72</v>
      </c>
      <c r="Q457" s="634"/>
      <c r="R457" s="634"/>
      <c r="S457" s="634"/>
      <c r="T457" s="634"/>
      <c r="U457" s="634"/>
      <c r="V457" s="635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47"/>
      <c r="P458" s="633" t="s">
        <v>72</v>
      </c>
      <c r="Q458" s="634"/>
      <c r="R458" s="634"/>
      <c r="S458" s="634"/>
      <c r="T458" s="634"/>
      <c r="U458" s="634"/>
      <c r="V458" s="635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48" t="s">
        <v>74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3"/>
      <c r="AB459" s="623"/>
      <c r="AC459" s="623"/>
    </row>
    <row r="460" spans="1:68" ht="27" hidden="1" customHeight="1" x14ac:dyDescent="0.25">
      <c r="A460" s="54" t="s">
        <v>742</v>
      </c>
      <c r="B460" s="54" t="s">
        <v>743</v>
      </c>
      <c r="C460" s="31">
        <v>4301051899</v>
      </c>
      <c r="D460" s="640">
        <v>4607091384246</v>
      </c>
      <c r="E460" s="641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7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7"/>
      <c r="R460" s="637"/>
      <c r="S460" s="637"/>
      <c r="T460" s="638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40">
        <v>4607091384253</v>
      </c>
      <c r="E461" s="641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7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7"/>
      <c r="R461" s="637"/>
      <c r="S461" s="637"/>
      <c r="T461" s="638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40">
        <v>4607091384253</v>
      </c>
      <c r="E462" s="641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7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7"/>
      <c r="R462" s="637"/>
      <c r="S462" s="637"/>
      <c r="T462" s="638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5"/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7"/>
      <c r="P463" s="633" t="s">
        <v>72</v>
      </c>
      <c r="Q463" s="634"/>
      <c r="R463" s="634"/>
      <c r="S463" s="634"/>
      <c r="T463" s="634"/>
      <c r="U463" s="634"/>
      <c r="V463" s="635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46"/>
      <c r="B464" s="646"/>
      <c r="C464" s="646"/>
      <c r="D464" s="646"/>
      <c r="E464" s="646"/>
      <c r="F464" s="646"/>
      <c r="G464" s="646"/>
      <c r="H464" s="646"/>
      <c r="I464" s="646"/>
      <c r="J464" s="646"/>
      <c r="K464" s="646"/>
      <c r="L464" s="646"/>
      <c r="M464" s="646"/>
      <c r="N464" s="646"/>
      <c r="O464" s="647"/>
      <c r="P464" s="633" t="s">
        <v>72</v>
      </c>
      <c r="Q464" s="634"/>
      <c r="R464" s="634"/>
      <c r="S464" s="634"/>
      <c r="T464" s="634"/>
      <c r="U464" s="634"/>
      <c r="V464" s="635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87" t="s">
        <v>749</v>
      </c>
      <c r="B465" s="688"/>
      <c r="C465" s="688"/>
      <c r="D465" s="688"/>
      <c r="E465" s="688"/>
      <c r="F465" s="688"/>
      <c r="G465" s="688"/>
      <c r="H465" s="688"/>
      <c r="I465" s="688"/>
      <c r="J465" s="688"/>
      <c r="K465" s="688"/>
      <c r="L465" s="688"/>
      <c r="M465" s="688"/>
      <c r="N465" s="688"/>
      <c r="O465" s="688"/>
      <c r="P465" s="688"/>
      <c r="Q465" s="688"/>
      <c r="R465" s="688"/>
      <c r="S465" s="688"/>
      <c r="T465" s="688"/>
      <c r="U465" s="688"/>
      <c r="V465" s="688"/>
      <c r="W465" s="688"/>
      <c r="X465" s="688"/>
      <c r="Y465" s="688"/>
      <c r="Z465" s="688"/>
      <c r="AA465" s="48"/>
      <c r="AB465" s="48"/>
      <c r="AC465" s="48"/>
    </row>
    <row r="466" spans="1:68" ht="16.5" hidden="1" customHeight="1" x14ac:dyDescent="0.25">
      <c r="A466" s="656" t="s">
        <v>750</v>
      </c>
      <c r="B466" s="646"/>
      <c r="C466" s="646"/>
      <c r="D466" s="646"/>
      <c r="E466" s="646"/>
      <c r="F466" s="646"/>
      <c r="G466" s="646"/>
      <c r="H466" s="646"/>
      <c r="I466" s="646"/>
      <c r="J466" s="646"/>
      <c r="K466" s="646"/>
      <c r="L466" s="646"/>
      <c r="M466" s="646"/>
      <c r="N466" s="646"/>
      <c r="O466" s="646"/>
      <c r="P466" s="646"/>
      <c r="Q466" s="646"/>
      <c r="R466" s="646"/>
      <c r="S466" s="646"/>
      <c r="T466" s="646"/>
      <c r="U466" s="646"/>
      <c r="V466" s="646"/>
      <c r="W466" s="646"/>
      <c r="X466" s="646"/>
      <c r="Y466" s="646"/>
      <c r="Z466" s="646"/>
      <c r="AA466" s="622"/>
      <c r="AB466" s="622"/>
      <c r="AC466" s="622"/>
    </row>
    <row r="467" spans="1:68" ht="14.25" hidden="1" customHeight="1" x14ac:dyDescent="0.25">
      <c r="A467" s="648" t="s">
        <v>62</v>
      </c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46"/>
      <c r="P467" s="646"/>
      <c r="Q467" s="646"/>
      <c r="R467" s="646"/>
      <c r="S467" s="646"/>
      <c r="T467" s="646"/>
      <c r="U467" s="646"/>
      <c r="V467" s="646"/>
      <c r="W467" s="646"/>
      <c r="X467" s="646"/>
      <c r="Y467" s="646"/>
      <c r="Z467" s="646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40">
        <v>4680115886100</v>
      </c>
      <c r="E468" s="641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7"/>
      <c r="R468" s="637"/>
      <c r="S468" s="637"/>
      <c r="T468" s="638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40">
        <v>4680115886124</v>
      </c>
      <c r="E469" s="641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8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7"/>
      <c r="R469" s="637"/>
      <c r="S469" s="637"/>
      <c r="T469" s="638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40">
        <v>4607091384338</v>
      </c>
      <c r="E470" s="641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7"/>
      <c r="R470" s="637"/>
      <c r="S470" s="637"/>
      <c r="T470" s="638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40">
        <v>4680115883161</v>
      </c>
      <c r="E471" s="641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7"/>
      <c r="R471" s="637"/>
      <c r="S471" s="637"/>
      <c r="T471" s="638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40">
        <v>4607091389531</v>
      </c>
      <c r="E472" s="641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7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7"/>
      <c r="R472" s="637"/>
      <c r="S472" s="637"/>
      <c r="T472" s="638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40">
        <v>4607091384345</v>
      </c>
      <c r="E473" s="641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9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7"/>
      <c r="R473" s="637"/>
      <c r="S473" s="637"/>
      <c r="T473" s="638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45"/>
      <c r="B474" s="646"/>
      <c r="C474" s="646"/>
      <c r="D474" s="646"/>
      <c r="E474" s="646"/>
      <c r="F474" s="646"/>
      <c r="G474" s="646"/>
      <c r="H474" s="646"/>
      <c r="I474" s="646"/>
      <c r="J474" s="646"/>
      <c r="K474" s="646"/>
      <c r="L474" s="646"/>
      <c r="M474" s="646"/>
      <c r="N474" s="646"/>
      <c r="O474" s="647"/>
      <c r="P474" s="633" t="s">
        <v>72</v>
      </c>
      <c r="Q474" s="634"/>
      <c r="R474" s="634"/>
      <c r="S474" s="634"/>
      <c r="T474" s="634"/>
      <c r="U474" s="634"/>
      <c r="V474" s="635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46"/>
      <c r="B475" s="646"/>
      <c r="C475" s="646"/>
      <c r="D475" s="646"/>
      <c r="E475" s="646"/>
      <c r="F475" s="646"/>
      <c r="G475" s="646"/>
      <c r="H475" s="646"/>
      <c r="I475" s="646"/>
      <c r="J475" s="646"/>
      <c r="K475" s="646"/>
      <c r="L475" s="646"/>
      <c r="M475" s="646"/>
      <c r="N475" s="646"/>
      <c r="O475" s="647"/>
      <c r="P475" s="633" t="s">
        <v>72</v>
      </c>
      <c r="Q475" s="634"/>
      <c r="R475" s="634"/>
      <c r="S475" s="634"/>
      <c r="T475" s="634"/>
      <c r="U475" s="634"/>
      <c r="V475" s="635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48" t="s">
        <v>74</v>
      </c>
      <c r="B476" s="646"/>
      <c r="C476" s="646"/>
      <c r="D476" s="646"/>
      <c r="E476" s="646"/>
      <c r="F476" s="646"/>
      <c r="G476" s="646"/>
      <c r="H476" s="646"/>
      <c r="I476" s="646"/>
      <c r="J476" s="646"/>
      <c r="K476" s="646"/>
      <c r="L476" s="646"/>
      <c r="M476" s="646"/>
      <c r="N476" s="646"/>
      <c r="O476" s="646"/>
      <c r="P476" s="646"/>
      <c r="Q476" s="646"/>
      <c r="R476" s="646"/>
      <c r="S476" s="646"/>
      <c r="T476" s="646"/>
      <c r="U476" s="646"/>
      <c r="V476" s="646"/>
      <c r="W476" s="646"/>
      <c r="X476" s="646"/>
      <c r="Y476" s="646"/>
      <c r="Z476" s="646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40">
        <v>4607091384352</v>
      </c>
      <c r="E477" s="641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7"/>
      <c r="R477" s="637"/>
      <c r="S477" s="637"/>
      <c r="T477" s="638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40">
        <v>4607091389654</v>
      </c>
      <c r="E478" s="641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7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7"/>
      <c r="R478" s="637"/>
      <c r="S478" s="637"/>
      <c r="T478" s="638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45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7"/>
      <c r="P479" s="633" t="s">
        <v>72</v>
      </c>
      <c r="Q479" s="634"/>
      <c r="R479" s="634"/>
      <c r="S479" s="634"/>
      <c r="T479" s="634"/>
      <c r="U479" s="634"/>
      <c r="V479" s="635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46"/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7"/>
      <c r="P480" s="633" t="s">
        <v>72</v>
      </c>
      <c r="Q480" s="634"/>
      <c r="R480" s="634"/>
      <c r="S480" s="634"/>
      <c r="T480" s="634"/>
      <c r="U480" s="634"/>
      <c r="V480" s="635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6" t="s">
        <v>773</v>
      </c>
      <c r="B481" s="646"/>
      <c r="C481" s="646"/>
      <c r="D481" s="646"/>
      <c r="E481" s="646"/>
      <c r="F481" s="646"/>
      <c r="G481" s="646"/>
      <c r="H481" s="646"/>
      <c r="I481" s="646"/>
      <c r="J481" s="646"/>
      <c r="K481" s="646"/>
      <c r="L481" s="646"/>
      <c r="M481" s="646"/>
      <c r="N481" s="646"/>
      <c r="O481" s="646"/>
      <c r="P481" s="646"/>
      <c r="Q481" s="646"/>
      <c r="R481" s="646"/>
      <c r="S481" s="646"/>
      <c r="T481" s="646"/>
      <c r="U481" s="646"/>
      <c r="V481" s="646"/>
      <c r="W481" s="646"/>
      <c r="X481" s="646"/>
      <c r="Y481" s="646"/>
      <c r="Z481" s="646"/>
      <c r="AA481" s="622"/>
      <c r="AB481" s="622"/>
      <c r="AC481" s="622"/>
    </row>
    <row r="482" spans="1:68" ht="14.25" hidden="1" customHeight="1" x14ac:dyDescent="0.25">
      <c r="A482" s="648" t="s">
        <v>153</v>
      </c>
      <c r="B482" s="646"/>
      <c r="C482" s="646"/>
      <c r="D482" s="646"/>
      <c r="E482" s="646"/>
      <c r="F482" s="646"/>
      <c r="G482" s="646"/>
      <c r="H482" s="646"/>
      <c r="I482" s="646"/>
      <c r="J482" s="646"/>
      <c r="K482" s="646"/>
      <c r="L482" s="646"/>
      <c r="M482" s="646"/>
      <c r="N482" s="646"/>
      <c r="O482" s="646"/>
      <c r="P482" s="646"/>
      <c r="Q482" s="646"/>
      <c r="R482" s="646"/>
      <c r="S482" s="646"/>
      <c r="T482" s="646"/>
      <c r="U482" s="646"/>
      <c r="V482" s="646"/>
      <c r="W482" s="646"/>
      <c r="X482" s="646"/>
      <c r="Y482" s="646"/>
      <c r="Z482" s="646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40">
        <v>4680115885240</v>
      </c>
      <c r="E483" s="641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7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7"/>
      <c r="R483" s="637"/>
      <c r="S483" s="637"/>
      <c r="T483" s="638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45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7"/>
      <c r="P484" s="633" t="s">
        <v>72</v>
      </c>
      <c r="Q484" s="634"/>
      <c r="R484" s="634"/>
      <c r="S484" s="634"/>
      <c r="T484" s="634"/>
      <c r="U484" s="634"/>
      <c r="V484" s="635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46"/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7"/>
      <c r="P485" s="633" t="s">
        <v>72</v>
      </c>
      <c r="Q485" s="634"/>
      <c r="R485" s="634"/>
      <c r="S485" s="634"/>
      <c r="T485" s="634"/>
      <c r="U485" s="634"/>
      <c r="V485" s="635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48" t="s">
        <v>62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40">
        <v>4680115886094</v>
      </c>
      <c r="E487" s="641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7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7"/>
      <c r="R487" s="637"/>
      <c r="S487" s="637"/>
      <c r="T487" s="638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40">
        <v>4680115880771</v>
      </c>
      <c r="E488" s="641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73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7"/>
      <c r="R488" s="637"/>
      <c r="S488" s="637"/>
      <c r="T488" s="638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40">
        <v>4607091389500</v>
      </c>
      <c r="E489" s="641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7"/>
      <c r="R489" s="637"/>
      <c r="S489" s="637"/>
      <c r="T489" s="638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45"/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7"/>
      <c r="P490" s="633" t="s">
        <v>72</v>
      </c>
      <c r="Q490" s="634"/>
      <c r="R490" s="634"/>
      <c r="S490" s="634"/>
      <c r="T490" s="634"/>
      <c r="U490" s="634"/>
      <c r="V490" s="635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46"/>
      <c r="B491" s="646"/>
      <c r="C491" s="646"/>
      <c r="D491" s="646"/>
      <c r="E491" s="646"/>
      <c r="F491" s="646"/>
      <c r="G491" s="646"/>
      <c r="H491" s="646"/>
      <c r="I491" s="646"/>
      <c r="J491" s="646"/>
      <c r="K491" s="646"/>
      <c r="L491" s="646"/>
      <c r="M491" s="646"/>
      <c r="N491" s="646"/>
      <c r="O491" s="647"/>
      <c r="P491" s="633" t="s">
        <v>72</v>
      </c>
      <c r="Q491" s="634"/>
      <c r="R491" s="634"/>
      <c r="S491" s="634"/>
      <c r="T491" s="634"/>
      <c r="U491" s="634"/>
      <c r="V491" s="635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87" t="s">
        <v>785</v>
      </c>
      <c r="B492" s="688"/>
      <c r="C492" s="688"/>
      <c r="D492" s="688"/>
      <c r="E492" s="688"/>
      <c r="F492" s="688"/>
      <c r="G492" s="688"/>
      <c r="H492" s="688"/>
      <c r="I492" s="688"/>
      <c r="J492" s="688"/>
      <c r="K492" s="688"/>
      <c r="L492" s="688"/>
      <c r="M492" s="688"/>
      <c r="N492" s="688"/>
      <c r="O492" s="688"/>
      <c r="P492" s="688"/>
      <c r="Q492" s="688"/>
      <c r="R492" s="688"/>
      <c r="S492" s="688"/>
      <c r="T492" s="688"/>
      <c r="U492" s="688"/>
      <c r="V492" s="688"/>
      <c r="W492" s="688"/>
      <c r="X492" s="688"/>
      <c r="Y492" s="688"/>
      <c r="Z492" s="688"/>
      <c r="AA492" s="48"/>
      <c r="AB492" s="48"/>
      <c r="AC492" s="48"/>
    </row>
    <row r="493" spans="1:68" ht="16.5" hidden="1" customHeight="1" x14ac:dyDescent="0.25">
      <c r="A493" s="656" t="s">
        <v>785</v>
      </c>
      <c r="B493" s="646"/>
      <c r="C493" s="646"/>
      <c r="D493" s="646"/>
      <c r="E493" s="646"/>
      <c r="F493" s="646"/>
      <c r="G493" s="646"/>
      <c r="H493" s="646"/>
      <c r="I493" s="646"/>
      <c r="J493" s="646"/>
      <c r="K493" s="646"/>
      <c r="L493" s="646"/>
      <c r="M493" s="646"/>
      <c r="N493" s="646"/>
      <c r="O493" s="646"/>
      <c r="P493" s="646"/>
      <c r="Q493" s="646"/>
      <c r="R493" s="646"/>
      <c r="S493" s="646"/>
      <c r="T493" s="646"/>
      <c r="U493" s="646"/>
      <c r="V493" s="646"/>
      <c r="W493" s="646"/>
      <c r="X493" s="646"/>
      <c r="Y493" s="646"/>
      <c r="Z493" s="646"/>
      <c r="AA493" s="622"/>
      <c r="AB493" s="622"/>
      <c r="AC493" s="622"/>
    </row>
    <row r="494" spans="1:68" ht="14.25" hidden="1" customHeight="1" x14ac:dyDescent="0.25">
      <c r="A494" s="648" t="s">
        <v>117</v>
      </c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46"/>
      <c r="P494" s="646"/>
      <c r="Q494" s="646"/>
      <c r="R494" s="646"/>
      <c r="S494" s="646"/>
      <c r="T494" s="646"/>
      <c r="U494" s="646"/>
      <c r="V494" s="646"/>
      <c r="W494" s="646"/>
      <c r="X494" s="646"/>
      <c r="Y494" s="646"/>
      <c r="Z494" s="646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40">
        <v>4607091389067</v>
      </c>
      <c r="E495" s="641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8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7"/>
      <c r="R495" s="637"/>
      <c r="S495" s="637"/>
      <c r="T495" s="638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40">
        <v>4680115889576</v>
      </c>
      <c r="E496" s="641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7"/>
      <c r="R496" s="637"/>
      <c r="S496" s="637"/>
      <c r="T496" s="638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40">
        <v>4680115885271</v>
      </c>
      <c r="E497" s="641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66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7"/>
      <c r="R497" s="637"/>
      <c r="S497" s="637"/>
      <c r="T497" s="638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40">
        <v>4680115885226</v>
      </c>
      <c r="E498" s="641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9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7"/>
      <c r="R498" s="637"/>
      <c r="S498" s="637"/>
      <c r="T498" s="638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40">
        <v>4680115884502</v>
      </c>
      <c r="E499" s="641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6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7"/>
      <c r="R499" s="637"/>
      <c r="S499" s="637"/>
      <c r="T499" s="638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40">
        <v>4607091389104</v>
      </c>
      <c r="E500" s="641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7"/>
      <c r="R500" s="637"/>
      <c r="S500" s="637"/>
      <c r="T500" s="638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40">
        <v>4680115886391</v>
      </c>
      <c r="E501" s="641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7"/>
      <c r="R501" s="637"/>
      <c r="S501" s="637"/>
      <c r="T501" s="638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40">
        <v>4680115880603</v>
      </c>
      <c r="E502" s="641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9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7"/>
      <c r="R502" s="637"/>
      <c r="S502" s="637"/>
      <c r="T502" s="638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40">
        <v>4607091389982</v>
      </c>
      <c r="E503" s="641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7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7"/>
      <c r="R503" s="637"/>
      <c r="S503" s="637"/>
      <c r="T503" s="638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45"/>
      <c r="B504" s="646"/>
      <c r="C504" s="646"/>
      <c r="D504" s="646"/>
      <c r="E504" s="646"/>
      <c r="F504" s="646"/>
      <c r="G504" s="646"/>
      <c r="H504" s="646"/>
      <c r="I504" s="646"/>
      <c r="J504" s="646"/>
      <c r="K504" s="646"/>
      <c r="L504" s="646"/>
      <c r="M504" s="646"/>
      <c r="N504" s="646"/>
      <c r="O504" s="647"/>
      <c r="P504" s="633" t="s">
        <v>72</v>
      </c>
      <c r="Q504" s="634"/>
      <c r="R504" s="634"/>
      <c r="S504" s="634"/>
      <c r="T504" s="634"/>
      <c r="U504" s="634"/>
      <c r="V504" s="635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46"/>
      <c r="B505" s="646"/>
      <c r="C505" s="646"/>
      <c r="D505" s="646"/>
      <c r="E505" s="646"/>
      <c r="F505" s="646"/>
      <c r="G505" s="646"/>
      <c r="H505" s="646"/>
      <c r="I505" s="646"/>
      <c r="J505" s="646"/>
      <c r="K505" s="646"/>
      <c r="L505" s="646"/>
      <c r="M505" s="646"/>
      <c r="N505" s="646"/>
      <c r="O505" s="647"/>
      <c r="P505" s="633" t="s">
        <v>72</v>
      </c>
      <c r="Q505" s="634"/>
      <c r="R505" s="634"/>
      <c r="S505" s="634"/>
      <c r="T505" s="634"/>
      <c r="U505" s="634"/>
      <c r="V505" s="635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48" t="s">
        <v>153</v>
      </c>
      <c r="B506" s="646"/>
      <c r="C506" s="646"/>
      <c r="D506" s="646"/>
      <c r="E506" s="646"/>
      <c r="F506" s="646"/>
      <c r="G506" s="646"/>
      <c r="H506" s="646"/>
      <c r="I506" s="646"/>
      <c r="J506" s="646"/>
      <c r="K506" s="646"/>
      <c r="L506" s="646"/>
      <c r="M506" s="646"/>
      <c r="N506" s="646"/>
      <c r="O506" s="646"/>
      <c r="P506" s="646"/>
      <c r="Q506" s="646"/>
      <c r="R506" s="646"/>
      <c r="S506" s="646"/>
      <c r="T506" s="646"/>
      <c r="U506" s="646"/>
      <c r="V506" s="646"/>
      <c r="W506" s="646"/>
      <c r="X506" s="646"/>
      <c r="Y506" s="646"/>
      <c r="Z506" s="646"/>
      <c r="AA506" s="623"/>
      <c r="AB506" s="623"/>
      <c r="AC506" s="623"/>
    </row>
    <row r="507" spans="1:68" ht="16.5" hidden="1" customHeight="1" x14ac:dyDescent="0.25">
      <c r="A507" s="54" t="s">
        <v>809</v>
      </c>
      <c r="B507" s="54" t="s">
        <v>810</v>
      </c>
      <c r="C507" s="31">
        <v>4301020334</v>
      </c>
      <c r="D507" s="640">
        <v>4607091388930</v>
      </c>
      <c r="E507" s="641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6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7"/>
      <c r="R507" s="637"/>
      <c r="S507" s="637"/>
      <c r="T507" s="638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40">
        <v>4680115886407</v>
      </c>
      <c r="E508" s="641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9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7"/>
      <c r="R508" s="637"/>
      <c r="S508" s="637"/>
      <c r="T508" s="638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40">
        <v>4680115880054</v>
      </c>
      <c r="E509" s="641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7"/>
      <c r="R509" s="637"/>
      <c r="S509" s="637"/>
      <c r="T509" s="638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45"/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7"/>
      <c r="P510" s="633" t="s">
        <v>72</v>
      </c>
      <c r="Q510" s="634"/>
      <c r="R510" s="634"/>
      <c r="S510" s="634"/>
      <c r="T510" s="634"/>
      <c r="U510" s="634"/>
      <c r="V510" s="635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46"/>
      <c r="B511" s="646"/>
      <c r="C511" s="646"/>
      <c r="D511" s="646"/>
      <c r="E511" s="646"/>
      <c r="F511" s="646"/>
      <c r="G511" s="646"/>
      <c r="H511" s="646"/>
      <c r="I511" s="646"/>
      <c r="J511" s="646"/>
      <c r="K511" s="646"/>
      <c r="L511" s="646"/>
      <c r="M511" s="646"/>
      <c r="N511" s="646"/>
      <c r="O511" s="647"/>
      <c r="P511" s="633" t="s">
        <v>72</v>
      </c>
      <c r="Q511" s="634"/>
      <c r="R511" s="634"/>
      <c r="S511" s="634"/>
      <c r="T511" s="634"/>
      <c r="U511" s="634"/>
      <c r="V511" s="635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48" t="s">
        <v>62</v>
      </c>
      <c r="B512" s="646"/>
      <c r="C512" s="646"/>
      <c r="D512" s="646"/>
      <c r="E512" s="646"/>
      <c r="F512" s="646"/>
      <c r="G512" s="646"/>
      <c r="H512" s="646"/>
      <c r="I512" s="646"/>
      <c r="J512" s="646"/>
      <c r="K512" s="646"/>
      <c r="L512" s="646"/>
      <c r="M512" s="646"/>
      <c r="N512" s="646"/>
      <c r="O512" s="646"/>
      <c r="P512" s="646"/>
      <c r="Q512" s="646"/>
      <c r="R512" s="646"/>
      <c r="S512" s="646"/>
      <c r="T512" s="646"/>
      <c r="U512" s="646"/>
      <c r="V512" s="646"/>
      <c r="W512" s="646"/>
      <c r="X512" s="646"/>
      <c r="Y512" s="646"/>
      <c r="Z512" s="646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40">
        <v>4680115883116</v>
      </c>
      <c r="E513" s="641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8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7"/>
      <c r="R513" s="637"/>
      <c r="S513" s="637"/>
      <c r="T513" s="638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40">
        <v>4680115883093</v>
      </c>
      <c r="E514" s="641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7"/>
      <c r="R514" s="637"/>
      <c r="S514" s="637"/>
      <c r="T514" s="638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40">
        <v>4680115883109</v>
      </c>
      <c r="E515" s="641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7"/>
      <c r="R515" s="637"/>
      <c r="S515" s="637"/>
      <c r="T515" s="638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40">
        <v>4680115882072</v>
      </c>
      <c r="E516" s="641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7"/>
      <c r="R516" s="637"/>
      <c r="S516" s="637"/>
      <c r="T516" s="638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40">
        <v>4680115882102</v>
      </c>
      <c r="E517" s="641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7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7"/>
      <c r="R517" s="637"/>
      <c r="S517" s="637"/>
      <c r="T517" s="638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40">
        <v>4680115882102</v>
      </c>
      <c r="E518" s="641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98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7"/>
      <c r="R518" s="637"/>
      <c r="S518" s="637"/>
      <c r="T518" s="638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40">
        <v>4680115882096</v>
      </c>
      <c r="E519" s="641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7"/>
      <c r="R519" s="637"/>
      <c r="S519" s="637"/>
      <c r="T519" s="638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45"/>
      <c r="B520" s="646"/>
      <c r="C520" s="646"/>
      <c r="D520" s="646"/>
      <c r="E520" s="646"/>
      <c r="F520" s="646"/>
      <c r="G520" s="646"/>
      <c r="H520" s="646"/>
      <c r="I520" s="646"/>
      <c r="J520" s="646"/>
      <c r="K520" s="646"/>
      <c r="L520" s="646"/>
      <c r="M520" s="646"/>
      <c r="N520" s="646"/>
      <c r="O520" s="647"/>
      <c r="P520" s="633" t="s">
        <v>72</v>
      </c>
      <c r="Q520" s="634"/>
      <c r="R520" s="634"/>
      <c r="S520" s="634"/>
      <c r="T520" s="634"/>
      <c r="U520" s="634"/>
      <c r="V520" s="635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46"/>
      <c r="B521" s="646"/>
      <c r="C521" s="646"/>
      <c r="D521" s="646"/>
      <c r="E521" s="646"/>
      <c r="F521" s="646"/>
      <c r="G521" s="646"/>
      <c r="H521" s="646"/>
      <c r="I521" s="646"/>
      <c r="J521" s="646"/>
      <c r="K521" s="646"/>
      <c r="L521" s="646"/>
      <c r="M521" s="646"/>
      <c r="N521" s="646"/>
      <c r="O521" s="647"/>
      <c r="P521" s="633" t="s">
        <v>72</v>
      </c>
      <c r="Q521" s="634"/>
      <c r="R521" s="634"/>
      <c r="S521" s="634"/>
      <c r="T521" s="634"/>
      <c r="U521" s="634"/>
      <c r="V521" s="635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87" t="s">
        <v>832</v>
      </c>
      <c r="B522" s="688"/>
      <c r="C522" s="688"/>
      <c r="D522" s="688"/>
      <c r="E522" s="688"/>
      <c r="F522" s="688"/>
      <c r="G522" s="688"/>
      <c r="H522" s="688"/>
      <c r="I522" s="688"/>
      <c r="J522" s="688"/>
      <c r="K522" s="688"/>
      <c r="L522" s="688"/>
      <c r="M522" s="688"/>
      <c r="N522" s="688"/>
      <c r="O522" s="688"/>
      <c r="P522" s="688"/>
      <c r="Q522" s="688"/>
      <c r="R522" s="688"/>
      <c r="S522" s="688"/>
      <c r="T522" s="688"/>
      <c r="U522" s="688"/>
      <c r="V522" s="688"/>
      <c r="W522" s="688"/>
      <c r="X522" s="688"/>
      <c r="Y522" s="688"/>
      <c r="Z522" s="688"/>
      <c r="AA522" s="48"/>
      <c r="AB522" s="48"/>
      <c r="AC522" s="48"/>
    </row>
    <row r="523" spans="1:68" ht="16.5" hidden="1" customHeight="1" x14ac:dyDescent="0.25">
      <c r="A523" s="656" t="s">
        <v>832</v>
      </c>
      <c r="B523" s="646"/>
      <c r="C523" s="646"/>
      <c r="D523" s="646"/>
      <c r="E523" s="646"/>
      <c r="F523" s="646"/>
      <c r="G523" s="646"/>
      <c r="H523" s="646"/>
      <c r="I523" s="646"/>
      <c r="J523" s="646"/>
      <c r="K523" s="646"/>
      <c r="L523" s="646"/>
      <c r="M523" s="646"/>
      <c r="N523" s="646"/>
      <c r="O523" s="646"/>
      <c r="P523" s="646"/>
      <c r="Q523" s="646"/>
      <c r="R523" s="646"/>
      <c r="S523" s="646"/>
      <c r="T523" s="646"/>
      <c r="U523" s="646"/>
      <c r="V523" s="646"/>
      <c r="W523" s="646"/>
      <c r="X523" s="646"/>
      <c r="Y523" s="646"/>
      <c r="Z523" s="646"/>
      <c r="AA523" s="622"/>
      <c r="AB523" s="622"/>
      <c r="AC523" s="622"/>
    </row>
    <row r="524" spans="1:68" ht="14.25" hidden="1" customHeight="1" x14ac:dyDescent="0.25">
      <c r="A524" s="648" t="s">
        <v>117</v>
      </c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46"/>
      <c r="P524" s="646"/>
      <c r="Q524" s="646"/>
      <c r="R524" s="646"/>
      <c r="S524" s="646"/>
      <c r="T524" s="646"/>
      <c r="U524" s="646"/>
      <c r="V524" s="646"/>
      <c r="W524" s="646"/>
      <c r="X524" s="646"/>
      <c r="Y524" s="646"/>
      <c r="Z524" s="646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40">
        <v>4640242180564</v>
      </c>
      <c r="E525" s="641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7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7"/>
      <c r="R525" s="637"/>
      <c r="S525" s="637"/>
      <c r="T525" s="638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45"/>
      <c r="B526" s="646"/>
      <c r="C526" s="646"/>
      <c r="D526" s="646"/>
      <c r="E526" s="646"/>
      <c r="F526" s="646"/>
      <c r="G526" s="646"/>
      <c r="H526" s="646"/>
      <c r="I526" s="646"/>
      <c r="J526" s="646"/>
      <c r="K526" s="646"/>
      <c r="L526" s="646"/>
      <c r="M526" s="646"/>
      <c r="N526" s="646"/>
      <c r="O526" s="647"/>
      <c r="P526" s="633" t="s">
        <v>72</v>
      </c>
      <c r="Q526" s="634"/>
      <c r="R526" s="634"/>
      <c r="S526" s="634"/>
      <c r="T526" s="634"/>
      <c r="U526" s="634"/>
      <c r="V526" s="635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46"/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7"/>
      <c r="P527" s="633" t="s">
        <v>72</v>
      </c>
      <c r="Q527" s="634"/>
      <c r="R527" s="634"/>
      <c r="S527" s="634"/>
      <c r="T527" s="634"/>
      <c r="U527" s="634"/>
      <c r="V527" s="635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48" t="s">
        <v>153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40">
        <v>4640242180519</v>
      </c>
      <c r="E529" s="641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8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7"/>
      <c r="R529" s="637"/>
      <c r="S529" s="637"/>
      <c r="T529" s="638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45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47"/>
      <c r="P530" s="633" t="s">
        <v>72</v>
      </c>
      <c r="Q530" s="634"/>
      <c r="R530" s="634"/>
      <c r="S530" s="634"/>
      <c r="T530" s="634"/>
      <c r="U530" s="634"/>
      <c r="V530" s="635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47"/>
      <c r="P531" s="633" t="s">
        <v>72</v>
      </c>
      <c r="Q531" s="634"/>
      <c r="R531" s="634"/>
      <c r="S531" s="634"/>
      <c r="T531" s="634"/>
      <c r="U531" s="634"/>
      <c r="V531" s="635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48" t="s">
        <v>62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40">
        <v>4640242180595</v>
      </c>
      <c r="E533" s="641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7"/>
      <c r="R533" s="637"/>
      <c r="S533" s="637"/>
      <c r="T533" s="638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45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47"/>
      <c r="P534" s="633" t="s">
        <v>72</v>
      </c>
      <c r="Q534" s="634"/>
      <c r="R534" s="634"/>
      <c r="S534" s="634"/>
      <c r="T534" s="634"/>
      <c r="U534" s="634"/>
      <c r="V534" s="635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47"/>
      <c r="P535" s="633" t="s">
        <v>72</v>
      </c>
      <c r="Q535" s="634"/>
      <c r="R535" s="634"/>
      <c r="S535" s="634"/>
      <c r="T535" s="634"/>
      <c r="U535" s="634"/>
      <c r="V535" s="635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48" t="s">
        <v>74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40">
        <v>4640242180533</v>
      </c>
      <c r="E537" s="641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9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7"/>
      <c r="R537" s="637"/>
      <c r="S537" s="637"/>
      <c r="T537" s="638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5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47"/>
      <c r="P538" s="633" t="s">
        <v>72</v>
      </c>
      <c r="Q538" s="634"/>
      <c r="R538" s="634"/>
      <c r="S538" s="634"/>
      <c r="T538" s="634"/>
      <c r="U538" s="634"/>
      <c r="V538" s="635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47"/>
      <c r="P539" s="633" t="s">
        <v>72</v>
      </c>
      <c r="Q539" s="634"/>
      <c r="R539" s="634"/>
      <c r="S539" s="634"/>
      <c r="T539" s="634"/>
      <c r="U539" s="634"/>
      <c r="V539" s="635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48" t="s">
        <v>170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40">
        <v>4640242180120</v>
      </c>
      <c r="E541" s="641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7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7"/>
      <c r="R541" s="637"/>
      <c r="S541" s="637"/>
      <c r="T541" s="638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40">
        <v>4640242180137</v>
      </c>
      <c r="E542" s="641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93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7"/>
      <c r="R542" s="637"/>
      <c r="S542" s="637"/>
      <c r="T542" s="638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45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7"/>
      <c r="P543" s="633" t="s">
        <v>72</v>
      </c>
      <c r="Q543" s="634"/>
      <c r="R543" s="634"/>
      <c r="S543" s="634"/>
      <c r="T543" s="634"/>
      <c r="U543" s="634"/>
      <c r="V543" s="635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46"/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7"/>
      <c r="P544" s="633" t="s">
        <v>72</v>
      </c>
      <c r="Q544" s="634"/>
      <c r="R544" s="634"/>
      <c r="S544" s="634"/>
      <c r="T544" s="634"/>
      <c r="U544" s="634"/>
      <c r="V544" s="635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6" t="s">
        <v>851</v>
      </c>
      <c r="B545" s="646"/>
      <c r="C545" s="646"/>
      <c r="D545" s="646"/>
      <c r="E545" s="646"/>
      <c r="F545" s="646"/>
      <c r="G545" s="646"/>
      <c r="H545" s="646"/>
      <c r="I545" s="646"/>
      <c r="J545" s="646"/>
      <c r="K545" s="646"/>
      <c r="L545" s="646"/>
      <c r="M545" s="646"/>
      <c r="N545" s="646"/>
      <c r="O545" s="646"/>
      <c r="P545" s="646"/>
      <c r="Q545" s="646"/>
      <c r="R545" s="646"/>
      <c r="S545" s="646"/>
      <c r="T545" s="646"/>
      <c r="U545" s="646"/>
      <c r="V545" s="646"/>
      <c r="W545" s="646"/>
      <c r="X545" s="646"/>
      <c r="Y545" s="646"/>
      <c r="Z545" s="646"/>
      <c r="AA545" s="622"/>
      <c r="AB545" s="622"/>
      <c r="AC545" s="622"/>
    </row>
    <row r="546" spans="1:68" ht="14.25" hidden="1" customHeight="1" x14ac:dyDescent="0.25">
      <c r="A546" s="648" t="s">
        <v>153</v>
      </c>
      <c r="B546" s="646"/>
      <c r="C546" s="646"/>
      <c r="D546" s="646"/>
      <c r="E546" s="646"/>
      <c r="F546" s="646"/>
      <c r="G546" s="646"/>
      <c r="H546" s="646"/>
      <c r="I546" s="646"/>
      <c r="J546" s="646"/>
      <c r="K546" s="646"/>
      <c r="L546" s="646"/>
      <c r="M546" s="646"/>
      <c r="N546" s="646"/>
      <c r="O546" s="646"/>
      <c r="P546" s="646"/>
      <c r="Q546" s="646"/>
      <c r="R546" s="646"/>
      <c r="S546" s="646"/>
      <c r="T546" s="646"/>
      <c r="U546" s="646"/>
      <c r="V546" s="646"/>
      <c r="W546" s="646"/>
      <c r="X546" s="646"/>
      <c r="Y546" s="646"/>
      <c r="Z546" s="646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40">
        <v>4640242180090</v>
      </c>
      <c r="E547" s="641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7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7"/>
      <c r="R547" s="637"/>
      <c r="S547" s="637"/>
      <c r="T547" s="638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5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47"/>
      <c r="P548" s="633" t="s">
        <v>72</v>
      </c>
      <c r="Q548" s="634"/>
      <c r="R548" s="634"/>
      <c r="S548" s="634"/>
      <c r="T548" s="634"/>
      <c r="U548" s="634"/>
      <c r="V548" s="635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46"/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7"/>
      <c r="P549" s="633" t="s">
        <v>72</v>
      </c>
      <c r="Q549" s="634"/>
      <c r="R549" s="634"/>
      <c r="S549" s="634"/>
      <c r="T549" s="634"/>
      <c r="U549" s="634"/>
      <c r="V549" s="635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883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831"/>
      <c r="P550" s="733" t="s">
        <v>855</v>
      </c>
      <c r="Q550" s="734"/>
      <c r="R550" s="734"/>
      <c r="S550" s="734"/>
      <c r="T550" s="734"/>
      <c r="U550" s="734"/>
      <c r="V550" s="651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1357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1377.6</v>
      </c>
      <c r="Z550" s="37"/>
      <c r="AA550" s="630"/>
      <c r="AB550" s="630"/>
      <c r="AC550" s="630"/>
    </row>
    <row r="551" spans="1:68" x14ac:dyDescent="0.2">
      <c r="A551" s="646"/>
      <c r="B551" s="646"/>
      <c r="C551" s="646"/>
      <c r="D551" s="646"/>
      <c r="E551" s="646"/>
      <c r="F551" s="646"/>
      <c r="G551" s="646"/>
      <c r="H551" s="646"/>
      <c r="I551" s="646"/>
      <c r="J551" s="646"/>
      <c r="K551" s="646"/>
      <c r="L551" s="646"/>
      <c r="M551" s="646"/>
      <c r="N551" s="646"/>
      <c r="O551" s="831"/>
      <c r="P551" s="733" t="s">
        <v>856</v>
      </c>
      <c r="Q551" s="734"/>
      <c r="R551" s="734"/>
      <c r="S551" s="734"/>
      <c r="T551" s="734"/>
      <c r="U551" s="734"/>
      <c r="V551" s="651"/>
      <c r="W551" s="37" t="s">
        <v>67</v>
      </c>
      <c r="X551" s="629">
        <f>IFERROR(SUM(BM22:BM547),"0")</f>
        <v>1403.69</v>
      </c>
      <c r="Y551" s="629">
        <f>IFERROR(SUM(BN22:BN547),"0")</f>
        <v>1424.96</v>
      </c>
      <c r="Z551" s="37"/>
      <c r="AA551" s="630"/>
      <c r="AB551" s="630"/>
      <c r="AC551" s="630"/>
    </row>
    <row r="552" spans="1:68" x14ac:dyDescent="0.2">
      <c r="A552" s="646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831"/>
      <c r="P552" s="733" t="s">
        <v>857</v>
      </c>
      <c r="Q552" s="734"/>
      <c r="R552" s="734"/>
      <c r="S552" s="734"/>
      <c r="T552" s="734"/>
      <c r="U552" s="734"/>
      <c r="V552" s="651"/>
      <c r="W552" s="37" t="s">
        <v>858</v>
      </c>
      <c r="X552" s="38">
        <f>ROUNDUP(SUM(BO22:BO547),0)</f>
        <v>2</v>
      </c>
      <c r="Y552" s="38">
        <f>ROUNDUP(SUM(BP22:BP547),0)</f>
        <v>3</v>
      </c>
      <c r="Z552" s="37"/>
      <c r="AA552" s="630"/>
      <c r="AB552" s="630"/>
      <c r="AC552" s="630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831"/>
      <c r="P553" s="733" t="s">
        <v>859</v>
      </c>
      <c r="Q553" s="734"/>
      <c r="R553" s="734"/>
      <c r="S553" s="734"/>
      <c r="T553" s="734"/>
      <c r="U553" s="734"/>
      <c r="V553" s="651"/>
      <c r="W553" s="37" t="s">
        <v>67</v>
      </c>
      <c r="X553" s="629">
        <f>GrossWeightTotal+PalletQtyTotal*25</f>
        <v>1453.69</v>
      </c>
      <c r="Y553" s="629">
        <f>GrossWeightTotalR+PalletQtyTotalR*25</f>
        <v>1499.96</v>
      </c>
      <c r="Z553" s="37"/>
      <c r="AA553" s="630"/>
      <c r="AB553" s="630"/>
      <c r="AC553" s="630"/>
    </row>
    <row r="554" spans="1:68" x14ac:dyDescent="0.2">
      <c r="A554" s="646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831"/>
      <c r="P554" s="733" t="s">
        <v>860</v>
      </c>
      <c r="Q554" s="734"/>
      <c r="R554" s="734"/>
      <c r="S554" s="734"/>
      <c r="T554" s="734"/>
      <c r="U554" s="734"/>
      <c r="V554" s="651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140.33333333333334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142</v>
      </c>
      <c r="Z554" s="37"/>
      <c r="AA554" s="630"/>
      <c r="AB554" s="630"/>
      <c r="AC554" s="630"/>
    </row>
    <row r="555" spans="1:68" ht="14.25" hidden="1" customHeight="1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831"/>
      <c r="P555" s="733" t="s">
        <v>861</v>
      </c>
      <c r="Q555" s="734"/>
      <c r="R555" s="734"/>
      <c r="S555" s="734"/>
      <c r="T555" s="734"/>
      <c r="U555" s="734"/>
      <c r="V555" s="651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2.13489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44"/>
      <c r="F557" s="844"/>
      <c r="G557" s="844"/>
      <c r="H557" s="844"/>
      <c r="I557" s="844"/>
      <c r="J557" s="726"/>
      <c r="K557" s="631" t="s">
        <v>347</v>
      </c>
      <c r="L557" s="844"/>
      <c r="M557" s="844"/>
      <c r="N557" s="844"/>
      <c r="O557" s="844"/>
      <c r="P557" s="844"/>
      <c r="Q557" s="844"/>
      <c r="R557" s="844"/>
      <c r="S557" s="844"/>
      <c r="T557" s="844"/>
      <c r="U557" s="726"/>
      <c r="V557" s="631" t="s">
        <v>683</v>
      </c>
      <c r="W557" s="726"/>
      <c r="X557" s="631" t="s">
        <v>749</v>
      </c>
      <c r="Y557" s="726"/>
      <c r="Z557" s="624" t="s">
        <v>785</v>
      </c>
      <c r="AA557" s="631" t="s">
        <v>832</v>
      </c>
      <c r="AB557" s="726"/>
      <c r="AC557" s="52"/>
      <c r="AF557" s="625"/>
    </row>
    <row r="558" spans="1:68" ht="14.25" customHeight="1" thickTop="1" x14ac:dyDescent="0.2">
      <c r="A558" s="884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885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102.60000000000001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1275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5,00"/>
        <filter val="1 357,00"/>
        <filter val="1 403,69"/>
        <filter val="1 453,69"/>
        <filter val="102,00"/>
        <filter val="140,33"/>
        <filter val="2"/>
        <filter val="440,00"/>
        <filter val="56,67"/>
        <filter val="815,00"/>
        <filter val="83,67"/>
      </filters>
    </filterColumn>
    <filterColumn colId="29" showButton="0"/>
    <filterColumn colId="30" showButton="0"/>
  </autoFilter>
  <mergeCells count="985"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D321:E321"/>
    <mergeCell ref="P107:T107"/>
    <mergeCell ref="P129:V129"/>
    <mergeCell ref="A128:O129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P443:V44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