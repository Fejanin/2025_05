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1B8CC1F-7FF1-4630-8306-76F5DA9D937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Z513" i="1"/>
  <c r="Y513" i="1"/>
  <c r="P513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BN507" i="1" s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BN501" i="1" s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BN487" i="1" s="1"/>
  <c r="P487" i="1"/>
  <c r="X485" i="1"/>
  <c r="X484" i="1"/>
  <c r="BO483" i="1"/>
  <c r="BM483" i="1"/>
  <c r="Z483" i="1"/>
  <c r="Z484" i="1" s="1"/>
  <c r="Y483" i="1"/>
  <c r="P483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Z468" i="1"/>
  <c r="Y468" i="1"/>
  <c r="BN468" i="1" s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P460" i="1"/>
  <c r="X458" i="1"/>
  <c r="X457" i="1"/>
  <c r="BO456" i="1"/>
  <c r="BM456" i="1"/>
  <c r="Y456" i="1"/>
  <c r="BN456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O441" i="1"/>
  <c r="BM441" i="1"/>
  <c r="Y441" i="1"/>
  <c r="BN441" i="1" s="1"/>
  <c r="P441" i="1"/>
  <c r="BO440" i="1"/>
  <c r="BM440" i="1"/>
  <c r="Y440" i="1"/>
  <c r="P440" i="1"/>
  <c r="BO439" i="1"/>
  <c r="BM439" i="1"/>
  <c r="Y439" i="1"/>
  <c r="BN439" i="1" s="1"/>
  <c r="P439" i="1"/>
  <c r="X437" i="1"/>
  <c r="X436" i="1"/>
  <c r="BO435" i="1"/>
  <c r="BM435" i="1"/>
  <c r="Y435" i="1"/>
  <c r="BN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N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BN423" i="1" s="1"/>
  <c r="P423" i="1"/>
  <c r="BO422" i="1"/>
  <c r="BM422" i="1"/>
  <c r="Y422" i="1"/>
  <c r="P422" i="1"/>
  <c r="X418" i="1"/>
  <c r="X417" i="1"/>
  <c r="BO416" i="1"/>
  <c r="BM416" i="1"/>
  <c r="Y416" i="1"/>
  <c r="P416" i="1"/>
  <c r="BO415" i="1"/>
  <c r="BM415" i="1"/>
  <c r="Z415" i="1"/>
  <c r="Y415" i="1"/>
  <c r="BN415" i="1" s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N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N395" i="1" s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Z373" i="1"/>
  <c r="Y373" i="1"/>
  <c r="BN373" i="1" s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P356" i="1" s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M345" i="1"/>
  <c r="Y345" i="1"/>
  <c r="P345" i="1"/>
  <c r="BO344" i="1"/>
  <c r="BM344" i="1"/>
  <c r="Y344" i="1"/>
  <c r="P344" i="1"/>
  <c r="BO343" i="1"/>
  <c r="BM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Z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N306" i="1" s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P302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N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Z287" i="1"/>
  <c r="Y287" i="1"/>
  <c r="BN287" i="1" s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N275" i="1" s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X267" i="1"/>
  <c r="X266" i="1"/>
  <c r="BP265" i="1"/>
  <c r="BO265" i="1"/>
  <c r="BM265" i="1"/>
  <c r="Y265" i="1"/>
  <c r="P265" i="1"/>
  <c r="BO264" i="1"/>
  <c r="BM264" i="1"/>
  <c r="Y264" i="1"/>
  <c r="P264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Z254" i="1" s="1"/>
  <c r="Z255" i="1" s="1"/>
  <c r="P254" i="1"/>
  <c r="X252" i="1"/>
  <c r="X251" i="1"/>
  <c r="BP250" i="1"/>
  <c r="BO250" i="1"/>
  <c r="BM250" i="1"/>
  <c r="Y250" i="1"/>
  <c r="P250" i="1"/>
  <c r="BO249" i="1"/>
  <c r="BM249" i="1"/>
  <c r="Y249" i="1"/>
  <c r="BP249" i="1" s="1"/>
  <c r="P249" i="1"/>
  <c r="BO248" i="1"/>
  <c r="BM248" i="1"/>
  <c r="Z248" i="1"/>
  <c r="Y248" i="1"/>
  <c r="P248" i="1"/>
  <c r="X246" i="1"/>
  <c r="X245" i="1"/>
  <c r="BO244" i="1"/>
  <c r="BM244" i="1"/>
  <c r="Z244" i="1"/>
  <c r="Y244" i="1"/>
  <c r="BN244" i="1" s="1"/>
  <c r="P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BN240" i="1" s="1"/>
  <c r="P240" i="1"/>
  <c r="X238" i="1"/>
  <c r="X237" i="1"/>
  <c r="BO236" i="1"/>
  <c r="BM236" i="1"/>
  <c r="Y236" i="1"/>
  <c r="BN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BN228" i="1" s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BP214" i="1" s="1"/>
  <c r="P214" i="1"/>
  <c r="BO213" i="1"/>
  <c r="BM213" i="1"/>
  <c r="Z213" i="1"/>
  <c r="Y213" i="1"/>
  <c r="BN213" i="1" s="1"/>
  <c r="P213" i="1"/>
  <c r="BO212" i="1"/>
  <c r="BM212" i="1"/>
  <c r="Y212" i="1"/>
  <c r="BP212" i="1" s="1"/>
  <c r="P212" i="1"/>
  <c r="BO211" i="1"/>
  <c r="BM211" i="1"/>
  <c r="Y211" i="1"/>
  <c r="BN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K560" i="1" s="1"/>
  <c r="P208" i="1"/>
  <c r="X204" i="1"/>
  <c r="X203" i="1"/>
  <c r="BO202" i="1"/>
  <c r="BM202" i="1"/>
  <c r="Y202" i="1"/>
  <c r="Y203" i="1" s="1"/>
  <c r="P202" i="1"/>
  <c r="X200" i="1"/>
  <c r="X199" i="1"/>
  <c r="BO198" i="1"/>
  <c r="BM198" i="1"/>
  <c r="Y198" i="1"/>
  <c r="BP198" i="1" s="1"/>
  <c r="P198" i="1"/>
  <c r="BO197" i="1"/>
  <c r="BM197" i="1"/>
  <c r="Y197" i="1"/>
  <c r="P197" i="1"/>
  <c r="X195" i="1"/>
  <c r="X194" i="1"/>
  <c r="BO193" i="1"/>
  <c r="BM193" i="1"/>
  <c r="Y193" i="1"/>
  <c r="BN193" i="1" s="1"/>
  <c r="P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Z183" i="1"/>
  <c r="Y183" i="1"/>
  <c r="BN183" i="1" s="1"/>
  <c r="P183" i="1"/>
  <c r="BO182" i="1"/>
  <c r="BM182" i="1"/>
  <c r="Y182" i="1"/>
  <c r="BP182" i="1" s="1"/>
  <c r="P182" i="1"/>
  <c r="BO181" i="1"/>
  <c r="BM181" i="1"/>
  <c r="Y181" i="1"/>
  <c r="BN181" i="1" s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Z177" i="1"/>
  <c r="Y177" i="1"/>
  <c r="P177" i="1"/>
  <c r="X175" i="1"/>
  <c r="X174" i="1"/>
  <c r="BO173" i="1"/>
  <c r="BM173" i="1"/>
  <c r="Y173" i="1"/>
  <c r="BN173" i="1" s="1"/>
  <c r="P173" i="1"/>
  <c r="BO172" i="1"/>
  <c r="BM172" i="1"/>
  <c r="Y172" i="1"/>
  <c r="Y175" i="1" s="1"/>
  <c r="X170" i="1"/>
  <c r="X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BN157" i="1" s="1"/>
  <c r="P157" i="1"/>
  <c r="BO156" i="1"/>
  <c r="BM156" i="1"/>
  <c r="Y156" i="1"/>
  <c r="BP156" i="1" s="1"/>
  <c r="P156" i="1"/>
  <c r="BO155" i="1"/>
  <c r="BM155" i="1"/>
  <c r="Y155" i="1"/>
  <c r="BN155" i="1" s="1"/>
  <c r="P155" i="1"/>
  <c r="BO154" i="1"/>
  <c r="BM154" i="1"/>
  <c r="Y154" i="1"/>
  <c r="I560" i="1" s="1"/>
  <c r="P154" i="1"/>
  <c r="X151" i="1"/>
  <c r="X150" i="1"/>
  <c r="BO149" i="1"/>
  <c r="BM149" i="1"/>
  <c r="Y149" i="1"/>
  <c r="BP149" i="1" s="1"/>
  <c r="P149" i="1"/>
  <c r="BO148" i="1"/>
  <c r="BM148" i="1"/>
  <c r="Y148" i="1"/>
  <c r="BN148" i="1" s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N142" i="1" s="1"/>
  <c r="P142" i="1"/>
  <c r="BO141" i="1"/>
  <c r="BM141" i="1"/>
  <c r="Y141" i="1"/>
  <c r="BP141" i="1" s="1"/>
  <c r="P141" i="1"/>
  <c r="BO140" i="1"/>
  <c r="BM140" i="1"/>
  <c r="Y140" i="1"/>
  <c r="BN140" i="1" s="1"/>
  <c r="P140" i="1"/>
  <c r="BO139" i="1"/>
  <c r="BM139" i="1"/>
  <c r="Y139" i="1"/>
  <c r="Y144" i="1" s="1"/>
  <c r="P139" i="1"/>
  <c r="X137" i="1"/>
  <c r="X136" i="1"/>
  <c r="BO135" i="1"/>
  <c r="BM135" i="1"/>
  <c r="Y135" i="1"/>
  <c r="BP135" i="1" s="1"/>
  <c r="P135" i="1"/>
  <c r="BO134" i="1"/>
  <c r="BM134" i="1"/>
  <c r="Y134" i="1"/>
  <c r="BN134" i="1" s="1"/>
  <c r="P134" i="1"/>
  <c r="BO133" i="1"/>
  <c r="BM133" i="1"/>
  <c r="Y133" i="1"/>
  <c r="BP133" i="1" s="1"/>
  <c r="P133" i="1"/>
  <c r="BO132" i="1"/>
  <c r="BM132" i="1"/>
  <c r="Y132" i="1"/>
  <c r="BN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O96" i="1"/>
  <c r="BM96" i="1"/>
  <c r="Z96" i="1"/>
  <c r="Y96" i="1"/>
  <c r="BN96" i="1" s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N88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N52" i="1" s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N42" i="1" s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44" i="1" l="1"/>
  <c r="BN63" i="1"/>
  <c r="BN71" i="1"/>
  <c r="BP88" i="1"/>
  <c r="BP103" i="1"/>
  <c r="BP134" i="1"/>
  <c r="BP142" i="1"/>
  <c r="BP148" i="1"/>
  <c r="BP157" i="1"/>
  <c r="BP191" i="1"/>
  <c r="BN191" i="1"/>
  <c r="Z191" i="1"/>
  <c r="BP197" i="1"/>
  <c r="BN197" i="1"/>
  <c r="Z197" i="1"/>
  <c r="BN230" i="1"/>
  <c r="Z230" i="1"/>
  <c r="BN271" i="1"/>
  <c r="Z271" i="1"/>
  <c r="BP304" i="1"/>
  <c r="BN304" i="1"/>
  <c r="Z304" i="1"/>
  <c r="BN320" i="1"/>
  <c r="BN336" i="1"/>
  <c r="Z336" i="1"/>
  <c r="BN351" i="1"/>
  <c r="Z351" i="1"/>
  <c r="BN363" i="1"/>
  <c r="BP375" i="1"/>
  <c r="BN375" i="1"/>
  <c r="Z375" i="1"/>
  <c r="BP381" i="1"/>
  <c r="BN381" i="1"/>
  <c r="Z381" i="1"/>
  <c r="BP389" i="1"/>
  <c r="BN389" i="1"/>
  <c r="Z389" i="1"/>
  <c r="BN408" i="1"/>
  <c r="BP427" i="1"/>
  <c r="BN427" i="1"/>
  <c r="Z427" i="1"/>
  <c r="BN433" i="1"/>
  <c r="BN452" i="1"/>
  <c r="Z452" i="1"/>
  <c r="BP460" i="1"/>
  <c r="BN460" i="1"/>
  <c r="Z460" i="1"/>
  <c r="Y463" i="1"/>
  <c r="BP470" i="1"/>
  <c r="BN470" i="1"/>
  <c r="Z470" i="1"/>
  <c r="BP478" i="1"/>
  <c r="BN478" i="1"/>
  <c r="Z478" i="1"/>
  <c r="BP515" i="1"/>
  <c r="BN515" i="1"/>
  <c r="Z515" i="1"/>
  <c r="Y527" i="1"/>
  <c r="Y526" i="1"/>
  <c r="BN525" i="1"/>
  <c r="BN541" i="1"/>
  <c r="BN22" i="1"/>
  <c r="Z28" i="1"/>
  <c r="BN28" i="1"/>
  <c r="BN30" i="1"/>
  <c r="Z44" i="1"/>
  <c r="Z54" i="1"/>
  <c r="BN54" i="1"/>
  <c r="BN65" i="1"/>
  <c r="BN73" i="1"/>
  <c r="Z88" i="1"/>
  <c r="Z90" i="1"/>
  <c r="BN90" i="1"/>
  <c r="BP96" i="1"/>
  <c r="Z103" i="1"/>
  <c r="Z105" i="1"/>
  <c r="BN105" i="1"/>
  <c r="Z127" i="1"/>
  <c r="Z128" i="1" s="1"/>
  <c r="BN127" i="1"/>
  <c r="BP127" i="1"/>
  <c r="Y128" i="1"/>
  <c r="Z134" i="1"/>
  <c r="Z142" i="1"/>
  <c r="Z148" i="1"/>
  <c r="Z157" i="1"/>
  <c r="Z166" i="1"/>
  <c r="BN166" i="1"/>
  <c r="BP177" i="1"/>
  <c r="BN177" i="1"/>
  <c r="BP230" i="1"/>
  <c r="BP232" i="1"/>
  <c r="BN232" i="1"/>
  <c r="Z232" i="1"/>
  <c r="BN242" i="1"/>
  <c r="Z242" i="1"/>
  <c r="BN250" i="1"/>
  <c r="Z250" i="1"/>
  <c r="BN265" i="1"/>
  <c r="Z265" i="1"/>
  <c r="BP271" i="1"/>
  <c r="BP273" i="1"/>
  <c r="BN273" i="1"/>
  <c r="Z273" i="1"/>
  <c r="BP281" i="1"/>
  <c r="BN281" i="1"/>
  <c r="Z281" i="1"/>
  <c r="BN302" i="1"/>
  <c r="Z302" i="1"/>
  <c r="BP336" i="1"/>
  <c r="BN345" i="1"/>
  <c r="Z345" i="1"/>
  <c r="BN425" i="1"/>
  <c r="Z425" i="1"/>
  <c r="BN497" i="1"/>
  <c r="BP509" i="1"/>
  <c r="BN509" i="1"/>
  <c r="Z509" i="1"/>
  <c r="Y535" i="1"/>
  <c r="Y534" i="1"/>
  <c r="BN533" i="1"/>
  <c r="BP183" i="1"/>
  <c r="BP213" i="1"/>
  <c r="L560" i="1"/>
  <c r="BP244" i="1"/>
  <c r="BP287" i="1"/>
  <c r="BP327" i="1"/>
  <c r="BN329" i="1"/>
  <c r="BN356" i="1"/>
  <c r="BN377" i="1"/>
  <c r="BN383" i="1"/>
  <c r="BP415" i="1"/>
  <c r="Y457" i="1"/>
  <c r="BN462" i="1"/>
  <c r="BN472" i="1"/>
  <c r="Y490" i="1"/>
  <c r="BN517" i="1"/>
  <c r="F9" i="1"/>
  <c r="BP140" i="1"/>
  <c r="BP155" i="1"/>
  <c r="Y277" i="1"/>
  <c r="BN269" i="1"/>
  <c r="BP269" i="1"/>
  <c r="BP358" i="1"/>
  <c r="Z358" i="1"/>
  <c r="BP365" i="1"/>
  <c r="Z365" i="1"/>
  <c r="BP489" i="1"/>
  <c r="Z489" i="1"/>
  <c r="BP499" i="1"/>
  <c r="Z499" i="1"/>
  <c r="BP507" i="1"/>
  <c r="Y531" i="1"/>
  <c r="Y530" i="1"/>
  <c r="BN529" i="1"/>
  <c r="BP529" i="1"/>
  <c r="Y539" i="1"/>
  <c r="Y538" i="1"/>
  <c r="BN537" i="1"/>
  <c r="BP537" i="1"/>
  <c r="J9" i="1"/>
  <c r="Z42" i="1"/>
  <c r="BP42" i="1"/>
  <c r="Z52" i="1"/>
  <c r="BP52" i="1"/>
  <c r="Z59" i="1"/>
  <c r="BP59" i="1"/>
  <c r="BP107" i="1"/>
  <c r="Z107" i="1"/>
  <c r="BP123" i="1"/>
  <c r="Z123" i="1"/>
  <c r="Z140" i="1"/>
  <c r="Z155" i="1"/>
  <c r="BP168" i="1"/>
  <c r="Z168" i="1"/>
  <c r="BP179" i="1"/>
  <c r="Z179" i="1"/>
  <c r="BP187" i="1"/>
  <c r="Z187" i="1"/>
  <c r="BP209" i="1"/>
  <c r="Z209" i="1"/>
  <c r="BP226" i="1"/>
  <c r="Z226" i="1"/>
  <c r="BP234" i="1"/>
  <c r="Z234" i="1"/>
  <c r="Y252" i="1"/>
  <c r="BN248" i="1"/>
  <c r="BP248" i="1"/>
  <c r="Z269" i="1"/>
  <c r="BP283" i="1"/>
  <c r="Z283" i="1"/>
  <c r="BP291" i="1"/>
  <c r="Z291" i="1"/>
  <c r="BP343" i="1"/>
  <c r="BP367" i="1"/>
  <c r="Y379" i="1"/>
  <c r="BP371" i="1"/>
  <c r="Z371" i="1"/>
  <c r="BP395" i="1"/>
  <c r="BP402" i="1"/>
  <c r="Z402" i="1"/>
  <c r="BP501" i="1"/>
  <c r="Z507" i="1"/>
  <c r="BP519" i="1"/>
  <c r="Z519" i="1"/>
  <c r="Z529" i="1"/>
  <c r="Z530" i="1" s="1"/>
  <c r="Z537" i="1"/>
  <c r="Z538" i="1" s="1"/>
  <c r="F10" i="1"/>
  <c r="Z22" i="1"/>
  <c r="Y32" i="1"/>
  <c r="Z30" i="1"/>
  <c r="Z65" i="1"/>
  <c r="Y75" i="1"/>
  <c r="Z73" i="1"/>
  <c r="Y79" i="1"/>
  <c r="BP77" i="1"/>
  <c r="Z77" i="1"/>
  <c r="BP132" i="1"/>
  <c r="Y150" i="1"/>
  <c r="BN146" i="1"/>
  <c r="BP146" i="1"/>
  <c r="Y163" i="1"/>
  <c r="Y162" i="1"/>
  <c r="BN161" i="1"/>
  <c r="BP161" i="1"/>
  <c r="BP181" i="1"/>
  <c r="BP211" i="1"/>
  <c r="BP228" i="1"/>
  <c r="BP236" i="1"/>
  <c r="Y246" i="1"/>
  <c r="BP240" i="1"/>
  <c r="Z240" i="1"/>
  <c r="BP285" i="1"/>
  <c r="BP306" i="1"/>
  <c r="Z306" i="1"/>
  <c r="Z343" i="1"/>
  <c r="BN358" i="1"/>
  <c r="BN365" i="1"/>
  <c r="Z367" i="1"/>
  <c r="BP373" i="1"/>
  <c r="Z395" i="1"/>
  <c r="BP429" i="1"/>
  <c r="Z429" i="1"/>
  <c r="BP435" i="1"/>
  <c r="Z435" i="1"/>
  <c r="BP441" i="1"/>
  <c r="Z441" i="1"/>
  <c r="BP468" i="1"/>
  <c r="BN489" i="1"/>
  <c r="BN499" i="1"/>
  <c r="Z501" i="1"/>
  <c r="X554" i="1"/>
  <c r="Z63" i="1"/>
  <c r="Z71" i="1"/>
  <c r="BN107" i="1"/>
  <c r="BP115" i="1"/>
  <c r="Z115" i="1"/>
  <c r="BN123" i="1"/>
  <c r="Z132" i="1"/>
  <c r="Z146" i="1"/>
  <c r="Z161" i="1"/>
  <c r="Z162" i="1" s="1"/>
  <c r="BN168" i="1"/>
  <c r="BP173" i="1"/>
  <c r="Z173" i="1"/>
  <c r="BN179" i="1"/>
  <c r="Z181" i="1"/>
  <c r="BN187" i="1"/>
  <c r="BP193" i="1"/>
  <c r="Z193" i="1"/>
  <c r="BN209" i="1"/>
  <c r="Z211" i="1"/>
  <c r="BN226" i="1"/>
  <c r="Z228" i="1"/>
  <c r="BN234" i="1"/>
  <c r="Z236" i="1"/>
  <c r="BP242" i="1"/>
  <c r="Y256" i="1"/>
  <c r="Y255" i="1"/>
  <c r="BN254" i="1"/>
  <c r="BP254" i="1"/>
  <c r="BP275" i="1"/>
  <c r="Z275" i="1"/>
  <c r="BN283" i="1"/>
  <c r="Z285" i="1"/>
  <c r="BP351" i="1"/>
  <c r="BN371" i="1"/>
  <c r="BP423" i="1"/>
  <c r="BP452" i="1"/>
  <c r="Y458" i="1"/>
  <c r="BP456" i="1"/>
  <c r="Z456" i="1"/>
  <c r="Z457" i="1" s="1"/>
  <c r="Y485" i="1"/>
  <c r="Y484" i="1"/>
  <c r="BN483" i="1"/>
  <c r="BP483" i="1"/>
  <c r="Y521" i="1"/>
  <c r="BN513" i="1"/>
  <c r="BP513" i="1"/>
  <c r="BN519" i="1"/>
  <c r="Y117" i="1"/>
  <c r="Y125" i="1"/>
  <c r="Y189" i="1"/>
  <c r="Y195" i="1"/>
  <c r="Y199" i="1"/>
  <c r="Y238" i="1"/>
  <c r="Y443" i="1"/>
  <c r="Y491" i="1"/>
  <c r="F560" i="1"/>
  <c r="Z320" i="1"/>
  <c r="Z329" i="1"/>
  <c r="Z356" i="1"/>
  <c r="Z363" i="1"/>
  <c r="Z377" i="1"/>
  <c r="Z383" i="1"/>
  <c r="Z408" i="1"/>
  <c r="Z433" i="1"/>
  <c r="Z439" i="1"/>
  <c r="Z442" i="1" s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Y25" i="1"/>
  <c r="Y33" i="1"/>
  <c r="Y68" i="1"/>
  <c r="Y93" i="1"/>
  <c r="Y99" i="1"/>
  <c r="Y118" i="1"/>
  <c r="Y124" i="1"/>
  <c r="Y143" i="1"/>
  <c r="Y169" i="1"/>
  <c r="Y174" i="1"/>
  <c r="Y188" i="1"/>
  <c r="Y194" i="1"/>
  <c r="Y204" i="1"/>
  <c r="Y237" i="1"/>
  <c r="Y245" i="1"/>
  <c r="Y251" i="1"/>
  <c r="Y262" i="1"/>
  <c r="Y267" i="1"/>
  <c r="BP264" i="1"/>
  <c r="BN264" i="1"/>
  <c r="Z264" i="1"/>
  <c r="Z266" i="1" s="1"/>
  <c r="BP272" i="1"/>
  <c r="BN272" i="1"/>
  <c r="Z272" i="1"/>
  <c r="BP276" i="1"/>
  <c r="BN276" i="1"/>
  <c r="Z276" i="1"/>
  <c r="Y278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Y323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Z359" i="1"/>
  <c r="BP357" i="1"/>
  <c r="BN357" i="1"/>
  <c r="Z357" i="1"/>
  <c r="BP366" i="1"/>
  <c r="BN366" i="1"/>
  <c r="Z366" i="1"/>
  <c r="BP374" i="1"/>
  <c r="BN374" i="1"/>
  <c r="Z374" i="1"/>
  <c r="Y378" i="1"/>
  <c r="BP382" i="1"/>
  <c r="BN382" i="1"/>
  <c r="Z382" i="1"/>
  <c r="BP390" i="1"/>
  <c r="BN390" i="1"/>
  <c r="Z390" i="1"/>
  <c r="Y392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Y479" i="1"/>
  <c r="O560" i="1"/>
  <c r="Y37" i="1"/>
  <c r="Y47" i="1"/>
  <c r="Y55" i="1"/>
  <c r="Y74" i="1"/>
  <c r="Y80" i="1"/>
  <c r="Y84" i="1"/>
  <c r="Y110" i="1"/>
  <c r="Y137" i="1"/>
  <c r="Y151" i="1"/>
  <c r="Y158" i="1"/>
  <c r="Y200" i="1"/>
  <c r="Y216" i="1"/>
  <c r="Y221" i="1"/>
  <c r="H9" i="1"/>
  <c r="B560" i="1"/>
  <c r="X551" i="1"/>
  <c r="X552" i="1"/>
  <c r="Z23" i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BN78" i="1"/>
  <c r="Z82" i="1"/>
  <c r="Z84" i="1" s="1"/>
  <c r="BN82" i="1"/>
  <c r="BP82" i="1"/>
  <c r="Z89" i="1"/>
  <c r="BN89" i="1"/>
  <c r="Z91" i="1"/>
  <c r="BN91" i="1"/>
  <c r="Y92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Z133" i="1"/>
  <c r="BN133" i="1"/>
  <c r="Z135" i="1"/>
  <c r="BN135" i="1"/>
  <c r="Y136" i="1"/>
  <c r="Z139" i="1"/>
  <c r="BN139" i="1"/>
  <c r="BP139" i="1"/>
  <c r="Z141" i="1"/>
  <c r="BN141" i="1"/>
  <c r="Z147" i="1"/>
  <c r="BN147" i="1"/>
  <c r="Z149" i="1"/>
  <c r="BN149" i="1"/>
  <c r="Z154" i="1"/>
  <c r="BN154" i="1"/>
  <c r="BP154" i="1"/>
  <c r="Z156" i="1"/>
  <c r="BN156" i="1"/>
  <c r="Y159" i="1"/>
  <c r="J560" i="1"/>
  <c r="Z167" i="1"/>
  <c r="BN167" i="1"/>
  <c r="Y170" i="1"/>
  <c r="Z172" i="1"/>
  <c r="Z174" i="1" s="1"/>
  <c r="BN172" i="1"/>
  <c r="BP172" i="1"/>
  <c r="Z178" i="1"/>
  <c r="BN178" i="1"/>
  <c r="Z180" i="1"/>
  <c r="BN180" i="1"/>
  <c r="Z182" i="1"/>
  <c r="BN182" i="1"/>
  <c r="Z184" i="1"/>
  <c r="BN184" i="1"/>
  <c r="Z186" i="1"/>
  <c r="BN186" i="1"/>
  <c r="Z192" i="1"/>
  <c r="BN192" i="1"/>
  <c r="Z198" i="1"/>
  <c r="Z199" i="1" s="1"/>
  <c r="BN198" i="1"/>
  <c r="Z202" i="1"/>
  <c r="Z203" i="1" s="1"/>
  <c r="BN202" i="1"/>
  <c r="BP202" i="1"/>
  <c r="Z208" i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Z241" i="1"/>
  <c r="BN241" i="1"/>
  <c r="Z243" i="1"/>
  <c r="BN243" i="1"/>
  <c r="Z249" i="1"/>
  <c r="Z251" i="1" s="1"/>
  <c r="BN249" i="1"/>
  <c r="M560" i="1"/>
  <c r="Y261" i="1"/>
  <c r="Z260" i="1"/>
  <c r="Z261" i="1" s="1"/>
  <c r="BN260" i="1"/>
  <c r="Y266" i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Y297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Y359" i="1"/>
  <c r="BP364" i="1"/>
  <c r="BN364" i="1"/>
  <c r="Z364" i="1"/>
  <c r="Y368" i="1"/>
  <c r="BP372" i="1"/>
  <c r="BN372" i="1"/>
  <c r="Z372" i="1"/>
  <c r="BP376" i="1"/>
  <c r="BN376" i="1"/>
  <c r="Z376" i="1"/>
  <c r="Y385" i="1"/>
  <c r="BP384" i="1"/>
  <c r="BN384" i="1"/>
  <c r="Z384" i="1"/>
  <c r="Y386" i="1"/>
  <c r="Y391" i="1"/>
  <c r="BP388" i="1"/>
  <c r="BN388" i="1"/>
  <c r="Z388" i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BP440" i="1"/>
  <c r="BN440" i="1"/>
  <c r="Z440" i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150" i="1" l="1"/>
  <c r="Z136" i="1"/>
  <c r="Z67" i="1"/>
  <c r="Z510" i="1"/>
  <c r="Z417" i="1"/>
  <c r="Z391" i="1"/>
  <c r="Z378" i="1"/>
  <c r="Z368" i="1"/>
  <c r="Z169" i="1"/>
  <c r="X553" i="1"/>
  <c r="Z479" i="1"/>
  <c r="Z520" i="1"/>
  <c r="Z245" i="1"/>
  <c r="Z194" i="1"/>
  <c r="Z143" i="1"/>
  <c r="Z92" i="1"/>
  <c r="Z32" i="1"/>
  <c r="Z24" i="1"/>
  <c r="Z474" i="1"/>
  <c r="Z436" i="1"/>
  <c r="Y551" i="1"/>
  <c r="Z404" i="1"/>
  <c r="Z322" i="1"/>
  <c r="Z109" i="1"/>
  <c r="Z79" i="1"/>
  <c r="Z410" i="1"/>
  <c r="Z504" i="1"/>
  <c r="Z338" i="1"/>
  <c r="Z188" i="1"/>
  <c r="Z117" i="1"/>
  <c r="Z74" i="1"/>
  <c r="Z55" i="1"/>
  <c r="Z46" i="1"/>
  <c r="Y552" i="1"/>
  <c r="Z385" i="1"/>
  <c r="Y554" i="1"/>
  <c r="Z430" i="1"/>
  <c r="Z398" i="1"/>
  <c r="Z292" i="1"/>
  <c r="Z347" i="1"/>
  <c r="Z277" i="1"/>
  <c r="Z237" i="1"/>
  <c r="Z215" i="1"/>
  <c r="Z158" i="1"/>
  <c r="Z124" i="1"/>
  <c r="Z99" i="1"/>
  <c r="Z331" i="1"/>
  <c r="Z308" i="1"/>
  <c r="Y550" i="1"/>
  <c r="Y553" i="1" l="1"/>
  <c r="Z555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<sst xmlns="http://schemas.openxmlformats.org/spreadsheetml/2006/main" count="2502" uniqueCount="908">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</sst>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95" sqref="AA95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46235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886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7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0.54166666666666663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hidden="1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hidden="1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100</v>
      </c>
      <c r="Y95" s="628">
        <f>IFERROR(IF(X95="",0,CEILING((X95/$H95),1)*$H95),"")</f>
        <v>105.3</v>
      </c>
      <c r="Z95" s="36">
        <f>IFERROR(IF(Y95=0,"",ROUNDUP(Y95/H95,0)*0.01898),"")</f>
        <v>0.24674000000000001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106.09876543209877</v>
      </c>
      <c r="BN95" s="64">
        <f>IFERROR(Y95*I95/H95,"0")</f>
        <v>111.72199999999999</v>
      </c>
      <c r="BO95" s="64">
        <f>IFERROR(1/J95*(X95/H95),"0")</f>
        <v>0.19290123456790123</v>
      </c>
      <c r="BP95" s="64">
        <f>IFERROR(1/J95*(Y95/H95),"0")</f>
        <v>0.203125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12.345679012345679</v>
      </c>
      <c r="Y99" s="629">
        <f>IFERROR(Y95/H95,"0")+IFERROR(Y96/H96,"0")+IFERROR(Y97/H97,"0")+IFERROR(Y98/H98,"0")</f>
        <v>13</v>
      </c>
      <c r="Z99" s="629">
        <f>IFERROR(IF(Z95="",0,Z95),"0")+IFERROR(IF(Z96="",0,Z96),"0")+IFERROR(IF(Z97="",0,Z97),"0")+IFERROR(IF(Z98="",0,Z98),"0")</f>
        <v>0.24674000000000001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100</v>
      </c>
      <c r="Y100" s="629">
        <f>IFERROR(SUM(Y95:Y98),"0")</f>
        <v>105.3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950</v>
      </c>
      <c r="Y120" s="628">
        <f>IFERROR(IF(X120="",0,CEILING((X120/$H120),1)*$H120),"")</f>
        <v>955.8</v>
      </c>
      <c r="Z120" s="36">
        <f>IFERROR(IF(Y120=0,"",ROUNDUP(Y120/H120,0)*0.01898),"")</f>
        <v>2.2396400000000001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1007.2345679012345</v>
      </c>
      <c r="BN120" s="64">
        <f>IFERROR(Y120*I120/H120,"0")</f>
        <v>1013.3839999999999</v>
      </c>
      <c r="BO120" s="64">
        <f>IFERROR(1/J120*(X120/H120),"0")</f>
        <v>1.8325617283950617</v>
      </c>
      <c r="BP120" s="64">
        <f>IFERROR(1/J120*(Y120/H120),"0")</f>
        <v>1.84375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117.28395061728395</v>
      </c>
      <c r="Y124" s="629">
        <f>IFERROR(Y120/H120,"0")+IFERROR(Y121/H121,"0")+IFERROR(Y122/H122,"0")+IFERROR(Y123/H123,"0")</f>
        <v>118</v>
      </c>
      <c r="Z124" s="629">
        <f>IFERROR(IF(Z120="",0,Z120),"0")+IFERROR(IF(Z121="",0,Z121),"0")+IFERROR(IF(Z122="",0,Z122),"0")+IFERROR(IF(Z123="",0,Z123),"0")</f>
        <v>2.2396400000000001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950</v>
      </c>
      <c r="Y125" s="629">
        <f>IFERROR(SUM(Y120:Y123),"0")</f>
        <v>955.8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hidden="1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hidden="1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140</v>
      </c>
      <c r="Y234" s="628">
        <f t="shared" si="21"/>
        <v>140.70000000000002</v>
      </c>
      <c r="Z234" s="36">
        <f>IFERROR(IF(Y234=0,"",ROUNDUP(Y234/H234,0)*0.00502),"")</f>
        <v>0.33634000000000003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146.66666666666666</v>
      </c>
      <c r="BN234" s="64">
        <f t="shared" si="23"/>
        <v>147.40000000000003</v>
      </c>
      <c r="BO234" s="64">
        <f t="shared" si="24"/>
        <v>0.28490028490028491</v>
      </c>
      <c r="BP234" s="64">
        <f t="shared" si="25"/>
        <v>0.28632478632478636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66.666666666666657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67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0.33634000000000003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140</v>
      </c>
      <c r="Y238" s="629">
        <f>IFERROR(SUM(Y223:Y236),"0")</f>
        <v>140.70000000000002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480</v>
      </c>
      <c r="Y286" s="628">
        <f t="shared" si="32"/>
        <v>480</v>
      </c>
      <c r="Z286" s="36">
        <f>IFERROR(IF(Y286=0,"",ROUNDUP(Y286/H286,0)*0.00651),"")</f>
        <v>1.302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530.40000000000009</v>
      </c>
      <c r="BN286" s="64">
        <f t="shared" si="34"/>
        <v>530.40000000000009</v>
      </c>
      <c r="BO286" s="64">
        <f t="shared" si="35"/>
        <v>1.098901098901099</v>
      </c>
      <c r="BP286" s="64">
        <f t="shared" si="36"/>
        <v>1.098901098901099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144</v>
      </c>
      <c r="Y289" s="628">
        <f t="shared" si="32"/>
        <v>144</v>
      </c>
      <c r="Z289" s="36">
        <f>IFERROR(IF(Y289=0,"",ROUNDUP(Y289/H289,0)*0.00651),"")</f>
        <v>0.3906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159.12000000000003</v>
      </c>
      <c r="BN289" s="64">
        <f t="shared" si="34"/>
        <v>159.12000000000003</v>
      </c>
      <c r="BO289" s="64">
        <f t="shared" si="35"/>
        <v>0.32967032967032972</v>
      </c>
      <c r="BP289" s="64">
        <f t="shared" si="36"/>
        <v>0.32967032967032972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160</v>
      </c>
      <c r="Y290" s="628">
        <f t="shared" si="32"/>
        <v>160.79999999999998</v>
      </c>
      <c r="Z290" s="36">
        <f>IFERROR(IF(Y290=0,"",ROUNDUP(Y290/H290,0)*0.00651),"")</f>
        <v>0.43617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177.2</v>
      </c>
      <c r="BN290" s="64">
        <f t="shared" si="34"/>
        <v>178.08599999999998</v>
      </c>
      <c r="BO290" s="64">
        <f t="shared" si="35"/>
        <v>0.36630036630036633</v>
      </c>
      <c r="BP290" s="64">
        <f t="shared" si="36"/>
        <v>0.36813186813186816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326.66666666666669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327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2.1287700000000003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784</v>
      </c>
      <c r="Y293" s="629">
        <f>IFERROR(SUM(Y280:Y291),"0")</f>
        <v>784.8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hidden="1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hidden="1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2450</v>
      </c>
      <c r="Y433" s="628">
        <f>IFERROR(IF(X433="",0,CEILING((X433/$H433),1)*$H433),"")</f>
        <v>2460</v>
      </c>
      <c r="Z433" s="36">
        <f>IFERROR(IF(Y433=0,"",ROUNDUP(Y433/H433,0)*0.02175),"")</f>
        <v>3.5669999999999997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2526.7666666666669</v>
      </c>
      <c r="BN433" s="64">
        <f>IFERROR(Y433*I433/H433,"0")</f>
        <v>2537.0800000000004</v>
      </c>
      <c r="BO433" s="64">
        <f>IFERROR(1/J433*(X433/H433),"0")</f>
        <v>3.4027777777777777</v>
      </c>
      <c r="BP433" s="64">
        <f>IFERROR(1/J433*(Y433/H433),"0")</f>
        <v>3.4166666666666665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163.33333333333334</v>
      </c>
      <c r="Y436" s="629">
        <f>IFERROR(Y433/H433,"0")+IFERROR(Y434/H434,"0")+IFERROR(Y435/H435,"0")</f>
        <v>164</v>
      </c>
      <c r="Z436" s="629">
        <f>IFERROR(IF(Z433="",0,Z433),"0")+IFERROR(IF(Z434="",0,Z434),"0")+IFERROR(IF(Z435="",0,Z435),"0")</f>
        <v>3.5669999999999997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2450</v>
      </c>
      <c r="Y437" s="629">
        <f>IFERROR(SUM(Y433:Y435),"0")</f>
        <v>2460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1000</v>
      </c>
      <c r="Y460" s="628">
        <f>IFERROR(IF(X460="",0,CEILING((X460/$H460),1)*$H460),"")</f>
        <v>1008</v>
      </c>
      <c r="Z460" s="36">
        <f>IFERROR(IF(Y460=0,"",ROUNDUP(Y460/H460,0)*0.01898),"")</f>
        <v>2.1257600000000001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1054.8888888888889</v>
      </c>
      <c r="BN460" s="64">
        <f>IFERROR(Y460*I460/H460,"0")</f>
        <v>1063.328</v>
      </c>
      <c r="BO460" s="64">
        <f>IFERROR(1/J460*(X460/H460),"0")</f>
        <v>1.7361111111111112</v>
      </c>
      <c r="BP460" s="64">
        <f>IFERROR(1/J460*(Y460/H460),"0")</f>
        <v>1.75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111.11111111111111</v>
      </c>
      <c r="Y463" s="629">
        <f>IFERROR(Y460/H460,"0")+IFERROR(Y461/H461,"0")+IFERROR(Y462/H462,"0")</f>
        <v>112</v>
      </c>
      <c r="Z463" s="629">
        <f>IFERROR(IF(Z460="",0,Z460),"0")+IFERROR(IF(Z461="",0,Z461),"0")+IFERROR(IF(Z462="",0,Z462),"0")</f>
        <v>2.1257600000000001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1000</v>
      </c>
      <c r="Y464" s="629">
        <f>IFERROR(SUM(Y460:Y462),"0")</f>
        <v>1008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hidden="1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hidden="1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hidden="1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hidden="1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hidden="1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hidden="1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5424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5454.6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5708.3755555555563</v>
      </c>
      <c r="Y551" s="629">
        <f>IFERROR(SUM(BN22:BN547),"0")</f>
        <v>5740.52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10</v>
      </c>
      <c r="Y552" s="38">
        <f>ROUNDUP(SUM(BP22:BP547),0)</f>
        <v>10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5958.3755555555563</v>
      </c>
      <c r="Y553" s="629">
        <f>GrossWeightTotalR+PalletQtyTotalR*25</f>
        <v>5990.52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797.40740740740739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801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10.64425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105.3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955.8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140.70000000000002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784.8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2460</v>
      </c>
      <c r="W560" s="46">
        <f>IFERROR(Y451*1,"0")+IFERROR(Y452*1,"0")+IFERROR(Y456*1,"0")+IFERROR(Y460*1,"0")+IFERROR(Y461*1,"0")+IFERROR(Y462*1,"0")</f>
        <v>1008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"/>
        <filter val="100,00"/>
        <filter val="111,11"/>
        <filter val="117,28"/>
        <filter val="12,35"/>
        <filter val="140,00"/>
        <filter val="144,00"/>
        <filter val="160,00"/>
        <filter val="163,33"/>
        <filter val="2 450,00"/>
        <filter val="326,67"/>
        <filter val="480,00"/>
        <filter val="5 424,00"/>
        <filter val="5 708,38"/>
        <filter val="5 958,38"/>
        <filter val="66,67"/>
        <filter val="784,00"/>
        <filter val="797,41"/>
        <filter val="950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