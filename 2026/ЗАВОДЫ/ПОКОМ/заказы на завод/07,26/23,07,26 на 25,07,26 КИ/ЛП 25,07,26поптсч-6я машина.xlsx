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868205-37B4-4697-9E77-0735543AD9C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Y511" i="2" s="1"/>
  <c r="P504" i="2"/>
  <c r="X502" i="2"/>
  <c r="X501" i="2"/>
  <c r="BP500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Z552" i="2" s="1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P478" i="2"/>
  <c r="BO478" i="2"/>
  <c r="BM478" i="2"/>
  <c r="Y478" i="2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BN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N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Y433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Z223" i="2" s="1"/>
  <c r="P223" i="2"/>
  <c r="BP222" i="2"/>
  <c r="BO222" i="2"/>
  <c r="BN222" i="2"/>
  <c r="BM222" i="2"/>
  <c r="Z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BN204" i="2" s="1"/>
  <c r="P204" i="2"/>
  <c r="BO203" i="2"/>
  <c r="BM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Y193" i="2" s="1"/>
  <c r="P192" i="2"/>
  <c r="Y190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I552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Y135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N123" i="2" s="1"/>
  <c r="P123" i="2"/>
  <c r="BO122" i="2"/>
  <c r="BM122" i="2"/>
  <c r="Z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Y75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Z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BN51" i="2" l="1"/>
  <c r="BN103" i="2"/>
  <c r="BN170" i="2"/>
  <c r="BN225" i="2"/>
  <c r="BP234" i="2"/>
  <c r="BN261" i="2"/>
  <c r="BN301" i="2"/>
  <c r="BN365" i="2"/>
  <c r="BN381" i="2"/>
  <c r="BN431" i="2"/>
  <c r="BN463" i="2"/>
  <c r="BN488" i="2"/>
  <c r="BP71" i="2"/>
  <c r="BN72" i="2"/>
  <c r="BN97" i="2"/>
  <c r="Z133" i="2"/>
  <c r="Y163" i="2"/>
  <c r="BN175" i="2"/>
  <c r="Z177" i="2"/>
  <c r="Y194" i="2"/>
  <c r="BN199" i="2"/>
  <c r="Z215" i="2"/>
  <c r="BN230" i="2"/>
  <c r="Z234" i="2"/>
  <c r="BN271" i="2"/>
  <c r="Z277" i="2"/>
  <c r="BN291" i="2"/>
  <c r="BN332" i="2"/>
  <c r="BN373" i="2"/>
  <c r="BN415" i="2"/>
  <c r="Z417" i="2"/>
  <c r="BN425" i="2"/>
  <c r="BN460" i="2"/>
  <c r="BN491" i="2"/>
  <c r="Z498" i="2"/>
  <c r="BN498" i="2"/>
  <c r="Y501" i="2"/>
  <c r="BP520" i="2"/>
  <c r="BP400" i="2"/>
  <c r="BP479" i="2"/>
  <c r="Z112" i="2"/>
  <c r="Z123" i="2"/>
  <c r="BP123" i="2"/>
  <c r="BP149" i="2"/>
  <c r="Z166" i="2"/>
  <c r="BP188" i="2"/>
  <c r="Z201" i="2"/>
  <c r="Z204" i="2"/>
  <c r="BP204" i="2"/>
  <c r="Z213" i="2"/>
  <c r="BP213" i="2"/>
  <c r="Y241" i="2"/>
  <c r="Z244" i="2"/>
  <c r="Z245" i="2" s="1"/>
  <c r="BP255" i="2"/>
  <c r="Z310" i="2"/>
  <c r="Y337" i="2"/>
  <c r="Z357" i="2"/>
  <c r="BP388" i="2"/>
  <c r="Z400" i="2"/>
  <c r="Z443" i="2"/>
  <c r="BP443" i="2"/>
  <c r="Z451" i="2"/>
  <c r="BP451" i="2"/>
  <c r="Y455" i="2"/>
  <c r="Z479" i="2"/>
  <c r="Z529" i="2"/>
  <c r="Z530" i="2" s="1"/>
  <c r="Y530" i="2"/>
  <c r="X544" i="2"/>
  <c r="BP30" i="2"/>
  <c r="Z43" i="2"/>
  <c r="Z78" i="2"/>
  <c r="Z30" i="2"/>
  <c r="BN53" i="2"/>
  <c r="BN62" i="2"/>
  <c r="Y79" i="2"/>
  <c r="BP77" i="2"/>
  <c r="Z103" i="2"/>
  <c r="BN106" i="2"/>
  <c r="Z149" i="2"/>
  <c r="BP162" i="2"/>
  <c r="Y164" i="2"/>
  <c r="Z169" i="2"/>
  <c r="Z188" i="2"/>
  <c r="BP192" i="2"/>
  <c r="BP203" i="2"/>
  <c r="Y211" i="2"/>
  <c r="Z225" i="2"/>
  <c r="BN238" i="2"/>
  <c r="Z255" i="2"/>
  <c r="BN278" i="2"/>
  <c r="Z281" i="2"/>
  <c r="BN285" i="2"/>
  <c r="BN296" i="2"/>
  <c r="Z332" i="2"/>
  <c r="BN334" i="2"/>
  <c r="Z388" i="2"/>
  <c r="Z393" i="2"/>
  <c r="V552" i="2"/>
  <c r="BN420" i="2"/>
  <c r="BP453" i="2"/>
  <c r="Z463" i="2"/>
  <c r="BN474" i="2"/>
  <c r="Z488" i="2"/>
  <c r="Z491" i="2"/>
  <c r="BN493" i="2"/>
  <c r="Z506" i="2"/>
  <c r="BN534" i="2"/>
  <c r="Y139" i="2"/>
  <c r="BP201" i="2"/>
  <c r="B552" i="2"/>
  <c r="BN64" i="2"/>
  <c r="Z66" i="2"/>
  <c r="Z77" i="2"/>
  <c r="Z79" i="2" s="1"/>
  <c r="BN78" i="2"/>
  <c r="Y80" i="2"/>
  <c r="F552" i="2"/>
  <c r="BN95" i="2"/>
  <c r="BN108" i="2"/>
  <c r="H552" i="2"/>
  <c r="BP133" i="2"/>
  <c r="Z170" i="2"/>
  <c r="BN173" i="2"/>
  <c r="BP177" i="2"/>
  <c r="Z192" i="2"/>
  <c r="Z193" i="2" s="1"/>
  <c r="Z203" i="2"/>
  <c r="BP215" i="2"/>
  <c r="BN217" i="2"/>
  <c r="BN260" i="2"/>
  <c r="BN270" i="2"/>
  <c r="BN326" i="2"/>
  <c r="Y329" i="2"/>
  <c r="BN347" i="2"/>
  <c r="BN380" i="2"/>
  <c r="BN437" i="2"/>
  <c r="Y454" i="2"/>
  <c r="BP462" i="2"/>
  <c r="BP487" i="2"/>
  <c r="BP490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5" i="2" s="1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Z287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Z312" i="2" s="1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Z470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Z444" i="2" s="1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Z24" i="2" s="1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24" i="2" s="1"/>
  <c r="Z143" i="2"/>
  <c r="Z167" i="2"/>
  <c r="Z187" i="2"/>
  <c r="Z189" i="2" s="1"/>
  <c r="Y235" i="2"/>
  <c r="BP244" i="2"/>
  <c r="Z341" i="2"/>
  <c r="Z385" i="2"/>
  <c r="Z430" i="2"/>
  <c r="Z433" i="2" s="1"/>
  <c r="BP432" i="2"/>
  <c r="Z453" i="2"/>
  <c r="Z454" i="2" s="1"/>
  <c r="Y470" i="2"/>
  <c r="Z478" i="2"/>
  <c r="BP480" i="2"/>
  <c r="Z490" i="2"/>
  <c r="Z500" i="2"/>
  <c r="Z510" i="2"/>
  <c r="Y517" i="2"/>
  <c r="Z524" i="2"/>
  <c r="Z526" i="2" s="1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27" i="2" s="1"/>
  <c r="Z230" i="2"/>
  <c r="Z240" i="2"/>
  <c r="Z241" i="2" s="1"/>
  <c r="Z263" i="2"/>
  <c r="Z273" i="2"/>
  <c r="Z294" i="2"/>
  <c r="Z317" i="2"/>
  <c r="Z353" i="2"/>
  <c r="Z363" i="2"/>
  <c r="Z373" i="2"/>
  <c r="Z406" i="2"/>
  <c r="Z408" i="2" s="1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495" i="2" l="1"/>
  <c r="Z465" i="2"/>
  <c r="Z235" i="2"/>
  <c r="Z134" i="2"/>
  <c r="Z159" i="2"/>
  <c r="Z74" i="2"/>
  <c r="Z109" i="2"/>
  <c r="Z298" i="2"/>
  <c r="Z144" i="2"/>
  <c r="Z369" i="2"/>
  <c r="Z535" i="2"/>
  <c r="Z359" i="2"/>
  <c r="Z389" i="2"/>
  <c r="Z32" i="2"/>
  <c r="Z251" i="2"/>
  <c r="Y543" i="2"/>
  <c r="Z282" i="2"/>
  <c r="Y544" i="2"/>
  <c r="Y545" i="2" s="1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<sst xmlns="http://schemas.openxmlformats.org/spreadsheetml/2006/main" count="4118" uniqueCount="878">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</sst>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372" sqref="AA3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877</v>
      </c>
      <c r="I5" s="631"/>
      <c r="J5" s="631"/>
      <c r="K5" s="631"/>
      <c r="L5" s="631"/>
      <c r="M5" s="631"/>
      <c r="N5" s="72"/>
      <c r="P5" s="27" t="s">
        <v>4</v>
      </c>
      <c r="Q5" s="633">
        <v>46228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Суббота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0.58333333333333337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17630</v>
      </c>
      <c r="Y372" s="55">
        <f>IFERROR(IF(X372="",0,CEILING((X372/$H372),1)*$H372),"")</f>
        <v>17635.8</v>
      </c>
      <c r="Z372" s="41">
        <f>IFERROR(IF(Y372=0,"",ROUNDUP(Y372/H372,0)*0.01898),"")</f>
        <v>42.913780000000003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18733.005128205128</v>
      </c>
      <c r="BN372" s="78">
        <f>IFERROR(Y372*I372/H372,"0")</f>
        <v>18739.168000000001</v>
      </c>
      <c r="BO372" s="78">
        <f>IFERROR(1/J372*(X372/H372),"0")</f>
        <v>35.316506410256409</v>
      </c>
      <c r="BP372" s="78">
        <f>IFERROR(1/J372*(Y372/H372),"0")</f>
        <v>35.328125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2260.2564102564102</v>
      </c>
      <c r="Y376" s="43">
        <f>IFERROR(Y372/H372,"0")+IFERROR(Y373/H373,"0")+IFERROR(Y374/H374,"0")+IFERROR(Y375/H375,"0")</f>
        <v>2261</v>
      </c>
      <c r="Z376" s="43">
        <f>IFERROR(IF(Z372="",0,Z372),"0")+IFERROR(IF(Z373="",0,Z373),"0")+IFERROR(IF(Z374="",0,Z374),"0")+IFERROR(IF(Z375="",0,Z375),"0")</f>
        <v>42.913780000000003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17630</v>
      </c>
      <c r="Y377" s="43">
        <f>IFERROR(SUM(Y372:Y375),"0")</f>
        <v>17635.8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hidden="1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hidden="1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0</v>
      </c>
      <c r="Y421" s="43">
        <f>IFERROR(Y413/H413,"0")+IFERROR(Y414/H414,"0")+IFERROR(Y415/H415,"0")+IFERROR(Y416/H416,"0")+IFERROR(Y417/H417,"0")+IFERROR(Y418/H418,"0")+IFERROR(Y419/H419,"0")+IFERROR(Y420/H420,"0")</f>
        <v>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0</v>
      </c>
      <c r="Y422" s="43">
        <f>IFERROR(SUM(Y413:Y420),"0")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hidden="1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hidden="1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17630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17635.8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18733.005128205128</v>
      </c>
      <c r="Y543" s="43">
        <f>IFERROR(SUM(BN22:BN539),"0")</f>
        <v>18739.168000000001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36</v>
      </c>
      <c r="Y544" s="44">
        <f>ROUNDUP(SUM(BP22:BP539),0)</f>
        <v>36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19633.005128205128</v>
      </c>
      <c r="Y545" s="43">
        <f>GrossWeightTotalR+PalletQtyTotalR*25</f>
        <v>19639.168000000001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2260.2564102564102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2261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42.913780000000003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17635.8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630,00"/>
        <filter val="18 733,01"/>
        <filter val="19 633,01"/>
        <filter val="2 260,26"/>
        <filter val="36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